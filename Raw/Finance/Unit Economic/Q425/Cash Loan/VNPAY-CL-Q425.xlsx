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75315E48-3830-5A47-A57A-C975248204CD}" xr6:coauthVersionLast="47" xr6:coauthVersionMax="47" xr10:uidLastSave="{00000000-0000-0000-0000-000000000000}"/>
  <bookViews>
    <workbookView xWindow="1080" yWindow="1240" windowWidth="27640" windowHeight="16760" xr2:uid="{44938258-953A-6346-A87D-07E51996F547}"/>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D4" i="7"/>
  <c r="C4" i="7"/>
  <c r="C3" i="7" s="1"/>
  <c r="B4" i="7"/>
  <c r="B3" i="7" s="1"/>
  <c r="D3" i="7"/>
  <c r="F10" i="6"/>
  <c r="L6" i="6"/>
  <c r="K6" i="6"/>
  <c r="J6" i="6"/>
  <c r="E14" i="6" s="1"/>
  <c r="E5" i="6"/>
  <c r="D5" i="6"/>
  <c r="F4" i="6"/>
  <c r="E4" i="6"/>
  <c r="E221" i="5"/>
  <c r="BD218" i="5"/>
  <c r="BE217" i="5" s="1"/>
  <c r="AZ218" i="5"/>
  <c r="AW218" i="5"/>
  <c r="AX217" i="5" s="1"/>
  <c r="AV218" i="5"/>
  <c r="AW217" i="5" s="1"/>
  <c r="AT218" i="5"/>
  <c r="AU217" i="5" s="1"/>
  <c r="AO218" i="5"/>
  <c r="AP217" i="5" s="1"/>
  <c r="AN218" i="5"/>
  <c r="AO217" i="5" s="1"/>
  <c r="AL218" i="5"/>
  <c r="AM217" i="5" s="1"/>
  <c r="AF218" i="5"/>
  <c r="AG217" i="5" s="1"/>
  <c r="AE218" i="5"/>
  <c r="V218" i="5"/>
  <c r="W217" i="5" s="1"/>
  <c r="T218" i="5"/>
  <c r="U217" i="5" s="1"/>
  <c r="Q218" i="5"/>
  <c r="R217" i="5" s="1"/>
  <c r="P218" i="5"/>
  <c r="Q217" i="5" s="1"/>
  <c r="H218" i="5"/>
  <c r="I217" i="5" s="1"/>
  <c r="BD217" i="5"/>
  <c r="BA217" i="5"/>
  <c r="AV217" i="5"/>
  <c r="AT217" i="5"/>
  <c r="AR217" i="5"/>
  <c r="AF217" i="5"/>
  <c r="T217" i="5"/>
  <c r="N217" i="5"/>
  <c r="J217" i="5"/>
  <c r="E217" i="5"/>
  <c r="E209" i="5"/>
  <c r="E213" i="5" s="1"/>
  <c r="BC205" i="5"/>
  <c r="BC218" i="5" s="1"/>
  <c r="BB205" i="5"/>
  <c r="BB218" i="5" s="1"/>
  <c r="BC217" i="5" s="1"/>
  <c r="BA205" i="5"/>
  <c r="BA218" i="5" s="1"/>
  <c r="BB217" i="5" s="1"/>
  <c r="AZ205" i="5"/>
  <c r="AU205" i="5"/>
  <c r="AU218" i="5" s="1"/>
  <c r="AT205" i="5"/>
  <c r="AS205" i="5"/>
  <c r="AS218" i="5" s="1"/>
  <c r="AR205" i="5"/>
  <c r="AR218" i="5" s="1"/>
  <c r="AS217" i="5" s="1"/>
  <c r="AM205" i="5"/>
  <c r="AM218" i="5" s="1"/>
  <c r="AN217" i="5" s="1"/>
  <c r="AK205" i="5"/>
  <c r="AK218" i="5" s="1"/>
  <c r="AL217" i="5" s="1"/>
  <c r="AJ205" i="5"/>
  <c r="AJ218" i="5" s="1"/>
  <c r="AK217" i="5" s="1"/>
  <c r="AF205" i="5"/>
  <c r="AE205" i="5"/>
  <c r="AC205" i="5"/>
  <c r="AC218" i="5" s="1"/>
  <c r="AD217" i="5" s="1"/>
  <c r="X205" i="5"/>
  <c r="X218" i="5" s="1"/>
  <c r="Y217" i="5" s="1"/>
  <c r="W205" i="5"/>
  <c r="W218" i="5" s="1"/>
  <c r="X217" i="5" s="1"/>
  <c r="V205" i="5"/>
  <c r="U205" i="5"/>
  <c r="U218" i="5" s="1"/>
  <c r="V217" i="5" s="1"/>
  <c r="T205" i="5"/>
  <c r="O205" i="5"/>
  <c r="O218" i="5" s="1"/>
  <c r="P217" i="5" s="1"/>
  <c r="N205" i="5"/>
  <c r="N218" i="5" s="1"/>
  <c r="O217" i="5" s="1"/>
  <c r="M205" i="5"/>
  <c r="M218" i="5" s="1"/>
  <c r="L205" i="5"/>
  <c r="L218" i="5" s="1"/>
  <c r="M217" i="5" s="1"/>
  <c r="G205" i="5"/>
  <c r="G218" i="5" s="1"/>
  <c r="H217" i="5" s="1"/>
  <c r="E205" i="5"/>
  <c r="E222" i="5" s="1"/>
  <c r="BF201" i="5"/>
  <c r="BF205" i="5" s="1"/>
  <c r="BF218" i="5" s="1"/>
  <c r="BE201" i="5"/>
  <c r="BE205" i="5" s="1"/>
  <c r="BE218" i="5" s="1"/>
  <c r="BF217" i="5" s="1"/>
  <c r="BD201" i="5"/>
  <c r="BD205" i="5" s="1"/>
  <c r="BC201" i="5"/>
  <c r="BB201" i="5"/>
  <c r="BA201" i="5"/>
  <c r="AZ201" i="5"/>
  <c r="AY201" i="5"/>
  <c r="AY205" i="5" s="1"/>
  <c r="AY218" i="5" s="1"/>
  <c r="AZ217" i="5" s="1"/>
  <c r="AX201" i="5"/>
  <c r="AX205" i="5" s="1"/>
  <c r="AX218" i="5" s="1"/>
  <c r="AY217" i="5" s="1"/>
  <c r="AW201" i="5"/>
  <c r="AW205" i="5" s="1"/>
  <c r="AV201" i="5"/>
  <c r="AV205" i="5" s="1"/>
  <c r="AU201" i="5"/>
  <c r="AT201" i="5"/>
  <c r="AS201" i="5"/>
  <c r="AR201" i="5"/>
  <c r="AQ201" i="5"/>
  <c r="AQ205" i="5" s="1"/>
  <c r="AQ218" i="5" s="1"/>
  <c r="AP201" i="5"/>
  <c r="AP205" i="5" s="1"/>
  <c r="AP218" i="5" s="1"/>
  <c r="AQ217" i="5" s="1"/>
  <c r="AO201" i="5"/>
  <c r="AO205" i="5" s="1"/>
  <c r="AN201" i="5"/>
  <c r="AN205" i="5" s="1"/>
  <c r="AM201" i="5"/>
  <c r="AL201" i="5"/>
  <c r="AL205" i="5" s="1"/>
  <c r="AK201" i="5"/>
  <c r="AJ201" i="5"/>
  <c r="AI201" i="5"/>
  <c r="AI205" i="5" s="1"/>
  <c r="AI218" i="5" s="1"/>
  <c r="AJ217" i="5" s="1"/>
  <c r="AH201" i="5"/>
  <c r="AH205" i="5" s="1"/>
  <c r="AH218" i="5" s="1"/>
  <c r="AI217" i="5" s="1"/>
  <c r="AG201" i="5"/>
  <c r="AG205" i="5" s="1"/>
  <c r="AG218" i="5" s="1"/>
  <c r="AH217" i="5" s="1"/>
  <c r="AF201" i="5"/>
  <c r="AE201" i="5"/>
  <c r="AD201" i="5"/>
  <c r="AD205" i="5" s="1"/>
  <c r="AD218" i="5" s="1"/>
  <c r="AE217" i="5" s="1"/>
  <c r="AC201" i="5"/>
  <c r="AB201" i="5"/>
  <c r="AB205" i="5" s="1"/>
  <c r="AB218" i="5" s="1"/>
  <c r="AC217" i="5" s="1"/>
  <c r="AA201" i="5"/>
  <c r="AA205" i="5" s="1"/>
  <c r="AA218" i="5" s="1"/>
  <c r="AB217" i="5" s="1"/>
  <c r="Z201" i="5"/>
  <c r="Z205" i="5" s="1"/>
  <c r="Z218" i="5" s="1"/>
  <c r="AA217" i="5" s="1"/>
  <c r="Y201" i="5"/>
  <c r="Y205" i="5" s="1"/>
  <c r="Y218" i="5" s="1"/>
  <c r="Z217" i="5" s="1"/>
  <c r="X201" i="5"/>
  <c r="W201" i="5"/>
  <c r="V201" i="5"/>
  <c r="U201" i="5"/>
  <c r="T201" i="5"/>
  <c r="S201" i="5"/>
  <c r="S205" i="5" s="1"/>
  <c r="S218" i="5" s="1"/>
  <c r="R201" i="5"/>
  <c r="R205" i="5" s="1"/>
  <c r="R218" i="5" s="1"/>
  <c r="S217" i="5" s="1"/>
  <c r="Q201" i="5"/>
  <c r="Q205" i="5" s="1"/>
  <c r="P201" i="5"/>
  <c r="P205" i="5" s="1"/>
  <c r="O201" i="5"/>
  <c r="N201" i="5"/>
  <c r="M201" i="5"/>
  <c r="L201" i="5"/>
  <c r="K201" i="5"/>
  <c r="K205" i="5" s="1"/>
  <c r="K218" i="5" s="1"/>
  <c r="L217" i="5" s="1"/>
  <c r="J201" i="5"/>
  <c r="J205" i="5" s="1"/>
  <c r="J218" i="5" s="1"/>
  <c r="K217" i="5" s="1"/>
  <c r="I201" i="5"/>
  <c r="I205" i="5" s="1"/>
  <c r="I218" i="5" s="1"/>
  <c r="H201" i="5"/>
  <c r="H205" i="5" s="1"/>
  <c r="G201" i="5"/>
  <c r="F201" i="5"/>
  <c r="F205" i="5" s="1"/>
  <c r="F218" i="5" s="1"/>
  <c r="G217" i="5" s="1"/>
  <c r="E201" i="5"/>
  <c r="E195" i="5"/>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196" i="5" s="1"/>
  <c r="E91" i="5"/>
  <c r="D12" i="5"/>
  <c r="D11" i="5"/>
  <c r="E5" i="5"/>
  <c r="L119" i="4"/>
  <c r="M119" i="4" s="1"/>
  <c r="N119" i="4" s="1"/>
  <c r="O119" i="4" s="1"/>
  <c r="H119" i="4"/>
  <c r="I119" i="4" s="1"/>
  <c r="J119" i="4" s="1"/>
  <c r="K119" i="4" s="1"/>
  <c r="G119" i="4"/>
  <c r="F119" i="4"/>
  <c r="G92" i="4"/>
  <c r="F92" i="4"/>
  <c r="E92" i="4" s="1"/>
  <c r="G91" i="4"/>
  <c r="F91" i="4"/>
  <c r="E91" i="4"/>
  <c r="G90" i="4"/>
  <c r="E90" i="4" s="1"/>
  <c r="F90" i="4"/>
  <c r="D90" i="4"/>
  <c r="D97" i="3" s="1"/>
  <c r="H89" i="4"/>
  <c r="E89" i="4" s="1"/>
  <c r="D89" i="4" s="1"/>
  <c r="D96" i="3" s="1"/>
  <c r="E96" i="3" s="1"/>
  <c r="F96" i="3" s="1"/>
  <c r="E117" i="5" s="1"/>
  <c r="G89" i="4"/>
  <c r="F89" i="4"/>
  <c r="H88" i="4"/>
  <c r="G88" i="4"/>
  <c r="F88" i="4"/>
  <c r="E88" i="4" s="1"/>
  <c r="D88" i="4" s="1"/>
  <c r="D95" i="3" s="1"/>
  <c r="H87" i="4"/>
  <c r="G87" i="4"/>
  <c r="F87" i="4"/>
  <c r="E87" i="4" s="1"/>
  <c r="H86" i="4"/>
  <c r="G86" i="4"/>
  <c r="F86" i="4"/>
  <c r="E86" i="4" s="1"/>
  <c r="H85" i="4"/>
  <c r="G85" i="4"/>
  <c r="F85" i="4"/>
  <c r="E85" i="4" s="1"/>
  <c r="H84" i="4"/>
  <c r="G84" i="4"/>
  <c r="F84" i="4"/>
  <c r="E84" i="4"/>
  <c r="D69" i="4"/>
  <c r="E65" i="3" s="1"/>
  <c r="E90" i="5" s="1"/>
  <c r="O47" i="3" s="1"/>
  <c r="N47" i="3" s="1"/>
  <c r="D68" i="4"/>
  <c r="D67" i="4"/>
  <c r="D66" i="4"/>
  <c r="D65" i="4"/>
  <c r="D64" i="4"/>
  <c r="E61" i="3" s="1"/>
  <c r="E86" i="5" s="1"/>
  <c r="E85" i="5" s="1"/>
  <c r="E51" i="4"/>
  <c r="F51" i="4" s="1"/>
  <c r="M49" i="4"/>
  <c r="M48" i="4" s="1"/>
  <c r="E33" i="4"/>
  <c r="D33" i="4" s="1"/>
  <c r="F30" i="4"/>
  <c r="E30" i="4"/>
  <c r="D30" i="4"/>
  <c r="E28" i="4"/>
  <c r="F28" i="4" s="1"/>
  <c r="K25" i="4"/>
  <c r="E35" i="3" s="1"/>
  <c r="I25" i="4"/>
  <c r="H25" i="4"/>
  <c r="G25" i="4"/>
  <c r="L22" i="4"/>
  <c r="L21" i="4"/>
  <c r="L20" i="4"/>
  <c r="J25" i="4" s="1"/>
  <c r="E34" i="3" s="1"/>
  <c r="F106" i="3"/>
  <c r="F105" i="3"/>
  <c r="E126" i="5" s="1"/>
  <c r="F104" i="3"/>
  <c r="E125" i="5" s="1"/>
  <c r="E103" i="3"/>
  <c r="F103" i="3" s="1"/>
  <c r="E124" i="5" s="1"/>
  <c r="F102" i="3"/>
  <c r="E123" i="5" s="1"/>
  <c r="E102" i="3"/>
  <c r="E101" i="3"/>
  <c r="F101" i="3" s="1"/>
  <c r="E122" i="5" s="1"/>
  <c r="E100" i="3"/>
  <c r="F100" i="3" s="1"/>
  <c r="E121" i="5" s="1"/>
  <c r="F99" i="3"/>
  <c r="E120" i="5" s="1"/>
  <c r="D99" i="3"/>
  <c r="E99" i="3" s="1"/>
  <c r="D98" i="3"/>
  <c r="D94" i="3"/>
  <c r="D93" i="3"/>
  <c r="D92" i="3"/>
  <c r="E117" i="3" s="1"/>
  <c r="D91" i="3"/>
  <c r="E78" i="3"/>
  <c r="E71" i="3"/>
  <c r="E67" i="3"/>
  <c r="E66" i="3"/>
  <c r="E63" i="3"/>
  <c r="E89" i="5" s="1"/>
  <c r="S50" i="3"/>
  <c r="R50" i="3"/>
  <c r="Q50" i="3"/>
  <c r="N50" i="3" s="1"/>
  <c r="U50" i="3" s="1"/>
  <c r="P50" i="3"/>
  <c r="O50" i="3"/>
  <c r="S47" i="3"/>
  <c r="R47" i="3"/>
  <c r="Q47" i="3"/>
  <c r="P47" i="3"/>
  <c r="S46" i="3"/>
  <c r="R46" i="3"/>
  <c r="Q46" i="3"/>
  <c r="Q45" i="3" s="1"/>
  <c r="Q19" i="3" s="1"/>
  <c r="P46" i="3"/>
  <c r="S45" i="3"/>
  <c r="R45" i="3"/>
  <c r="P45" i="3"/>
  <c r="S44" i="3"/>
  <c r="R44" i="3"/>
  <c r="Q44" i="3"/>
  <c r="P44" i="3"/>
  <c r="O44" i="3"/>
  <c r="N44" i="3" s="1"/>
  <c r="S42" i="3"/>
  <c r="R42" i="3"/>
  <c r="Q42" i="3"/>
  <c r="P42" i="3"/>
  <c r="S36" i="3"/>
  <c r="R36" i="3"/>
  <c r="Q36" i="3"/>
  <c r="P36" i="3"/>
  <c r="E31" i="3"/>
  <c r="C31" i="3"/>
  <c r="E30" i="3"/>
  <c r="C30" i="3"/>
  <c r="C28" i="3"/>
  <c r="C27" i="3"/>
  <c r="E26" i="3"/>
  <c r="E27" i="3" s="1"/>
  <c r="S19" i="3"/>
  <c r="R19" i="3"/>
  <c r="P19" i="3"/>
  <c r="E19" i="3"/>
  <c r="G19" i="3" s="1"/>
  <c r="G18" i="3"/>
  <c r="F18" i="3"/>
  <c r="F19" i="3" s="1"/>
  <c r="E18" i="3"/>
  <c r="E12" i="3"/>
  <c r="E10" i="3"/>
  <c r="H6" i="3"/>
  <c r="H5" i="3"/>
  <c r="H4" i="3"/>
  <c r="D2" i="3"/>
  <c r="C2" i="3"/>
  <c r="B2" i="3"/>
  <c r="E95" i="3" l="1"/>
  <c r="F95" i="3" s="1"/>
  <c r="E116" i="5" s="1"/>
  <c r="E93" i="3"/>
  <c r="F93" i="3" s="1"/>
  <c r="E114" i="5" s="1"/>
  <c r="U44" i="3"/>
  <c r="U47" i="3"/>
  <c r="E88" i="5"/>
  <c r="E92" i="3"/>
  <c r="F92" i="3" s="1"/>
  <c r="E113" i="5" s="1"/>
  <c r="E98" i="3"/>
  <c r="F98" i="3" s="1"/>
  <c r="E119" i="5" s="1"/>
  <c r="E97" i="3"/>
  <c r="F97" i="3" s="1"/>
  <c r="E118" i="5" s="1"/>
  <c r="O46" i="3"/>
  <c r="E13" i="5"/>
  <c r="BH54" i="7"/>
  <c r="BG54" i="7"/>
  <c r="AY54" i="7"/>
  <c r="AQ54" i="7"/>
  <c r="AI54" i="7"/>
  <c r="AA54" i="7"/>
  <c r="S54" i="7"/>
  <c r="K54" i="7"/>
  <c r="C54" i="7"/>
  <c r="BF54" i="7"/>
  <c r="AX54" i="7"/>
  <c r="AP54" i="7"/>
  <c r="AH54" i="7"/>
  <c r="Z54" i="7"/>
  <c r="R54" i="7"/>
  <c r="B54" i="7"/>
  <c r="BI54" i="7"/>
  <c r="AZ54" i="7"/>
  <c r="AR54" i="7"/>
  <c r="AJ54" i="7"/>
  <c r="AB54" i="7"/>
  <c r="T54" i="7"/>
  <c r="L54" i="7"/>
  <c r="D54" i="7"/>
  <c r="BB54" i="7"/>
  <c r="AN54" i="7"/>
  <c r="AC54" i="7"/>
  <c r="O54" i="7"/>
  <c r="BA54" i="7"/>
  <c r="AM54" i="7"/>
  <c r="Y54" i="7"/>
  <c r="N54" i="7"/>
  <c r="AW54" i="7"/>
  <c r="AL54" i="7"/>
  <c r="X54" i="7"/>
  <c r="AL69" i="7" s="1"/>
  <c r="M54" i="7"/>
  <c r="AV54" i="7"/>
  <c r="AK54" i="7"/>
  <c r="AK55" i="7" s="1"/>
  <c r="W54" i="7"/>
  <c r="AU54" i="7"/>
  <c r="AG54" i="7"/>
  <c r="V54" i="7"/>
  <c r="BE54" i="7"/>
  <c r="BD54" i="7"/>
  <c r="AS54" i="7"/>
  <c r="AE54" i="7"/>
  <c r="BC54" i="7"/>
  <c r="AO54" i="7"/>
  <c r="AD54" i="7"/>
  <c r="P54" i="7"/>
  <c r="E54" i="7"/>
  <c r="U54" i="7"/>
  <c r="AL72" i="7" s="1"/>
  <c r="Q54" i="7"/>
  <c r="G54" i="7"/>
  <c r="F54" i="7"/>
  <c r="AT54" i="7"/>
  <c r="AF54" i="7"/>
  <c r="E63" i="5"/>
  <c r="O36" i="3" s="1"/>
  <c r="N36" i="3" s="1"/>
  <c r="E73" i="5"/>
  <c r="E65" i="5"/>
  <c r="E64" i="5" s="1"/>
  <c r="D17" i="5"/>
  <c r="D27" i="5"/>
  <c r="E94" i="3"/>
  <c r="F94" i="3" s="1"/>
  <c r="E115" i="5" s="1"/>
  <c r="E91" i="3"/>
  <c r="F91" i="3" s="1"/>
  <c r="E112" i="5" s="1"/>
  <c r="E157" i="5"/>
  <c r="E107" i="5"/>
  <c r="E40" i="5"/>
  <c r="E177" i="5"/>
  <c r="E68" i="5" a="1"/>
  <c r="E68" i="5" s="1"/>
  <c r="E179" i="5"/>
  <c r="E163" i="5"/>
  <c r="E41" i="5"/>
  <c r="E36" i="5"/>
  <c r="E139" i="5" s="1"/>
  <c r="E34" i="5"/>
  <c r="E32" i="5"/>
  <c r="E105" i="5"/>
  <c r="E104" i="5"/>
  <c r="E14" i="5"/>
  <c r="E12" i="5"/>
  <c r="E96" i="5"/>
  <c r="E29" i="5"/>
  <c r="E132" i="5" s="1"/>
  <c r="E16" i="5"/>
  <c r="E100" i="5" s="1"/>
  <c r="E99" i="5" s="1"/>
  <c r="E33" i="5"/>
  <c r="E176" i="5" s="1"/>
  <c r="F5" i="5"/>
  <c r="E106" i="5"/>
  <c r="E66" i="5"/>
  <c r="F6" i="5"/>
  <c r="D18" i="3"/>
  <c r="C19" i="3" s="1"/>
  <c r="E11" i="5" s="1"/>
  <c r="E6" i="5"/>
  <c r="E14" i="3"/>
  <c r="D19" i="3" s="1"/>
  <c r="D6" i="5"/>
  <c r="E19" i="5" s="1"/>
  <c r="C29" i="3"/>
  <c r="D7" i="5"/>
  <c r="D45" i="5" s="1" a="1"/>
  <c r="D45" i="5" s="1"/>
  <c r="H54" i="7"/>
  <c r="F221" i="5"/>
  <c r="J54" i="7"/>
  <c r="G10" i="6"/>
  <c r="E218" i="5"/>
  <c r="F217" i="5" s="1"/>
  <c r="E214" i="5"/>
  <c r="F5" i="6"/>
  <c r="G4" i="6"/>
  <c r="I54" i="7"/>
  <c r="AL113" i="7"/>
  <c r="AL111" i="7"/>
  <c r="AL109" i="7"/>
  <c r="AL107" i="7"/>
  <c r="AL105" i="7"/>
  <c r="AL103" i="7"/>
  <c r="AL101" i="7"/>
  <c r="AL99" i="7"/>
  <c r="AL97" i="7"/>
  <c r="AL95" i="7"/>
  <c r="AL93" i="7"/>
  <c r="AL91" i="7"/>
  <c r="AL89" i="7"/>
  <c r="AL87" i="7"/>
  <c r="AL114" i="7"/>
  <c r="AL86" i="7"/>
  <c r="AL84" i="7"/>
  <c r="AL82" i="7"/>
  <c r="AL80" i="7"/>
  <c r="AL78" i="7"/>
  <c r="AL76" i="7"/>
  <c r="AL112" i="7"/>
  <c r="AL110" i="7"/>
  <c r="AL108" i="7"/>
  <c r="AL100" i="7"/>
  <c r="AL92" i="7"/>
  <c r="AL75" i="7"/>
  <c r="AL88" i="7"/>
  <c r="AL102" i="7"/>
  <c r="AL94" i="7"/>
  <c r="AL70" i="7"/>
  <c r="AL68" i="7"/>
  <c r="AL66" i="7"/>
  <c r="AL83" i="7"/>
  <c r="AL85" i="7"/>
  <c r="AL71" i="7"/>
  <c r="AL106" i="7"/>
  <c r="AL81" i="7"/>
  <c r="AL90" i="7"/>
  <c r="AL73" i="7"/>
  <c r="AL63" i="7"/>
  <c r="AL60" i="7"/>
  <c r="AL59" i="7"/>
  <c r="AL74" i="7"/>
  <c r="AL64" i="7"/>
  <c r="AL67" i="7"/>
  <c r="AL62" i="7"/>
  <c r="AL56" i="7"/>
  <c r="AL98" i="7"/>
  <c r="AL77" i="7"/>
  <c r="AL65" i="7"/>
  <c r="AL61" i="7"/>
  <c r="AL58" i="7"/>
  <c r="AL55" i="7"/>
  <c r="AL104" i="7"/>
  <c r="AL79" i="7"/>
  <c r="AL57" i="7"/>
  <c r="AL96" i="7"/>
  <c r="AM5" i="7"/>
  <c r="E136" i="5" l="1"/>
  <c r="AI81" i="7"/>
  <c r="AD76" i="7"/>
  <c r="AK83" i="7"/>
  <c r="AG79" i="7"/>
  <c r="AE77" i="7"/>
  <c r="X70" i="7"/>
  <c r="P62" i="7"/>
  <c r="AA73" i="7"/>
  <c r="V68" i="7"/>
  <c r="AC75" i="7"/>
  <c r="Z72" i="7"/>
  <c r="L58" i="7"/>
  <c r="AJ82" i="7"/>
  <c r="AB74" i="7"/>
  <c r="O61" i="7"/>
  <c r="AH80" i="7"/>
  <c r="U67" i="7"/>
  <c r="Q63" i="7"/>
  <c r="M59" i="7"/>
  <c r="I55" i="7"/>
  <c r="N60" i="7"/>
  <c r="T66" i="7"/>
  <c r="J56" i="7"/>
  <c r="Y71" i="7"/>
  <c r="W69" i="7"/>
  <c r="R64" i="7"/>
  <c r="K57" i="7"/>
  <c r="S65" i="7"/>
  <c r="AF78" i="7"/>
  <c r="H10" i="6"/>
  <c r="E95" i="5"/>
  <c r="E20" i="5"/>
  <c r="E21" i="5" s="1"/>
  <c r="E30" i="5"/>
  <c r="E143" i="5"/>
  <c r="E202" i="5"/>
  <c r="D44" i="5"/>
  <c r="D47" i="5" s="1"/>
  <c r="E51" i="5"/>
  <c r="E58" i="5" s="1"/>
  <c r="AI83" i="7"/>
  <c r="AA75" i="7"/>
  <c r="AD78" i="7"/>
  <c r="AG81" i="7"/>
  <c r="Z74" i="7"/>
  <c r="X72" i="7"/>
  <c r="P64" i="7"/>
  <c r="S67" i="7"/>
  <c r="AE79" i="7"/>
  <c r="AC77" i="7"/>
  <c r="V70" i="7"/>
  <c r="AF80" i="7"/>
  <c r="T68" i="7"/>
  <c r="AK85" i="7"/>
  <c r="AB76" i="7"/>
  <c r="Q65" i="7"/>
  <c r="L60" i="7"/>
  <c r="AH82" i="7"/>
  <c r="AJ84" i="7"/>
  <c r="N62" i="7"/>
  <c r="W71" i="7"/>
  <c r="J58" i="7"/>
  <c r="G55" i="7"/>
  <c r="M61" i="7"/>
  <c r="K59" i="7"/>
  <c r="I57" i="7"/>
  <c r="R66" i="7"/>
  <c r="U69" i="7"/>
  <c r="H56" i="7"/>
  <c r="Y73" i="7"/>
  <c r="O63" i="7"/>
  <c r="AH58" i="7"/>
  <c r="AJ60" i="7"/>
  <c r="AK61" i="7"/>
  <c r="AG57" i="7"/>
  <c r="AF56" i="7"/>
  <c r="AE55" i="7"/>
  <c r="AE29" i="7" s="1" a="1"/>
  <c r="AE29" i="7" s="1"/>
  <c r="AI59" i="7"/>
  <c r="AJ71" i="7"/>
  <c r="AB63" i="7"/>
  <c r="AE66" i="7"/>
  <c r="AH69" i="7"/>
  <c r="AD65" i="7"/>
  <c r="X59" i="7"/>
  <c r="AK72" i="7"/>
  <c r="AG68" i="7"/>
  <c r="AA62" i="7"/>
  <c r="AF67" i="7"/>
  <c r="AC64" i="7"/>
  <c r="AI70" i="7"/>
  <c r="W58" i="7"/>
  <c r="U56" i="7"/>
  <c r="Z61" i="7"/>
  <c r="V57" i="7"/>
  <c r="T55" i="7"/>
  <c r="T42" i="7" s="1" a="1"/>
  <c r="T42" i="7" s="1"/>
  <c r="Y60" i="7"/>
  <c r="AJ65" i="7"/>
  <c r="AE60" i="7"/>
  <c r="AK66" i="7"/>
  <c r="AF61" i="7"/>
  <c r="AD59" i="7"/>
  <c r="AG62" i="7"/>
  <c r="Z55" i="7"/>
  <c r="Z49" i="7" s="1" a="1"/>
  <c r="Z49" i="7" s="1"/>
  <c r="AH63" i="7"/>
  <c r="AB57" i="7"/>
  <c r="AA56" i="7"/>
  <c r="AA17" i="7" s="1" a="1"/>
  <c r="AA17" i="7" s="1"/>
  <c r="AI64" i="7"/>
  <c r="AC58" i="7"/>
  <c r="AF60" i="7"/>
  <c r="AB56" i="7"/>
  <c r="AG61" i="7"/>
  <c r="AE59" i="7"/>
  <c r="AK65" i="7"/>
  <c r="AI63" i="7"/>
  <c r="AA55" i="7"/>
  <c r="AC57" i="7"/>
  <c r="AH62" i="7"/>
  <c r="AJ64" i="7"/>
  <c r="AD58" i="7"/>
  <c r="E103" i="5"/>
  <c r="AL50" i="7" a="1"/>
  <c r="AL50" i="7" s="1"/>
  <c r="AL49" i="7" a="1"/>
  <c r="AL49" i="7" s="1"/>
  <c r="AL46" i="7" a="1"/>
  <c r="AL46" i="7" s="1"/>
  <c r="AL42" i="7" a="1"/>
  <c r="AL42" i="7" s="1"/>
  <c r="AL41" i="7" a="1"/>
  <c r="AL41" i="7" s="1"/>
  <c r="AL45" i="7" a="1"/>
  <c r="AL45" i="7" s="1"/>
  <c r="AL43" i="7" a="1"/>
  <c r="AL43" i="7" s="1"/>
  <c r="AL28" i="7" a="1"/>
  <c r="AL28" i="7" s="1"/>
  <c r="AL38" i="7" a="1"/>
  <c r="AL38" i="7" s="1"/>
  <c r="AL39" i="7" a="1"/>
  <c r="AL39" i="7" s="1"/>
  <c r="AL29" i="7" a="1"/>
  <c r="AL29" i="7" s="1"/>
  <c r="AL24" i="7" a="1"/>
  <c r="AL24" i="7" s="1"/>
  <c r="AL26" i="7" a="1"/>
  <c r="AL26" i="7" s="1"/>
  <c r="AL27" i="7" a="1"/>
  <c r="AL27" i="7" s="1"/>
  <c r="AL30" i="7" a="1"/>
  <c r="AL30" i="7" s="1"/>
  <c r="AL23" i="7" a="1"/>
  <c r="AL23" i="7" s="1"/>
  <c r="AL25" i="7" a="1"/>
  <c r="AL25" i="7" s="1"/>
  <c r="AL17" i="7" a="1"/>
  <c r="AL17" i="7" s="1"/>
  <c r="AL18" i="7" a="1"/>
  <c r="AL18" i="7" s="1"/>
  <c r="AL21" i="7" a="1"/>
  <c r="AL21" i="7" s="1"/>
  <c r="AL20" i="7" s="1"/>
  <c r="AL16" i="7" a="1"/>
  <c r="AL16" i="7" s="1"/>
  <c r="E4" i="7"/>
  <c r="G5" i="6"/>
  <c r="H4" i="6"/>
  <c r="F176" i="5"/>
  <c r="F174" i="5"/>
  <c r="F104" i="5"/>
  <c r="F93" i="5"/>
  <c r="F106" i="5" s="1"/>
  <c r="F143" i="5"/>
  <c r="F34" i="5"/>
  <c r="F157" i="5" s="1"/>
  <c r="F32" i="5"/>
  <c r="F155" i="5" s="1"/>
  <c r="F13" i="5"/>
  <c r="F202" i="5" s="1"/>
  <c r="F175" i="5"/>
  <c r="F163" i="5"/>
  <c r="F105" i="5"/>
  <c r="F144" i="5"/>
  <c r="F164" i="5"/>
  <c r="F177" i="5"/>
  <c r="F35" i="5"/>
  <c r="F158" i="5" s="1"/>
  <c r="F14" i="5"/>
  <c r="F11" i="5"/>
  <c r="G5" i="5"/>
  <c r="F41" i="5"/>
  <c r="F33" i="5"/>
  <c r="F136" i="5" s="1"/>
  <c r="F30" i="5"/>
  <c r="F173" i="5" s="1"/>
  <c r="F12" i="5"/>
  <c r="F68" i="5" a="1"/>
  <c r="F68" i="5" s="1"/>
  <c r="F31" i="5"/>
  <c r="F154" i="5" s="1"/>
  <c r="F40" i="5"/>
  <c r="F37" i="5"/>
  <c r="F140" i="5" s="1"/>
  <c r="E37" i="5"/>
  <c r="F38" i="5" s="1"/>
  <c r="E154" i="5"/>
  <c r="E173" i="5"/>
  <c r="E164" i="5"/>
  <c r="E152" i="5"/>
  <c r="AF70" i="7"/>
  <c r="X62" i="7"/>
  <c r="AK75" i="7"/>
  <c r="AI73" i="7"/>
  <c r="AA65" i="7"/>
  <c r="AD68" i="7"/>
  <c r="AJ74" i="7"/>
  <c r="AB66" i="7"/>
  <c r="V60" i="7"/>
  <c r="T58" i="7"/>
  <c r="AG71" i="7"/>
  <c r="W61" i="7"/>
  <c r="AH72" i="7"/>
  <c r="Y63" i="7"/>
  <c r="Q55" i="7"/>
  <c r="AE69" i="7"/>
  <c r="Z64" i="7"/>
  <c r="AC67" i="7"/>
  <c r="U59" i="7"/>
  <c r="S57" i="7"/>
  <c r="R56" i="7"/>
  <c r="AJ63" i="7"/>
  <c r="AH61" i="7"/>
  <c r="AF59" i="7"/>
  <c r="AI62" i="7"/>
  <c r="AG60" i="7"/>
  <c r="AC56" i="7"/>
  <c r="AB55" i="7"/>
  <c r="AB41" i="7" s="1" a="1"/>
  <c r="AB41" i="7" s="1"/>
  <c r="AK64" i="7"/>
  <c r="AE58" i="7"/>
  <c r="AD57" i="7"/>
  <c r="AK58" i="7"/>
  <c r="AH55" i="7"/>
  <c r="AJ57" i="7"/>
  <c r="AI56" i="7"/>
  <c r="AJ56" i="7"/>
  <c r="AI55" i="7"/>
  <c r="AI29" i="7" s="1" a="1"/>
  <c r="AI29" i="7" s="1"/>
  <c r="AK57" i="7"/>
  <c r="AK38" i="7" s="1" a="1"/>
  <c r="AK38" i="7" s="1"/>
  <c r="E31" i="5"/>
  <c r="E39" i="5"/>
  <c r="H17" i="7" a="1"/>
  <c r="H17" i="7" s="1"/>
  <c r="AF66" i="7"/>
  <c r="AI69" i="7"/>
  <c r="AK71" i="7"/>
  <c r="AH68" i="7"/>
  <c r="AB62" i="7"/>
  <c r="AG67" i="7"/>
  <c r="AC63" i="7"/>
  <c r="V56" i="7"/>
  <c r="V41" i="7" s="1" a="1"/>
  <c r="V41" i="7" s="1"/>
  <c r="AE65" i="7"/>
  <c r="Y59" i="7"/>
  <c r="W57" i="7"/>
  <c r="AJ70" i="7"/>
  <c r="AD64" i="7"/>
  <c r="X58" i="7"/>
  <c r="AA61" i="7"/>
  <c r="U55" i="7"/>
  <c r="U50" i="7" s="1" a="1"/>
  <c r="U50" i="7" s="1"/>
  <c r="Z60" i="7"/>
  <c r="AI77" i="7"/>
  <c r="X66" i="7"/>
  <c r="AJ78" i="7"/>
  <c r="AH76" i="7"/>
  <c r="AA69" i="7"/>
  <c r="AD72" i="7"/>
  <c r="AC71" i="7"/>
  <c r="AG75" i="7"/>
  <c r="U63" i="7"/>
  <c r="AB70" i="7"/>
  <c r="V64" i="7"/>
  <c r="W65" i="7"/>
  <c r="R60" i="7"/>
  <c r="AF74" i="7"/>
  <c r="Z68" i="7"/>
  <c r="O57" i="7"/>
  <c r="T62" i="7"/>
  <c r="AK79" i="7"/>
  <c r="S61" i="7"/>
  <c r="Q59" i="7"/>
  <c r="N56" i="7"/>
  <c r="P58" i="7"/>
  <c r="Y67" i="7"/>
  <c r="AE73" i="7"/>
  <c r="M55" i="7"/>
  <c r="AI75" i="7"/>
  <c r="AF72" i="7"/>
  <c r="X64" i="7"/>
  <c r="AH74" i="7"/>
  <c r="AA67" i="7"/>
  <c r="AD70" i="7"/>
  <c r="AJ76" i="7"/>
  <c r="AK77" i="7"/>
  <c r="AC69" i="7"/>
  <c r="Z66" i="7"/>
  <c r="Y65" i="7"/>
  <c r="T60" i="7"/>
  <c r="R58" i="7"/>
  <c r="U61" i="7"/>
  <c r="AB68" i="7"/>
  <c r="V62" i="7"/>
  <c r="Q57" i="7"/>
  <c r="W63" i="7"/>
  <c r="AG73" i="7"/>
  <c r="P56" i="7"/>
  <c r="O55" i="7"/>
  <c r="O29" i="7" s="1" a="1"/>
  <c r="O29" i="7" s="1"/>
  <c r="S59" i="7"/>
  <c r="AE71" i="7"/>
  <c r="AJ55" i="7"/>
  <c r="AK56" i="7"/>
  <c r="AK25" i="7" s="1" a="1"/>
  <c r="AK25" i="7" s="1"/>
  <c r="H41" i="7" a="1"/>
  <c r="H41" i="7" s="1"/>
  <c r="L41" i="7" a="1"/>
  <c r="L41" i="7" s="1"/>
  <c r="P41" i="7" a="1"/>
  <c r="P41" i="7" s="1"/>
  <c r="K50" i="7" a="1"/>
  <c r="K50" i="7" s="1"/>
  <c r="J50" i="7" a="1"/>
  <c r="J50" i="7" s="1"/>
  <c r="L50" i="7" a="1"/>
  <c r="L50" i="7" s="1"/>
  <c r="I50" i="7" a="1"/>
  <c r="I50" i="7" s="1"/>
  <c r="AM113" i="7"/>
  <c r="AM111" i="7"/>
  <c r="AM109" i="7"/>
  <c r="AM107" i="7"/>
  <c r="AM105" i="7"/>
  <c r="AM103" i="7"/>
  <c r="AM101" i="7"/>
  <c r="AM99" i="7"/>
  <c r="AM97" i="7"/>
  <c r="AM95" i="7"/>
  <c r="AM93" i="7"/>
  <c r="AM91" i="7"/>
  <c r="AM89" i="7"/>
  <c r="AM87" i="7"/>
  <c r="AM114" i="7"/>
  <c r="AM86" i="7"/>
  <c r="AM84" i="7"/>
  <c r="AM82" i="7"/>
  <c r="AM80" i="7"/>
  <c r="AM78" i="7"/>
  <c r="AM76" i="7"/>
  <c r="AM74" i="7"/>
  <c r="AM88" i="7"/>
  <c r="AM85" i="7"/>
  <c r="AM83" i="7"/>
  <c r="AM112" i="7"/>
  <c r="AM102" i="7"/>
  <c r="AM94" i="7"/>
  <c r="AM72" i="7"/>
  <c r="AM70" i="7"/>
  <c r="AM68" i="7"/>
  <c r="AM66" i="7"/>
  <c r="AM110" i="7"/>
  <c r="AM77" i="7"/>
  <c r="AM104" i="7"/>
  <c r="AM108" i="7"/>
  <c r="AM100" i="7"/>
  <c r="AM92" i="7"/>
  <c r="AM75" i="7"/>
  <c r="AM106" i="7"/>
  <c r="AM81" i="7"/>
  <c r="AM90" i="7"/>
  <c r="AM73" i="7"/>
  <c r="AM63" i="7"/>
  <c r="AM60" i="7"/>
  <c r="AM59" i="7"/>
  <c r="AM69" i="7"/>
  <c r="AM65" i="7"/>
  <c r="AM96" i="7"/>
  <c r="AM61" i="7"/>
  <c r="AM67" i="7"/>
  <c r="AM62" i="7"/>
  <c r="AM56" i="7"/>
  <c r="AM98" i="7"/>
  <c r="AM55" i="7"/>
  <c r="AM79" i="7"/>
  <c r="AM64" i="7"/>
  <c r="AM58" i="7"/>
  <c r="AM57" i="7"/>
  <c r="AM71" i="7"/>
  <c r="AN5" i="7"/>
  <c r="AE76" i="7"/>
  <c r="AH79" i="7"/>
  <c r="AB73" i="7"/>
  <c r="T65" i="7"/>
  <c r="W68" i="7"/>
  <c r="AK82" i="7"/>
  <c r="Z71" i="7"/>
  <c r="AJ81" i="7"/>
  <c r="AF77" i="7"/>
  <c r="Y70" i="7"/>
  <c r="AC74" i="7"/>
  <c r="P61" i="7"/>
  <c r="AI80" i="7"/>
  <c r="V67" i="7"/>
  <c r="X69" i="7"/>
  <c r="Q62" i="7"/>
  <c r="Q38" i="7" s="1" a="1"/>
  <c r="Q38" i="7" s="1"/>
  <c r="N59" i="7"/>
  <c r="U66" i="7"/>
  <c r="O60" i="7"/>
  <c r="K56" i="7"/>
  <c r="AA72" i="7"/>
  <c r="M58" i="7"/>
  <c r="J55" i="7"/>
  <c r="J41" i="7" s="1" a="1"/>
  <c r="J41" i="7" s="1"/>
  <c r="R63" i="7"/>
  <c r="R50" i="7" s="1" a="1"/>
  <c r="R50" i="7" s="1"/>
  <c r="AG78" i="7"/>
  <c r="AD75" i="7"/>
  <c r="S64" i="7"/>
  <c r="L57" i="7"/>
  <c r="L42" i="7" a="1"/>
  <c r="L42" i="7" s="1"/>
  <c r="M42" i="7" a="1"/>
  <c r="M42" i="7" s="1"/>
  <c r="AC42" i="7" a="1"/>
  <c r="AC42" i="7" s="1"/>
  <c r="I42" i="7" a="1"/>
  <c r="I42" i="7" s="1"/>
  <c r="K42" i="7" a="1"/>
  <c r="K42" i="7" s="1"/>
  <c r="J42" i="7" a="1"/>
  <c r="J42" i="7" s="1"/>
  <c r="I43" i="7" a="1"/>
  <c r="I43" i="7" s="1"/>
  <c r="Y43" i="7" a="1"/>
  <c r="Y43" i="7" s="1"/>
  <c r="L43" i="7" a="1"/>
  <c r="L43" i="7" s="1"/>
  <c r="E155" i="5"/>
  <c r="E175" i="5"/>
  <c r="P49" i="7" a="1"/>
  <c r="P49" i="7" s="1"/>
  <c r="K49" i="7" a="1"/>
  <c r="K49" i="7" s="1"/>
  <c r="I49" i="7" a="1"/>
  <c r="I49" i="7" s="1"/>
  <c r="E135" i="5"/>
  <c r="O42" i="3"/>
  <c r="AI85" i="7"/>
  <c r="AA77" i="7"/>
  <c r="AD80" i="7"/>
  <c r="AG83" i="7"/>
  <c r="AJ86" i="7"/>
  <c r="P66" i="7"/>
  <c r="Y75" i="7"/>
  <c r="S69" i="7"/>
  <c r="AE81" i="7"/>
  <c r="X74" i="7"/>
  <c r="V72" i="7"/>
  <c r="AF82" i="7"/>
  <c r="AB78" i="7"/>
  <c r="Z76" i="7"/>
  <c r="U71" i="7"/>
  <c r="M63" i="7"/>
  <c r="AC79" i="7"/>
  <c r="W73" i="7"/>
  <c r="N64" i="7"/>
  <c r="R68" i="7"/>
  <c r="AK87" i="7"/>
  <c r="K61" i="7"/>
  <c r="G57" i="7"/>
  <c r="J60" i="7"/>
  <c r="H58" i="7"/>
  <c r="T70" i="7"/>
  <c r="O65" i="7"/>
  <c r="AH84" i="7"/>
  <c r="L62" i="7"/>
  <c r="E55" i="7"/>
  <c r="Q67" i="7"/>
  <c r="F56" i="7"/>
  <c r="I59" i="7"/>
  <c r="AJ67" i="7"/>
  <c r="AH65" i="7"/>
  <c r="X55" i="7"/>
  <c r="AG64" i="7"/>
  <c r="AA58" i="7"/>
  <c r="AC60" i="7"/>
  <c r="AI66" i="7"/>
  <c r="AD61" i="7"/>
  <c r="Z57" i="7"/>
  <c r="Z43" i="7" s="1" a="1"/>
  <c r="Z43" i="7" s="1"/>
  <c r="AB59" i="7"/>
  <c r="AF63" i="7"/>
  <c r="AK68" i="7"/>
  <c r="AE62" i="7"/>
  <c r="Y56" i="7"/>
  <c r="AJ62" i="7"/>
  <c r="AH60" i="7"/>
  <c r="AI61" i="7"/>
  <c r="AI50" i="7" s="1" a="1"/>
  <c r="AI50" i="7" s="1"/>
  <c r="AD56" i="7"/>
  <c r="AF58" i="7"/>
  <c r="AF17" i="7" s="1" a="1"/>
  <c r="AF17" i="7" s="1"/>
  <c r="AG59" i="7"/>
  <c r="AE57" i="7"/>
  <c r="AC55" i="7"/>
  <c r="AC17" i="7" s="1" a="1"/>
  <c r="AC17" i="7" s="1"/>
  <c r="AK63" i="7"/>
  <c r="AK42" i="7" s="1" a="1"/>
  <c r="AK42" i="7" s="1"/>
  <c r="U36" i="3"/>
  <c r="AI74" i="7"/>
  <c r="AB67" i="7"/>
  <c r="AE70" i="7"/>
  <c r="AJ75" i="7"/>
  <c r="AH73" i="7"/>
  <c r="Z65" i="7"/>
  <c r="AG72" i="7"/>
  <c r="Y64" i="7"/>
  <c r="P55" i="7"/>
  <c r="AA66" i="7"/>
  <c r="U60" i="7"/>
  <c r="S58" i="7"/>
  <c r="AF71" i="7"/>
  <c r="AC68" i="7"/>
  <c r="W62" i="7"/>
  <c r="W49" i="7" s="1" a="1"/>
  <c r="W49" i="7" s="1"/>
  <c r="AK76" i="7"/>
  <c r="X63" i="7"/>
  <c r="R57" i="7"/>
  <c r="V61" i="7"/>
  <c r="T59" i="7"/>
  <c r="AD69" i="7"/>
  <c r="Q56" i="7"/>
  <c r="Q45" i="7" s="1" a="1"/>
  <c r="Q45" i="7" s="1"/>
  <c r="AJ69" i="7"/>
  <c r="AB61" i="7"/>
  <c r="AH67" i="7"/>
  <c r="X57" i="7"/>
  <c r="AD63" i="7"/>
  <c r="AE64" i="7"/>
  <c r="AA60" i="7"/>
  <c r="AF65" i="7"/>
  <c r="AF42" i="7" s="1" a="1"/>
  <c r="AF42" i="7" s="1"/>
  <c r="Z59" i="7"/>
  <c r="AI68" i="7"/>
  <c r="AG66" i="7"/>
  <c r="W56" i="7"/>
  <c r="V55" i="7"/>
  <c r="V29" i="7" s="1" a="1"/>
  <c r="V29" i="7" s="1"/>
  <c r="AK70" i="7"/>
  <c r="AC62" i="7"/>
  <c r="AC41" i="7" s="1" a="1"/>
  <c r="AC41" i="7" s="1"/>
  <c r="Y58" i="7"/>
  <c r="Y42" i="7" s="1" a="1"/>
  <c r="Y42" i="7" s="1"/>
  <c r="O45" i="3"/>
  <c r="N46" i="3"/>
  <c r="E18" i="5"/>
  <c r="E62" i="5" s="1"/>
  <c r="E197" i="5"/>
  <c r="F193" i="5" s="1"/>
  <c r="F197" i="5" s="1"/>
  <c r="G193" i="5" s="1"/>
  <c r="AF55" i="7"/>
  <c r="AF29" i="7" s="1" a="1"/>
  <c r="AF29" i="7" s="1"/>
  <c r="AI58" i="7"/>
  <c r="AI45" i="7" s="1" a="1"/>
  <c r="AI45" i="7" s="1"/>
  <c r="AH57" i="7"/>
  <c r="AH43" i="7" s="1" a="1"/>
  <c r="AH43" i="7" s="1"/>
  <c r="AJ59" i="7"/>
  <c r="AJ18" i="7" s="1" a="1"/>
  <c r="AJ18" i="7" s="1"/>
  <c r="AG56" i="7"/>
  <c r="AG42" i="7" s="1" a="1"/>
  <c r="AG42" i="7" s="1"/>
  <c r="AK60" i="7"/>
  <c r="AJ61" i="7"/>
  <c r="AK62" i="7"/>
  <c r="AF57" i="7"/>
  <c r="AE56" i="7"/>
  <c r="AE18" i="7" s="1" a="1"/>
  <c r="AE18" i="7" s="1"/>
  <c r="AG58" i="7"/>
  <c r="AI60" i="7"/>
  <c r="AI38" i="7" s="1" a="1"/>
  <c r="AI38" i="7" s="1"/>
  <c r="AD55" i="7"/>
  <c r="AD29" i="7" s="1" a="1"/>
  <c r="AD29" i="7" s="1"/>
  <c r="AH59" i="7"/>
  <c r="AJ58" i="7"/>
  <c r="AJ17" i="7" s="1" a="1"/>
  <c r="AJ17" i="7" s="1"/>
  <c r="AI57" i="7"/>
  <c r="AK59" i="7"/>
  <c r="AH56" i="7"/>
  <c r="AH42" i="7" s="1" a="1"/>
  <c r="AH42" i="7" s="1"/>
  <c r="AG55" i="7"/>
  <c r="AG38" i="7" s="1" a="1"/>
  <c r="AG38" i="7" s="1"/>
  <c r="AJ88" i="7"/>
  <c r="AA79" i="7"/>
  <c r="AI87" i="7"/>
  <c r="AD82" i="7"/>
  <c r="AG85" i="7"/>
  <c r="AE83" i="7"/>
  <c r="AK89" i="7"/>
  <c r="P68" i="7"/>
  <c r="H60" i="7"/>
  <c r="AH86" i="7"/>
  <c r="AB80" i="7"/>
  <c r="Z78" i="7"/>
  <c r="X76" i="7"/>
  <c r="S71" i="7"/>
  <c r="N66" i="7"/>
  <c r="U73" i="7"/>
  <c r="R70" i="7"/>
  <c r="J62" i="7"/>
  <c r="D56" i="7"/>
  <c r="K63" i="7"/>
  <c r="G59" i="7"/>
  <c r="V74" i="7"/>
  <c r="T72" i="7"/>
  <c r="AC81" i="7"/>
  <c r="Y77" i="7"/>
  <c r="W75" i="7"/>
  <c r="AF84" i="7"/>
  <c r="M65" i="7"/>
  <c r="E57" i="7"/>
  <c r="O67" i="7"/>
  <c r="L64" i="7"/>
  <c r="Q69" i="7"/>
  <c r="C55" i="7"/>
  <c r="I61" i="7"/>
  <c r="F58" i="7"/>
  <c r="AH75" i="7"/>
  <c r="AK78" i="7"/>
  <c r="AI76" i="7"/>
  <c r="AB69" i="7"/>
  <c r="T61" i="7"/>
  <c r="T43" i="7" s="1" a="1"/>
  <c r="T43" i="7" s="1"/>
  <c r="AE72" i="7"/>
  <c r="AG74" i="7"/>
  <c r="Z67" i="7"/>
  <c r="V63" i="7"/>
  <c r="P57" i="7"/>
  <c r="AJ77" i="7"/>
  <c r="AC70" i="7"/>
  <c r="W64" i="7"/>
  <c r="AF73" i="7"/>
  <c r="AF43" i="7" s="1" a="1"/>
  <c r="AF43" i="7" s="1"/>
  <c r="AD71" i="7"/>
  <c r="AA68" i="7"/>
  <c r="Y66" i="7"/>
  <c r="U62" i="7"/>
  <c r="X65" i="7"/>
  <c r="Q58" i="7"/>
  <c r="O56" i="7"/>
  <c r="O42" i="7" s="1" a="1"/>
  <c r="O42" i="7" s="1"/>
  <c r="N55" i="7"/>
  <c r="N42" i="7" s="1" a="1"/>
  <c r="N42" i="7" s="1"/>
  <c r="R59" i="7"/>
  <c r="S60" i="7"/>
  <c r="AJ87" i="7"/>
  <c r="AE82" i="7"/>
  <c r="W74" i="7"/>
  <c r="AH85" i="7"/>
  <c r="Z77" i="7"/>
  <c r="AI86" i="7"/>
  <c r="AC80" i="7"/>
  <c r="AA78" i="7"/>
  <c r="Y76" i="7"/>
  <c r="T71" i="7"/>
  <c r="L63" i="7"/>
  <c r="O66" i="7"/>
  <c r="AK88" i="7"/>
  <c r="AF83" i="7"/>
  <c r="X75" i="7"/>
  <c r="R69" i="7"/>
  <c r="H59" i="7"/>
  <c r="U72" i="7"/>
  <c r="AB79" i="7"/>
  <c r="V73" i="7"/>
  <c r="M64" i="7"/>
  <c r="P67" i="7"/>
  <c r="N65" i="7"/>
  <c r="F57" i="7"/>
  <c r="AG84" i="7"/>
  <c r="AD81" i="7"/>
  <c r="E56" i="7"/>
  <c r="K62" i="7"/>
  <c r="D55" i="7"/>
  <c r="J61" i="7"/>
  <c r="S70" i="7"/>
  <c r="G58" i="7"/>
  <c r="Q68" i="7"/>
  <c r="I60" i="7"/>
  <c r="AK90" i="7"/>
  <c r="AI88" i="7"/>
  <c r="AE84" i="7"/>
  <c r="W76" i="7"/>
  <c r="Z79" i="7"/>
  <c r="AH87" i="7"/>
  <c r="AF85" i="7"/>
  <c r="AC82" i="7"/>
  <c r="T73" i="7"/>
  <c r="L65" i="7"/>
  <c r="AJ89" i="7"/>
  <c r="O68" i="7"/>
  <c r="AG86" i="7"/>
  <c r="AA80" i="7"/>
  <c r="Y78" i="7"/>
  <c r="R71" i="7"/>
  <c r="Q70" i="7"/>
  <c r="M66" i="7"/>
  <c r="I62" i="7"/>
  <c r="J63" i="7"/>
  <c r="F59" i="7"/>
  <c r="AD83" i="7"/>
  <c r="K64" i="7"/>
  <c r="AB81" i="7"/>
  <c r="N67" i="7"/>
  <c r="C56" i="7"/>
  <c r="U74" i="7"/>
  <c r="P69" i="7"/>
  <c r="G60" i="7"/>
  <c r="D57" i="7"/>
  <c r="S72" i="7"/>
  <c r="B55" i="7"/>
  <c r="H61" i="7"/>
  <c r="E58" i="7"/>
  <c r="X77" i="7"/>
  <c r="V75" i="7"/>
  <c r="AI79" i="7"/>
  <c r="X68" i="7"/>
  <c r="P60" i="7"/>
  <c r="AA71" i="7"/>
  <c r="V66" i="7"/>
  <c r="AC73" i="7"/>
  <c r="AJ80" i="7"/>
  <c r="W67" i="7"/>
  <c r="L56" i="7"/>
  <c r="Y69" i="7"/>
  <c r="R62" i="7"/>
  <c r="O59" i="7"/>
  <c r="AK81" i="7"/>
  <c r="AG77" i="7"/>
  <c r="AE75" i="7"/>
  <c r="S63" i="7"/>
  <c r="S49" i="7" s="1" a="1"/>
  <c r="S49" i="7" s="1"/>
  <c r="AH78" i="7"/>
  <c r="Z70" i="7"/>
  <c r="T64" i="7"/>
  <c r="AD74" i="7"/>
  <c r="Q61" i="7"/>
  <c r="AF76" i="7"/>
  <c r="AB72" i="7"/>
  <c r="U65" i="7"/>
  <c r="N58" i="7"/>
  <c r="M57" i="7"/>
  <c r="K55" i="7"/>
  <c r="K17" i="7" s="1" a="1"/>
  <c r="K17" i="7" s="1"/>
  <c r="J45" i="7" a="1"/>
  <c r="J45" i="7" s="1"/>
  <c r="R45" i="7" a="1"/>
  <c r="R45" i="7" s="1"/>
  <c r="I45" i="7" a="1"/>
  <c r="I45" i="7" s="1"/>
  <c r="L45" i="7" a="1"/>
  <c r="L45" i="7" s="1"/>
  <c r="O45" i="7" a="1"/>
  <c r="O45" i="7" s="1"/>
  <c r="P45" i="7" a="1"/>
  <c r="P45" i="7" s="1"/>
  <c r="Y45" i="7" a="1"/>
  <c r="Y45" i="7" s="1"/>
  <c r="K45" i="7" a="1"/>
  <c r="K45" i="7" s="1"/>
  <c r="H45" i="7" a="1"/>
  <c r="H45" i="7" s="1"/>
  <c r="M18" i="7" a="1"/>
  <c r="M18" i="7" s="1"/>
  <c r="J18" i="7" a="1"/>
  <c r="J18" i="7" s="1"/>
  <c r="I18" i="7" a="1"/>
  <c r="I18" i="7" s="1"/>
  <c r="K18" i="7" a="1"/>
  <c r="K18" i="7" s="1"/>
  <c r="AK18" i="7" a="1"/>
  <c r="AK18" i="7" s="1"/>
  <c r="E144" i="5"/>
  <c r="E223" i="5"/>
  <c r="H38" i="7" a="1"/>
  <c r="H38" i="7" s="1"/>
  <c r="R38" i="7" a="1"/>
  <c r="R38" i="7" s="1"/>
  <c r="I38" i="7" a="1"/>
  <c r="I38" i="7" s="1"/>
  <c r="K38" i="7" a="1"/>
  <c r="K38" i="7" s="1"/>
  <c r="T38" i="7" a="1"/>
  <c r="T38" i="7" s="1"/>
  <c r="P38" i="7" a="1"/>
  <c r="P38" i="7" s="1"/>
  <c r="O38" i="7" a="1"/>
  <c r="O38" i="7" s="1"/>
  <c r="AE78" i="7"/>
  <c r="AH81" i="7"/>
  <c r="AK84" i="7"/>
  <c r="AB75" i="7"/>
  <c r="T67" i="7"/>
  <c r="AJ83" i="7"/>
  <c r="AF79" i="7"/>
  <c r="AD77" i="7"/>
  <c r="W70" i="7"/>
  <c r="Z73" i="7"/>
  <c r="AA74" i="7"/>
  <c r="Y72" i="7"/>
  <c r="AC76" i="7"/>
  <c r="R65" i="7"/>
  <c r="M60" i="7"/>
  <c r="H55" i="7"/>
  <c r="H29" i="7" s="1" a="1"/>
  <c r="H29" i="7" s="1"/>
  <c r="K58" i="7"/>
  <c r="AI82" i="7"/>
  <c r="N61" i="7"/>
  <c r="V69" i="7"/>
  <c r="L59" i="7"/>
  <c r="AG80" i="7"/>
  <c r="X71" i="7"/>
  <c r="Q64" i="7"/>
  <c r="J57" i="7"/>
  <c r="I56" i="7"/>
  <c r="P63" i="7"/>
  <c r="U68" i="7"/>
  <c r="S66" i="7"/>
  <c r="O62" i="7"/>
  <c r="E35" i="5"/>
  <c r="F36" i="5" s="1"/>
  <c r="E137" i="5"/>
  <c r="E159" i="5"/>
  <c r="E28" i="5"/>
  <c r="F29" i="5" s="1"/>
  <c r="E172" i="5"/>
  <c r="E156" i="5"/>
  <c r="AE80" i="7"/>
  <c r="AH83" i="7"/>
  <c r="Z75" i="7"/>
  <c r="AK86" i="7"/>
  <c r="AI84" i="7"/>
  <c r="T69" i="7"/>
  <c r="L61" i="7"/>
  <c r="AF81" i="7"/>
  <c r="Y74" i="7"/>
  <c r="W72" i="7"/>
  <c r="R67" i="7"/>
  <c r="AJ85" i="7"/>
  <c r="AD79" i="7"/>
  <c r="X73" i="7"/>
  <c r="V71" i="7"/>
  <c r="Q66" i="7"/>
  <c r="O64" i="7"/>
  <c r="H57" i="7"/>
  <c r="S68" i="7"/>
  <c r="AA76" i="7"/>
  <c r="P65" i="7"/>
  <c r="K60" i="7"/>
  <c r="AG82" i="7"/>
  <c r="I58" i="7"/>
  <c r="U70" i="7"/>
  <c r="AC78" i="7"/>
  <c r="M62" i="7"/>
  <c r="F55" i="7"/>
  <c r="G56" i="7"/>
  <c r="AB77" i="7"/>
  <c r="N63" i="7"/>
  <c r="J59" i="7"/>
  <c r="AF64" i="7"/>
  <c r="AI67" i="7"/>
  <c r="AK69" i="7"/>
  <c r="AE63" i="7"/>
  <c r="Z58" i="7"/>
  <c r="Z18" i="7" s="1" a="1"/>
  <c r="Z18" i="7" s="1"/>
  <c r="AG65" i="7"/>
  <c r="AA59" i="7"/>
  <c r="AA42" i="7" s="1" a="1"/>
  <c r="AA42" i="7" s="1"/>
  <c r="Y57" i="7"/>
  <c r="AB60" i="7"/>
  <c r="AJ68" i="7"/>
  <c r="AD62" i="7"/>
  <c r="X56" i="7"/>
  <c r="X18" i="7" s="1" a="1"/>
  <c r="X18" i="7" s="1"/>
  <c r="AH66" i="7"/>
  <c r="AH45" i="7" s="1" a="1"/>
  <c r="AH45" i="7" s="1"/>
  <c r="AC61" i="7"/>
  <c r="W55" i="7"/>
  <c r="W38" i="7" s="1" a="1"/>
  <c r="W38" i="7" s="1"/>
  <c r="AF62" i="7"/>
  <c r="AI65" i="7"/>
  <c r="AK67" i="7"/>
  <c r="AH64" i="7"/>
  <c r="AB58" i="7"/>
  <c r="AB38" i="7" s="1" a="1"/>
  <c r="AB38" i="7" s="1"/>
  <c r="AD60" i="7"/>
  <c r="AE61" i="7"/>
  <c r="Y55" i="7"/>
  <c r="Y49" i="7" s="1" a="1"/>
  <c r="Y49" i="7" s="1"/>
  <c r="AA57" i="7"/>
  <c r="AA41" i="7" s="1" a="1"/>
  <c r="AA41" i="7" s="1"/>
  <c r="AG63" i="7"/>
  <c r="AC59" i="7"/>
  <c r="AC18" i="7" s="1" a="1"/>
  <c r="AC18" i="7" s="1"/>
  <c r="Z56" i="7"/>
  <c r="Z45" i="7" s="1" a="1"/>
  <c r="Z45" i="7" s="1"/>
  <c r="AJ66" i="7"/>
  <c r="AE74" i="7"/>
  <c r="AH77" i="7"/>
  <c r="AB71" i="7"/>
  <c r="T63" i="7"/>
  <c r="W66" i="7"/>
  <c r="AK80" i="7"/>
  <c r="AI78" i="7"/>
  <c r="AG76" i="7"/>
  <c r="Z69" i="7"/>
  <c r="AJ79" i="7"/>
  <c r="S62" i="7"/>
  <c r="P59" i="7"/>
  <c r="AF75" i="7"/>
  <c r="R61" i="7"/>
  <c r="M56" i="7"/>
  <c r="M45" i="7" s="1" a="1"/>
  <c r="M45" i="7" s="1"/>
  <c r="AC72" i="7"/>
  <c r="AC45" i="7" s="1" a="1"/>
  <c r="AC45" i="7" s="1"/>
  <c r="AA70" i="7"/>
  <c r="AA49" i="7" s="1" a="1"/>
  <c r="AA49" i="7" s="1"/>
  <c r="Y68" i="7"/>
  <c r="N57" i="7"/>
  <c r="Q60" i="7"/>
  <c r="V65" i="7"/>
  <c r="O58" i="7"/>
  <c r="X67" i="7"/>
  <c r="AD73" i="7"/>
  <c r="U64" i="7"/>
  <c r="L55" i="7"/>
  <c r="L17" i="7" s="1" a="1"/>
  <c r="L17" i="7" s="1"/>
  <c r="AJ73" i="7"/>
  <c r="AB65" i="7"/>
  <c r="AE68" i="7"/>
  <c r="AH71" i="7"/>
  <c r="AG70" i="7"/>
  <c r="X61" i="7"/>
  <c r="V59" i="7"/>
  <c r="AD67" i="7"/>
  <c r="Z63" i="7"/>
  <c r="AI72" i="7"/>
  <c r="AC66" i="7"/>
  <c r="R55" i="7"/>
  <c r="R29" i="7" s="1" a="1"/>
  <c r="R29" i="7" s="1"/>
  <c r="AF69" i="7"/>
  <c r="AA64" i="7"/>
  <c r="AA38" i="7" s="1" a="1"/>
  <c r="AA38" i="7" s="1"/>
  <c r="U58" i="7"/>
  <c r="S56" i="7"/>
  <c r="AK74" i="7"/>
  <c r="Y62" i="7"/>
  <c r="T57" i="7"/>
  <c r="W60" i="7"/>
  <c r="AF68" i="7"/>
  <c r="X60" i="7"/>
  <c r="AI71" i="7"/>
  <c r="AD66" i="7"/>
  <c r="AK73" i="7"/>
  <c r="AH70" i="7"/>
  <c r="Y61" i="7"/>
  <c r="T56" i="7"/>
  <c r="T45" i="7" s="1" a="1"/>
  <c r="T45" i="7" s="1"/>
  <c r="AC65" i="7"/>
  <c r="W59" i="7"/>
  <c r="W18" i="7" s="1" a="1"/>
  <c r="W18" i="7" s="1"/>
  <c r="AJ72" i="7"/>
  <c r="AJ38" i="7" s="1" a="1"/>
  <c r="AJ38" i="7" s="1"/>
  <c r="Z62" i="7"/>
  <c r="AG69" i="7"/>
  <c r="AB64" i="7"/>
  <c r="V58" i="7"/>
  <c r="AE67" i="7"/>
  <c r="AA63" i="7"/>
  <c r="AA18" i="7" s="1" a="1"/>
  <c r="AA18" i="7" s="1"/>
  <c r="S55" i="7"/>
  <c r="S41" i="7" s="1" a="1"/>
  <c r="S41" i="7" s="1"/>
  <c r="U57" i="7"/>
  <c r="U49" i="7" s="1" a="1"/>
  <c r="U49" i="7" s="1"/>
  <c r="E38" i="5"/>
  <c r="F152" i="5" l="1"/>
  <c r="F132" i="5"/>
  <c r="F172" i="5"/>
  <c r="G195" i="5"/>
  <c r="G196" i="5"/>
  <c r="F159" i="5"/>
  <c r="F139" i="5"/>
  <c r="F141" i="5"/>
  <c r="F161" i="5"/>
  <c r="E24" i="5"/>
  <c r="E17" i="5"/>
  <c r="U43" i="7" a="1"/>
  <c r="U43" i="7" s="1"/>
  <c r="Z42" i="7" a="1"/>
  <c r="Z42" i="7" s="1"/>
  <c r="AC38" i="7" a="1"/>
  <c r="AC38" i="7" s="1"/>
  <c r="AF49" i="7" a="1"/>
  <c r="AF49" i="7" s="1"/>
  <c r="AF38" i="7" a="1"/>
  <c r="AF38" i="7" s="1"/>
  <c r="N43" i="7" a="1"/>
  <c r="N43" i="7" s="1"/>
  <c r="X42" i="7" a="1"/>
  <c r="X42" i="7" s="1"/>
  <c r="V38" i="7" a="1"/>
  <c r="V38" i="7" s="1"/>
  <c r="AF45" i="7" a="1"/>
  <c r="AF45" i="7" s="1"/>
  <c r="AK15" i="7" a="1"/>
  <c r="AK15" i="7" s="1"/>
  <c r="AG15" i="7" a="1"/>
  <c r="AG15" i="7" s="1"/>
  <c r="AC15" i="7" a="1"/>
  <c r="AC15" i="7" s="1"/>
  <c r="Y15" i="7" a="1"/>
  <c r="Y15" i="7" s="1"/>
  <c r="AB15" i="7" a="1"/>
  <c r="AB15" i="7" s="1"/>
  <c r="AF15" i="7" a="1"/>
  <c r="AF15" i="7" s="1"/>
  <c r="W15" i="7" a="1"/>
  <c r="W15" i="7" s="1"/>
  <c r="S15" i="7" a="1"/>
  <c r="S15" i="7" s="1"/>
  <c r="O15" i="7" a="1"/>
  <c r="O15" i="7" s="1"/>
  <c r="K15" i="7" a="1"/>
  <c r="K15" i="7" s="1"/>
  <c r="AH15" i="7" a="1"/>
  <c r="AH15" i="7" s="1"/>
  <c r="Z15" i="7" a="1"/>
  <c r="Z15" i="7" s="1"/>
  <c r="M15" i="7" a="1"/>
  <c r="M15" i="7" s="1"/>
  <c r="R15" i="7" a="1"/>
  <c r="R15" i="7" s="1"/>
  <c r="L15" i="7" a="1"/>
  <c r="L15" i="7" s="1"/>
  <c r="AE15" i="7" a="1"/>
  <c r="AE15" i="7" s="1"/>
  <c r="X15" i="7" a="1"/>
  <c r="X15" i="7" s="1"/>
  <c r="Q15" i="7" a="1"/>
  <c r="Q15" i="7" s="1"/>
  <c r="J15" i="7" a="1"/>
  <c r="J15" i="7" s="1"/>
  <c r="AJ15" i="7" a="1"/>
  <c r="AJ15" i="7" s="1"/>
  <c r="AD15" i="7" a="1"/>
  <c r="AD15" i="7" s="1"/>
  <c r="V15" i="7" a="1"/>
  <c r="V15" i="7" s="1"/>
  <c r="P15" i="7" a="1"/>
  <c r="P15" i="7" s="1"/>
  <c r="I15" i="7" a="1"/>
  <c r="I15" i="7" s="1"/>
  <c r="AI15" i="7" a="1"/>
  <c r="AI15" i="7" s="1"/>
  <c r="AA15" i="7" a="1"/>
  <c r="AA15" i="7" s="1"/>
  <c r="U15" i="7" a="1"/>
  <c r="U15" i="7" s="1"/>
  <c r="N15" i="7" a="1"/>
  <c r="N15" i="7" s="1"/>
  <c r="H15" i="7" a="1"/>
  <c r="H15" i="7" s="1"/>
  <c r="T15" i="7" a="1"/>
  <c r="T15" i="7" s="1"/>
  <c r="E61" i="5"/>
  <c r="P39" i="7" a="1"/>
  <c r="P39" i="7" s="1"/>
  <c r="P24" i="7" a="1"/>
  <c r="P24" i="7" s="1"/>
  <c r="P26" i="7" a="1"/>
  <c r="P26" i="7" s="1"/>
  <c r="P27" i="7" a="1"/>
  <c r="P27" i="7" s="1"/>
  <c r="P21" i="7" a="1"/>
  <c r="P21" i="7" s="1"/>
  <c r="P20" i="7" s="1"/>
  <c r="P25" i="7" a="1"/>
  <c r="P25" i="7" s="1"/>
  <c r="P23" i="7" a="1"/>
  <c r="P23" i="7" s="1"/>
  <c r="P16" i="7" a="1"/>
  <c r="P16" i="7" s="1"/>
  <c r="X26" i="7" a="1"/>
  <c r="X26" i="7" s="1"/>
  <c r="X39" i="7" a="1"/>
  <c r="X39" i="7" s="1"/>
  <c r="X23" i="7" a="1"/>
  <c r="X23" i="7" s="1"/>
  <c r="X27" i="7" a="1"/>
  <c r="X27" i="7" s="1"/>
  <c r="X25" i="7" a="1"/>
  <c r="X25" i="7" s="1"/>
  <c r="X24" i="7" a="1"/>
  <c r="X24" i="7" s="1"/>
  <c r="X21" i="7" a="1"/>
  <c r="X21" i="7" s="1"/>
  <c r="X20" i="7" s="1"/>
  <c r="X16" i="7" a="1"/>
  <c r="X16" i="7" s="1"/>
  <c r="AE49" i="7" a="1"/>
  <c r="AE49" i="7" s="1"/>
  <c r="Q49" i="7" a="1"/>
  <c r="Q49" i="7" s="1"/>
  <c r="X43" i="7" a="1"/>
  <c r="X43" i="7" s="1"/>
  <c r="AE43" i="7" a="1"/>
  <c r="AE43" i="7" s="1"/>
  <c r="P43" i="7" a="1"/>
  <c r="P43" i="7" s="1"/>
  <c r="AB43" i="7" a="1"/>
  <c r="AB43" i="7" s="1"/>
  <c r="AM50" i="7" a="1"/>
  <c r="AM50" i="7" s="1"/>
  <c r="AM49" i="7" a="1"/>
  <c r="AM49" i="7" s="1"/>
  <c r="AM48" i="7" a="1"/>
  <c r="AM48" i="7" s="1"/>
  <c r="AM46" i="7" a="1"/>
  <c r="AM46" i="7" s="1"/>
  <c r="AM47" i="7" a="1"/>
  <c r="AM47" i="7" s="1"/>
  <c r="AM41" i="7" a="1"/>
  <c r="AM41" i="7" s="1"/>
  <c r="AM44" i="7" a="1"/>
  <c r="AM44" i="7" s="1"/>
  <c r="AM45" i="7" a="1"/>
  <c r="AM45" i="7" s="1"/>
  <c r="AM40" i="7" a="1"/>
  <c r="AM40" i="7" s="1"/>
  <c r="AM39" i="7" a="1"/>
  <c r="AM39" i="7" s="1"/>
  <c r="AM38" i="7" a="1"/>
  <c r="AM38" i="7" s="1"/>
  <c r="AM42" i="7" a="1"/>
  <c r="AM42" i="7" s="1"/>
  <c r="AM43" i="7" a="1"/>
  <c r="AM43" i="7" s="1"/>
  <c r="AM37" i="7" a="1"/>
  <c r="AM37" i="7" s="1"/>
  <c r="AM28" i="7" a="1"/>
  <c r="AM28" i="7" s="1"/>
  <c r="AM25" i="7" a="1"/>
  <c r="AM25" i="7" s="1"/>
  <c r="AM16" i="7" a="1"/>
  <c r="AM16" i="7" s="1"/>
  <c r="AM26" i="7" a="1"/>
  <c r="AM26" i="7" s="1"/>
  <c r="AM30" i="7" a="1"/>
  <c r="AM30" i="7" s="1"/>
  <c r="AM27" i="7" a="1"/>
  <c r="AM27" i="7" s="1"/>
  <c r="AM29" i="7" a="1"/>
  <c r="AM29" i="7" s="1"/>
  <c r="AM21" i="7" a="1"/>
  <c r="AM21" i="7" s="1"/>
  <c r="AM20" i="7" s="1"/>
  <c r="AM19" i="7" s="1"/>
  <c r="AM23" i="7" a="1"/>
  <c r="AM23" i="7" s="1"/>
  <c r="AM14" i="7" a="1"/>
  <c r="AM14" i="7" s="1"/>
  <c r="AM15" i="7" a="1"/>
  <c r="AM15" i="7" s="1"/>
  <c r="AM12" i="7" a="1"/>
  <c r="AM12" i="7" s="1"/>
  <c r="AM17" i="7" a="1"/>
  <c r="AM17" i="7" s="1"/>
  <c r="AM24" i="7" a="1"/>
  <c r="AM24" i="7" s="1"/>
  <c r="AM18" i="7" a="1"/>
  <c r="AM18" i="7" s="1"/>
  <c r="AF50" i="7" a="1"/>
  <c r="AF50" i="7" s="1"/>
  <c r="X50" i="7" a="1"/>
  <c r="X50" i="7" s="1"/>
  <c r="P50" i="7" a="1"/>
  <c r="P50" i="7" s="1"/>
  <c r="O41" i="7" a="1"/>
  <c r="O41" i="7" s="1"/>
  <c r="T41" i="7" a="1"/>
  <c r="T41" i="7" s="1"/>
  <c r="R41" i="7" a="1"/>
  <c r="R41" i="7" s="1"/>
  <c r="AJ39" i="7" a="1"/>
  <c r="AJ39" i="7" s="1"/>
  <c r="AJ25" i="7" a="1"/>
  <c r="AJ25" i="7" s="1"/>
  <c r="AJ23" i="7" a="1"/>
  <c r="AJ23" i="7" s="1"/>
  <c r="AJ26" i="7" a="1"/>
  <c r="AJ26" i="7" s="1"/>
  <c r="AJ24" i="7" a="1"/>
  <c r="AJ24" i="7" s="1"/>
  <c r="AJ27" i="7" a="1"/>
  <c r="AJ27" i="7" s="1"/>
  <c r="AJ21" i="7" a="1"/>
  <c r="AJ21" i="7" s="1"/>
  <c r="AJ20" i="7" s="1"/>
  <c r="AJ16" i="7" a="1"/>
  <c r="AJ16" i="7" s="1"/>
  <c r="M39" i="7" a="1"/>
  <c r="M39" i="7" s="1"/>
  <c r="M16" i="7" a="1"/>
  <c r="M16" i="7" s="1"/>
  <c r="M27" i="7" a="1"/>
  <c r="M27" i="7" s="1"/>
  <c r="M26" i="7" a="1"/>
  <c r="M26" i="7" s="1"/>
  <c r="M25" i="7" a="1"/>
  <c r="M25" i="7" s="1"/>
  <c r="M24" i="7" a="1"/>
  <c r="M24" i="7" s="1"/>
  <c r="M23" i="7" a="1"/>
  <c r="M23" i="7" s="1"/>
  <c r="M21" i="7" a="1"/>
  <c r="M21" i="7" s="1"/>
  <c r="M20" i="7" s="1"/>
  <c r="V17" i="7" a="1"/>
  <c r="V17" i="7" s="1"/>
  <c r="AE48" i="7" a="1"/>
  <c r="AE48" i="7" s="1"/>
  <c r="V48" i="7" a="1"/>
  <c r="V48" i="7" s="1"/>
  <c r="M48" i="7" a="1"/>
  <c r="M48" i="7" s="1"/>
  <c r="H48" i="7" a="1"/>
  <c r="H48" i="7" s="1"/>
  <c r="AI48" i="7" a="1"/>
  <c r="AI48" i="7" s="1"/>
  <c r="Z48" i="7" a="1"/>
  <c r="Z48" i="7" s="1"/>
  <c r="Q48" i="7" a="1"/>
  <c r="Q48" i="7" s="1"/>
  <c r="L48" i="7" a="1"/>
  <c r="L48" i="7" s="1"/>
  <c r="AD48" i="7" a="1"/>
  <c r="AD48" i="7" s="1"/>
  <c r="U48" i="7" a="1"/>
  <c r="U48" i="7" s="1"/>
  <c r="P48" i="7" a="1"/>
  <c r="P48" i="7" s="1"/>
  <c r="AC48" i="7" a="1"/>
  <c r="AC48" i="7" s="1"/>
  <c r="X48" i="7" a="1"/>
  <c r="X48" i="7" s="1"/>
  <c r="O48" i="7" a="1"/>
  <c r="O48" i="7" s="1"/>
  <c r="AJ48" i="7" a="1"/>
  <c r="AJ48" i="7" s="1"/>
  <c r="AA48" i="7" a="1"/>
  <c r="AA48" i="7" s="1"/>
  <c r="R48" i="7" a="1"/>
  <c r="R48" i="7" s="1"/>
  <c r="I48" i="7" a="1"/>
  <c r="I48" i="7" s="1"/>
  <c r="AH48" i="7" a="1"/>
  <c r="AH48" i="7" s="1"/>
  <c r="Y48" i="7" a="1"/>
  <c r="Y48" i="7" s="1"/>
  <c r="AG48" i="7" a="1"/>
  <c r="AG48" i="7" s="1"/>
  <c r="AF48" i="7" a="1"/>
  <c r="AF48" i="7" s="1"/>
  <c r="W48" i="7" a="1"/>
  <c r="W48" i="7" s="1"/>
  <c r="N48" i="7" a="1"/>
  <c r="N48" i="7" s="1"/>
  <c r="T48" i="7" a="1"/>
  <c r="T48" i="7" s="1"/>
  <c r="K48" i="7" a="1"/>
  <c r="K48" i="7" s="1"/>
  <c r="AB48" i="7" a="1"/>
  <c r="AB48" i="7" s="1"/>
  <c r="S48" i="7" a="1"/>
  <c r="S48" i="7" s="1"/>
  <c r="J48" i="7" a="1"/>
  <c r="J48" i="7" s="1"/>
  <c r="AK48" i="7" a="1"/>
  <c r="AK48" i="7" s="1"/>
  <c r="E142" i="5"/>
  <c r="G197" i="5"/>
  <c r="H193" i="5" s="1"/>
  <c r="G153" i="5"/>
  <c r="G155" i="5"/>
  <c r="G173" i="5"/>
  <c r="G159" i="5"/>
  <c r="G133" i="5"/>
  <c r="G16" i="5"/>
  <c r="G100" i="5" s="1"/>
  <c r="G99" i="5" s="1"/>
  <c r="G13" i="5"/>
  <c r="G202" i="5" s="1"/>
  <c r="G93" i="5"/>
  <c r="G104" i="5" s="1"/>
  <c r="G38" i="5"/>
  <c r="G11" i="5"/>
  <c r="G41" i="5"/>
  <c r="G164" i="5" s="1"/>
  <c r="G37" i="5"/>
  <c r="G140" i="5" s="1"/>
  <c r="G30" i="5"/>
  <c r="G32" i="5"/>
  <c r="G14" i="5"/>
  <c r="G36" i="5"/>
  <c r="G33" i="5"/>
  <c r="H5" i="5"/>
  <c r="G12" i="5"/>
  <c r="G39" i="5"/>
  <c r="G162" i="5" s="1"/>
  <c r="G34" i="5"/>
  <c r="G157" i="5" s="1"/>
  <c r="G31" i="5"/>
  <c r="G68" i="5" a="1"/>
  <c r="G68" i="5" s="1"/>
  <c r="G35" i="5"/>
  <c r="G158" i="5" s="1"/>
  <c r="G6" i="5"/>
  <c r="F135" i="5"/>
  <c r="F134" i="5"/>
  <c r="AL19" i="7"/>
  <c r="AK26" i="7" a="1"/>
  <c r="AK26" i="7" s="1"/>
  <c r="E162" i="5"/>
  <c r="X29" i="7" a="1"/>
  <c r="X29" i="7" s="1"/>
  <c r="Q29" i="7" a="1"/>
  <c r="Q29" i="7" s="1"/>
  <c r="J29" i="7" a="1"/>
  <c r="J29" i="7" s="1"/>
  <c r="N39" i="7" a="1"/>
  <c r="N39" i="7" s="1"/>
  <c r="N24" i="7" a="1"/>
  <c r="N24" i="7" s="1"/>
  <c r="N25" i="7" a="1"/>
  <c r="N25" i="7" s="1"/>
  <c r="N27" i="7" a="1"/>
  <c r="N27" i="7" s="1"/>
  <c r="N16" i="7" a="1"/>
  <c r="N16" i="7" s="1"/>
  <c r="N26" i="7" a="1"/>
  <c r="N26" i="7" s="1"/>
  <c r="N23" i="7" a="1"/>
  <c r="N23" i="7" s="1"/>
  <c r="N21" i="7" a="1"/>
  <c r="N21" i="7" s="1"/>
  <c r="N20" i="7" s="1"/>
  <c r="AI43" i="7" a="1"/>
  <c r="AI43" i="7" s="1"/>
  <c r="AN113" i="7"/>
  <c r="AN111" i="7"/>
  <c r="AN109" i="7"/>
  <c r="AN107" i="7"/>
  <c r="AN105" i="7"/>
  <c r="AN103" i="7"/>
  <c r="AN101" i="7"/>
  <c r="AN99" i="7"/>
  <c r="AN97" i="7"/>
  <c r="AN95" i="7"/>
  <c r="AN93" i="7"/>
  <c r="AN91" i="7"/>
  <c r="AN89" i="7"/>
  <c r="AN87" i="7"/>
  <c r="AN114" i="7"/>
  <c r="AN112" i="7"/>
  <c r="AN110" i="7"/>
  <c r="AN108" i="7"/>
  <c r="AN106" i="7"/>
  <c r="AN104" i="7"/>
  <c r="AN102" i="7"/>
  <c r="AN100" i="7"/>
  <c r="AN98" i="7"/>
  <c r="AN96" i="7"/>
  <c r="AN94" i="7"/>
  <c r="AN92" i="7"/>
  <c r="AN90" i="7"/>
  <c r="AN88" i="7"/>
  <c r="AN72" i="7"/>
  <c r="AN70" i="7"/>
  <c r="AN68" i="7"/>
  <c r="AN66" i="7"/>
  <c r="AN64" i="7"/>
  <c r="AN62" i="7"/>
  <c r="AN60" i="7"/>
  <c r="AN82" i="7"/>
  <c r="AN80" i="7"/>
  <c r="AN77" i="7"/>
  <c r="AN84" i="7"/>
  <c r="AN86" i="7"/>
  <c r="AN78" i="7"/>
  <c r="AN73" i="7"/>
  <c r="AN63" i="7"/>
  <c r="AN59" i="7"/>
  <c r="AN57" i="7"/>
  <c r="AN55" i="7"/>
  <c r="AN69" i="7"/>
  <c r="AN65" i="7"/>
  <c r="AN83" i="7"/>
  <c r="AN79" i="7"/>
  <c r="AN76" i="7"/>
  <c r="AN56" i="7"/>
  <c r="AN75" i="7"/>
  <c r="AN71" i="7"/>
  <c r="AN85" i="7"/>
  <c r="AN67" i="7"/>
  <c r="AN81" i="7"/>
  <c r="AN58" i="7"/>
  <c r="AN74" i="7"/>
  <c r="AN61" i="7"/>
  <c r="AO5" i="7"/>
  <c r="S39" i="7" a="1"/>
  <c r="S39" i="7" s="1"/>
  <c r="S24" i="7" a="1"/>
  <c r="S24" i="7" s="1"/>
  <c r="S27" i="7" a="1"/>
  <c r="S27" i="7" s="1"/>
  <c r="S23" i="7" a="1"/>
  <c r="S23" i="7" s="1"/>
  <c r="S26" i="7" a="1"/>
  <c r="S26" i="7" s="1"/>
  <c r="S25" i="7" a="1"/>
  <c r="S25" i="7" s="1"/>
  <c r="S16" i="7" a="1"/>
  <c r="S16" i="7" s="1"/>
  <c r="S21" i="7" a="1"/>
  <c r="S21" i="7" s="1"/>
  <c r="S20" i="7" s="1"/>
  <c r="AA45" i="7" a="1"/>
  <c r="AA45" i="7" s="1"/>
  <c r="D25" i="7" a="1"/>
  <c r="D25" i="7" s="1"/>
  <c r="D26" i="7" a="1"/>
  <c r="D26" i="7" s="1"/>
  <c r="D27" i="7" a="1"/>
  <c r="D27" i="7" s="1"/>
  <c r="D16" i="7" a="1"/>
  <c r="D16" i="7" s="1"/>
  <c r="D24" i="7" a="1"/>
  <c r="D24" i="7" s="1"/>
  <c r="D23" i="7" a="1"/>
  <c r="D23" i="7" s="1"/>
  <c r="D21" i="7" a="1"/>
  <c r="D21" i="7" s="1"/>
  <c r="C26" i="7" a="1"/>
  <c r="C26" i="7" s="1"/>
  <c r="C24" i="7" a="1"/>
  <c r="C24" i="7" s="1"/>
  <c r="C25" i="7" a="1"/>
  <c r="C25" i="7" s="1"/>
  <c r="C23" i="7" a="1"/>
  <c r="C23" i="7" s="1"/>
  <c r="C21" i="7" a="1"/>
  <c r="C21" i="7" s="1"/>
  <c r="C16" i="7" a="1"/>
  <c r="C16" i="7" s="1"/>
  <c r="C27" i="7" a="1"/>
  <c r="C27" i="7" s="1"/>
  <c r="AJ49" i="7" a="1"/>
  <c r="AJ49" i="7" s="1"/>
  <c r="R42" i="7" a="1"/>
  <c r="R42" i="7" s="1"/>
  <c r="Y38" i="7" a="1"/>
  <c r="Y38" i="7" s="1"/>
  <c r="AF18" i="7" a="1"/>
  <c r="AF18" i="7" s="1"/>
  <c r="X45" i="7" a="1"/>
  <c r="X45" i="7" s="1"/>
  <c r="AG39" i="7" a="1"/>
  <c r="AG39" i="7" s="1"/>
  <c r="AG24" i="7" a="1"/>
  <c r="AG24" i="7" s="1"/>
  <c r="AG25" i="7" a="1"/>
  <c r="AG25" i="7" s="1"/>
  <c r="AG27" i="7" a="1"/>
  <c r="AG27" i="7" s="1"/>
  <c r="AG26" i="7" a="1"/>
  <c r="AG26" i="7" s="1"/>
  <c r="AG23" i="7" a="1"/>
  <c r="AG23" i="7" s="1"/>
  <c r="AG16" i="7" a="1"/>
  <c r="AG16" i="7" s="1"/>
  <c r="AG21" i="7" a="1"/>
  <c r="AG21" i="7" s="1"/>
  <c r="AG20" i="7" s="1"/>
  <c r="AK49" i="7" a="1"/>
  <c r="AK49" i="7" s="1"/>
  <c r="Q43" i="7" a="1"/>
  <c r="Q43" i="7" s="1"/>
  <c r="Q42" i="7" a="1"/>
  <c r="Q42" i="7" s="1"/>
  <c r="AG45" i="7" a="1"/>
  <c r="AG45" i="7" s="1"/>
  <c r="Y39" i="7" a="1"/>
  <c r="Y39" i="7" s="1"/>
  <c r="Y16" i="7" a="1"/>
  <c r="Y16" i="7" s="1"/>
  <c r="Y27" i="7" a="1"/>
  <c r="Y27" i="7" s="1"/>
  <c r="Y26" i="7" a="1"/>
  <c r="Y26" i="7" s="1"/>
  <c r="Y25" i="7" a="1"/>
  <c r="Y25" i="7" s="1"/>
  <c r="Y21" i="7" a="1"/>
  <c r="Y21" i="7" s="1"/>
  <c r="Y20" i="7" s="1"/>
  <c r="Y24" i="7" a="1"/>
  <c r="Y24" i="7" s="1"/>
  <c r="Y23" i="7" a="1"/>
  <c r="Y23" i="7" s="1"/>
  <c r="W39" i="7" a="1"/>
  <c r="W39" i="7" s="1"/>
  <c r="W27" i="7" a="1"/>
  <c r="W27" i="7" s="1"/>
  <c r="W26" i="7" a="1"/>
  <c r="W26" i="7" s="1"/>
  <c r="W21" i="7" a="1"/>
  <c r="W21" i="7" s="1"/>
  <c r="W20" i="7" s="1"/>
  <c r="W25" i="7" a="1"/>
  <c r="W25" i="7" s="1"/>
  <c r="W24" i="7" a="1"/>
  <c r="W24" i="7" s="1"/>
  <c r="W23" i="7" a="1"/>
  <c r="W23" i="7" s="1"/>
  <c r="W16" i="7" a="1"/>
  <c r="W16" i="7" s="1"/>
  <c r="J38" i="7" a="1"/>
  <c r="J38" i="7" s="1"/>
  <c r="AD38" i="7" a="1"/>
  <c r="AD38" i="7" s="1"/>
  <c r="AB18" i="7" a="1"/>
  <c r="AB18" i="7" s="1"/>
  <c r="S18" i="7" a="1"/>
  <c r="S18" i="7" s="1"/>
  <c r="V45" i="7" a="1"/>
  <c r="V45" i="7" s="1"/>
  <c r="AJ47" i="7" a="1"/>
  <c r="AJ47" i="7" s="1"/>
  <c r="AA47" i="7" a="1"/>
  <c r="AA47" i="7" s="1"/>
  <c r="R47" i="7" a="1"/>
  <c r="R47" i="7" s="1"/>
  <c r="I47" i="7" a="1"/>
  <c r="I47" i="7" s="1"/>
  <c r="AE47" i="7" a="1"/>
  <c r="AE47" i="7" s="1"/>
  <c r="V47" i="7" a="1"/>
  <c r="V47" i="7" s="1"/>
  <c r="M47" i="7" a="1"/>
  <c r="M47" i="7" s="1"/>
  <c r="H47" i="7" a="1"/>
  <c r="H47" i="7" s="1"/>
  <c r="AI47" i="7" a="1"/>
  <c r="AI47" i="7" s="1"/>
  <c r="Z47" i="7" a="1"/>
  <c r="Z47" i="7" s="1"/>
  <c r="Q47" i="7" a="1"/>
  <c r="Q47" i="7" s="1"/>
  <c r="L47" i="7" a="1"/>
  <c r="L47" i="7" s="1"/>
  <c r="AH47" i="7" a="1"/>
  <c r="AH47" i="7" s="1"/>
  <c r="Y47" i="7" a="1"/>
  <c r="Y47" i="7" s="1"/>
  <c r="T47" i="7" a="1"/>
  <c r="T47" i="7" s="1"/>
  <c r="K47" i="7" a="1"/>
  <c r="K47" i="7" s="1"/>
  <c r="AF47" i="7" a="1"/>
  <c r="AF47" i="7" s="1"/>
  <c r="W47" i="7" a="1"/>
  <c r="W47" i="7" s="1"/>
  <c r="N47" i="7" a="1"/>
  <c r="N47" i="7" s="1"/>
  <c r="AD47" i="7" a="1"/>
  <c r="AD47" i="7" s="1"/>
  <c r="U47" i="7" a="1"/>
  <c r="U47" i="7" s="1"/>
  <c r="AB47" i="7" a="1"/>
  <c r="AB47" i="7" s="1"/>
  <c r="S47" i="7" a="1"/>
  <c r="S47" i="7" s="1"/>
  <c r="X47" i="7" a="1"/>
  <c r="X47" i="7" s="1"/>
  <c r="O47" i="7" a="1"/>
  <c r="O47" i="7" s="1"/>
  <c r="AG47" i="7" a="1"/>
  <c r="AG47" i="7" s="1"/>
  <c r="AK47" i="7" a="1"/>
  <c r="AK47" i="7" s="1"/>
  <c r="J47" i="7" a="1"/>
  <c r="J47" i="7" s="1"/>
  <c r="AC47" i="7" a="1"/>
  <c r="AC47" i="7" s="1"/>
  <c r="P47" i="7" a="1"/>
  <c r="P47" i="7" s="1"/>
  <c r="E161" i="5"/>
  <c r="E141" i="5"/>
  <c r="L39" i="7" a="1"/>
  <c r="L39" i="7" s="1"/>
  <c r="L27" i="7" a="1"/>
  <c r="L27" i="7" s="1"/>
  <c r="L23" i="7" a="1"/>
  <c r="L23" i="7" s="1"/>
  <c r="L26" i="7" a="1"/>
  <c r="L26" i="7" s="1"/>
  <c r="L25" i="7" a="1"/>
  <c r="L25" i="7" s="1"/>
  <c r="L24" i="7" a="1"/>
  <c r="L24" i="7" s="1"/>
  <c r="L21" i="7" a="1"/>
  <c r="L21" i="7" s="1"/>
  <c r="L20" i="7" s="1"/>
  <c r="L16" i="7" a="1"/>
  <c r="L16" i="7" s="1"/>
  <c r="S38" i="7" a="1"/>
  <c r="S38" i="7" s="1"/>
  <c r="AE38" i="7" a="1"/>
  <c r="AE38" i="7" s="1"/>
  <c r="P18" i="7" a="1"/>
  <c r="P18" i="7" s="1"/>
  <c r="V18" i="7" a="1"/>
  <c r="V18" i="7" s="1"/>
  <c r="Q18" i="7" a="1"/>
  <c r="Q18" i="7" s="1"/>
  <c r="H18" i="7" a="1"/>
  <c r="H18" i="7" s="1"/>
  <c r="AI18" i="7" a="1"/>
  <c r="AI18" i="7" s="1"/>
  <c r="U45" i="7" a="1"/>
  <c r="U45" i="7" s="1"/>
  <c r="AE45" i="7" a="1"/>
  <c r="AE45" i="7" s="1"/>
  <c r="AK45" i="7" a="1"/>
  <c r="AK45" i="7" s="1"/>
  <c r="U46" i="3"/>
  <c r="N49" i="7" a="1"/>
  <c r="N49" i="7" s="1"/>
  <c r="R49" i="7" a="1"/>
  <c r="R49" i="7" s="1"/>
  <c r="J49" i="7" a="1"/>
  <c r="J49" i="7" s="1"/>
  <c r="AH49" i="7" a="1"/>
  <c r="AH49" i="7" s="1"/>
  <c r="AK43" i="7" a="1"/>
  <c r="AK43" i="7" s="1"/>
  <c r="S43" i="7" a="1"/>
  <c r="S43" i="7" s="1"/>
  <c r="AC43" i="7" a="1"/>
  <c r="AC43" i="7" s="1"/>
  <c r="H43" i="7" a="1"/>
  <c r="H43" i="7" s="1"/>
  <c r="P42" i="7" a="1"/>
  <c r="P42" i="7" s="1"/>
  <c r="S42" i="7" a="1"/>
  <c r="S42" i="7" s="1"/>
  <c r="V50" i="7" a="1"/>
  <c r="V50" i="7" s="1"/>
  <c r="Q50" i="7" a="1"/>
  <c r="Q50" i="7" s="1"/>
  <c r="AK50" i="7" a="1"/>
  <c r="AK50" i="7" s="1"/>
  <c r="AC50" i="7" a="1"/>
  <c r="AC50" i="7" s="1"/>
  <c r="AG41" i="7" a="1"/>
  <c r="AG41" i="7" s="1"/>
  <c r="W41" i="7" a="1"/>
  <c r="W41" i="7" s="1"/>
  <c r="Y41" i="7" a="1"/>
  <c r="Y41" i="7" s="1"/>
  <c r="J17" i="7" a="1"/>
  <c r="J17" i="7" s="1"/>
  <c r="P17" i="7" a="1"/>
  <c r="P17" i="7" s="1"/>
  <c r="R17" i="7" a="1"/>
  <c r="R17" i="7" s="1"/>
  <c r="AD40" i="7" a="1"/>
  <c r="AD40" i="7" s="1"/>
  <c r="U40" i="7" a="1"/>
  <c r="U40" i="7" s="1"/>
  <c r="L40" i="7" a="1"/>
  <c r="L40" i="7" s="1"/>
  <c r="AH40" i="7" a="1"/>
  <c r="AH40" i="7" s="1"/>
  <c r="Y40" i="7" a="1"/>
  <c r="Y40" i="7" s="1"/>
  <c r="P40" i="7" a="1"/>
  <c r="P40" i="7" s="1"/>
  <c r="K40" i="7" a="1"/>
  <c r="K40" i="7" s="1"/>
  <c r="AC40" i="7" a="1"/>
  <c r="AC40" i="7" s="1"/>
  <c r="T40" i="7" a="1"/>
  <c r="T40" i="7" s="1"/>
  <c r="O40" i="7" a="1"/>
  <c r="O40" i="7" s="1"/>
  <c r="AI40" i="7" a="1"/>
  <c r="AI40" i="7" s="1"/>
  <c r="Z40" i="7" a="1"/>
  <c r="Z40" i="7" s="1"/>
  <c r="Q40" i="7" a="1"/>
  <c r="Q40" i="7" s="1"/>
  <c r="H40" i="7" a="1"/>
  <c r="H40" i="7" s="1"/>
  <c r="AE40" i="7" a="1"/>
  <c r="AE40" i="7" s="1"/>
  <c r="V40" i="7" a="1"/>
  <c r="V40" i="7" s="1"/>
  <c r="M40" i="7" a="1"/>
  <c r="M40" i="7" s="1"/>
  <c r="S40" i="7" a="1"/>
  <c r="S40" i="7" s="1"/>
  <c r="J40" i="7" a="1"/>
  <c r="J40" i="7" s="1"/>
  <c r="AK40" i="7" a="1"/>
  <c r="AK40" i="7" s="1"/>
  <c r="AB40" i="7" a="1"/>
  <c r="AB40" i="7" s="1"/>
  <c r="AA40" i="7" a="1"/>
  <c r="AA40" i="7" s="1"/>
  <c r="R40" i="7" a="1"/>
  <c r="R40" i="7" s="1"/>
  <c r="I40" i="7" a="1"/>
  <c r="I40" i="7" s="1"/>
  <c r="AJ40" i="7" a="1"/>
  <c r="AJ40" i="7" s="1"/>
  <c r="AG40" i="7" a="1"/>
  <c r="AG40" i="7" s="1"/>
  <c r="X40" i="7" a="1"/>
  <c r="X40" i="7" s="1"/>
  <c r="W40" i="7" a="1"/>
  <c r="W40" i="7" s="1"/>
  <c r="N40" i="7" a="1"/>
  <c r="N40" i="7" s="1"/>
  <c r="AF40" i="7" a="1"/>
  <c r="AF40" i="7" s="1"/>
  <c r="E134" i="5"/>
  <c r="E174" i="5"/>
  <c r="Q39" i="7" a="1"/>
  <c r="Q39" i="7" s="1"/>
  <c r="Q27" i="7" a="1"/>
  <c r="Q27" i="7" s="1"/>
  <c r="Q16" i="7" a="1"/>
  <c r="Q16" i="7" s="1"/>
  <c r="Q25" i="7" a="1"/>
  <c r="Q25" i="7" s="1"/>
  <c r="Q23" i="7" a="1"/>
  <c r="Q23" i="7" s="1"/>
  <c r="Q21" i="7" a="1"/>
  <c r="Q21" i="7" s="1"/>
  <c r="Q20" i="7" s="1"/>
  <c r="Q19" i="7" s="1"/>
  <c r="Q24" i="7" a="1"/>
  <c r="Q24" i="7" s="1"/>
  <c r="Q26" i="7" a="1"/>
  <c r="Q26" i="7" s="1"/>
  <c r="F156" i="5"/>
  <c r="F160" i="5"/>
  <c r="F96" i="5"/>
  <c r="F133" i="5"/>
  <c r="E3" i="7"/>
  <c r="AI30" i="7" a="1"/>
  <c r="AI30" i="7" s="1"/>
  <c r="AD30" i="7" a="1"/>
  <c r="AD30" i="7" s="1"/>
  <c r="Y30" i="7" a="1"/>
  <c r="Y30" i="7" s="1"/>
  <c r="S30" i="7" a="1"/>
  <c r="S30" i="7" s="1"/>
  <c r="N30" i="7" a="1"/>
  <c r="N30" i="7" s="1"/>
  <c r="I30" i="7" a="1"/>
  <c r="I30" i="7" s="1"/>
  <c r="X30" i="7" a="1"/>
  <c r="X30" i="7" s="1"/>
  <c r="H30" i="7" a="1"/>
  <c r="H30" i="7" s="1"/>
  <c r="AK30" i="7" a="1"/>
  <c r="AK30" i="7" s="1"/>
  <c r="AE30" i="7" a="1"/>
  <c r="AE30" i="7" s="1"/>
  <c r="Z30" i="7" a="1"/>
  <c r="Z30" i="7" s="1"/>
  <c r="U30" i="7" a="1"/>
  <c r="U30" i="7" s="1"/>
  <c r="O30" i="7" a="1"/>
  <c r="O30" i="7" s="1"/>
  <c r="J30" i="7" a="1"/>
  <c r="J30" i="7" s="1"/>
  <c r="AH30" i="7" a="1"/>
  <c r="AH30" i="7" s="1"/>
  <c r="Q30" i="7" a="1"/>
  <c r="Q30" i="7" s="1"/>
  <c r="AG30" i="7" a="1"/>
  <c r="AG30" i="7" s="1"/>
  <c r="W30" i="7" a="1"/>
  <c r="W30" i="7" s="1"/>
  <c r="P30" i="7" a="1"/>
  <c r="P30" i="7" s="1"/>
  <c r="AF30" i="7" a="1"/>
  <c r="AF30" i="7" s="1"/>
  <c r="V30" i="7" a="1"/>
  <c r="V30" i="7" s="1"/>
  <c r="M30" i="7" a="1"/>
  <c r="M30" i="7" s="1"/>
  <c r="AC30" i="7" a="1"/>
  <c r="AC30" i="7" s="1"/>
  <c r="L30" i="7" a="1"/>
  <c r="L30" i="7" s="1"/>
  <c r="AB30" i="7" a="1"/>
  <c r="AB30" i="7" s="1"/>
  <c r="T30" i="7" a="1"/>
  <c r="T30" i="7" s="1"/>
  <c r="K30" i="7" a="1"/>
  <c r="K30" i="7" s="1"/>
  <c r="AJ30" i="7" a="1"/>
  <c r="AJ30" i="7" s="1"/>
  <c r="AA30" i="7" a="1"/>
  <c r="AA30" i="7" s="1"/>
  <c r="R30" i="7" a="1"/>
  <c r="R30" i="7" s="1"/>
  <c r="AK27" i="7" a="1"/>
  <c r="AK27" i="7" s="1"/>
  <c r="M29" i="7" a="1"/>
  <c r="M29" i="7" s="1"/>
  <c r="AA50" i="7" a="1"/>
  <c r="AA50" i="7" s="1"/>
  <c r="AD50" i="7" a="1"/>
  <c r="AD50" i="7" s="1"/>
  <c r="AF41" i="7" a="1"/>
  <c r="AF41" i="7" s="1"/>
  <c r="U39" i="7" a="1"/>
  <c r="U39" i="7" s="1"/>
  <c r="U16" i="7" a="1"/>
  <c r="U16" i="7" s="1"/>
  <c r="U25" i="7" a="1"/>
  <c r="U25" i="7" s="1"/>
  <c r="U21" i="7" a="1"/>
  <c r="U21" i="7" s="1"/>
  <c r="U20" i="7" s="1"/>
  <c r="U19" i="7" s="1"/>
  <c r="U27" i="7" a="1"/>
  <c r="U27" i="7" s="1"/>
  <c r="U26" i="7" a="1"/>
  <c r="U26" i="7" s="1"/>
  <c r="U24" i="7" a="1"/>
  <c r="U24" i="7" s="1"/>
  <c r="U23" i="7" a="1"/>
  <c r="U23" i="7" s="1"/>
  <c r="W17" i="7" a="1"/>
  <c r="W17" i="7" s="1"/>
  <c r="Z17" i="7" a="1"/>
  <c r="Z17" i="7" s="1"/>
  <c r="Y17" i="7" a="1"/>
  <c r="Y17" i="7" s="1"/>
  <c r="AK39" i="7" a="1"/>
  <c r="AK39" i="7" s="1"/>
  <c r="X12" i="7" a="1"/>
  <c r="X12" i="7" s="1"/>
  <c r="H12" i="7" a="1"/>
  <c r="H12" i="7" s="1"/>
  <c r="AH12" i="7" a="1"/>
  <c r="AH12" i="7" s="1"/>
  <c r="AC12" i="7" a="1"/>
  <c r="AC12" i="7" s="1"/>
  <c r="W12" i="7" a="1"/>
  <c r="W12" i="7" s="1"/>
  <c r="R12" i="7" a="1"/>
  <c r="R12" i="7" s="1"/>
  <c r="M12" i="7" a="1"/>
  <c r="M12" i="7" s="1"/>
  <c r="AJ12" i="7" a="1"/>
  <c r="AJ12" i="7" s="1"/>
  <c r="T12" i="7" a="1"/>
  <c r="T12" i="7" s="1"/>
  <c r="AK12" i="7" a="1"/>
  <c r="AK12" i="7" s="1"/>
  <c r="AA12" i="7" a="1"/>
  <c r="AA12" i="7" s="1"/>
  <c r="S12" i="7" a="1"/>
  <c r="S12" i="7" s="1"/>
  <c r="AI12" i="7" a="1"/>
  <c r="AI12" i="7" s="1"/>
  <c r="J12" i="7" a="1"/>
  <c r="J12" i="7" s="1"/>
  <c r="Z12" i="7" a="1"/>
  <c r="Z12" i="7" s="1"/>
  <c r="Q12" i="7" a="1"/>
  <c r="Q12" i="7" s="1"/>
  <c r="I12" i="7" a="1"/>
  <c r="I12" i="7" s="1"/>
  <c r="AD12" i="7" a="1"/>
  <c r="AD12" i="7" s="1"/>
  <c r="L12" i="7" a="1"/>
  <c r="L12" i="7" s="1"/>
  <c r="AF12" i="7" a="1"/>
  <c r="AF12" i="7" s="1"/>
  <c r="O12" i="7" a="1"/>
  <c r="O12" i="7" s="1"/>
  <c r="AE12" i="7" a="1"/>
  <c r="AE12" i="7" s="1"/>
  <c r="N12" i="7" a="1"/>
  <c r="N12" i="7" s="1"/>
  <c r="E75" i="5"/>
  <c r="AB12" i="7" a="1"/>
  <c r="AB12" i="7" s="1"/>
  <c r="K12" i="7" a="1"/>
  <c r="K12" i="7" s="1"/>
  <c r="Y12" i="7" a="1"/>
  <c r="Y12" i="7" s="1"/>
  <c r="V12" i="7" a="1"/>
  <c r="V12" i="7" s="1"/>
  <c r="U12" i="7" a="1"/>
  <c r="U12" i="7" s="1"/>
  <c r="AG12" i="7" a="1"/>
  <c r="AG12" i="7" s="1"/>
  <c r="P12" i="7" a="1"/>
  <c r="P12" i="7" s="1"/>
  <c r="E153" i="5"/>
  <c r="E133" i="5"/>
  <c r="Y29" i="7" a="1"/>
  <c r="Y29" i="7" s="1"/>
  <c r="AA29" i="7" a="1"/>
  <c r="AA29" i="7" s="1"/>
  <c r="U29" i="7" a="1"/>
  <c r="U29" i="7" s="1"/>
  <c r="AD39" i="7" a="1"/>
  <c r="AD39" i="7" s="1"/>
  <c r="AD23" i="7" a="1"/>
  <c r="AD23" i="7" s="1"/>
  <c r="AD26" i="7" a="1"/>
  <c r="AD26" i="7" s="1"/>
  <c r="AD25" i="7" a="1"/>
  <c r="AD25" i="7" s="1"/>
  <c r="AD27" i="7" a="1"/>
  <c r="AD27" i="7" s="1"/>
  <c r="AD24" i="7" a="1"/>
  <c r="AD24" i="7" s="1"/>
  <c r="AD16" i="7" a="1"/>
  <c r="AD16" i="7" s="1"/>
  <c r="AD21" i="7" a="1"/>
  <c r="AD21" i="7" s="1"/>
  <c r="AD20" i="7" s="1"/>
  <c r="R18" i="7" a="1"/>
  <c r="R18" i="7" s="1"/>
  <c r="AI42" i="7" a="1"/>
  <c r="AI42" i="7" s="1"/>
  <c r="S50" i="7" a="1"/>
  <c r="S50" i="7" s="1"/>
  <c r="X41" i="7" a="1"/>
  <c r="X41" i="7" s="1"/>
  <c r="AJ41" i="7" a="1"/>
  <c r="AJ41" i="7" s="1"/>
  <c r="O39" i="7" a="1"/>
  <c r="O39" i="7" s="1"/>
  <c r="O25" i="7" a="1"/>
  <c r="O25" i="7" s="1"/>
  <c r="O26" i="7" a="1"/>
  <c r="O26" i="7" s="1"/>
  <c r="O24" i="7" a="1"/>
  <c r="O24" i="7" s="1"/>
  <c r="O16" i="7" a="1"/>
  <c r="O16" i="7" s="1"/>
  <c r="O27" i="7" a="1"/>
  <c r="O27" i="7" s="1"/>
  <c r="O23" i="7" a="1"/>
  <c r="O23" i="7" s="1"/>
  <c r="O21" i="7" a="1"/>
  <c r="O21" i="7" s="1"/>
  <c r="O20" i="7" s="1"/>
  <c r="AK17" i="7" a="1"/>
  <c r="AK17" i="7" s="1"/>
  <c r="Q17" i="7" a="1"/>
  <c r="Q17" i="7" s="1"/>
  <c r="AH17" i="7" a="1"/>
  <c r="AH17" i="7" s="1"/>
  <c r="AD17" i="7" a="1"/>
  <c r="AD17" i="7" s="1"/>
  <c r="AI39" i="7" a="1"/>
  <c r="AI39" i="7" s="1"/>
  <c r="AI27" i="7" a="1"/>
  <c r="AI27" i="7" s="1"/>
  <c r="AI21" i="7" a="1"/>
  <c r="AI21" i="7" s="1"/>
  <c r="AI20" i="7" s="1"/>
  <c r="AI26" i="7" a="1"/>
  <c r="AI26" i="7" s="1"/>
  <c r="AI25" i="7" a="1"/>
  <c r="AI25" i="7" s="1"/>
  <c r="AI24" i="7" a="1"/>
  <c r="AI24" i="7" s="1"/>
  <c r="AI23" i="7" a="1"/>
  <c r="AI23" i="7" s="1"/>
  <c r="AI16" i="7" a="1"/>
  <c r="AI16" i="7" s="1"/>
  <c r="F103" i="5"/>
  <c r="Z39" i="7" a="1"/>
  <c r="Z39" i="7" s="1"/>
  <c r="Z24" i="7" a="1"/>
  <c r="Z24" i="7" s="1"/>
  <c r="Z21" i="7" a="1"/>
  <c r="Z21" i="7" s="1"/>
  <c r="Z20" i="7" s="1"/>
  <c r="Z27" i="7" a="1"/>
  <c r="Z27" i="7" s="1"/>
  <c r="Z16" i="7" a="1"/>
  <c r="Z16" i="7" s="1"/>
  <c r="Z25" i="7" a="1"/>
  <c r="Z25" i="7" s="1"/>
  <c r="Z23" i="7" a="1"/>
  <c r="Z23" i="7" s="1"/>
  <c r="Z26" i="7" a="1"/>
  <c r="Z26" i="7" s="1"/>
  <c r="T25" i="7" a="1"/>
  <c r="T25" i="7" s="1"/>
  <c r="T39" i="7" a="1"/>
  <c r="T39" i="7" s="1"/>
  <c r="T24" i="7" a="1"/>
  <c r="T24" i="7" s="1"/>
  <c r="T27" i="7" a="1"/>
  <c r="T27" i="7" s="1"/>
  <c r="T23" i="7" a="1"/>
  <c r="T23" i="7" s="1"/>
  <c r="T16" i="7" a="1"/>
  <c r="T16" i="7" s="1"/>
  <c r="T26" i="7" a="1"/>
  <c r="T26" i="7" s="1"/>
  <c r="T21" i="7" a="1"/>
  <c r="T21" i="7" s="1"/>
  <c r="T20" i="7" s="1"/>
  <c r="AK21" i="7" a="1"/>
  <c r="AK21" i="7" s="1"/>
  <c r="AK20" i="7" s="1"/>
  <c r="AK19" i="7" s="1"/>
  <c r="G24" i="7" a="1"/>
  <c r="G24" i="7" s="1"/>
  <c r="G27" i="7" a="1"/>
  <c r="G27" i="7" s="1"/>
  <c r="G21" i="7" a="1"/>
  <c r="G21" i="7" s="1"/>
  <c r="G23" i="7" a="1"/>
  <c r="G23" i="7" s="1"/>
  <c r="G26" i="7" a="1"/>
  <c r="G26" i="7" s="1"/>
  <c r="G16" i="7" a="1"/>
  <c r="G16" i="7" s="1"/>
  <c r="G25" i="7" a="1"/>
  <c r="G25" i="7" s="1"/>
  <c r="D46" i="5"/>
  <c r="E27" i="5"/>
  <c r="I39" i="7" a="1"/>
  <c r="I39" i="7" s="1"/>
  <c r="I25" i="7" a="1"/>
  <c r="I25" i="7" s="1"/>
  <c r="I16" i="7" a="1"/>
  <c r="I16" i="7" s="1"/>
  <c r="I27" i="7" a="1"/>
  <c r="I27" i="7" s="1"/>
  <c r="I24" i="7" a="1"/>
  <c r="I24" i="7" s="1"/>
  <c r="I23" i="7" a="1"/>
  <c r="I23" i="7" s="1"/>
  <c r="I21" i="7" a="1"/>
  <c r="I21" i="7" s="1"/>
  <c r="I20" i="7" s="1"/>
  <c r="I26" i="7" a="1"/>
  <c r="I26" i="7" s="1"/>
  <c r="N29" i="7" a="1"/>
  <c r="N29" i="7" s="1"/>
  <c r="AH29" i="7" a="1"/>
  <c r="AH29" i="7" s="1"/>
  <c r="AG29" i="7" a="1"/>
  <c r="AG29" i="7" s="1"/>
  <c r="Z29" i="7" a="1"/>
  <c r="Z29" i="7" s="1"/>
  <c r="AA43" i="7" a="1"/>
  <c r="AA43" i="7" s="1"/>
  <c r="N42" i="3"/>
  <c r="AE50" i="7" a="1"/>
  <c r="AE50" i="7" s="1"/>
  <c r="AB50" i="7" a="1"/>
  <c r="AB50" i="7" s="1"/>
  <c r="T50" i="7" a="1"/>
  <c r="T50" i="7" s="1"/>
  <c r="Q41" i="7" a="1"/>
  <c r="Q41" i="7" s="1"/>
  <c r="AK41" i="7" a="1"/>
  <c r="AK41" i="7" s="1"/>
  <c r="AD41" i="7" a="1"/>
  <c r="AD41" i="7" s="1"/>
  <c r="M17" i="7" a="1"/>
  <c r="M17" i="7" s="1"/>
  <c r="AB27" i="7" a="1"/>
  <c r="AB27" i="7" s="1"/>
  <c r="AB26" i="7" a="1"/>
  <c r="AB26" i="7" s="1"/>
  <c r="AB39" i="7" a="1"/>
  <c r="AB39" i="7" s="1"/>
  <c r="AB24" i="7" a="1"/>
  <c r="AB24" i="7" s="1"/>
  <c r="AB23" i="7" a="1"/>
  <c r="AB23" i="7" s="1"/>
  <c r="AB21" i="7" a="1"/>
  <c r="AB21" i="7" s="1"/>
  <c r="AB20" i="7" s="1"/>
  <c r="AB16" i="7" a="1"/>
  <c r="AB16" i="7" s="1"/>
  <c r="AB25" i="7" a="1"/>
  <c r="AB25" i="7" s="1"/>
  <c r="F138" i="5"/>
  <c r="F178" i="5"/>
  <c r="AL12" i="7" a="1"/>
  <c r="AL12" i="7" s="1"/>
  <c r="AL47" i="7" a="1"/>
  <c r="AL47" i="7" s="1"/>
  <c r="AL44" i="7" a="1"/>
  <c r="AL44" i="7" s="1"/>
  <c r="AK16" i="7" a="1"/>
  <c r="AK16" i="7" s="1"/>
  <c r="AB29" i="7" a="1"/>
  <c r="AB29" i="7" s="1"/>
  <c r="W29" i="7" a="1"/>
  <c r="W29" i="7" s="1"/>
  <c r="I29" i="7" a="1"/>
  <c r="I29" i="7" s="1"/>
  <c r="AH38" i="7" a="1"/>
  <c r="AH38" i="7" s="1"/>
  <c r="AE42" i="7" a="1"/>
  <c r="AE42" i="7" s="1"/>
  <c r="AG50" i="7" a="1"/>
  <c r="AG50" i="7" s="1"/>
  <c r="AH41" i="7" a="1"/>
  <c r="AH41" i="7" s="1"/>
  <c r="AE41" i="7" a="1"/>
  <c r="AE41" i="7" s="1"/>
  <c r="T17" i="7" a="1"/>
  <c r="T17" i="7" s="1"/>
  <c r="X17" i="7" a="1"/>
  <c r="X17" i="7" s="1"/>
  <c r="U17" i="7" a="1"/>
  <c r="U17" i="7" s="1"/>
  <c r="S17" i="7" a="1"/>
  <c r="S17" i="7" s="1"/>
  <c r="O17" i="7" a="1"/>
  <c r="O17" i="7" s="1"/>
  <c r="F16" i="5"/>
  <c r="F100" i="5" s="1"/>
  <c r="F99" i="5" s="1"/>
  <c r="F137" i="5"/>
  <c r="AK23" i="7" a="1"/>
  <c r="AK23" i="7" s="1"/>
  <c r="AE39" i="7" a="1"/>
  <c r="AE39" i="7" s="1"/>
  <c r="AE24" i="7" a="1"/>
  <c r="AE24" i="7" s="1"/>
  <c r="AE27" i="7" a="1"/>
  <c r="AE27" i="7" s="1"/>
  <c r="AE16" i="7" a="1"/>
  <c r="AE16" i="7" s="1"/>
  <c r="AE26" i="7" a="1"/>
  <c r="AE26" i="7" s="1"/>
  <c r="AE25" i="7" a="1"/>
  <c r="AE25" i="7" s="1"/>
  <c r="AE23" i="7" a="1"/>
  <c r="AE23" i="7" s="1"/>
  <c r="AE21" i="7" a="1"/>
  <c r="AE21" i="7" s="1"/>
  <c r="AE20" i="7" s="1"/>
  <c r="AE19" i="7" s="1"/>
  <c r="L29" i="7" a="1"/>
  <c r="L29" i="7" s="1"/>
  <c r="T29" i="7" a="1"/>
  <c r="T29" i="7" s="1"/>
  <c r="AK29" i="7" a="1"/>
  <c r="AK29" i="7" s="1"/>
  <c r="AD18" i="7" a="1"/>
  <c r="AD18" i="7" s="1"/>
  <c r="F23" i="7" a="1"/>
  <c r="F23" i="7" s="1"/>
  <c r="F27" i="7" a="1"/>
  <c r="F27" i="7" s="1"/>
  <c r="F16" i="7" a="1"/>
  <c r="F16" i="7" s="1"/>
  <c r="F26" i="7" a="1"/>
  <c r="F26" i="7" s="1"/>
  <c r="F25" i="7" a="1"/>
  <c r="F25" i="7" s="1"/>
  <c r="F24" i="7" a="1"/>
  <c r="F24" i="7" s="1"/>
  <c r="F21" i="7" a="1"/>
  <c r="F21" i="7" s="1"/>
  <c r="AF37" i="7" a="1"/>
  <c r="AF37" i="7" s="1"/>
  <c r="AA37" i="7" a="1"/>
  <c r="AA37" i="7" s="1"/>
  <c r="AJ37" i="7" a="1"/>
  <c r="AJ37" i="7" s="1"/>
  <c r="AE37" i="7" a="1"/>
  <c r="AE37" i="7" s="1"/>
  <c r="V37" i="7" a="1"/>
  <c r="V37" i="7" s="1"/>
  <c r="R37" i="7" a="1"/>
  <c r="R37" i="7" s="1"/>
  <c r="N37" i="7" a="1"/>
  <c r="N37" i="7" s="1"/>
  <c r="J37" i="7" a="1"/>
  <c r="J37" i="7" s="1"/>
  <c r="AI37" i="7" a="1"/>
  <c r="AI37" i="7" s="1"/>
  <c r="Z37" i="7" a="1"/>
  <c r="Z37" i="7" s="1"/>
  <c r="AK37" i="7" a="1"/>
  <c r="AK37" i="7" s="1"/>
  <c r="AB37" i="7" a="1"/>
  <c r="AB37" i="7" s="1"/>
  <c r="W37" i="7" a="1"/>
  <c r="W37" i="7" s="1"/>
  <c r="S37" i="7" a="1"/>
  <c r="S37" i="7" s="1"/>
  <c r="O37" i="7" a="1"/>
  <c r="O37" i="7" s="1"/>
  <c r="K37" i="7" a="1"/>
  <c r="K37" i="7" s="1"/>
  <c r="Q37" i="7" a="1"/>
  <c r="Q37" i="7" s="1"/>
  <c r="I37" i="7" a="1"/>
  <c r="I37" i="7" s="1"/>
  <c r="AH37" i="7" a="1"/>
  <c r="AH37" i="7" s="1"/>
  <c r="Y37" i="7" a="1"/>
  <c r="Y37" i="7" s="1"/>
  <c r="P37" i="7" a="1"/>
  <c r="P37" i="7" s="1"/>
  <c r="H37" i="7" a="1"/>
  <c r="H37" i="7" s="1"/>
  <c r="AG37" i="7" a="1"/>
  <c r="AG37" i="7" s="1"/>
  <c r="AD37" i="7" a="1"/>
  <c r="AD37" i="7" s="1"/>
  <c r="L37" i="7" a="1"/>
  <c r="L37" i="7" s="1"/>
  <c r="AC37" i="7" a="1"/>
  <c r="AC37" i="7" s="1"/>
  <c r="X37" i="7" a="1"/>
  <c r="X37" i="7" s="1"/>
  <c r="U37" i="7" a="1"/>
  <c r="U37" i="7" s="1"/>
  <c r="T37" i="7" a="1"/>
  <c r="T37" i="7" s="1"/>
  <c r="M37" i="7" a="1"/>
  <c r="M37" i="7" s="1"/>
  <c r="E131" i="5"/>
  <c r="E151" i="5"/>
  <c r="E171" i="5"/>
  <c r="AB45" i="7" a="1"/>
  <c r="AB45" i="7" s="1"/>
  <c r="AG49" i="7" a="1"/>
  <c r="AG49" i="7" s="1"/>
  <c r="R39" i="7" a="1"/>
  <c r="R39" i="7" s="1"/>
  <c r="R23" i="7" a="1"/>
  <c r="R23" i="7" s="1"/>
  <c r="R16" i="7" a="1"/>
  <c r="R16" i="7" s="1"/>
  <c r="R24" i="7" a="1"/>
  <c r="R24" i="7" s="1"/>
  <c r="R21" i="7" a="1"/>
  <c r="R21" i="7" s="1"/>
  <c r="R20" i="7" s="1"/>
  <c r="R27" i="7" a="1"/>
  <c r="R27" i="7" s="1"/>
  <c r="R26" i="7" a="1"/>
  <c r="R26" i="7" s="1"/>
  <c r="R25" i="7" a="1"/>
  <c r="R25" i="7" s="1"/>
  <c r="T18" i="7" a="1"/>
  <c r="T18" i="7" s="1"/>
  <c r="AD45" i="7" a="1"/>
  <c r="AD45" i="7" s="1"/>
  <c r="O49" i="7" a="1"/>
  <c r="O49" i="7" s="1"/>
  <c r="AD49" i="7" a="1"/>
  <c r="AD49" i="7" s="1"/>
  <c r="AG43" i="7" a="1"/>
  <c r="AG43" i="7" s="1"/>
  <c r="W43" i="7" a="1"/>
  <c r="W43" i="7" s="1"/>
  <c r="W42" i="7" a="1"/>
  <c r="W42" i="7" s="1"/>
  <c r="Y50" i="7" a="1"/>
  <c r="Y50" i="7" s="1"/>
  <c r="O18" i="7" a="1"/>
  <c r="O18" i="7" s="1"/>
  <c r="AH18" i="7" a="1"/>
  <c r="AH18" i="7" s="1"/>
  <c r="N45" i="7" a="1"/>
  <c r="N45" i="7" s="1"/>
  <c r="B24" i="7" a="1"/>
  <c r="B24" i="7" s="1"/>
  <c r="B25" i="7" a="1"/>
  <c r="B25" i="7" s="1"/>
  <c r="B16" i="7" a="1"/>
  <c r="B16" i="7" s="1"/>
  <c r="B27" i="7" a="1"/>
  <c r="B27" i="7" s="1"/>
  <c r="B26" i="7" a="1"/>
  <c r="B26" i="7" s="1"/>
  <c r="B23" i="7" a="1"/>
  <c r="B23" i="7" s="1"/>
  <c r="B21" i="7" a="1"/>
  <c r="B21" i="7" s="1"/>
  <c r="AF24" i="7" a="1"/>
  <c r="AF24" i="7" s="1"/>
  <c r="AF39" i="7" a="1"/>
  <c r="AF39" i="7" s="1"/>
  <c r="AF21" i="7" a="1"/>
  <c r="AF21" i="7" s="1"/>
  <c r="AF20" i="7" s="1"/>
  <c r="AF26" i="7" a="1"/>
  <c r="AF26" i="7" s="1"/>
  <c r="AF27" i="7" a="1"/>
  <c r="AF27" i="7" s="1"/>
  <c r="AF23" i="7" a="1"/>
  <c r="AF23" i="7" s="1"/>
  <c r="AF16" i="7" a="1"/>
  <c r="AF16" i="7" s="1"/>
  <c r="AF25" i="7" a="1"/>
  <c r="AF25" i="7" s="1"/>
  <c r="V39" i="7" a="1"/>
  <c r="V39" i="7" s="1"/>
  <c r="V26" i="7" a="1"/>
  <c r="V26" i="7" s="1"/>
  <c r="V27" i="7" a="1"/>
  <c r="V27" i="7" s="1"/>
  <c r="V24" i="7" a="1"/>
  <c r="V24" i="7" s="1"/>
  <c r="V16" i="7" a="1"/>
  <c r="V16" i="7" s="1"/>
  <c r="V25" i="7" a="1"/>
  <c r="V25" i="7" s="1"/>
  <c r="V23" i="7" a="1"/>
  <c r="V23" i="7" s="1"/>
  <c r="V21" i="7" a="1"/>
  <c r="V21" i="7" s="1"/>
  <c r="V20" i="7" s="1"/>
  <c r="E27" i="7" a="1"/>
  <c r="E27" i="7" s="1"/>
  <c r="E16" i="7" a="1"/>
  <c r="E16" i="7" s="1"/>
  <c r="E23" i="7" a="1"/>
  <c r="E23" i="7" s="1"/>
  <c r="E21" i="7" a="1"/>
  <c r="E21" i="7" s="1"/>
  <c r="E25" i="7" a="1"/>
  <c r="E25" i="7" s="1"/>
  <c r="E26" i="7" a="1"/>
  <c r="E26" i="7" s="1"/>
  <c r="E24" i="7" a="1"/>
  <c r="E24" i="7" s="1"/>
  <c r="X49" i="7" a="1"/>
  <c r="X49" i="7" s="1"/>
  <c r="M49" i="7" a="1"/>
  <c r="M49" i="7" s="1"/>
  <c r="M43" i="7" a="1"/>
  <c r="M43" i="7" s="1"/>
  <c r="R43" i="7" a="1"/>
  <c r="R43" i="7" s="1"/>
  <c r="AD43" i="7" a="1"/>
  <c r="AD43" i="7" s="1"/>
  <c r="O43" i="7" a="1"/>
  <c r="O43" i="7" s="1"/>
  <c r="V42" i="7" a="1"/>
  <c r="V42" i="7" s="1"/>
  <c r="AD42" i="7" a="1"/>
  <c r="AD42" i="7" s="1"/>
  <c r="Z50" i="7" a="1"/>
  <c r="Z50" i="7" s="1"/>
  <c r="N50" i="7" a="1"/>
  <c r="N50" i="7" s="1"/>
  <c r="AH50" i="7" a="1"/>
  <c r="AH50" i="7" s="1"/>
  <c r="Z41" i="7" a="1"/>
  <c r="Z41" i="7" s="1"/>
  <c r="U41" i="7" a="1"/>
  <c r="U41" i="7" s="1"/>
  <c r="I41" i="7" a="1"/>
  <c r="I41" i="7" s="1"/>
  <c r="AI41" i="7" a="1"/>
  <c r="AI41" i="7" s="1"/>
  <c r="AG17" i="7" a="1"/>
  <c r="AG17" i="7" s="1"/>
  <c r="AB17" i="7" a="1"/>
  <c r="AB17" i="7" s="1"/>
  <c r="AE17" i="7" a="1"/>
  <c r="AE17" i="7" s="1"/>
  <c r="AK46" i="7" a="1"/>
  <c r="AK46" i="7" s="1"/>
  <c r="AF46" i="7" a="1"/>
  <c r="AF46" i="7" s="1"/>
  <c r="W46" i="7" a="1"/>
  <c r="W46" i="7" s="1"/>
  <c r="N46" i="7" a="1"/>
  <c r="N46" i="7" s="1"/>
  <c r="AJ46" i="7" a="1"/>
  <c r="AJ46" i="7" s="1"/>
  <c r="AA46" i="7" a="1"/>
  <c r="AA46" i="7" s="1"/>
  <c r="R46" i="7" a="1"/>
  <c r="R46" i="7" s="1"/>
  <c r="I46" i="7" a="1"/>
  <c r="I46" i="7" s="1"/>
  <c r="AE46" i="7" a="1"/>
  <c r="AE46" i="7" s="1"/>
  <c r="V46" i="7" a="1"/>
  <c r="V46" i="7" s="1"/>
  <c r="M46" i="7" a="1"/>
  <c r="M46" i="7" s="1"/>
  <c r="H46" i="7" a="1"/>
  <c r="H46" i="7" s="1"/>
  <c r="AD46" i="7" a="1"/>
  <c r="AD46" i="7" s="1"/>
  <c r="U46" i="7" a="1"/>
  <c r="U46" i="7" s="1"/>
  <c r="P46" i="7" a="1"/>
  <c r="P46" i="7" s="1"/>
  <c r="AB46" i="7" a="1"/>
  <c r="AB46" i="7" s="1"/>
  <c r="S46" i="7" a="1"/>
  <c r="S46" i="7" s="1"/>
  <c r="J46" i="7" a="1"/>
  <c r="J46" i="7" s="1"/>
  <c r="AI46" i="7" a="1"/>
  <c r="AI46" i="7" s="1"/>
  <c r="Z46" i="7" a="1"/>
  <c r="Z46" i="7" s="1"/>
  <c r="Q46" i="7" a="1"/>
  <c r="Q46" i="7" s="1"/>
  <c r="T46" i="7" a="1"/>
  <c r="T46" i="7" s="1"/>
  <c r="K46" i="7" a="1"/>
  <c r="K46" i="7" s="1"/>
  <c r="AC46" i="7" a="1"/>
  <c r="AC46" i="7" s="1"/>
  <c r="AH46" i="7" a="1"/>
  <c r="AH46" i="7" s="1"/>
  <c r="O46" i="7" a="1"/>
  <c r="O46" i="7" s="1"/>
  <c r="AG46" i="7" a="1"/>
  <c r="AG46" i="7" s="1"/>
  <c r="L46" i="7" a="1"/>
  <c r="L46" i="7" s="1"/>
  <c r="Y46" i="7" a="1"/>
  <c r="Y46" i="7" s="1"/>
  <c r="X46" i="7" a="1"/>
  <c r="X46" i="7" s="1"/>
  <c r="E140" i="5"/>
  <c r="F39" i="5"/>
  <c r="F79" i="5" s="1"/>
  <c r="F107" i="5"/>
  <c r="AL37" i="7" a="1"/>
  <c r="AL37" i="7" s="1"/>
  <c r="AL40" i="7" a="1"/>
  <c r="AL40" i="7" s="1"/>
  <c r="AL48" i="7" a="1"/>
  <c r="AL48" i="7" s="1"/>
  <c r="AK24" i="7" a="1"/>
  <c r="AK24" i="7" s="1"/>
  <c r="AG28" i="7" a="1"/>
  <c r="AG28" i="7" s="1"/>
  <c r="AA28" i="7" a="1"/>
  <c r="AA28" i="7" s="1"/>
  <c r="V28" i="7" a="1"/>
  <c r="V28" i="7" s="1"/>
  <c r="AF28" i="7" a="1"/>
  <c r="AF28" i="7" s="1"/>
  <c r="P28" i="7" a="1"/>
  <c r="P28" i="7" s="1"/>
  <c r="AE28" i="7" a="1"/>
  <c r="AE28" i="7" s="1"/>
  <c r="Y28" i="7" a="1"/>
  <c r="Y28" i="7" s="1"/>
  <c r="R28" i="7" a="1"/>
  <c r="R28" i="7" s="1"/>
  <c r="L28" i="7" a="1"/>
  <c r="L28" i="7" s="1"/>
  <c r="X28" i="7" a="1"/>
  <c r="X28" i="7" s="1"/>
  <c r="K28" i="7" a="1"/>
  <c r="K28" i="7" s="1"/>
  <c r="AK28" i="7" a="1"/>
  <c r="AK28" i="7" s="1"/>
  <c r="AD28" i="7" a="1"/>
  <c r="AD28" i="7" s="1"/>
  <c r="W28" i="7" a="1"/>
  <c r="W28" i="7" s="1"/>
  <c r="Q28" i="7" a="1"/>
  <c r="Q28" i="7" s="1"/>
  <c r="J28" i="7" a="1"/>
  <c r="J28" i="7" s="1"/>
  <c r="AJ28" i="7" a="1"/>
  <c r="AJ28" i="7" s="1"/>
  <c r="O28" i="7" a="1"/>
  <c r="O28" i="7" s="1"/>
  <c r="AI28" i="7" a="1"/>
  <c r="AI28" i="7" s="1"/>
  <c r="AC28" i="7" a="1"/>
  <c r="AC28" i="7" s="1"/>
  <c r="U28" i="7" a="1"/>
  <c r="U28" i="7" s="1"/>
  <c r="I28" i="7" a="1"/>
  <c r="I28" i="7" s="1"/>
  <c r="AB28" i="7" a="1"/>
  <c r="AB28" i="7" s="1"/>
  <c r="T28" i="7" a="1"/>
  <c r="T28" i="7" s="1"/>
  <c r="N28" i="7" a="1"/>
  <c r="N28" i="7" s="1"/>
  <c r="H28" i="7" a="1"/>
  <c r="H28" i="7" s="1"/>
  <c r="AH28" i="7" a="1"/>
  <c r="AH28" i="7" s="1"/>
  <c r="Z28" i="7" a="1"/>
  <c r="Z28" i="7" s="1"/>
  <c r="S28" i="7" a="1"/>
  <c r="S28" i="7" s="1"/>
  <c r="M28" i="7" a="1"/>
  <c r="M28" i="7" s="1"/>
  <c r="S29" i="7" a="1"/>
  <c r="S29" i="7" s="1"/>
  <c r="AJ29" i="7" a="1"/>
  <c r="AJ29" i="7" s="1"/>
  <c r="N45" i="3"/>
  <c r="O19" i="3"/>
  <c r="AI49" i="7" a="1"/>
  <c r="AI49" i="7" s="1"/>
  <c r="S45" i="7" a="1"/>
  <c r="S45" i="7" s="1"/>
  <c r="AB49" i="7" a="1"/>
  <c r="AB49" i="7" s="1"/>
  <c r="J39" i="7" a="1"/>
  <c r="J39" i="7" s="1"/>
  <c r="J26" i="7" a="1"/>
  <c r="J26" i="7" s="1"/>
  <c r="J27" i="7" a="1"/>
  <c r="J27" i="7" s="1"/>
  <c r="J21" i="7" a="1"/>
  <c r="J21" i="7" s="1"/>
  <c r="J20" i="7" s="1"/>
  <c r="J16" i="7" a="1"/>
  <c r="J16" i="7" s="1"/>
  <c r="J25" i="7" a="1"/>
  <c r="J25" i="7" s="1"/>
  <c r="J23" i="7" a="1"/>
  <c r="J23" i="7" s="1"/>
  <c r="J24" i="7" a="1"/>
  <c r="J24" i="7" s="1"/>
  <c r="Z38" i="7" a="1"/>
  <c r="Z38" i="7" s="1"/>
  <c r="AJ45" i="7" a="1"/>
  <c r="AJ45" i="7" s="1"/>
  <c r="AC39" i="7" a="1"/>
  <c r="AC39" i="7" s="1"/>
  <c r="AC27" i="7" a="1"/>
  <c r="AC27" i="7" s="1"/>
  <c r="AC25" i="7" a="1"/>
  <c r="AC25" i="7" s="1"/>
  <c r="AC24" i="7" a="1"/>
  <c r="AC24" i="7" s="1"/>
  <c r="AC26" i="7" a="1"/>
  <c r="AC26" i="7" s="1"/>
  <c r="AC21" i="7" a="1"/>
  <c r="AC21" i="7" s="1"/>
  <c r="AC20" i="7" s="1"/>
  <c r="AC23" i="7" a="1"/>
  <c r="AC23" i="7" s="1"/>
  <c r="AC16" i="7" a="1"/>
  <c r="AC16" i="7" s="1"/>
  <c r="AC49" i="7" a="1"/>
  <c r="AC49" i="7" s="1"/>
  <c r="U42" i="7" a="1"/>
  <c r="U42" i="7" s="1"/>
  <c r="M50" i="7" a="1"/>
  <c r="M50" i="7" s="1"/>
  <c r="L38" i="7" a="1"/>
  <c r="L38" i="7" s="1"/>
  <c r="Y18" i="7" a="1"/>
  <c r="Y18" i="7" s="1"/>
  <c r="L18" i="7" a="1"/>
  <c r="L18" i="7" s="1"/>
  <c r="AF44" i="7" a="1"/>
  <c r="AF44" i="7" s="1"/>
  <c r="Z44" i="7" a="1"/>
  <c r="Z44" i="7" s="1"/>
  <c r="S44" i="7" a="1"/>
  <c r="S44" i="7" s="1"/>
  <c r="M44" i="7" a="1"/>
  <c r="M44" i="7" s="1"/>
  <c r="AE44" i="7" a="1"/>
  <c r="AE44" i="7" s="1"/>
  <c r="Y44" i="7" a="1"/>
  <c r="Y44" i="7" s="1"/>
  <c r="L44" i="7" a="1"/>
  <c r="L44" i="7" s="1"/>
  <c r="AH44" i="7" a="1"/>
  <c r="AH44" i="7" s="1"/>
  <c r="AA44" i="7" a="1"/>
  <c r="AA44" i="7" s="1"/>
  <c r="U44" i="7" a="1"/>
  <c r="U44" i="7" s="1"/>
  <c r="H44" i="7" a="1"/>
  <c r="H44" i="7" s="1"/>
  <c r="AG44" i="7" a="1"/>
  <c r="AG44" i="7" s="1"/>
  <c r="T44" i="7" a="1"/>
  <c r="T44" i="7" s="1"/>
  <c r="N44" i="7" a="1"/>
  <c r="N44" i="7" s="1"/>
  <c r="AK44" i="7" a="1"/>
  <c r="AK44" i="7" s="1"/>
  <c r="X44" i="7" a="1"/>
  <c r="X44" i="7" s="1"/>
  <c r="K44" i="7" a="1"/>
  <c r="K44" i="7" s="1"/>
  <c r="AJ44" i="7" a="1"/>
  <c r="AJ44" i="7" s="1"/>
  <c r="W44" i="7" a="1"/>
  <c r="W44" i="7" s="1"/>
  <c r="AI44" i="7" a="1"/>
  <c r="AI44" i="7" s="1"/>
  <c r="J44" i="7" a="1"/>
  <c r="J44" i="7" s="1"/>
  <c r="V44" i="7" a="1"/>
  <c r="V44" i="7" s="1"/>
  <c r="I44" i="7" a="1"/>
  <c r="I44" i="7" s="1"/>
  <c r="R44" i="7" a="1"/>
  <c r="R44" i="7" s="1"/>
  <c r="AD44" i="7" a="1"/>
  <c r="AD44" i="7" s="1"/>
  <c r="Q44" i="7" a="1"/>
  <c r="Q44" i="7" s="1"/>
  <c r="AC44" i="7" a="1"/>
  <c r="AC44" i="7" s="1"/>
  <c r="P44" i="7" a="1"/>
  <c r="P44" i="7" s="1"/>
  <c r="AB44" i="7" a="1"/>
  <c r="AB44" i="7" s="1"/>
  <c r="O44" i="7" a="1"/>
  <c r="O44" i="7" s="1"/>
  <c r="E79" i="5"/>
  <c r="E158" i="5"/>
  <c r="E138" i="5"/>
  <c r="E178" i="5"/>
  <c r="F179" i="5" s="1"/>
  <c r="G179" i="5" s="1"/>
  <c r="H39" i="7" a="1"/>
  <c r="H39" i="7" s="1"/>
  <c r="H26" i="7" a="1"/>
  <c r="H26" i="7" s="1"/>
  <c r="H24" i="7" a="1"/>
  <c r="H24" i="7" s="1"/>
  <c r="H25" i="7" a="1"/>
  <c r="H25" i="7" s="1"/>
  <c r="H27" i="7" a="1"/>
  <c r="H27" i="7" s="1"/>
  <c r="H23" i="7" a="1"/>
  <c r="H23" i="7" s="1"/>
  <c r="H21" i="7" a="1"/>
  <c r="H21" i="7" s="1"/>
  <c r="H20" i="7" s="1"/>
  <c r="H16" i="7" a="1"/>
  <c r="H16" i="7" s="1"/>
  <c r="X38" i="7" a="1"/>
  <c r="X38" i="7" s="1"/>
  <c r="N38" i="7" a="1"/>
  <c r="N38" i="7" s="1"/>
  <c r="U38" i="7" a="1"/>
  <c r="U38" i="7" s="1"/>
  <c r="M38" i="7" a="1"/>
  <c r="M38" i="7" s="1"/>
  <c r="N18" i="7" a="1"/>
  <c r="N18" i="7" s="1"/>
  <c r="AG18" i="7" a="1"/>
  <c r="AG18" i="7" s="1"/>
  <c r="U18" i="7" a="1"/>
  <c r="U18" i="7" s="1"/>
  <c r="W45" i="7" a="1"/>
  <c r="W45" i="7" s="1"/>
  <c r="K39" i="7" a="1"/>
  <c r="K39" i="7" s="1"/>
  <c r="K23" i="7" a="1"/>
  <c r="K23" i="7" s="1"/>
  <c r="K21" i="7" a="1"/>
  <c r="K21" i="7" s="1"/>
  <c r="K20" i="7" s="1"/>
  <c r="K19" i="7" s="1"/>
  <c r="K26" i="7" a="1"/>
  <c r="K26" i="7" s="1"/>
  <c r="K27" i="7" a="1"/>
  <c r="K27" i="7" s="1"/>
  <c r="K25" i="7" a="1"/>
  <c r="K25" i="7" s="1"/>
  <c r="K24" i="7" a="1"/>
  <c r="K24" i="7" s="1"/>
  <c r="K16" i="7" a="1"/>
  <c r="K16" i="7" s="1"/>
  <c r="F196" i="5"/>
  <c r="F195" i="5"/>
  <c r="H49" i="7" a="1"/>
  <c r="H49" i="7" s="1"/>
  <c r="V49" i="7" a="1"/>
  <c r="V49" i="7" s="1"/>
  <c r="T49" i="7" a="1"/>
  <c r="T49" i="7" s="1"/>
  <c r="L49" i="7" a="1"/>
  <c r="L49" i="7" s="1"/>
  <c r="K43" i="7" a="1"/>
  <c r="K43" i="7" s="1"/>
  <c r="J43" i="7" a="1"/>
  <c r="J43" i="7" s="1"/>
  <c r="AJ43" i="7" a="1"/>
  <c r="AJ43" i="7" s="1"/>
  <c r="V43" i="7" a="1"/>
  <c r="V43" i="7" s="1"/>
  <c r="AB42" i="7" a="1"/>
  <c r="AB42" i="7" s="1"/>
  <c r="H42" i="7" a="1"/>
  <c r="H42" i="7" s="1"/>
  <c r="AJ42" i="7" a="1"/>
  <c r="AJ42" i="7" s="1"/>
  <c r="H50" i="7" a="1"/>
  <c r="H50" i="7" s="1"/>
  <c r="AJ50" i="7" a="1"/>
  <c r="AJ50" i="7" s="1"/>
  <c r="W50" i="7" a="1"/>
  <c r="W50" i="7" s="1"/>
  <c r="O50" i="7" a="1"/>
  <c r="O50" i="7" s="1"/>
  <c r="K41" i="7" a="1"/>
  <c r="K41" i="7" s="1"/>
  <c r="M41" i="7" a="1"/>
  <c r="M41" i="7" s="1"/>
  <c r="N41" i="7" a="1"/>
  <c r="N41" i="7" s="1"/>
  <c r="I17" i="7" a="1"/>
  <c r="I17" i="7" s="1"/>
  <c r="N17" i="7" a="1"/>
  <c r="N17" i="7" s="1"/>
  <c r="AI17" i="7" a="1"/>
  <c r="AI17" i="7" s="1"/>
  <c r="AH39" i="7" a="1"/>
  <c r="AH39" i="7" s="1"/>
  <c r="AH26" i="7" a="1"/>
  <c r="AH26" i="7" s="1"/>
  <c r="AH16" i="7" a="1"/>
  <c r="AH16" i="7" s="1"/>
  <c r="AH24" i="7" a="1"/>
  <c r="AH24" i="7" s="1"/>
  <c r="AH21" i="7" a="1"/>
  <c r="AH21" i="7" s="1"/>
  <c r="AH20" i="7" s="1"/>
  <c r="AH19" i="7" s="1"/>
  <c r="AH25" i="7" a="1"/>
  <c r="AH25" i="7" s="1"/>
  <c r="AH23" i="7" a="1"/>
  <c r="AH23" i="7" s="1"/>
  <c r="AH27" i="7" a="1"/>
  <c r="AH27" i="7" s="1"/>
  <c r="E78" i="5"/>
  <c r="F153" i="5"/>
  <c r="H5" i="6"/>
  <c r="I4" i="6"/>
  <c r="F4" i="7"/>
  <c r="F3" i="7" s="1"/>
  <c r="AL15" i="7" a="1"/>
  <c r="AL15" i="7" s="1"/>
  <c r="AA39" i="7" a="1"/>
  <c r="AA39" i="7" s="1"/>
  <c r="AA23" i="7" a="1"/>
  <c r="AA23" i="7" s="1"/>
  <c r="AA25" i="7" a="1"/>
  <c r="AA25" i="7" s="1"/>
  <c r="AA21" i="7" a="1"/>
  <c r="AA21" i="7" s="1"/>
  <c r="AA20" i="7" s="1"/>
  <c r="AA26" i="7" a="1"/>
  <c r="AA26" i="7" s="1"/>
  <c r="AA24" i="7" a="1"/>
  <c r="AA24" i="7" s="1"/>
  <c r="AA27" i="7" a="1"/>
  <c r="AA27" i="7" s="1"/>
  <c r="AA16" i="7" a="1"/>
  <c r="AA16" i="7" s="1"/>
  <c r="E160" i="5"/>
  <c r="I10" i="6"/>
  <c r="AC29" i="7" a="1"/>
  <c r="AC29" i="7" s="1"/>
  <c r="P29" i="7" a="1"/>
  <c r="P29" i="7" s="1"/>
  <c r="K29" i="7" a="1"/>
  <c r="K29" i="7" s="1"/>
  <c r="G137" i="5" l="1"/>
  <c r="G160" i="5"/>
  <c r="G144" i="5"/>
  <c r="X19" i="7"/>
  <c r="AI14" i="7" a="1"/>
  <c r="AI14" i="7" s="1"/>
  <c r="AE14" i="7" a="1"/>
  <c r="AE14" i="7" s="1"/>
  <c r="AA14" i="7" a="1"/>
  <c r="AA14" i="7" s="1"/>
  <c r="W14" i="7" a="1"/>
  <c r="W14" i="7" s="1"/>
  <c r="S14" i="7" a="1"/>
  <c r="S14" i="7" s="1"/>
  <c r="O14" i="7" a="1"/>
  <c r="O14" i="7" s="1"/>
  <c r="K14" i="7" a="1"/>
  <c r="K14" i="7" s="1"/>
  <c r="AH14" i="7" a="1"/>
  <c r="AH14" i="7" s="1"/>
  <c r="AB14" i="7" a="1"/>
  <c r="AB14" i="7" s="1"/>
  <c r="I14" i="7" a="1"/>
  <c r="I14" i="7" s="1"/>
  <c r="U14" i="7" a="1"/>
  <c r="U14" i="7" s="1"/>
  <c r="N14" i="7" a="1"/>
  <c r="N14" i="7" s="1"/>
  <c r="H14" i="7" a="1"/>
  <c r="H14" i="7" s="1"/>
  <c r="AG14" i="7" a="1"/>
  <c r="AG14" i="7" s="1"/>
  <c r="Z14" i="7" a="1"/>
  <c r="Z14" i="7" s="1"/>
  <c r="AF14" i="7" a="1"/>
  <c r="AF14" i="7" s="1"/>
  <c r="M14" i="7" a="1"/>
  <c r="M14" i="7" s="1"/>
  <c r="Y14" i="7" a="1"/>
  <c r="Y14" i="7" s="1"/>
  <c r="R14" i="7" a="1"/>
  <c r="R14" i="7" s="1"/>
  <c r="AK14" i="7" a="1"/>
  <c r="AK14" i="7" s="1"/>
  <c r="AD14" i="7" a="1"/>
  <c r="AD14" i="7" s="1"/>
  <c r="X14" i="7" a="1"/>
  <c r="X14" i="7" s="1"/>
  <c r="AJ14" i="7" a="1"/>
  <c r="AJ14" i="7" s="1"/>
  <c r="Q14" i="7" a="1"/>
  <c r="Q14" i="7" s="1"/>
  <c r="J14" i="7" a="1"/>
  <c r="J14" i="7" s="1"/>
  <c r="AC14" i="7" a="1"/>
  <c r="AC14" i="7" s="1"/>
  <c r="V14" i="7" a="1"/>
  <c r="V14" i="7" s="1"/>
  <c r="T14" i="7" a="1"/>
  <c r="T14" i="7" s="1"/>
  <c r="P14" i="7" a="1"/>
  <c r="P14" i="7" s="1"/>
  <c r="L14" i="7" a="1"/>
  <c r="L14" i="7" s="1"/>
  <c r="E77" i="5"/>
  <c r="AL14" i="7" a="1"/>
  <c r="AL14" i="7" s="1"/>
  <c r="T19" i="7"/>
  <c r="G107" i="5"/>
  <c r="M19" i="7"/>
  <c r="F162" i="5"/>
  <c r="F142" i="5"/>
  <c r="J19" i="7"/>
  <c r="N19" i="3"/>
  <c r="U45" i="3"/>
  <c r="R19" i="7"/>
  <c r="F95" i="5"/>
  <c r="N19" i="7"/>
  <c r="G142" i="5"/>
  <c r="G136" i="5"/>
  <c r="G141" i="5"/>
  <c r="G178" i="5"/>
  <c r="AJ19" i="7"/>
  <c r="P19" i="7"/>
  <c r="Y19" i="7"/>
  <c r="AN48" i="7" a="1"/>
  <c r="AN48" i="7" s="1"/>
  <c r="AN47" i="7" a="1"/>
  <c r="AN47" i="7" s="1"/>
  <c r="AN46" i="7" a="1"/>
  <c r="AN46" i="7" s="1"/>
  <c r="AN49" i="7" a="1"/>
  <c r="AN49" i="7" s="1"/>
  <c r="AN45" i="7" a="1"/>
  <c r="AN45" i="7" s="1"/>
  <c r="AN43" i="7" a="1"/>
  <c r="AN43" i="7" s="1"/>
  <c r="AN50" i="7" a="1"/>
  <c r="AN50" i="7" s="1"/>
  <c r="AN44" i="7" a="1"/>
  <c r="AN44" i="7" s="1"/>
  <c r="AN41" i="7" a="1"/>
  <c r="AN41" i="7" s="1"/>
  <c r="AN39" i="7" a="1"/>
  <c r="AN39" i="7" s="1"/>
  <c r="AN38" i="7" a="1"/>
  <c r="AN38" i="7" s="1"/>
  <c r="AN42" i="7" a="1"/>
  <c r="AN42" i="7" s="1"/>
  <c r="AN37" i="7" a="1"/>
  <c r="AN37" i="7" s="1"/>
  <c r="AN40" i="7" a="1"/>
  <c r="AN40" i="7" s="1"/>
  <c r="AN30" i="7" a="1"/>
  <c r="AN30" i="7" s="1"/>
  <c r="AN26" i="7" a="1"/>
  <c r="AN26" i="7" s="1"/>
  <c r="AN18" i="7" a="1"/>
  <c r="AN18" i="7" s="1"/>
  <c r="AN31" i="7" a="1"/>
  <c r="AN31" i="7" s="1"/>
  <c r="AN29" i="7" a="1"/>
  <c r="AN29" i="7" s="1"/>
  <c r="AN36" i="7" a="1"/>
  <c r="AN36" i="7" s="1"/>
  <c r="AN24" i="7" a="1"/>
  <c r="AN24" i="7" s="1"/>
  <c r="AN16" i="7" a="1"/>
  <c r="AN16" i="7" s="1"/>
  <c r="AN27" i="7" a="1"/>
  <c r="AN27" i="7" s="1"/>
  <c r="AN25" i="7" a="1"/>
  <c r="AN25" i="7" s="1"/>
  <c r="AN28" i="7" a="1"/>
  <c r="AN28" i="7" s="1"/>
  <c r="AN12" i="7" a="1"/>
  <c r="AN12" i="7" s="1"/>
  <c r="AN21" i="7" a="1"/>
  <c r="AN21" i="7" s="1"/>
  <c r="AN20" i="7" s="1"/>
  <c r="AN15" i="7" a="1"/>
  <c r="AN15" i="7" s="1"/>
  <c r="AN14" i="7" a="1"/>
  <c r="AN14" i="7" s="1"/>
  <c r="AN23" i="7" a="1"/>
  <c r="AN23" i="7" s="1"/>
  <c r="AN17" i="7" a="1"/>
  <c r="AN17" i="7" s="1"/>
  <c r="G40" i="5"/>
  <c r="G96" i="5"/>
  <c r="G95" i="5" s="1"/>
  <c r="G176" i="5"/>
  <c r="H196" i="5"/>
  <c r="H195" i="5"/>
  <c r="J10" i="6"/>
  <c r="S19" i="7"/>
  <c r="AO113" i="7"/>
  <c r="AO111" i="7"/>
  <c r="AO109" i="7"/>
  <c r="AO107" i="7"/>
  <c r="AO105" i="7"/>
  <c r="AO103" i="7"/>
  <c r="AO101" i="7"/>
  <c r="AO99" i="7"/>
  <c r="AO97" i="7"/>
  <c r="AO95" i="7"/>
  <c r="AO93" i="7"/>
  <c r="AO91" i="7"/>
  <c r="AO89" i="7"/>
  <c r="AO114" i="7"/>
  <c r="AO88" i="7"/>
  <c r="AO85" i="7"/>
  <c r="AO83" i="7"/>
  <c r="AO112" i="7"/>
  <c r="AO102" i="7"/>
  <c r="AO94" i="7"/>
  <c r="AO82" i="7"/>
  <c r="AO80" i="7"/>
  <c r="AO77" i="7"/>
  <c r="AO110" i="7"/>
  <c r="AO84" i="7"/>
  <c r="AO104" i="7"/>
  <c r="AO96" i="7"/>
  <c r="AO87" i="7"/>
  <c r="AO81" i="7"/>
  <c r="AO79" i="7"/>
  <c r="AO72" i="7"/>
  <c r="AO70" i="7"/>
  <c r="AO90" i="7"/>
  <c r="AO69" i="7"/>
  <c r="AO65" i="7"/>
  <c r="AO60" i="7"/>
  <c r="AO100" i="7"/>
  <c r="AO66" i="7"/>
  <c r="AO86" i="7"/>
  <c r="AO74" i="7"/>
  <c r="AO64" i="7"/>
  <c r="AO61" i="7"/>
  <c r="AO92" i="7"/>
  <c r="AO108" i="7"/>
  <c r="AO98" i="7"/>
  <c r="AO76" i="7"/>
  <c r="AO68" i="7"/>
  <c r="AO67" i="7"/>
  <c r="AO62" i="7"/>
  <c r="AO59" i="7"/>
  <c r="AO106" i="7"/>
  <c r="AO75" i="7"/>
  <c r="AO73" i="7"/>
  <c r="AO71" i="7"/>
  <c r="AO63" i="7"/>
  <c r="AO56" i="7"/>
  <c r="AO55" i="7"/>
  <c r="AO58" i="7"/>
  <c r="AO57" i="7"/>
  <c r="AO78" i="7"/>
  <c r="AP5" i="7"/>
  <c r="G79" i="5"/>
  <c r="G174" i="5"/>
  <c r="G156" i="5"/>
  <c r="G105" i="5"/>
  <c r="G154" i="5"/>
  <c r="AB19" i="7"/>
  <c r="AC19" i="7"/>
  <c r="F78" i="5"/>
  <c r="W19" i="7"/>
  <c r="AG19" i="7"/>
  <c r="G106" i="5"/>
  <c r="G139" i="5"/>
  <c r="G138" i="5"/>
  <c r="F20" i="5"/>
  <c r="F19" i="5"/>
  <c r="G4" i="7"/>
  <c r="G3" i="7" s="1"/>
  <c r="J4" i="6"/>
  <c r="I5" i="6"/>
  <c r="AF19" i="7"/>
  <c r="H19" i="7"/>
  <c r="AH36" i="7" a="1"/>
  <c r="AH36" i="7" s="1"/>
  <c r="AD36" i="7" a="1"/>
  <c r="AD36" i="7" s="1"/>
  <c r="Z36" i="7" a="1"/>
  <c r="Z36" i="7" s="1"/>
  <c r="V36" i="7" a="1"/>
  <c r="V36" i="7" s="1"/>
  <c r="R36" i="7" a="1"/>
  <c r="R36" i="7" s="1"/>
  <c r="AI36" i="7" a="1"/>
  <c r="AI36" i="7" s="1"/>
  <c r="AE36" i="7" a="1"/>
  <c r="AE36" i="7" s="1"/>
  <c r="X36" i="7" a="1"/>
  <c r="X36" i="7" s="1"/>
  <c r="Q36" i="7" a="1"/>
  <c r="Q36" i="7" s="1"/>
  <c r="L36" i="7" a="1"/>
  <c r="L36" i="7" s="1"/>
  <c r="AK36" i="7" a="1"/>
  <c r="AK36" i="7" s="1"/>
  <c r="AC36" i="7" a="1"/>
  <c r="AC36" i="7" s="1"/>
  <c r="W36" i="7" a="1"/>
  <c r="W36" i="7" s="1"/>
  <c r="P36" i="7" a="1"/>
  <c r="P36" i="7" s="1"/>
  <c r="K36" i="7" a="1"/>
  <c r="K36" i="7" s="1"/>
  <c r="AJ36" i="7" a="1"/>
  <c r="AJ36" i="7" s="1"/>
  <c r="AB36" i="7" a="1"/>
  <c r="AB36" i="7" s="1"/>
  <c r="U36" i="7" a="1"/>
  <c r="U36" i="7" s="1"/>
  <c r="J36" i="7" a="1"/>
  <c r="J36" i="7" s="1"/>
  <c r="Y36" i="7" a="1"/>
  <c r="Y36" i="7" s="1"/>
  <c r="M36" i="7" a="1"/>
  <c r="M36" i="7" s="1"/>
  <c r="H36" i="7" a="1"/>
  <c r="H36" i="7" s="1"/>
  <c r="AA36" i="7" a="1"/>
  <c r="AA36" i="7" s="1"/>
  <c r="I36" i="7" a="1"/>
  <c r="I36" i="7" s="1"/>
  <c r="T36" i="7" a="1"/>
  <c r="T36" i="7" s="1"/>
  <c r="S36" i="7" a="1"/>
  <c r="S36" i="7" s="1"/>
  <c r="AG36" i="7" a="1"/>
  <c r="AG36" i="7" s="1"/>
  <c r="O36" i="7" a="1"/>
  <c r="O36" i="7" s="1"/>
  <c r="AF36" i="7" a="1"/>
  <c r="AF36" i="7" s="1"/>
  <c r="N36" i="7" a="1"/>
  <c r="N36" i="7" s="1"/>
  <c r="F51" i="5"/>
  <c r="F58" i="5" s="1"/>
  <c r="E44" i="5"/>
  <c r="E130" i="5"/>
  <c r="E145" i="5" s="1"/>
  <c r="E146" i="5" s="1"/>
  <c r="E183" i="5" s="1" a="1"/>
  <c r="E183" i="5" s="1"/>
  <c r="E150" i="5"/>
  <c r="E165" i="5" s="1"/>
  <c r="E166" i="5" s="1"/>
  <c r="E170" i="5"/>
  <c r="E180" i="5" s="1"/>
  <c r="E181" i="5" s="1"/>
  <c r="F18" i="5"/>
  <c r="F62" i="5" s="1"/>
  <c r="F28" i="5"/>
  <c r="AL36" i="7" a="1"/>
  <c r="AL36" i="7" s="1"/>
  <c r="E45" i="5" a="1"/>
  <c r="E45" i="5" s="1"/>
  <c r="F66" i="5" s="1"/>
  <c r="F64" i="5" s="1"/>
  <c r="Z19" i="7"/>
  <c r="O19" i="7"/>
  <c r="G134" i="5"/>
  <c r="G161" i="5"/>
  <c r="AD19" i="7"/>
  <c r="AA19" i="7"/>
  <c r="V19" i="7"/>
  <c r="U42" i="3"/>
  <c r="I19" i="7"/>
  <c r="AI19" i="7"/>
  <c r="L19" i="7"/>
  <c r="H179" i="5"/>
  <c r="H177" i="5"/>
  <c r="H158" i="5"/>
  <c r="H156" i="5"/>
  <c r="H143" i="5"/>
  <c r="H139" i="5"/>
  <c r="H197" i="5"/>
  <c r="I193" i="5" s="1"/>
  <c r="H138" i="5"/>
  <c r="H105" i="5"/>
  <c r="H68" i="5" a="1"/>
  <c r="H68" i="5" s="1"/>
  <c r="H161" i="5"/>
  <c r="H40" i="5"/>
  <c r="H38" i="5"/>
  <c r="H141" i="5" s="1"/>
  <c r="H178" i="5"/>
  <c r="H174" i="5"/>
  <c r="H163" i="5"/>
  <c r="H93" i="5"/>
  <c r="H107" i="5" s="1"/>
  <c r="H11" i="5"/>
  <c r="H159" i="5"/>
  <c r="H104" i="5"/>
  <c r="H106" i="5"/>
  <c r="H36" i="5"/>
  <c r="H34" i="5"/>
  <c r="H32" i="5"/>
  <c r="H155" i="5" s="1"/>
  <c r="H41" i="5"/>
  <c r="H144" i="5" s="1"/>
  <c r="H33" i="5"/>
  <c r="H136" i="5" s="1"/>
  <c r="I5" i="5"/>
  <c r="H16" i="5"/>
  <c r="H100" i="5" s="1"/>
  <c r="H99" i="5" s="1"/>
  <c r="H12" i="5"/>
  <c r="H39" i="5"/>
  <c r="H31" i="5"/>
  <c r="H37" i="5"/>
  <c r="H35" i="5"/>
  <c r="H13" i="5"/>
  <c r="H202" i="5" s="1"/>
  <c r="H14" i="5"/>
  <c r="H6" i="5"/>
  <c r="G175" i="5"/>
  <c r="G177" i="5"/>
  <c r="G135" i="5"/>
  <c r="AM36" i="7" a="1"/>
  <c r="AM36" i="7" s="1"/>
  <c r="H134" i="5" l="1"/>
  <c r="H157" i="5"/>
  <c r="H135" i="5"/>
  <c r="H154" i="5"/>
  <c r="H137" i="5"/>
  <c r="H175" i="5"/>
  <c r="AH31" i="7" a="1"/>
  <c r="AH31" i="7" s="1"/>
  <c r="AC31" i="7" a="1"/>
  <c r="AC31" i="7" s="1"/>
  <c r="W31" i="7" a="1"/>
  <c r="W31" i="7" s="1"/>
  <c r="R31" i="7" a="1"/>
  <c r="R31" i="7" s="1"/>
  <c r="M31" i="7" a="1"/>
  <c r="M31" i="7" s="1"/>
  <c r="AB31" i="7" a="1"/>
  <c r="AB31" i="7" s="1"/>
  <c r="L31" i="7" a="1"/>
  <c r="L31" i="7" s="1"/>
  <c r="AI31" i="7" a="1"/>
  <c r="AI31" i="7" s="1"/>
  <c r="AD31" i="7" a="1"/>
  <c r="AD31" i="7" s="1"/>
  <c r="Y31" i="7" a="1"/>
  <c r="Y31" i="7" s="1"/>
  <c r="S31" i="7" a="1"/>
  <c r="S31" i="7" s="1"/>
  <c r="N31" i="7" a="1"/>
  <c r="N31" i="7" s="1"/>
  <c r="I31" i="7" a="1"/>
  <c r="I31" i="7" s="1"/>
  <c r="Z31" i="7" a="1"/>
  <c r="Z31" i="7" s="1"/>
  <c r="Q31" i="7" a="1"/>
  <c r="Q31" i="7" s="1"/>
  <c r="AG31" i="7" a="1"/>
  <c r="AG31" i="7" s="1"/>
  <c r="P31" i="7" a="1"/>
  <c r="P31" i="7" s="1"/>
  <c r="H31" i="7" a="1"/>
  <c r="H31" i="7" s="1"/>
  <c r="AF31" i="7" a="1"/>
  <c r="AF31" i="7" s="1"/>
  <c r="X31" i="7" a="1"/>
  <c r="X31" i="7" s="1"/>
  <c r="O31" i="7" a="1"/>
  <c r="O31" i="7" s="1"/>
  <c r="AE31" i="7" a="1"/>
  <c r="AE31" i="7" s="1"/>
  <c r="V31" i="7" a="1"/>
  <c r="V31" i="7" s="1"/>
  <c r="U31" i="7" a="1"/>
  <c r="U31" i="7" s="1"/>
  <c r="K31" i="7" a="1"/>
  <c r="K31" i="7" s="1"/>
  <c r="AK31" i="7" a="1"/>
  <c r="AK31" i="7" s="1"/>
  <c r="AA31" i="7" a="1"/>
  <c r="AA31" i="7" s="1"/>
  <c r="T31" i="7" a="1"/>
  <c r="T31" i="7" s="1"/>
  <c r="AJ31" i="7" a="1"/>
  <c r="AJ31" i="7" s="1"/>
  <c r="J31" i="7" a="1"/>
  <c r="J31" i="7" s="1"/>
  <c r="AL31" i="7" a="1"/>
  <c r="AL31" i="7" s="1"/>
  <c r="AM31" i="7" a="1"/>
  <c r="AM31" i="7" s="1"/>
  <c r="AO47" i="7" a="1"/>
  <c r="AO47" i="7" s="1"/>
  <c r="AO46" i="7" a="1"/>
  <c r="AO46" i="7" s="1"/>
  <c r="AO45" i="7" a="1"/>
  <c r="AO45" i="7" s="1"/>
  <c r="AO43" i="7" a="1"/>
  <c r="AO43" i="7" s="1"/>
  <c r="AO50" i="7" a="1"/>
  <c r="AO50" i="7" s="1"/>
  <c r="AO48" i="7" a="1"/>
  <c r="AO48" i="7" s="1"/>
  <c r="AO49" i="7" a="1"/>
  <c r="AO49" i="7" s="1"/>
  <c r="AO37" i="7" a="1"/>
  <c r="AO37" i="7" s="1"/>
  <c r="AO42" i="7" a="1"/>
  <c r="AO42" i="7" s="1"/>
  <c r="AO44" i="7" a="1"/>
  <c r="AO44" i="7" s="1"/>
  <c r="AO41" i="7" a="1"/>
  <c r="AO41" i="7" s="1"/>
  <c r="AO38" i="7" a="1"/>
  <c r="AO38" i="7" s="1"/>
  <c r="AO30" i="7" a="1"/>
  <c r="AO30" i="7" s="1"/>
  <c r="AO39" i="7" a="1"/>
  <c r="AO39" i="7" s="1"/>
  <c r="AO31" i="7" a="1"/>
  <c r="AO31" i="7" s="1"/>
  <c r="AO26" i="7" a="1"/>
  <c r="AO26" i="7" s="1"/>
  <c r="AO15" i="7" a="1"/>
  <c r="AO15" i="7" s="1"/>
  <c r="AO27" i="7" a="1"/>
  <c r="AO27" i="7" s="1"/>
  <c r="AO17" i="7" a="1"/>
  <c r="AO17" i="7" s="1"/>
  <c r="AO29" i="7" a="1"/>
  <c r="AO29" i="7" s="1"/>
  <c r="AO36" i="7" a="1"/>
  <c r="AO36" i="7" s="1"/>
  <c r="AO40" i="7" a="1"/>
  <c r="AO40" i="7" s="1"/>
  <c r="AO28" i="7" a="1"/>
  <c r="AO28" i="7" s="1"/>
  <c r="AO25" i="7" a="1"/>
  <c r="AO25" i="7" s="1"/>
  <c r="AO23" i="7" a="1"/>
  <c r="AO23" i="7" s="1"/>
  <c r="AO24" i="7" a="1"/>
  <c r="AO24" i="7" s="1"/>
  <c r="AO14" i="7" a="1"/>
  <c r="AO14" i="7" s="1"/>
  <c r="AO16" i="7" a="1"/>
  <c r="AO16" i="7" s="1"/>
  <c r="AO18" i="7" a="1"/>
  <c r="AO18" i="7" s="1"/>
  <c r="AO21" i="7" a="1"/>
  <c r="AO21" i="7" s="1"/>
  <c r="AO20" i="7" s="1"/>
  <c r="AO19" i="7" s="1"/>
  <c r="AO12" i="7" a="1"/>
  <c r="AO12" i="7" s="1"/>
  <c r="AO7" i="7" a="1"/>
  <c r="AO7" i="7" s="1"/>
  <c r="AO51" i="7" s="1"/>
  <c r="F75" i="5"/>
  <c r="F171" i="5"/>
  <c r="F151" i="5"/>
  <c r="F131" i="5"/>
  <c r="G29" i="5"/>
  <c r="G143" i="5"/>
  <c r="G163" i="5"/>
  <c r="V7" i="7" a="1"/>
  <c r="V7" i="7" s="1"/>
  <c r="V51" i="7" s="1"/>
  <c r="AH7" i="7" a="1"/>
  <c r="AH7" i="7" s="1"/>
  <c r="AH51" i="7" s="1"/>
  <c r="R7" i="7" a="1"/>
  <c r="R7" i="7" s="1"/>
  <c r="R51" i="7" s="1"/>
  <c r="AJ7" i="7" a="1"/>
  <c r="AJ7" i="7" s="1"/>
  <c r="AJ51" i="7" s="1"/>
  <c r="AC7" i="7" a="1"/>
  <c r="AC7" i="7" s="1"/>
  <c r="AC51" i="7" s="1"/>
  <c r="U7" i="7" a="1"/>
  <c r="U7" i="7" s="1"/>
  <c r="U51" i="7" s="1"/>
  <c r="O7" i="7" a="1"/>
  <c r="O7" i="7" s="1"/>
  <c r="O51" i="7" s="1"/>
  <c r="H7" i="7" a="1"/>
  <c r="H7" i="7" s="1"/>
  <c r="H51" i="7" s="1"/>
  <c r="AB7" i="7" a="1"/>
  <c r="AB7" i="7" s="1"/>
  <c r="AB51" i="7" s="1"/>
  <c r="N7" i="7" a="1"/>
  <c r="N7" i="7" s="1"/>
  <c r="N51" i="7" s="1"/>
  <c r="AK7" i="7" a="1"/>
  <c r="AK7" i="7" s="1"/>
  <c r="AK51" i="7" s="1"/>
  <c r="AE7" i="7" a="1"/>
  <c r="AE7" i="7" s="1"/>
  <c r="AE51" i="7" s="1"/>
  <c r="X7" i="7" a="1"/>
  <c r="X7" i="7" s="1"/>
  <c r="X51" i="7" s="1"/>
  <c r="P7" i="7" a="1"/>
  <c r="P7" i="7" s="1"/>
  <c r="P51" i="7" s="1"/>
  <c r="I7" i="7" a="1"/>
  <c r="I7" i="7" s="1"/>
  <c r="I51" i="7" s="1"/>
  <c r="Y7" i="7" a="1"/>
  <c r="Y7" i="7" s="1"/>
  <c r="Y51" i="7" s="1"/>
  <c r="M7" i="7" a="1"/>
  <c r="M7" i="7" s="1"/>
  <c r="M51" i="7" s="1"/>
  <c r="AI7" i="7" a="1"/>
  <c r="AI7" i="7" s="1"/>
  <c r="AI51" i="7" s="1"/>
  <c r="L7" i="7" a="1"/>
  <c r="L7" i="7" s="1"/>
  <c r="L51" i="7" s="1"/>
  <c r="E46" i="5"/>
  <c r="F209" i="5" s="1"/>
  <c r="F213" i="5" s="1"/>
  <c r="AG7" i="7" a="1"/>
  <c r="AG7" i="7" s="1"/>
  <c r="AG51" i="7" s="1"/>
  <c r="W7" i="7" a="1"/>
  <c r="W7" i="7" s="1"/>
  <c r="W51" i="7" s="1"/>
  <c r="K7" i="7" a="1"/>
  <c r="K7" i="7" s="1"/>
  <c r="K51" i="7" s="1"/>
  <c r="AF7" i="7" a="1"/>
  <c r="AF7" i="7" s="1"/>
  <c r="AF51" i="7" s="1"/>
  <c r="T7" i="7" a="1"/>
  <c r="T7" i="7" s="1"/>
  <c r="T51" i="7" s="1"/>
  <c r="J7" i="7" a="1"/>
  <c r="J7" i="7" s="1"/>
  <c r="J51" i="7" s="1"/>
  <c r="AD7" i="7" a="1"/>
  <c r="AD7" i="7" s="1"/>
  <c r="AD51" i="7" s="1"/>
  <c r="S7" i="7" a="1"/>
  <c r="S7" i="7" s="1"/>
  <c r="S51" i="7" s="1"/>
  <c r="AA7" i="7" a="1"/>
  <c r="AA7" i="7" s="1"/>
  <c r="AA51" i="7" s="1"/>
  <c r="Q7" i="7" a="1"/>
  <c r="Q7" i="7" s="1"/>
  <c r="Q51" i="7" s="1"/>
  <c r="Z7" i="7" a="1"/>
  <c r="Z7" i="7" s="1"/>
  <c r="Z51" i="7" s="1"/>
  <c r="AL7" i="7" a="1"/>
  <c r="AL7" i="7" s="1"/>
  <c r="AL51" i="7" s="1"/>
  <c r="AM7" i="7" a="1"/>
  <c r="AM7" i="7" s="1"/>
  <c r="AM51" i="7" s="1"/>
  <c r="H160" i="5"/>
  <c r="H176" i="5"/>
  <c r="H162" i="5"/>
  <c r="I197" i="5"/>
  <c r="J193" i="5" s="1"/>
  <c r="I179" i="5"/>
  <c r="I162" i="5"/>
  <c r="I136" i="5"/>
  <c r="I159" i="5"/>
  <c r="I155" i="5"/>
  <c r="I143" i="5"/>
  <c r="I41" i="5"/>
  <c r="I68" i="5" a="1"/>
  <c r="I68" i="5" s="1"/>
  <c r="I175" i="5"/>
  <c r="I164" i="5"/>
  <c r="I142" i="5"/>
  <c r="I38" i="5"/>
  <c r="I35" i="5"/>
  <c r="I33" i="5"/>
  <c r="J5" i="5"/>
  <c r="I144" i="5"/>
  <c r="I135" i="5"/>
  <c r="I139" i="5"/>
  <c r="I16" i="5"/>
  <c r="I100" i="5" s="1"/>
  <c r="I99" i="5" s="1"/>
  <c r="I13" i="5"/>
  <c r="I202" i="5" s="1"/>
  <c r="I11" i="5"/>
  <c r="I36" i="5"/>
  <c r="I12" i="5"/>
  <c r="I93" i="5"/>
  <c r="I104" i="5" s="1"/>
  <c r="I39" i="5"/>
  <c r="I40" i="5"/>
  <c r="I34" i="5"/>
  <c r="I37" i="5"/>
  <c r="I6" i="5"/>
  <c r="I32" i="5"/>
  <c r="I14" i="5"/>
  <c r="H96" i="5"/>
  <c r="H95" i="5" s="1"/>
  <c r="H79" i="5"/>
  <c r="I196" i="5"/>
  <c r="I195" i="5"/>
  <c r="H164" i="5"/>
  <c r="G78" i="5"/>
  <c r="AP114" i="7"/>
  <c r="AP112" i="7"/>
  <c r="AP110" i="7"/>
  <c r="AP108" i="7"/>
  <c r="AP106" i="7"/>
  <c r="AP104" i="7"/>
  <c r="AP102" i="7"/>
  <c r="AP100" i="7"/>
  <c r="AP98" i="7"/>
  <c r="AP96" i="7"/>
  <c r="AP94" i="7"/>
  <c r="AP92" i="7"/>
  <c r="AP90" i="7"/>
  <c r="AP88" i="7"/>
  <c r="AP113" i="7"/>
  <c r="AP85" i="7"/>
  <c r="AP83" i="7"/>
  <c r="AP81" i="7"/>
  <c r="AP79" i="7"/>
  <c r="AP77" i="7"/>
  <c r="AP75" i="7"/>
  <c r="AP111" i="7"/>
  <c r="AP84" i="7"/>
  <c r="AP105" i="7"/>
  <c r="AP97" i="7"/>
  <c r="AP87" i="7"/>
  <c r="AP74" i="7"/>
  <c r="AP73" i="7"/>
  <c r="AP71" i="7"/>
  <c r="AP69" i="7"/>
  <c r="AP67" i="7"/>
  <c r="AP65" i="7"/>
  <c r="AP107" i="7"/>
  <c r="AP99" i="7"/>
  <c r="AP103" i="7"/>
  <c r="AP95" i="7"/>
  <c r="AP89" i="7"/>
  <c r="AP82" i="7"/>
  <c r="AP80" i="7"/>
  <c r="AP72" i="7"/>
  <c r="AP66" i="7"/>
  <c r="AP86" i="7"/>
  <c r="AP64" i="7"/>
  <c r="AP61" i="7"/>
  <c r="AP101" i="7"/>
  <c r="AP91" i="7"/>
  <c r="AP78" i="7"/>
  <c r="AP58" i="7"/>
  <c r="AP93" i="7"/>
  <c r="AP70" i="7"/>
  <c r="AP62" i="7"/>
  <c r="AP63" i="7"/>
  <c r="AP57" i="7"/>
  <c r="AP76" i="7"/>
  <c r="AP59" i="7"/>
  <c r="AP60" i="7"/>
  <c r="AP68" i="7"/>
  <c r="AP109" i="7"/>
  <c r="AP56" i="7"/>
  <c r="AP55" i="7"/>
  <c r="AQ5" i="7"/>
  <c r="G103" i="5"/>
  <c r="H103" i="5"/>
  <c r="E47" i="5"/>
  <c r="E50" i="5"/>
  <c r="AO8" i="7" s="1" a="1"/>
  <c r="AO8" i="7" s="1"/>
  <c r="K4" i="6"/>
  <c r="J5" i="6"/>
  <c r="H4" i="7"/>
  <c r="H140" i="5"/>
  <c r="H78" i="5"/>
  <c r="F61" i="5"/>
  <c r="F21" i="5"/>
  <c r="K10" i="6"/>
  <c r="AN7" i="7" a="1"/>
  <c r="AN7" i="7" s="1"/>
  <c r="AN51" i="7" s="1"/>
  <c r="H142" i="5"/>
  <c r="AN19" i="7"/>
  <c r="U19" i="3"/>
  <c r="F214" i="5" l="1"/>
  <c r="F222" i="5"/>
  <c r="I177" i="5"/>
  <c r="I107" i="5"/>
  <c r="J195" i="5"/>
  <c r="J196" i="5"/>
  <c r="I178" i="5"/>
  <c r="I138" i="5"/>
  <c r="I176" i="5"/>
  <c r="I140" i="5"/>
  <c r="I96" i="5"/>
  <c r="J179" i="5"/>
  <c r="J197" i="5"/>
  <c r="K193" i="5" s="1"/>
  <c r="J106" i="5"/>
  <c r="J157" i="5"/>
  <c r="J35" i="5"/>
  <c r="J33" i="5"/>
  <c r="K5" i="5"/>
  <c r="J40" i="5"/>
  <c r="J14" i="5"/>
  <c r="J12" i="5"/>
  <c r="J93" i="5"/>
  <c r="J96" i="5" s="1"/>
  <c r="J95" i="5" s="1"/>
  <c r="J11" i="5"/>
  <c r="J41" i="5"/>
  <c r="J36" i="5"/>
  <c r="J16" i="5"/>
  <c r="J100" i="5" s="1"/>
  <c r="J99" i="5" s="1"/>
  <c r="J156" i="5"/>
  <c r="J39" i="5"/>
  <c r="J34" i="5"/>
  <c r="J177" i="5" s="1"/>
  <c r="J107" i="5"/>
  <c r="J68" i="5" a="1"/>
  <c r="J68" i="5" s="1"/>
  <c r="J38" i="5"/>
  <c r="J37" i="5"/>
  <c r="J13" i="5"/>
  <c r="J202" i="5" s="1"/>
  <c r="J6" i="5"/>
  <c r="I137" i="5"/>
  <c r="I141" i="5"/>
  <c r="H3" i="7"/>
  <c r="F77" i="5"/>
  <c r="I105" i="5"/>
  <c r="I103" i="5" s="1"/>
  <c r="I161" i="5"/>
  <c r="I160" i="5"/>
  <c r="I106" i="5"/>
  <c r="I4" i="7"/>
  <c r="L4" i="6"/>
  <c r="K5" i="6"/>
  <c r="G152" i="5"/>
  <c r="G172" i="5"/>
  <c r="G132" i="5"/>
  <c r="H30" i="5"/>
  <c r="F24" i="5"/>
  <c r="F27" i="5" s="1"/>
  <c r="F17" i="5"/>
  <c r="Z8" i="7" a="1"/>
  <c r="Z8" i="7" s="1"/>
  <c r="J8" i="7" a="1"/>
  <c r="J8" i="7" s="1"/>
  <c r="AJ8" i="7" a="1"/>
  <c r="AJ8" i="7" s="1"/>
  <c r="V8" i="7" a="1"/>
  <c r="V8" i="7" s="1"/>
  <c r="AG8" i="7" a="1"/>
  <c r="AG8" i="7" s="1"/>
  <c r="Y8" i="7" a="1"/>
  <c r="Y8" i="7" s="1"/>
  <c r="S8" i="7" a="1"/>
  <c r="S8" i="7" s="1"/>
  <c r="L8" i="7" a="1"/>
  <c r="L8" i="7" s="1"/>
  <c r="AF8" i="7" a="1"/>
  <c r="AF8" i="7" s="1"/>
  <c r="R8" i="7" a="1"/>
  <c r="R8" i="7" s="1"/>
  <c r="K8" i="7" a="1"/>
  <c r="K8" i="7" s="1"/>
  <c r="AI8" i="7" a="1"/>
  <c r="AI8" i="7" s="1"/>
  <c r="AB8" i="7" a="1"/>
  <c r="AB8" i="7" s="1"/>
  <c r="T8" i="7" a="1"/>
  <c r="T8" i="7" s="1"/>
  <c r="M8" i="7" a="1"/>
  <c r="M8" i="7" s="1"/>
  <c r="AH8" i="7" a="1"/>
  <c r="AH8" i="7" s="1"/>
  <c r="W8" i="7" a="1"/>
  <c r="W8" i="7" s="1"/>
  <c r="I8" i="7" a="1"/>
  <c r="I8" i="7" s="1"/>
  <c r="AE8" i="7" a="1"/>
  <c r="AE8" i="7" s="1"/>
  <c r="U8" i="7" a="1"/>
  <c r="U8" i="7" s="1"/>
  <c r="AD8" i="7" a="1"/>
  <c r="AD8" i="7" s="1"/>
  <c r="H8" i="7" a="1"/>
  <c r="H8" i="7" s="1"/>
  <c r="AC8" i="7" a="1"/>
  <c r="AC8" i="7" s="1"/>
  <c r="Q8" i="7" a="1"/>
  <c r="Q8" i="7" s="1"/>
  <c r="P8" i="7" a="1"/>
  <c r="P8" i="7" s="1"/>
  <c r="AA8" i="7" a="1"/>
  <c r="AA8" i="7" s="1"/>
  <c r="O8" i="7" a="1"/>
  <c r="O8" i="7" s="1"/>
  <c r="AK8" i="7" a="1"/>
  <c r="AK8" i="7" s="1"/>
  <c r="X8" i="7" a="1"/>
  <c r="X8" i="7" s="1"/>
  <c r="N8" i="7" a="1"/>
  <c r="N8" i="7" s="1"/>
  <c r="E59" i="5"/>
  <c r="AL8" i="7" a="1"/>
  <c r="AL8" i="7" s="1"/>
  <c r="AM8" i="7" a="1"/>
  <c r="AM8" i="7" s="1"/>
  <c r="AN8" i="7" a="1"/>
  <c r="AN8" i="7" s="1"/>
  <c r="AQ114" i="7"/>
  <c r="AQ112" i="7"/>
  <c r="AQ110" i="7"/>
  <c r="AQ108" i="7"/>
  <c r="AQ106" i="7"/>
  <c r="AQ104" i="7"/>
  <c r="AQ102" i="7"/>
  <c r="AQ100" i="7"/>
  <c r="AQ98" i="7"/>
  <c r="AQ96" i="7"/>
  <c r="AQ94" i="7"/>
  <c r="AQ92" i="7"/>
  <c r="AQ90" i="7"/>
  <c r="AQ88" i="7"/>
  <c r="AQ113" i="7"/>
  <c r="AQ85" i="7"/>
  <c r="AQ83" i="7"/>
  <c r="AQ81" i="7"/>
  <c r="AQ79" i="7"/>
  <c r="AQ77" i="7"/>
  <c r="AQ75" i="7"/>
  <c r="AQ89" i="7"/>
  <c r="AQ87" i="7"/>
  <c r="AQ86" i="7"/>
  <c r="AQ84" i="7"/>
  <c r="AQ111" i="7"/>
  <c r="AQ105" i="7"/>
  <c r="AQ97" i="7"/>
  <c r="AQ74" i="7"/>
  <c r="AQ73" i="7"/>
  <c r="AQ71" i="7"/>
  <c r="AQ69" i="7"/>
  <c r="AQ67" i="7"/>
  <c r="AQ65" i="7"/>
  <c r="AQ107" i="7"/>
  <c r="AQ99" i="7"/>
  <c r="AQ91" i="7"/>
  <c r="AQ76" i="7"/>
  <c r="AQ82" i="7"/>
  <c r="AQ64" i="7"/>
  <c r="AQ61" i="7"/>
  <c r="AQ101" i="7"/>
  <c r="AQ78" i="7"/>
  <c r="AQ58" i="7"/>
  <c r="AQ93" i="7"/>
  <c r="AQ68" i="7"/>
  <c r="AQ109" i="7"/>
  <c r="AQ63" i="7"/>
  <c r="AQ57" i="7"/>
  <c r="AQ103" i="7"/>
  <c r="AQ55" i="7"/>
  <c r="AQ95" i="7"/>
  <c r="AQ72" i="7"/>
  <c r="AQ62" i="7"/>
  <c r="AQ60" i="7"/>
  <c r="AQ70" i="7"/>
  <c r="AQ66" i="7"/>
  <c r="AQ56" i="7"/>
  <c r="AQ59" i="7"/>
  <c r="AQ80" i="7"/>
  <c r="AR5" i="7"/>
  <c r="I156" i="5"/>
  <c r="AP45" i="7" a="1"/>
  <c r="AP45" i="7" s="1"/>
  <c r="AP50" i="7" a="1"/>
  <c r="AP50" i="7" s="1"/>
  <c r="AP49" i="7" a="1"/>
  <c r="AP49" i="7" s="1"/>
  <c r="AP48" i="7" a="1"/>
  <c r="AP48" i="7" s="1"/>
  <c r="AP47" i="7" a="1"/>
  <c r="AP47" i="7" s="1"/>
  <c r="AP43" i="7" a="1"/>
  <c r="AP43" i="7" s="1"/>
  <c r="AP42" i="7" a="1"/>
  <c r="AP42" i="7" s="1"/>
  <c r="AP36" i="7" a="1"/>
  <c r="AP36" i="7" s="1"/>
  <c r="AP40" i="7" a="1"/>
  <c r="AP40" i="7" s="1"/>
  <c r="AP46" i="7" a="1"/>
  <c r="AP46" i="7" s="1"/>
  <c r="AP44" i="7" a="1"/>
  <c r="AP44" i="7" s="1"/>
  <c r="AP29" i="7" a="1"/>
  <c r="AP29" i="7" s="1"/>
  <c r="AP39" i="7" a="1"/>
  <c r="AP39" i="7" s="1"/>
  <c r="AP37" i="7" a="1"/>
  <c r="AP37" i="7" s="1"/>
  <c r="AP41" i="7" a="1"/>
  <c r="AP41" i="7" s="1"/>
  <c r="AP30" i="7" a="1"/>
  <c r="AP30" i="7" s="1"/>
  <c r="AP23" i="7" a="1"/>
  <c r="AP23" i="7" s="1"/>
  <c r="AP31" i="7" a="1"/>
  <c r="AP31" i="7" s="1"/>
  <c r="AP21" i="7" a="1"/>
  <c r="AP21" i="7" s="1"/>
  <c r="AP20" i="7" s="1"/>
  <c r="AP38" i="7" a="1"/>
  <c r="AP38" i="7" s="1"/>
  <c r="AP28" i="7" a="1"/>
  <c r="AP28" i="7" s="1"/>
  <c r="AP26" i="7" a="1"/>
  <c r="AP26" i="7" s="1"/>
  <c r="AP15" i="7" a="1"/>
  <c r="AP15" i="7" s="1"/>
  <c r="AP27" i="7" a="1"/>
  <c r="AP27" i="7" s="1"/>
  <c r="AP25" i="7" a="1"/>
  <c r="AP25" i="7" s="1"/>
  <c r="AP24" i="7" a="1"/>
  <c r="AP24" i="7" s="1"/>
  <c r="AP17" i="7" a="1"/>
  <c r="AP17" i="7" s="1"/>
  <c r="AP16" i="7" a="1"/>
  <c r="AP16" i="7" s="1"/>
  <c r="AP8" i="7" a="1"/>
  <c r="AP8" i="7" s="1"/>
  <c r="AP18" i="7" a="1"/>
  <c r="AP18" i="7" s="1"/>
  <c r="AP14" i="7" a="1"/>
  <c r="AP14" i="7" s="1"/>
  <c r="AP7" i="7" a="1"/>
  <c r="AP7" i="7" s="1"/>
  <c r="AP12" i="7" a="1"/>
  <c r="AP12" i="7" s="1"/>
  <c r="I79" i="5"/>
  <c r="I157" i="5"/>
  <c r="I158" i="5"/>
  <c r="I163" i="5"/>
  <c r="J162" i="5" l="1"/>
  <c r="J139" i="5"/>
  <c r="J105" i="5"/>
  <c r="J160" i="5"/>
  <c r="F26" i="6"/>
  <c r="E26" i="6" s="1"/>
  <c r="F27" i="6"/>
  <c r="E27" i="6" s="1"/>
  <c r="J140" i="5"/>
  <c r="J138" i="5"/>
  <c r="J144" i="5"/>
  <c r="I95" i="5"/>
  <c r="M4" i="6"/>
  <c r="L5" i="6"/>
  <c r="J4" i="7"/>
  <c r="J178" i="5"/>
  <c r="J104" i="5"/>
  <c r="J103" i="5" s="1"/>
  <c r="J143" i="5"/>
  <c r="K196" i="5"/>
  <c r="K195" i="5"/>
  <c r="G20" i="5"/>
  <c r="G19" i="5"/>
  <c r="G21" i="5" s="1"/>
  <c r="G17" i="5"/>
  <c r="I3" i="7"/>
  <c r="J79" i="5"/>
  <c r="G221" i="5"/>
  <c r="F223" i="5"/>
  <c r="H153" i="5"/>
  <c r="H173" i="5"/>
  <c r="H133" i="5"/>
  <c r="I31" i="5"/>
  <c r="AR114" i="7"/>
  <c r="AR112" i="7"/>
  <c r="AR110" i="7"/>
  <c r="AR108" i="7"/>
  <c r="AR106" i="7"/>
  <c r="AR104" i="7"/>
  <c r="AR102" i="7"/>
  <c r="AR100" i="7"/>
  <c r="AR98" i="7"/>
  <c r="AR96" i="7"/>
  <c r="AR94" i="7"/>
  <c r="AR92" i="7"/>
  <c r="AR90" i="7"/>
  <c r="AR88" i="7"/>
  <c r="AR113" i="7"/>
  <c r="AR111" i="7"/>
  <c r="AR109" i="7"/>
  <c r="AR107" i="7"/>
  <c r="AR105" i="7"/>
  <c r="AR103" i="7"/>
  <c r="AR101" i="7"/>
  <c r="AR99" i="7"/>
  <c r="AR97" i="7"/>
  <c r="AR95" i="7"/>
  <c r="AR93" i="7"/>
  <c r="AR91" i="7"/>
  <c r="AR87" i="7"/>
  <c r="AR74" i="7"/>
  <c r="AR73" i="7"/>
  <c r="AR71" i="7"/>
  <c r="AR69" i="7"/>
  <c r="AR67" i="7"/>
  <c r="AR65" i="7"/>
  <c r="AR63" i="7"/>
  <c r="AR61" i="7"/>
  <c r="AR81" i="7"/>
  <c r="AR79" i="7"/>
  <c r="AR76" i="7"/>
  <c r="AR84" i="7"/>
  <c r="AR77" i="7"/>
  <c r="AR86" i="7"/>
  <c r="AR78" i="7"/>
  <c r="AR58" i="7"/>
  <c r="AR56" i="7"/>
  <c r="AR89" i="7"/>
  <c r="AR68" i="7"/>
  <c r="AR83" i="7"/>
  <c r="AR70" i="7"/>
  <c r="AR62" i="7"/>
  <c r="AR57" i="7"/>
  <c r="AR75" i="7"/>
  <c r="AR55" i="7"/>
  <c r="AR64" i="7"/>
  <c r="AR82" i="7"/>
  <c r="AR85" i="7"/>
  <c r="AR72" i="7"/>
  <c r="AR66" i="7"/>
  <c r="AR59" i="7"/>
  <c r="AR80" i="7"/>
  <c r="AR60" i="7"/>
  <c r="AS5" i="7"/>
  <c r="G51" i="5"/>
  <c r="G58" i="5" s="1"/>
  <c r="F44" i="5"/>
  <c r="F150" i="5"/>
  <c r="F165" i="5" s="1"/>
  <c r="F166" i="5" s="1"/>
  <c r="F130" i="5"/>
  <c r="F145" i="5" s="1"/>
  <c r="F146" i="5" s="1"/>
  <c r="F183" i="5" s="1" a="1"/>
  <c r="F183" i="5" s="1"/>
  <c r="F170" i="5"/>
  <c r="F180" i="5" s="1"/>
  <c r="F181" i="5" s="1"/>
  <c r="F45" i="5" a="1"/>
  <c r="F45" i="5" s="1"/>
  <c r="G66" i="5" s="1"/>
  <c r="G64" i="5" s="1"/>
  <c r="G28" i="5"/>
  <c r="G18" i="5"/>
  <c r="G62" i="5" s="1"/>
  <c r="J136" i="5"/>
  <c r="K197" i="5"/>
  <c r="L193" i="5" s="1"/>
  <c r="K106" i="5"/>
  <c r="K141" i="5"/>
  <c r="K104" i="5"/>
  <c r="K96" i="5"/>
  <c r="K95" i="5" s="1"/>
  <c r="K93" i="5"/>
  <c r="K144" i="5"/>
  <c r="K159" i="5"/>
  <c r="K68" i="5" a="1"/>
  <c r="K68" i="5" s="1"/>
  <c r="K40" i="5"/>
  <c r="K14" i="5"/>
  <c r="K12" i="5"/>
  <c r="K105" i="5"/>
  <c r="K39" i="5"/>
  <c r="K162" i="5" s="1"/>
  <c r="K160" i="5"/>
  <c r="K179" i="5"/>
  <c r="K164" i="5"/>
  <c r="K107" i="5"/>
  <c r="K38" i="5"/>
  <c r="L5" i="5"/>
  <c r="K13" i="5"/>
  <c r="K202" i="5" s="1"/>
  <c r="K34" i="5"/>
  <c r="K137" i="5" s="1"/>
  <c r="K37" i="5"/>
  <c r="K35" i="5"/>
  <c r="K138" i="5" s="1"/>
  <c r="K11" i="5"/>
  <c r="K41" i="5"/>
  <c r="K36" i="5"/>
  <c r="K139" i="5" s="1"/>
  <c r="K6" i="5"/>
  <c r="J161" i="5"/>
  <c r="J158" i="5"/>
  <c r="J159" i="5"/>
  <c r="J176" i="5"/>
  <c r="J137" i="5"/>
  <c r="J164" i="5"/>
  <c r="J163" i="5"/>
  <c r="AB13" i="7" a="1"/>
  <c r="AB13" i="7" s="1"/>
  <c r="L13" i="7" a="1"/>
  <c r="L13" i="7" s="1"/>
  <c r="AG13" i="7" a="1"/>
  <c r="AG13" i="7" s="1"/>
  <c r="AA13" i="7" a="1"/>
  <c r="AA13" i="7" s="1"/>
  <c r="V13" i="7" a="1"/>
  <c r="V13" i="7" s="1"/>
  <c r="Q13" i="7" a="1"/>
  <c r="Q13" i="7" s="1"/>
  <c r="K13" i="7" a="1"/>
  <c r="K13" i="7" s="1"/>
  <c r="X13" i="7" a="1"/>
  <c r="X13" i="7" s="1"/>
  <c r="H13" i="7" a="1"/>
  <c r="H13" i="7" s="1"/>
  <c r="AJ13" i="7" a="1"/>
  <c r="AJ13" i="7" s="1"/>
  <c r="S13" i="7" a="1"/>
  <c r="S13" i="7" s="1"/>
  <c r="J13" i="7" a="1"/>
  <c r="J13" i="7" s="1"/>
  <c r="AI13" i="7" a="1"/>
  <c r="AI13" i="7" s="1"/>
  <c r="Z13" i="7" a="1"/>
  <c r="Z13" i="7" s="1"/>
  <c r="R13" i="7" a="1"/>
  <c r="R13" i="7" s="1"/>
  <c r="AH13" i="7" a="1"/>
  <c r="AH13" i="7" s="1"/>
  <c r="P13" i="7" a="1"/>
  <c r="P13" i="7" s="1"/>
  <c r="I13" i="7" a="1"/>
  <c r="I13" i="7" s="1"/>
  <c r="AF13" i="7" a="1"/>
  <c r="AF13" i="7" s="1"/>
  <c r="Y13" i="7" a="1"/>
  <c r="Y13" i="7" s="1"/>
  <c r="O13" i="7" a="1"/>
  <c r="O13" i="7" s="1"/>
  <c r="AE13" i="7" a="1"/>
  <c r="AE13" i="7" s="1"/>
  <c r="W13" i="7" a="1"/>
  <c r="W13" i="7" s="1"/>
  <c r="AD13" i="7" a="1"/>
  <c r="AD13" i="7" s="1"/>
  <c r="U13" i="7" a="1"/>
  <c r="U13" i="7" s="1"/>
  <c r="M13" i="7" a="1"/>
  <c r="M13" i="7" s="1"/>
  <c r="AC13" i="7" a="1"/>
  <c r="AC13" i="7" s="1"/>
  <c r="T13" i="7" a="1"/>
  <c r="T13" i="7" s="1"/>
  <c r="N13" i="7" a="1"/>
  <c r="N13" i="7" s="1"/>
  <c r="AK13" i="7" a="1"/>
  <c r="AK13" i="7" s="1"/>
  <c r="E76" i="5"/>
  <c r="AL13" i="7" a="1"/>
  <c r="AL13" i="7" s="1"/>
  <c r="AM13" i="7" a="1"/>
  <c r="AM13" i="7" s="1"/>
  <c r="E57" i="5"/>
  <c r="AN13" i="7" a="1"/>
  <c r="AN13" i="7" s="1"/>
  <c r="AO13" i="7" a="1"/>
  <c r="AO13" i="7" s="1"/>
  <c r="AP13" i="7" a="1"/>
  <c r="AP13" i="7" s="1"/>
  <c r="AP19" i="7"/>
  <c r="AQ50" i="7" a="1"/>
  <c r="AQ50" i="7" s="1"/>
  <c r="AQ49" i="7" a="1"/>
  <c r="AQ49" i="7" s="1"/>
  <c r="AQ47" i="7" a="1"/>
  <c r="AQ47" i="7" s="1"/>
  <c r="AQ42" i="7" a="1"/>
  <c r="AQ42" i="7" s="1"/>
  <c r="AQ48" i="7" a="1"/>
  <c r="AQ48" i="7" s="1"/>
  <c r="AQ41" i="7" a="1"/>
  <c r="AQ41" i="7" s="1"/>
  <c r="AQ45" i="7" a="1"/>
  <c r="AQ45" i="7" s="1"/>
  <c r="AQ40" i="7" a="1"/>
  <c r="AQ40" i="7" s="1"/>
  <c r="AQ39" i="7" a="1"/>
  <c r="AQ39" i="7" s="1"/>
  <c r="AQ43" i="7" a="1"/>
  <c r="AQ43" i="7" s="1"/>
  <c r="AQ46" i="7" a="1"/>
  <c r="AQ46" i="7" s="1"/>
  <c r="AQ44" i="7" a="1"/>
  <c r="AQ44" i="7" s="1"/>
  <c r="AQ36" i="7" a="1"/>
  <c r="AQ36" i="7" s="1"/>
  <c r="AQ28" i="7" a="1"/>
  <c r="AQ28" i="7" s="1"/>
  <c r="AQ23" i="7" a="1"/>
  <c r="AQ23" i="7" s="1"/>
  <c r="AQ37" i="7" a="1"/>
  <c r="AQ37" i="7" s="1"/>
  <c r="AQ38" i="7" a="1"/>
  <c r="AQ38" i="7" s="1"/>
  <c r="AQ29" i="7" a="1"/>
  <c r="AQ29" i="7" s="1"/>
  <c r="AQ30" i="7" a="1"/>
  <c r="AQ30" i="7" s="1"/>
  <c r="AQ21" i="7" a="1"/>
  <c r="AQ21" i="7" s="1"/>
  <c r="AQ20" i="7" s="1"/>
  <c r="AQ27" i="7" a="1"/>
  <c r="AQ27" i="7" s="1"/>
  <c r="AQ17" i="7" a="1"/>
  <c r="AQ17" i="7" s="1"/>
  <c r="AQ31" i="7" a="1"/>
  <c r="AQ31" i="7" s="1"/>
  <c r="AQ15" i="7" a="1"/>
  <c r="AQ15" i="7" s="1"/>
  <c r="AQ18" i="7" a="1"/>
  <c r="AQ18" i="7" s="1"/>
  <c r="AQ16" i="7" a="1"/>
  <c r="AQ16" i="7" s="1"/>
  <c r="AQ14" i="7" a="1"/>
  <c r="AQ14" i="7" s="1"/>
  <c r="AQ25" i="7" a="1"/>
  <c r="AQ25" i="7" s="1"/>
  <c r="AQ26" i="7" a="1"/>
  <c r="AQ26" i="7" s="1"/>
  <c r="AQ24" i="7" a="1"/>
  <c r="AQ24" i="7" s="1"/>
  <c r="AQ13" i="7" a="1"/>
  <c r="AQ13" i="7" s="1"/>
  <c r="AQ7" i="7" a="1"/>
  <c r="AQ7" i="7" s="1"/>
  <c r="AQ12" i="7" a="1"/>
  <c r="AQ12" i="7" s="1"/>
  <c r="AQ11" i="7" a="1"/>
  <c r="AQ11" i="7" s="1"/>
  <c r="AQ8" i="7" a="1"/>
  <c r="AQ8" i="7" s="1"/>
  <c r="AP51" i="7"/>
  <c r="J142" i="5"/>
  <c r="J141" i="5"/>
  <c r="I154" i="5" l="1"/>
  <c r="I174" i="5"/>
  <c r="I134" i="5"/>
  <c r="I78" i="5"/>
  <c r="J32" i="5"/>
  <c r="K79" i="5"/>
  <c r="K157" i="5"/>
  <c r="G151" i="5"/>
  <c r="G171" i="5"/>
  <c r="G131" i="5"/>
  <c r="H29" i="5"/>
  <c r="AS114" i="7"/>
  <c r="AS112" i="7"/>
  <c r="AS110" i="7"/>
  <c r="AS108" i="7"/>
  <c r="AS106" i="7"/>
  <c r="AS104" i="7"/>
  <c r="AS102" i="7"/>
  <c r="AS100" i="7"/>
  <c r="AS98" i="7"/>
  <c r="AS96" i="7"/>
  <c r="AS94" i="7"/>
  <c r="AS92" i="7"/>
  <c r="AS90" i="7"/>
  <c r="AS88" i="7"/>
  <c r="AS89" i="7"/>
  <c r="AS87" i="7"/>
  <c r="AS86" i="7"/>
  <c r="AS84" i="7"/>
  <c r="AS111" i="7"/>
  <c r="AS113" i="7"/>
  <c r="AS81" i="7"/>
  <c r="AS79" i="7"/>
  <c r="AS76" i="7"/>
  <c r="AS107" i="7"/>
  <c r="AS99" i="7"/>
  <c r="AS91" i="7"/>
  <c r="AS85" i="7"/>
  <c r="AS78" i="7"/>
  <c r="AS109" i="7"/>
  <c r="AS101" i="7"/>
  <c r="AS105" i="7"/>
  <c r="AS97" i="7"/>
  <c r="AS74" i="7"/>
  <c r="AS73" i="7"/>
  <c r="AS71" i="7"/>
  <c r="AS69" i="7"/>
  <c r="AS68" i="7"/>
  <c r="AS93" i="7"/>
  <c r="AS83" i="7"/>
  <c r="AS70" i="7"/>
  <c r="AS62" i="7"/>
  <c r="AS103" i="7"/>
  <c r="AS95" i="7"/>
  <c r="AS75" i="7"/>
  <c r="AS63" i="7"/>
  <c r="AS60" i="7"/>
  <c r="AS55" i="7"/>
  <c r="AS64" i="7"/>
  <c r="AS77" i="7"/>
  <c r="AS66" i="7"/>
  <c r="AS57" i="7"/>
  <c r="AS67" i="7"/>
  <c r="AS58" i="7"/>
  <c r="AS72" i="7"/>
  <c r="AS59" i="7"/>
  <c r="AS56" i="7"/>
  <c r="AS82" i="7"/>
  <c r="AS80" i="7"/>
  <c r="AS61" i="7"/>
  <c r="AS65" i="7"/>
  <c r="AT5" i="7"/>
  <c r="J3" i="7"/>
  <c r="K103" i="5"/>
  <c r="K4" i="7"/>
  <c r="N4" i="6"/>
  <c r="M5" i="6"/>
  <c r="K142" i="5"/>
  <c r="K177" i="5"/>
  <c r="G61" i="5"/>
  <c r="G24" i="5"/>
  <c r="F47" i="5"/>
  <c r="F50" i="5"/>
  <c r="AQ19" i="7"/>
  <c r="H19" i="5"/>
  <c r="H21" i="5" s="1"/>
  <c r="H20" i="5"/>
  <c r="AJ11" i="7" a="1"/>
  <c r="AJ11" i="7" s="1"/>
  <c r="T11" i="7" a="1"/>
  <c r="T11" i="7" s="1"/>
  <c r="AI11" i="7" a="1"/>
  <c r="AI11" i="7" s="1"/>
  <c r="AD11" i="7" a="1"/>
  <c r="AD11" i="7" s="1"/>
  <c r="Y11" i="7" a="1"/>
  <c r="Y11" i="7" s="1"/>
  <c r="S11" i="7" a="1"/>
  <c r="S11" i="7" s="1"/>
  <c r="N11" i="7" a="1"/>
  <c r="N11" i="7" s="1"/>
  <c r="I11" i="7" a="1"/>
  <c r="I11" i="7" s="1"/>
  <c r="AF11" i="7" a="1"/>
  <c r="AF11" i="7" s="1"/>
  <c r="P11" i="7" a="1"/>
  <c r="P11" i="7" s="1"/>
  <c r="AK11" i="7" a="1"/>
  <c r="AK11" i="7" s="1"/>
  <c r="AB11" i="7" a="1"/>
  <c r="AB11" i="7" s="1"/>
  <c r="K11" i="7" a="1"/>
  <c r="K11" i="7" s="1"/>
  <c r="AA11" i="7" a="1"/>
  <c r="AA11" i="7" s="1"/>
  <c r="R11" i="7" a="1"/>
  <c r="R11" i="7" s="1"/>
  <c r="J11" i="7" a="1"/>
  <c r="J11" i="7" s="1"/>
  <c r="AH11" i="7" a="1"/>
  <c r="AH11" i="7" s="1"/>
  <c r="Z11" i="7" a="1"/>
  <c r="Z11" i="7" s="1"/>
  <c r="H11" i="7" a="1"/>
  <c r="H11" i="7" s="1"/>
  <c r="V11" i="7" a="1"/>
  <c r="V11" i="7" s="1"/>
  <c r="M11" i="7" a="1"/>
  <c r="M11" i="7" s="1"/>
  <c r="W11" i="7" a="1"/>
  <c r="W11" i="7" s="1"/>
  <c r="E55" i="5"/>
  <c r="U11" i="7" a="1"/>
  <c r="U11" i="7" s="1"/>
  <c r="Q11" i="7" a="1"/>
  <c r="Q11" i="7" s="1"/>
  <c r="AG11" i="7" a="1"/>
  <c r="AG11" i="7" s="1"/>
  <c r="O11" i="7" a="1"/>
  <c r="O11" i="7" s="1"/>
  <c r="AE11" i="7" a="1"/>
  <c r="AE11" i="7" s="1"/>
  <c r="AC11" i="7" a="1"/>
  <c r="AC11" i="7" s="1"/>
  <c r="L11" i="7" a="1"/>
  <c r="L11" i="7" s="1"/>
  <c r="X11" i="7" a="1"/>
  <c r="X11" i="7" s="1"/>
  <c r="E81" i="5"/>
  <c r="E74" i="5" s="1"/>
  <c r="AL11" i="7" a="1"/>
  <c r="AL11" i="7" s="1"/>
  <c r="E82" i="5"/>
  <c r="AM11" i="7" a="1"/>
  <c r="AM11" i="7" s="1"/>
  <c r="AN11" i="7" a="1"/>
  <c r="AN11" i="7" s="1"/>
  <c r="AO11" i="7" a="1"/>
  <c r="AO11" i="7" s="1"/>
  <c r="AP11" i="7" a="1"/>
  <c r="AP11" i="7" s="1"/>
  <c r="K161" i="5"/>
  <c r="AR49" i="7" a="1"/>
  <c r="AR49" i="7" s="1"/>
  <c r="AR48" i="7" a="1"/>
  <c r="AR48" i="7" s="1"/>
  <c r="AR47" i="7" a="1"/>
  <c r="AR47" i="7" s="1"/>
  <c r="AR45" i="7" a="1"/>
  <c r="AR45" i="7" s="1"/>
  <c r="AR50" i="7" a="1"/>
  <c r="AR50" i="7" s="1"/>
  <c r="AR46" i="7" a="1"/>
  <c r="AR46" i="7" s="1"/>
  <c r="AR44" i="7" a="1"/>
  <c r="AR44" i="7" s="1"/>
  <c r="AR42" i="7" a="1"/>
  <c r="AR42" i="7" s="1"/>
  <c r="AR41" i="7" a="1"/>
  <c r="AR41" i="7" s="1"/>
  <c r="AR40" i="7" a="1"/>
  <c r="AR40" i="7" s="1"/>
  <c r="AR39" i="7" a="1"/>
  <c r="AR39" i="7" s="1"/>
  <c r="AR43" i="7" a="1"/>
  <c r="AR43" i="7" s="1"/>
  <c r="AR38" i="7" a="1"/>
  <c r="AR38" i="7" s="1"/>
  <c r="AR37" i="7" a="1"/>
  <c r="AR37" i="7" s="1"/>
  <c r="AR31" i="7" a="1"/>
  <c r="AR31" i="7" s="1"/>
  <c r="AR27" i="7" a="1"/>
  <c r="AR27" i="7" s="1"/>
  <c r="AR36" i="7" a="1"/>
  <c r="AR36" i="7" s="1"/>
  <c r="AR29" i="7" a="1"/>
  <c r="AR29" i="7" s="1"/>
  <c r="AR24" i="7" a="1"/>
  <c r="AR24" i="7" s="1"/>
  <c r="AR28" i="7" a="1"/>
  <c r="AR28" i="7" s="1"/>
  <c r="AR26" i="7" a="1"/>
  <c r="AR26" i="7" s="1"/>
  <c r="AR21" i="7" a="1"/>
  <c r="AR21" i="7" s="1"/>
  <c r="AR20" i="7" s="1"/>
  <c r="AR19" i="7" s="1"/>
  <c r="AR18" i="7" a="1"/>
  <c r="AR18" i="7" s="1"/>
  <c r="AR16" i="7" a="1"/>
  <c r="AR16" i="7" s="1"/>
  <c r="AR25" i="7" a="1"/>
  <c r="AR25" i="7" s="1"/>
  <c r="AR17" i="7" a="1"/>
  <c r="AR17" i="7" s="1"/>
  <c r="AR23" i="7" a="1"/>
  <c r="AR23" i="7" s="1"/>
  <c r="AR15" i="7" a="1"/>
  <c r="AR15" i="7" s="1"/>
  <c r="AR13" i="7" a="1"/>
  <c r="AR13" i="7" s="1"/>
  <c r="AR30" i="7" a="1"/>
  <c r="AR30" i="7" s="1"/>
  <c r="AR14" i="7" a="1"/>
  <c r="AR14" i="7" s="1"/>
  <c r="AR12" i="7" a="1"/>
  <c r="AR12" i="7" s="1"/>
  <c r="AR11" i="7" a="1"/>
  <c r="AR11" i="7" s="1"/>
  <c r="AR8" i="7" a="1"/>
  <c r="AR8" i="7" s="1"/>
  <c r="AR7" i="7" a="1"/>
  <c r="AR7" i="7" s="1"/>
  <c r="AR51" i="7" s="1"/>
  <c r="AR9" i="7" a="1"/>
  <c r="AR9" i="7" s="1"/>
  <c r="K163" i="5"/>
  <c r="AQ51" i="7"/>
  <c r="L163" i="5"/>
  <c r="L159" i="5"/>
  <c r="L140" i="5"/>
  <c r="L138" i="5"/>
  <c r="L93" i="5"/>
  <c r="L96" i="5" s="1"/>
  <c r="L95" i="5" s="1"/>
  <c r="L68" i="5" a="1"/>
  <c r="L68" i="5" s="1"/>
  <c r="L164" i="5"/>
  <c r="L143" i="5"/>
  <c r="L41" i="5"/>
  <c r="L144" i="5" s="1"/>
  <c r="L39" i="5"/>
  <c r="L162" i="5" s="1"/>
  <c r="L37" i="5"/>
  <c r="L197" i="5"/>
  <c r="M193" i="5" s="1"/>
  <c r="L105" i="5"/>
  <c r="L141" i="5"/>
  <c r="L35" i="5"/>
  <c r="L178" i="5" s="1"/>
  <c r="L12" i="5"/>
  <c r="L13" i="5"/>
  <c r="L202" i="5" s="1"/>
  <c r="L40" i="5"/>
  <c r="L38" i="5"/>
  <c r="L161" i="5" s="1"/>
  <c r="L11" i="5"/>
  <c r="M5" i="5"/>
  <c r="L36" i="5"/>
  <c r="L139" i="5" s="1"/>
  <c r="L14" i="5"/>
  <c r="L6" i="5"/>
  <c r="K140" i="5"/>
  <c r="F46" i="5"/>
  <c r="G209" i="5" s="1"/>
  <c r="G213" i="5" s="1"/>
  <c r="G27" i="5"/>
  <c r="L196" i="5"/>
  <c r="L195" i="5"/>
  <c r="K16" i="5"/>
  <c r="K100" i="5" s="1"/>
  <c r="K99" i="5" s="1"/>
  <c r="K143" i="5"/>
  <c r="K178" i="5"/>
  <c r="L179" i="5" s="1"/>
  <c r="K158" i="5"/>
  <c r="G75" i="5"/>
  <c r="G222" i="5" l="1"/>
  <c r="G214" i="5"/>
  <c r="W22" i="7" a="1"/>
  <c r="W22" i="7" s="1"/>
  <c r="AJ22" i="7" a="1"/>
  <c r="AJ22" i="7" s="1"/>
  <c r="X22" i="7" a="1"/>
  <c r="X22" i="7" s="1"/>
  <c r="Q22" i="7" a="1"/>
  <c r="Q22" i="7" s="1"/>
  <c r="K22" i="7" a="1"/>
  <c r="K22" i="7" s="1"/>
  <c r="AI22" i="7" a="1"/>
  <c r="AI22" i="7" s="1"/>
  <c r="AC22" i="7" a="1"/>
  <c r="AC22" i="7" s="1"/>
  <c r="V22" i="7" a="1"/>
  <c r="V22" i="7" s="1"/>
  <c r="J22" i="7" a="1"/>
  <c r="J22" i="7" s="1"/>
  <c r="AK22" i="7" a="1"/>
  <c r="AK22" i="7" s="1"/>
  <c r="AE22" i="7" a="1"/>
  <c r="AE22" i="7" s="1"/>
  <c r="Y22" i="7" a="1"/>
  <c r="Y22" i="7" s="1"/>
  <c r="S22" i="7" a="1"/>
  <c r="S22" i="7" s="1"/>
  <c r="M22" i="7" a="1"/>
  <c r="M22" i="7" s="1"/>
  <c r="AD22" i="7" a="1"/>
  <c r="AD22" i="7" s="1"/>
  <c r="AB22" i="7" a="1"/>
  <c r="AB22" i="7" s="1"/>
  <c r="T22" i="7" a="1"/>
  <c r="T22" i="7" s="1"/>
  <c r="I22" i="7" a="1"/>
  <c r="I22" i="7" s="1"/>
  <c r="AA22" i="7" a="1"/>
  <c r="AA22" i="7" s="1"/>
  <c r="Z22" i="7" a="1"/>
  <c r="Z22" i="7" s="1"/>
  <c r="P22" i="7" a="1"/>
  <c r="P22" i="7" s="1"/>
  <c r="H22" i="7" a="1"/>
  <c r="H22" i="7" s="1"/>
  <c r="AH22" i="7" a="1"/>
  <c r="AH22" i="7" s="1"/>
  <c r="O22" i="7" a="1"/>
  <c r="O22" i="7" s="1"/>
  <c r="AG22" i="7" a="1"/>
  <c r="AG22" i="7" s="1"/>
  <c r="N22" i="7" a="1"/>
  <c r="N22" i="7" s="1"/>
  <c r="AF22" i="7" a="1"/>
  <c r="AF22" i="7" s="1"/>
  <c r="U22" i="7" a="1"/>
  <c r="U22" i="7" s="1"/>
  <c r="R22" i="7" a="1"/>
  <c r="R22" i="7" s="1"/>
  <c r="L22" i="7" a="1"/>
  <c r="L22" i="7" s="1"/>
  <c r="AL22" i="7" a="1"/>
  <c r="AL22" i="7" s="1"/>
  <c r="E72" i="5"/>
  <c r="E71" i="5" s="1"/>
  <c r="E188" i="5" s="1"/>
  <c r="AM22" i="7" a="1"/>
  <c r="AM22" i="7" s="1"/>
  <c r="AN22" i="7" a="1"/>
  <c r="AN22" i="7" s="1"/>
  <c r="AO22" i="7" a="1"/>
  <c r="AO22" i="7" s="1"/>
  <c r="AP22" i="7" a="1"/>
  <c r="AP22" i="7" s="1"/>
  <c r="AQ22" i="7" a="1"/>
  <c r="AQ22" i="7" s="1"/>
  <c r="AR22" i="7" a="1"/>
  <c r="AR22" i="7" s="1"/>
  <c r="J175" i="5"/>
  <c r="J155" i="5"/>
  <c r="J135" i="5"/>
  <c r="K33" i="5"/>
  <c r="M197" i="5"/>
  <c r="N193" i="5" s="1"/>
  <c r="M164" i="5"/>
  <c r="M160" i="5"/>
  <c r="M40" i="5"/>
  <c r="M163" i="5" s="1"/>
  <c r="M159" i="5"/>
  <c r="M141" i="5"/>
  <c r="M68" i="5" a="1"/>
  <c r="M68" i="5" s="1"/>
  <c r="M179" i="5"/>
  <c r="M161" i="5"/>
  <c r="M139" i="5"/>
  <c r="M142" i="5"/>
  <c r="M39" i="5"/>
  <c r="M162" i="5" s="1"/>
  <c r="M37" i="5"/>
  <c r="M140" i="5" s="1"/>
  <c r="M36" i="5"/>
  <c r="M96" i="5"/>
  <c r="M95" i="5" s="1"/>
  <c r="M93" i="5"/>
  <c r="M104" i="5" s="1"/>
  <c r="M14" i="5"/>
  <c r="M12" i="5"/>
  <c r="M13" i="5"/>
  <c r="M202" i="5" s="1"/>
  <c r="M38" i="5"/>
  <c r="M41" i="5"/>
  <c r="M144" i="5" s="1"/>
  <c r="M11" i="5"/>
  <c r="N5" i="5"/>
  <c r="M6" i="5"/>
  <c r="L158" i="5"/>
  <c r="L104" i="5"/>
  <c r="H51" i="5"/>
  <c r="H58" i="5" s="1"/>
  <c r="G44" i="5"/>
  <c r="G130" i="5"/>
  <c r="G145" i="5" s="1"/>
  <c r="G146" i="5" s="1"/>
  <c r="G183" i="5" s="1" a="1"/>
  <c r="G183" i="5" s="1"/>
  <c r="G45" i="5" a="1"/>
  <c r="G45" i="5" s="1"/>
  <c r="H66" i="5" s="1"/>
  <c r="H64" i="5" s="1"/>
  <c r="G150" i="5"/>
  <c r="G165" i="5" s="1"/>
  <c r="G166" i="5" s="1"/>
  <c r="G170" i="5"/>
  <c r="G180" i="5" s="1"/>
  <c r="G181" i="5" s="1"/>
  <c r="H28" i="5"/>
  <c r="H18" i="5"/>
  <c r="H62" i="5" s="1"/>
  <c r="L106" i="5"/>
  <c r="L160" i="5"/>
  <c r="AD9" i="7" a="1"/>
  <c r="AD9" i="7" s="1"/>
  <c r="N9" i="7" a="1"/>
  <c r="N9" i="7" s="1"/>
  <c r="AI9" i="7" a="1"/>
  <c r="AI9" i="7" s="1"/>
  <c r="AC9" i="7" a="1"/>
  <c r="AC9" i="7" s="1"/>
  <c r="X9" i="7" a="1"/>
  <c r="X9" i="7" s="1"/>
  <c r="S9" i="7" a="1"/>
  <c r="S9" i="7" s="1"/>
  <c r="M9" i="7" a="1"/>
  <c r="M9" i="7" s="1"/>
  <c r="H9" i="7" a="1"/>
  <c r="H9" i="7" s="1"/>
  <c r="Z9" i="7" a="1"/>
  <c r="Z9" i="7" s="1"/>
  <c r="J9" i="7" a="1"/>
  <c r="J9" i="7" s="1"/>
  <c r="P9" i="7" a="1"/>
  <c r="P9" i="7" s="1"/>
  <c r="AF9" i="7" a="1"/>
  <c r="AF9" i="7" s="1"/>
  <c r="W9" i="7" a="1"/>
  <c r="W9" i="7" s="1"/>
  <c r="O9" i="7" a="1"/>
  <c r="O9" i="7" s="1"/>
  <c r="AH9" i="7" a="1"/>
  <c r="AH9" i="7" s="1"/>
  <c r="AA9" i="7" a="1"/>
  <c r="AA9" i="7" s="1"/>
  <c r="Q9" i="7" a="1"/>
  <c r="Q9" i="7" s="1"/>
  <c r="I9" i="7" a="1"/>
  <c r="I9" i="7" s="1"/>
  <c r="AB9" i="7" a="1"/>
  <c r="AB9" i="7" s="1"/>
  <c r="L9" i="7" a="1"/>
  <c r="L9" i="7" s="1"/>
  <c r="Y9" i="7" a="1"/>
  <c r="Y9" i="7" s="1"/>
  <c r="AK9" i="7" a="1"/>
  <c r="AK9" i="7" s="1"/>
  <c r="V9" i="7" a="1"/>
  <c r="V9" i="7" s="1"/>
  <c r="K9" i="7" a="1"/>
  <c r="K9" i="7" s="1"/>
  <c r="AJ9" i="7" a="1"/>
  <c r="AJ9" i="7" s="1"/>
  <c r="U9" i="7" a="1"/>
  <c r="U9" i="7" s="1"/>
  <c r="AG9" i="7" a="1"/>
  <c r="AG9" i="7" s="1"/>
  <c r="T9" i="7" a="1"/>
  <c r="T9" i="7" s="1"/>
  <c r="AE9" i="7" a="1"/>
  <c r="AE9" i="7" s="1"/>
  <c r="R9" i="7" a="1"/>
  <c r="R9" i="7" s="1"/>
  <c r="AL9" i="7" a="1"/>
  <c r="AL9" i="7" s="1"/>
  <c r="AM9" i="7" a="1"/>
  <c r="AM9" i="7" s="1"/>
  <c r="AN9" i="7" a="1"/>
  <c r="AN9" i="7" s="1"/>
  <c r="AO9" i="7" a="1"/>
  <c r="AO9" i="7" s="1"/>
  <c r="AP9" i="7" a="1"/>
  <c r="AP9" i="7" s="1"/>
  <c r="AQ9" i="7" a="1"/>
  <c r="AQ9" i="7" s="1"/>
  <c r="H172" i="5"/>
  <c r="H132" i="5"/>
  <c r="H152" i="5"/>
  <c r="I30" i="5"/>
  <c r="AR10" i="7"/>
  <c r="F59" i="5"/>
  <c r="AS48" i="7" a="1"/>
  <c r="AS48" i="7" s="1"/>
  <c r="AS47" i="7" a="1"/>
  <c r="AS47" i="7" s="1"/>
  <c r="AS46" i="7" a="1"/>
  <c r="AS46" i="7" s="1"/>
  <c r="AS44" i="7" a="1"/>
  <c r="AS44" i="7" s="1"/>
  <c r="AS49" i="7" a="1"/>
  <c r="AS49" i="7" s="1"/>
  <c r="AS42" i="7" a="1"/>
  <c r="AS42" i="7" s="1"/>
  <c r="AS50" i="7" a="1"/>
  <c r="AS50" i="7" s="1"/>
  <c r="AS38" i="7" a="1"/>
  <c r="AS38" i="7" s="1"/>
  <c r="AS43" i="7" a="1"/>
  <c r="AS43" i="7" s="1"/>
  <c r="AS37" i="7" a="1"/>
  <c r="AS37" i="7" s="1"/>
  <c r="AS41" i="7" a="1"/>
  <c r="AS41" i="7" s="1"/>
  <c r="AS45" i="7" a="1"/>
  <c r="AS45" i="7" s="1"/>
  <c r="AS39" i="7" a="1"/>
  <c r="AS39" i="7" s="1"/>
  <c r="AS31" i="7" a="1"/>
  <c r="AS31" i="7" s="1"/>
  <c r="AS36" i="7" a="1"/>
  <c r="AS36" i="7" s="1"/>
  <c r="AS40" i="7" a="1"/>
  <c r="AS40" i="7" s="1"/>
  <c r="AS24" i="7" a="1"/>
  <c r="AS24" i="7" s="1"/>
  <c r="AS15" i="7" a="1"/>
  <c r="AS15" i="7" s="1"/>
  <c r="AS25" i="7" a="1"/>
  <c r="AS25" i="7" s="1"/>
  <c r="AS18" i="7" a="1"/>
  <c r="AS18" i="7" s="1"/>
  <c r="AS28" i="7" a="1"/>
  <c r="AS28" i="7" s="1"/>
  <c r="AS27" i="7" a="1"/>
  <c r="AS27" i="7" s="1"/>
  <c r="AS30" i="7" a="1"/>
  <c r="AS30" i="7" s="1"/>
  <c r="AS26" i="7" a="1"/>
  <c r="AS26" i="7" s="1"/>
  <c r="AS23" i="7" a="1"/>
  <c r="AS23" i="7" s="1"/>
  <c r="AS22" i="7" a="1"/>
  <c r="AS22" i="7" s="1"/>
  <c r="AS29" i="7" a="1"/>
  <c r="AS29" i="7" s="1"/>
  <c r="AS12" i="7" a="1"/>
  <c r="AS12" i="7" s="1"/>
  <c r="AS9" i="7" a="1"/>
  <c r="AS9" i="7" s="1"/>
  <c r="AS14" i="7" a="1"/>
  <c r="AS14" i="7" s="1"/>
  <c r="AS21" i="7" a="1"/>
  <c r="AS21" i="7" s="1"/>
  <c r="AS20" i="7" s="1"/>
  <c r="AS13" i="7" a="1"/>
  <c r="AS13" i="7" s="1"/>
  <c r="AS11" i="7" a="1"/>
  <c r="AS11" i="7" s="1"/>
  <c r="AS17" i="7" a="1"/>
  <c r="AS17" i="7" s="1"/>
  <c r="AS16" i="7" a="1"/>
  <c r="AS16" i="7" s="1"/>
  <c r="AS7" i="7" a="1"/>
  <c r="AS7" i="7" s="1"/>
  <c r="AS8" i="7" a="1"/>
  <c r="AS8" i="7" s="1"/>
  <c r="H17" i="5"/>
  <c r="G77" i="5"/>
  <c r="N5" i="6"/>
  <c r="L4" i="7"/>
  <c r="O4" i="6"/>
  <c r="L107" i="5"/>
  <c r="L142" i="5"/>
  <c r="L16" i="5"/>
  <c r="L100" i="5" s="1"/>
  <c r="L99" i="5" s="1"/>
  <c r="M196" i="5"/>
  <c r="M195" i="5"/>
  <c r="K3" i="7"/>
  <c r="AT113" i="7"/>
  <c r="AT111" i="7"/>
  <c r="AT109" i="7"/>
  <c r="AT107" i="7"/>
  <c r="AT105" i="7"/>
  <c r="AT103" i="7"/>
  <c r="AT101" i="7"/>
  <c r="AT99" i="7"/>
  <c r="AT97" i="7"/>
  <c r="AT95" i="7"/>
  <c r="AT93" i="7"/>
  <c r="AT91" i="7"/>
  <c r="AT89" i="7"/>
  <c r="AT87" i="7"/>
  <c r="AT114" i="7"/>
  <c r="AT88" i="7"/>
  <c r="AT86" i="7"/>
  <c r="AT84" i="7"/>
  <c r="AT82" i="7"/>
  <c r="AT80" i="7"/>
  <c r="AT78" i="7"/>
  <c r="AT76" i="7"/>
  <c r="AT112" i="7"/>
  <c r="AT110" i="7"/>
  <c r="AT108" i="7"/>
  <c r="AT106" i="7"/>
  <c r="AT104" i="7"/>
  <c r="AT102" i="7"/>
  <c r="AT100" i="7"/>
  <c r="AT98" i="7"/>
  <c r="AT96" i="7"/>
  <c r="AT94" i="7"/>
  <c r="AT92" i="7"/>
  <c r="AT90" i="7"/>
  <c r="AT85" i="7"/>
  <c r="AT75" i="7"/>
  <c r="AT72" i="7"/>
  <c r="AT70" i="7"/>
  <c r="AT68" i="7"/>
  <c r="AT66" i="7"/>
  <c r="AT81" i="7"/>
  <c r="AT79" i="7"/>
  <c r="AT83" i="7"/>
  <c r="AT62" i="7"/>
  <c r="AT74" i="7"/>
  <c r="AT67" i="7"/>
  <c r="AT59" i="7"/>
  <c r="AT71" i="7"/>
  <c r="AT64" i="7"/>
  <c r="AT77" i="7"/>
  <c r="AT73" i="7"/>
  <c r="AT60" i="7"/>
  <c r="AT58" i="7"/>
  <c r="AT69" i="7"/>
  <c r="AT63" i="7"/>
  <c r="AT55" i="7"/>
  <c r="AT57" i="7"/>
  <c r="AT56" i="7"/>
  <c r="AT61" i="7"/>
  <c r="AT65" i="7"/>
  <c r="AU5" i="7"/>
  <c r="AT46" i="7" l="1" a="1"/>
  <c r="AT46" i="7" s="1"/>
  <c r="AT45" i="7" a="1"/>
  <c r="AT45" i="7" s="1"/>
  <c r="AT50" i="7" a="1"/>
  <c r="AT50" i="7" s="1"/>
  <c r="AT49" i="7" a="1"/>
  <c r="AT49" i="7" s="1"/>
  <c r="AT47" i="7" a="1"/>
  <c r="AT47" i="7" s="1"/>
  <c r="AT48" i="7" a="1"/>
  <c r="AT48" i="7" s="1"/>
  <c r="AT44" i="7" a="1"/>
  <c r="AT44" i="7" s="1"/>
  <c r="AT43" i="7" a="1"/>
  <c r="AT43" i="7" s="1"/>
  <c r="AT41" i="7" a="1"/>
  <c r="AT41" i="7" s="1"/>
  <c r="AT36" i="7" a="1"/>
  <c r="AT36" i="7" s="1"/>
  <c r="AT42" i="7" a="1"/>
  <c r="AT42" i="7" s="1"/>
  <c r="AT37" i="7" a="1"/>
  <c r="AT37" i="7" s="1"/>
  <c r="AT30" i="7" a="1"/>
  <c r="AT30" i="7" s="1"/>
  <c r="AT40" i="7" a="1"/>
  <c r="AT40" i="7" s="1"/>
  <c r="AT38" i="7" a="1"/>
  <c r="AT38" i="7" s="1"/>
  <c r="AT31" i="7" a="1"/>
  <c r="AT31" i="7" s="1"/>
  <c r="AT28" i="7" a="1"/>
  <c r="AT28" i="7" s="1"/>
  <c r="AT26" i="7" a="1"/>
  <c r="AT26" i="7" s="1"/>
  <c r="AT17" i="7" a="1"/>
  <c r="AT17" i="7" s="1"/>
  <c r="AT39" i="7" a="1"/>
  <c r="AT39" i="7" s="1"/>
  <c r="AT29" i="7" a="1"/>
  <c r="AT29" i="7" s="1"/>
  <c r="AT24" i="7" a="1"/>
  <c r="AT24" i="7" s="1"/>
  <c r="AT15" i="7" a="1"/>
  <c r="AT15" i="7" s="1"/>
  <c r="AT25" i="7" a="1"/>
  <c r="AT25" i="7" s="1"/>
  <c r="AT27" i="7" a="1"/>
  <c r="AT27" i="7" s="1"/>
  <c r="AT23" i="7" a="1"/>
  <c r="AT23" i="7" s="1"/>
  <c r="AT22" i="7" a="1"/>
  <c r="AT22" i="7" s="1"/>
  <c r="AT18" i="7" a="1"/>
  <c r="AT18" i="7" s="1"/>
  <c r="AT9" i="7" a="1"/>
  <c r="AT9" i="7" s="1"/>
  <c r="AT14" i="7" a="1"/>
  <c r="AT14" i="7" s="1"/>
  <c r="AT11" i="7" a="1"/>
  <c r="AT11" i="7" s="1"/>
  <c r="AT21" i="7" a="1"/>
  <c r="AT21" i="7" s="1"/>
  <c r="AT20" i="7" s="1"/>
  <c r="AT16" i="7" a="1"/>
  <c r="AT16" i="7" s="1"/>
  <c r="AT8" i="7" a="1"/>
  <c r="AT8" i="7" s="1"/>
  <c r="AT12" i="7" a="1"/>
  <c r="AT12" i="7" s="1"/>
  <c r="AT7" i="7" a="1"/>
  <c r="AT7" i="7" s="1"/>
  <c r="AT51" i="7" s="1"/>
  <c r="AT13" i="7" a="1"/>
  <c r="AT13" i="7" s="1"/>
  <c r="AQ10" i="7"/>
  <c r="AO10" i="7"/>
  <c r="R10" i="7"/>
  <c r="V10" i="7"/>
  <c r="AA10" i="7"/>
  <c r="P10" i="7"/>
  <c r="AC10" i="7"/>
  <c r="Q10" i="7"/>
  <c r="G223" i="5"/>
  <c r="H221" i="5"/>
  <c r="M4" i="7"/>
  <c r="O5" i="6"/>
  <c r="P4" i="6"/>
  <c r="AM10" i="7"/>
  <c r="Y10" i="7"/>
  <c r="E189" i="5"/>
  <c r="Z10" i="7"/>
  <c r="N10" i="7"/>
  <c r="H61" i="5"/>
  <c r="H75" i="5"/>
  <c r="M143" i="5"/>
  <c r="M106" i="5"/>
  <c r="AJ10" i="7"/>
  <c r="AP10" i="7"/>
  <c r="X10" i="7"/>
  <c r="AU113" i="7"/>
  <c r="AU111" i="7"/>
  <c r="AU109" i="7"/>
  <c r="AU107" i="7"/>
  <c r="AU105" i="7"/>
  <c r="AU103" i="7"/>
  <c r="AU101" i="7"/>
  <c r="AU99" i="7"/>
  <c r="AU97" i="7"/>
  <c r="AU95" i="7"/>
  <c r="AU93" i="7"/>
  <c r="AU91" i="7"/>
  <c r="AU89" i="7"/>
  <c r="AU87" i="7"/>
  <c r="AU114" i="7"/>
  <c r="AU88" i="7"/>
  <c r="AU86" i="7"/>
  <c r="AU84" i="7"/>
  <c r="AU82" i="7"/>
  <c r="AU80" i="7"/>
  <c r="AU78" i="7"/>
  <c r="AU76" i="7"/>
  <c r="AU74" i="7"/>
  <c r="AU112" i="7"/>
  <c r="AU110" i="7"/>
  <c r="AU108" i="7"/>
  <c r="AU106" i="7"/>
  <c r="AU104" i="7"/>
  <c r="AU102" i="7"/>
  <c r="AU100" i="7"/>
  <c r="AU98" i="7"/>
  <c r="AU96" i="7"/>
  <c r="AU94" i="7"/>
  <c r="AU92" i="7"/>
  <c r="AU90" i="7"/>
  <c r="AU85" i="7"/>
  <c r="AU83" i="7"/>
  <c r="AU75" i="7"/>
  <c r="AU72" i="7"/>
  <c r="AU70" i="7"/>
  <c r="AU68" i="7"/>
  <c r="AU66" i="7"/>
  <c r="AU67" i="7"/>
  <c r="AU59" i="7"/>
  <c r="AU63" i="7"/>
  <c r="AU60" i="7"/>
  <c r="AU77" i="7"/>
  <c r="AU64" i="7"/>
  <c r="AU73" i="7"/>
  <c r="AU71" i="7"/>
  <c r="AU58" i="7"/>
  <c r="AU56" i="7"/>
  <c r="AU57" i="7"/>
  <c r="AU81" i="7"/>
  <c r="AU79" i="7"/>
  <c r="AU62" i="7"/>
  <c r="AU61" i="7"/>
  <c r="AU65" i="7"/>
  <c r="AU69" i="7"/>
  <c r="AU55" i="7"/>
  <c r="AV5" i="7"/>
  <c r="AS51" i="7"/>
  <c r="AN10" i="7"/>
  <c r="J10" i="7"/>
  <c r="L3" i="7"/>
  <c r="AL10" i="7"/>
  <c r="T10" i="7"/>
  <c r="L10" i="7"/>
  <c r="AD10" i="7"/>
  <c r="H24" i="5"/>
  <c r="H27" i="5" s="1"/>
  <c r="M107" i="5"/>
  <c r="AS19" i="7"/>
  <c r="F76" i="5"/>
  <c r="F57" i="5"/>
  <c r="AE10" i="7"/>
  <c r="AH10" i="7"/>
  <c r="G46" i="5"/>
  <c r="H209" i="5" s="1"/>
  <c r="H213" i="5" s="1"/>
  <c r="AG10" i="7"/>
  <c r="AB10" i="7"/>
  <c r="O10" i="7"/>
  <c r="H10" i="7"/>
  <c r="H131" i="5"/>
  <c r="H151" i="5"/>
  <c r="H171" i="5"/>
  <c r="I29" i="5"/>
  <c r="L103" i="5"/>
  <c r="M16" i="5"/>
  <c r="M100" i="5" s="1"/>
  <c r="M99" i="5" s="1"/>
  <c r="M105" i="5"/>
  <c r="M103" i="5" s="1"/>
  <c r="K10" i="7"/>
  <c r="G47" i="5"/>
  <c r="G50" i="5"/>
  <c r="K156" i="5"/>
  <c r="K136" i="5"/>
  <c r="K176" i="5"/>
  <c r="L34" i="5"/>
  <c r="AS10" i="7"/>
  <c r="I153" i="5"/>
  <c r="I133" i="5"/>
  <c r="I173" i="5"/>
  <c r="J31" i="5"/>
  <c r="AK10" i="7"/>
  <c r="AI10" i="7"/>
  <c r="N197" i="5"/>
  <c r="O193" i="5" s="1"/>
  <c r="N107" i="5"/>
  <c r="N142" i="5"/>
  <c r="N93" i="5"/>
  <c r="N104" i="5" s="1"/>
  <c r="N143" i="5"/>
  <c r="N37" i="5"/>
  <c r="N160" i="5" s="1"/>
  <c r="N41" i="5"/>
  <c r="N164" i="5" s="1"/>
  <c r="N16" i="5"/>
  <c r="N100" i="5" s="1"/>
  <c r="N99" i="5" s="1"/>
  <c r="N13" i="5"/>
  <c r="N202" i="5" s="1"/>
  <c r="N140" i="5"/>
  <c r="N40" i="5"/>
  <c r="N163" i="5" s="1"/>
  <c r="N68" i="5" a="1"/>
  <c r="N68" i="5" s="1"/>
  <c r="N39" i="5"/>
  <c r="N162" i="5" s="1"/>
  <c r="N38" i="5"/>
  <c r="N141" i="5" s="1"/>
  <c r="N14" i="5"/>
  <c r="N11" i="5"/>
  <c r="N12" i="5"/>
  <c r="O5" i="5"/>
  <c r="N6" i="5"/>
  <c r="I20" i="5"/>
  <c r="I19" i="5"/>
  <c r="E187" i="5"/>
  <c r="U10" i="7"/>
  <c r="W10" i="7"/>
  <c r="M10" i="7"/>
  <c r="I10" i="7"/>
  <c r="AF10" i="7"/>
  <c r="S10" i="7"/>
  <c r="N195" i="5"/>
  <c r="N196" i="5"/>
  <c r="I51" i="5" l="1"/>
  <c r="I58" i="5" s="1"/>
  <c r="H44" i="5"/>
  <c r="H150" i="5"/>
  <c r="H165" i="5" s="1"/>
  <c r="H166" i="5" s="1"/>
  <c r="H45" i="5" a="1"/>
  <c r="H45" i="5" s="1"/>
  <c r="H170" i="5"/>
  <c r="H180" i="5" s="1"/>
  <c r="H181" i="5" s="1"/>
  <c r="H130" i="5"/>
  <c r="H145" i="5" s="1"/>
  <c r="H146" i="5" s="1"/>
  <c r="H183" i="5" s="1" a="1"/>
  <c r="H183" i="5" s="1"/>
  <c r="I28" i="5"/>
  <c r="I18" i="5"/>
  <c r="I62" i="5" s="1"/>
  <c r="H214" i="5"/>
  <c r="H222" i="5"/>
  <c r="I21" i="5"/>
  <c r="M3" i="7"/>
  <c r="N105" i="5"/>
  <c r="N103" i="5" s="1"/>
  <c r="N106" i="5"/>
  <c r="N161" i="5"/>
  <c r="L177" i="5"/>
  <c r="L79" i="5"/>
  <c r="L137" i="5"/>
  <c r="L157" i="5"/>
  <c r="M35" i="5"/>
  <c r="AG32" i="7" a="1"/>
  <c r="AG32" i="7" s="1"/>
  <c r="AG33" i="7" s="1"/>
  <c r="AA32" i="7" a="1"/>
  <c r="AA32" i="7" s="1"/>
  <c r="AA33" i="7" s="1"/>
  <c r="V32" i="7" a="1"/>
  <c r="V32" i="7" s="1"/>
  <c r="V33" i="7" s="1"/>
  <c r="Q32" i="7" a="1"/>
  <c r="Q32" i="7" s="1"/>
  <c r="Q33" i="7" s="1"/>
  <c r="K32" i="7" a="1"/>
  <c r="K32" i="7" s="1"/>
  <c r="K33" i="7" s="1"/>
  <c r="AF32" i="7" a="1"/>
  <c r="AF32" i="7" s="1"/>
  <c r="AF33" i="7" s="1"/>
  <c r="P32" i="7" a="1"/>
  <c r="P32" i="7" s="1"/>
  <c r="P33" i="7" s="1"/>
  <c r="AK32" i="7" a="1"/>
  <c r="AK32" i="7" s="1"/>
  <c r="AK33" i="7" s="1"/>
  <c r="AE32" i="7" a="1"/>
  <c r="AE32" i="7" s="1"/>
  <c r="AE33" i="7" s="1"/>
  <c r="AH32" i="7" a="1"/>
  <c r="AH32" i="7" s="1"/>
  <c r="AH33" i="7" s="1"/>
  <c r="AC32" i="7" a="1"/>
  <c r="AC32" i="7" s="1"/>
  <c r="AC33" i="7" s="1"/>
  <c r="W32" i="7" a="1"/>
  <c r="W32" i="7" s="1"/>
  <c r="W33" i="7" s="1"/>
  <c r="R32" i="7" a="1"/>
  <c r="R32" i="7" s="1"/>
  <c r="R33" i="7" s="1"/>
  <c r="M32" i="7" a="1"/>
  <c r="M32" i="7" s="1"/>
  <c r="M33" i="7" s="1"/>
  <c r="AI32" i="7" a="1"/>
  <c r="AI32" i="7" s="1"/>
  <c r="AI33" i="7" s="1"/>
  <c r="I32" i="7" a="1"/>
  <c r="I32" i="7" s="1"/>
  <c r="I33" i="7" s="1"/>
  <c r="Y32" i="7" a="1"/>
  <c r="Y32" i="7" s="1"/>
  <c r="Y33" i="7" s="1"/>
  <c r="O32" i="7" a="1"/>
  <c r="O32" i="7" s="1"/>
  <c r="O33" i="7" s="1"/>
  <c r="H32" i="7" a="1"/>
  <c r="H32" i="7" s="1"/>
  <c r="H33" i="7" s="1"/>
  <c r="X32" i="7" a="1"/>
  <c r="X32" i="7" s="1"/>
  <c r="X33" i="7" s="1"/>
  <c r="N32" i="7" a="1"/>
  <c r="N32" i="7" s="1"/>
  <c r="N33" i="7" s="1"/>
  <c r="AD32" i="7" a="1"/>
  <c r="AD32" i="7" s="1"/>
  <c r="AD33" i="7" s="1"/>
  <c r="U32" i="7" a="1"/>
  <c r="U32" i="7" s="1"/>
  <c r="U33" i="7" s="1"/>
  <c r="T32" i="7" a="1"/>
  <c r="T32" i="7" s="1"/>
  <c r="T33" i="7" s="1"/>
  <c r="L32" i="7" a="1"/>
  <c r="L32" i="7" s="1"/>
  <c r="L33" i="7" s="1"/>
  <c r="AB32" i="7" a="1"/>
  <c r="AB32" i="7" s="1"/>
  <c r="AB33" i="7" s="1"/>
  <c r="S32" i="7" a="1"/>
  <c r="S32" i="7" s="1"/>
  <c r="S33" i="7" s="1"/>
  <c r="J32" i="7" a="1"/>
  <c r="J32" i="7" s="1"/>
  <c r="J33" i="7" s="1"/>
  <c r="AJ32" i="7" a="1"/>
  <c r="AJ32" i="7" s="1"/>
  <c r="AJ33" i="7" s="1"/>
  <c r="Z32" i="7" a="1"/>
  <c r="Z32" i="7" s="1"/>
  <c r="Z33" i="7" s="1"/>
  <c r="AL32" i="7" a="1"/>
  <c r="AL32" i="7" s="1"/>
  <c r="AL33" i="7" s="1"/>
  <c r="AM32" i="7" a="1"/>
  <c r="AM32" i="7" s="1"/>
  <c r="AM33" i="7" s="1"/>
  <c r="AN32" i="7" a="1"/>
  <c r="AN32" i="7" s="1"/>
  <c r="AN33" i="7" s="1"/>
  <c r="AO32" i="7" a="1"/>
  <c r="AO32" i="7" s="1"/>
  <c r="AO33" i="7" s="1"/>
  <c r="AP32" i="7" a="1"/>
  <c r="AP32" i="7" s="1"/>
  <c r="AP33" i="7" s="1"/>
  <c r="AQ32" i="7" a="1"/>
  <c r="AQ32" i="7" s="1"/>
  <c r="AQ33" i="7" s="1"/>
  <c r="AR32" i="7" a="1"/>
  <c r="AR32" i="7" s="1"/>
  <c r="AR33" i="7" s="1"/>
  <c r="AS32" i="7" a="1"/>
  <c r="AS32" i="7" s="1"/>
  <c r="AS33" i="7" s="1"/>
  <c r="F55" i="5"/>
  <c r="F82" i="5"/>
  <c r="F81" i="5"/>
  <c r="F74" i="5" s="1"/>
  <c r="AT10" i="7"/>
  <c r="O107" i="5"/>
  <c r="O142" i="5"/>
  <c r="O161" i="5"/>
  <c r="O105" i="5"/>
  <c r="O197" i="5"/>
  <c r="P193" i="5" s="1"/>
  <c r="O104" i="5"/>
  <c r="O41" i="5"/>
  <c r="O164" i="5" s="1"/>
  <c r="O16" i="5"/>
  <c r="O13" i="5"/>
  <c r="O202" i="5" s="1"/>
  <c r="O96" i="5"/>
  <c r="O95" i="5" s="1"/>
  <c r="O11" i="5"/>
  <c r="O162" i="5"/>
  <c r="O93" i="5"/>
  <c r="O106" i="5" s="1"/>
  <c r="O100" i="5"/>
  <c r="O99" i="5" s="1"/>
  <c r="O39" i="5"/>
  <c r="O38" i="5"/>
  <c r="O141" i="5" s="1"/>
  <c r="O14" i="5"/>
  <c r="O40" i="5"/>
  <c r="O163" i="5" s="1"/>
  <c r="P5" i="5"/>
  <c r="O68" i="5" a="1"/>
  <c r="O68" i="5" s="1"/>
  <c r="O12" i="5"/>
  <c r="O6" i="5"/>
  <c r="H77" i="5"/>
  <c r="N96" i="5"/>
  <c r="N95" i="5" s="1"/>
  <c r="N144" i="5"/>
  <c r="J154" i="5"/>
  <c r="J174" i="5"/>
  <c r="J134" i="5"/>
  <c r="J78" i="5"/>
  <c r="K32" i="5"/>
  <c r="I152" i="5"/>
  <c r="I172" i="5"/>
  <c r="I132" i="5"/>
  <c r="J30" i="5"/>
  <c r="AV113" i="7"/>
  <c r="AV111" i="7"/>
  <c r="AV109" i="7"/>
  <c r="AV107" i="7"/>
  <c r="AV105" i="7"/>
  <c r="AV103" i="7"/>
  <c r="AV101" i="7"/>
  <c r="AV99" i="7"/>
  <c r="AV97" i="7"/>
  <c r="AV95" i="7"/>
  <c r="AV93" i="7"/>
  <c r="AV91" i="7"/>
  <c r="AV89" i="7"/>
  <c r="AV87" i="7"/>
  <c r="AV114" i="7"/>
  <c r="AV112" i="7"/>
  <c r="AV110" i="7"/>
  <c r="AV108" i="7"/>
  <c r="AV106" i="7"/>
  <c r="AV104" i="7"/>
  <c r="AV102" i="7"/>
  <c r="AV100" i="7"/>
  <c r="AV98" i="7"/>
  <c r="AV96" i="7"/>
  <c r="AV94" i="7"/>
  <c r="AV92" i="7"/>
  <c r="AV90" i="7"/>
  <c r="AV85" i="7"/>
  <c r="AV75" i="7"/>
  <c r="AV72" i="7"/>
  <c r="AV70" i="7"/>
  <c r="AV68" i="7"/>
  <c r="AV66" i="7"/>
  <c r="AV64" i="7"/>
  <c r="AV62" i="7"/>
  <c r="AV60" i="7"/>
  <c r="AV78" i="7"/>
  <c r="AV83" i="7"/>
  <c r="AV88" i="7"/>
  <c r="AV76" i="7"/>
  <c r="AV74" i="7"/>
  <c r="AV67" i="7"/>
  <c r="AV59" i="7"/>
  <c r="AV57" i="7"/>
  <c r="AV55" i="7"/>
  <c r="AV63" i="7"/>
  <c r="AV79" i="7"/>
  <c r="AV71" i="7"/>
  <c r="AV84" i="7"/>
  <c r="AV80" i="7"/>
  <c r="AV73" i="7"/>
  <c r="AV65" i="7"/>
  <c r="AV61" i="7"/>
  <c r="AV77" i="7"/>
  <c r="AV58" i="7"/>
  <c r="AV56" i="7"/>
  <c r="AV86" i="7"/>
  <c r="AV81" i="7"/>
  <c r="AV82" i="7"/>
  <c r="AV69" i="7"/>
  <c r="AW5" i="7"/>
  <c r="P5" i="6"/>
  <c r="Q4" i="6"/>
  <c r="N4" i="7"/>
  <c r="N3" i="7" s="1"/>
  <c r="O195" i="5"/>
  <c r="O196" i="5"/>
  <c r="G59" i="5"/>
  <c r="AU50" i="7" a="1"/>
  <c r="AU50" i="7" s="1"/>
  <c r="AU48" i="7" a="1"/>
  <c r="AU48" i="7" s="1"/>
  <c r="AU43" i="7" a="1"/>
  <c r="AU43" i="7" s="1"/>
  <c r="AU49" i="7" a="1"/>
  <c r="AU49" i="7" s="1"/>
  <c r="AU41" i="7" a="1"/>
  <c r="AU41" i="7" s="1"/>
  <c r="AU47" i="7" a="1"/>
  <c r="AU47" i="7" s="1"/>
  <c r="AU46" i="7" a="1"/>
  <c r="AU46" i="7" s="1"/>
  <c r="AU40" i="7" a="1"/>
  <c r="AU40" i="7" s="1"/>
  <c r="AU44" i="7" a="1"/>
  <c r="AU44" i="7" s="1"/>
  <c r="AU45" i="7" a="1"/>
  <c r="AU45" i="7" s="1"/>
  <c r="AU36" i="7" a="1"/>
  <c r="AU36" i="7" s="1"/>
  <c r="AU29" i="7" a="1"/>
  <c r="AU29" i="7" s="1"/>
  <c r="AU38" i="7" a="1"/>
  <c r="AU38" i="7" s="1"/>
  <c r="AU32" i="7" a="1"/>
  <c r="AU32" i="7" s="1"/>
  <c r="AU42" i="7" a="1"/>
  <c r="AU42" i="7" s="1"/>
  <c r="AU39" i="7" a="1"/>
  <c r="AU39" i="7" s="1"/>
  <c r="AU30" i="7" a="1"/>
  <c r="AU30" i="7" s="1"/>
  <c r="AU37" i="7" a="1"/>
  <c r="AU37" i="7" s="1"/>
  <c r="AU27" i="7" a="1"/>
  <c r="AU27" i="7" s="1"/>
  <c r="AU17" i="7" a="1"/>
  <c r="AU17" i="7" s="1"/>
  <c r="AU22" i="7" a="1"/>
  <c r="AU22" i="7" s="1"/>
  <c r="AU31" i="7" a="1"/>
  <c r="AU31" i="7" s="1"/>
  <c r="AU28" i="7" a="1"/>
  <c r="AU28" i="7" s="1"/>
  <c r="AU25" i="7" a="1"/>
  <c r="AU25" i="7" s="1"/>
  <c r="AU18" i="7" a="1"/>
  <c r="AU18" i="7" s="1"/>
  <c r="AU24" i="7" a="1"/>
  <c r="AU24" i="7" s="1"/>
  <c r="AU23" i="7" a="1"/>
  <c r="AU23" i="7" s="1"/>
  <c r="AU26" i="7" a="1"/>
  <c r="AU26" i="7" s="1"/>
  <c r="AU14" i="7" a="1"/>
  <c r="AU14" i="7" s="1"/>
  <c r="AU21" i="7" a="1"/>
  <c r="AU21" i="7" s="1"/>
  <c r="AU20" i="7" s="1"/>
  <c r="AU8" i="7" a="1"/>
  <c r="AU8" i="7" s="1"/>
  <c r="AU15" i="7" a="1"/>
  <c r="AU15" i="7" s="1"/>
  <c r="AU16" i="7" a="1"/>
  <c r="AU16" i="7" s="1"/>
  <c r="AU13" i="7" a="1"/>
  <c r="AU13" i="7" s="1"/>
  <c r="AU12" i="7" a="1"/>
  <c r="AU12" i="7" s="1"/>
  <c r="AU11" i="7" a="1"/>
  <c r="AU11" i="7" s="1"/>
  <c r="AU7" i="7" a="1"/>
  <c r="AU7" i="7" s="1"/>
  <c r="AU51" i="7" s="1"/>
  <c r="AU9" i="7" a="1"/>
  <c r="AU9" i="7" s="1"/>
  <c r="AT19" i="7"/>
  <c r="AT33" i="7" s="1"/>
  <c r="AT32" i="7" a="1"/>
  <c r="AT32" i="7" s="1"/>
  <c r="F72" i="5" l="1"/>
  <c r="F71" i="5" s="1"/>
  <c r="G76" i="5"/>
  <c r="G57" i="5"/>
  <c r="O103" i="5"/>
  <c r="P196" i="5"/>
  <c r="P195" i="5"/>
  <c r="O143" i="5"/>
  <c r="H47" i="5"/>
  <c r="H50" i="5"/>
  <c r="I24" i="5"/>
  <c r="I27" i="5" s="1"/>
  <c r="I17" i="5"/>
  <c r="H46" i="5"/>
  <c r="I209" i="5" s="1"/>
  <c r="I213" i="5" s="1"/>
  <c r="O144" i="5"/>
  <c r="F189" i="5"/>
  <c r="F187" i="5"/>
  <c r="F188" i="5"/>
  <c r="H223" i="5"/>
  <c r="I221" i="5"/>
  <c r="I75" i="5"/>
  <c r="AU10" i="7"/>
  <c r="AU19" i="7"/>
  <c r="AU33" i="7" s="1"/>
  <c r="AW113" i="7"/>
  <c r="AW111" i="7"/>
  <c r="AW109" i="7"/>
  <c r="AW107" i="7"/>
  <c r="AW105" i="7"/>
  <c r="AW103" i="7"/>
  <c r="AW101" i="7"/>
  <c r="AW99" i="7"/>
  <c r="AW97" i="7"/>
  <c r="AW95" i="7"/>
  <c r="AW93" i="7"/>
  <c r="AW91" i="7"/>
  <c r="AW89" i="7"/>
  <c r="AW114" i="7"/>
  <c r="AW87" i="7"/>
  <c r="AW85" i="7"/>
  <c r="AW83" i="7"/>
  <c r="AW112" i="7"/>
  <c r="AW110" i="7"/>
  <c r="AW78" i="7"/>
  <c r="AW104" i="7"/>
  <c r="AW96" i="7"/>
  <c r="AW86" i="7"/>
  <c r="AW82" i="7"/>
  <c r="AW80" i="7"/>
  <c r="AW77" i="7"/>
  <c r="AW106" i="7"/>
  <c r="AW98" i="7"/>
  <c r="AW102" i="7"/>
  <c r="AW94" i="7"/>
  <c r="AW75" i="7"/>
  <c r="AW72" i="7"/>
  <c r="AW70" i="7"/>
  <c r="AW100" i="7"/>
  <c r="AW63" i="7"/>
  <c r="AW79" i="7"/>
  <c r="AW71" i="7"/>
  <c r="AW60" i="7"/>
  <c r="AW92" i="7"/>
  <c r="AW84" i="7"/>
  <c r="AW76" i="7"/>
  <c r="AW108" i="7"/>
  <c r="AW81" i="7"/>
  <c r="AW69" i="7"/>
  <c r="AW66" i="7"/>
  <c r="AW90" i="7"/>
  <c r="AW56" i="7"/>
  <c r="AW88" i="7"/>
  <c r="AW61" i="7"/>
  <c r="AW73" i="7"/>
  <c r="AW64" i="7"/>
  <c r="AW58" i="7"/>
  <c r="AW62" i="7"/>
  <c r="AW68" i="7"/>
  <c r="AW59" i="7"/>
  <c r="AW65" i="7"/>
  <c r="AW74" i="7"/>
  <c r="AW55" i="7"/>
  <c r="AW67" i="7"/>
  <c r="AW57" i="7"/>
  <c r="AX5" i="7"/>
  <c r="AV50" i="7" a="1"/>
  <c r="AV50" i="7" s="1"/>
  <c r="AV49" i="7" a="1"/>
  <c r="AV49" i="7" s="1"/>
  <c r="AV48" i="7" a="1"/>
  <c r="AV48" i="7" s="1"/>
  <c r="AV46" i="7" a="1"/>
  <c r="AV46" i="7" s="1"/>
  <c r="AV47" i="7" a="1"/>
  <c r="AV47" i="7" s="1"/>
  <c r="AV43" i="7" a="1"/>
  <c r="AV43" i="7" s="1"/>
  <c r="AV41" i="7" a="1"/>
  <c r="AV41" i="7" s="1"/>
  <c r="AV40" i="7" a="1"/>
  <c r="AV40" i="7" s="1"/>
  <c r="AV44" i="7" a="1"/>
  <c r="AV44" i="7" s="1"/>
  <c r="AV39" i="7" a="1"/>
  <c r="AV39" i="7" s="1"/>
  <c r="AV45" i="7" a="1"/>
  <c r="AV45" i="7" s="1"/>
  <c r="AV38" i="7" a="1"/>
  <c r="AV38" i="7" s="1"/>
  <c r="AV32" i="7" a="1"/>
  <c r="AV32" i="7" s="1"/>
  <c r="AV28" i="7" a="1"/>
  <c r="AV28" i="7" s="1"/>
  <c r="AV24" i="7" a="1"/>
  <c r="AV24" i="7" s="1"/>
  <c r="AV42" i="7" a="1"/>
  <c r="AV42" i="7" s="1"/>
  <c r="AV37" i="7" a="1"/>
  <c r="AV37" i="7" s="1"/>
  <c r="AV22" i="7" a="1"/>
  <c r="AV22" i="7" s="1"/>
  <c r="AV36" i="7" a="1"/>
  <c r="AV36" i="7" s="1"/>
  <c r="AV23" i="7" a="1"/>
  <c r="AV23" i="7" s="1"/>
  <c r="AV21" i="7" a="1"/>
  <c r="AV21" i="7" s="1"/>
  <c r="AV20" i="7" s="1"/>
  <c r="AV31" i="7" a="1"/>
  <c r="AV31" i="7" s="1"/>
  <c r="AV30" i="7" a="1"/>
  <c r="AV30" i="7" s="1"/>
  <c r="AV29" i="7" a="1"/>
  <c r="AV29" i="7" s="1"/>
  <c r="AV26" i="7" a="1"/>
  <c r="AV26" i="7" s="1"/>
  <c r="AV27" i="7" a="1"/>
  <c r="AV27" i="7" s="1"/>
  <c r="AV15" i="7" a="1"/>
  <c r="AV15" i="7" s="1"/>
  <c r="AV18" i="7" a="1"/>
  <c r="AV18" i="7" s="1"/>
  <c r="AV16" i="7" a="1"/>
  <c r="AV16" i="7" s="1"/>
  <c r="AV25" i="7" a="1"/>
  <c r="AV25" i="7" s="1"/>
  <c r="AV17" i="7" a="1"/>
  <c r="AV17" i="7" s="1"/>
  <c r="AV11" i="7" a="1"/>
  <c r="AV11" i="7" s="1"/>
  <c r="AV13" i="7" a="1"/>
  <c r="AV13" i="7" s="1"/>
  <c r="AV14" i="7" a="1"/>
  <c r="AV14" i="7" s="1"/>
  <c r="AV12" i="7" a="1"/>
  <c r="AV12" i="7" s="1"/>
  <c r="AV9" i="7" a="1"/>
  <c r="AV9" i="7" s="1"/>
  <c r="AV8" i="7" a="1"/>
  <c r="AV8" i="7" s="1"/>
  <c r="AV7" i="7" a="1"/>
  <c r="AV7" i="7" s="1"/>
  <c r="AV51" i="7" s="1"/>
  <c r="P197" i="5"/>
  <c r="Q193" i="5" s="1"/>
  <c r="P164" i="5"/>
  <c r="P68" i="5" a="1"/>
  <c r="P68" i="5" s="1"/>
  <c r="O38" i="3" s="1"/>
  <c r="P40" i="5"/>
  <c r="P163" i="5" s="1"/>
  <c r="P142" i="5"/>
  <c r="P11" i="5"/>
  <c r="P93" i="5"/>
  <c r="P106" i="5" s="1"/>
  <c r="O55" i="3" s="1"/>
  <c r="P39" i="5"/>
  <c r="P162" i="5" s="1"/>
  <c r="P13" i="5"/>
  <c r="P202" i="5" s="1"/>
  <c r="P14" i="5"/>
  <c r="Q5" i="5"/>
  <c r="P41" i="5"/>
  <c r="P144" i="5" s="1"/>
  <c r="P104" i="5"/>
  <c r="P12" i="5"/>
  <c r="P6" i="5"/>
  <c r="J133" i="5"/>
  <c r="J173" i="5"/>
  <c r="J153" i="5"/>
  <c r="K31" i="5"/>
  <c r="M138" i="5"/>
  <c r="M178" i="5"/>
  <c r="N179" i="5" s="1"/>
  <c r="M158" i="5"/>
  <c r="N36" i="5"/>
  <c r="I171" i="5"/>
  <c r="I151" i="5"/>
  <c r="I131" i="5"/>
  <c r="J29" i="5"/>
  <c r="O4" i="7"/>
  <c r="Q5" i="6"/>
  <c r="R4" i="6"/>
  <c r="K155" i="5"/>
  <c r="K135" i="5"/>
  <c r="K175" i="5"/>
  <c r="L33" i="5"/>
  <c r="I66" i="5"/>
  <c r="I64" i="5" s="1"/>
  <c r="J51" i="5" l="1"/>
  <c r="J58" i="5" s="1"/>
  <c r="I44" i="5"/>
  <c r="I150" i="5"/>
  <c r="I165" i="5" s="1"/>
  <c r="I166" i="5" s="1"/>
  <c r="I130" i="5"/>
  <c r="I145" i="5" s="1"/>
  <c r="I146" i="5" s="1"/>
  <c r="I183" i="5" s="1" a="1"/>
  <c r="I183" i="5" s="1"/>
  <c r="I45" i="5" a="1"/>
  <c r="I45" i="5" s="1"/>
  <c r="J66" i="5" s="1"/>
  <c r="J64" i="5" s="1"/>
  <c r="I170" i="5"/>
  <c r="I180" i="5" s="1"/>
  <c r="I181" i="5" s="1"/>
  <c r="J28" i="5"/>
  <c r="J18" i="5"/>
  <c r="J62" i="5" s="1"/>
  <c r="I222" i="5"/>
  <c r="I214" i="5"/>
  <c r="L156" i="5"/>
  <c r="L176" i="5"/>
  <c r="L136" i="5"/>
  <c r="M34" i="5"/>
  <c r="AV19" i="7"/>
  <c r="J132" i="5"/>
  <c r="J172" i="5"/>
  <c r="J152" i="5"/>
  <c r="K30" i="5"/>
  <c r="Q41" i="5"/>
  <c r="Q164" i="5" s="1"/>
  <c r="Q197" i="5"/>
  <c r="R193" i="5" s="1"/>
  <c r="Q68" i="5" a="1"/>
  <c r="Q68" i="5" s="1"/>
  <c r="R5" i="5"/>
  <c r="Q93" i="5"/>
  <c r="Q96" i="5" s="1"/>
  <c r="Q144" i="5"/>
  <c r="Q13" i="5"/>
  <c r="Q202" i="5" s="1"/>
  <c r="Q40" i="5"/>
  <c r="Q143" i="5" s="1"/>
  <c r="Q14" i="5"/>
  <c r="Q11" i="5"/>
  <c r="Q12" i="5"/>
  <c r="Q6" i="5"/>
  <c r="P143" i="5"/>
  <c r="AX114" i="7"/>
  <c r="AX112" i="7"/>
  <c r="AX110" i="7"/>
  <c r="AX108" i="7"/>
  <c r="AX106" i="7"/>
  <c r="AX104" i="7"/>
  <c r="AX102" i="7"/>
  <c r="AX100" i="7"/>
  <c r="AX98" i="7"/>
  <c r="AX96" i="7"/>
  <c r="AX94" i="7"/>
  <c r="AX92" i="7"/>
  <c r="AX90" i="7"/>
  <c r="AX88" i="7"/>
  <c r="AX113" i="7"/>
  <c r="AX87" i="7"/>
  <c r="AX89" i="7"/>
  <c r="AX85" i="7"/>
  <c r="AX83" i="7"/>
  <c r="AX81" i="7"/>
  <c r="AX79" i="7"/>
  <c r="AX77" i="7"/>
  <c r="AX75" i="7"/>
  <c r="AX111" i="7"/>
  <c r="AX109" i="7"/>
  <c r="AX107" i="7"/>
  <c r="AX105" i="7"/>
  <c r="AX103" i="7"/>
  <c r="AX101" i="7"/>
  <c r="AX99" i="7"/>
  <c r="AX97" i="7"/>
  <c r="AX95" i="7"/>
  <c r="AX93" i="7"/>
  <c r="AX91" i="7"/>
  <c r="AX86" i="7"/>
  <c r="AX82" i="7"/>
  <c r="AX80" i="7"/>
  <c r="AX73" i="7"/>
  <c r="AX71" i="7"/>
  <c r="AX69" i="7"/>
  <c r="AX67" i="7"/>
  <c r="AX65" i="7"/>
  <c r="AX78" i="7"/>
  <c r="AX70" i="7"/>
  <c r="AX60" i="7"/>
  <c r="AX84" i="7"/>
  <c r="AX76" i="7"/>
  <c r="AX64" i="7"/>
  <c r="AX61" i="7"/>
  <c r="AX58" i="7"/>
  <c r="AX72" i="7"/>
  <c r="AX66" i="7"/>
  <c r="AX68" i="7"/>
  <c r="AX59" i="7"/>
  <c r="AX56" i="7"/>
  <c r="AX62" i="7"/>
  <c r="AX74" i="7"/>
  <c r="AX55" i="7"/>
  <c r="AX63" i="7"/>
  <c r="AX57" i="7"/>
  <c r="AY5" i="7"/>
  <c r="I61" i="5"/>
  <c r="H59" i="5"/>
  <c r="Q196" i="5"/>
  <c r="Q195" i="5"/>
  <c r="J20" i="5"/>
  <c r="J19" i="5"/>
  <c r="P96" i="5"/>
  <c r="O3" i="7"/>
  <c r="P103" i="5"/>
  <c r="O53" i="3"/>
  <c r="AW49" i="7" a="1"/>
  <c r="AW49" i="7" s="1"/>
  <c r="AW48" i="7" a="1"/>
  <c r="AW48" i="7" s="1"/>
  <c r="AW47" i="7" a="1"/>
  <c r="AW47" i="7" s="1"/>
  <c r="AW45" i="7" a="1"/>
  <c r="AW45" i="7" s="1"/>
  <c r="AW42" i="7" a="1"/>
  <c r="AW42" i="7" s="1"/>
  <c r="AW50" i="7" a="1"/>
  <c r="AW50" i="7" s="1"/>
  <c r="AW43" i="7" a="1"/>
  <c r="AW43" i="7" s="1"/>
  <c r="AW39" i="7" a="1"/>
  <c r="AW39" i="7" s="1"/>
  <c r="AW44" i="7" a="1"/>
  <c r="AW44" i="7" s="1"/>
  <c r="AW38" i="7" a="1"/>
  <c r="AW38" i="7" s="1"/>
  <c r="AW37" i="7" a="1"/>
  <c r="AW37" i="7" s="1"/>
  <c r="AW46" i="7" a="1"/>
  <c r="AW46" i="7" s="1"/>
  <c r="AW41" i="7" a="1"/>
  <c r="AW41" i="7" s="1"/>
  <c r="AW40" i="7" a="1"/>
  <c r="AW40" i="7" s="1"/>
  <c r="AW32" i="7" a="1"/>
  <c r="AW32" i="7" s="1"/>
  <c r="AW28" i="7" a="1"/>
  <c r="AW28" i="7" s="1"/>
  <c r="AW29" i="7" a="1"/>
  <c r="AW29" i="7" s="1"/>
  <c r="AW36" i="7" a="1"/>
  <c r="AW36" i="7" s="1"/>
  <c r="AW15" i="7" a="1"/>
  <c r="AW15" i="7" s="1"/>
  <c r="AW31" i="7" a="1"/>
  <c r="AW31" i="7" s="1"/>
  <c r="AW30" i="7" a="1"/>
  <c r="AW30" i="7" s="1"/>
  <c r="AW27" i="7" a="1"/>
  <c r="AW27" i="7" s="1"/>
  <c r="AW22" i="7" a="1"/>
  <c r="AW22" i="7" s="1"/>
  <c r="AW26" i="7" a="1"/>
  <c r="AW26" i="7" s="1"/>
  <c r="AW25" i="7" a="1"/>
  <c r="AW25" i="7" s="1"/>
  <c r="AW18" i="7" a="1"/>
  <c r="AW18" i="7" s="1"/>
  <c r="AW13" i="7" a="1"/>
  <c r="AW13" i="7" s="1"/>
  <c r="AW24" i="7" a="1"/>
  <c r="AW24" i="7" s="1"/>
  <c r="AW16" i="7" a="1"/>
  <c r="AW16" i="7" s="1"/>
  <c r="AW21" i="7" a="1"/>
  <c r="AW21" i="7" s="1"/>
  <c r="AW20" i="7" s="1"/>
  <c r="AW19" i="7" s="1"/>
  <c r="AW17" i="7" a="1"/>
  <c r="AW17" i="7" s="1"/>
  <c r="AW14" i="7" a="1"/>
  <c r="AW14" i="7" s="1"/>
  <c r="AW9" i="7" a="1"/>
  <c r="AW9" i="7" s="1"/>
  <c r="AW8" i="7" a="1"/>
  <c r="AW8" i="7" s="1"/>
  <c r="AW7" i="7" a="1"/>
  <c r="AW7" i="7" s="1"/>
  <c r="AW51" i="7" s="1"/>
  <c r="AW12" i="7" a="1"/>
  <c r="AW12" i="7" s="1"/>
  <c r="AW11" i="7" a="1"/>
  <c r="AW11" i="7" s="1"/>
  <c r="AV33" i="7"/>
  <c r="AV10" i="7"/>
  <c r="P16" i="5"/>
  <c r="P100" i="5" s="1"/>
  <c r="P99" i="5" s="1"/>
  <c r="O51" i="3" s="1"/>
  <c r="K174" i="5"/>
  <c r="K134" i="5"/>
  <c r="K154" i="5"/>
  <c r="K78" i="5"/>
  <c r="L32" i="5"/>
  <c r="G55" i="5"/>
  <c r="G82" i="5"/>
  <c r="G81" i="5"/>
  <c r="O15" i="3"/>
  <c r="N159" i="5"/>
  <c r="N139" i="5"/>
  <c r="O37" i="5"/>
  <c r="P105" i="5"/>
  <c r="O54" i="3" s="1"/>
  <c r="S4" i="6"/>
  <c r="P4" i="7"/>
  <c r="P3" i="7" s="1"/>
  <c r="R5" i="6"/>
  <c r="P107" i="5"/>
  <c r="O56" i="3" s="1"/>
  <c r="Q95" i="5" l="1"/>
  <c r="AW33" i="7"/>
  <c r="AW10" i="7"/>
  <c r="Q104" i="5"/>
  <c r="Q106" i="5"/>
  <c r="T4" i="6"/>
  <c r="Q4" i="7"/>
  <c r="Q3" i="7" s="1"/>
  <c r="S5" i="6"/>
  <c r="O52" i="3"/>
  <c r="AX47" i="7" a="1"/>
  <c r="AX47" i="7" s="1"/>
  <c r="AX46" i="7" a="1"/>
  <c r="AX46" i="7" s="1"/>
  <c r="AX45" i="7" a="1"/>
  <c r="AX45" i="7" s="1"/>
  <c r="AX42" i="7" a="1"/>
  <c r="AX42" i="7" s="1"/>
  <c r="AX50" i="7" a="1"/>
  <c r="AX50" i="7" s="1"/>
  <c r="AX48" i="7" a="1"/>
  <c r="AX48" i="7" s="1"/>
  <c r="AX49" i="7" a="1"/>
  <c r="AX49" i="7" s="1"/>
  <c r="AX44" i="7" a="1"/>
  <c r="AX44" i="7" s="1"/>
  <c r="AX37" i="7" a="1"/>
  <c r="AX37" i="7" s="1"/>
  <c r="AX36" i="7" a="1"/>
  <c r="AX36" i="7" s="1"/>
  <c r="AX43" i="7" a="1"/>
  <c r="AX43" i="7" s="1"/>
  <c r="AX38" i="7" a="1"/>
  <c r="AX38" i="7" s="1"/>
  <c r="AX31" i="7" a="1"/>
  <c r="AX31" i="7" s="1"/>
  <c r="AX40" i="7" a="1"/>
  <c r="AX40" i="7" s="1"/>
  <c r="AX41" i="7" a="1"/>
  <c r="AX41" i="7" s="1"/>
  <c r="AX39" i="7" a="1"/>
  <c r="AX39" i="7" s="1"/>
  <c r="AX32" i="7" a="1"/>
  <c r="AX32" i="7" s="1"/>
  <c r="AX23" i="7" a="1"/>
  <c r="AX23" i="7" s="1"/>
  <c r="AX30" i="7" a="1"/>
  <c r="AX30" i="7" s="1"/>
  <c r="AX24" i="7" a="1"/>
  <c r="AX24" i="7" s="1"/>
  <c r="AX18" i="7" a="1"/>
  <c r="AX18" i="7" s="1"/>
  <c r="AX29" i="7" a="1"/>
  <c r="AX29" i="7" s="1"/>
  <c r="AX26" i="7" a="1"/>
  <c r="AX26" i="7" s="1"/>
  <c r="AX28" i="7" a="1"/>
  <c r="AX28" i="7" s="1"/>
  <c r="AX27" i="7" a="1"/>
  <c r="AX27" i="7" s="1"/>
  <c r="AX15" i="7" a="1"/>
  <c r="AX15" i="7" s="1"/>
  <c r="AX22" i="7" a="1"/>
  <c r="AX22" i="7" s="1"/>
  <c r="AX16" i="7" a="1"/>
  <c r="AX16" i="7" s="1"/>
  <c r="AX25" i="7" a="1"/>
  <c r="AX25" i="7" s="1"/>
  <c r="AX12" i="7" a="1"/>
  <c r="AX12" i="7" s="1"/>
  <c r="AX21" i="7" a="1"/>
  <c r="AX21" i="7" s="1"/>
  <c r="AX20" i="7" s="1"/>
  <c r="AX19" i="7" s="1"/>
  <c r="AX17" i="7" a="1"/>
  <c r="AX17" i="7" s="1"/>
  <c r="AX14" i="7" a="1"/>
  <c r="AX14" i="7" s="1"/>
  <c r="AX7" i="7" a="1"/>
  <c r="AX7" i="7" s="1"/>
  <c r="AX51" i="7" s="1"/>
  <c r="AX8" i="7" a="1"/>
  <c r="AX8" i="7" s="1"/>
  <c r="AX13" i="7" a="1"/>
  <c r="AX13" i="7" s="1"/>
  <c r="AX11" i="7" a="1"/>
  <c r="AX11" i="7" s="1"/>
  <c r="AX9" i="7" a="1"/>
  <c r="AX9" i="7" s="1"/>
  <c r="Q163" i="5"/>
  <c r="M177" i="5"/>
  <c r="M137" i="5"/>
  <c r="M157" i="5"/>
  <c r="M79" i="5"/>
  <c r="N35" i="5"/>
  <c r="I47" i="5"/>
  <c r="J209" i="5" s="1"/>
  <c r="J213" i="5" s="1"/>
  <c r="I50" i="5"/>
  <c r="Q105" i="5"/>
  <c r="K153" i="5"/>
  <c r="K133" i="5"/>
  <c r="K173" i="5"/>
  <c r="L31" i="5"/>
  <c r="L175" i="5"/>
  <c r="L155" i="5"/>
  <c r="L135" i="5"/>
  <c r="M33" i="5"/>
  <c r="Q107" i="5"/>
  <c r="I77" i="5"/>
  <c r="R197" i="5"/>
  <c r="S193" i="5" s="1"/>
  <c r="R106" i="5"/>
  <c r="R68" i="5" a="1"/>
  <c r="R68" i="5" s="1"/>
  <c r="S5" i="5"/>
  <c r="R93" i="5"/>
  <c r="R96" i="5" s="1"/>
  <c r="R14" i="5"/>
  <c r="R12" i="5"/>
  <c r="R41" i="5"/>
  <c r="R164" i="5" s="1"/>
  <c r="R11" i="5"/>
  <c r="R13" i="5"/>
  <c r="R202" i="5" s="1"/>
  <c r="R6" i="5"/>
  <c r="I46" i="5"/>
  <c r="P95" i="5"/>
  <c r="O49" i="3"/>
  <c r="AY114" i="7"/>
  <c r="AY112" i="7"/>
  <c r="AY110" i="7"/>
  <c r="AY108" i="7"/>
  <c r="AY106" i="7"/>
  <c r="AY104" i="7"/>
  <c r="AY102" i="7"/>
  <c r="AY100" i="7"/>
  <c r="AY98" i="7"/>
  <c r="AY96" i="7"/>
  <c r="AY94" i="7"/>
  <c r="AY92" i="7"/>
  <c r="AY90" i="7"/>
  <c r="AY88" i="7"/>
  <c r="AY113" i="7"/>
  <c r="AY89" i="7"/>
  <c r="AY85" i="7"/>
  <c r="AY83" i="7"/>
  <c r="AY81" i="7"/>
  <c r="AY79" i="7"/>
  <c r="AY77" i="7"/>
  <c r="AY75" i="7"/>
  <c r="AY111" i="7"/>
  <c r="AY109" i="7"/>
  <c r="AY107" i="7"/>
  <c r="AY105" i="7"/>
  <c r="AY103" i="7"/>
  <c r="AY101" i="7"/>
  <c r="AY99" i="7"/>
  <c r="AY97" i="7"/>
  <c r="AY95" i="7"/>
  <c r="AY93" i="7"/>
  <c r="AY91" i="7"/>
  <c r="AY86" i="7"/>
  <c r="AY84" i="7"/>
  <c r="AY82" i="7"/>
  <c r="AY80" i="7"/>
  <c r="AY73" i="7"/>
  <c r="AY71" i="7"/>
  <c r="AY69" i="7"/>
  <c r="AY67" i="7"/>
  <c r="AY65" i="7"/>
  <c r="AY74" i="7"/>
  <c r="AY87" i="7"/>
  <c r="AY76" i="7"/>
  <c r="AY64" i="7"/>
  <c r="AY61" i="7"/>
  <c r="AY58" i="7"/>
  <c r="AY66" i="7"/>
  <c r="AY62" i="7"/>
  <c r="AY68" i="7"/>
  <c r="AY60" i="7"/>
  <c r="AY59" i="7"/>
  <c r="AY57" i="7"/>
  <c r="AY78" i="7"/>
  <c r="AY72" i="7"/>
  <c r="AY70" i="7"/>
  <c r="AY56" i="7"/>
  <c r="AY55" i="7"/>
  <c r="AY63" i="7"/>
  <c r="AZ5" i="7"/>
  <c r="J61" i="5"/>
  <c r="J77" i="5" s="1"/>
  <c r="J75" i="5"/>
  <c r="O140" i="5"/>
  <c r="O160" i="5"/>
  <c r="P38" i="5"/>
  <c r="R195" i="5"/>
  <c r="R196" i="5"/>
  <c r="H76" i="5"/>
  <c r="H57" i="5"/>
  <c r="J21" i="5"/>
  <c r="Q16" i="5"/>
  <c r="Q100" i="5" s="1"/>
  <c r="Q99" i="5" s="1"/>
  <c r="I223" i="5"/>
  <c r="J221" i="5"/>
  <c r="J151" i="5"/>
  <c r="J171" i="5"/>
  <c r="J131" i="5"/>
  <c r="K29" i="5"/>
  <c r="J222" i="5" l="1"/>
  <c r="J214" i="5"/>
  <c r="R95" i="5"/>
  <c r="O21" i="3"/>
  <c r="Q103" i="5"/>
  <c r="P141" i="5"/>
  <c r="P161" i="5"/>
  <c r="Q39" i="5"/>
  <c r="I59" i="5"/>
  <c r="AX33" i="7"/>
  <c r="AX10" i="7"/>
  <c r="H55" i="5"/>
  <c r="H82" i="5"/>
  <c r="H81" i="5"/>
  <c r="N178" i="5"/>
  <c r="O179" i="5" s="1"/>
  <c r="N158" i="5"/>
  <c r="N138" i="5"/>
  <c r="O36" i="5"/>
  <c r="M136" i="5"/>
  <c r="M156" i="5"/>
  <c r="M176" i="5"/>
  <c r="N34" i="5"/>
  <c r="R144" i="5"/>
  <c r="O48" i="3"/>
  <c r="K152" i="5"/>
  <c r="K172" i="5"/>
  <c r="K132" i="5"/>
  <c r="L30" i="5"/>
  <c r="H74" i="5"/>
  <c r="H72" i="5" s="1"/>
  <c r="H71" i="5" s="1"/>
  <c r="S196" i="5"/>
  <c r="S195" i="5"/>
  <c r="R105" i="5"/>
  <c r="J24" i="5"/>
  <c r="J27" i="5" s="1"/>
  <c r="J17" i="5"/>
  <c r="L78" i="5"/>
  <c r="L154" i="5"/>
  <c r="L174" i="5"/>
  <c r="L134" i="5"/>
  <c r="M32" i="5"/>
  <c r="R107" i="5"/>
  <c r="AY45" i="7" a="1"/>
  <c r="AY45" i="7" s="1"/>
  <c r="AY50" i="7" a="1"/>
  <c r="AY50" i="7" s="1"/>
  <c r="AY49" i="7" a="1"/>
  <c r="AY49" i="7" s="1"/>
  <c r="AY44" i="7" a="1"/>
  <c r="AY44" i="7" s="1"/>
  <c r="AY41" i="7" a="1"/>
  <c r="AY41" i="7" s="1"/>
  <c r="AY48" i="7" a="1"/>
  <c r="AY48" i="7" s="1"/>
  <c r="AY42" i="7" a="1"/>
  <c r="AY42" i="7" s="1"/>
  <c r="AY47" i="7" a="1"/>
  <c r="AY47" i="7" s="1"/>
  <c r="AY46" i="7" a="1"/>
  <c r="AY46" i="7" s="1"/>
  <c r="AY40" i="7" a="1"/>
  <c r="AY40" i="7" s="1"/>
  <c r="AY43" i="7" a="1"/>
  <c r="AY43" i="7" s="1"/>
  <c r="AY36" i="7" a="1"/>
  <c r="AY36" i="7" s="1"/>
  <c r="AY30" i="7" a="1"/>
  <c r="AY30" i="7" s="1"/>
  <c r="AY39" i="7" a="1"/>
  <c r="AY39" i="7" s="1"/>
  <c r="AY37" i="7" a="1"/>
  <c r="AY37" i="7" s="1"/>
  <c r="AY31" i="7" a="1"/>
  <c r="AY31" i="7" s="1"/>
  <c r="AY29" i="7" a="1"/>
  <c r="AY29" i="7" s="1"/>
  <c r="AY25" i="7" a="1"/>
  <c r="AY25" i="7" s="1"/>
  <c r="AY18" i="7" a="1"/>
  <c r="AY18" i="7" s="1"/>
  <c r="AY38" i="7" a="1"/>
  <c r="AY38" i="7" s="1"/>
  <c r="AY28" i="7" a="1"/>
  <c r="AY28" i="7" s="1"/>
  <c r="AY27" i="7" a="1"/>
  <c r="AY27" i="7" s="1"/>
  <c r="AY32" i="7" a="1"/>
  <c r="AY32" i="7" s="1"/>
  <c r="AY23" i="7" a="1"/>
  <c r="AY23" i="7" s="1"/>
  <c r="AY16" i="7" a="1"/>
  <c r="AY16" i="7" s="1"/>
  <c r="AY21" i="7" a="1"/>
  <c r="AY21" i="7" s="1"/>
  <c r="AY20" i="7" s="1"/>
  <c r="AY19" i="7" s="1"/>
  <c r="AY17" i="7" a="1"/>
  <c r="AY17" i="7" s="1"/>
  <c r="AY14" i="7" a="1"/>
  <c r="AY14" i="7" s="1"/>
  <c r="AY13" i="7" a="1"/>
  <c r="AY13" i="7" s="1"/>
  <c r="AY24" i="7" a="1"/>
  <c r="AY24" i="7" s="1"/>
  <c r="AY26" i="7" a="1"/>
  <c r="AY26" i="7" s="1"/>
  <c r="AY11" i="7" a="1"/>
  <c r="AY11" i="7" s="1"/>
  <c r="AY9" i="7" a="1"/>
  <c r="AY9" i="7" s="1"/>
  <c r="AY7" i="7" a="1"/>
  <c r="AY7" i="7" s="1"/>
  <c r="AY22" i="7" a="1"/>
  <c r="AY22" i="7" s="1"/>
  <c r="AY12" i="7" a="1"/>
  <c r="AY12" i="7" s="1"/>
  <c r="AY15" i="7" a="1"/>
  <c r="AY15" i="7" s="1"/>
  <c r="AY8" i="7" a="1"/>
  <c r="AY8" i="7" s="1"/>
  <c r="AZ114" i="7"/>
  <c r="AZ112" i="7"/>
  <c r="AZ110" i="7"/>
  <c r="AZ108" i="7"/>
  <c r="AZ106" i="7"/>
  <c r="AZ104" i="7"/>
  <c r="AZ102" i="7"/>
  <c r="AZ100" i="7"/>
  <c r="AZ98" i="7"/>
  <c r="AZ96" i="7"/>
  <c r="AZ94" i="7"/>
  <c r="AZ92" i="7"/>
  <c r="AZ90" i="7"/>
  <c r="AZ88" i="7"/>
  <c r="AZ113" i="7"/>
  <c r="AZ111" i="7"/>
  <c r="AZ109" i="7"/>
  <c r="AZ107" i="7"/>
  <c r="AZ105" i="7"/>
  <c r="AZ103" i="7"/>
  <c r="AZ101" i="7"/>
  <c r="AZ99" i="7"/>
  <c r="AZ97" i="7"/>
  <c r="AZ95" i="7"/>
  <c r="AZ93" i="7"/>
  <c r="AZ91" i="7"/>
  <c r="AZ86" i="7"/>
  <c r="AZ73" i="7"/>
  <c r="AZ71" i="7"/>
  <c r="AZ69" i="7"/>
  <c r="AZ67" i="7"/>
  <c r="AZ65" i="7"/>
  <c r="AZ63" i="7"/>
  <c r="AZ61" i="7"/>
  <c r="AZ83" i="7"/>
  <c r="AZ77" i="7"/>
  <c r="AZ74" i="7"/>
  <c r="AZ85" i="7"/>
  <c r="AZ82" i="7"/>
  <c r="AZ80" i="7"/>
  <c r="AZ89" i="7"/>
  <c r="AZ84" i="7"/>
  <c r="AZ79" i="7"/>
  <c r="AZ64" i="7"/>
  <c r="AZ58" i="7"/>
  <c r="AZ56" i="7"/>
  <c r="AZ66" i="7"/>
  <c r="AZ87" i="7"/>
  <c r="AZ72" i="7"/>
  <c r="AZ68" i="7"/>
  <c r="AZ75" i="7"/>
  <c r="AZ60" i="7"/>
  <c r="AZ59" i="7"/>
  <c r="AZ57" i="7"/>
  <c r="AZ78" i="7"/>
  <c r="AZ55" i="7"/>
  <c r="AZ81" i="7"/>
  <c r="AZ70" i="7"/>
  <c r="AZ76" i="7"/>
  <c r="AZ62" i="7"/>
  <c r="BA5" i="7"/>
  <c r="R16" i="5"/>
  <c r="R100" i="5" s="1"/>
  <c r="R99" i="5" s="1"/>
  <c r="R104" i="5"/>
  <c r="R103" i="5" s="1"/>
  <c r="S197" i="5"/>
  <c r="T193" i="5" s="1"/>
  <c r="S93" i="5"/>
  <c r="S104" i="5" s="1"/>
  <c r="S14" i="5"/>
  <c r="S12" i="5"/>
  <c r="S68" i="5" a="1"/>
  <c r="S68" i="5" s="1"/>
  <c r="S11" i="5"/>
  <c r="T5" i="5"/>
  <c r="S13" i="5"/>
  <c r="S202" i="5" s="1"/>
  <c r="S6" i="5"/>
  <c r="U4" i="6"/>
  <c r="T5" i="6"/>
  <c r="R4" i="7"/>
  <c r="R3" i="7" s="1"/>
  <c r="I76" i="5" l="1"/>
  <c r="I57" i="5"/>
  <c r="S105" i="5"/>
  <c r="Q142" i="5"/>
  <c r="Q162" i="5"/>
  <c r="R40" i="5"/>
  <c r="BA114" i="7"/>
  <c r="BA112" i="7"/>
  <c r="BA110" i="7"/>
  <c r="BA108" i="7"/>
  <c r="BA106" i="7"/>
  <c r="BA104" i="7"/>
  <c r="BA102" i="7"/>
  <c r="BA100" i="7"/>
  <c r="BA98" i="7"/>
  <c r="BA96" i="7"/>
  <c r="BA94" i="7"/>
  <c r="BA92" i="7"/>
  <c r="BA90" i="7"/>
  <c r="BA88" i="7"/>
  <c r="BA86" i="7"/>
  <c r="BA84" i="7"/>
  <c r="BA113" i="7"/>
  <c r="BA111" i="7"/>
  <c r="BA107" i="7"/>
  <c r="BA99" i="7"/>
  <c r="BA91" i="7"/>
  <c r="BA83" i="7"/>
  <c r="BA77" i="7"/>
  <c r="BA74" i="7"/>
  <c r="BA109" i="7"/>
  <c r="BA101" i="7"/>
  <c r="BA93" i="7"/>
  <c r="BA81" i="7"/>
  <c r="BA79" i="7"/>
  <c r="BA76" i="7"/>
  <c r="BA73" i="7"/>
  <c r="BA71" i="7"/>
  <c r="BA69" i="7"/>
  <c r="BA105" i="7"/>
  <c r="BA66" i="7"/>
  <c r="BA61" i="7"/>
  <c r="BA87" i="7"/>
  <c r="BA72" i="7"/>
  <c r="BA75" i="7"/>
  <c r="BA65" i="7"/>
  <c r="BA62" i="7"/>
  <c r="BA103" i="7"/>
  <c r="BA95" i="7"/>
  <c r="BA82" i="7"/>
  <c r="BA68" i="7"/>
  <c r="BA57" i="7"/>
  <c r="BA97" i="7"/>
  <c r="BA78" i="7"/>
  <c r="BA55" i="7"/>
  <c r="BA70" i="7"/>
  <c r="BA80" i="7"/>
  <c r="BA60" i="7"/>
  <c r="BA59" i="7"/>
  <c r="BA85" i="7"/>
  <c r="BA56" i="7"/>
  <c r="BA64" i="7"/>
  <c r="BA89" i="7"/>
  <c r="BA63" i="7"/>
  <c r="BA67" i="7"/>
  <c r="BA58" i="7"/>
  <c r="BB5" i="7"/>
  <c r="AY51" i="7"/>
  <c r="K20" i="5"/>
  <c r="K19" i="5"/>
  <c r="L133" i="5"/>
  <c r="L153" i="5"/>
  <c r="L173" i="5"/>
  <c r="M31" i="5"/>
  <c r="N137" i="5"/>
  <c r="N79" i="5"/>
  <c r="N157" i="5"/>
  <c r="N177" i="5"/>
  <c r="O35" i="5"/>
  <c r="S106" i="5"/>
  <c r="S16" i="5"/>
  <c r="S100" i="5" s="1"/>
  <c r="S99" i="5" s="1"/>
  <c r="S107" i="5"/>
  <c r="S96" i="5"/>
  <c r="AY33" i="7"/>
  <c r="AY10" i="7"/>
  <c r="K51" i="5"/>
  <c r="K58" i="5" s="1"/>
  <c r="J44" i="5"/>
  <c r="J170" i="5"/>
  <c r="J180" i="5" s="1"/>
  <c r="J181" i="5" s="1"/>
  <c r="J130" i="5"/>
  <c r="J145" i="5" s="1"/>
  <c r="J146" i="5" s="1"/>
  <c r="J183" i="5" s="1" a="1"/>
  <c r="J183" i="5" s="1"/>
  <c r="J150" i="5"/>
  <c r="J165" i="5" s="1"/>
  <c r="J166" i="5" s="1"/>
  <c r="J45" i="5" a="1"/>
  <c r="J45" i="5" s="1"/>
  <c r="K28" i="5"/>
  <c r="K66" i="5"/>
  <c r="K64" i="5" s="1"/>
  <c r="K18" i="5"/>
  <c r="K62" i="5" s="1"/>
  <c r="K61" i="5" s="1"/>
  <c r="K77" i="5" s="1"/>
  <c r="H188" i="5"/>
  <c r="H187" i="5"/>
  <c r="H189" i="5"/>
  <c r="T196" i="5"/>
  <c r="T195" i="5"/>
  <c r="M155" i="5"/>
  <c r="M175" i="5"/>
  <c r="M135" i="5"/>
  <c r="N33" i="5"/>
  <c r="S4" i="7"/>
  <c r="S3" i="7" s="1"/>
  <c r="V4" i="6"/>
  <c r="U5" i="6"/>
  <c r="T170" i="5"/>
  <c r="T106" i="5"/>
  <c r="T104" i="5"/>
  <c r="T96" i="5"/>
  <c r="T95" i="5" s="1"/>
  <c r="T93" i="5"/>
  <c r="T68" i="5" a="1"/>
  <c r="T68" i="5" s="1"/>
  <c r="T197" i="5"/>
  <c r="U193" i="5" s="1"/>
  <c r="T150" i="5"/>
  <c r="T107" i="5"/>
  <c r="T105" i="5"/>
  <c r="T14" i="5"/>
  <c r="T12" i="5"/>
  <c r="T11" i="5"/>
  <c r="U5" i="5"/>
  <c r="T27" i="5"/>
  <c r="T130" i="5" s="1"/>
  <c r="T13" i="5"/>
  <c r="T202" i="5" s="1"/>
  <c r="T6" i="5"/>
  <c r="T18" i="5" s="1"/>
  <c r="T62" i="5" s="1"/>
  <c r="AZ50" i="7" a="1"/>
  <c r="AZ50" i="7" s="1"/>
  <c r="AZ49" i="7" a="1"/>
  <c r="AZ49" i="7" s="1"/>
  <c r="AZ47" i="7" a="1"/>
  <c r="AZ47" i="7" s="1"/>
  <c r="AZ48" i="7" a="1"/>
  <c r="AZ48" i="7" s="1"/>
  <c r="AZ45" i="7" a="1"/>
  <c r="AZ45" i="7" s="1"/>
  <c r="AZ44" i="7" a="1"/>
  <c r="AZ44" i="7" s="1"/>
  <c r="AZ41" i="7" a="1"/>
  <c r="AZ41" i="7" s="1"/>
  <c r="AZ46" i="7" a="1"/>
  <c r="AZ46" i="7" s="1"/>
  <c r="AZ40" i="7" a="1"/>
  <c r="AZ40" i="7" s="1"/>
  <c r="AZ42" i="7" a="1"/>
  <c r="AZ42" i="7" s="1"/>
  <c r="AZ43" i="7" a="1"/>
  <c r="AZ43" i="7" s="1"/>
  <c r="AZ39" i="7" a="1"/>
  <c r="AZ39" i="7" s="1"/>
  <c r="AZ29" i="7" a="1"/>
  <c r="AZ29" i="7" s="1"/>
  <c r="AZ25" i="7" a="1"/>
  <c r="AZ25" i="7" s="1"/>
  <c r="AZ37" i="7" a="1"/>
  <c r="AZ37" i="7" s="1"/>
  <c r="AZ36" i="7" a="1"/>
  <c r="AZ36" i="7" s="1"/>
  <c r="AZ32" i="7" a="1"/>
  <c r="AZ32" i="7" s="1"/>
  <c r="AZ38" i="7" a="1"/>
  <c r="AZ38" i="7" s="1"/>
  <c r="AZ31" i="7" a="1"/>
  <c r="AZ31" i="7" s="1"/>
  <c r="AZ30" i="7" a="1"/>
  <c r="AZ30" i="7" s="1"/>
  <c r="AZ28" i="7" a="1"/>
  <c r="AZ28" i="7" s="1"/>
  <c r="AZ26" i="7" a="1"/>
  <c r="AZ26" i="7" s="1"/>
  <c r="AZ17" i="7" a="1"/>
  <c r="AZ17" i="7" s="1"/>
  <c r="AZ24" i="7" a="1"/>
  <c r="AZ24" i="7" s="1"/>
  <c r="AZ21" i="7" a="1"/>
  <c r="AZ21" i="7" s="1"/>
  <c r="AZ20" i="7" s="1"/>
  <c r="AZ18" i="7" a="1"/>
  <c r="AZ18" i="7" s="1"/>
  <c r="AZ23" i="7" a="1"/>
  <c r="AZ23" i="7" s="1"/>
  <c r="AZ22" i="7" a="1"/>
  <c r="AZ22" i="7" s="1"/>
  <c r="AZ11" i="7" a="1"/>
  <c r="AZ11" i="7" s="1"/>
  <c r="AZ8" i="7" a="1"/>
  <c r="AZ8" i="7" s="1"/>
  <c r="AZ16" i="7" a="1"/>
  <c r="AZ16" i="7" s="1"/>
  <c r="AZ14" i="7" a="1"/>
  <c r="AZ14" i="7" s="1"/>
  <c r="AZ27" i="7" a="1"/>
  <c r="AZ27" i="7" s="1"/>
  <c r="AZ15" i="7" a="1"/>
  <c r="AZ15" i="7" s="1"/>
  <c r="AZ12" i="7" a="1"/>
  <c r="AZ12" i="7" s="1"/>
  <c r="AZ13" i="7" a="1"/>
  <c r="AZ13" i="7" s="1"/>
  <c r="AZ9" i="7" a="1"/>
  <c r="AZ9" i="7" s="1"/>
  <c r="AZ7" i="7" a="1"/>
  <c r="AZ7" i="7" s="1"/>
  <c r="AZ51" i="7" s="1"/>
  <c r="O20" i="3"/>
  <c r="O159" i="5"/>
  <c r="O139" i="5"/>
  <c r="P37" i="5"/>
  <c r="K221" i="5"/>
  <c r="J223" i="5"/>
  <c r="AZ10" i="7" l="1"/>
  <c r="AZ19" i="7"/>
  <c r="AZ33" i="7" s="1"/>
  <c r="T16" i="5"/>
  <c r="T100" i="5" s="1"/>
  <c r="T99" i="5" s="1"/>
  <c r="V5" i="6"/>
  <c r="T4" i="7"/>
  <c r="T3" i="7" s="1"/>
  <c r="W4" i="6"/>
  <c r="M174" i="5"/>
  <c r="M78" i="5"/>
  <c r="M134" i="5"/>
  <c r="M154" i="5"/>
  <c r="N32" i="5"/>
  <c r="U197" i="5"/>
  <c r="V193" i="5" s="1"/>
  <c r="U130" i="5"/>
  <c r="U68" i="5" a="1"/>
  <c r="U68" i="5" s="1"/>
  <c r="U93" i="5"/>
  <c r="U28" i="5"/>
  <c r="U151" i="5" s="1"/>
  <c r="U131" i="5"/>
  <c r="U107" i="5"/>
  <c r="U24" i="5"/>
  <c r="U20" i="5"/>
  <c r="U100" i="5"/>
  <c r="U99" i="5" s="1"/>
  <c r="U105" i="5"/>
  <c r="U104" i="5"/>
  <c r="U14" i="5"/>
  <c r="U12" i="5"/>
  <c r="U66" i="5"/>
  <c r="U64" i="5" s="1"/>
  <c r="U11" i="5"/>
  <c r="V19" i="5" s="1"/>
  <c r="V5" i="5"/>
  <c r="U27" i="5"/>
  <c r="U170" i="5" s="1"/>
  <c r="U17" i="5"/>
  <c r="U13" i="5"/>
  <c r="U202" i="5" s="1"/>
  <c r="U106" i="5"/>
  <c r="U6" i="5"/>
  <c r="U18" i="5" s="1"/>
  <c r="J46" i="5"/>
  <c r="K209" i="5" s="1"/>
  <c r="K213" i="5" s="1"/>
  <c r="BB113" i="7"/>
  <c r="BB111" i="7"/>
  <c r="BB109" i="7"/>
  <c r="BB107" i="7"/>
  <c r="BB105" i="7"/>
  <c r="BB103" i="7"/>
  <c r="BB101" i="7"/>
  <c r="BB99" i="7"/>
  <c r="BB97" i="7"/>
  <c r="BB95" i="7"/>
  <c r="BB93" i="7"/>
  <c r="BB91" i="7"/>
  <c r="BB89" i="7"/>
  <c r="BB87" i="7"/>
  <c r="BB114" i="7"/>
  <c r="BB86" i="7"/>
  <c r="BB84" i="7"/>
  <c r="BB82" i="7"/>
  <c r="BB80" i="7"/>
  <c r="BB78" i="7"/>
  <c r="BB76" i="7"/>
  <c r="BB112" i="7"/>
  <c r="BB110" i="7"/>
  <c r="BB104" i="7"/>
  <c r="BB96" i="7"/>
  <c r="BB81" i="7"/>
  <c r="BB79" i="7"/>
  <c r="BB106" i="7"/>
  <c r="BB98" i="7"/>
  <c r="BB90" i="7"/>
  <c r="BB72" i="7"/>
  <c r="BB70" i="7"/>
  <c r="BB68" i="7"/>
  <c r="BB66" i="7"/>
  <c r="BB83" i="7"/>
  <c r="BB77" i="7"/>
  <c r="BB74" i="7"/>
  <c r="BB71" i="7"/>
  <c r="BB92" i="7"/>
  <c r="BB75" i="7"/>
  <c r="BB65" i="7"/>
  <c r="BB62" i="7"/>
  <c r="BB108" i="7"/>
  <c r="BB73" i="7"/>
  <c r="BB59" i="7"/>
  <c r="BB102" i="7"/>
  <c r="BB94" i="7"/>
  <c r="BB85" i="7"/>
  <c r="BB63" i="7"/>
  <c r="BB60" i="7"/>
  <c r="BB88" i="7"/>
  <c r="BB55" i="7"/>
  <c r="BB61" i="7"/>
  <c r="BB100" i="7"/>
  <c r="BB57" i="7"/>
  <c r="BB64" i="7"/>
  <c r="BB69" i="7"/>
  <c r="BB67" i="7"/>
  <c r="BB58" i="7"/>
  <c r="BB56" i="7"/>
  <c r="BC5" i="7"/>
  <c r="K75" i="5"/>
  <c r="I55" i="5"/>
  <c r="I81" i="5"/>
  <c r="I74" i="5" s="1"/>
  <c r="I72" i="5" s="1"/>
  <c r="I71" i="5" s="1"/>
  <c r="I82" i="5"/>
  <c r="N136" i="5"/>
  <c r="N156" i="5"/>
  <c r="N176" i="5"/>
  <c r="O34" i="5"/>
  <c r="K151" i="5"/>
  <c r="K171" i="5"/>
  <c r="K131" i="5"/>
  <c r="L29" i="5"/>
  <c r="K21" i="5"/>
  <c r="BA50" i="7" a="1"/>
  <c r="BA50" i="7" s="1"/>
  <c r="BA49" i="7" a="1"/>
  <c r="BA49" i="7" s="1"/>
  <c r="BA48" i="7" a="1"/>
  <c r="BA48" i="7" s="1"/>
  <c r="BA46" i="7" a="1"/>
  <c r="BA46" i="7" s="1"/>
  <c r="BA43" i="7" a="1"/>
  <c r="BA43" i="7" s="1"/>
  <c r="BA47" i="7" a="1"/>
  <c r="BA47" i="7" s="1"/>
  <c r="BA45" i="7" a="1"/>
  <c r="BA45" i="7" s="1"/>
  <c r="BA44" i="7" a="1"/>
  <c r="BA44" i="7" s="1"/>
  <c r="BA41" i="7" a="1"/>
  <c r="BA41" i="7" s="1"/>
  <c r="BA40" i="7" a="1"/>
  <c r="BA40" i="7" s="1"/>
  <c r="BA39" i="7" a="1"/>
  <c r="BA39" i="7" s="1"/>
  <c r="BA42" i="7" a="1"/>
  <c r="BA42" i="7" s="1"/>
  <c r="BA38" i="7" a="1"/>
  <c r="BA38" i="7" s="1"/>
  <c r="BA29" i="7" a="1"/>
  <c r="BA29" i="7" s="1"/>
  <c r="BA37" i="7" a="1"/>
  <c r="BA37" i="7" s="1"/>
  <c r="BA36" i="7" a="1"/>
  <c r="BA36" i="7" s="1"/>
  <c r="BA32" i="7" a="1"/>
  <c r="BA32" i="7" s="1"/>
  <c r="BA30" i="7" a="1"/>
  <c r="BA30" i="7" s="1"/>
  <c r="BA28" i="7" a="1"/>
  <c r="BA28" i="7" s="1"/>
  <c r="BA26" i="7" a="1"/>
  <c r="BA26" i="7" s="1"/>
  <c r="BA15" i="7" a="1"/>
  <c r="BA15" i="7" s="1"/>
  <c r="BA27" i="7" a="1"/>
  <c r="BA27" i="7" s="1"/>
  <c r="BA22" i="7" a="1"/>
  <c r="BA22" i="7" s="1"/>
  <c r="BA21" i="7" a="1"/>
  <c r="BA21" i="7" s="1"/>
  <c r="BA20" i="7" s="1"/>
  <c r="BA18" i="7" a="1"/>
  <c r="BA18" i="7" s="1"/>
  <c r="BA17" i="7" a="1"/>
  <c r="BA17" i="7" s="1"/>
  <c r="BA25" i="7" a="1"/>
  <c r="BA25" i="7" s="1"/>
  <c r="BA24" i="7" a="1"/>
  <c r="BA24" i="7" s="1"/>
  <c r="BA23" i="7" a="1"/>
  <c r="BA23" i="7" s="1"/>
  <c r="BA31" i="7" a="1"/>
  <c r="BA31" i="7" s="1"/>
  <c r="BA16" i="7" a="1"/>
  <c r="BA16" i="7" s="1"/>
  <c r="BA14" i="7" a="1"/>
  <c r="BA14" i="7" s="1"/>
  <c r="BA13" i="7" a="1"/>
  <c r="BA13" i="7" s="1"/>
  <c r="BA12" i="7" a="1"/>
  <c r="BA12" i="7" s="1"/>
  <c r="BA11" i="7" a="1"/>
  <c r="BA11" i="7" s="1"/>
  <c r="BA9" i="7" a="1"/>
  <c r="BA9" i="7" s="1"/>
  <c r="BA7" i="7" a="1"/>
  <c r="BA7" i="7" s="1"/>
  <c r="BA51" i="7" s="1"/>
  <c r="BA8" i="7" a="1"/>
  <c r="BA8" i="7" s="1"/>
  <c r="T103" i="5"/>
  <c r="P160" i="5"/>
  <c r="P140" i="5"/>
  <c r="Q38" i="5"/>
  <c r="J47" i="5"/>
  <c r="J50" i="5"/>
  <c r="J59" i="5" s="1"/>
  <c r="S95" i="5"/>
  <c r="R143" i="5"/>
  <c r="R163" i="5"/>
  <c r="S41" i="5"/>
  <c r="U196" i="5"/>
  <c r="U195" i="5"/>
  <c r="O158" i="5"/>
  <c r="O178" i="5"/>
  <c r="P179" i="5" s="1"/>
  <c r="O138" i="5"/>
  <c r="P36" i="5"/>
  <c r="S103" i="5"/>
  <c r="K214" i="5" l="1"/>
  <c r="K222" i="5"/>
  <c r="P139" i="5"/>
  <c r="P159" i="5"/>
  <c r="Q37" i="5"/>
  <c r="L132" i="5"/>
  <c r="L172" i="5"/>
  <c r="L152" i="5"/>
  <c r="M30" i="5"/>
  <c r="BC113" i="7"/>
  <c r="BC111" i="7"/>
  <c r="BC109" i="7"/>
  <c r="BC107" i="7"/>
  <c r="BC105" i="7"/>
  <c r="BC103" i="7"/>
  <c r="BC101" i="7"/>
  <c r="BC99" i="7"/>
  <c r="BC97" i="7"/>
  <c r="BC95" i="7"/>
  <c r="BC93" i="7"/>
  <c r="BC91" i="7"/>
  <c r="BC89" i="7"/>
  <c r="BC87" i="7"/>
  <c r="BC114" i="7"/>
  <c r="BC86" i="7"/>
  <c r="BC84" i="7"/>
  <c r="BC82" i="7"/>
  <c r="BC80" i="7"/>
  <c r="BC78" i="7"/>
  <c r="BC76" i="7"/>
  <c r="BC74" i="7"/>
  <c r="BC88" i="7"/>
  <c r="BC85" i="7"/>
  <c r="BC83" i="7"/>
  <c r="BC112" i="7"/>
  <c r="BC110" i="7"/>
  <c r="BC81" i="7"/>
  <c r="BC79" i="7"/>
  <c r="BC106" i="7"/>
  <c r="BC98" i="7"/>
  <c r="BC90" i="7"/>
  <c r="BC72" i="7"/>
  <c r="BC70" i="7"/>
  <c r="BC68" i="7"/>
  <c r="BC66" i="7"/>
  <c r="BC108" i="7"/>
  <c r="BC100" i="7"/>
  <c r="BC104" i="7"/>
  <c r="BC96" i="7"/>
  <c r="BC92" i="7"/>
  <c r="BC75" i="7"/>
  <c r="BC65" i="7"/>
  <c r="BC62" i="7"/>
  <c r="BC73" i="7"/>
  <c r="BC59" i="7"/>
  <c r="BC77" i="7"/>
  <c r="BC69" i="7"/>
  <c r="BC102" i="7"/>
  <c r="BC94" i="7"/>
  <c r="BC67" i="7"/>
  <c r="BC71" i="7"/>
  <c r="BC61" i="7"/>
  <c r="BC55" i="7"/>
  <c r="BC63" i="7"/>
  <c r="BC58" i="7"/>
  <c r="BC57" i="7"/>
  <c r="BC60" i="7"/>
  <c r="BC56" i="7"/>
  <c r="BC64" i="7"/>
  <c r="BD5" i="7"/>
  <c r="U62" i="5"/>
  <c r="U61" i="5" s="1"/>
  <c r="U77" i="5" s="1"/>
  <c r="BB48" i="7" a="1"/>
  <c r="BB48" i="7" s="1"/>
  <c r="BB47" i="7" a="1"/>
  <c r="BB47" i="7" s="1"/>
  <c r="BB46" i="7" a="1"/>
  <c r="BB46" i="7" s="1"/>
  <c r="BB43" i="7" a="1"/>
  <c r="BB43" i="7" s="1"/>
  <c r="BB50" i="7" a="1"/>
  <c r="BB50" i="7" s="1"/>
  <c r="BB49" i="7" a="1"/>
  <c r="BB49" i="7" s="1"/>
  <c r="BB38" i="7" a="1"/>
  <c r="BB38" i="7" s="1"/>
  <c r="BB42" i="7" a="1"/>
  <c r="BB42" i="7" s="1"/>
  <c r="BB37" i="7" a="1"/>
  <c r="BB37" i="7" s="1"/>
  <c r="BB36" i="7" a="1"/>
  <c r="BB36" i="7" s="1"/>
  <c r="BB41" i="7" a="1"/>
  <c r="BB41" i="7" s="1"/>
  <c r="BB45" i="7" a="1"/>
  <c r="BB45" i="7" s="1"/>
  <c r="BB44" i="7" a="1"/>
  <c r="BB44" i="7" s="1"/>
  <c r="BB39" i="7" a="1"/>
  <c r="BB39" i="7" s="1"/>
  <c r="BB32" i="7" a="1"/>
  <c r="BB32" i="7" s="1"/>
  <c r="BB28" i="7" a="1"/>
  <c r="BB28" i="7" s="1"/>
  <c r="BB29" i="7" a="1"/>
  <c r="BB29" i="7" s="1"/>
  <c r="BB40" i="7" a="1"/>
  <c r="BB40" i="7" s="1"/>
  <c r="BB31" i="7" a="1"/>
  <c r="BB31" i="7" s="1"/>
  <c r="BB30" i="7" a="1"/>
  <c r="BB30" i="7" s="1"/>
  <c r="BB26" i="7" a="1"/>
  <c r="BB26" i="7" s="1"/>
  <c r="BB15" i="7" a="1"/>
  <c r="BB15" i="7" s="1"/>
  <c r="BB25" i="7" a="1"/>
  <c r="BB25" i="7" s="1"/>
  <c r="BB24" i="7" a="1"/>
  <c r="BB24" i="7" s="1"/>
  <c r="BB23" i="7" a="1"/>
  <c r="BB23" i="7" s="1"/>
  <c r="BB22" i="7" a="1"/>
  <c r="BB22" i="7" s="1"/>
  <c r="BB27" i="7" a="1"/>
  <c r="BB27" i="7" s="1"/>
  <c r="BB21" i="7" a="1"/>
  <c r="BB21" i="7" s="1"/>
  <c r="BB20" i="7" s="1"/>
  <c r="BB18" i="7" a="1"/>
  <c r="BB18" i="7" s="1"/>
  <c r="BB16" i="7" a="1"/>
  <c r="BB16" i="7" s="1"/>
  <c r="BB7" i="7" a="1"/>
  <c r="BB7" i="7" s="1"/>
  <c r="BB51" i="7" s="1"/>
  <c r="BB17" i="7" a="1"/>
  <c r="BB17" i="7" s="1"/>
  <c r="BB8" i="7" a="1"/>
  <c r="BB8" i="7" s="1"/>
  <c r="BB11" i="7" a="1"/>
  <c r="BB11" i="7" s="1"/>
  <c r="BB14" i="7" a="1"/>
  <c r="BB14" i="7" s="1"/>
  <c r="BB9" i="7" a="1"/>
  <c r="BB9" i="7" s="1"/>
  <c r="BB13" i="7" a="1"/>
  <c r="BB13" i="7" s="1"/>
  <c r="BB12" i="7" a="1"/>
  <c r="BB12" i="7" s="1"/>
  <c r="V197" i="5"/>
  <c r="W193" i="5" s="1"/>
  <c r="V171" i="5"/>
  <c r="V107" i="5"/>
  <c r="V66" i="5"/>
  <c r="V64" i="5" s="1"/>
  <c r="V106" i="5"/>
  <c r="V104" i="5"/>
  <c r="V100" i="5"/>
  <c r="V99" i="5" s="1"/>
  <c r="V93" i="5"/>
  <c r="V131" i="5"/>
  <c r="V24" i="5"/>
  <c r="V20" i="5"/>
  <c r="V21" i="5" s="1"/>
  <c r="V13" i="5"/>
  <c r="V202" i="5" s="1"/>
  <c r="V105" i="5"/>
  <c r="V17" i="5"/>
  <c r="V27" i="5"/>
  <c r="V170" i="5" s="1"/>
  <c r="V68" i="5" a="1"/>
  <c r="V68" i="5" s="1"/>
  <c r="V12" i="5"/>
  <c r="V28" i="5"/>
  <c r="V151" i="5" s="1"/>
  <c r="V29" i="5"/>
  <c r="V132" i="5" s="1"/>
  <c r="V14" i="5"/>
  <c r="W5" i="5"/>
  <c r="V11" i="5"/>
  <c r="V6" i="5"/>
  <c r="V18" i="5" s="1"/>
  <c r="S144" i="5"/>
  <c r="S164" i="5"/>
  <c r="J76" i="5"/>
  <c r="J57" i="5"/>
  <c r="BA10" i="7"/>
  <c r="I187" i="5"/>
  <c r="I189" i="5"/>
  <c r="I188" i="5"/>
  <c r="U4" i="7"/>
  <c r="U3" i="7" s="1"/>
  <c r="W5" i="6"/>
  <c r="X4" i="6"/>
  <c r="Q161" i="5"/>
  <c r="Q141" i="5"/>
  <c r="R39" i="5"/>
  <c r="V51" i="5"/>
  <c r="V58" i="5" s="1"/>
  <c r="U150" i="5"/>
  <c r="U103" i="5"/>
  <c r="O177" i="5"/>
  <c r="O79" i="5"/>
  <c r="O137" i="5"/>
  <c r="O157" i="5"/>
  <c r="P35" i="5"/>
  <c r="U171" i="5"/>
  <c r="V196" i="5"/>
  <c r="V195" i="5"/>
  <c r="BA19" i="7"/>
  <c r="BA33" i="7" s="1"/>
  <c r="K24" i="5"/>
  <c r="K27" i="5" s="1"/>
  <c r="K17" i="5"/>
  <c r="U16" i="5"/>
  <c r="N135" i="5"/>
  <c r="N175" i="5"/>
  <c r="N155" i="5"/>
  <c r="O33" i="5"/>
  <c r="L51" i="5" l="1"/>
  <c r="L58" i="5" s="1"/>
  <c r="K44" i="5"/>
  <c r="K150" i="5"/>
  <c r="K165" i="5" s="1"/>
  <c r="K166" i="5" s="1"/>
  <c r="K130" i="5"/>
  <c r="K145" i="5" s="1"/>
  <c r="K146" i="5" s="1"/>
  <c r="K183" i="5" s="1" a="1"/>
  <c r="K183" i="5" s="1"/>
  <c r="K170" i="5"/>
  <c r="K180" i="5" s="1"/>
  <c r="K181" i="5" s="1"/>
  <c r="K45" i="5" a="1"/>
  <c r="K45" i="5" s="1"/>
  <c r="L66" i="5" s="1"/>
  <c r="L64" i="5" s="1"/>
  <c r="L28" i="5"/>
  <c r="L18" i="5"/>
  <c r="L62" i="5" s="1"/>
  <c r="W107" i="5"/>
  <c r="W105" i="5"/>
  <c r="W197" i="5"/>
  <c r="X193" i="5" s="1"/>
  <c r="W171" i="5"/>
  <c r="W66" i="5"/>
  <c r="W64" i="5" s="1"/>
  <c r="W151" i="5"/>
  <c r="W170" i="5"/>
  <c r="W131" i="5"/>
  <c r="W16" i="5"/>
  <c r="W13" i="5"/>
  <c r="W202" i="5" s="1"/>
  <c r="W100" i="5"/>
  <c r="W99" i="5" s="1"/>
  <c r="W68" i="5" a="1"/>
  <c r="W68" i="5" s="1"/>
  <c r="W11" i="5"/>
  <c r="W104" i="5"/>
  <c r="W172" i="5"/>
  <c r="W106" i="5"/>
  <c r="W30" i="5"/>
  <c r="W133" i="5" s="1"/>
  <c r="W28" i="5"/>
  <c r="W27" i="5"/>
  <c r="W150" i="5" s="1"/>
  <c r="W93" i="5"/>
  <c r="W12" i="5"/>
  <c r="W20" i="5"/>
  <c r="W17" i="5"/>
  <c r="W29" i="5"/>
  <c r="W132" i="5" s="1"/>
  <c r="W24" i="5"/>
  <c r="W14" i="5"/>
  <c r="X5" i="5"/>
  <c r="W6" i="5"/>
  <c r="W18" i="5" s="1"/>
  <c r="V150" i="5"/>
  <c r="V103" i="5"/>
  <c r="V172" i="5"/>
  <c r="O176" i="5"/>
  <c r="O136" i="5"/>
  <c r="O156" i="5"/>
  <c r="P34" i="5"/>
  <c r="J55" i="5"/>
  <c r="J81" i="5"/>
  <c r="J74" i="5" s="1"/>
  <c r="J72" i="5" s="1"/>
  <c r="J71" i="5" s="1"/>
  <c r="J82" i="5"/>
  <c r="V152" i="5"/>
  <c r="M133" i="5"/>
  <c r="M153" i="5"/>
  <c r="M173" i="5"/>
  <c r="N31" i="5"/>
  <c r="X5" i="6"/>
  <c r="V4" i="7"/>
  <c r="V3" i="7" s="1"/>
  <c r="Y4" i="6"/>
  <c r="W51" i="5"/>
  <c r="W58" i="5" s="1"/>
  <c r="BC46" i="7" a="1"/>
  <c r="BC46" i="7" s="1"/>
  <c r="BC45" i="7" a="1"/>
  <c r="BC45" i="7" s="1"/>
  <c r="BC50" i="7" a="1"/>
  <c r="BC50" i="7" s="1"/>
  <c r="BC42" i="7" a="1"/>
  <c r="BC42" i="7" s="1"/>
  <c r="BC49" i="7" a="1"/>
  <c r="BC49" i="7" s="1"/>
  <c r="BC47" i="7" a="1"/>
  <c r="BC47" i="7" s="1"/>
  <c r="BC43" i="7" a="1"/>
  <c r="BC43" i="7" s="1"/>
  <c r="BC48" i="7" a="1"/>
  <c r="BC48" i="7" s="1"/>
  <c r="BC41" i="7" a="1"/>
  <c r="BC41" i="7" s="1"/>
  <c r="BC44" i="7" a="1"/>
  <c r="BC44" i="7" s="1"/>
  <c r="BC37" i="7" a="1"/>
  <c r="BC37" i="7" s="1"/>
  <c r="BC36" i="7" a="1"/>
  <c r="BC36" i="7" s="1"/>
  <c r="BC31" i="7" a="1"/>
  <c r="BC31" i="7" s="1"/>
  <c r="BC22" i="7" a="1"/>
  <c r="BC22" i="7" s="1"/>
  <c r="BC38" i="7" a="1"/>
  <c r="BC38" i="7" s="1"/>
  <c r="BC40" i="7" a="1"/>
  <c r="BC40" i="7" s="1"/>
  <c r="BC32" i="7" a="1"/>
  <c r="BC32" i="7" s="1"/>
  <c r="BC23" i="7" a="1"/>
  <c r="BC23" i="7" s="1"/>
  <c r="BC39" i="7" a="1"/>
  <c r="BC39" i="7" s="1"/>
  <c r="BC30" i="7" a="1"/>
  <c r="BC30" i="7" s="1"/>
  <c r="BC29" i="7" a="1"/>
  <c r="BC29" i="7" s="1"/>
  <c r="BC28" i="7" a="1"/>
  <c r="BC28" i="7" s="1"/>
  <c r="BC27" i="7" a="1"/>
  <c r="BC27" i="7" s="1"/>
  <c r="BC21" i="7" a="1"/>
  <c r="BC21" i="7" s="1"/>
  <c r="BC20" i="7" s="1"/>
  <c r="BC16" i="7" a="1"/>
  <c r="BC16" i="7" s="1"/>
  <c r="BC25" i="7" a="1"/>
  <c r="BC25" i="7" s="1"/>
  <c r="BC24" i="7" a="1"/>
  <c r="BC24" i="7" s="1"/>
  <c r="BC14" i="7" a="1"/>
  <c r="BC14" i="7" s="1"/>
  <c r="BC13" i="7" a="1"/>
  <c r="BC13" i="7" s="1"/>
  <c r="BC26" i="7" a="1"/>
  <c r="BC26" i="7" s="1"/>
  <c r="BC17" i="7" a="1"/>
  <c r="BC17" i="7" s="1"/>
  <c r="BC15" i="7" a="1"/>
  <c r="BC15" i="7" s="1"/>
  <c r="BC12" i="7" a="1"/>
  <c r="BC12" i="7" s="1"/>
  <c r="BC18" i="7" a="1"/>
  <c r="BC18" i="7" s="1"/>
  <c r="BC11" i="7" a="1"/>
  <c r="BC11" i="7" s="1"/>
  <c r="BC9" i="7" a="1"/>
  <c r="BC9" i="7" s="1"/>
  <c r="BC7" i="7" a="1"/>
  <c r="BC7" i="7" s="1"/>
  <c r="BC8" i="7" a="1"/>
  <c r="BC8" i="7" s="1"/>
  <c r="P158" i="5"/>
  <c r="P178" i="5"/>
  <c r="Q179" i="5" s="1"/>
  <c r="P138" i="5"/>
  <c r="Q36" i="5"/>
  <c r="V75" i="5"/>
  <c r="V16" i="5"/>
  <c r="W195" i="5"/>
  <c r="W196" i="5"/>
  <c r="BD113" i="7"/>
  <c r="BD111" i="7"/>
  <c r="BD109" i="7"/>
  <c r="BD107" i="7"/>
  <c r="BD105" i="7"/>
  <c r="BD103" i="7"/>
  <c r="BD101" i="7"/>
  <c r="BD99" i="7"/>
  <c r="BD97" i="7"/>
  <c r="BD95" i="7"/>
  <c r="BD93" i="7"/>
  <c r="BD91" i="7"/>
  <c r="BD89" i="7"/>
  <c r="BD87" i="7"/>
  <c r="BD114" i="7"/>
  <c r="BD112" i="7"/>
  <c r="BD110" i="7"/>
  <c r="BD108" i="7"/>
  <c r="BD106" i="7"/>
  <c r="BD104" i="7"/>
  <c r="BD102" i="7"/>
  <c r="BD100" i="7"/>
  <c r="BD98" i="7"/>
  <c r="BD96" i="7"/>
  <c r="BD94" i="7"/>
  <c r="BD92" i="7"/>
  <c r="BD90" i="7"/>
  <c r="BD72" i="7"/>
  <c r="BD70" i="7"/>
  <c r="BD68" i="7"/>
  <c r="BD66" i="7"/>
  <c r="BD64" i="7"/>
  <c r="BD62" i="7"/>
  <c r="BD60" i="7"/>
  <c r="BD76" i="7"/>
  <c r="BD84" i="7"/>
  <c r="BD75" i="7"/>
  <c r="BD86" i="7"/>
  <c r="BD81" i="7"/>
  <c r="BD79" i="7"/>
  <c r="BD73" i="7"/>
  <c r="BD59" i="7"/>
  <c r="BD57" i="7"/>
  <c r="BD55" i="7"/>
  <c r="BD77" i="7"/>
  <c r="BD69" i="7"/>
  <c r="BD80" i="7"/>
  <c r="BD63" i="7"/>
  <c r="BD85" i="7"/>
  <c r="BD82" i="7"/>
  <c r="BD88" i="7"/>
  <c r="BD78" i="7"/>
  <c r="BD83" i="7"/>
  <c r="BD67" i="7"/>
  <c r="BD65" i="7"/>
  <c r="BD56" i="7"/>
  <c r="BD74" i="7"/>
  <c r="BD71" i="7"/>
  <c r="BD61" i="7"/>
  <c r="BD58" i="7"/>
  <c r="BE5" i="7"/>
  <c r="K223" i="5"/>
  <c r="L221" i="5"/>
  <c r="V62" i="5"/>
  <c r="V61" i="5" s="1"/>
  <c r="V77" i="5" s="1"/>
  <c r="Q140" i="5"/>
  <c r="Q160" i="5"/>
  <c r="R38" i="5"/>
  <c r="L20" i="5"/>
  <c r="L19" i="5"/>
  <c r="L21" i="5" s="1"/>
  <c r="L24" i="5" s="1"/>
  <c r="R162" i="5"/>
  <c r="R142" i="5"/>
  <c r="S40" i="5"/>
  <c r="W19" i="5"/>
  <c r="W21" i="5" s="1"/>
  <c r="V130" i="5"/>
  <c r="BB10" i="7"/>
  <c r="BB19" i="7"/>
  <c r="BB33" i="7" s="1"/>
  <c r="BC10" i="7" l="1"/>
  <c r="BD50" i="7" a="1"/>
  <c r="BD50" i="7" s="1"/>
  <c r="BD48" i="7" a="1"/>
  <c r="BD48" i="7" s="1"/>
  <c r="BD42" i="7" a="1"/>
  <c r="BD42" i="7" s="1"/>
  <c r="BD41" i="7" a="1"/>
  <c r="BD41" i="7" s="1"/>
  <c r="BD49" i="7" a="1"/>
  <c r="BD49" i="7" s="1"/>
  <c r="BD47" i="7" a="1"/>
  <c r="BD47" i="7" s="1"/>
  <c r="BD46" i="7" a="1"/>
  <c r="BD46" i="7" s="1"/>
  <c r="BD45" i="7" a="1"/>
  <c r="BD45" i="7" s="1"/>
  <c r="BD43" i="7" a="1"/>
  <c r="BD43" i="7" s="1"/>
  <c r="BD40" i="7" a="1"/>
  <c r="BD40" i="7" s="1"/>
  <c r="BD44" i="7" a="1"/>
  <c r="BD44" i="7" s="1"/>
  <c r="BD37" i="7" a="1"/>
  <c r="BD37" i="7" s="1"/>
  <c r="BD30" i="7" a="1"/>
  <c r="BD30" i="7" s="1"/>
  <c r="BD26" i="7" a="1"/>
  <c r="BD26" i="7" s="1"/>
  <c r="BD38" i="7" a="1"/>
  <c r="BD38" i="7" s="1"/>
  <c r="BD39" i="7" a="1"/>
  <c r="BD39" i="7" s="1"/>
  <c r="BD23" i="7" a="1"/>
  <c r="BD23" i="7" s="1"/>
  <c r="BD24" i="7" a="1"/>
  <c r="BD24" i="7" s="1"/>
  <c r="BD18" i="7" a="1"/>
  <c r="BD18" i="7" s="1"/>
  <c r="BD32" i="7" a="1"/>
  <c r="BD32" i="7" s="1"/>
  <c r="BD31" i="7" a="1"/>
  <c r="BD31" i="7" s="1"/>
  <c r="BD29" i="7" a="1"/>
  <c r="BD29" i="7" s="1"/>
  <c r="BD28" i="7" a="1"/>
  <c r="BD28" i="7" s="1"/>
  <c r="BD27" i="7" a="1"/>
  <c r="BD27" i="7" s="1"/>
  <c r="BD36" i="7" a="1"/>
  <c r="BD36" i="7" s="1"/>
  <c r="BD22" i="7" a="1"/>
  <c r="BD22" i="7" s="1"/>
  <c r="BD13" i="7" a="1"/>
  <c r="BD13" i="7" s="1"/>
  <c r="BD12" i="7" a="1"/>
  <c r="BD12" i="7" s="1"/>
  <c r="BD21" i="7" a="1"/>
  <c r="BD21" i="7" s="1"/>
  <c r="BD20" i="7" s="1"/>
  <c r="BD17" i="7" a="1"/>
  <c r="BD17" i="7" s="1"/>
  <c r="BD9" i="7" a="1"/>
  <c r="BD9" i="7" s="1"/>
  <c r="BD15" i="7" a="1"/>
  <c r="BD15" i="7" s="1"/>
  <c r="BD25" i="7" a="1"/>
  <c r="BD25" i="7" s="1"/>
  <c r="BD14" i="7" a="1"/>
  <c r="BD14" i="7" s="1"/>
  <c r="BD16" i="7" a="1"/>
  <c r="BD16" i="7" s="1"/>
  <c r="BD11" i="7" a="1"/>
  <c r="BD11" i="7" s="1"/>
  <c r="BD8" i="7" a="1"/>
  <c r="BD8" i="7" s="1"/>
  <c r="BD7" i="7" a="1"/>
  <c r="BD7" i="7" s="1"/>
  <c r="W173" i="5"/>
  <c r="X196" i="5"/>
  <c r="X195" i="5"/>
  <c r="R161" i="5"/>
  <c r="R141" i="5"/>
  <c r="S39" i="5"/>
  <c r="Q159" i="5"/>
  <c r="Q139" i="5"/>
  <c r="R37" i="5"/>
  <c r="J188" i="5"/>
  <c r="J187" i="5"/>
  <c r="J189" i="5"/>
  <c r="W103" i="5"/>
  <c r="K46" i="5"/>
  <c r="L209" i="5" s="1"/>
  <c r="L213" i="5" s="1"/>
  <c r="L27" i="5"/>
  <c r="W153" i="5"/>
  <c r="L61" i="5"/>
  <c r="L77" i="5" s="1"/>
  <c r="L75" i="5"/>
  <c r="BE113" i="7"/>
  <c r="BE111" i="7"/>
  <c r="BE109" i="7"/>
  <c r="BE107" i="7"/>
  <c r="BE105" i="7"/>
  <c r="BE103" i="7"/>
  <c r="BE101" i="7"/>
  <c r="BE99" i="7"/>
  <c r="BE97" i="7"/>
  <c r="BE95" i="7"/>
  <c r="BE93" i="7"/>
  <c r="BE91" i="7"/>
  <c r="BE89" i="7"/>
  <c r="BE114" i="7"/>
  <c r="BE88" i="7"/>
  <c r="BE85" i="7"/>
  <c r="BE83" i="7"/>
  <c r="BE112" i="7"/>
  <c r="BE110" i="7"/>
  <c r="BE87" i="7"/>
  <c r="BE106" i="7"/>
  <c r="BE98" i="7"/>
  <c r="BE90" i="7"/>
  <c r="BE76" i="7"/>
  <c r="BE84" i="7"/>
  <c r="BE75" i="7"/>
  <c r="BE108" i="7"/>
  <c r="BE100" i="7"/>
  <c r="BE92" i="7"/>
  <c r="BE78" i="7"/>
  <c r="BE72" i="7"/>
  <c r="BE70" i="7"/>
  <c r="BE77" i="7"/>
  <c r="BE69" i="7"/>
  <c r="BE80" i="7"/>
  <c r="BE63" i="7"/>
  <c r="BE102" i="7"/>
  <c r="BE94" i="7"/>
  <c r="BE82" i="7"/>
  <c r="BE81" i="7"/>
  <c r="BE68" i="7"/>
  <c r="BE67" i="7"/>
  <c r="BE60" i="7"/>
  <c r="BE96" i="7"/>
  <c r="BE74" i="7"/>
  <c r="BE64" i="7"/>
  <c r="BE61" i="7"/>
  <c r="BE66" i="7"/>
  <c r="BE65" i="7"/>
  <c r="BE56" i="7"/>
  <c r="BE62" i="7"/>
  <c r="BE58" i="7"/>
  <c r="BE79" i="7"/>
  <c r="BE59" i="7"/>
  <c r="BE104" i="7"/>
  <c r="BE73" i="7"/>
  <c r="BE55" i="7"/>
  <c r="BE57" i="7"/>
  <c r="BE71" i="7"/>
  <c r="BE86" i="7"/>
  <c r="BF5" i="7"/>
  <c r="BC19" i="7"/>
  <c r="BC33" i="7" s="1"/>
  <c r="W75" i="5"/>
  <c r="N154" i="5"/>
  <c r="N174" i="5"/>
  <c r="N134" i="5"/>
  <c r="N78" i="5"/>
  <c r="O32" i="5"/>
  <c r="P177" i="5"/>
  <c r="P137" i="5"/>
  <c r="P79" i="5"/>
  <c r="P157" i="5"/>
  <c r="Q35" i="5"/>
  <c r="S143" i="5"/>
  <c r="S163" i="5"/>
  <c r="T41" i="5"/>
  <c r="W62" i="5"/>
  <c r="W61" i="5" s="1"/>
  <c r="W77" i="5" s="1"/>
  <c r="X19" i="5"/>
  <c r="W152" i="5"/>
  <c r="L151" i="5"/>
  <c r="L131" i="5"/>
  <c r="L171" i="5"/>
  <c r="M29" i="5"/>
  <c r="L17" i="5"/>
  <c r="BC51" i="7"/>
  <c r="W4" i="7"/>
  <c r="W3" i="7" s="1"/>
  <c r="Z4" i="6"/>
  <c r="Y5" i="6"/>
  <c r="X131" i="5"/>
  <c r="X197" i="5"/>
  <c r="Y193" i="5" s="1"/>
  <c r="X172" i="5"/>
  <c r="X174" i="5"/>
  <c r="X107" i="5"/>
  <c r="X68" i="5" a="1"/>
  <c r="X68" i="5" s="1"/>
  <c r="X153" i="5"/>
  <c r="X105" i="5"/>
  <c r="X130" i="5"/>
  <c r="X132" i="5"/>
  <c r="X100" i="5"/>
  <c r="X99" i="5" s="1"/>
  <c r="X11" i="5"/>
  <c r="X29" i="5"/>
  <c r="X152" i="5" s="1"/>
  <c r="X27" i="5"/>
  <c r="X134" i="5"/>
  <c r="X104" i="5"/>
  <c r="X151" i="5"/>
  <c r="X106" i="5"/>
  <c r="X93" i="5"/>
  <c r="X24" i="5"/>
  <c r="X20" i="5"/>
  <c r="X30" i="5"/>
  <c r="X173" i="5" s="1"/>
  <c r="X12" i="5"/>
  <c r="X13" i="5"/>
  <c r="X202" i="5" s="1"/>
  <c r="X17" i="5"/>
  <c r="X31" i="5"/>
  <c r="X154" i="5" s="1"/>
  <c r="X28" i="5"/>
  <c r="X171" i="5" s="1"/>
  <c r="X66" i="5"/>
  <c r="X64" i="5" s="1"/>
  <c r="X14" i="5"/>
  <c r="Y5" i="5"/>
  <c r="X6" i="5"/>
  <c r="X18" i="5" s="1"/>
  <c r="X62" i="5" s="1"/>
  <c r="X61" i="5" s="1"/>
  <c r="X77" i="5" s="1"/>
  <c r="X51" i="5"/>
  <c r="X58" i="5" s="1"/>
  <c r="W130" i="5"/>
  <c r="K47" i="5"/>
  <c r="K50" i="5"/>
  <c r="K59" i="5" s="1"/>
  <c r="L222" i="5" l="1"/>
  <c r="L214" i="5"/>
  <c r="Y51" i="5"/>
  <c r="Y58" i="5" s="1"/>
  <c r="AA4" i="6"/>
  <c r="Z5" i="6"/>
  <c r="X4" i="7"/>
  <c r="X3" i="7" s="1"/>
  <c r="Y19" i="5"/>
  <c r="T144" i="5"/>
  <c r="T164" i="5"/>
  <c r="O175" i="5"/>
  <c r="O135" i="5"/>
  <c r="O155" i="5"/>
  <c r="P33" i="5"/>
  <c r="M132" i="5"/>
  <c r="M172" i="5"/>
  <c r="M152" i="5"/>
  <c r="N30" i="5"/>
  <c r="BF114" i="7"/>
  <c r="BF112" i="7"/>
  <c r="BF110" i="7"/>
  <c r="BF108" i="7"/>
  <c r="BF106" i="7"/>
  <c r="BF104" i="7"/>
  <c r="BF102" i="7"/>
  <c r="BF100" i="7"/>
  <c r="BF98" i="7"/>
  <c r="BF96" i="7"/>
  <c r="BF94" i="7"/>
  <c r="BF92" i="7"/>
  <c r="BF90" i="7"/>
  <c r="BF88" i="7"/>
  <c r="BF86" i="7"/>
  <c r="BF113" i="7"/>
  <c r="BF85" i="7"/>
  <c r="BF83" i="7"/>
  <c r="BF81" i="7"/>
  <c r="BF79" i="7"/>
  <c r="BF77" i="7"/>
  <c r="BF75" i="7"/>
  <c r="BF111" i="7"/>
  <c r="BF84" i="7"/>
  <c r="BF109" i="7"/>
  <c r="BF101" i="7"/>
  <c r="BF93" i="7"/>
  <c r="BF78" i="7"/>
  <c r="BF73" i="7"/>
  <c r="BF71" i="7"/>
  <c r="BF69" i="7"/>
  <c r="BF67" i="7"/>
  <c r="BF65" i="7"/>
  <c r="BF103" i="7"/>
  <c r="BF107" i="7"/>
  <c r="BF99" i="7"/>
  <c r="BF91" i="7"/>
  <c r="BF76" i="7"/>
  <c r="BF87" i="7"/>
  <c r="BF80" i="7"/>
  <c r="BF72" i="7"/>
  <c r="BF63" i="7"/>
  <c r="BF82" i="7"/>
  <c r="BF68" i="7"/>
  <c r="BF60" i="7"/>
  <c r="BF95" i="7"/>
  <c r="BF58" i="7"/>
  <c r="BF70" i="7"/>
  <c r="BF97" i="7"/>
  <c r="BF56" i="7"/>
  <c r="BF62" i="7"/>
  <c r="BF74" i="7"/>
  <c r="BF105" i="7"/>
  <c r="BF66" i="7"/>
  <c r="BF59" i="7"/>
  <c r="BF55" i="7"/>
  <c r="BF89" i="7"/>
  <c r="BF61" i="7"/>
  <c r="BF57" i="7"/>
  <c r="BF64" i="7"/>
  <c r="BG5" i="7"/>
  <c r="X75" i="5"/>
  <c r="Y196" i="5"/>
  <c r="Y195" i="5"/>
  <c r="L44" i="5"/>
  <c r="M51" i="5"/>
  <c r="M58" i="5" s="1"/>
  <c r="L170" i="5"/>
  <c r="L180" i="5" s="1"/>
  <c r="L181" i="5" s="1"/>
  <c r="L45" i="5" a="1"/>
  <c r="L45" i="5" s="1"/>
  <c r="L130" i="5"/>
  <c r="L145" i="5" s="1"/>
  <c r="L146" i="5" s="1"/>
  <c r="L183" i="5" s="1" a="1"/>
  <c r="L183" i="5" s="1"/>
  <c r="L150" i="5"/>
  <c r="L165" i="5" s="1"/>
  <c r="L166" i="5" s="1"/>
  <c r="M28" i="5"/>
  <c r="M18" i="5"/>
  <c r="M62" i="5" s="1"/>
  <c r="R160" i="5"/>
  <c r="R140" i="5"/>
  <c r="S38" i="5"/>
  <c r="X103" i="5"/>
  <c r="Q138" i="5"/>
  <c r="Q178" i="5"/>
  <c r="R179" i="5" s="1"/>
  <c r="Q158" i="5"/>
  <c r="R36" i="5"/>
  <c r="BD10" i="7"/>
  <c r="X16" i="5"/>
  <c r="Y16" i="5" s="1"/>
  <c r="X150" i="5"/>
  <c r="BE50" i="7" a="1"/>
  <c r="BE50" i="7" s="1"/>
  <c r="BE49" i="7" a="1"/>
  <c r="BE49" i="7" s="1"/>
  <c r="BE47" i="7" a="1"/>
  <c r="BE47" i="7" s="1"/>
  <c r="BE44" i="7" a="1"/>
  <c r="BE44" i="7" s="1"/>
  <c r="BE48" i="7" a="1"/>
  <c r="BE48" i="7" s="1"/>
  <c r="BE46" i="7" a="1"/>
  <c r="BE46" i="7" s="1"/>
  <c r="BE42" i="7" a="1"/>
  <c r="BE42" i="7" s="1"/>
  <c r="BE41" i="7" a="1"/>
  <c r="BE41" i="7" s="1"/>
  <c r="BE45" i="7" a="1"/>
  <c r="BE45" i="7" s="1"/>
  <c r="BE43" i="7" a="1"/>
  <c r="BE43" i="7" s="1"/>
  <c r="BE40" i="7" a="1"/>
  <c r="BE40" i="7" s="1"/>
  <c r="BE39" i="7" a="1"/>
  <c r="BE39" i="7" s="1"/>
  <c r="BE30" i="7" a="1"/>
  <c r="BE30" i="7" s="1"/>
  <c r="BE38" i="7" a="1"/>
  <c r="BE38" i="7" s="1"/>
  <c r="BE37" i="7" a="1"/>
  <c r="BE37" i="7" s="1"/>
  <c r="BE31" i="7" a="1"/>
  <c r="BE31" i="7" s="1"/>
  <c r="BE24" i="7" a="1"/>
  <c r="BE24" i="7" s="1"/>
  <c r="BE15" i="7" a="1"/>
  <c r="BE15" i="7" s="1"/>
  <c r="BE32" i="7" a="1"/>
  <c r="BE32" i="7" s="1"/>
  <c r="BE25" i="7" a="1"/>
  <c r="BE25" i="7" s="1"/>
  <c r="BE17" i="7" a="1"/>
  <c r="BE17" i="7" s="1"/>
  <c r="BE29" i="7" a="1"/>
  <c r="BE29" i="7" s="1"/>
  <c r="BE26" i="7" a="1"/>
  <c r="BE26" i="7" s="1"/>
  <c r="BE28" i="7" a="1"/>
  <c r="BE28" i="7" s="1"/>
  <c r="BE27" i="7" a="1"/>
  <c r="BE27" i="7" s="1"/>
  <c r="BE36" i="7" a="1"/>
  <c r="BE36" i="7" s="1"/>
  <c r="BE16" i="7" a="1"/>
  <c r="BE16" i="7" s="1"/>
  <c r="BE23" i="7" a="1"/>
  <c r="BE23" i="7" s="1"/>
  <c r="BE22" i="7" a="1"/>
  <c r="BE22" i="7" s="1"/>
  <c r="BE21" i="7" a="1"/>
  <c r="BE21" i="7" s="1"/>
  <c r="BE20" i="7" s="1"/>
  <c r="BE11" i="7" a="1"/>
  <c r="BE11" i="7" s="1"/>
  <c r="BE8" i="7" a="1"/>
  <c r="BE8" i="7" s="1"/>
  <c r="BE14" i="7" a="1"/>
  <c r="BE14" i="7" s="1"/>
  <c r="BE18" i="7" a="1"/>
  <c r="BE18" i="7" s="1"/>
  <c r="BE7" i="7" a="1"/>
  <c r="BE7" i="7" s="1"/>
  <c r="BE9" i="7" a="1"/>
  <c r="BE9" i="7" s="1"/>
  <c r="BE13" i="7" a="1"/>
  <c r="BE13" i="7" s="1"/>
  <c r="BE12" i="7" a="1"/>
  <c r="BE12" i="7" s="1"/>
  <c r="X170" i="5"/>
  <c r="X133" i="5"/>
  <c r="X21" i="5"/>
  <c r="S162" i="5"/>
  <c r="S142" i="5"/>
  <c r="T40" i="5"/>
  <c r="BD51" i="7"/>
  <c r="K76" i="5"/>
  <c r="K57" i="5"/>
  <c r="Y150" i="5"/>
  <c r="Y197" i="5"/>
  <c r="Z193" i="5" s="1"/>
  <c r="Y171" i="5"/>
  <c r="Y153" i="5"/>
  <c r="Y105" i="5"/>
  <c r="Y173" i="5"/>
  <c r="Y172" i="5"/>
  <c r="Y68" i="5" a="1"/>
  <c r="Y68" i="5" s="1"/>
  <c r="Y66" i="5"/>
  <c r="Y64" i="5" s="1"/>
  <c r="Y170" i="5"/>
  <c r="Y104" i="5"/>
  <c r="Y103" i="5" s="1"/>
  <c r="Y107" i="5"/>
  <c r="Y29" i="5"/>
  <c r="Y27" i="5"/>
  <c r="Y31" i="5"/>
  <c r="Y17" i="5"/>
  <c r="Z5" i="5"/>
  <c r="Y151" i="5"/>
  <c r="Y152" i="5"/>
  <c r="Y132" i="5"/>
  <c r="Y130" i="5"/>
  <c r="Y106" i="5"/>
  <c r="Y135" i="5"/>
  <c r="Y93" i="5"/>
  <c r="Y13" i="5"/>
  <c r="Y202" i="5" s="1"/>
  <c r="Y20" i="5"/>
  <c r="Y28" i="5"/>
  <c r="Y131" i="5" s="1"/>
  <c r="Y14" i="5"/>
  <c r="Y32" i="5"/>
  <c r="Y175" i="5" s="1"/>
  <c r="Y100" i="5"/>
  <c r="Y99" i="5" s="1"/>
  <c r="Y30" i="5"/>
  <c r="Y133" i="5" s="1"/>
  <c r="Y6" i="5"/>
  <c r="Y18" i="5" s="1"/>
  <c r="Y11" i="5"/>
  <c r="Z19" i="5" s="1"/>
  <c r="Y24" i="5"/>
  <c r="Y12" i="5"/>
  <c r="BD19" i="7"/>
  <c r="BD33" i="7" s="1"/>
  <c r="M19" i="5"/>
  <c r="M20" i="5"/>
  <c r="K55" i="5" l="1"/>
  <c r="K82" i="5"/>
  <c r="K81" i="5"/>
  <c r="K74" i="5" s="1"/>
  <c r="K72" i="5" s="1"/>
  <c r="K71" i="5" s="1"/>
  <c r="M151" i="5"/>
  <c r="M131" i="5"/>
  <c r="M171" i="5"/>
  <c r="N29" i="5"/>
  <c r="BF49" i="7" a="1"/>
  <c r="BF49" i="7" s="1"/>
  <c r="BF48" i="7" a="1"/>
  <c r="BF48" i="7" s="1"/>
  <c r="BF47" i="7" a="1"/>
  <c r="BF47" i="7" s="1"/>
  <c r="BF45" i="7" a="1"/>
  <c r="BF45" i="7" s="1"/>
  <c r="BF50" i="7" a="1"/>
  <c r="BF50" i="7" s="1"/>
  <c r="BF44" i="7" a="1"/>
  <c r="BF44" i="7" s="1"/>
  <c r="BF42" i="7" a="1"/>
  <c r="BF42" i="7" s="1"/>
  <c r="BF41" i="7" a="1"/>
  <c r="BF41" i="7" s="1"/>
  <c r="BF40" i="7" a="1"/>
  <c r="BF40" i="7" s="1"/>
  <c r="BF39" i="7" a="1"/>
  <c r="BF39" i="7" s="1"/>
  <c r="BF43" i="7" a="1"/>
  <c r="BF43" i="7" s="1"/>
  <c r="BF38" i="7" a="1"/>
  <c r="BF38" i="7" s="1"/>
  <c r="BF36" i="7" a="1"/>
  <c r="BF36" i="7" s="1"/>
  <c r="BF37" i="7" a="1"/>
  <c r="BF37" i="7" s="1"/>
  <c r="BF46" i="7" a="1"/>
  <c r="BF46" i="7" s="1"/>
  <c r="BF29" i="7" a="1"/>
  <c r="BF29" i="7" s="1"/>
  <c r="BF32" i="7" a="1"/>
  <c r="BF32" i="7" s="1"/>
  <c r="BF30" i="7" a="1"/>
  <c r="BF30" i="7" s="1"/>
  <c r="BF25" i="7" a="1"/>
  <c r="BF25" i="7" s="1"/>
  <c r="BF26" i="7" a="1"/>
  <c r="BF26" i="7" s="1"/>
  <c r="BF21" i="7" a="1"/>
  <c r="BF21" i="7" s="1"/>
  <c r="BF20" i="7" s="1"/>
  <c r="BF31" i="7" a="1"/>
  <c r="BF31" i="7" s="1"/>
  <c r="BF28" i="7" a="1"/>
  <c r="BF28" i="7" s="1"/>
  <c r="BF24" i="7" a="1"/>
  <c r="BF24" i="7" s="1"/>
  <c r="BF15" i="7" a="1"/>
  <c r="BF15" i="7" s="1"/>
  <c r="BF22" i="7" a="1"/>
  <c r="BF22" i="7" s="1"/>
  <c r="BF23" i="7" a="1"/>
  <c r="BF23" i="7" s="1"/>
  <c r="BF27" i="7" a="1"/>
  <c r="BF27" i="7" s="1"/>
  <c r="BF8" i="7" a="1"/>
  <c r="BF8" i="7" s="1"/>
  <c r="BF14" i="7" a="1"/>
  <c r="BF14" i="7" s="1"/>
  <c r="BF18" i="7" a="1"/>
  <c r="BF18" i="7" s="1"/>
  <c r="BF16" i="7" a="1"/>
  <c r="BF16" i="7" s="1"/>
  <c r="BF9" i="7" a="1"/>
  <c r="BF9" i="7" s="1"/>
  <c r="BF17" i="7" a="1"/>
  <c r="BF17" i="7" s="1"/>
  <c r="BF13" i="7" a="1"/>
  <c r="BF13" i="7" s="1"/>
  <c r="BF11" i="7" a="1"/>
  <c r="BF11" i="7" s="1"/>
  <c r="BF7" i="7" a="1"/>
  <c r="BF7" i="7" s="1"/>
  <c r="BF51" i="7" s="1"/>
  <c r="BF12" i="7" a="1"/>
  <c r="BF12" i="7" s="1"/>
  <c r="Y75" i="5"/>
  <c r="S161" i="5"/>
  <c r="S141" i="5"/>
  <c r="T39" i="5"/>
  <c r="BG114" i="7"/>
  <c r="BG112" i="7"/>
  <c r="BG110" i="7"/>
  <c r="BG108" i="7"/>
  <c r="BG106" i="7"/>
  <c r="BG104" i="7"/>
  <c r="BG102" i="7"/>
  <c r="BG100" i="7"/>
  <c r="BG98" i="7"/>
  <c r="BG96" i="7"/>
  <c r="BG94" i="7"/>
  <c r="BG92" i="7"/>
  <c r="BG90" i="7"/>
  <c r="BG88" i="7"/>
  <c r="BG113" i="7"/>
  <c r="BG85" i="7"/>
  <c r="BG83" i="7"/>
  <c r="BG81" i="7"/>
  <c r="BG79" i="7"/>
  <c r="BG77" i="7"/>
  <c r="BG75" i="7"/>
  <c r="BG73" i="7"/>
  <c r="BG87" i="7"/>
  <c r="BG89" i="7"/>
  <c r="BG84" i="7"/>
  <c r="BG111" i="7"/>
  <c r="BG109" i="7"/>
  <c r="BG101" i="7"/>
  <c r="BG93" i="7"/>
  <c r="BG78" i="7"/>
  <c r="BG71" i="7"/>
  <c r="BG69" i="7"/>
  <c r="BG67" i="7"/>
  <c r="BG65" i="7"/>
  <c r="BG103" i="7"/>
  <c r="BG95" i="7"/>
  <c r="BG82" i="7"/>
  <c r="BG80" i="7"/>
  <c r="BG68" i="7"/>
  <c r="BG60" i="7"/>
  <c r="BG91" i="7"/>
  <c r="BG58" i="7"/>
  <c r="BG107" i="7"/>
  <c r="BG74" i="7"/>
  <c r="BG64" i="7"/>
  <c r="BG61" i="7"/>
  <c r="BG97" i="7"/>
  <c r="BG62" i="7"/>
  <c r="BG70" i="7"/>
  <c r="BG63" i="7"/>
  <c r="BG86" i="7"/>
  <c r="BG72" i="7"/>
  <c r="BG56" i="7"/>
  <c r="BG55" i="7"/>
  <c r="BG99" i="7"/>
  <c r="BG66" i="7"/>
  <c r="BG57" i="7"/>
  <c r="BG105" i="7"/>
  <c r="BG76" i="7"/>
  <c r="BG59" i="7"/>
  <c r="BH5" i="7"/>
  <c r="Y21" i="5"/>
  <c r="Y155" i="5"/>
  <c r="BE19" i="7"/>
  <c r="Y174" i="5"/>
  <c r="BE33" i="7"/>
  <c r="BE10" i="7"/>
  <c r="R139" i="5"/>
  <c r="R159" i="5"/>
  <c r="S37" i="5"/>
  <c r="M75" i="5"/>
  <c r="Y62" i="5"/>
  <c r="Y61" i="5" s="1"/>
  <c r="Y77" i="5" s="1"/>
  <c r="Z51" i="5"/>
  <c r="Z58" i="5" s="1"/>
  <c r="M21" i="5"/>
  <c r="Z197" i="5"/>
  <c r="AA193" i="5" s="1"/>
  <c r="Z173" i="5"/>
  <c r="Z174" i="5"/>
  <c r="Z156" i="5"/>
  <c r="Z135" i="5"/>
  <c r="Z107" i="5"/>
  <c r="Z154" i="5"/>
  <c r="Z153" i="5"/>
  <c r="Z134" i="5"/>
  <c r="Z33" i="5"/>
  <c r="Z136" i="5" s="1"/>
  <c r="Z31" i="5"/>
  <c r="Z17" i="5"/>
  <c r="AA5" i="5"/>
  <c r="Z105" i="5"/>
  <c r="Z104" i="5"/>
  <c r="Z66" i="5"/>
  <c r="Z64" i="5" s="1"/>
  <c r="Z14" i="5"/>
  <c r="Z12" i="5"/>
  <c r="Z106" i="5"/>
  <c r="Z93" i="5"/>
  <c r="Z100" i="5"/>
  <c r="Z99" i="5" s="1"/>
  <c r="Z11" i="5"/>
  <c r="Z20" i="5"/>
  <c r="Z28" i="5"/>
  <c r="Z131" i="5" s="1"/>
  <c r="Z13" i="5"/>
  <c r="Z202" i="5" s="1"/>
  <c r="Z32" i="5"/>
  <c r="Z155" i="5" s="1"/>
  <c r="Z29" i="5"/>
  <c r="Z172" i="5" s="1"/>
  <c r="Z45" i="5" a="1"/>
  <c r="Z45" i="5" s="1"/>
  <c r="Z24" i="5"/>
  <c r="Z30" i="5"/>
  <c r="Z133" i="5" s="1"/>
  <c r="Z16" i="5"/>
  <c r="Z27" i="5"/>
  <c r="Z6" i="5"/>
  <c r="Z18" i="5" s="1"/>
  <c r="Z62" i="5" s="1"/>
  <c r="Z61" i="5" s="1"/>
  <c r="Z77" i="5" s="1"/>
  <c r="Y154" i="5"/>
  <c r="BE51" i="7"/>
  <c r="M61" i="5"/>
  <c r="M77" i="5" s="1"/>
  <c r="L46" i="5"/>
  <c r="M209" i="5" s="1"/>
  <c r="M213" i="5" s="1"/>
  <c r="P176" i="5"/>
  <c r="P156" i="5"/>
  <c r="P136" i="5"/>
  <c r="Q34" i="5"/>
  <c r="N153" i="5"/>
  <c r="N133" i="5"/>
  <c r="N173" i="5"/>
  <c r="O31" i="5"/>
  <c r="Z21" i="5"/>
  <c r="Y134" i="5"/>
  <c r="Z196" i="5"/>
  <c r="Z195" i="5"/>
  <c r="T163" i="5"/>
  <c r="T143" i="5"/>
  <c r="U41" i="5"/>
  <c r="L47" i="5"/>
  <c r="L50" i="5"/>
  <c r="L59" i="5" s="1"/>
  <c r="M66" i="5"/>
  <c r="M64" i="5" s="1"/>
  <c r="AB4" i="6"/>
  <c r="AA5" i="6"/>
  <c r="Y4" i="7"/>
  <c r="Y3" i="7" s="1"/>
  <c r="M221" i="5"/>
  <c r="L223" i="5"/>
  <c r="M214" i="5" l="1"/>
  <c r="M222" i="5"/>
  <c r="O174" i="5"/>
  <c r="O154" i="5"/>
  <c r="O134" i="5"/>
  <c r="O78" i="5"/>
  <c r="P32" i="5"/>
  <c r="Z75" i="5"/>
  <c r="M24" i="5"/>
  <c r="M27" i="5" s="1"/>
  <c r="M17" i="5"/>
  <c r="BG47" i="7" a="1"/>
  <c r="BG47" i="7" s="1"/>
  <c r="BG46" i="7" a="1"/>
  <c r="BG46" i="7" s="1"/>
  <c r="BG45" i="7" a="1"/>
  <c r="BG45" i="7" s="1"/>
  <c r="BG43" i="7" a="1"/>
  <c r="BG43" i="7" s="1"/>
  <c r="BG48" i="7" a="1"/>
  <c r="BG48" i="7" s="1"/>
  <c r="BG50" i="7" a="1"/>
  <c r="BG50" i="7" s="1"/>
  <c r="BG44" i="7" a="1"/>
  <c r="BG44" i="7" s="1"/>
  <c r="BG49" i="7" a="1"/>
  <c r="BG49" i="7" s="1"/>
  <c r="BG37" i="7" a="1"/>
  <c r="BG37" i="7" s="1"/>
  <c r="BG38" i="7" a="1"/>
  <c r="BG38" i="7" s="1"/>
  <c r="BG36" i="7" a="1"/>
  <c r="BG36" i="7" s="1"/>
  <c r="BG32" i="7" a="1"/>
  <c r="BG32" i="7" s="1"/>
  <c r="BG28" i="7" a="1"/>
  <c r="BG28" i="7" s="1"/>
  <c r="BG41" i="7" a="1"/>
  <c r="BG41" i="7" s="1"/>
  <c r="BG42" i="7" a="1"/>
  <c r="BG42" i="7" s="1"/>
  <c r="BG40" i="7" a="1"/>
  <c r="BG40" i="7" s="1"/>
  <c r="BG39" i="7" a="1"/>
  <c r="BG39" i="7" s="1"/>
  <c r="BG29" i="7" a="1"/>
  <c r="BG29" i="7" s="1"/>
  <c r="BG31" i="7" a="1"/>
  <c r="BG31" i="7" s="1"/>
  <c r="BG27" i="7" a="1"/>
  <c r="BG27" i="7" s="1"/>
  <c r="BG21" i="7" a="1"/>
  <c r="BG21" i="7" s="1"/>
  <c r="BG20" i="7" s="1"/>
  <c r="BG16" i="7" a="1"/>
  <c r="BG16" i="7" s="1"/>
  <c r="BG30" i="7" a="1"/>
  <c r="BG30" i="7" s="1"/>
  <c r="BG22" i="7" a="1"/>
  <c r="BG22" i="7" s="1"/>
  <c r="BG25" i="7" a="1"/>
  <c r="BG25" i="7" s="1"/>
  <c r="BG17" i="7" a="1"/>
  <c r="BG17" i="7" s="1"/>
  <c r="BG15" i="7" a="1"/>
  <c r="BG15" i="7" s="1"/>
  <c r="BG26" i="7" a="1"/>
  <c r="BG26" i="7" s="1"/>
  <c r="BG14" i="7" a="1"/>
  <c r="BG14" i="7" s="1"/>
  <c r="BG13" i="7" a="1"/>
  <c r="BG13" i="7" s="1"/>
  <c r="BG23" i="7" a="1"/>
  <c r="BG23" i="7" s="1"/>
  <c r="BG24" i="7" a="1"/>
  <c r="BG24" i="7" s="1"/>
  <c r="BG18" i="7" a="1"/>
  <c r="BG18" i="7" s="1"/>
  <c r="BG9" i="7" a="1"/>
  <c r="BG9" i="7" s="1"/>
  <c r="BG8" i="7" a="1"/>
  <c r="BG8" i="7" s="1"/>
  <c r="BG12" i="7" a="1"/>
  <c r="BG12" i="7" s="1"/>
  <c r="BG7" i="7" a="1"/>
  <c r="BG7" i="7" s="1"/>
  <c r="BG51" i="7" s="1"/>
  <c r="BG11" i="7" a="1"/>
  <c r="BG11" i="7" s="1"/>
  <c r="Z171" i="5"/>
  <c r="Z132" i="5"/>
  <c r="Z103" i="5"/>
  <c r="BH114" i="7"/>
  <c r="BH112" i="7"/>
  <c r="BH110" i="7"/>
  <c r="BH108" i="7"/>
  <c r="BH106" i="7"/>
  <c r="BH104" i="7"/>
  <c r="BH102" i="7"/>
  <c r="BH100" i="7"/>
  <c r="BH98" i="7"/>
  <c r="BH96" i="7"/>
  <c r="BH94" i="7"/>
  <c r="BH92" i="7"/>
  <c r="BH90" i="7"/>
  <c r="BH88" i="7"/>
  <c r="BH113" i="7"/>
  <c r="BH87" i="7"/>
  <c r="BH111" i="7"/>
  <c r="BH109" i="7"/>
  <c r="BH107" i="7"/>
  <c r="BH105" i="7"/>
  <c r="BH103" i="7"/>
  <c r="BH101" i="7"/>
  <c r="BH99" i="7"/>
  <c r="BH97" i="7"/>
  <c r="BH95" i="7"/>
  <c r="BH93" i="7"/>
  <c r="BH91" i="7"/>
  <c r="BH86" i="7"/>
  <c r="BH75" i="7"/>
  <c r="BH71" i="7"/>
  <c r="BH69" i="7"/>
  <c r="BH67" i="7"/>
  <c r="BH65" i="7"/>
  <c r="BH63" i="7"/>
  <c r="BH61" i="7"/>
  <c r="BH82" i="7"/>
  <c r="BH80" i="7"/>
  <c r="BH73" i="7"/>
  <c r="BH89" i="7"/>
  <c r="BH74" i="7"/>
  <c r="BH84" i="7"/>
  <c r="BH78" i="7"/>
  <c r="BH58" i="7"/>
  <c r="BH56" i="7"/>
  <c r="BH81" i="7"/>
  <c r="BH64" i="7"/>
  <c r="BH85" i="7"/>
  <c r="BH70" i="7"/>
  <c r="BH66" i="7"/>
  <c r="BH62" i="7"/>
  <c r="BH79" i="7"/>
  <c r="BH72" i="7"/>
  <c r="BH57" i="7"/>
  <c r="BH83" i="7"/>
  <c r="BH77" i="7"/>
  <c r="BH68" i="7"/>
  <c r="BH60" i="7"/>
  <c r="BH76" i="7"/>
  <c r="BH59" i="7"/>
  <c r="BH55" i="7"/>
  <c r="BI5" i="7"/>
  <c r="BF10" i="7"/>
  <c r="N172" i="5"/>
  <c r="N152" i="5"/>
  <c r="N132" i="5"/>
  <c r="O30" i="5"/>
  <c r="K187" i="5"/>
  <c r="K188" i="5"/>
  <c r="K189" i="5"/>
  <c r="AA51" i="5"/>
  <c r="AA58" i="5" s="1"/>
  <c r="U144" i="5"/>
  <c r="U164" i="5"/>
  <c r="Z151" i="5"/>
  <c r="BF19" i="7"/>
  <c r="BF33" i="7" s="1"/>
  <c r="Z176" i="5"/>
  <c r="T142" i="5"/>
  <c r="T162" i="5"/>
  <c r="U40" i="5"/>
  <c r="L76" i="5"/>
  <c r="L57" i="5"/>
  <c r="Z150" i="5"/>
  <c r="Z152" i="5"/>
  <c r="Z175" i="5"/>
  <c r="AA19" i="5"/>
  <c r="Z130" i="5"/>
  <c r="AA197" i="5"/>
  <c r="AB193" i="5" s="1"/>
  <c r="AA106" i="5"/>
  <c r="AA162" i="5"/>
  <c r="AA153" i="5"/>
  <c r="AA178" i="5"/>
  <c r="AA177" i="5"/>
  <c r="AA145" i="5"/>
  <c r="AA136" i="5"/>
  <c r="AA180" i="5"/>
  <c r="AA179" i="5"/>
  <c r="AA158" i="5"/>
  <c r="AA154" i="5"/>
  <c r="AA150" i="5"/>
  <c r="AA143" i="5"/>
  <c r="AA134" i="5"/>
  <c r="AA104" i="5"/>
  <c r="AA100" i="5"/>
  <c r="AA99" i="5" s="1"/>
  <c r="AA93" i="5"/>
  <c r="AA176" i="5"/>
  <c r="AA171" i="5"/>
  <c r="AA164" i="5"/>
  <c r="AA140" i="5"/>
  <c r="AA133" i="5"/>
  <c r="AA105" i="5"/>
  <c r="AA81" i="5"/>
  <c r="AA173" i="5"/>
  <c r="AA172" i="5"/>
  <c r="AA165" i="5"/>
  <c r="AA160" i="5"/>
  <c r="AA144" i="5"/>
  <c r="AA163" i="5"/>
  <c r="AA175" i="5"/>
  <c r="AA146" i="5"/>
  <c r="AA183" i="5" s="1" a="1"/>
  <c r="AA183" i="5" s="1"/>
  <c r="AA166" i="5"/>
  <c r="AA139" i="5"/>
  <c r="AA161" i="5"/>
  <c r="AA152" i="5"/>
  <c r="AA142" i="5"/>
  <c r="AA79" i="5"/>
  <c r="AA66" i="5"/>
  <c r="AA64" i="5" s="1"/>
  <c r="AA38" i="5"/>
  <c r="AA14" i="5"/>
  <c r="AA12" i="5"/>
  <c r="AA174" i="5"/>
  <c r="AA170" i="5"/>
  <c r="AA151" i="5"/>
  <c r="AA132" i="5"/>
  <c r="AA137" i="5"/>
  <c r="AA138" i="5"/>
  <c r="AA130" i="5"/>
  <c r="AA181" i="5"/>
  <c r="AA159" i="5"/>
  <c r="AA157" i="5"/>
  <c r="AA156" i="5"/>
  <c r="AA155" i="5"/>
  <c r="AA135" i="5"/>
  <c r="AA82" i="5"/>
  <c r="AA141" i="5"/>
  <c r="AA78" i="5"/>
  <c r="AA29" i="5"/>
  <c r="AA27" i="5"/>
  <c r="AA41" i="5"/>
  <c r="AA34" i="5"/>
  <c r="AA28" i="5"/>
  <c r="AA17" i="5"/>
  <c r="AA50" i="5"/>
  <c r="AA59" i="5" s="1"/>
  <c r="AA76" i="5" s="1"/>
  <c r="AA39" i="5"/>
  <c r="AA31" i="5"/>
  <c r="AA13" i="5"/>
  <c r="AA202" i="5" s="1"/>
  <c r="AA131" i="5"/>
  <c r="AA107" i="5"/>
  <c r="AA37" i="5"/>
  <c r="AA35" i="5"/>
  <c r="AA32" i="5"/>
  <c r="AA45" i="5" s="1" a="1"/>
  <c r="AA45" i="5" s="1"/>
  <c r="AA40" i="5"/>
  <c r="AA24" i="5"/>
  <c r="AB5" i="5"/>
  <c r="AA36" i="5"/>
  <c r="AA30" i="5"/>
  <c r="AA68" i="5" a="1"/>
  <c r="AA68" i="5" s="1"/>
  <c r="AA20" i="5"/>
  <c r="AA16" i="5"/>
  <c r="AA33" i="5"/>
  <c r="AA11" i="5"/>
  <c r="AA6" i="5"/>
  <c r="AA18" i="5" s="1"/>
  <c r="Z170" i="5"/>
  <c r="AC4" i="6"/>
  <c r="Z4" i="7"/>
  <c r="Z3" i="7" s="1"/>
  <c r="AB5" i="6"/>
  <c r="Q157" i="5"/>
  <c r="Q137" i="5"/>
  <c r="Q79" i="5"/>
  <c r="Q177" i="5"/>
  <c r="R35" i="5"/>
  <c r="AA196" i="5"/>
  <c r="AA195" i="5"/>
  <c r="S160" i="5"/>
  <c r="S140" i="5"/>
  <c r="T38" i="5"/>
  <c r="AA96" i="5" l="1"/>
  <c r="AA95" i="5" s="1"/>
  <c r="BI114" i="7"/>
  <c r="BI112" i="7"/>
  <c r="BI110" i="7"/>
  <c r="BI108" i="7"/>
  <c r="BI106" i="7"/>
  <c r="BI104" i="7"/>
  <c r="BI102" i="7"/>
  <c r="BI100" i="7"/>
  <c r="BI98" i="7"/>
  <c r="BI96" i="7"/>
  <c r="BI94" i="7"/>
  <c r="BI92" i="7"/>
  <c r="BI90" i="7"/>
  <c r="BI88" i="7"/>
  <c r="BI87" i="7"/>
  <c r="BI89" i="7"/>
  <c r="BI84" i="7"/>
  <c r="BI111" i="7"/>
  <c r="BI113" i="7"/>
  <c r="BI82" i="7"/>
  <c r="BI80" i="7"/>
  <c r="BI73" i="7"/>
  <c r="BI103" i="7"/>
  <c r="BI95" i="7"/>
  <c r="BI74" i="7"/>
  <c r="BI85" i="7"/>
  <c r="BI77" i="7"/>
  <c r="BI105" i="7"/>
  <c r="BI109" i="7"/>
  <c r="BI101" i="7"/>
  <c r="BI93" i="7"/>
  <c r="BI75" i="7"/>
  <c r="BI71" i="7"/>
  <c r="BI69" i="7"/>
  <c r="BI91" i="7"/>
  <c r="BI81" i="7"/>
  <c r="BI64" i="7"/>
  <c r="BI107" i="7"/>
  <c r="BI70" i="7"/>
  <c r="BI67" i="7"/>
  <c r="BI61" i="7"/>
  <c r="BI97" i="7"/>
  <c r="BI86" i="7"/>
  <c r="BI76" i="7"/>
  <c r="BI78" i="7"/>
  <c r="BI65" i="7"/>
  <c r="BI79" i="7"/>
  <c r="BI72" i="7"/>
  <c r="BI63" i="7"/>
  <c r="BI58" i="7"/>
  <c r="BI57" i="7"/>
  <c r="BI59" i="7"/>
  <c r="BI55" i="7"/>
  <c r="BI62" i="7"/>
  <c r="BI99" i="7"/>
  <c r="BI68" i="7"/>
  <c r="BI66" i="7"/>
  <c r="BI60" i="7"/>
  <c r="BI56" i="7"/>
  <c r="BI83" i="7"/>
  <c r="O153" i="5"/>
  <c r="O133" i="5"/>
  <c r="O173" i="5"/>
  <c r="P31" i="5"/>
  <c r="BH45" i="7" a="1"/>
  <c r="BH45" i="7" s="1"/>
  <c r="BH50" i="7" a="1"/>
  <c r="BH50" i="7" s="1"/>
  <c r="BH49" i="7" a="1"/>
  <c r="BH49" i="7" s="1"/>
  <c r="BH43" i="7" a="1"/>
  <c r="BH43" i="7" s="1"/>
  <c r="BH48" i="7" a="1"/>
  <c r="BH48" i="7" s="1"/>
  <c r="BH47" i="7" a="1"/>
  <c r="BH47" i="7" s="1"/>
  <c r="BH44" i="7" a="1"/>
  <c r="BH44" i="7" s="1"/>
  <c r="BH46" i="7" a="1"/>
  <c r="BH46" i="7" s="1"/>
  <c r="BH37" i="7" a="1"/>
  <c r="BH37" i="7" s="1"/>
  <c r="BH38" i="7" a="1"/>
  <c r="BH38" i="7" s="1"/>
  <c r="BH42" i="7" a="1"/>
  <c r="BH42" i="7" s="1"/>
  <c r="BH31" i="7" a="1"/>
  <c r="BH31" i="7" s="1"/>
  <c r="BH27" i="7" a="1"/>
  <c r="BH27" i="7" s="1"/>
  <c r="BH23" i="7" a="1"/>
  <c r="BH23" i="7" s="1"/>
  <c r="BH40" i="7" a="1"/>
  <c r="BH40" i="7" s="1"/>
  <c r="BH39" i="7" a="1"/>
  <c r="BH39" i="7" s="1"/>
  <c r="BH36" i="7" a="1"/>
  <c r="BH36" i="7" s="1"/>
  <c r="BH41" i="7" a="1"/>
  <c r="BH41" i="7" s="1"/>
  <c r="BH32" i="7" a="1"/>
  <c r="BH32" i="7" s="1"/>
  <c r="BH30" i="7" a="1"/>
  <c r="BH30" i="7" s="1"/>
  <c r="BH22" i="7" a="1"/>
  <c r="BH22" i="7" s="1"/>
  <c r="BH29" i="7" a="1"/>
  <c r="BH29" i="7" s="1"/>
  <c r="BH28" i="7" a="1"/>
  <c r="BH28" i="7" s="1"/>
  <c r="BH26" i="7" a="1"/>
  <c r="BH26" i="7" s="1"/>
  <c r="BH21" i="7" a="1"/>
  <c r="BH21" i="7" s="1"/>
  <c r="BH20" i="7" s="1"/>
  <c r="BH18" i="7" a="1"/>
  <c r="BH18" i="7" s="1"/>
  <c r="BH25" i="7" a="1"/>
  <c r="BH25" i="7" s="1"/>
  <c r="BH24" i="7" a="1"/>
  <c r="BH24" i="7" s="1"/>
  <c r="BH16" i="7" a="1"/>
  <c r="BH16" i="7" s="1"/>
  <c r="BH15" i="7" a="1"/>
  <c r="BH15" i="7" s="1"/>
  <c r="BH14" i="7" a="1"/>
  <c r="BH14" i="7" s="1"/>
  <c r="BH17" i="7" a="1"/>
  <c r="BH17" i="7" s="1"/>
  <c r="BH12" i="7" a="1"/>
  <c r="BH12" i="7" s="1"/>
  <c r="BH11" i="7" a="1"/>
  <c r="BH11" i="7" s="1"/>
  <c r="BH13" i="7" a="1"/>
  <c r="BH13" i="7" s="1"/>
  <c r="BH9" i="7" a="1"/>
  <c r="BH9" i="7" s="1"/>
  <c r="BH7" i="7" a="1"/>
  <c r="BH7" i="7" s="1"/>
  <c r="BH51" i="7" s="1"/>
  <c r="BH8" i="7" a="1"/>
  <c r="BH8" i="7" s="1"/>
  <c r="BG19" i="7"/>
  <c r="AB19" i="5"/>
  <c r="T161" i="5"/>
  <c r="T141" i="5"/>
  <c r="U39" i="5"/>
  <c r="N20" i="5"/>
  <c r="N19" i="5"/>
  <c r="N51" i="5"/>
  <c r="N58" i="5" s="1"/>
  <c r="M44" i="5"/>
  <c r="M170" i="5"/>
  <c r="M180" i="5" s="1"/>
  <c r="M181" i="5" s="1"/>
  <c r="M150" i="5"/>
  <c r="M165" i="5" s="1"/>
  <c r="M166" i="5" s="1"/>
  <c r="M130" i="5"/>
  <c r="M145" i="5" s="1"/>
  <c r="M146" i="5" s="1"/>
  <c r="M183" i="5" s="1" a="1"/>
  <c r="M183" i="5" s="1"/>
  <c r="M45" i="5" a="1"/>
  <c r="M45" i="5" s="1"/>
  <c r="N66" i="5"/>
  <c r="N64" i="5" s="1"/>
  <c r="N28" i="5"/>
  <c r="N18" i="5"/>
  <c r="N62" i="5" s="1"/>
  <c r="L55" i="5"/>
  <c r="L82" i="5"/>
  <c r="L81" i="5"/>
  <c r="L74" i="5" s="1"/>
  <c r="L72" i="5" s="1"/>
  <c r="L71" i="5" s="1"/>
  <c r="P175" i="5"/>
  <c r="P155" i="5"/>
  <c r="P135" i="5"/>
  <c r="Q33" i="5"/>
  <c r="R178" i="5"/>
  <c r="S179" i="5" s="1"/>
  <c r="R138" i="5"/>
  <c r="R158" i="5"/>
  <c r="S36" i="5"/>
  <c r="AA103" i="5"/>
  <c r="N221" i="5"/>
  <c r="M223" i="5"/>
  <c r="AA4" i="7"/>
  <c r="AA3" i="7" s="1"/>
  <c r="AC5" i="6"/>
  <c r="AD4" i="6"/>
  <c r="AB196" i="5"/>
  <c r="AB195" i="5"/>
  <c r="U143" i="5"/>
  <c r="U163" i="5"/>
  <c r="V41" i="5"/>
  <c r="AA62" i="5"/>
  <c r="AA61" i="5" s="1"/>
  <c r="AA77" i="5" s="1"/>
  <c r="AB180" i="5"/>
  <c r="AB178" i="5"/>
  <c r="AB176" i="5"/>
  <c r="AB174" i="5"/>
  <c r="AB172" i="5"/>
  <c r="AB170" i="5"/>
  <c r="AB165" i="5"/>
  <c r="AB163" i="5"/>
  <c r="AB161" i="5"/>
  <c r="AB159" i="5"/>
  <c r="AB157" i="5"/>
  <c r="AB155" i="5"/>
  <c r="AB153" i="5"/>
  <c r="AB151" i="5"/>
  <c r="AB146" i="5"/>
  <c r="AB183" i="5" s="1" a="1"/>
  <c r="AB183" i="5" s="1"/>
  <c r="AB144" i="5"/>
  <c r="AB142" i="5"/>
  <c r="AB140" i="5"/>
  <c r="AB138" i="5"/>
  <c r="AB136" i="5"/>
  <c r="AB134" i="5"/>
  <c r="AB132" i="5"/>
  <c r="AB130" i="5"/>
  <c r="AB181" i="5"/>
  <c r="AB173" i="5"/>
  <c r="AB160" i="5"/>
  <c r="AB197" i="5"/>
  <c r="AC193" i="5" s="1"/>
  <c r="AB179" i="5"/>
  <c r="AB158" i="5"/>
  <c r="AB154" i="5"/>
  <c r="AB150" i="5"/>
  <c r="AB143" i="5"/>
  <c r="AB104" i="5"/>
  <c r="AB100" i="5"/>
  <c r="AB99" i="5" s="1"/>
  <c r="P51" i="3" s="1"/>
  <c r="AB93" i="5"/>
  <c r="AB68" i="5" a="1"/>
  <c r="AB68" i="5" s="1"/>
  <c r="AB166" i="5"/>
  <c r="AB162" i="5"/>
  <c r="AB141" i="5"/>
  <c r="AB106" i="5"/>
  <c r="P55" i="3" s="1"/>
  <c r="AB82" i="5"/>
  <c r="AB50" i="5"/>
  <c r="AB59" i="5" s="1"/>
  <c r="AB76" i="5" s="1"/>
  <c r="AB175" i="5"/>
  <c r="AB131" i="5"/>
  <c r="AB78" i="5"/>
  <c r="AB41" i="5"/>
  <c r="AB39" i="5"/>
  <c r="AB37" i="5"/>
  <c r="AB177" i="5"/>
  <c r="AB164" i="5"/>
  <c r="AB139" i="5"/>
  <c r="AB107" i="5"/>
  <c r="P56" i="3" s="1"/>
  <c r="AB105" i="5"/>
  <c r="P54" i="3" s="1"/>
  <c r="AB137" i="5"/>
  <c r="AB30" i="5"/>
  <c r="AB28" i="5"/>
  <c r="AB152" i="5"/>
  <c r="AB81" i="5"/>
  <c r="AB156" i="5"/>
  <c r="AB135" i="5"/>
  <c r="AB171" i="5"/>
  <c r="AB145" i="5"/>
  <c r="AB133" i="5"/>
  <c r="AB35" i="5"/>
  <c r="AB33" i="5"/>
  <c r="AB31" i="5"/>
  <c r="AB17" i="5"/>
  <c r="AB79" i="5"/>
  <c r="AB13" i="5"/>
  <c r="AB202" i="5" s="1"/>
  <c r="AC5" i="5"/>
  <c r="AB38" i="5"/>
  <c r="AB32" i="5"/>
  <c r="AB40" i="5"/>
  <c r="AB29" i="5"/>
  <c r="AB24" i="5"/>
  <c r="AB14" i="5"/>
  <c r="AB36" i="5"/>
  <c r="AB11" i="5"/>
  <c r="AB66" i="5"/>
  <c r="AB64" i="5" s="1"/>
  <c r="AB34" i="5"/>
  <c r="AB20" i="5"/>
  <c r="AB16" i="5"/>
  <c r="AB27" i="5"/>
  <c r="AB12" i="5"/>
  <c r="AB6" i="5"/>
  <c r="AB18" i="5" s="1"/>
  <c r="AB62" i="5" s="1"/>
  <c r="AB61" i="5" s="1"/>
  <c r="AB77" i="5" s="1"/>
  <c r="AA44" i="5"/>
  <c r="AB51" i="5"/>
  <c r="AB58" i="5" s="1"/>
  <c r="AA21" i="5"/>
  <c r="AA57" i="5"/>
  <c r="AA55" i="5" s="1"/>
  <c r="AA75" i="5"/>
  <c r="AA74" i="5" s="1"/>
  <c r="AA72" i="5" s="1"/>
  <c r="BG33" i="7"/>
  <c r="BG10" i="7"/>
  <c r="AB44" i="5" l="1"/>
  <c r="AC51" i="5"/>
  <c r="AC58" i="5" s="1"/>
  <c r="AA71" i="5"/>
  <c r="AA189" i="5" s="1"/>
  <c r="M47" i="5"/>
  <c r="M50" i="5"/>
  <c r="M59" i="5" s="1"/>
  <c r="BH10" i="7"/>
  <c r="BI44" i="7" a="1"/>
  <c r="BI44" i="7" s="1"/>
  <c r="BI50" i="7" a="1"/>
  <c r="BI50" i="7" s="1"/>
  <c r="BI48" i="7" a="1"/>
  <c r="BI48" i="7" s="1"/>
  <c r="BI45" i="7" a="1"/>
  <c r="BI45" i="7" s="1"/>
  <c r="BI41" i="7" a="1"/>
  <c r="BI41" i="7" s="1"/>
  <c r="BI49" i="7" a="1"/>
  <c r="BI49" i="7" s="1"/>
  <c r="BI47" i="7" a="1"/>
  <c r="BI47" i="7" s="1"/>
  <c r="BI43" i="7" a="1"/>
  <c r="BI43" i="7" s="1"/>
  <c r="BI46" i="7" a="1"/>
  <c r="BI46" i="7" s="1"/>
  <c r="BI42" i="7" a="1"/>
  <c r="BI42" i="7" s="1"/>
  <c r="BI31" i="7" a="1"/>
  <c r="BI31" i="7" s="1"/>
  <c r="BI39" i="7" a="1"/>
  <c r="BI39" i="7" s="1"/>
  <c r="BI36" i="7" a="1"/>
  <c r="BI36" i="7" s="1"/>
  <c r="BI40" i="7" a="1"/>
  <c r="BI40" i="7" s="1"/>
  <c r="BI37" i="7" a="1"/>
  <c r="BI37" i="7" s="1"/>
  <c r="BI38" i="7" a="1"/>
  <c r="BI38" i="7" s="1"/>
  <c r="BI32" i="7" a="1"/>
  <c r="BI32" i="7" s="1"/>
  <c r="BI28" i="7" a="1"/>
  <c r="BI28" i="7" s="1"/>
  <c r="BI29" i="7" a="1"/>
  <c r="BI29" i="7" s="1"/>
  <c r="BI15" i="7" a="1"/>
  <c r="BI15" i="7" s="1"/>
  <c r="BI18" i="7" a="1"/>
  <c r="BI18" i="7" s="1"/>
  <c r="BI26" i="7" a="1"/>
  <c r="BI26" i="7" s="1"/>
  <c r="BI21" i="7" a="1"/>
  <c r="BI21" i="7" s="1"/>
  <c r="BI20" i="7" s="1"/>
  <c r="BI17" i="7" a="1"/>
  <c r="BI17" i="7" s="1"/>
  <c r="BI27" i="7" a="1"/>
  <c r="BI27" i="7" s="1"/>
  <c r="BI25" i="7" a="1"/>
  <c r="BI25" i="7" s="1"/>
  <c r="BI30" i="7" a="1"/>
  <c r="BI30" i="7" s="1"/>
  <c r="BI24" i="7" a="1"/>
  <c r="BI24" i="7" s="1"/>
  <c r="BI23" i="7" a="1"/>
  <c r="BI23" i="7" s="1"/>
  <c r="BI12" i="7" a="1"/>
  <c r="BI12" i="7" s="1"/>
  <c r="BI9" i="7" a="1"/>
  <c r="BI9" i="7" s="1"/>
  <c r="BI16" i="7" a="1"/>
  <c r="BI16" i="7" s="1"/>
  <c r="BI22" i="7" a="1"/>
  <c r="BI22" i="7" s="1"/>
  <c r="BI11" i="7" a="1"/>
  <c r="BI11" i="7" s="1"/>
  <c r="BI13" i="7" a="1"/>
  <c r="BI13" i="7" s="1"/>
  <c r="BI14" i="7" a="1"/>
  <c r="BI14" i="7" s="1"/>
  <c r="BI8" i="7" a="1"/>
  <c r="BI8" i="7" s="1"/>
  <c r="BI7" i="7" a="1"/>
  <c r="BI7" i="7" s="1"/>
  <c r="BI51" i="7" s="1"/>
  <c r="AA188" i="5"/>
  <c r="AA187" i="5"/>
  <c r="AC196" i="5"/>
  <c r="AC195" i="5"/>
  <c r="S139" i="5"/>
  <c r="S159" i="5"/>
  <c r="T37" i="5"/>
  <c r="U162" i="5"/>
  <c r="U142" i="5"/>
  <c r="V40" i="5"/>
  <c r="AD5" i="6"/>
  <c r="AE4" i="6"/>
  <c r="AB4" i="7"/>
  <c r="AB3" i="7" s="1"/>
  <c r="AB75" i="5"/>
  <c r="AB74" i="5" s="1"/>
  <c r="AB72" i="5" s="1"/>
  <c r="AB57" i="5"/>
  <c r="AB55" i="5" s="1"/>
  <c r="AB103" i="5"/>
  <c r="P53" i="3"/>
  <c r="L189" i="5"/>
  <c r="L187" i="5"/>
  <c r="L188" i="5"/>
  <c r="BH19" i="7"/>
  <c r="BH33" i="7" s="1"/>
  <c r="AA46" i="5"/>
  <c r="AB209" i="5" s="1"/>
  <c r="AB213" i="5" s="1"/>
  <c r="AC19" i="5"/>
  <c r="AC21" i="5" s="1"/>
  <c r="AC197" i="5"/>
  <c r="AD193" i="5" s="1"/>
  <c r="AC176" i="5"/>
  <c r="AC170" i="5"/>
  <c r="AC158" i="5"/>
  <c r="AC151" i="5"/>
  <c r="AC180" i="5"/>
  <c r="AC166" i="5"/>
  <c r="AC162" i="5"/>
  <c r="AC141" i="5"/>
  <c r="AC134" i="5"/>
  <c r="AC106" i="5"/>
  <c r="AC82" i="5"/>
  <c r="AC50" i="5"/>
  <c r="AC181" i="5"/>
  <c r="AC139" i="5"/>
  <c r="AC132" i="5"/>
  <c r="AC79" i="5"/>
  <c r="AC40" i="5"/>
  <c r="AC177" i="5"/>
  <c r="AC165" i="5"/>
  <c r="AC161" i="5"/>
  <c r="AC157" i="5"/>
  <c r="AC153" i="5"/>
  <c r="AC145" i="5"/>
  <c r="AC138" i="5"/>
  <c r="AC68" i="5" a="1"/>
  <c r="AC68" i="5" s="1"/>
  <c r="AC163" i="5"/>
  <c r="AC143" i="5"/>
  <c r="AC171" i="5"/>
  <c r="AC179" i="5"/>
  <c r="AC178" i="5"/>
  <c r="AC159" i="5"/>
  <c r="AC152" i="5"/>
  <c r="AC144" i="5"/>
  <c r="AC137" i="5"/>
  <c r="AC174" i="5"/>
  <c r="AC104" i="5"/>
  <c r="AC30" i="5"/>
  <c r="AC28" i="5"/>
  <c r="AC150" i="5"/>
  <c r="AC81" i="5"/>
  <c r="AC36" i="5"/>
  <c r="AC34" i="5"/>
  <c r="AC32" i="5"/>
  <c r="AC24" i="5"/>
  <c r="AC20" i="5"/>
  <c r="AC173" i="5"/>
  <c r="AC164" i="5"/>
  <c r="AC156" i="5"/>
  <c r="AC142" i="5"/>
  <c r="AC135" i="5"/>
  <c r="AC130" i="5"/>
  <c r="AC172" i="5"/>
  <c r="AC155" i="5"/>
  <c r="AC154" i="5"/>
  <c r="AC146" i="5"/>
  <c r="AC183" i="5" s="1" a="1"/>
  <c r="AC183" i="5" s="1"/>
  <c r="AC93" i="5"/>
  <c r="AC133" i="5"/>
  <c r="AC100" i="5"/>
  <c r="AC99" i="5" s="1"/>
  <c r="AC78" i="5"/>
  <c r="AC140" i="5"/>
  <c r="AC136" i="5"/>
  <c r="AC131" i="5"/>
  <c r="AC107" i="5"/>
  <c r="AC66" i="5"/>
  <c r="AC64" i="5" s="1"/>
  <c r="AC41" i="5"/>
  <c r="AC38" i="5"/>
  <c r="AC14" i="5"/>
  <c r="AC12" i="5"/>
  <c r="AC39" i="5"/>
  <c r="AC31" i="5"/>
  <c r="AC105" i="5"/>
  <c r="AC175" i="5"/>
  <c r="AC160" i="5"/>
  <c r="AC37" i="5"/>
  <c r="AC35" i="5"/>
  <c r="AC29" i="5"/>
  <c r="AD5" i="5"/>
  <c r="AC11" i="5"/>
  <c r="AD19" i="5" s="1"/>
  <c r="AC16" i="5"/>
  <c r="AC33" i="5"/>
  <c r="AC27" i="5"/>
  <c r="AC45" i="5" s="1" a="1"/>
  <c r="AC45" i="5" s="1"/>
  <c r="AC13" i="5"/>
  <c r="AC202" i="5" s="1"/>
  <c r="AC17" i="5"/>
  <c r="AC6" i="5"/>
  <c r="AC18" i="5" s="1"/>
  <c r="AB45" i="5" a="1"/>
  <c r="AB45" i="5" s="1"/>
  <c r="AB47" i="5" s="1"/>
  <c r="M46" i="5"/>
  <c r="N209" i="5" s="1"/>
  <c r="N213" i="5" s="1"/>
  <c r="AB21" i="5"/>
  <c r="V144" i="5"/>
  <c r="V164" i="5"/>
  <c r="Q156" i="5"/>
  <c r="Q136" i="5"/>
  <c r="Q176" i="5"/>
  <c r="R34" i="5"/>
  <c r="N61" i="5"/>
  <c r="N77" i="5" s="1"/>
  <c r="N75" i="5"/>
  <c r="P174" i="5"/>
  <c r="P154" i="5"/>
  <c r="P78" i="5"/>
  <c r="P134" i="5"/>
  <c r="Q32" i="5"/>
  <c r="N151" i="5"/>
  <c r="N171" i="5"/>
  <c r="N131" i="5"/>
  <c r="O29" i="5"/>
  <c r="N21" i="5"/>
  <c r="AA47" i="5"/>
  <c r="N222" i="5" l="1"/>
  <c r="N214" i="5"/>
  <c r="AB222" i="5"/>
  <c r="AB214" i="5"/>
  <c r="AC103" i="5"/>
  <c r="AC59" i="5"/>
  <c r="AB71" i="5"/>
  <c r="AB187" i="5" s="1"/>
  <c r="T140" i="5"/>
  <c r="T160" i="5"/>
  <c r="U38" i="5"/>
  <c r="M76" i="5"/>
  <c r="M57" i="5"/>
  <c r="AC4" i="7"/>
  <c r="AC3" i="7" s="1"/>
  <c r="AE5" i="6"/>
  <c r="AF4" i="6"/>
  <c r="Q155" i="5"/>
  <c r="Q175" i="5"/>
  <c r="Q135" i="5"/>
  <c r="R33" i="5"/>
  <c r="N24" i="5"/>
  <c r="N27" i="5" s="1"/>
  <c r="N17" i="5"/>
  <c r="AC44" i="5"/>
  <c r="AD51" i="5"/>
  <c r="AD58" i="5" s="1"/>
  <c r="R157" i="5"/>
  <c r="R137" i="5"/>
  <c r="R79" i="5"/>
  <c r="R177" i="5"/>
  <c r="S35" i="5"/>
  <c r="O172" i="5"/>
  <c r="O152" i="5"/>
  <c r="O132" i="5"/>
  <c r="P30" i="5"/>
  <c r="AD197" i="5"/>
  <c r="AE193" i="5" s="1"/>
  <c r="AD180" i="5"/>
  <c r="AD178" i="5"/>
  <c r="AD176" i="5"/>
  <c r="AD174" i="5"/>
  <c r="AD172" i="5"/>
  <c r="AD179" i="5"/>
  <c r="AD165" i="5"/>
  <c r="AD156" i="5"/>
  <c r="AD181" i="5"/>
  <c r="AD139" i="5"/>
  <c r="AD132" i="5"/>
  <c r="AD79" i="5"/>
  <c r="AD163" i="5"/>
  <c r="AD159" i="5"/>
  <c r="AD155" i="5"/>
  <c r="AD151" i="5"/>
  <c r="AD146" i="5"/>
  <c r="AD183" i="5" s="1" a="1"/>
  <c r="AD183" i="5" s="1"/>
  <c r="AD137" i="5"/>
  <c r="AD130" i="5"/>
  <c r="AD66" i="5"/>
  <c r="AD64" i="5" s="1"/>
  <c r="AD154" i="5"/>
  <c r="AD150" i="5"/>
  <c r="AD143" i="5"/>
  <c r="AD136" i="5"/>
  <c r="AD104" i="5"/>
  <c r="AD100" i="5"/>
  <c r="AD99" i="5" s="1"/>
  <c r="AD93" i="5"/>
  <c r="AD171" i="5"/>
  <c r="AD158" i="5"/>
  <c r="AD153" i="5"/>
  <c r="AD142" i="5"/>
  <c r="AD175" i="5"/>
  <c r="AD170" i="5"/>
  <c r="AD162" i="5"/>
  <c r="AD177" i="5"/>
  <c r="AD166" i="5"/>
  <c r="AD152" i="5"/>
  <c r="AD144" i="5"/>
  <c r="AD140" i="5"/>
  <c r="AD106" i="5"/>
  <c r="AD105" i="5"/>
  <c r="AD81" i="5"/>
  <c r="AD36" i="5"/>
  <c r="AD34" i="5"/>
  <c r="AD32" i="5"/>
  <c r="AD24" i="5"/>
  <c r="AD20" i="5"/>
  <c r="AD21" i="5" s="1"/>
  <c r="AD173" i="5"/>
  <c r="AD164" i="5"/>
  <c r="AD135" i="5"/>
  <c r="AD68" i="5" a="1"/>
  <c r="AD68" i="5" s="1"/>
  <c r="AD50" i="5"/>
  <c r="AD59" i="5" s="1"/>
  <c r="AD76" i="5" s="1"/>
  <c r="AD39" i="5"/>
  <c r="AD16" i="5"/>
  <c r="AD13" i="5"/>
  <c r="AD202" i="5" s="1"/>
  <c r="AD138" i="5"/>
  <c r="AD161" i="5"/>
  <c r="AD157" i="5"/>
  <c r="AD133" i="5"/>
  <c r="AD82" i="5"/>
  <c r="AD145" i="5"/>
  <c r="AD141" i="5"/>
  <c r="AD78" i="5"/>
  <c r="AD131" i="5"/>
  <c r="AD107" i="5"/>
  <c r="AD160" i="5"/>
  <c r="AD38" i="5"/>
  <c r="AD37" i="5"/>
  <c r="AD35" i="5"/>
  <c r="AD29" i="5"/>
  <c r="AE5" i="5"/>
  <c r="AD40" i="5"/>
  <c r="AD14" i="5"/>
  <c r="AD11" i="5"/>
  <c r="AD33" i="5"/>
  <c r="AD30" i="5"/>
  <c r="AD27" i="5"/>
  <c r="AD134" i="5"/>
  <c r="AD31" i="5"/>
  <c r="AD41" i="5"/>
  <c r="AD28" i="5"/>
  <c r="AD17" i="5"/>
  <c r="AD12" i="5"/>
  <c r="AD6" i="5"/>
  <c r="AD18" i="5" s="1"/>
  <c r="AD62" i="5" s="1"/>
  <c r="AD61" i="5" s="1"/>
  <c r="AD77" i="5" s="1"/>
  <c r="V163" i="5"/>
  <c r="V143" i="5"/>
  <c r="W41" i="5"/>
  <c r="AC62" i="5"/>
  <c r="AC75" i="5"/>
  <c r="AC57" i="5"/>
  <c r="AD196" i="5"/>
  <c r="AD195" i="5"/>
  <c r="P52" i="3"/>
  <c r="BI33" i="7"/>
  <c r="BI10" i="7"/>
  <c r="BI19" i="7"/>
  <c r="AC209" i="5"/>
  <c r="AC213" i="5" s="1"/>
  <c r="AB46" i="5"/>
  <c r="AB96" i="5"/>
  <c r="AB95" i="5" s="1"/>
  <c r="P173" i="5" l="1"/>
  <c r="P153" i="5"/>
  <c r="P133" i="5"/>
  <c r="Q31" i="5"/>
  <c r="AE195" i="5"/>
  <c r="AE196" i="5"/>
  <c r="AE51" i="5"/>
  <c r="AE58" i="5" s="1"/>
  <c r="AD44" i="5"/>
  <c r="AC46" i="5"/>
  <c r="AD209" i="5" s="1"/>
  <c r="AD213" i="5" s="1"/>
  <c r="AC61" i="5"/>
  <c r="U141" i="5"/>
  <c r="U161" i="5"/>
  <c r="V39" i="5"/>
  <c r="AB189" i="5"/>
  <c r="AC222" i="5"/>
  <c r="AC214" i="5"/>
  <c r="P21" i="3"/>
  <c r="W164" i="5"/>
  <c r="W144" i="5"/>
  <c r="AE107" i="5"/>
  <c r="AE105" i="5"/>
  <c r="AE163" i="5"/>
  <c r="AE154" i="5"/>
  <c r="AE159" i="5"/>
  <c r="AE155" i="5"/>
  <c r="AE151" i="5"/>
  <c r="AE146" i="5"/>
  <c r="AE183" i="5" s="1" a="1"/>
  <c r="AE183" i="5" s="1"/>
  <c r="AE137" i="5"/>
  <c r="AE130" i="5"/>
  <c r="AE66" i="5"/>
  <c r="AE64" i="5" s="1"/>
  <c r="AE170" i="5"/>
  <c r="AE152" i="5"/>
  <c r="AE144" i="5"/>
  <c r="AE135" i="5"/>
  <c r="AE179" i="5"/>
  <c r="AE178" i="5"/>
  <c r="AE166" i="5"/>
  <c r="AE162" i="5"/>
  <c r="AE158" i="5"/>
  <c r="AE141" i="5"/>
  <c r="AE134" i="5"/>
  <c r="AE106" i="5"/>
  <c r="AE82" i="5"/>
  <c r="AE50" i="5"/>
  <c r="AE197" i="5"/>
  <c r="AF193" i="5" s="1"/>
  <c r="AE156" i="5"/>
  <c r="AE181" i="5"/>
  <c r="AE161" i="5"/>
  <c r="AE176" i="5"/>
  <c r="AE174" i="5"/>
  <c r="AE173" i="5"/>
  <c r="AE160" i="5"/>
  <c r="AE153" i="5"/>
  <c r="AE180" i="5"/>
  <c r="AE142" i="5"/>
  <c r="AE165" i="5"/>
  <c r="AE164" i="5"/>
  <c r="AE157" i="5"/>
  <c r="AE150" i="5"/>
  <c r="AE145" i="5"/>
  <c r="AE143" i="5"/>
  <c r="AE139" i="5"/>
  <c r="AE132" i="5"/>
  <c r="AE39" i="5"/>
  <c r="AE16" i="5"/>
  <c r="AE13" i="5"/>
  <c r="AE202" i="5" s="1"/>
  <c r="AE138" i="5"/>
  <c r="AE40" i="5"/>
  <c r="AE37" i="5"/>
  <c r="AE11" i="5"/>
  <c r="AE172" i="5"/>
  <c r="AE133" i="5"/>
  <c r="AE93" i="5"/>
  <c r="AE177" i="5"/>
  <c r="AE78" i="5"/>
  <c r="AE171" i="5"/>
  <c r="AE131" i="5"/>
  <c r="AE100" i="5"/>
  <c r="AE99" i="5" s="1"/>
  <c r="AE140" i="5"/>
  <c r="AE136" i="5"/>
  <c r="AE175" i="5"/>
  <c r="AE79" i="5"/>
  <c r="AE30" i="5"/>
  <c r="AE28" i="5"/>
  <c r="AE45" i="5" s="1" a="1"/>
  <c r="AE45" i="5" s="1"/>
  <c r="AE38" i="5"/>
  <c r="AE35" i="5"/>
  <c r="AE29" i="5"/>
  <c r="AF5" i="5"/>
  <c r="AE32" i="5"/>
  <c r="AE14" i="5"/>
  <c r="AE24" i="5"/>
  <c r="AE36" i="5"/>
  <c r="AE33" i="5"/>
  <c r="AE27" i="5"/>
  <c r="AE81" i="5"/>
  <c r="AE68" i="5" a="1"/>
  <c r="AE68" i="5" s="1"/>
  <c r="AE12" i="5"/>
  <c r="AE104" i="5"/>
  <c r="AE41" i="5"/>
  <c r="AE20" i="5"/>
  <c r="AE34" i="5"/>
  <c r="AE17" i="5"/>
  <c r="AE31" i="5"/>
  <c r="AE6" i="5"/>
  <c r="AE18" i="5" s="1"/>
  <c r="AD103" i="5"/>
  <c r="S158" i="5"/>
  <c r="S178" i="5"/>
  <c r="T179" i="5" s="1"/>
  <c r="S138" i="5"/>
  <c r="T36" i="5"/>
  <c r="O19" i="5"/>
  <c r="O21" i="5" s="1"/>
  <c r="O20" i="5"/>
  <c r="N44" i="5"/>
  <c r="O51" i="5"/>
  <c r="O58" i="5" s="1"/>
  <c r="N45" i="5" a="1"/>
  <c r="N45" i="5" s="1"/>
  <c r="N170" i="5"/>
  <c r="N180" i="5" s="1"/>
  <c r="N181" i="5" s="1"/>
  <c r="N150" i="5"/>
  <c r="N165" i="5" s="1"/>
  <c r="N166" i="5" s="1"/>
  <c r="N130" i="5"/>
  <c r="N145" i="5" s="1"/>
  <c r="N146" i="5" s="1"/>
  <c r="N183" i="5" s="1" a="1"/>
  <c r="N183" i="5" s="1"/>
  <c r="O28" i="5"/>
  <c r="O18" i="5"/>
  <c r="O62" i="5" s="1"/>
  <c r="AF5" i="6"/>
  <c r="AD4" i="7"/>
  <c r="AD3" i="7" s="1"/>
  <c r="AG4" i="6"/>
  <c r="AC221" i="5"/>
  <c r="AB223" i="5"/>
  <c r="O221" i="5"/>
  <c r="N223" i="5"/>
  <c r="AB188" i="5"/>
  <c r="AC76" i="5"/>
  <c r="AC47" i="5"/>
  <c r="AE19" i="5"/>
  <c r="AD45" i="5" a="1"/>
  <c r="AD45" i="5" s="1"/>
  <c r="AD75" i="5"/>
  <c r="AD74" i="5" s="1"/>
  <c r="AD72" i="5" s="1"/>
  <c r="AD57" i="5"/>
  <c r="AD55" i="5" s="1"/>
  <c r="R176" i="5"/>
  <c r="R156" i="5"/>
  <c r="R136" i="5"/>
  <c r="S34" i="5"/>
  <c r="M55" i="5"/>
  <c r="M82" i="5"/>
  <c r="M81" i="5"/>
  <c r="M74" i="5" s="1"/>
  <c r="M72" i="5" s="1"/>
  <c r="M71" i="5" s="1"/>
  <c r="AC96" i="5"/>
  <c r="AD222" i="5" l="1"/>
  <c r="AD214" i="5"/>
  <c r="S79" i="5"/>
  <c r="S137" i="5"/>
  <c r="S177" i="5"/>
  <c r="S157" i="5"/>
  <c r="T35" i="5"/>
  <c r="O24" i="5"/>
  <c r="O27" i="5" s="1"/>
  <c r="AC77" i="5"/>
  <c r="AC74" i="5" s="1"/>
  <c r="AC55" i="5"/>
  <c r="T139" i="5"/>
  <c r="T159" i="5"/>
  <c r="U37" i="5"/>
  <c r="AF51" i="5"/>
  <c r="AF58" i="5" s="1"/>
  <c r="AE44" i="5"/>
  <c r="AF19" i="5"/>
  <c r="Q134" i="5"/>
  <c r="Q78" i="5"/>
  <c r="Q154" i="5"/>
  <c r="Q174" i="5"/>
  <c r="R32" i="5"/>
  <c r="AE4" i="7"/>
  <c r="AE3" i="7" s="1"/>
  <c r="AH4" i="6"/>
  <c r="AG5" i="6"/>
  <c r="AD221" i="5"/>
  <c r="AC223" i="5"/>
  <c r="N47" i="5"/>
  <c r="N50" i="5"/>
  <c r="N59" i="5" s="1"/>
  <c r="O75" i="5"/>
  <c r="AE59" i="5"/>
  <c r="AE57" i="5" s="1"/>
  <c r="V142" i="5"/>
  <c r="V162" i="5"/>
  <c r="W40" i="5"/>
  <c r="AD46" i="5"/>
  <c r="AE209" i="5" s="1"/>
  <c r="AE213" i="5" s="1"/>
  <c r="AD96" i="5"/>
  <c r="AD95" i="5" s="1"/>
  <c r="AD71" i="5" s="1"/>
  <c r="AF195" i="5"/>
  <c r="AF196" i="5"/>
  <c r="AC95" i="5"/>
  <c r="AD47" i="5"/>
  <c r="O131" i="5"/>
  <c r="O171" i="5"/>
  <c r="O151" i="5"/>
  <c r="P29" i="5"/>
  <c r="AE62" i="5"/>
  <c r="N46" i="5"/>
  <c r="O209" i="5" s="1"/>
  <c r="O213" i="5" s="1"/>
  <c r="AE103" i="5"/>
  <c r="AE75" i="5"/>
  <c r="M188" i="5"/>
  <c r="M189" i="5"/>
  <c r="M187" i="5"/>
  <c r="AE21" i="5"/>
  <c r="O66" i="5"/>
  <c r="O64" i="5" s="1"/>
  <c r="O61" i="5" s="1"/>
  <c r="O77" i="5" s="1"/>
  <c r="O17" i="5"/>
  <c r="AF181" i="5"/>
  <c r="AF179" i="5"/>
  <c r="AF177" i="5"/>
  <c r="AF175" i="5"/>
  <c r="AF173" i="5"/>
  <c r="AF171" i="5"/>
  <c r="AF166" i="5"/>
  <c r="AF164" i="5"/>
  <c r="AF162" i="5"/>
  <c r="AF160" i="5"/>
  <c r="AF158" i="5"/>
  <c r="AF156" i="5"/>
  <c r="AF154" i="5"/>
  <c r="AF152" i="5"/>
  <c r="AF150" i="5"/>
  <c r="AF145" i="5"/>
  <c r="AF143" i="5"/>
  <c r="AF141" i="5"/>
  <c r="AF139" i="5"/>
  <c r="AF137" i="5"/>
  <c r="AF135" i="5"/>
  <c r="AF133" i="5"/>
  <c r="AF131" i="5"/>
  <c r="AF174" i="5"/>
  <c r="AF161" i="5"/>
  <c r="AF170" i="5"/>
  <c r="AF163" i="5"/>
  <c r="AF144" i="5"/>
  <c r="AF68" i="5" a="1"/>
  <c r="AF68" i="5" s="1"/>
  <c r="AF172" i="5"/>
  <c r="AF142" i="5"/>
  <c r="AF107" i="5"/>
  <c r="AF81" i="5"/>
  <c r="AF197" i="5"/>
  <c r="AG193" i="5" s="1"/>
  <c r="AF180" i="5"/>
  <c r="AF132" i="5"/>
  <c r="AF79" i="5"/>
  <c r="AF40" i="5"/>
  <c r="AF38" i="5"/>
  <c r="AF151" i="5"/>
  <c r="AF140" i="5"/>
  <c r="AF178" i="5"/>
  <c r="AF159" i="5"/>
  <c r="AF138" i="5"/>
  <c r="AF136" i="5"/>
  <c r="AF50" i="5"/>
  <c r="AF59" i="5" s="1"/>
  <c r="AF76" i="5" s="1"/>
  <c r="AF37" i="5"/>
  <c r="AF11" i="5"/>
  <c r="AF130" i="5"/>
  <c r="AF93" i="5"/>
  <c r="AF29" i="5"/>
  <c r="AF27" i="5"/>
  <c r="AF157" i="5"/>
  <c r="AF155" i="5"/>
  <c r="AF153" i="5"/>
  <c r="AF146" i="5"/>
  <c r="AF183" i="5" s="1" a="1"/>
  <c r="AF183" i="5" s="1"/>
  <c r="AF106" i="5"/>
  <c r="AF82" i="5"/>
  <c r="AF100" i="5"/>
  <c r="AF99" i="5" s="1"/>
  <c r="AF176" i="5"/>
  <c r="AF165" i="5"/>
  <c r="AF134" i="5"/>
  <c r="AF105" i="5"/>
  <c r="AF104" i="5"/>
  <c r="AF36" i="5"/>
  <c r="AF34" i="5"/>
  <c r="AF32" i="5"/>
  <c r="AF24" i="5"/>
  <c r="AF20" i="5"/>
  <c r="AF14" i="5"/>
  <c r="AF16" i="5"/>
  <c r="AF12" i="5"/>
  <c r="AF33" i="5"/>
  <c r="AF30" i="5"/>
  <c r="AF17" i="5"/>
  <c r="AF41" i="5"/>
  <c r="AF31" i="5"/>
  <c r="AF45" i="5" s="1" a="1"/>
  <c r="AF45" i="5" s="1"/>
  <c r="AF78" i="5"/>
  <c r="AF66" i="5"/>
  <c r="AF64" i="5" s="1"/>
  <c r="AF35" i="5"/>
  <c r="AG5" i="5"/>
  <c r="AF28" i="5"/>
  <c r="AF39" i="5"/>
  <c r="AF13" i="5"/>
  <c r="AF202" i="5" s="1"/>
  <c r="AF6" i="5"/>
  <c r="AF18" i="5" s="1"/>
  <c r="AF62" i="5" s="1"/>
  <c r="AF61" i="5" s="1"/>
  <c r="AF77" i="5" s="1"/>
  <c r="P51" i="5" l="1"/>
  <c r="P58" i="5" s="1"/>
  <c r="O44" i="5"/>
  <c r="O130" i="5"/>
  <c r="O145" i="5" s="1"/>
  <c r="O146" i="5" s="1"/>
  <c r="O183" i="5" s="1" a="1"/>
  <c r="O183" i="5" s="1"/>
  <c r="O170" i="5"/>
  <c r="O180" i="5" s="1"/>
  <c r="O181" i="5" s="1"/>
  <c r="O150" i="5"/>
  <c r="O165" i="5" s="1"/>
  <c r="O166" i="5" s="1"/>
  <c r="O45" i="5" a="1"/>
  <c r="O45" i="5" s="1"/>
  <c r="P66" i="5" s="1"/>
  <c r="P64" i="5" s="1"/>
  <c r="O37" i="3" s="1"/>
  <c r="P28" i="5"/>
  <c r="P18" i="5"/>
  <c r="P62" i="5" s="1"/>
  <c r="AE55" i="5"/>
  <c r="O222" i="5"/>
  <c r="O214" i="5"/>
  <c r="AD187" i="5"/>
  <c r="AD188" i="5"/>
  <c r="AD189" i="5"/>
  <c r="AE222" i="5"/>
  <c r="AE214" i="5"/>
  <c r="AC72" i="5"/>
  <c r="AC71" i="5" s="1"/>
  <c r="AC188" i="5" s="1"/>
  <c r="P19" i="5"/>
  <c r="P21" i="5" s="1"/>
  <c r="P24" i="5" s="1"/>
  <c r="P20" i="5"/>
  <c r="AF21" i="5"/>
  <c r="AE61" i="5"/>
  <c r="W143" i="5"/>
  <c r="W163" i="5"/>
  <c r="X41" i="5"/>
  <c r="AF103" i="5"/>
  <c r="AG19" i="5"/>
  <c r="AI4" i="6"/>
  <c r="AH5" i="6"/>
  <c r="AF4" i="7"/>
  <c r="AF3" i="7" s="1"/>
  <c r="AE46" i="5"/>
  <c r="AE96" i="5"/>
  <c r="AE95" i="5" s="1"/>
  <c r="AE221" i="5"/>
  <c r="AD223" i="5"/>
  <c r="AE47" i="5"/>
  <c r="AF209" i="5" s="1"/>
  <c r="AF213" i="5" s="1"/>
  <c r="P132" i="5"/>
  <c r="P152" i="5"/>
  <c r="P172" i="5"/>
  <c r="Q30" i="5"/>
  <c r="N76" i="5"/>
  <c r="N57" i="5"/>
  <c r="AF57" i="5"/>
  <c r="AF55" i="5" s="1"/>
  <c r="AF75" i="5"/>
  <c r="AF74" i="5" s="1"/>
  <c r="AF72" i="5" s="1"/>
  <c r="AG51" i="5"/>
  <c r="AG58" i="5" s="1"/>
  <c r="AF44" i="5"/>
  <c r="AE76" i="5"/>
  <c r="R155" i="5"/>
  <c r="R175" i="5"/>
  <c r="R135" i="5"/>
  <c r="S33" i="5"/>
  <c r="U140" i="5"/>
  <c r="U160" i="5"/>
  <c r="V38" i="5"/>
  <c r="T158" i="5"/>
  <c r="T178" i="5"/>
  <c r="U179" i="5" s="1"/>
  <c r="T138" i="5"/>
  <c r="U36" i="5"/>
  <c r="AG177" i="5"/>
  <c r="AG171" i="5"/>
  <c r="AG159" i="5"/>
  <c r="AG152" i="5"/>
  <c r="AG172" i="5"/>
  <c r="AG142" i="5"/>
  <c r="AG135" i="5"/>
  <c r="AG107" i="5"/>
  <c r="AG81" i="5"/>
  <c r="AG173" i="5"/>
  <c r="AG164" i="5"/>
  <c r="AG160" i="5"/>
  <c r="AG156" i="5"/>
  <c r="AG140" i="5"/>
  <c r="AG133" i="5"/>
  <c r="AG105" i="5"/>
  <c r="AG78" i="5"/>
  <c r="AG41" i="5"/>
  <c r="AG181" i="5"/>
  <c r="AG155" i="5"/>
  <c r="AG151" i="5"/>
  <c r="AG146" i="5"/>
  <c r="AG183" i="5" s="1" a="1"/>
  <c r="AG183" i="5" s="1"/>
  <c r="AG139" i="5"/>
  <c r="AG130" i="5"/>
  <c r="AG68" i="5" a="1"/>
  <c r="AG68" i="5" s="1"/>
  <c r="AG66" i="5"/>
  <c r="AG64" i="5" s="1"/>
  <c r="AG161" i="5"/>
  <c r="AG141" i="5"/>
  <c r="AG180" i="5"/>
  <c r="AG166" i="5"/>
  <c r="AG165" i="5"/>
  <c r="AG179" i="5"/>
  <c r="AG162" i="5"/>
  <c r="AG197" i="5"/>
  <c r="AH193" i="5" s="1"/>
  <c r="AG157" i="5"/>
  <c r="AG170" i="5"/>
  <c r="AG150" i="5"/>
  <c r="AG138" i="5"/>
  <c r="AG137" i="5"/>
  <c r="AG93" i="5"/>
  <c r="AG40" i="5"/>
  <c r="AG29" i="5"/>
  <c r="AG27" i="5"/>
  <c r="AG178" i="5"/>
  <c r="AG153" i="5"/>
  <c r="AG106" i="5"/>
  <c r="AG82" i="5"/>
  <c r="AG35" i="5"/>
  <c r="AG33" i="5"/>
  <c r="AG31" i="5"/>
  <c r="AG17" i="5"/>
  <c r="AH5" i="5"/>
  <c r="AG154" i="5"/>
  <c r="AG100" i="5"/>
  <c r="AG99" i="5" s="1"/>
  <c r="AG158" i="5"/>
  <c r="AG145" i="5"/>
  <c r="AG131" i="5"/>
  <c r="AG176" i="5"/>
  <c r="AG136" i="5"/>
  <c r="AG175" i="5"/>
  <c r="AG163" i="5"/>
  <c r="AG134" i="5"/>
  <c r="AG104" i="5"/>
  <c r="AG103" i="5" s="1"/>
  <c r="AG79" i="5"/>
  <c r="AG144" i="5"/>
  <c r="AG39" i="5"/>
  <c r="AG16" i="5"/>
  <c r="AG13" i="5"/>
  <c r="AG202" i="5" s="1"/>
  <c r="AG50" i="5"/>
  <c r="AG59" i="5" s="1"/>
  <c r="AG76" i="5" s="1"/>
  <c r="AG37" i="5"/>
  <c r="AG45" i="5" s="1" a="1"/>
  <c r="AG45" i="5" s="1"/>
  <c r="AG32" i="5"/>
  <c r="AG24" i="5"/>
  <c r="AG11" i="5"/>
  <c r="AG36" i="5"/>
  <c r="AG30" i="5"/>
  <c r="AG12" i="5"/>
  <c r="AG174" i="5"/>
  <c r="AG20" i="5"/>
  <c r="AG34" i="5"/>
  <c r="AG28" i="5"/>
  <c r="AG143" i="5"/>
  <c r="AG132" i="5"/>
  <c r="AG14" i="5"/>
  <c r="AG38" i="5"/>
  <c r="AG6" i="5"/>
  <c r="AG18" i="5" s="1"/>
  <c r="AG62" i="5" s="1"/>
  <c r="AG61" i="5" s="1"/>
  <c r="AG77" i="5" s="1"/>
  <c r="AG196" i="5"/>
  <c r="AG195" i="5"/>
  <c r="AF214" i="5" l="1"/>
  <c r="AF222" i="5"/>
  <c r="AH181" i="5"/>
  <c r="AH179" i="5"/>
  <c r="AH177" i="5"/>
  <c r="AH175" i="5"/>
  <c r="AH173" i="5"/>
  <c r="AH180" i="5"/>
  <c r="AH172" i="5"/>
  <c r="AH166" i="5"/>
  <c r="AH157" i="5"/>
  <c r="AH150" i="5"/>
  <c r="AH164" i="5"/>
  <c r="AH160" i="5"/>
  <c r="AH156" i="5"/>
  <c r="AH152" i="5"/>
  <c r="AH140" i="5"/>
  <c r="AH133" i="5"/>
  <c r="AH105" i="5"/>
  <c r="AH78" i="5"/>
  <c r="AH174" i="5"/>
  <c r="AH171" i="5"/>
  <c r="AH153" i="5"/>
  <c r="AH138" i="5"/>
  <c r="AH131" i="5"/>
  <c r="AH197" i="5"/>
  <c r="AI193" i="5" s="1"/>
  <c r="AH170" i="5"/>
  <c r="AH163" i="5"/>
  <c r="AH159" i="5"/>
  <c r="AH144" i="5"/>
  <c r="AH137" i="5"/>
  <c r="AH178" i="5"/>
  <c r="AH142" i="5"/>
  <c r="AH165" i="5"/>
  <c r="AH161" i="5"/>
  <c r="AH158" i="5"/>
  <c r="AH151" i="5"/>
  <c r="AH145" i="5"/>
  <c r="AH143" i="5"/>
  <c r="AH135" i="5"/>
  <c r="AH134" i="5"/>
  <c r="AH162" i="5"/>
  <c r="AH130" i="5"/>
  <c r="AH106" i="5"/>
  <c r="AH82" i="5"/>
  <c r="AH35" i="5"/>
  <c r="AH33" i="5"/>
  <c r="AH31" i="5"/>
  <c r="AH17" i="5"/>
  <c r="AI5" i="5"/>
  <c r="AH155" i="5"/>
  <c r="AH154" i="5"/>
  <c r="AH146" i="5"/>
  <c r="AH183" i="5" s="1" a="1"/>
  <c r="AH183" i="5" s="1"/>
  <c r="AH100" i="5"/>
  <c r="AH99" i="5" s="1"/>
  <c r="AH14" i="5"/>
  <c r="AH12" i="5"/>
  <c r="AH176" i="5"/>
  <c r="AH141" i="5"/>
  <c r="AH136" i="5"/>
  <c r="AH107" i="5"/>
  <c r="AH104" i="5"/>
  <c r="AH79" i="5"/>
  <c r="AH132" i="5"/>
  <c r="AH81" i="5"/>
  <c r="AH50" i="5"/>
  <c r="AH59" i="5" s="1"/>
  <c r="AH76" i="5" s="1"/>
  <c r="AH37" i="5"/>
  <c r="AH11" i="5"/>
  <c r="AH93" i="5"/>
  <c r="AH24" i="5"/>
  <c r="AH68" i="5" a="1"/>
  <c r="AH68" i="5" s="1"/>
  <c r="AH40" i="5"/>
  <c r="AH36" i="5"/>
  <c r="AH30" i="5"/>
  <c r="AH27" i="5"/>
  <c r="AH16" i="5"/>
  <c r="AH20" i="5"/>
  <c r="AH66" i="5"/>
  <c r="AH64" i="5" s="1"/>
  <c r="AH41" i="5"/>
  <c r="AH34" i="5"/>
  <c r="AH28" i="5"/>
  <c r="AH139" i="5"/>
  <c r="AH6" i="5"/>
  <c r="AH18" i="5" s="1"/>
  <c r="AH29" i="5"/>
  <c r="AH39" i="5"/>
  <c r="AH38" i="5"/>
  <c r="AH32" i="5"/>
  <c r="AH13" i="5"/>
  <c r="AH202" i="5" s="1"/>
  <c r="AC187" i="5"/>
  <c r="P171" i="5"/>
  <c r="P131" i="5"/>
  <c r="P151" i="5"/>
  <c r="Q29" i="5"/>
  <c r="AG4" i="7"/>
  <c r="AG3" i="7" s="1"/>
  <c r="AI5" i="6"/>
  <c r="AJ4" i="6"/>
  <c r="V141" i="5"/>
  <c r="V161" i="5"/>
  <c r="W39" i="5"/>
  <c r="AH19" i="5"/>
  <c r="AH21" i="5" s="1"/>
  <c r="AH51" i="5"/>
  <c r="AH58" i="5" s="1"/>
  <c r="AG44" i="5"/>
  <c r="AF46" i="5"/>
  <c r="AF96" i="5"/>
  <c r="Q153" i="5"/>
  <c r="Q133" i="5"/>
  <c r="Q173" i="5"/>
  <c r="R31" i="5"/>
  <c r="O47" i="5"/>
  <c r="O50" i="5"/>
  <c r="O59" i="5" s="1"/>
  <c r="AH195" i="5"/>
  <c r="AH196" i="5"/>
  <c r="AG57" i="5"/>
  <c r="AG55" i="5" s="1"/>
  <c r="AG75" i="5"/>
  <c r="AG74" i="5" s="1"/>
  <c r="AG72" i="5" s="1"/>
  <c r="X164" i="5"/>
  <c r="X144" i="5"/>
  <c r="S176" i="5"/>
  <c r="S156" i="5"/>
  <c r="S136" i="5"/>
  <c r="T34" i="5"/>
  <c r="AE77" i="5"/>
  <c r="AE74" i="5" s="1"/>
  <c r="P221" i="5"/>
  <c r="O223" i="5"/>
  <c r="U139" i="5"/>
  <c r="U159" i="5"/>
  <c r="V37" i="5"/>
  <c r="AF221" i="5"/>
  <c r="AE223" i="5"/>
  <c r="N55" i="5"/>
  <c r="N82" i="5"/>
  <c r="N81" i="5"/>
  <c r="AC189" i="5"/>
  <c r="P17" i="5"/>
  <c r="AF47" i="5"/>
  <c r="AG209" i="5" s="1"/>
  <c r="AG213" i="5" s="1"/>
  <c r="P209" i="5"/>
  <c r="P213" i="5" s="1"/>
  <c r="O46" i="5"/>
  <c r="P27" i="5"/>
  <c r="N74" i="5"/>
  <c r="N72" i="5" s="1"/>
  <c r="N71" i="5" s="1"/>
  <c r="AG21" i="5"/>
  <c r="P61" i="5"/>
  <c r="O35" i="3"/>
  <c r="P75" i="5"/>
  <c r="O32" i="3"/>
  <c r="AG222" i="5" l="1"/>
  <c r="AG214" i="5"/>
  <c r="P214" i="5"/>
  <c r="P222" i="5"/>
  <c r="R78" i="5"/>
  <c r="R134" i="5"/>
  <c r="R154" i="5"/>
  <c r="R174" i="5"/>
  <c r="S32" i="5"/>
  <c r="AK4" i="6"/>
  <c r="AH4" i="7"/>
  <c r="AH3" i="7" s="1"/>
  <c r="AJ5" i="6"/>
  <c r="W142" i="5"/>
  <c r="W162" i="5"/>
  <c r="X40" i="5"/>
  <c r="Q51" i="5"/>
  <c r="Q58" i="5" s="1"/>
  <c r="P44" i="5"/>
  <c r="P170" i="5"/>
  <c r="P180" i="5" s="1"/>
  <c r="P181" i="5" s="1"/>
  <c r="P45" i="5" a="1"/>
  <c r="P45" i="5" s="1"/>
  <c r="P150" i="5"/>
  <c r="P165" i="5" s="1"/>
  <c r="P166" i="5" s="1"/>
  <c r="P130" i="5"/>
  <c r="P145" i="5" s="1"/>
  <c r="P146" i="5" s="1"/>
  <c r="P183" i="5" s="1" a="1"/>
  <c r="P183" i="5" s="1"/>
  <c r="O39" i="3" s="1"/>
  <c r="Q28" i="5"/>
  <c r="Q18" i="5"/>
  <c r="Q62" i="5" s="1"/>
  <c r="N189" i="5"/>
  <c r="N187" i="5"/>
  <c r="N188" i="5"/>
  <c r="V160" i="5"/>
  <c r="V140" i="5"/>
  <c r="W38" i="5"/>
  <c r="T157" i="5"/>
  <c r="T137" i="5"/>
  <c r="T177" i="5"/>
  <c r="T79" i="5"/>
  <c r="U35" i="5"/>
  <c r="AI19" i="5"/>
  <c r="O76" i="5"/>
  <c r="O57" i="5"/>
  <c r="P77" i="5"/>
  <c r="O34" i="3"/>
  <c r="AG46" i="5"/>
  <c r="AH209" i="5" s="1"/>
  <c r="AH213" i="5" s="1"/>
  <c r="AH62" i="5"/>
  <c r="AI51" i="5"/>
  <c r="AI58" i="5" s="1"/>
  <c r="AH44" i="5"/>
  <c r="AI197" i="5"/>
  <c r="AJ193" i="5" s="1"/>
  <c r="AI106" i="5"/>
  <c r="AI164" i="5"/>
  <c r="AI155" i="5"/>
  <c r="AI174" i="5"/>
  <c r="AI173" i="5"/>
  <c r="AI171" i="5"/>
  <c r="AI153" i="5"/>
  <c r="AI138" i="5"/>
  <c r="AI131" i="5"/>
  <c r="AI176" i="5"/>
  <c r="AI175" i="5"/>
  <c r="AI165" i="5"/>
  <c r="AI161" i="5"/>
  <c r="AI157" i="5"/>
  <c r="AI145" i="5"/>
  <c r="AI136" i="5"/>
  <c r="AI104" i="5"/>
  <c r="AI100" i="5"/>
  <c r="AI99" i="5" s="1"/>
  <c r="AI93" i="5"/>
  <c r="AI142" i="5"/>
  <c r="AI135" i="5"/>
  <c r="AI107" i="5"/>
  <c r="AI81" i="5"/>
  <c r="AI181" i="5"/>
  <c r="AI180" i="5"/>
  <c r="AI178" i="5"/>
  <c r="AI166" i="5"/>
  <c r="AI154" i="5"/>
  <c r="AI139" i="5"/>
  <c r="AI179" i="5"/>
  <c r="AI172" i="5"/>
  <c r="AI158" i="5"/>
  <c r="AI151" i="5"/>
  <c r="AI150" i="5"/>
  <c r="AI140" i="5"/>
  <c r="AI160" i="5"/>
  <c r="AI156" i="5"/>
  <c r="AI146" i="5"/>
  <c r="AI183" i="5" s="1" a="1"/>
  <c r="AI183" i="5" s="1"/>
  <c r="AI14" i="5"/>
  <c r="AI12" i="5"/>
  <c r="AI152" i="5"/>
  <c r="AI133" i="5"/>
  <c r="AI78" i="5"/>
  <c r="AI41" i="5"/>
  <c r="AI38" i="5"/>
  <c r="AI177" i="5"/>
  <c r="AI141" i="5"/>
  <c r="AI159" i="5"/>
  <c r="AI79" i="5"/>
  <c r="AI163" i="5"/>
  <c r="AI134" i="5"/>
  <c r="AI144" i="5"/>
  <c r="AI132" i="5"/>
  <c r="AI105" i="5"/>
  <c r="AI143" i="5"/>
  <c r="AI40" i="5"/>
  <c r="AI29" i="5"/>
  <c r="AI27" i="5"/>
  <c r="AI170" i="5"/>
  <c r="AI36" i="5"/>
  <c r="AI30" i="5"/>
  <c r="AI11" i="5"/>
  <c r="AJ19" i="5" s="1"/>
  <c r="AI33" i="5"/>
  <c r="AI16" i="5"/>
  <c r="AI17" i="5"/>
  <c r="AI20" i="5"/>
  <c r="AI34" i="5"/>
  <c r="AI28" i="5"/>
  <c r="AI66" i="5"/>
  <c r="AI64" i="5" s="1"/>
  <c r="AI137" i="5"/>
  <c r="AI31" i="5"/>
  <c r="AI45" i="5" s="1" a="1"/>
  <c r="AI45" i="5" s="1"/>
  <c r="AI13" i="5"/>
  <c r="AI202" i="5" s="1"/>
  <c r="AI39" i="5"/>
  <c r="AI130" i="5"/>
  <c r="AI82" i="5"/>
  <c r="AI162" i="5"/>
  <c r="AI68" i="5" a="1"/>
  <c r="AI68" i="5" s="1"/>
  <c r="AI50" i="5"/>
  <c r="AI35" i="5"/>
  <c r="AJ5" i="5"/>
  <c r="AI6" i="5"/>
  <c r="AI18" i="5" s="1"/>
  <c r="AI32" i="5"/>
  <c r="AI24" i="5"/>
  <c r="AI37" i="5"/>
  <c r="AF223" i="5"/>
  <c r="AG221" i="5"/>
  <c r="AH57" i="5"/>
  <c r="AH75" i="5"/>
  <c r="Q152" i="5"/>
  <c r="Q172" i="5"/>
  <c r="Q132" i="5"/>
  <c r="R30" i="5"/>
  <c r="AF95" i="5"/>
  <c r="AF71" i="5" s="1"/>
  <c r="AG47" i="5"/>
  <c r="AI196" i="5"/>
  <c r="AI195" i="5"/>
  <c r="Q19" i="5"/>
  <c r="Q20" i="5"/>
  <c r="AE72" i="5"/>
  <c r="AE71" i="5" s="1"/>
  <c r="AH103" i="5"/>
  <c r="AH45" i="5" a="1"/>
  <c r="AH45" i="5" s="1"/>
  <c r="AG96" i="5"/>
  <c r="AG95" i="5" s="1"/>
  <c r="AG71" i="5" s="1"/>
  <c r="AH222" i="5" l="1"/>
  <c r="AH214" i="5"/>
  <c r="AG189" i="5"/>
  <c r="AG188" i="5"/>
  <c r="AG187" i="5"/>
  <c r="AI103" i="5"/>
  <c r="R153" i="5"/>
  <c r="R133" i="5"/>
  <c r="R173" i="5"/>
  <c r="S31" i="5"/>
  <c r="AI75" i="5"/>
  <c r="AE188" i="5"/>
  <c r="AE187" i="5"/>
  <c r="AE189" i="5"/>
  <c r="AJ180" i="5"/>
  <c r="AJ178" i="5"/>
  <c r="AJ176" i="5"/>
  <c r="AJ174" i="5"/>
  <c r="AJ172" i="5"/>
  <c r="AJ170" i="5"/>
  <c r="AJ165" i="5"/>
  <c r="AJ163" i="5"/>
  <c r="AJ161" i="5"/>
  <c r="AJ159" i="5"/>
  <c r="AJ157" i="5"/>
  <c r="AJ155" i="5"/>
  <c r="AJ153" i="5"/>
  <c r="AJ151" i="5"/>
  <c r="AJ146" i="5"/>
  <c r="AJ183" i="5" s="1" a="1"/>
  <c r="AJ183" i="5" s="1"/>
  <c r="AJ144" i="5"/>
  <c r="AJ142" i="5"/>
  <c r="AJ140" i="5"/>
  <c r="AJ138" i="5"/>
  <c r="AJ136" i="5"/>
  <c r="AJ134" i="5"/>
  <c r="AJ132" i="5"/>
  <c r="AJ130" i="5"/>
  <c r="AJ197" i="5"/>
  <c r="AK193" i="5" s="1"/>
  <c r="AJ175" i="5"/>
  <c r="AJ162" i="5"/>
  <c r="AJ145" i="5"/>
  <c r="AJ104" i="5"/>
  <c r="AJ100" i="5"/>
  <c r="AJ99" i="5" s="1"/>
  <c r="AJ93" i="5"/>
  <c r="AJ68" i="5" a="1"/>
  <c r="AJ68" i="5" s="1"/>
  <c r="AJ143" i="5"/>
  <c r="AJ82" i="5"/>
  <c r="AJ50" i="5"/>
  <c r="AJ59" i="5" s="1"/>
  <c r="AJ76" i="5" s="1"/>
  <c r="AJ160" i="5"/>
  <c r="AJ156" i="5"/>
  <c r="AJ152" i="5"/>
  <c r="AJ133" i="5"/>
  <c r="AJ105" i="5"/>
  <c r="AJ78" i="5"/>
  <c r="AJ41" i="5"/>
  <c r="AJ39" i="5"/>
  <c r="AJ37" i="5"/>
  <c r="AJ179" i="5"/>
  <c r="AJ177" i="5"/>
  <c r="AJ164" i="5"/>
  <c r="AJ150" i="5"/>
  <c r="AJ181" i="5"/>
  <c r="AJ171" i="5"/>
  <c r="AJ141" i="5"/>
  <c r="AJ173" i="5"/>
  <c r="AJ154" i="5"/>
  <c r="AJ135" i="5"/>
  <c r="AJ38" i="5"/>
  <c r="AJ30" i="5"/>
  <c r="AJ28" i="5"/>
  <c r="AJ158" i="5"/>
  <c r="AJ131" i="5"/>
  <c r="AJ79" i="5"/>
  <c r="AJ166" i="5"/>
  <c r="AJ107" i="5"/>
  <c r="AJ81" i="5"/>
  <c r="AJ139" i="5"/>
  <c r="AJ137" i="5"/>
  <c r="AJ35" i="5"/>
  <c r="AJ33" i="5"/>
  <c r="AJ31" i="5"/>
  <c r="AJ17" i="5"/>
  <c r="AJ40" i="5"/>
  <c r="AJ16" i="5"/>
  <c r="AJ27" i="5"/>
  <c r="AJ20" i="5"/>
  <c r="AJ12" i="5"/>
  <c r="AJ66" i="5"/>
  <c r="AJ64" i="5" s="1"/>
  <c r="AJ34" i="5"/>
  <c r="AJ13" i="5"/>
  <c r="AJ202" i="5" s="1"/>
  <c r="AJ106" i="5"/>
  <c r="AJ14" i="5"/>
  <c r="AK5" i="5"/>
  <c r="AJ29" i="5"/>
  <c r="AJ6" i="5"/>
  <c r="AJ18" i="5" s="1"/>
  <c r="AJ11" i="5"/>
  <c r="AJ32" i="5"/>
  <c r="AJ24" i="5"/>
  <c r="AJ36" i="5"/>
  <c r="O16" i="3"/>
  <c r="X143" i="5"/>
  <c r="X163" i="5"/>
  <c r="Y41" i="5"/>
  <c r="AI59" i="5"/>
  <c r="AI57" i="5" s="1"/>
  <c r="AI55" i="5" s="1"/>
  <c r="AF187" i="5"/>
  <c r="AF188" i="5"/>
  <c r="AF189" i="5"/>
  <c r="O14" i="3"/>
  <c r="P47" i="5"/>
  <c r="P50" i="5"/>
  <c r="P223" i="5"/>
  <c r="Q221" i="5"/>
  <c r="AJ21" i="5"/>
  <c r="AJ196" i="5"/>
  <c r="AJ195" i="5"/>
  <c r="U158" i="5"/>
  <c r="U138" i="5"/>
  <c r="U178" i="5"/>
  <c r="V179" i="5" s="1"/>
  <c r="V36" i="5"/>
  <c r="O55" i="5"/>
  <c r="O82" i="5"/>
  <c r="O81" i="5"/>
  <c r="O74" i="5" s="1"/>
  <c r="O72" i="5" s="1"/>
  <c r="O71" i="5" s="1"/>
  <c r="AH47" i="5"/>
  <c r="P46" i="5"/>
  <c r="Q209" i="5" s="1"/>
  <c r="Q213" i="5" s="1"/>
  <c r="AH61" i="5"/>
  <c r="AH55" i="5" s="1"/>
  <c r="AI21" i="5"/>
  <c r="Q61" i="5"/>
  <c r="Q75" i="5"/>
  <c r="AJ51" i="5"/>
  <c r="AJ58" i="5" s="1"/>
  <c r="AI44" i="5"/>
  <c r="Q66" i="5"/>
  <c r="Q64" i="5" s="1"/>
  <c r="AL4" i="6"/>
  <c r="AI4" i="7"/>
  <c r="AI3" i="7" s="1"/>
  <c r="AK5" i="6"/>
  <c r="AH46" i="5"/>
  <c r="AI209" i="5" s="1"/>
  <c r="AI213" i="5" s="1"/>
  <c r="AH96" i="5"/>
  <c r="AH95" i="5" s="1"/>
  <c r="Q21" i="5"/>
  <c r="AI62" i="5"/>
  <c r="AI61" i="5" s="1"/>
  <c r="AI77" i="5" s="1"/>
  <c r="W161" i="5"/>
  <c r="W141" i="5"/>
  <c r="X39" i="5"/>
  <c r="Q151" i="5"/>
  <c r="Q131" i="5"/>
  <c r="Q171" i="5"/>
  <c r="R29" i="5"/>
  <c r="S135" i="5"/>
  <c r="S155" i="5"/>
  <c r="S175" i="5"/>
  <c r="T33" i="5"/>
  <c r="AG223" i="5"/>
  <c r="AH221" i="5"/>
  <c r="AI214" i="5" l="1"/>
  <c r="AI222" i="5"/>
  <c r="Q222" i="5"/>
  <c r="Q214" i="5"/>
  <c r="Q24" i="5"/>
  <c r="Q27" i="5" s="1"/>
  <c r="Q17" i="5"/>
  <c r="AL5" i="6"/>
  <c r="AM4" i="6"/>
  <c r="AJ4" i="7"/>
  <c r="AJ3" i="7" s="1"/>
  <c r="AI46" i="5"/>
  <c r="AJ209" i="5" s="1"/>
  <c r="AJ213" i="5" s="1"/>
  <c r="Q77" i="5"/>
  <c r="R152" i="5"/>
  <c r="R172" i="5"/>
  <c r="R132" i="5"/>
  <c r="S30" i="5"/>
  <c r="AK197" i="5"/>
  <c r="AL193" i="5" s="1"/>
  <c r="AK178" i="5"/>
  <c r="AK160" i="5"/>
  <c r="AK153" i="5"/>
  <c r="AK176" i="5"/>
  <c r="AK175" i="5"/>
  <c r="AK165" i="5"/>
  <c r="AK161" i="5"/>
  <c r="AK157" i="5"/>
  <c r="AK143" i="5"/>
  <c r="AK136" i="5"/>
  <c r="AK82" i="5"/>
  <c r="AK50" i="5"/>
  <c r="AK59" i="5" s="1"/>
  <c r="AK76" i="5" s="1"/>
  <c r="AK177" i="5"/>
  <c r="AK158" i="5"/>
  <c r="AK154" i="5"/>
  <c r="AK150" i="5"/>
  <c r="AK141" i="5"/>
  <c r="AK134" i="5"/>
  <c r="AK106" i="5"/>
  <c r="AK79" i="5"/>
  <c r="AK40" i="5"/>
  <c r="AK173" i="5"/>
  <c r="AK172" i="5"/>
  <c r="AK171" i="5"/>
  <c r="AK164" i="5"/>
  <c r="AK140" i="5"/>
  <c r="AK131" i="5"/>
  <c r="AK68" i="5" a="1"/>
  <c r="AK68" i="5" s="1"/>
  <c r="AK159" i="5"/>
  <c r="AK138" i="5"/>
  <c r="AK162" i="5"/>
  <c r="AK163" i="5"/>
  <c r="AK181" i="5"/>
  <c r="AK180" i="5"/>
  <c r="AK145" i="5"/>
  <c r="AK155" i="5"/>
  <c r="AK146" i="5"/>
  <c r="AK183" i="5" s="1" a="1"/>
  <c r="AK183" i="5" s="1"/>
  <c r="AK133" i="5"/>
  <c r="AK132" i="5"/>
  <c r="AK152" i="5"/>
  <c r="AK151" i="5"/>
  <c r="AK100" i="5"/>
  <c r="AK99" i="5" s="1"/>
  <c r="AK78" i="5"/>
  <c r="AK41" i="5"/>
  <c r="AK30" i="5"/>
  <c r="AK28" i="5"/>
  <c r="AK156" i="5"/>
  <c r="AK142" i="5"/>
  <c r="AK66" i="5"/>
  <c r="AK64" i="5" s="1"/>
  <c r="AK36" i="5"/>
  <c r="AK34" i="5"/>
  <c r="AK32" i="5"/>
  <c r="AK24" i="5"/>
  <c r="AK20" i="5"/>
  <c r="AK166" i="5"/>
  <c r="AK107" i="5"/>
  <c r="AK104" i="5"/>
  <c r="AK144" i="5"/>
  <c r="AK105" i="5"/>
  <c r="AK81" i="5"/>
  <c r="AK139" i="5"/>
  <c r="AK137" i="5"/>
  <c r="AK174" i="5"/>
  <c r="AK170" i="5"/>
  <c r="AK130" i="5"/>
  <c r="AK93" i="5"/>
  <c r="AK14" i="5"/>
  <c r="AK12" i="5"/>
  <c r="AK33" i="5"/>
  <c r="AK27" i="5"/>
  <c r="AK17" i="5"/>
  <c r="AK13" i="5"/>
  <c r="AK202" i="5" s="1"/>
  <c r="AK31" i="5"/>
  <c r="AK135" i="5"/>
  <c r="AK39" i="5"/>
  <c r="AL5" i="5"/>
  <c r="AK38" i="5"/>
  <c r="AK35" i="5"/>
  <c r="AK29" i="5"/>
  <c r="AK45" i="5" s="1" a="1"/>
  <c r="AK45" i="5" s="1"/>
  <c r="AK179" i="5"/>
  <c r="AK16" i="5"/>
  <c r="AK11" i="5"/>
  <c r="AL19" i="5" s="1"/>
  <c r="AK37" i="5"/>
  <c r="AK6" i="5"/>
  <c r="AK18" i="5" s="1"/>
  <c r="S174" i="5"/>
  <c r="S154" i="5"/>
  <c r="S78" i="5"/>
  <c r="S134" i="5"/>
  <c r="T32" i="5"/>
  <c r="AI47" i="5"/>
  <c r="AJ44" i="5"/>
  <c r="AK51" i="5"/>
  <c r="AK58" i="5" s="1"/>
  <c r="AK195" i="5"/>
  <c r="AK196" i="5"/>
  <c r="V139" i="5"/>
  <c r="V159" i="5"/>
  <c r="W37" i="5"/>
  <c r="P59" i="5"/>
  <c r="O29" i="3"/>
  <c r="O11" i="3" s="1"/>
  <c r="AJ45" i="5" a="1"/>
  <c r="AJ45" i="5" s="1"/>
  <c r="O188" i="5"/>
  <c r="O189" i="5"/>
  <c r="O187" i="5"/>
  <c r="AJ75" i="5"/>
  <c r="AJ57" i="5"/>
  <c r="AH77" i="5"/>
  <c r="AH74" i="5" s="1"/>
  <c r="T156" i="5"/>
  <c r="T176" i="5"/>
  <c r="T136" i="5"/>
  <c r="U34" i="5"/>
  <c r="X142" i="5"/>
  <c r="X162" i="5"/>
  <c r="Y40" i="5"/>
  <c r="AI76" i="5"/>
  <c r="AI96" i="5"/>
  <c r="AI95" i="5" s="1"/>
  <c r="Y144" i="5"/>
  <c r="Y164" i="5"/>
  <c r="AK19" i="5"/>
  <c r="AK21" i="5" s="1"/>
  <c r="AJ103" i="5"/>
  <c r="AJ62" i="5"/>
  <c r="AI74" i="5"/>
  <c r="AI72" i="5" s="1"/>
  <c r="AH223" i="5"/>
  <c r="AI221" i="5"/>
  <c r="AJ214" i="5" l="1"/>
  <c r="AJ222" i="5"/>
  <c r="P76" i="5"/>
  <c r="O33" i="3"/>
  <c r="P57" i="5"/>
  <c r="AK209" i="5"/>
  <c r="AK213" i="5" s="1"/>
  <c r="AJ46" i="5"/>
  <c r="AK4" i="7"/>
  <c r="AK3" i="7" s="1"/>
  <c r="AN4" i="6"/>
  <c r="AM5" i="6"/>
  <c r="AI71" i="5"/>
  <c r="W140" i="5"/>
  <c r="W160" i="5"/>
  <c r="X38" i="5"/>
  <c r="T155" i="5"/>
  <c r="T175" i="5"/>
  <c r="T135" i="5"/>
  <c r="U33" i="5"/>
  <c r="R20" i="5"/>
  <c r="R19" i="5"/>
  <c r="Y163" i="5"/>
  <c r="Y143" i="5"/>
  <c r="Z41" i="5"/>
  <c r="AJ96" i="5"/>
  <c r="AJ95" i="5" s="1"/>
  <c r="AL196" i="5"/>
  <c r="AL195" i="5"/>
  <c r="AJ61" i="5"/>
  <c r="AK103" i="5"/>
  <c r="U137" i="5"/>
  <c r="U79" i="5"/>
  <c r="U177" i="5"/>
  <c r="U157" i="5"/>
  <c r="V35" i="5"/>
  <c r="AH72" i="5"/>
  <c r="AH71" i="5" s="1"/>
  <c r="AJ47" i="5"/>
  <c r="AL51" i="5"/>
  <c r="AL58" i="5" s="1"/>
  <c r="AK44" i="5"/>
  <c r="Q223" i="5"/>
  <c r="R221" i="5"/>
  <c r="Q44" i="5"/>
  <c r="R51" i="5"/>
  <c r="R58" i="5" s="1"/>
  <c r="Q150" i="5"/>
  <c r="Q165" i="5" s="1"/>
  <c r="Q166" i="5" s="1"/>
  <c r="Q170" i="5"/>
  <c r="Q180" i="5" s="1"/>
  <c r="Q181" i="5" s="1"/>
  <c r="Q45" i="5" a="1"/>
  <c r="Q45" i="5" s="1"/>
  <c r="Q130" i="5"/>
  <c r="Q145" i="5" s="1"/>
  <c r="Q146" i="5" s="1"/>
  <c r="Q183" i="5" s="1" a="1"/>
  <c r="Q183" i="5" s="1"/>
  <c r="R28" i="5"/>
  <c r="R66" i="5"/>
  <c r="R64" i="5" s="1"/>
  <c r="R18" i="5"/>
  <c r="R62" i="5" s="1"/>
  <c r="AK75" i="5"/>
  <c r="AK57" i="5"/>
  <c r="AK62" i="5"/>
  <c r="AK61" i="5" s="1"/>
  <c r="AK77" i="5" s="1"/>
  <c r="AL197" i="5"/>
  <c r="AM193" i="5" s="1"/>
  <c r="AL180" i="5"/>
  <c r="AL178" i="5"/>
  <c r="AL176" i="5"/>
  <c r="AL174" i="5"/>
  <c r="AL172" i="5"/>
  <c r="AL181" i="5"/>
  <c r="AL173" i="5"/>
  <c r="AL170" i="5"/>
  <c r="AL158" i="5"/>
  <c r="AL151" i="5"/>
  <c r="AL177" i="5"/>
  <c r="AL154" i="5"/>
  <c r="AL150" i="5"/>
  <c r="AL141" i="5"/>
  <c r="AL134" i="5"/>
  <c r="AL106" i="5"/>
  <c r="AL79" i="5"/>
  <c r="AL179" i="5"/>
  <c r="AL166" i="5"/>
  <c r="AL162" i="5"/>
  <c r="AL139" i="5"/>
  <c r="AL132" i="5"/>
  <c r="AL66" i="5"/>
  <c r="AL64" i="5" s="1"/>
  <c r="AL145" i="5"/>
  <c r="AL138" i="5"/>
  <c r="AL104" i="5"/>
  <c r="AL100" i="5"/>
  <c r="AL99" i="5" s="1"/>
  <c r="AL93" i="5"/>
  <c r="AL164" i="5"/>
  <c r="AL152" i="5"/>
  <c r="AL146" i="5"/>
  <c r="AL183" i="5" s="1" a="1"/>
  <c r="AL183" i="5" s="1"/>
  <c r="AL171" i="5"/>
  <c r="AL165" i="5"/>
  <c r="AL161" i="5"/>
  <c r="AL157" i="5"/>
  <c r="AL140" i="5"/>
  <c r="AL156" i="5"/>
  <c r="AL143" i="5"/>
  <c r="AL155" i="5"/>
  <c r="AL153" i="5"/>
  <c r="AL142" i="5"/>
  <c r="AL133" i="5"/>
  <c r="AL36" i="5"/>
  <c r="AL34" i="5"/>
  <c r="AL32" i="5"/>
  <c r="AL24" i="5"/>
  <c r="AL20" i="5"/>
  <c r="AL21" i="5" s="1"/>
  <c r="AL131" i="5"/>
  <c r="AL107" i="5"/>
  <c r="AL16" i="5"/>
  <c r="AL13" i="5"/>
  <c r="AL202" i="5" s="1"/>
  <c r="AL159" i="5"/>
  <c r="AL136" i="5"/>
  <c r="AL163" i="5"/>
  <c r="AL144" i="5"/>
  <c r="AL105" i="5"/>
  <c r="AL81" i="5"/>
  <c r="AL175" i="5"/>
  <c r="AL137" i="5"/>
  <c r="AL160" i="5"/>
  <c r="AL130" i="5"/>
  <c r="AL135" i="5"/>
  <c r="AL82" i="5"/>
  <c r="AL38" i="5"/>
  <c r="AL12" i="5"/>
  <c r="AL17" i="5"/>
  <c r="AM5" i="5"/>
  <c r="AL31" i="5"/>
  <c r="AL28" i="5"/>
  <c r="AL41" i="5"/>
  <c r="AL39" i="5"/>
  <c r="AL78" i="5"/>
  <c r="AL35" i="5"/>
  <c r="AL29" i="5"/>
  <c r="AL37" i="5"/>
  <c r="AL68" i="5" a="1"/>
  <c r="AL68" i="5" s="1"/>
  <c r="AL50" i="5"/>
  <c r="AL59" i="5" s="1"/>
  <c r="AL76" i="5" s="1"/>
  <c r="AL30" i="5"/>
  <c r="AL11" i="5"/>
  <c r="AM19" i="5" s="1"/>
  <c r="AL33" i="5"/>
  <c r="AL27" i="5"/>
  <c r="AL40" i="5"/>
  <c r="AL14" i="5"/>
  <c r="AL6" i="5"/>
  <c r="AL18" i="5" s="1"/>
  <c r="AL62" i="5" s="1"/>
  <c r="S133" i="5"/>
  <c r="S173" i="5"/>
  <c r="S153" i="5"/>
  <c r="T31" i="5"/>
  <c r="AI223" i="5"/>
  <c r="AJ221" i="5"/>
  <c r="AL44" i="5" l="1"/>
  <c r="AM51" i="5"/>
  <c r="AM58" i="5" s="1"/>
  <c r="AL45" i="5" a="1"/>
  <c r="AL45" i="5" s="1"/>
  <c r="AL47" i="5" s="1"/>
  <c r="R61" i="5"/>
  <c r="R209" i="5"/>
  <c r="R213" i="5" s="1"/>
  <c r="Q46" i="5"/>
  <c r="V178" i="5"/>
  <c r="W179" i="5" s="1"/>
  <c r="V138" i="5"/>
  <c r="V158" i="5"/>
  <c r="W36" i="5"/>
  <c r="AJ77" i="5"/>
  <c r="AJ74" i="5" s="1"/>
  <c r="R21" i="5"/>
  <c r="AK214" i="5"/>
  <c r="AK222" i="5"/>
  <c r="T78" i="5"/>
  <c r="T174" i="5"/>
  <c r="T134" i="5"/>
  <c r="T154" i="5"/>
  <c r="U32" i="5"/>
  <c r="AI188" i="5"/>
  <c r="AI189" i="5"/>
  <c r="AI187" i="5"/>
  <c r="P55" i="5"/>
  <c r="P82" i="5"/>
  <c r="P81" i="5"/>
  <c r="O31" i="3"/>
  <c r="R171" i="5"/>
  <c r="R151" i="5"/>
  <c r="R131" i="5"/>
  <c r="S29" i="5"/>
  <c r="U156" i="5"/>
  <c r="U176" i="5"/>
  <c r="U136" i="5"/>
  <c r="V34" i="5"/>
  <c r="AK46" i="5"/>
  <c r="AL209" i="5"/>
  <c r="AL213" i="5" s="1"/>
  <c r="AK96" i="5"/>
  <c r="AK95" i="5" s="1"/>
  <c r="P74" i="5"/>
  <c r="P72" i="5" s="1"/>
  <c r="P71" i="5" s="1"/>
  <c r="Z144" i="5"/>
  <c r="Z164" i="5"/>
  <c r="AJ55" i="5"/>
  <c r="Q47" i="5"/>
  <c r="Q50" i="5"/>
  <c r="AL75" i="5"/>
  <c r="AL57" i="5"/>
  <c r="AL61" i="5"/>
  <c r="AL77" i="5" s="1"/>
  <c r="AK55" i="5"/>
  <c r="AN5" i="6"/>
  <c r="AO4" i="6"/>
  <c r="AL4" i="7"/>
  <c r="AL3" i="7" s="1"/>
  <c r="AK221" i="5"/>
  <c r="AJ223" i="5"/>
  <c r="AM195" i="5"/>
  <c r="AM196" i="5"/>
  <c r="AM107" i="5"/>
  <c r="AM105" i="5"/>
  <c r="AM197" i="5"/>
  <c r="AN193" i="5" s="1"/>
  <c r="AM165" i="5"/>
  <c r="AM156" i="5"/>
  <c r="AM179" i="5"/>
  <c r="AM166" i="5"/>
  <c r="AM162" i="5"/>
  <c r="AM158" i="5"/>
  <c r="AM139" i="5"/>
  <c r="AM132" i="5"/>
  <c r="AM66" i="5"/>
  <c r="AM64" i="5" s="1"/>
  <c r="AM178" i="5"/>
  <c r="AM146" i="5"/>
  <c r="AM183" i="5" s="1" a="1"/>
  <c r="AM183" i="5" s="1"/>
  <c r="AM137" i="5"/>
  <c r="AM130" i="5"/>
  <c r="AM175" i="5"/>
  <c r="AM174" i="5"/>
  <c r="AM161" i="5"/>
  <c r="AM157" i="5"/>
  <c r="AM153" i="5"/>
  <c r="AM143" i="5"/>
  <c r="AM136" i="5"/>
  <c r="AM82" i="5"/>
  <c r="AM50" i="5"/>
  <c r="AM59" i="5" s="1"/>
  <c r="AM76" i="5" s="1"/>
  <c r="AM177" i="5"/>
  <c r="AM176" i="5"/>
  <c r="AM170" i="5"/>
  <c r="AM181" i="5"/>
  <c r="AM160" i="5"/>
  <c r="AM155" i="5"/>
  <c r="AM138" i="5"/>
  <c r="AM173" i="5"/>
  <c r="AM172" i="5"/>
  <c r="AM163" i="5"/>
  <c r="AM154" i="5"/>
  <c r="AM144" i="5"/>
  <c r="AM131" i="5"/>
  <c r="AM104" i="5"/>
  <c r="AM164" i="5"/>
  <c r="AM16" i="5"/>
  <c r="AM13" i="5"/>
  <c r="AM202" i="5" s="1"/>
  <c r="AM159" i="5"/>
  <c r="AM141" i="5"/>
  <c r="AM79" i="5"/>
  <c r="AM39" i="5"/>
  <c r="AM11" i="5"/>
  <c r="AN19" i="5" s="1"/>
  <c r="AM145" i="5"/>
  <c r="AM81" i="5"/>
  <c r="AM171" i="5"/>
  <c r="AM134" i="5"/>
  <c r="AM140" i="5"/>
  <c r="AM180" i="5"/>
  <c r="AM135" i="5"/>
  <c r="AM93" i="5"/>
  <c r="AM106" i="5"/>
  <c r="AM78" i="5"/>
  <c r="AM41" i="5"/>
  <c r="AM30" i="5"/>
  <c r="AM28" i="5"/>
  <c r="AM142" i="5"/>
  <c r="AM20" i="5"/>
  <c r="AM21" i="5" s="1"/>
  <c r="AM17" i="5"/>
  <c r="AM152" i="5"/>
  <c r="AM34" i="5"/>
  <c r="AM31" i="5"/>
  <c r="AM133" i="5"/>
  <c r="AN5" i="5"/>
  <c r="AM35" i="5"/>
  <c r="AM29" i="5"/>
  <c r="AM151" i="5"/>
  <c r="AM38" i="5"/>
  <c r="AM37" i="5"/>
  <c r="AM32" i="5"/>
  <c r="AM14" i="5"/>
  <c r="AM24" i="5"/>
  <c r="AM150" i="5"/>
  <c r="AM100" i="5"/>
  <c r="AM99" i="5" s="1"/>
  <c r="AM68" i="5" a="1"/>
  <c r="AM68" i="5" s="1"/>
  <c r="AM27" i="5"/>
  <c r="AM33" i="5"/>
  <c r="AM12" i="5"/>
  <c r="AM40" i="5"/>
  <c r="AM36" i="5"/>
  <c r="AM6" i="5"/>
  <c r="AM18" i="5" s="1"/>
  <c r="AM62" i="5" s="1"/>
  <c r="AM61" i="5" s="1"/>
  <c r="AM77" i="5" s="1"/>
  <c r="AK74" i="5"/>
  <c r="AK72" i="5" s="1"/>
  <c r="AK71" i="5" s="1"/>
  <c r="X161" i="5"/>
  <c r="X141" i="5"/>
  <c r="Y39" i="5"/>
  <c r="AL103" i="5"/>
  <c r="R75" i="5"/>
  <c r="AH189" i="5"/>
  <c r="AH188" i="5"/>
  <c r="AH187" i="5"/>
  <c r="AK47" i="5"/>
  <c r="U155" i="5" l="1"/>
  <c r="U135" i="5"/>
  <c r="U175" i="5"/>
  <c r="V33" i="5"/>
  <c r="AN51" i="5"/>
  <c r="AN58" i="5" s="1"/>
  <c r="AM44" i="5"/>
  <c r="AM45" i="5" a="1"/>
  <c r="AM45" i="5" s="1"/>
  <c r="AK189" i="5"/>
  <c r="AK188" i="5"/>
  <c r="AK187" i="5"/>
  <c r="V177" i="5"/>
  <c r="V79" i="5"/>
  <c r="V157" i="5"/>
  <c r="V137" i="5"/>
  <c r="W35" i="5"/>
  <c r="R24" i="5"/>
  <c r="R27" i="5" s="1"/>
  <c r="R17" i="5"/>
  <c r="AL55" i="5"/>
  <c r="AJ72" i="5"/>
  <c r="AJ71" i="5" s="1"/>
  <c r="O13" i="3"/>
  <c r="O12" i="3" s="1"/>
  <c r="R222" i="5"/>
  <c r="R214" i="5"/>
  <c r="AN181" i="5"/>
  <c r="AN179" i="5"/>
  <c r="AN177" i="5"/>
  <c r="AN175" i="5"/>
  <c r="AN173" i="5"/>
  <c r="AN171" i="5"/>
  <c r="AN166" i="5"/>
  <c r="AN164" i="5"/>
  <c r="AN162" i="5"/>
  <c r="AN160" i="5"/>
  <c r="AN158" i="5"/>
  <c r="AN156" i="5"/>
  <c r="AN154" i="5"/>
  <c r="AN152" i="5"/>
  <c r="AN150" i="5"/>
  <c r="AN145" i="5"/>
  <c r="AN143" i="5"/>
  <c r="AN141" i="5"/>
  <c r="AN139" i="5"/>
  <c r="AN137" i="5"/>
  <c r="AN135" i="5"/>
  <c r="AN133" i="5"/>
  <c r="AN131" i="5"/>
  <c r="AN197" i="5"/>
  <c r="AO193" i="5" s="1"/>
  <c r="AN176" i="5"/>
  <c r="AN163" i="5"/>
  <c r="AN178" i="5"/>
  <c r="AN146" i="5"/>
  <c r="AN183" i="5" s="1" a="1"/>
  <c r="AN183" i="5" s="1"/>
  <c r="Q39" i="3" s="1"/>
  <c r="Q16" i="3" s="1"/>
  <c r="AN130" i="5"/>
  <c r="AN68" i="5" a="1"/>
  <c r="AN68" i="5" s="1"/>
  <c r="Q38" i="3" s="1"/>
  <c r="Q15" i="3" s="1"/>
  <c r="AN180" i="5"/>
  <c r="AN159" i="5"/>
  <c r="AN155" i="5"/>
  <c r="AN151" i="5"/>
  <c r="AN144" i="5"/>
  <c r="AN81" i="5"/>
  <c r="AN165" i="5"/>
  <c r="AN134" i="5"/>
  <c r="AN106" i="5"/>
  <c r="Q55" i="3" s="1"/>
  <c r="AN79" i="5"/>
  <c r="AN40" i="5"/>
  <c r="AN38" i="5"/>
  <c r="AN170" i="5"/>
  <c r="AN157" i="5"/>
  <c r="AN161" i="5"/>
  <c r="AN138" i="5"/>
  <c r="AN174" i="5"/>
  <c r="AN107" i="5"/>
  <c r="Q56" i="3" s="1"/>
  <c r="AN66" i="5"/>
  <c r="AN64" i="5" s="1"/>
  <c r="Q37" i="3" s="1"/>
  <c r="AN39" i="5"/>
  <c r="AN11" i="5"/>
  <c r="AN172" i="5"/>
  <c r="AN136" i="5"/>
  <c r="AN37" i="5"/>
  <c r="AN29" i="5"/>
  <c r="AN27" i="5"/>
  <c r="AN105" i="5"/>
  <c r="Q54" i="3" s="1"/>
  <c r="AN104" i="5"/>
  <c r="AN140" i="5"/>
  <c r="AN132" i="5"/>
  <c r="AN93" i="5"/>
  <c r="AN82" i="5"/>
  <c r="AN78" i="5"/>
  <c r="AN142" i="5"/>
  <c r="AN100" i="5"/>
  <c r="AN99" i="5" s="1"/>
  <c r="Q51" i="3" s="1"/>
  <c r="AN36" i="5"/>
  <c r="AN34" i="5"/>
  <c r="AN32" i="5"/>
  <c r="AN24" i="5"/>
  <c r="AN20" i="5"/>
  <c r="AN21" i="5" s="1"/>
  <c r="AN31" i="5"/>
  <c r="AN28" i="5"/>
  <c r="AN45" i="5" s="1" a="1"/>
  <c r="AN45" i="5" s="1"/>
  <c r="AN13" i="5"/>
  <c r="AN202" i="5" s="1"/>
  <c r="AO5" i="5"/>
  <c r="AN41" i="5"/>
  <c r="AN35" i="5"/>
  <c r="AN33" i="5"/>
  <c r="AN50" i="5"/>
  <c r="AN153" i="5"/>
  <c r="AN16" i="5"/>
  <c r="AN17" i="5"/>
  <c r="AN12" i="5"/>
  <c r="AN14" i="5"/>
  <c r="AN30" i="5"/>
  <c r="AN6" i="5"/>
  <c r="AN18" i="5" s="1"/>
  <c r="AL74" i="5"/>
  <c r="AL72" i="5" s="1"/>
  <c r="W139" i="5"/>
  <c r="W159" i="5"/>
  <c r="X37" i="5"/>
  <c r="R77" i="5"/>
  <c r="AL222" i="5"/>
  <c r="AL214" i="5"/>
  <c r="S132" i="5"/>
  <c r="S172" i="5"/>
  <c r="S152" i="5"/>
  <c r="T30" i="5"/>
  <c r="P188" i="5"/>
  <c r="P189" i="5"/>
  <c r="P187" i="5"/>
  <c r="O30" i="3"/>
  <c r="Q59" i="5"/>
  <c r="AM75" i="5"/>
  <c r="AM74" i="5" s="1"/>
  <c r="AM72" i="5" s="1"/>
  <c r="AM57" i="5"/>
  <c r="AM55" i="5" s="1"/>
  <c r="AM103" i="5"/>
  <c r="Y142" i="5"/>
  <c r="Y162" i="5"/>
  <c r="Z40" i="5"/>
  <c r="AN196" i="5"/>
  <c r="AN195" i="5"/>
  <c r="AM4" i="7"/>
  <c r="AM3" i="7" s="1"/>
  <c r="AP4" i="6"/>
  <c r="AO5" i="6"/>
  <c r="AK223" i="5"/>
  <c r="AL221" i="5"/>
  <c r="AL46" i="5"/>
  <c r="AM209" i="5" s="1"/>
  <c r="AM213" i="5" s="1"/>
  <c r="AJ189" i="5"/>
  <c r="AJ187" i="5"/>
  <c r="AJ188" i="5"/>
  <c r="AL96" i="5"/>
  <c r="AL95" i="5" s="1"/>
  <c r="AM222" i="5" l="1"/>
  <c r="AM214" i="5"/>
  <c r="AM46" i="5"/>
  <c r="AN209" i="5" s="1"/>
  <c r="AN213" i="5" s="1"/>
  <c r="AM96" i="5"/>
  <c r="AM95" i="5" s="1"/>
  <c r="X160" i="5"/>
  <c r="X140" i="5"/>
  <c r="Y38" i="5"/>
  <c r="AM221" i="5"/>
  <c r="AL223" i="5"/>
  <c r="R223" i="5"/>
  <c r="S221" i="5"/>
  <c r="W178" i="5"/>
  <c r="X179" i="5" s="1"/>
  <c r="W138" i="5"/>
  <c r="W158" i="5"/>
  <c r="X36" i="5"/>
  <c r="AM47" i="5"/>
  <c r="AQ4" i="6"/>
  <c r="AP5" i="6"/>
  <c r="AN4" i="7"/>
  <c r="AN3" i="7" s="1"/>
  <c r="AO179" i="5"/>
  <c r="AO161" i="5"/>
  <c r="AO154" i="5"/>
  <c r="AO180" i="5"/>
  <c r="AO159" i="5"/>
  <c r="AO155" i="5"/>
  <c r="AO151" i="5"/>
  <c r="AO144" i="5"/>
  <c r="AO137" i="5"/>
  <c r="AO81" i="5"/>
  <c r="AO181" i="5"/>
  <c r="AO170" i="5"/>
  <c r="AO163" i="5"/>
  <c r="AO142" i="5"/>
  <c r="AO135" i="5"/>
  <c r="AO107" i="5"/>
  <c r="AO78" i="5"/>
  <c r="AO41" i="5"/>
  <c r="AO197" i="5"/>
  <c r="AP193" i="5" s="1"/>
  <c r="AO177" i="5"/>
  <c r="AO176" i="5"/>
  <c r="AO150" i="5"/>
  <c r="AO141" i="5"/>
  <c r="AO132" i="5"/>
  <c r="AO68" i="5" a="1"/>
  <c r="AO68" i="5" s="1"/>
  <c r="AO66" i="5"/>
  <c r="AO64" i="5" s="1"/>
  <c r="AO162" i="5"/>
  <c r="AO145" i="5"/>
  <c r="AO175" i="5"/>
  <c r="AO174" i="5"/>
  <c r="AO160" i="5"/>
  <c r="AO166" i="5"/>
  <c r="AO156" i="5"/>
  <c r="AO143" i="5"/>
  <c r="AO172" i="5"/>
  <c r="AO171" i="5"/>
  <c r="AO164" i="5"/>
  <c r="AO153" i="5"/>
  <c r="AO139" i="5"/>
  <c r="AO130" i="5"/>
  <c r="AO178" i="5"/>
  <c r="AO136" i="5"/>
  <c r="AO131" i="5"/>
  <c r="AO79" i="5"/>
  <c r="AO37" i="5"/>
  <c r="AO29" i="5"/>
  <c r="AO27" i="5"/>
  <c r="AO45" i="5" s="1" a="1"/>
  <c r="AO45" i="5" s="1"/>
  <c r="AO158" i="5"/>
  <c r="AO157" i="5"/>
  <c r="AO105" i="5"/>
  <c r="AO104" i="5"/>
  <c r="AO35" i="5"/>
  <c r="AO33" i="5"/>
  <c r="AO31" i="5"/>
  <c r="AO17" i="5"/>
  <c r="AP5" i="5"/>
  <c r="AO140" i="5"/>
  <c r="AO134" i="5"/>
  <c r="AO93" i="5"/>
  <c r="AO82" i="5"/>
  <c r="AO165" i="5"/>
  <c r="AO106" i="5"/>
  <c r="AO100" i="5"/>
  <c r="AO99" i="5" s="1"/>
  <c r="AO152" i="5"/>
  <c r="AO133" i="5"/>
  <c r="AO16" i="5"/>
  <c r="AO13" i="5"/>
  <c r="AO202" i="5" s="1"/>
  <c r="AO34" i="5"/>
  <c r="AO28" i="5"/>
  <c r="AO138" i="5"/>
  <c r="AO39" i="5"/>
  <c r="AO14" i="5"/>
  <c r="AO38" i="5"/>
  <c r="AO32" i="5"/>
  <c r="AO173" i="5"/>
  <c r="AO50" i="5"/>
  <c r="AO24" i="5"/>
  <c r="AO11" i="5"/>
  <c r="AO40" i="5"/>
  <c r="AO36" i="5"/>
  <c r="AO30" i="5"/>
  <c r="AO146" i="5"/>
  <c r="AO183" i="5" s="1" a="1"/>
  <c r="AO183" i="5" s="1"/>
  <c r="AO20" i="5"/>
  <c r="AO12" i="5"/>
  <c r="AO6" i="5"/>
  <c r="AO18" i="5" s="1"/>
  <c r="T173" i="5"/>
  <c r="T133" i="5"/>
  <c r="T153" i="5"/>
  <c r="U31" i="5"/>
  <c r="AN103" i="5"/>
  <c r="Q53" i="3"/>
  <c r="AO19" i="5"/>
  <c r="AO21" i="5" s="1"/>
  <c r="V176" i="5"/>
  <c r="V136" i="5"/>
  <c r="V156" i="5"/>
  <c r="W34" i="5"/>
  <c r="AO51" i="5"/>
  <c r="AO58" i="5" s="1"/>
  <c r="AN44" i="5"/>
  <c r="AN75" i="5"/>
  <c r="Q32" i="3"/>
  <c r="AM71" i="5"/>
  <c r="AM187" i="5" s="1"/>
  <c r="Z163" i="5"/>
  <c r="Z143" i="5"/>
  <c r="Q76" i="5"/>
  <c r="Q57" i="5"/>
  <c r="AL71" i="5"/>
  <c r="AL189" i="5" s="1"/>
  <c r="AN59" i="5"/>
  <c r="AN57" i="5" s="1"/>
  <c r="Q29" i="3"/>
  <c r="Q11" i="3" s="1"/>
  <c r="AO196" i="5"/>
  <c r="AO195" i="5"/>
  <c r="S19" i="5"/>
  <c r="S21" i="5" s="1"/>
  <c r="S24" i="5" s="1"/>
  <c r="S20" i="5"/>
  <c r="S17" i="5"/>
  <c r="AN62" i="5"/>
  <c r="S51" i="5"/>
  <c r="S58" i="5" s="1"/>
  <c r="R44" i="5"/>
  <c r="R45" i="5" a="1"/>
  <c r="R45" i="5" s="1"/>
  <c r="R130" i="5"/>
  <c r="R145" i="5" s="1"/>
  <c r="R146" i="5" s="1"/>
  <c r="R183" i="5" s="1" a="1"/>
  <c r="R183" i="5" s="1"/>
  <c r="R170" i="5"/>
  <c r="R180" i="5" s="1"/>
  <c r="R181" i="5" s="1"/>
  <c r="R150" i="5"/>
  <c r="R165" i="5" s="1"/>
  <c r="R166" i="5" s="1"/>
  <c r="S28" i="5"/>
  <c r="S18" i="5"/>
  <c r="S62" i="5" s="1"/>
  <c r="Q31" i="3" l="1"/>
  <c r="Q13" i="3" s="1"/>
  <c r="AN214" i="5"/>
  <c r="AN222" i="5"/>
  <c r="T20" i="5"/>
  <c r="T19" i="5"/>
  <c r="T21" i="5" s="1"/>
  <c r="S131" i="5"/>
  <c r="S171" i="5"/>
  <c r="S151" i="5"/>
  <c r="T29" i="5"/>
  <c r="AN46" i="5"/>
  <c r="AO209" i="5" s="1"/>
  <c r="AO213" i="5" s="1"/>
  <c r="AM188" i="5"/>
  <c r="AO44" i="5"/>
  <c r="AP51" i="5"/>
  <c r="AP58" i="5" s="1"/>
  <c r="AN76" i="5"/>
  <c r="Q33" i="3"/>
  <c r="Q52" i="3"/>
  <c r="AM189" i="5"/>
  <c r="R47" i="5"/>
  <c r="S209" i="5" s="1"/>
  <c r="S213" i="5" s="1"/>
  <c r="R50" i="5"/>
  <c r="Q55" i="5"/>
  <c r="Q81" i="5"/>
  <c r="Q82" i="5"/>
  <c r="W157" i="5"/>
  <c r="W137" i="5"/>
  <c r="W177" i="5"/>
  <c r="W79" i="5"/>
  <c r="X35" i="5"/>
  <c r="U154" i="5"/>
  <c r="U174" i="5"/>
  <c r="U78" i="5"/>
  <c r="U134" i="5"/>
  <c r="V32" i="5"/>
  <c r="AO62" i="5"/>
  <c r="AP19" i="5"/>
  <c r="AO75" i="5"/>
  <c r="AO4" i="7"/>
  <c r="AO3" i="7" s="1"/>
  <c r="AQ5" i="6"/>
  <c r="AR4" i="6"/>
  <c r="AP181" i="5"/>
  <c r="AP179" i="5"/>
  <c r="AP177" i="5"/>
  <c r="AP175" i="5"/>
  <c r="AP173" i="5"/>
  <c r="AP174" i="5"/>
  <c r="AP171" i="5"/>
  <c r="AP159" i="5"/>
  <c r="AP152" i="5"/>
  <c r="AP197" i="5"/>
  <c r="AQ193" i="5" s="1"/>
  <c r="AP170" i="5"/>
  <c r="AP163" i="5"/>
  <c r="AP142" i="5"/>
  <c r="AP135" i="5"/>
  <c r="AP107" i="5"/>
  <c r="AP78" i="5"/>
  <c r="AP140" i="5"/>
  <c r="AP133" i="5"/>
  <c r="AP105" i="5"/>
  <c r="AP178" i="5"/>
  <c r="AP166" i="5"/>
  <c r="AP162" i="5"/>
  <c r="AP158" i="5"/>
  <c r="AP154" i="5"/>
  <c r="AP146" i="5"/>
  <c r="AP183" i="5" s="1" a="1"/>
  <c r="AP183" i="5" s="1"/>
  <c r="AP139" i="5"/>
  <c r="AP130" i="5"/>
  <c r="AP176" i="5"/>
  <c r="AP160" i="5"/>
  <c r="AP155" i="5"/>
  <c r="AP150" i="5"/>
  <c r="AP144" i="5"/>
  <c r="AP172" i="5"/>
  <c r="AP165" i="5"/>
  <c r="AP180" i="5"/>
  <c r="AP164" i="5"/>
  <c r="AP141" i="5"/>
  <c r="AP157" i="5"/>
  <c r="AP156" i="5"/>
  <c r="AP104" i="5"/>
  <c r="AP103" i="5" s="1"/>
  <c r="AP35" i="5"/>
  <c r="AP33" i="5"/>
  <c r="AP31" i="5"/>
  <c r="AP17" i="5"/>
  <c r="AQ5" i="5"/>
  <c r="AP145" i="5"/>
  <c r="AP134" i="5"/>
  <c r="AP81" i="5"/>
  <c r="AP50" i="5"/>
  <c r="AP59" i="5" s="1"/>
  <c r="AP76" i="5" s="1"/>
  <c r="AP40" i="5"/>
  <c r="AP14" i="5"/>
  <c r="AP12" i="5"/>
  <c r="AP161" i="5"/>
  <c r="AP93" i="5"/>
  <c r="AP137" i="5"/>
  <c r="AP132" i="5"/>
  <c r="AP82" i="5"/>
  <c r="AP106" i="5"/>
  <c r="AP100" i="5"/>
  <c r="AP99" i="5" s="1"/>
  <c r="AP143" i="5"/>
  <c r="AP153" i="5"/>
  <c r="AP151" i="5"/>
  <c r="AP138" i="5"/>
  <c r="AP39" i="5"/>
  <c r="AP11" i="5"/>
  <c r="AP13" i="5"/>
  <c r="AP202" i="5" s="1"/>
  <c r="AP131" i="5"/>
  <c r="AP66" i="5"/>
  <c r="AP64" i="5" s="1"/>
  <c r="AP41" i="5"/>
  <c r="AP68" i="5" a="1"/>
  <c r="AP68" i="5" s="1"/>
  <c r="AP38" i="5"/>
  <c r="AP32" i="5"/>
  <c r="AP29" i="5"/>
  <c r="AP37" i="5"/>
  <c r="AP24" i="5"/>
  <c r="AP36" i="5"/>
  <c r="AP30" i="5"/>
  <c r="AP27" i="5"/>
  <c r="AP45" i="5" s="1" a="1"/>
  <c r="AP45" i="5" s="1"/>
  <c r="AP136" i="5"/>
  <c r="AP79" i="5"/>
  <c r="AP34" i="5"/>
  <c r="AP28" i="5"/>
  <c r="AP16" i="5"/>
  <c r="AP20" i="5"/>
  <c r="AP6" i="5"/>
  <c r="AP18" i="5" s="1"/>
  <c r="AP62" i="5" s="1"/>
  <c r="AP61" i="5" s="1"/>
  <c r="AP77" i="5" s="1"/>
  <c r="R46" i="5"/>
  <c r="S27" i="5"/>
  <c r="S66" i="5"/>
  <c r="S64" i="5" s="1"/>
  <c r="S75" i="5"/>
  <c r="Q74" i="5"/>
  <c r="AL188" i="5"/>
  <c r="AO59" i="5"/>
  <c r="AO57" i="5" s="1"/>
  <c r="AN221" i="5"/>
  <c r="AM223" i="5"/>
  <c r="S61" i="5"/>
  <c r="P35" i="3"/>
  <c r="AL187" i="5"/>
  <c r="AO103" i="5"/>
  <c r="X139" i="5"/>
  <c r="X159" i="5"/>
  <c r="Y37" i="5"/>
  <c r="Y141" i="5"/>
  <c r="Y161" i="5"/>
  <c r="Z39" i="5"/>
  <c r="AN96" i="5"/>
  <c r="AN61" i="5"/>
  <c r="AN55" i="5" s="1"/>
  <c r="Q35" i="3"/>
  <c r="AP195" i="5"/>
  <c r="AP196" i="5"/>
  <c r="AN47" i="5"/>
  <c r="Q30" i="3" l="1"/>
  <c r="S222" i="5"/>
  <c r="S214" i="5"/>
  <c r="AO222" i="5"/>
  <c r="AO214" i="5"/>
  <c r="AN95" i="5"/>
  <c r="Q49" i="3"/>
  <c r="Q48" i="3" s="1"/>
  <c r="Q20" i="3" s="1"/>
  <c r="AQ19" i="5"/>
  <c r="AP21" i="5"/>
  <c r="T172" i="5"/>
  <c r="T132" i="5"/>
  <c r="T152" i="5"/>
  <c r="U30" i="5"/>
  <c r="Z162" i="5"/>
  <c r="Z142" i="5"/>
  <c r="Q72" i="5"/>
  <c r="Q71" i="5" s="1"/>
  <c r="Q187" i="5" s="1"/>
  <c r="AS4" i="6"/>
  <c r="AR5" i="6"/>
  <c r="AP4" i="7"/>
  <c r="AP3" i="7" s="1"/>
  <c r="R59" i="5"/>
  <c r="AP57" i="5"/>
  <c r="AP55" i="5" s="1"/>
  <c r="AP75" i="5"/>
  <c r="AP74" i="5" s="1"/>
  <c r="AP72" i="5" s="1"/>
  <c r="AN223" i="5"/>
  <c r="AO221" i="5"/>
  <c r="AO46" i="5"/>
  <c r="Y140" i="5"/>
  <c r="Y160" i="5"/>
  <c r="Z38" i="5"/>
  <c r="AO61" i="5"/>
  <c r="AO55" i="5" s="1"/>
  <c r="V155" i="5"/>
  <c r="V135" i="5"/>
  <c r="V175" i="5"/>
  <c r="W33" i="5"/>
  <c r="S77" i="5"/>
  <c r="AQ197" i="5"/>
  <c r="AR193" i="5" s="1"/>
  <c r="AQ106" i="5"/>
  <c r="AQ166" i="5"/>
  <c r="AQ157" i="5"/>
  <c r="AQ150" i="5"/>
  <c r="AQ181" i="5"/>
  <c r="AQ140" i="5"/>
  <c r="AQ133" i="5"/>
  <c r="AQ105" i="5"/>
  <c r="AQ172" i="5"/>
  <c r="AQ164" i="5"/>
  <c r="AQ160" i="5"/>
  <c r="AQ156" i="5"/>
  <c r="AQ152" i="5"/>
  <c r="AQ138" i="5"/>
  <c r="AQ131" i="5"/>
  <c r="AQ104" i="5"/>
  <c r="AQ100" i="5"/>
  <c r="AQ99" i="5" s="1"/>
  <c r="AQ93" i="5"/>
  <c r="AQ180" i="5"/>
  <c r="AQ155" i="5"/>
  <c r="AQ151" i="5"/>
  <c r="AQ144" i="5"/>
  <c r="AQ137" i="5"/>
  <c r="AQ81" i="5"/>
  <c r="AQ175" i="5"/>
  <c r="AQ174" i="5"/>
  <c r="AQ165" i="5"/>
  <c r="AQ153" i="5"/>
  <c r="AQ143" i="5"/>
  <c r="AQ173" i="5"/>
  <c r="AQ171" i="5"/>
  <c r="AQ141" i="5"/>
  <c r="AQ146" i="5"/>
  <c r="AQ183" i="5" s="1" a="1"/>
  <c r="AQ183" i="5" s="1"/>
  <c r="AQ170" i="5"/>
  <c r="AQ142" i="5"/>
  <c r="AQ107" i="5"/>
  <c r="AQ159" i="5"/>
  <c r="AQ158" i="5"/>
  <c r="AQ145" i="5"/>
  <c r="AQ134" i="5"/>
  <c r="AQ68" i="5" a="1"/>
  <c r="AQ68" i="5" s="1"/>
  <c r="AQ50" i="5"/>
  <c r="AQ40" i="5"/>
  <c r="AQ14" i="5"/>
  <c r="AQ12" i="5"/>
  <c r="AQ177" i="5"/>
  <c r="AQ161" i="5"/>
  <c r="AQ176" i="5"/>
  <c r="AQ163" i="5"/>
  <c r="AQ132" i="5"/>
  <c r="AQ82" i="5"/>
  <c r="AQ139" i="5"/>
  <c r="AQ135" i="5"/>
  <c r="AQ130" i="5"/>
  <c r="AQ78" i="5"/>
  <c r="AQ179" i="5"/>
  <c r="AQ162" i="5"/>
  <c r="AQ136" i="5"/>
  <c r="AQ79" i="5"/>
  <c r="AQ66" i="5"/>
  <c r="AQ64" i="5" s="1"/>
  <c r="AQ37" i="5"/>
  <c r="AQ29" i="5"/>
  <c r="AQ27" i="5"/>
  <c r="AQ41" i="5"/>
  <c r="AR5" i="5"/>
  <c r="AQ11" i="5"/>
  <c r="AQ39" i="5"/>
  <c r="AQ38" i="5"/>
  <c r="AQ35" i="5"/>
  <c r="AQ32" i="5"/>
  <c r="AQ24" i="5"/>
  <c r="AQ36" i="5"/>
  <c r="AQ30" i="5"/>
  <c r="AQ33" i="5"/>
  <c r="AQ16" i="5"/>
  <c r="AQ20" i="5"/>
  <c r="AQ154" i="5"/>
  <c r="AQ178" i="5"/>
  <c r="AQ34" i="5"/>
  <c r="AQ28" i="5"/>
  <c r="AQ45" i="5" s="1" a="1"/>
  <c r="AQ45" i="5" s="1"/>
  <c r="AQ17" i="5"/>
  <c r="AQ13" i="5"/>
  <c r="AQ202" i="5" s="1"/>
  <c r="AQ31" i="5"/>
  <c r="AQ6" i="5"/>
  <c r="AQ18" i="5" s="1"/>
  <c r="AQ62" i="5" s="1"/>
  <c r="AQ61" i="5" s="1"/>
  <c r="AQ77" i="5" s="1"/>
  <c r="T24" i="5"/>
  <c r="T51" i="5"/>
  <c r="T58" i="5" s="1"/>
  <c r="S44" i="5"/>
  <c r="S170" i="5"/>
  <c r="S180" i="5" s="1"/>
  <c r="S181" i="5" s="1"/>
  <c r="S130" i="5"/>
  <c r="S145" i="5" s="1"/>
  <c r="S146" i="5" s="1"/>
  <c r="S183" i="5" s="1" a="1"/>
  <c r="S183" i="5" s="1"/>
  <c r="S150" i="5"/>
  <c r="S165" i="5" s="1"/>
  <c r="S166" i="5" s="1"/>
  <c r="S45" i="5" a="1"/>
  <c r="S45" i="5" s="1"/>
  <c r="T66" i="5"/>
  <c r="T64" i="5" s="1"/>
  <c r="T61" i="5" s="1"/>
  <c r="T77" i="5" s="1"/>
  <c r="T28" i="5"/>
  <c r="Q21" i="3"/>
  <c r="T17" i="5"/>
  <c r="U19" i="5" s="1"/>
  <c r="U21" i="5" s="1"/>
  <c r="AO47" i="5"/>
  <c r="AP209" i="5" s="1"/>
  <c r="AP213" i="5" s="1"/>
  <c r="AQ51" i="5"/>
  <c r="AQ58" i="5" s="1"/>
  <c r="AP44" i="5"/>
  <c r="Q12" i="3"/>
  <c r="AN77" i="5"/>
  <c r="AN74" i="5" s="1"/>
  <c r="Q34" i="3"/>
  <c r="Q14" i="3" s="1"/>
  <c r="AO76" i="5"/>
  <c r="AQ196" i="5"/>
  <c r="AQ195" i="5"/>
  <c r="X138" i="5"/>
  <c r="X178" i="5"/>
  <c r="Y179" i="5" s="1"/>
  <c r="X158" i="5"/>
  <c r="Y36" i="5"/>
  <c r="AO96" i="5"/>
  <c r="AP222" i="5" l="1"/>
  <c r="AP214" i="5"/>
  <c r="AP46" i="5"/>
  <c r="AQ209" i="5" s="1"/>
  <c r="AQ213" i="5" s="1"/>
  <c r="AP96" i="5"/>
  <c r="AP95" i="5" s="1"/>
  <c r="AP71" i="5" s="1"/>
  <c r="AR51" i="5"/>
  <c r="AR58" i="5" s="1"/>
  <c r="AQ44" i="5"/>
  <c r="P37" i="3"/>
  <c r="T75" i="5"/>
  <c r="P32" i="3"/>
  <c r="AR180" i="5"/>
  <c r="AR178" i="5"/>
  <c r="AR176" i="5"/>
  <c r="AR174" i="5"/>
  <c r="AR172" i="5"/>
  <c r="AR170" i="5"/>
  <c r="AR165" i="5"/>
  <c r="AR163" i="5"/>
  <c r="AR161" i="5"/>
  <c r="AR159" i="5"/>
  <c r="AR157" i="5"/>
  <c r="AR155" i="5"/>
  <c r="AR153" i="5"/>
  <c r="AR151" i="5"/>
  <c r="AR146" i="5"/>
  <c r="AR183" i="5" s="1" a="1"/>
  <c r="AR183" i="5" s="1"/>
  <c r="AR144" i="5"/>
  <c r="AR142" i="5"/>
  <c r="AR140" i="5"/>
  <c r="AR138" i="5"/>
  <c r="AR136" i="5"/>
  <c r="AR134" i="5"/>
  <c r="AR132" i="5"/>
  <c r="AR130" i="5"/>
  <c r="AR177" i="5"/>
  <c r="AR164" i="5"/>
  <c r="AR160" i="5"/>
  <c r="AR156" i="5"/>
  <c r="AR152" i="5"/>
  <c r="AR131" i="5"/>
  <c r="AR104" i="5"/>
  <c r="AR103" i="5" s="1"/>
  <c r="AR100" i="5"/>
  <c r="AR99" i="5" s="1"/>
  <c r="AR93" i="5"/>
  <c r="AR68" i="5" a="1"/>
  <c r="AR68" i="5" s="1"/>
  <c r="AR171" i="5"/>
  <c r="AR145" i="5"/>
  <c r="AR82" i="5"/>
  <c r="AR50" i="5"/>
  <c r="AR59" i="5" s="1"/>
  <c r="AR76" i="5" s="1"/>
  <c r="AR197" i="5"/>
  <c r="AS193" i="5" s="1"/>
  <c r="AR179" i="5"/>
  <c r="AR135" i="5"/>
  <c r="AR107" i="5"/>
  <c r="AR78" i="5"/>
  <c r="AR41" i="5"/>
  <c r="AR39" i="5"/>
  <c r="AR37" i="5"/>
  <c r="AR173" i="5"/>
  <c r="AR154" i="5"/>
  <c r="AR139" i="5"/>
  <c r="AR175" i="5"/>
  <c r="AR106" i="5"/>
  <c r="AR141" i="5"/>
  <c r="AR105" i="5"/>
  <c r="AR81" i="5"/>
  <c r="AR166" i="5"/>
  <c r="AR38" i="5"/>
  <c r="AR30" i="5"/>
  <c r="AR28" i="5"/>
  <c r="AR137" i="5"/>
  <c r="AR181" i="5"/>
  <c r="AR143" i="5"/>
  <c r="AR162" i="5"/>
  <c r="AR133" i="5"/>
  <c r="AR79" i="5"/>
  <c r="AR150" i="5"/>
  <c r="AR35" i="5"/>
  <c r="AR33" i="5"/>
  <c r="AR31" i="5"/>
  <c r="AR17" i="5"/>
  <c r="AR66" i="5"/>
  <c r="AR64" i="5" s="1"/>
  <c r="AR32" i="5"/>
  <c r="AR29" i="5"/>
  <c r="AR24" i="5"/>
  <c r="AR14" i="5"/>
  <c r="AR16" i="5"/>
  <c r="AR36" i="5"/>
  <c r="AR11" i="5"/>
  <c r="AR40" i="5"/>
  <c r="AR27" i="5"/>
  <c r="AR20" i="5"/>
  <c r="AR12" i="5"/>
  <c r="AR34" i="5"/>
  <c r="AR158" i="5"/>
  <c r="AR13" i="5"/>
  <c r="AR202" i="5" s="1"/>
  <c r="AS5" i="5"/>
  <c r="AR6" i="5"/>
  <c r="AR18" i="5" s="1"/>
  <c r="AR62" i="5" s="1"/>
  <c r="S223" i="5"/>
  <c r="T221" i="5"/>
  <c r="AQ4" i="7"/>
  <c r="AQ3" i="7" s="1"/>
  <c r="AS5" i="6"/>
  <c r="AT4" i="6"/>
  <c r="AO95" i="5"/>
  <c r="Q189" i="5"/>
  <c r="AP47" i="5"/>
  <c r="S47" i="5"/>
  <c r="T50" i="5"/>
  <c r="T59" i="5" s="1"/>
  <c r="T76" i="5" s="1"/>
  <c r="S50" i="5"/>
  <c r="Q188" i="5"/>
  <c r="P34" i="3"/>
  <c r="Y139" i="5"/>
  <c r="Y159" i="5"/>
  <c r="Z37" i="5"/>
  <c r="W156" i="5"/>
  <c r="W176" i="5"/>
  <c r="W136" i="5"/>
  <c r="X34" i="5"/>
  <c r="R76" i="5"/>
  <c r="R57" i="5"/>
  <c r="U153" i="5"/>
  <c r="U173" i="5"/>
  <c r="U133" i="5"/>
  <c r="V31" i="5"/>
  <c r="T171" i="5"/>
  <c r="T180" i="5" s="1"/>
  <c r="T181" i="5" s="1"/>
  <c r="T131" i="5"/>
  <c r="T145" i="5" s="1"/>
  <c r="T146" i="5" s="1"/>
  <c r="T183" i="5" s="1" a="1"/>
  <c r="T183" i="5" s="1"/>
  <c r="T151" i="5"/>
  <c r="T165" i="5" s="1"/>
  <c r="T166" i="5" s="1"/>
  <c r="T44" i="5"/>
  <c r="T45" i="5" a="1"/>
  <c r="T45" i="5" s="1"/>
  <c r="U29" i="5"/>
  <c r="U51" i="5"/>
  <c r="U58" i="5" s="1"/>
  <c r="AQ57" i="5"/>
  <c r="AQ75" i="5"/>
  <c r="AQ103" i="5"/>
  <c r="AR195" i="5"/>
  <c r="AR196" i="5"/>
  <c r="AO77" i="5"/>
  <c r="AO74" i="5" s="1"/>
  <c r="Z161" i="5"/>
  <c r="Z141" i="5"/>
  <c r="AN72" i="5"/>
  <c r="AN71" i="5" s="1"/>
  <c r="Q43" i="3"/>
  <c r="Q41" i="3" s="1"/>
  <c r="S46" i="5"/>
  <c r="T209" i="5" s="1"/>
  <c r="T213" i="5" s="1"/>
  <c r="AR19" i="5"/>
  <c r="AR21" i="5" s="1"/>
  <c r="AQ59" i="5"/>
  <c r="AQ21" i="5"/>
  <c r="AO223" i="5"/>
  <c r="AP221" i="5"/>
  <c r="AQ222" i="5" l="1"/>
  <c r="AQ214" i="5"/>
  <c r="AP188" i="5"/>
  <c r="AP187" i="5"/>
  <c r="AP189" i="5"/>
  <c r="T222" i="5"/>
  <c r="T214" i="5"/>
  <c r="AO72" i="5"/>
  <c r="AO71" i="5" s="1"/>
  <c r="T47" i="5"/>
  <c r="Z140" i="5"/>
  <c r="Z160" i="5"/>
  <c r="S59" i="5"/>
  <c r="AR209" i="5"/>
  <c r="AR213" i="5" s="1"/>
  <c r="AQ46" i="5"/>
  <c r="AQ96" i="5"/>
  <c r="AQ95" i="5" s="1"/>
  <c r="AP223" i="5"/>
  <c r="AQ221" i="5"/>
  <c r="R55" i="5"/>
  <c r="R82" i="5"/>
  <c r="R81" i="5"/>
  <c r="R74" i="5" s="1"/>
  <c r="AS195" i="5"/>
  <c r="AS196" i="5"/>
  <c r="T57" i="5"/>
  <c r="AR57" i="5"/>
  <c r="AR75" i="5"/>
  <c r="T46" i="5"/>
  <c r="U209" i="5" s="1"/>
  <c r="U213" i="5" s="1"/>
  <c r="AR44" i="5"/>
  <c r="AS51" i="5"/>
  <c r="AS58" i="5" s="1"/>
  <c r="Q18" i="3"/>
  <c r="Q17" i="3" s="1"/>
  <c r="Q22" i="3" s="1"/>
  <c r="Q23" i="3" s="1"/>
  <c r="Q40" i="3"/>
  <c r="AS197" i="5"/>
  <c r="AT193" i="5" s="1"/>
  <c r="AS180" i="5"/>
  <c r="AS172" i="5"/>
  <c r="AS162" i="5"/>
  <c r="AS155" i="5"/>
  <c r="AS171" i="5"/>
  <c r="AS164" i="5"/>
  <c r="AS145" i="5"/>
  <c r="AS138" i="5"/>
  <c r="AS82" i="5"/>
  <c r="AS50" i="5"/>
  <c r="AS59" i="5" s="1"/>
  <c r="AS76" i="5" s="1"/>
  <c r="AS173" i="5"/>
  <c r="AS153" i="5"/>
  <c r="AS143" i="5"/>
  <c r="AS136" i="5"/>
  <c r="AS79" i="5"/>
  <c r="AS40" i="5"/>
  <c r="AS181" i="5"/>
  <c r="AS170" i="5"/>
  <c r="AS163" i="5"/>
  <c r="AS159" i="5"/>
  <c r="AS142" i="5"/>
  <c r="AS133" i="5"/>
  <c r="AS105" i="5"/>
  <c r="AS68" i="5" a="1"/>
  <c r="AS68" i="5" s="1"/>
  <c r="AS158" i="5"/>
  <c r="AS141" i="5"/>
  <c r="AS179" i="5"/>
  <c r="AS178" i="5"/>
  <c r="AS160" i="5"/>
  <c r="AS154" i="5"/>
  <c r="AS146" i="5"/>
  <c r="AS183" i="5" s="1" a="1"/>
  <c r="AS183" i="5" s="1"/>
  <c r="AS139" i="5"/>
  <c r="AS176" i="5"/>
  <c r="AS152" i="5"/>
  <c r="AS137" i="5"/>
  <c r="AS177" i="5"/>
  <c r="AS166" i="5"/>
  <c r="AS161" i="5"/>
  <c r="AS38" i="5"/>
  <c r="AS30" i="5"/>
  <c r="AS28" i="5"/>
  <c r="AS140" i="5"/>
  <c r="AS132" i="5"/>
  <c r="AS93" i="5"/>
  <c r="AS36" i="5"/>
  <c r="AS34" i="5"/>
  <c r="AS32" i="5"/>
  <c r="AS24" i="5"/>
  <c r="AS20" i="5"/>
  <c r="AS144" i="5"/>
  <c r="AS175" i="5"/>
  <c r="AS135" i="5"/>
  <c r="AS130" i="5"/>
  <c r="AS106" i="5"/>
  <c r="AS100" i="5"/>
  <c r="AS99" i="5" s="1"/>
  <c r="AS78" i="5"/>
  <c r="AS165" i="5"/>
  <c r="AS174" i="5"/>
  <c r="AS151" i="5"/>
  <c r="AS150" i="5"/>
  <c r="AS131" i="5"/>
  <c r="AS14" i="5"/>
  <c r="AS12" i="5"/>
  <c r="AS39" i="5"/>
  <c r="AS35" i="5"/>
  <c r="AS29" i="5"/>
  <c r="AS45" i="5" s="1" a="1"/>
  <c r="AS45" i="5" s="1"/>
  <c r="AS156" i="5"/>
  <c r="AS107" i="5"/>
  <c r="AS11" i="5"/>
  <c r="AS81" i="5"/>
  <c r="AS37" i="5"/>
  <c r="AS16" i="5"/>
  <c r="AS33" i="5"/>
  <c r="AS27" i="5"/>
  <c r="AS104" i="5"/>
  <c r="AS134" i="5"/>
  <c r="AS157" i="5"/>
  <c r="AS66" i="5"/>
  <c r="AS64" i="5" s="1"/>
  <c r="AS17" i="5"/>
  <c r="AS13" i="5"/>
  <c r="AS202" i="5" s="1"/>
  <c r="AS31" i="5"/>
  <c r="AT5" i="5"/>
  <c r="AS41" i="5"/>
  <c r="AS6" i="5"/>
  <c r="AS18" i="5" s="1"/>
  <c r="AS62" i="5" s="1"/>
  <c r="AS61" i="5" s="1"/>
  <c r="AS77" i="5" s="1"/>
  <c r="AS19" i="5"/>
  <c r="AS21" i="5" s="1"/>
  <c r="AR45" i="5" a="1"/>
  <c r="AR45" i="5" s="1"/>
  <c r="AR47" i="5" s="1"/>
  <c r="AR61" i="5"/>
  <c r="AN188" i="5"/>
  <c r="AN187" i="5"/>
  <c r="AN189" i="5"/>
  <c r="Q57" i="3" s="1"/>
  <c r="X157" i="5"/>
  <c r="X79" i="5"/>
  <c r="X177" i="5"/>
  <c r="X137" i="5"/>
  <c r="Y35" i="5"/>
  <c r="P14" i="3"/>
  <c r="AT5" i="6"/>
  <c r="AU4" i="6"/>
  <c r="AR4" i="7"/>
  <c r="AR3" i="7" s="1"/>
  <c r="AQ55" i="5"/>
  <c r="V78" i="5"/>
  <c r="V154" i="5"/>
  <c r="V134" i="5"/>
  <c r="V174" i="5"/>
  <c r="W32" i="5"/>
  <c r="AQ74" i="5"/>
  <c r="AQ72" i="5" s="1"/>
  <c r="AQ71" i="5" s="1"/>
  <c r="U75" i="5"/>
  <c r="AQ47" i="5"/>
  <c r="AQ76" i="5"/>
  <c r="U152" i="5"/>
  <c r="U165" i="5" s="1"/>
  <c r="U166" i="5" s="1"/>
  <c r="U132" i="5"/>
  <c r="U145" i="5" s="1"/>
  <c r="U146" i="5" s="1"/>
  <c r="U183" i="5" s="1" a="1"/>
  <c r="U183" i="5" s="1"/>
  <c r="U172" i="5"/>
  <c r="U180" i="5" s="1"/>
  <c r="U181" i="5" s="1"/>
  <c r="U44" i="5"/>
  <c r="V30" i="5"/>
  <c r="U45" i="5" a="1"/>
  <c r="U45" i="5" s="1"/>
  <c r="U50" i="5" s="1"/>
  <c r="U59" i="5" l="1"/>
  <c r="U214" i="5"/>
  <c r="U222" i="5"/>
  <c r="R72" i="5"/>
  <c r="R71" i="5" s="1"/>
  <c r="R187" i="5" s="1"/>
  <c r="AS47" i="5"/>
  <c r="V133" i="5"/>
  <c r="V145" i="5" s="1"/>
  <c r="V146" i="5" s="1"/>
  <c r="V183" i="5" s="1" a="1"/>
  <c r="V183" i="5" s="1"/>
  <c r="V173" i="5"/>
  <c r="V180" i="5" s="1"/>
  <c r="V181" i="5" s="1"/>
  <c r="V153" i="5"/>
  <c r="V165" i="5" s="1"/>
  <c r="V166" i="5" s="1"/>
  <c r="V45" i="5" a="1"/>
  <c r="V45" i="5" s="1"/>
  <c r="V44" i="5"/>
  <c r="W31" i="5"/>
  <c r="AT19" i="5"/>
  <c r="V209" i="5"/>
  <c r="V213" i="5" s="1"/>
  <c r="U46" i="5"/>
  <c r="U96" i="5"/>
  <c r="Y138" i="5"/>
  <c r="Y178" i="5"/>
  <c r="Z179" i="5" s="1"/>
  <c r="Y158" i="5"/>
  <c r="Z36" i="5"/>
  <c r="AS103" i="5"/>
  <c r="AS75" i="5"/>
  <c r="AS74" i="5" s="1"/>
  <c r="AS72" i="5" s="1"/>
  <c r="AS57" i="5"/>
  <c r="AQ187" i="5"/>
  <c r="AQ188" i="5"/>
  <c r="AQ189" i="5"/>
  <c r="AT180" i="5"/>
  <c r="AT178" i="5"/>
  <c r="AT176" i="5"/>
  <c r="AT174" i="5"/>
  <c r="AT172" i="5"/>
  <c r="AT175" i="5"/>
  <c r="AT160" i="5"/>
  <c r="AT153" i="5"/>
  <c r="AT173" i="5"/>
  <c r="AT143" i="5"/>
  <c r="AT136" i="5"/>
  <c r="AT79" i="5"/>
  <c r="AT197" i="5"/>
  <c r="AU193" i="5" s="1"/>
  <c r="AT165" i="5"/>
  <c r="AT161" i="5"/>
  <c r="AT157" i="5"/>
  <c r="AT141" i="5"/>
  <c r="AT134" i="5"/>
  <c r="AT106" i="5"/>
  <c r="AT66" i="5"/>
  <c r="AT64" i="5" s="1"/>
  <c r="AT156" i="5"/>
  <c r="AT152" i="5"/>
  <c r="AT140" i="5"/>
  <c r="AT131" i="5"/>
  <c r="AT104" i="5"/>
  <c r="AT100" i="5"/>
  <c r="AT99" i="5" s="1"/>
  <c r="AT93" i="5"/>
  <c r="AT142" i="5"/>
  <c r="AT171" i="5"/>
  <c r="AT163" i="5"/>
  <c r="AT177" i="5"/>
  <c r="AT162" i="5"/>
  <c r="AT164" i="5"/>
  <c r="AT155" i="5"/>
  <c r="AT144" i="5"/>
  <c r="AT166" i="5"/>
  <c r="AT159" i="5"/>
  <c r="AT158" i="5"/>
  <c r="AT151" i="5"/>
  <c r="AT105" i="5"/>
  <c r="AT132" i="5"/>
  <c r="AT36" i="5"/>
  <c r="AT34" i="5"/>
  <c r="AT32" i="5"/>
  <c r="AT24" i="5"/>
  <c r="AT20" i="5"/>
  <c r="AT137" i="5"/>
  <c r="AT82" i="5"/>
  <c r="AT41" i="5"/>
  <c r="AT16" i="5"/>
  <c r="AT13" i="5"/>
  <c r="AT202" i="5" s="1"/>
  <c r="AT181" i="5"/>
  <c r="AT135" i="5"/>
  <c r="AT130" i="5"/>
  <c r="AT78" i="5"/>
  <c r="AT139" i="5"/>
  <c r="AT150" i="5"/>
  <c r="AT133" i="5"/>
  <c r="AT179" i="5"/>
  <c r="AT170" i="5"/>
  <c r="AT138" i="5"/>
  <c r="AT154" i="5"/>
  <c r="AT146" i="5"/>
  <c r="AT183" i="5" s="1" a="1"/>
  <c r="AT183" i="5" s="1"/>
  <c r="AT107" i="5"/>
  <c r="AT81" i="5"/>
  <c r="AT40" i="5"/>
  <c r="AT68" i="5" a="1"/>
  <c r="AT68" i="5" s="1"/>
  <c r="AT38" i="5"/>
  <c r="AT14" i="5"/>
  <c r="AT11" i="5"/>
  <c r="AT145" i="5"/>
  <c r="AT37" i="5"/>
  <c r="AT33" i="5"/>
  <c r="AT30" i="5"/>
  <c r="AT27" i="5"/>
  <c r="AT50" i="5"/>
  <c r="AT59" i="5" s="1"/>
  <c r="AT76" i="5" s="1"/>
  <c r="AT12" i="5"/>
  <c r="AT17" i="5"/>
  <c r="AT31" i="5"/>
  <c r="AT28" i="5"/>
  <c r="AT29" i="5"/>
  <c r="AT39" i="5"/>
  <c r="AU5" i="5"/>
  <c r="AT35" i="5"/>
  <c r="AT6" i="5"/>
  <c r="AT18" i="5" s="1"/>
  <c r="AT62" i="5" s="1"/>
  <c r="AT61" i="5" s="1"/>
  <c r="AT77" i="5" s="1"/>
  <c r="AT51" i="5"/>
  <c r="AT58" i="5" s="1"/>
  <c r="AS44" i="5"/>
  <c r="AR46" i="5"/>
  <c r="AS209" i="5" s="1"/>
  <c r="AS213" i="5" s="1"/>
  <c r="AR96" i="5"/>
  <c r="AR95" i="5" s="1"/>
  <c r="AR74" i="5"/>
  <c r="AO187" i="5"/>
  <c r="AO189" i="5"/>
  <c r="AO188" i="5"/>
  <c r="AQ223" i="5"/>
  <c r="AR221" i="5"/>
  <c r="W175" i="5"/>
  <c r="W155" i="5"/>
  <c r="W135" i="5"/>
  <c r="X33" i="5"/>
  <c r="AS4" i="7"/>
  <c r="AS3" i="7" s="1"/>
  <c r="AV4" i="6"/>
  <c r="AU5" i="6"/>
  <c r="AT195" i="5"/>
  <c r="AT196" i="5"/>
  <c r="AR55" i="5"/>
  <c r="AR77" i="5"/>
  <c r="AR222" i="5"/>
  <c r="AR214" i="5"/>
  <c r="U47" i="5"/>
  <c r="V50" i="5"/>
  <c r="V59" i="5" s="1"/>
  <c r="T55" i="5"/>
  <c r="T81" i="5"/>
  <c r="T82" i="5"/>
  <c r="S76" i="5"/>
  <c r="S57" i="5"/>
  <c r="U221" i="5"/>
  <c r="T223" i="5"/>
  <c r="AS214" i="5" l="1"/>
  <c r="AS222" i="5"/>
  <c r="S55" i="5"/>
  <c r="S81" i="5"/>
  <c r="S74" i="5" s="1"/>
  <c r="S82" i="5"/>
  <c r="Z159" i="5"/>
  <c r="Z139" i="5"/>
  <c r="R188" i="5"/>
  <c r="X176" i="5"/>
  <c r="X136" i="5"/>
  <c r="X156" i="5"/>
  <c r="Y34" i="5"/>
  <c r="AT75" i="5"/>
  <c r="AT74" i="5" s="1"/>
  <c r="AT72" i="5" s="1"/>
  <c r="AT57" i="5"/>
  <c r="AT55" i="5" s="1"/>
  <c r="AU19" i="5"/>
  <c r="AU21" i="5" s="1"/>
  <c r="V222" i="5"/>
  <c r="V214" i="5"/>
  <c r="AU107" i="5"/>
  <c r="AU105" i="5"/>
  <c r="AU170" i="5"/>
  <c r="AU158" i="5"/>
  <c r="AU151" i="5"/>
  <c r="AU197" i="5"/>
  <c r="AV193" i="5" s="1"/>
  <c r="AU172" i="5"/>
  <c r="AU165" i="5"/>
  <c r="AU161" i="5"/>
  <c r="AU157" i="5"/>
  <c r="AU153" i="5"/>
  <c r="AU141" i="5"/>
  <c r="AU134" i="5"/>
  <c r="AU106" i="5"/>
  <c r="AU66" i="5"/>
  <c r="AU64" i="5" s="1"/>
  <c r="AU175" i="5"/>
  <c r="AU174" i="5"/>
  <c r="AU154" i="5"/>
  <c r="AU150" i="5"/>
  <c r="AU139" i="5"/>
  <c r="AU132" i="5"/>
  <c r="AU171" i="5"/>
  <c r="AU164" i="5"/>
  <c r="AU160" i="5"/>
  <c r="AU145" i="5"/>
  <c r="AU138" i="5"/>
  <c r="AU82" i="5"/>
  <c r="AU50" i="5"/>
  <c r="AU59" i="5" s="1"/>
  <c r="AU76" i="5" s="1"/>
  <c r="AU163" i="5"/>
  <c r="AU166" i="5"/>
  <c r="AU176" i="5"/>
  <c r="AU144" i="5"/>
  <c r="AU173" i="5"/>
  <c r="AU177" i="5"/>
  <c r="AU162" i="5"/>
  <c r="AU140" i="5"/>
  <c r="AU136" i="5"/>
  <c r="AU135" i="5"/>
  <c r="AU137" i="5"/>
  <c r="AU93" i="5"/>
  <c r="AU41" i="5"/>
  <c r="AU16" i="5"/>
  <c r="AU13" i="5"/>
  <c r="AU202" i="5" s="1"/>
  <c r="AU181" i="5"/>
  <c r="AU130" i="5"/>
  <c r="AU78" i="5"/>
  <c r="AU11" i="5"/>
  <c r="AU100" i="5"/>
  <c r="AU99" i="5" s="1"/>
  <c r="AU143" i="5"/>
  <c r="AU133" i="5"/>
  <c r="AU180" i="5"/>
  <c r="AU179" i="5"/>
  <c r="AU79" i="5"/>
  <c r="AU152" i="5"/>
  <c r="AU146" i="5"/>
  <c r="AU183" i="5" s="1" a="1"/>
  <c r="AU183" i="5" s="1"/>
  <c r="AU142" i="5"/>
  <c r="AU131" i="5"/>
  <c r="AU81" i="5"/>
  <c r="AU178" i="5"/>
  <c r="AU156" i="5"/>
  <c r="AU104" i="5"/>
  <c r="AU38" i="5"/>
  <c r="AU30" i="5"/>
  <c r="AU28" i="5"/>
  <c r="AU45" i="5" s="1" a="1"/>
  <c r="AU45" i="5" s="1"/>
  <c r="AU37" i="5"/>
  <c r="AU24" i="5"/>
  <c r="AU36" i="5"/>
  <c r="AU33" i="5"/>
  <c r="AU27" i="5"/>
  <c r="AU20" i="5"/>
  <c r="AU12" i="5"/>
  <c r="AU40" i="5"/>
  <c r="AU17" i="5"/>
  <c r="AU159" i="5"/>
  <c r="AU155" i="5"/>
  <c r="AU34" i="5"/>
  <c r="AU31" i="5"/>
  <c r="AV5" i="5"/>
  <c r="AU68" i="5" a="1"/>
  <c r="AU68" i="5" s="1"/>
  <c r="AU32" i="5"/>
  <c r="AU39" i="5"/>
  <c r="AU14" i="5"/>
  <c r="AU35" i="5"/>
  <c r="AU29" i="5"/>
  <c r="AU6" i="5"/>
  <c r="AU18" i="5" s="1"/>
  <c r="AU51" i="5"/>
  <c r="AU58" i="5" s="1"/>
  <c r="AT44" i="5"/>
  <c r="AU195" i="5"/>
  <c r="AU196" i="5"/>
  <c r="W154" i="5"/>
  <c r="W165" i="5" s="1"/>
  <c r="W166" i="5" s="1"/>
  <c r="W174" i="5"/>
  <c r="W180" i="5" s="1"/>
  <c r="W181" i="5" s="1"/>
  <c r="W134" i="5"/>
  <c r="W145" i="5" s="1"/>
  <c r="W146" i="5" s="1"/>
  <c r="W183" i="5" s="1" a="1"/>
  <c r="W183" i="5" s="1"/>
  <c r="W78" i="5"/>
  <c r="W44" i="5"/>
  <c r="W45" i="5" a="1"/>
  <c r="W45" i="5" s="1"/>
  <c r="X32" i="5"/>
  <c r="X78" i="5" s="1"/>
  <c r="AS221" i="5"/>
  <c r="AR223" i="5"/>
  <c r="V46" i="5"/>
  <c r="W209" i="5" s="1"/>
  <c r="W213" i="5" s="1"/>
  <c r="V96" i="5"/>
  <c r="V95" i="5" s="1"/>
  <c r="U223" i="5"/>
  <c r="V221" i="5"/>
  <c r="T74" i="5"/>
  <c r="T72" i="5" s="1"/>
  <c r="T71" i="5" s="1"/>
  <c r="T189" i="5" s="1"/>
  <c r="AT45" i="5" a="1"/>
  <c r="AT45" i="5" s="1"/>
  <c r="AT47" i="5" s="1"/>
  <c r="V47" i="5"/>
  <c r="AR72" i="5"/>
  <c r="AR71" i="5" s="1"/>
  <c r="AR189" i="5" s="1"/>
  <c r="AT21" i="5"/>
  <c r="R189" i="5"/>
  <c r="AV5" i="6"/>
  <c r="AW4" i="6"/>
  <c r="AT4" i="7"/>
  <c r="AT3" i="7" s="1"/>
  <c r="AS55" i="5"/>
  <c r="V76" i="5"/>
  <c r="V57" i="5"/>
  <c r="AS46" i="5"/>
  <c r="AT209" i="5" s="1"/>
  <c r="AT213" i="5" s="1"/>
  <c r="AS96" i="5"/>
  <c r="AT103" i="5"/>
  <c r="U95" i="5"/>
  <c r="U76" i="5"/>
  <c r="U57" i="5"/>
  <c r="AT214" i="5" l="1"/>
  <c r="AT222" i="5"/>
  <c r="W222" i="5"/>
  <c r="W214" i="5"/>
  <c r="S72" i="5"/>
  <c r="S71" i="5" s="1"/>
  <c r="S189" i="5" s="1"/>
  <c r="T188" i="5"/>
  <c r="AR188" i="5"/>
  <c r="AR187" i="5"/>
  <c r="AT71" i="5"/>
  <c r="AT188" i="5" s="1"/>
  <c r="T187" i="5"/>
  <c r="AU4" i="7"/>
  <c r="AU3" i="7" s="1"/>
  <c r="AW5" i="6"/>
  <c r="AX4" i="6"/>
  <c r="W46" i="5"/>
  <c r="W96" i="5"/>
  <c r="W95" i="5" s="1"/>
  <c r="AU75" i="5"/>
  <c r="AU57" i="5"/>
  <c r="AV197" i="5"/>
  <c r="AW193" i="5" s="1"/>
  <c r="AV181" i="5"/>
  <c r="AV179" i="5"/>
  <c r="AV177" i="5"/>
  <c r="AV175" i="5"/>
  <c r="AV173" i="5"/>
  <c r="AV171" i="5"/>
  <c r="AV166" i="5"/>
  <c r="AV164" i="5"/>
  <c r="AV162" i="5"/>
  <c r="AV160" i="5"/>
  <c r="AV158" i="5"/>
  <c r="AV156" i="5"/>
  <c r="AV154" i="5"/>
  <c r="AV152" i="5"/>
  <c r="AV150" i="5"/>
  <c r="AV145" i="5"/>
  <c r="AV143" i="5"/>
  <c r="AV141" i="5"/>
  <c r="AV139" i="5"/>
  <c r="AV137" i="5"/>
  <c r="AV135" i="5"/>
  <c r="AV133" i="5"/>
  <c r="AV131" i="5"/>
  <c r="AV178" i="5"/>
  <c r="AV165" i="5"/>
  <c r="AV174" i="5"/>
  <c r="AV132" i="5"/>
  <c r="AV68" i="5" a="1"/>
  <c r="AV68" i="5" s="1"/>
  <c r="AV176" i="5"/>
  <c r="AV146" i="5"/>
  <c r="AV183" i="5" s="1" a="1"/>
  <c r="AV183" i="5" s="1"/>
  <c r="AV130" i="5"/>
  <c r="AV81" i="5"/>
  <c r="AV136" i="5"/>
  <c r="AV79" i="5"/>
  <c r="AV40" i="5"/>
  <c r="AV38" i="5"/>
  <c r="AV36" i="5"/>
  <c r="AV172" i="5"/>
  <c r="AV151" i="5"/>
  <c r="AV140" i="5"/>
  <c r="AV161" i="5"/>
  <c r="AV170" i="5"/>
  <c r="AV163" i="5"/>
  <c r="AV159" i="5"/>
  <c r="AV153" i="5"/>
  <c r="AV142" i="5"/>
  <c r="AV82" i="5"/>
  <c r="AV78" i="5"/>
  <c r="AV11" i="5"/>
  <c r="AV144" i="5"/>
  <c r="AV100" i="5"/>
  <c r="AV99" i="5" s="1"/>
  <c r="AV39" i="5"/>
  <c r="AV29" i="5"/>
  <c r="AV27" i="5"/>
  <c r="AV106" i="5"/>
  <c r="AV180" i="5"/>
  <c r="AV138" i="5"/>
  <c r="AV107" i="5"/>
  <c r="AV104" i="5"/>
  <c r="AV157" i="5"/>
  <c r="AV155" i="5"/>
  <c r="AV134" i="5"/>
  <c r="AV50" i="5"/>
  <c r="AV59" i="5" s="1"/>
  <c r="AV76" i="5" s="1"/>
  <c r="AV34" i="5"/>
  <c r="AV32" i="5"/>
  <c r="AV24" i="5"/>
  <c r="AV20" i="5"/>
  <c r="AV105" i="5"/>
  <c r="AV45" i="5" a="1"/>
  <c r="AV45" i="5" s="1"/>
  <c r="AV33" i="5"/>
  <c r="AV16" i="5"/>
  <c r="AV12" i="5"/>
  <c r="AV17" i="5"/>
  <c r="AV31" i="5"/>
  <c r="AW5" i="5"/>
  <c r="AV28" i="5"/>
  <c r="AV13" i="5"/>
  <c r="AV202" i="5" s="1"/>
  <c r="AV35" i="5"/>
  <c r="AV66" i="5"/>
  <c r="AV64" i="5" s="1"/>
  <c r="AV93" i="5"/>
  <c r="AV14" i="5"/>
  <c r="AV37" i="5"/>
  <c r="AV41" i="5"/>
  <c r="AV6" i="5"/>
  <c r="AV18" i="5" s="1"/>
  <c r="AV62" i="5" s="1"/>
  <c r="AV61" i="5" s="1"/>
  <c r="AV77" i="5" s="1"/>
  <c r="AV19" i="5"/>
  <c r="AV21" i="5" s="1"/>
  <c r="Y137" i="5"/>
  <c r="Y157" i="5"/>
  <c r="Y79" i="5"/>
  <c r="Y177" i="5"/>
  <c r="Z35" i="5"/>
  <c r="AT221" i="5"/>
  <c r="AS223" i="5"/>
  <c r="W47" i="5"/>
  <c r="X209" i="5" s="1"/>
  <c r="X213" i="5" s="1"/>
  <c r="AT46" i="5"/>
  <c r="AU209" i="5" s="1"/>
  <c r="AU213" i="5" s="1"/>
  <c r="W50" i="5"/>
  <c r="W59" i="5" s="1"/>
  <c r="AU62" i="5"/>
  <c r="AV51" i="5"/>
  <c r="AV58" i="5" s="1"/>
  <c r="AU44" i="5"/>
  <c r="AU47" i="5" s="1"/>
  <c r="AU103" i="5"/>
  <c r="X135" i="5"/>
  <c r="X145" i="5" s="1"/>
  <c r="X146" i="5" s="1"/>
  <c r="X183" i="5" s="1" a="1"/>
  <c r="X183" i="5" s="1"/>
  <c r="X155" i="5"/>
  <c r="X165" i="5" s="1"/>
  <c r="X166" i="5" s="1"/>
  <c r="X175" i="5"/>
  <c r="X180" i="5" s="1"/>
  <c r="X181" i="5" s="1"/>
  <c r="X45" i="5" a="1"/>
  <c r="X45" i="5" s="1"/>
  <c r="X50" i="5" s="1"/>
  <c r="X59" i="5" s="1"/>
  <c r="Y33" i="5"/>
  <c r="X44" i="5"/>
  <c r="Y78" i="5"/>
  <c r="AS95" i="5"/>
  <c r="AS71" i="5" s="1"/>
  <c r="AS188" i="5"/>
  <c r="AS189" i="5"/>
  <c r="AS187" i="5"/>
  <c r="U55" i="5"/>
  <c r="U81" i="5"/>
  <c r="U74" i="5" s="1"/>
  <c r="U82" i="5"/>
  <c r="V55" i="5"/>
  <c r="V81" i="5"/>
  <c r="V74" i="5" s="1"/>
  <c r="V72" i="5" s="1"/>
  <c r="V71" i="5" s="1"/>
  <c r="V82" i="5"/>
  <c r="AV196" i="5"/>
  <c r="AV195" i="5"/>
  <c r="W221" i="5"/>
  <c r="V223" i="5"/>
  <c r="AT96" i="5"/>
  <c r="AT95" i="5" s="1"/>
  <c r="X214" i="5" l="1"/>
  <c r="X222" i="5"/>
  <c r="AU222" i="5"/>
  <c r="AU214" i="5"/>
  <c r="U72" i="5"/>
  <c r="U71" i="5" s="1"/>
  <c r="X76" i="5"/>
  <c r="X57" i="5"/>
  <c r="AV57" i="5"/>
  <c r="AV55" i="5" s="1"/>
  <c r="AV75" i="5"/>
  <c r="AV74" i="5" s="1"/>
  <c r="AV72" i="5" s="1"/>
  <c r="AT187" i="5"/>
  <c r="S187" i="5"/>
  <c r="AY4" i="6"/>
  <c r="AX5" i="6"/>
  <c r="AV4" i="7"/>
  <c r="AV3" i="7" s="1"/>
  <c r="AT189" i="5"/>
  <c r="AW19" i="5"/>
  <c r="AW21" i="5" s="1"/>
  <c r="AU221" i="5"/>
  <c r="AT223" i="5"/>
  <c r="AU46" i="5"/>
  <c r="AV209" i="5" s="1"/>
  <c r="AV213" i="5" s="1"/>
  <c r="AU96" i="5"/>
  <c r="AU95" i="5" s="1"/>
  <c r="AV47" i="5"/>
  <c r="AW51" i="5"/>
  <c r="AW58" i="5" s="1"/>
  <c r="AV44" i="5"/>
  <c r="S188" i="5"/>
  <c r="X46" i="5"/>
  <c r="Y209" i="5" s="1"/>
  <c r="Y213" i="5" s="1"/>
  <c r="X96" i="5"/>
  <c r="X95" i="5" s="1"/>
  <c r="U189" i="5"/>
  <c r="U187" i="5"/>
  <c r="U188" i="5"/>
  <c r="Y176" i="5"/>
  <c r="Y180" i="5" s="1"/>
  <c r="Y181" i="5" s="1"/>
  <c r="Y136" i="5"/>
  <c r="Y145" i="5" s="1"/>
  <c r="Y146" i="5" s="1"/>
  <c r="Y183" i="5" s="1" a="1"/>
  <c r="Y183" i="5" s="1"/>
  <c r="Y156" i="5"/>
  <c r="Y165" i="5" s="1"/>
  <c r="Y166" i="5" s="1"/>
  <c r="Y44" i="5"/>
  <c r="Z34" i="5"/>
  <c r="Y45" i="5" a="1"/>
  <c r="Y45" i="5" s="1"/>
  <c r="Z78" i="5"/>
  <c r="AU61" i="5"/>
  <c r="AU55" i="5" s="1"/>
  <c r="AW181" i="5"/>
  <c r="AW173" i="5"/>
  <c r="AW163" i="5"/>
  <c r="AW156" i="5"/>
  <c r="AW176" i="5"/>
  <c r="AW175" i="5"/>
  <c r="AW154" i="5"/>
  <c r="AW150" i="5"/>
  <c r="AW146" i="5"/>
  <c r="AW183" i="5" s="1" a="1"/>
  <c r="AW183" i="5" s="1"/>
  <c r="AW139" i="5"/>
  <c r="AW130" i="5"/>
  <c r="AW81" i="5"/>
  <c r="AW177" i="5"/>
  <c r="AW166" i="5"/>
  <c r="AW162" i="5"/>
  <c r="AW158" i="5"/>
  <c r="AW144" i="5"/>
  <c r="AW137" i="5"/>
  <c r="AW78" i="5"/>
  <c r="AW41" i="5"/>
  <c r="AW39" i="5"/>
  <c r="AW172" i="5"/>
  <c r="AW161" i="5"/>
  <c r="AW157" i="5"/>
  <c r="AW153" i="5"/>
  <c r="AW143" i="5"/>
  <c r="AW134" i="5"/>
  <c r="AW106" i="5"/>
  <c r="AW68" i="5" a="1"/>
  <c r="AW68" i="5" s="1"/>
  <c r="AW66" i="5"/>
  <c r="AW64" i="5" s="1"/>
  <c r="AW171" i="5"/>
  <c r="AW197" i="5"/>
  <c r="AX193" i="5" s="1"/>
  <c r="AW159" i="5"/>
  <c r="AW142" i="5"/>
  <c r="AW174" i="5"/>
  <c r="AW170" i="5"/>
  <c r="AW152" i="5"/>
  <c r="AW179" i="5"/>
  <c r="AW178" i="5"/>
  <c r="AW145" i="5"/>
  <c r="AW138" i="5"/>
  <c r="AW140" i="5"/>
  <c r="AW100" i="5"/>
  <c r="AW99" i="5" s="1"/>
  <c r="AW29" i="5"/>
  <c r="AW27" i="5"/>
  <c r="AW45" i="5" s="1" a="1"/>
  <c r="AW45" i="5" s="1"/>
  <c r="AW135" i="5"/>
  <c r="AW37" i="5"/>
  <c r="AW35" i="5"/>
  <c r="AW33" i="5"/>
  <c r="AW31" i="5"/>
  <c r="AW17" i="5"/>
  <c r="AX5" i="5"/>
  <c r="AW180" i="5"/>
  <c r="AW133" i="5"/>
  <c r="AW165" i="5"/>
  <c r="AW79" i="5"/>
  <c r="AW160" i="5"/>
  <c r="AW151" i="5"/>
  <c r="AW131" i="5"/>
  <c r="AW107" i="5"/>
  <c r="AW104" i="5"/>
  <c r="AW155" i="5"/>
  <c r="AW136" i="5"/>
  <c r="AW105" i="5"/>
  <c r="AW93" i="5"/>
  <c r="AW36" i="5"/>
  <c r="AW16" i="5"/>
  <c r="AW13" i="5"/>
  <c r="AW202" i="5" s="1"/>
  <c r="AW12" i="5"/>
  <c r="AW30" i="5"/>
  <c r="AW141" i="5"/>
  <c r="AW50" i="5"/>
  <c r="AW59" i="5" s="1"/>
  <c r="AW76" i="5" s="1"/>
  <c r="AW40" i="5"/>
  <c r="AW20" i="5"/>
  <c r="AW34" i="5"/>
  <c r="AW28" i="5"/>
  <c r="AW164" i="5"/>
  <c r="AW132" i="5"/>
  <c r="AW82" i="5"/>
  <c r="AW11" i="5"/>
  <c r="AW14" i="5"/>
  <c r="AW32" i="5"/>
  <c r="AW24" i="5"/>
  <c r="AW38" i="5"/>
  <c r="AW6" i="5"/>
  <c r="AW18" i="5" s="1"/>
  <c r="AW62" i="5" s="1"/>
  <c r="AV103" i="5"/>
  <c r="X47" i="5"/>
  <c r="W76" i="5"/>
  <c r="W57" i="5"/>
  <c r="Z138" i="5"/>
  <c r="Z158" i="5"/>
  <c r="Z178" i="5"/>
  <c r="X221" i="5"/>
  <c r="W223" i="5"/>
  <c r="V189" i="5"/>
  <c r="V187" i="5"/>
  <c r="V188" i="5"/>
  <c r="AW196" i="5"/>
  <c r="AW195" i="5"/>
  <c r="AV214" i="5" l="1"/>
  <c r="AV222" i="5"/>
  <c r="AW47" i="5"/>
  <c r="AW96" i="5"/>
  <c r="AW95" i="5" s="1"/>
  <c r="Y222" i="5"/>
  <c r="Y214" i="5"/>
  <c r="AW57" i="5"/>
  <c r="AW75" i="5"/>
  <c r="AX197" i="5"/>
  <c r="AY193" i="5" s="1"/>
  <c r="AX181" i="5"/>
  <c r="AX179" i="5"/>
  <c r="AX177" i="5"/>
  <c r="AX175" i="5"/>
  <c r="AX173" i="5"/>
  <c r="AX171" i="5"/>
  <c r="AX176" i="5"/>
  <c r="AX161" i="5"/>
  <c r="AX154" i="5"/>
  <c r="AX166" i="5"/>
  <c r="AX162" i="5"/>
  <c r="AX158" i="5"/>
  <c r="AX144" i="5"/>
  <c r="AX137" i="5"/>
  <c r="AX78" i="5"/>
  <c r="AX178" i="5"/>
  <c r="AX159" i="5"/>
  <c r="AX155" i="5"/>
  <c r="AX151" i="5"/>
  <c r="AX142" i="5"/>
  <c r="AX135" i="5"/>
  <c r="AX107" i="5"/>
  <c r="AX174" i="5"/>
  <c r="AX165" i="5"/>
  <c r="AX141" i="5"/>
  <c r="AX132" i="5"/>
  <c r="AX156" i="5"/>
  <c r="AX139" i="5"/>
  <c r="AX138" i="5"/>
  <c r="AX180" i="5"/>
  <c r="AX160" i="5"/>
  <c r="AX172" i="5"/>
  <c r="AX170" i="5"/>
  <c r="AX163" i="5"/>
  <c r="AX153" i="5"/>
  <c r="AX152" i="5"/>
  <c r="AX140" i="5"/>
  <c r="AX157" i="5"/>
  <c r="AX150" i="5"/>
  <c r="AX134" i="5"/>
  <c r="AX133" i="5"/>
  <c r="AX104" i="5"/>
  <c r="AX103" i="5" s="1"/>
  <c r="AX130" i="5"/>
  <c r="AX68" i="5" a="1"/>
  <c r="AX68" i="5" s="1"/>
  <c r="AX39" i="5"/>
  <c r="AX37" i="5"/>
  <c r="AX35" i="5"/>
  <c r="AX33" i="5"/>
  <c r="AX31" i="5"/>
  <c r="AX17" i="5"/>
  <c r="AY5" i="5"/>
  <c r="AX106" i="5"/>
  <c r="AX14" i="5"/>
  <c r="AX12" i="5"/>
  <c r="AX143" i="5"/>
  <c r="AX79" i="5"/>
  <c r="AX131" i="5"/>
  <c r="AX146" i="5"/>
  <c r="AX183" i="5" s="1" a="1"/>
  <c r="AX183" i="5" s="1"/>
  <c r="AX136" i="5"/>
  <c r="AX81" i="5"/>
  <c r="AX105" i="5"/>
  <c r="AX93" i="5"/>
  <c r="AX164" i="5"/>
  <c r="AX145" i="5"/>
  <c r="AX82" i="5"/>
  <c r="AX41" i="5"/>
  <c r="AX11" i="5"/>
  <c r="AX36" i="5"/>
  <c r="AX30" i="5"/>
  <c r="AX27" i="5"/>
  <c r="AX16" i="5"/>
  <c r="AX13" i="5"/>
  <c r="AX202" i="5" s="1"/>
  <c r="AX50" i="5"/>
  <c r="AX59" i="5" s="1"/>
  <c r="AX76" i="5" s="1"/>
  <c r="AX40" i="5"/>
  <c r="AX20" i="5"/>
  <c r="AX34" i="5"/>
  <c r="AX28" i="5"/>
  <c r="AX100" i="5"/>
  <c r="AX99" i="5" s="1"/>
  <c r="AX32" i="5"/>
  <c r="AX29" i="5"/>
  <c r="AX66" i="5"/>
  <c r="AX64" i="5" s="1"/>
  <c r="AX24" i="5"/>
  <c r="AX38" i="5"/>
  <c r="AX6" i="5"/>
  <c r="AX18" i="5" s="1"/>
  <c r="AX62" i="5" s="1"/>
  <c r="AX195" i="5"/>
  <c r="AX196" i="5"/>
  <c r="AW61" i="5"/>
  <c r="AW77" i="5" s="1"/>
  <c r="AW103" i="5"/>
  <c r="AU77" i="5"/>
  <c r="AU74" i="5" s="1"/>
  <c r="AV46" i="5"/>
  <c r="AW209" i="5" s="1"/>
  <c r="AW213" i="5" s="1"/>
  <c r="AV96" i="5"/>
  <c r="AV95" i="5" s="1"/>
  <c r="AV71" i="5"/>
  <c r="AV188" i="5" s="1"/>
  <c r="W55" i="5"/>
  <c r="W82" i="5"/>
  <c r="W81" i="5"/>
  <c r="Z79" i="5"/>
  <c r="Z157" i="5"/>
  <c r="Z177" i="5"/>
  <c r="Z137" i="5"/>
  <c r="Z145" i="5" s="1"/>
  <c r="Z146" i="5" s="1"/>
  <c r="Z183" i="5" s="1" a="1"/>
  <c r="Z183" i="5" s="1"/>
  <c r="P39" i="3" s="1"/>
  <c r="Z44" i="5"/>
  <c r="X55" i="5"/>
  <c r="X81" i="5"/>
  <c r="X82" i="5"/>
  <c r="AU223" i="5"/>
  <c r="AV221" i="5"/>
  <c r="W74" i="5"/>
  <c r="Z209" i="5"/>
  <c r="Z213" i="5" s="1"/>
  <c r="Y46" i="5"/>
  <c r="Y96" i="5"/>
  <c r="Y95" i="5" s="1"/>
  <c r="AZ4" i="6"/>
  <c r="AY5" i="6"/>
  <c r="AW4" i="7"/>
  <c r="AW3" i="7" s="1"/>
  <c r="X74" i="5"/>
  <c r="X72" i="5" s="1"/>
  <c r="X71" i="5" s="1"/>
  <c r="Y221" i="5"/>
  <c r="X223" i="5"/>
  <c r="AW44" i="5"/>
  <c r="AX51" i="5"/>
  <c r="AX58" i="5" s="1"/>
  <c r="Y47" i="5"/>
  <c r="Z50" i="5"/>
  <c r="Y50" i="5"/>
  <c r="Y59" i="5" s="1"/>
  <c r="AX19" i="5"/>
  <c r="AX21" i="5" s="1"/>
  <c r="AW222" i="5" l="1"/>
  <c r="AW214" i="5"/>
  <c r="Z59" i="5"/>
  <c r="P33" i="3" s="1"/>
  <c r="P29" i="3"/>
  <c r="P11" i="3" s="1"/>
  <c r="AW46" i="5"/>
  <c r="AX209" i="5" s="1"/>
  <c r="AX213" i="5" s="1"/>
  <c r="Z46" i="5"/>
  <c r="Z165" i="5"/>
  <c r="Z166" i="5" s="1"/>
  <c r="Z180" i="5"/>
  <c r="Z96" i="5"/>
  <c r="Z47" i="5"/>
  <c r="AA209" i="5" s="1"/>
  <c r="AA213" i="5" s="1"/>
  <c r="AV187" i="5"/>
  <c r="AU72" i="5"/>
  <c r="AU71" i="5" s="1"/>
  <c r="AY197" i="5"/>
  <c r="AZ193" i="5" s="1"/>
  <c r="AY106" i="5"/>
  <c r="AY159" i="5"/>
  <c r="AY152" i="5"/>
  <c r="AY178" i="5"/>
  <c r="AY177" i="5"/>
  <c r="AY155" i="5"/>
  <c r="AY151" i="5"/>
  <c r="AY142" i="5"/>
  <c r="AY135" i="5"/>
  <c r="AY107" i="5"/>
  <c r="AY180" i="5"/>
  <c r="AY179" i="5"/>
  <c r="AY170" i="5"/>
  <c r="AY163" i="5"/>
  <c r="AY140" i="5"/>
  <c r="AY133" i="5"/>
  <c r="AY105" i="5"/>
  <c r="AY104" i="5"/>
  <c r="AY103" i="5" s="1"/>
  <c r="AY100" i="5"/>
  <c r="AY99" i="5" s="1"/>
  <c r="AY93" i="5"/>
  <c r="AY173" i="5"/>
  <c r="AY150" i="5"/>
  <c r="AY146" i="5"/>
  <c r="AY183" i="5" s="1" a="1"/>
  <c r="AY183" i="5" s="1"/>
  <c r="AY139" i="5"/>
  <c r="AY130" i="5"/>
  <c r="AY81" i="5"/>
  <c r="AY166" i="5"/>
  <c r="AY161" i="5"/>
  <c r="AY181" i="5"/>
  <c r="AY164" i="5"/>
  <c r="AY175" i="5"/>
  <c r="AY174" i="5"/>
  <c r="AY165" i="5"/>
  <c r="AY137" i="5"/>
  <c r="AY145" i="5"/>
  <c r="AY143" i="5"/>
  <c r="AY172" i="5"/>
  <c r="AY144" i="5"/>
  <c r="AY14" i="5"/>
  <c r="AY12" i="5"/>
  <c r="AY176" i="5"/>
  <c r="AY79" i="5"/>
  <c r="AY66" i="5"/>
  <c r="AY64" i="5" s="1"/>
  <c r="AY171" i="5"/>
  <c r="AY131" i="5"/>
  <c r="AY160" i="5"/>
  <c r="AY138" i="5"/>
  <c r="AY136" i="5"/>
  <c r="AY162" i="5"/>
  <c r="AY157" i="5"/>
  <c r="AY156" i="5"/>
  <c r="AY154" i="5"/>
  <c r="AY153" i="5"/>
  <c r="AY134" i="5"/>
  <c r="AY82" i="5"/>
  <c r="AY158" i="5"/>
  <c r="AY141" i="5"/>
  <c r="AY132" i="5"/>
  <c r="AY68" i="5" a="1"/>
  <c r="AY68" i="5" s="1"/>
  <c r="AY29" i="5"/>
  <c r="AY27" i="5"/>
  <c r="AY50" i="5"/>
  <c r="AY59" i="5" s="1"/>
  <c r="AY76" i="5" s="1"/>
  <c r="AY40" i="5"/>
  <c r="AY20" i="5"/>
  <c r="AY34" i="5"/>
  <c r="AY28" i="5"/>
  <c r="AY45" i="5" s="1" a="1"/>
  <c r="AY45" i="5" s="1"/>
  <c r="AY17" i="5"/>
  <c r="AY31" i="5"/>
  <c r="AY13" i="5"/>
  <c r="AY202" i="5" s="1"/>
  <c r="AZ5" i="5"/>
  <c r="AY78" i="5"/>
  <c r="AY35" i="5"/>
  <c r="AY32" i="5"/>
  <c r="AY41" i="5"/>
  <c r="AY39" i="5"/>
  <c r="AY38" i="5"/>
  <c r="AY24" i="5"/>
  <c r="AY33" i="5"/>
  <c r="AY37" i="5"/>
  <c r="AY36" i="5"/>
  <c r="AY30" i="5"/>
  <c r="AY16" i="5"/>
  <c r="AY11" i="5"/>
  <c r="AY6" i="5"/>
  <c r="AY18" i="5" s="1"/>
  <c r="AY62" i="5" s="1"/>
  <c r="AY61" i="5" s="1"/>
  <c r="AY77" i="5" s="1"/>
  <c r="Y223" i="5"/>
  <c r="Z221" i="5"/>
  <c r="Z214" i="5"/>
  <c r="Z222" i="5"/>
  <c r="P16" i="3"/>
  <c r="AV189" i="5"/>
  <c r="W72" i="5"/>
  <c r="W71" i="5" s="1"/>
  <c r="W188" i="5" s="1"/>
  <c r="AW221" i="5"/>
  <c r="AV223" i="5"/>
  <c r="AW74" i="5"/>
  <c r="AW72" i="5" s="1"/>
  <c r="AW71" i="5" s="1"/>
  <c r="BA4" i="6"/>
  <c r="AZ5" i="6"/>
  <c r="AX4" i="7"/>
  <c r="AX3" i="7" s="1"/>
  <c r="AX61" i="5"/>
  <c r="AX77" i="5" s="1"/>
  <c r="AW55" i="5"/>
  <c r="Y76" i="5"/>
  <c r="Y57" i="5"/>
  <c r="AY51" i="5"/>
  <c r="AY58" i="5" s="1"/>
  <c r="AX44" i="5"/>
  <c r="AY196" i="5"/>
  <c r="AY195" i="5"/>
  <c r="AX75" i="5"/>
  <c r="AX57" i="5"/>
  <c r="X188" i="5"/>
  <c r="X189" i="5"/>
  <c r="X187" i="5"/>
  <c r="W189" i="5"/>
  <c r="AY19" i="5"/>
  <c r="AY21" i="5" s="1"/>
  <c r="AX45" i="5" a="1"/>
  <c r="AX45" i="5" s="1"/>
  <c r="AA214" i="5" l="1"/>
  <c r="AA222" i="5"/>
  <c r="AY47" i="5"/>
  <c r="AX214" i="5"/>
  <c r="AX222" i="5"/>
  <c r="AY96" i="5"/>
  <c r="AY95" i="5" s="1"/>
  <c r="AX74" i="5"/>
  <c r="AX72" i="5" s="1"/>
  <c r="AW189" i="5"/>
  <c r="AW187" i="5"/>
  <c r="AW188" i="5"/>
  <c r="AZ51" i="5"/>
  <c r="AZ58" i="5" s="1"/>
  <c r="AY44" i="5"/>
  <c r="AY57" i="5"/>
  <c r="AY55" i="5" s="1"/>
  <c r="AY75" i="5"/>
  <c r="AY74" i="5" s="1"/>
  <c r="AY72" i="5" s="1"/>
  <c r="AY4" i="7"/>
  <c r="AY3" i="7" s="1"/>
  <c r="BB4" i="6"/>
  <c r="BA5" i="6"/>
  <c r="AA221" i="5"/>
  <c r="Z223" i="5"/>
  <c r="Z68" i="5" a="1"/>
  <c r="Z68" i="5" s="1"/>
  <c r="P38" i="3" s="1"/>
  <c r="Z181" i="5"/>
  <c r="W187" i="5"/>
  <c r="AZ19" i="5"/>
  <c r="AY209" i="5"/>
  <c r="AY213" i="5" s="1"/>
  <c r="AX46" i="5"/>
  <c r="Z76" i="5"/>
  <c r="Z57" i="5"/>
  <c r="AX47" i="5"/>
  <c r="Y55" i="5"/>
  <c r="Y82" i="5"/>
  <c r="Y81" i="5"/>
  <c r="AW223" i="5"/>
  <c r="AX221" i="5"/>
  <c r="AU188" i="5"/>
  <c r="AU189" i="5"/>
  <c r="AU187" i="5"/>
  <c r="Z95" i="5"/>
  <c r="P49" i="3"/>
  <c r="AX55" i="5"/>
  <c r="Y74" i="5"/>
  <c r="Y72" i="5" s="1"/>
  <c r="Y71" i="5" s="1"/>
  <c r="AZ180" i="5"/>
  <c r="AZ178" i="5"/>
  <c r="AZ176" i="5"/>
  <c r="AZ174" i="5"/>
  <c r="AZ172" i="5"/>
  <c r="AZ170" i="5"/>
  <c r="AZ165" i="5"/>
  <c r="AZ163" i="5"/>
  <c r="AZ161" i="5"/>
  <c r="AZ159" i="5"/>
  <c r="AZ157" i="5"/>
  <c r="AZ155" i="5"/>
  <c r="AZ153" i="5"/>
  <c r="AZ151" i="5"/>
  <c r="AZ146" i="5"/>
  <c r="AZ183" i="5" s="1" a="1"/>
  <c r="AZ183" i="5" s="1"/>
  <c r="R39" i="3" s="1"/>
  <c r="AZ144" i="5"/>
  <c r="AZ142" i="5"/>
  <c r="AZ140" i="5"/>
  <c r="AZ138" i="5"/>
  <c r="AZ136" i="5"/>
  <c r="AZ134" i="5"/>
  <c r="AZ132" i="5"/>
  <c r="AZ130" i="5"/>
  <c r="AZ197" i="5"/>
  <c r="BA193" i="5" s="1"/>
  <c r="AZ179" i="5"/>
  <c r="AZ171" i="5"/>
  <c r="AZ166" i="5"/>
  <c r="AZ150" i="5"/>
  <c r="AZ133" i="5"/>
  <c r="AZ105" i="5"/>
  <c r="R54" i="3" s="1"/>
  <c r="AZ104" i="5"/>
  <c r="AZ100" i="5"/>
  <c r="AZ99" i="5" s="1"/>
  <c r="R51" i="3" s="1"/>
  <c r="AZ93" i="5"/>
  <c r="AZ68" i="5" a="1"/>
  <c r="AZ68" i="5" s="1"/>
  <c r="R38" i="3" s="1"/>
  <c r="R15" i="3" s="1"/>
  <c r="AZ131" i="5"/>
  <c r="AZ82" i="5"/>
  <c r="AZ50" i="5"/>
  <c r="AZ175" i="5"/>
  <c r="AZ162" i="5"/>
  <c r="AZ158" i="5"/>
  <c r="AZ154" i="5"/>
  <c r="AZ137" i="5"/>
  <c r="AZ78" i="5"/>
  <c r="AZ41" i="5"/>
  <c r="AZ39" i="5"/>
  <c r="AZ37" i="5"/>
  <c r="AZ181" i="5"/>
  <c r="AZ164" i="5"/>
  <c r="AZ173" i="5"/>
  <c r="AZ145" i="5"/>
  <c r="AZ156" i="5"/>
  <c r="AZ135" i="5"/>
  <c r="AZ106" i="5"/>
  <c r="R55" i="3" s="1"/>
  <c r="AZ79" i="5"/>
  <c r="AZ66" i="5"/>
  <c r="AZ64" i="5" s="1"/>
  <c r="R37" i="3" s="1"/>
  <c r="AZ143" i="5"/>
  <c r="AZ40" i="5"/>
  <c r="AZ28" i="5"/>
  <c r="AZ160" i="5"/>
  <c r="AZ139" i="5"/>
  <c r="AZ107" i="5"/>
  <c r="R56" i="3" s="1"/>
  <c r="AZ81" i="5"/>
  <c r="AZ152" i="5"/>
  <c r="AZ141" i="5"/>
  <c r="AZ35" i="5"/>
  <c r="AZ33" i="5"/>
  <c r="AZ31" i="5"/>
  <c r="AZ45" i="5" s="1" a="1"/>
  <c r="AZ45" i="5" s="1"/>
  <c r="AZ17" i="5"/>
  <c r="BA5" i="5"/>
  <c r="AZ34" i="5"/>
  <c r="AZ13" i="5"/>
  <c r="AZ202" i="5" s="1"/>
  <c r="AZ32" i="5"/>
  <c r="AZ38" i="5"/>
  <c r="AZ29" i="5"/>
  <c r="AZ24" i="5"/>
  <c r="AZ14" i="5"/>
  <c r="AZ177" i="5"/>
  <c r="AZ12" i="5"/>
  <c r="AZ27" i="5"/>
  <c r="AZ36" i="5"/>
  <c r="AZ30" i="5"/>
  <c r="AZ16" i="5"/>
  <c r="AZ20" i="5"/>
  <c r="AZ11" i="5"/>
  <c r="AZ6" i="5"/>
  <c r="AZ18" i="5" s="1"/>
  <c r="AZ196" i="5"/>
  <c r="AZ195" i="5"/>
  <c r="AX96" i="5"/>
  <c r="AX95" i="5" s="1"/>
  <c r="BA19" i="5" l="1"/>
  <c r="BA197" i="5"/>
  <c r="BB193" i="5" s="1"/>
  <c r="BA174" i="5"/>
  <c r="BA164" i="5"/>
  <c r="BA157" i="5"/>
  <c r="BA180" i="5"/>
  <c r="BA179" i="5"/>
  <c r="BA170" i="5"/>
  <c r="BA163" i="5"/>
  <c r="BA159" i="5"/>
  <c r="BA140" i="5"/>
  <c r="BA131" i="5"/>
  <c r="BA82" i="5"/>
  <c r="BA50" i="5"/>
  <c r="BA181" i="5"/>
  <c r="BA160" i="5"/>
  <c r="BA156" i="5"/>
  <c r="BA152" i="5"/>
  <c r="BA145" i="5"/>
  <c r="BA138" i="5"/>
  <c r="BA79" i="5"/>
  <c r="BA40" i="5"/>
  <c r="BA177" i="5"/>
  <c r="BA176" i="5"/>
  <c r="BA166" i="5"/>
  <c r="BA144" i="5"/>
  <c r="BA135" i="5"/>
  <c r="BA107" i="5"/>
  <c r="BA68" i="5" a="1"/>
  <c r="BA68" i="5" s="1"/>
  <c r="BA154" i="5"/>
  <c r="BA173" i="5"/>
  <c r="BA172" i="5"/>
  <c r="BA175" i="5"/>
  <c r="BA162" i="5"/>
  <c r="BA158" i="5"/>
  <c r="BA151" i="5"/>
  <c r="BA143" i="5"/>
  <c r="BA141" i="5"/>
  <c r="BA132" i="5"/>
  <c r="BA28" i="5"/>
  <c r="BA171" i="5"/>
  <c r="BA139" i="5"/>
  <c r="BA133" i="5"/>
  <c r="BA38" i="5"/>
  <c r="BA34" i="5"/>
  <c r="BA32" i="5"/>
  <c r="BA30" i="5"/>
  <c r="BA24" i="5"/>
  <c r="BA20" i="5"/>
  <c r="BA165" i="5"/>
  <c r="BA136" i="5"/>
  <c r="BA81" i="5"/>
  <c r="BA150" i="5"/>
  <c r="BA146" i="5"/>
  <c r="BA183" i="5" s="1" a="1"/>
  <c r="BA183" i="5" s="1"/>
  <c r="BA104" i="5"/>
  <c r="BA155" i="5"/>
  <c r="BA153" i="5"/>
  <c r="BA142" i="5"/>
  <c r="BA134" i="5"/>
  <c r="BA105" i="5"/>
  <c r="BA93" i="5"/>
  <c r="BA178" i="5"/>
  <c r="BA100" i="5"/>
  <c r="BA99" i="5" s="1"/>
  <c r="BA78" i="5"/>
  <c r="BA39" i="5"/>
  <c r="BA37" i="5"/>
  <c r="BA14" i="5"/>
  <c r="BA12" i="5"/>
  <c r="BA161" i="5"/>
  <c r="BA17" i="5"/>
  <c r="BA13" i="5"/>
  <c r="BA202" i="5" s="1"/>
  <c r="BA31" i="5"/>
  <c r="BB5" i="5"/>
  <c r="BA29" i="5"/>
  <c r="BA35" i="5"/>
  <c r="BA137" i="5"/>
  <c r="BA130" i="5"/>
  <c r="BA106" i="5"/>
  <c r="BA66" i="5"/>
  <c r="BA64" i="5" s="1"/>
  <c r="BA41" i="5"/>
  <c r="BA11" i="5"/>
  <c r="BA36" i="5"/>
  <c r="BA33" i="5"/>
  <c r="BA45" i="5" s="1" a="1"/>
  <c r="BA45" i="5" s="1"/>
  <c r="BA27" i="5"/>
  <c r="BA16" i="5"/>
  <c r="BA6" i="5"/>
  <c r="BA18" i="5" s="1"/>
  <c r="BA62" i="5" s="1"/>
  <c r="AZ59" i="5"/>
  <c r="R29" i="3"/>
  <c r="R11" i="3" s="1"/>
  <c r="P48" i="3"/>
  <c r="AY71" i="5"/>
  <c r="AY187" i="5" s="1"/>
  <c r="AX71" i="5"/>
  <c r="Y188" i="5"/>
  <c r="Y187" i="5"/>
  <c r="Y189" i="5"/>
  <c r="AX223" i="5"/>
  <c r="AY221" i="5"/>
  <c r="Z55" i="5"/>
  <c r="Z81" i="5"/>
  <c r="Z82" i="5"/>
  <c r="P31" i="3"/>
  <c r="AZ209" i="5"/>
  <c r="AZ213" i="5" s="1"/>
  <c r="AY46" i="5"/>
  <c r="Z74" i="5"/>
  <c r="AZ75" i="5"/>
  <c r="AZ57" i="5"/>
  <c r="R32" i="3"/>
  <c r="P15" i="3"/>
  <c r="AZ44" i="5"/>
  <c r="BA51" i="5"/>
  <c r="BA58" i="5" s="1"/>
  <c r="AA223" i="5"/>
  <c r="AB221" i="5"/>
  <c r="AY214" i="5"/>
  <c r="AY222" i="5"/>
  <c r="BB5" i="6"/>
  <c r="AZ4" i="7"/>
  <c r="AZ3" i="7" s="1"/>
  <c r="BC4" i="6"/>
  <c r="AY189" i="5"/>
  <c r="BA196" i="5"/>
  <c r="BA195" i="5"/>
  <c r="AZ62" i="5"/>
  <c r="AZ103" i="5"/>
  <c r="R53" i="3"/>
  <c r="R16" i="3"/>
  <c r="AX188" i="5"/>
  <c r="AX187" i="5"/>
  <c r="AX189" i="5"/>
  <c r="AZ21" i="5"/>
  <c r="BA44" i="5" l="1"/>
  <c r="BB51" i="5"/>
  <c r="BB58" i="5" s="1"/>
  <c r="BA59" i="5"/>
  <c r="R31" i="3"/>
  <c r="R13" i="3" s="1"/>
  <c r="P30" i="3"/>
  <c r="BA4" i="7"/>
  <c r="BA3" i="7" s="1"/>
  <c r="BC5" i="6"/>
  <c r="BD4" i="6"/>
  <c r="AZ222" i="5"/>
  <c r="AZ214" i="5"/>
  <c r="BA61" i="5"/>
  <c r="AY223" i="5"/>
  <c r="AZ221" i="5"/>
  <c r="AY188" i="5"/>
  <c r="P20" i="3"/>
  <c r="BB19" i="5"/>
  <c r="BB180" i="5"/>
  <c r="BB178" i="5"/>
  <c r="BB176" i="5"/>
  <c r="BB174" i="5"/>
  <c r="BB172" i="5"/>
  <c r="BB197" i="5"/>
  <c r="BC193" i="5" s="1"/>
  <c r="BB177" i="5"/>
  <c r="BB162" i="5"/>
  <c r="BB155" i="5"/>
  <c r="BB181" i="5"/>
  <c r="BB160" i="5"/>
  <c r="BB156" i="5"/>
  <c r="BB152" i="5"/>
  <c r="BB145" i="5"/>
  <c r="BB138" i="5"/>
  <c r="BB79" i="5"/>
  <c r="BB164" i="5"/>
  <c r="BB143" i="5"/>
  <c r="BB136" i="5"/>
  <c r="BB66" i="5"/>
  <c r="BB64" i="5" s="1"/>
  <c r="BB151" i="5"/>
  <c r="BB142" i="5"/>
  <c r="BB133" i="5"/>
  <c r="BB105" i="5"/>
  <c r="BB104" i="5"/>
  <c r="BB103" i="5" s="1"/>
  <c r="BB100" i="5"/>
  <c r="BB99" i="5" s="1"/>
  <c r="BB93" i="5"/>
  <c r="BB159" i="5"/>
  <c r="BB146" i="5"/>
  <c r="BB183" i="5" s="1" a="1"/>
  <c r="BB183" i="5" s="1"/>
  <c r="BB179" i="5"/>
  <c r="BB171" i="5"/>
  <c r="BB163" i="5"/>
  <c r="BB175" i="5"/>
  <c r="BB158" i="5"/>
  <c r="BB140" i="5"/>
  <c r="BB157" i="5"/>
  <c r="BB150" i="5"/>
  <c r="BB165" i="5"/>
  <c r="BB161" i="5"/>
  <c r="BB131" i="5"/>
  <c r="BB139" i="5"/>
  <c r="BB40" i="5"/>
  <c r="BB38" i="5"/>
  <c r="BB34" i="5"/>
  <c r="BB32" i="5"/>
  <c r="BB30" i="5"/>
  <c r="BB24" i="5"/>
  <c r="BB20" i="5"/>
  <c r="BB81" i="5"/>
  <c r="BB36" i="5"/>
  <c r="BB16" i="5"/>
  <c r="BB13" i="5"/>
  <c r="BB202" i="5" s="1"/>
  <c r="BB107" i="5"/>
  <c r="BB153" i="5"/>
  <c r="BB134" i="5"/>
  <c r="BB170" i="5"/>
  <c r="BB154" i="5"/>
  <c r="BB141" i="5"/>
  <c r="BB82" i="5"/>
  <c r="BB132" i="5"/>
  <c r="BB78" i="5"/>
  <c r="BB173" i="5"/>
  <c r="BB137" i="5"/>
  <c r="BB130" i="5"/>
  <c r="BB106" i="5"/>
  <c r="BB31" i="5"/>
  <c r="BB28" i="5"/>
  <c r="BC5" i="5"/>
  <c r="BB14" i="5"/>
  <c r="BB166" i="5"/>
  <c r="BB68" i="5" a="1"/>
  <c r="BB68" i="5" s="1"/>
  <c r="BB11" i="5"/>
  <c r="BC19" i="5" s="1"/>
  <c r="BB135" i="5"/>
  <c r="BB35" i="5"/>
  <c r="BB29" i="5"/>
  <c r="BB41" i="5"/>
  <c r="BB144" i="5"/>
  <c r="BB39" i="5"/>
  <c r="BB37" i="5"/>
  <c r="BB33" i="5"/>
  <c r="BB45" i="5" s="1" a="1"/>
  <c r="BB45" i="5" s="1"/>
  <c r="BB27" i="5"/>
  <c r="BB50" i="5"/>
  <c r="BB59" i="5" s="1"/>
  <c r="BB76" i="5" s="1"/>
  <c r="BB12" i="5"/>
  <c r="BB17" i="5"/>
  <c r="BB6" i="5"/>
  <c r="BB18" i="5" s="1"/>
  <c r="BB62" i="5" s="1"/>
  <c r="BB61" i="5" s="1"/>
  <c r="BB77" i="5" s="1"/>
  <c r="BB196" i="5"/>
  <c r="BB195" i="5"/>
  <c r="Z72" i="5"/>
  <c r="Z71" i="5" s="1"/>
  <c r="Z188" i="5" s="1"/>
  <c r="P43" i="3"/>
  <c r="P41" i="3" s="1"/>
  <c r="R52" i="3"/>
  <c r="BA75" i="5"/>
  <c r="BA57" i="5"/>
  <c r="AZ76" i="5"/>
  <c r="R33" i="3"/>
  <c r="BA21" i="5"/>
  <c r="AZ46" i="5"/>
  <c r="BA103" i="5"/>
  <c r="AZ96" i="5"/>
  <c r="AZ61" i="5"/>
  <c r="R35" i="3"/>
  <c r="P13" i="3"/>
  <c r="P12" i="3" s="1"/>
  <c r="AZ47" i="5"/>
  <c r="BA209" i="5" s="1"/>
  <c r="BA213" i="5" s="1"/>
  <c r="BA214" i="5" l="1"/>
  <c r="BA222" i="5"/>
  <c r="AZ77" i="5"/>
  <c r="AZ74" i="5" s="1"/>
  <c r="R34" i="3"/>
  <c r="R21" i="3"/>
  <c r="AZ95" i="5"/>
  <c r="R49" i="3"/>
  <c r="P40" i="3"/>
  <c r="P18" i="3"/>
  <c r="P17" i="3" s="1"/>
  <c r="P22" i="3" s="1"/>
  <c r="P23" i="3" s="1"/>
  <c r="BC51" i="5"/>
  <c r="BC58" i="5" s="1"/>
  <c r="BB44" i="5"/>
  <c r="Z187" i="5"/>
  <c r="BA55" i="5"/>
  <c r="Z189" i="5"/>
  <c r="P57" i="3" s="1"/>
  <c r="BA76" i="5"/>
  <c r="BA74" i="5" s="1"/>
  <c r="BC21" i="5"/>
  <c r="BB21" i="5"/>
  <c r="BC107" i="5"/>
  <c r="BC105" i="5"/>
  <c r="BC160" i="5"/>
  <c r="BC153" i="5"/>
  <c r="BC164" i="5"/>
  <c r="BC143" i="5"/>
  <c r="BC136" i="5"/>
  <c r="BC66" i="5"/>
  <c r="BC64" i="5" s="1"/>
  <c r="BC171" i="5"/>
  <c r="BC141" i="5"/>
  <c r="BC134" i="5"/>
  <c r="BC106" i="5"/>
  <c r="BC197" i="5"/>
  <c r="BD193" i="5" s="1"/>
  <c r="BC179" i="5"/>
  <c r="BC178" i="5"/>
  <c r="BC170" i="5"/>
  <c r="BC163" i="5"/>
  <c r="BC159" i="5"/>
  <c r="BC155" i="5"/>
  <c r="BC140" i="5"/>
  <c r="BC131" i="5"/>
  <c r="BC82" i="5"/>
  <c r="BC50" i="5"/>
  <c r="BC180" i="5"/>
  <c r="BC157" i="5"/>
  <c r="BC152" i="5"/>
  <c r="BC145" i="5"/>
  <c r="BC162" i="5"/>
  <c r="BC161" i="5"/>
  <c r="BC174" i="5"/>
  <c r="BC151" i="5"/>
  <c r="BC150" i="5"/>
  <c r="BC177" i="5"/>
  <c r="BC176" i="5"/>
  <c r="BC166" i="5"/>
  <c r="BC138" i="5"/>
  <c r="BC146" i="5"/>
  <c r="BC183" i="5" s="1" a="1"/>
  <c r="BC183" i="5" s="1"/>
  <c r="BC139" i="5"/>
  <c r="BC130" i="5"/>
  <c r="BC181" i="5"/>
  <c r="BC133" i="5"/>
  <c r="BC81" i="5"/>
  <c r="BC36" i="5"/>
  <c r="BC16" i="5"/>
  <c r="BC13" i="5"/>
  <c r="BC202" i="5" s="1"/>
  <c r="BC165" i="5"/>
  <c r="BC68" i="5" a="1"/>
  <c r="BC68" i="5" s="1"/>
  <c r="BC11" i="5"/>
  <c r="BD19" i="5" s="1"/>
  <c r="BC175" i="5"/>
  <c r="BC104" i="5"/>
  <c r="BC154" i="5"/>
  <c r="BC142" i="5"/>
  <c r="BC93" i="5"/>
  <c r="BC156" i="5"/>
  <c r="BC132" i="5"/>
  <c r="BC78" i="5"/>
  <c r="BC173" i="5"/>
  <c r="BC158" i="5"/>
  <c r="BC137" i="5"/>
  <c r="BC100" i="5"/>
  <c r="BC99" i="5" s="1"/>
  <c r="BC144" i="5"/>
  <c r="BC135" i="5"/>
  <c r="BC28" i="5"/>
  <c r="BC35" i="5"/>
  <c r="BC29" i="5"/>
  <c r="BC41" i="5"/>
  <c r="BC32" i="5"/>
  <c r="BC14" i="5"/>
  <c r="BC39" i="5"/>
  <c r="BC38" i="5"/>
  <c r="BC24" i="5"/>
  <c r="BC37" i="5"/>
  <c r="BC33" i="5"/>
  <c r="BC27" i="5"/>
  <c r="BC30" i="5"/>
  <c r="BC172" i="5"/>
  <c r="BC79" i="5"/>
  <c r="BC31" i="5"/>
  <c r="BD5" i="5"/>
  <c r="BC40" i="5"/>
  <c r="BC20" i="5"/>
  <c r="BC17" i="5"/>
  <c r="BC34" i="5"/>
  <c r="BC12" i="5"/>
  <c r="BC6" i="5"/>
  <c r="BC18" i="5" s="1"/>
  <c r="BC195" i="5"/>
  <c r="BC196" i="5"/>
  <c r="BA221" i="5"/>
  <c r="AZ223" i="5"/>
  <c r="BB75" i="5"/>
  <c r="BB74" i="5" s="1"/>
  <c r="BB72" i="5" s="1"/>
  <c r="BB57" i="5"/>
  <c r="BB55" i="5" s="1"/>
  <c r="BA77" i="5"/>
  <c r="BD5" i="6"/>
  <c r="BB4" i="7"/>
  <c r="BB3" i="7" s="1"/>
  <c r="BE4" i="6"/>
  <c r="BA46" i="5"/>
  <c r="BB209" i="5" s="1"/>
  <c r="BB213" i="5" s="1"/>
  <c r="BA96" i="5"/>
  <c r="AZ55" i="5"/>
  <c r="BA47" i="5"/>
  <c r="AZ72" i="5" l="1"/>
  <c r="AZ71" i="5" s="1"/>
  <c r="R43" i="3"/>
  <c r="R41" i="3" s="1"/>
  <c r="BA72" i="5"/>
  <c r="BC96" i="5"/>
  <c r="BC95" i="5" s="1"/>
  <c r="BB222" i="5"/>
  <c r="BB214" i="5"/>
  <c r="BC4" i="7"/>
  <c r="BC3" i="7" s="1"/>
  <c r="BF4" i="6"/>
  <c r="BE5" i="6"/>
  <c r="BD51" i="5"/>
  <c r="BD58" i="5" s="1"/>
  <c r="BC44" i="5"/>
  <c r="BC103" i="5"/>
  <c r="BB46" i="5"/>
  <c r="BB96" i="5"/>
  <c r="BB95" i="5" s="1"/>
  <c r="BB71" i="5" s="1"/>
  <c r="R14" i="3"/>
  <c r="R12" i="3" s="1"/>
  <c r="BC57" i="5"/>
  <c r="BC75" i="5"/>
  <c r="AZ189" i="5"/>
  <c r="R57" i="3" s="1"/>
  <c r="AZ187" i="5"/>
  <c r="AZ188" i="5"/>
  <c r="R30" i="3"/>
  <c r="BD181" i="5"/>
  <c r="BD179" i="5"/>
  <c r="BD177" i="5"/>
  <c r="BD175" i="5"/>
  <c r="BD173" i="5"/>
  <c r="BD171" i="5"/>
  <c r="BD166" i="5"/>
  <c r="BD164" i="5"/>
  <c r="BD162" i="5"/>
  <c r="BD160" i="5"/>
  <c r="BD158" i="5"/>
  <c r="BD156" i="5"/>
  <c r="BD154" i="5"/>
  <c r="BD152" i="5"/>
  <c r="BD150" i="5"/>
  <c r="BD145" i="5"/>
  <c r="BD143" i="5"/>
  <c r="BD141" i="5"/>
  <c r="BD139" i="5"/>
  <c r="BD137" i="5"/>
  <c r="BD135" i="5"/>
  <c r="BD133" i="5"/>
  <c r="BD131" i="5"/>
  <c r="BD180" i="5"/>
  <c r="BD172" i="5"/>
  <c r="BD170" i="5"/>
  <c r="BD151" i="5"/>
  <c r="BD197" i="5"/>
  <c r="BE193" i="5" s="1"/>
  <c r="BD134" i="5"/>
  <c r="BD106" i="5"/>
  <c r="BD68" i="5" a="1"/>
  <c r="BD68" i="5" s="1"/>
  <c r="BD165" i="5"/>
  <c r="BD161" i="5"/>
  <c r="BD157" i="5"/>
  <c r="BD153" i="5"/>
  <c r="BD132" i="5"/>
  <c r="BD81" i="5"/>
  <c r="BD138" i="5"/>
  <c r="BD79" i="5"/>
  <c r="BD40" i="5"/>
  <c r="BD38" i="5"/>
  <c r="BD36" i="5"/>
  <c r="BD144" i="5"/>
  <c r="BD178" i="5"/>
  <c r="BD176" i="5"/>
  <c r="BD155" i="5"/>
  <c r="BD11" i="5"/>
  <c r="BD163" i="5"/>
  <c r="BD136" i="5"/>
  <c r="BD107" i="5"/>
  <c r="BD104" i="5"/>
  <c r="BD50" i="5"/>
  <c r="BD59" i="5" s="1"/>
  <c r="BD76" i="5" s="1"/>
  <c r="BD41" i="5"/>
  <c r="BD29" i="5"/>
  <c r="BD27" i="5"/>
  <c r="BD146" i="5"/>
  <c r="BD183" i="5" s="1" a="1"/>
  <c r="BD183" i="5" s="1"/>
  <c r="BD142" i="5"/>
  <c r="BD93" i="5"/>
  <c r="BD105" i="5"/>
  <c r="BD82" i="5"/>
  <c r="BD78" i="5"/>
  <c r="BD174" i="5"/>
  <c r="BD100" i="5"/>
  <c r="BD99" i="5" s="1"/>
  <c r="BD130" i="5"/>
  <c r="BD159" i="5"/>
  <c r="BD66" i="5"/>
  <c r="BD64" i="5" s="1"/>
  <c r="BD34" i="5"/>
  <c r="BD32" i="5"/>
  <c r="BD30" i="5"/>
  <c r="BD24" i="5"/>
  <c r="BD20" i="5"/>
  <c r="BD21" i="5" s="1"/>
  <c r="BD35" i="5"/>
  <c r="BD14" i="5"/>
  <c r="BD39" i="5"/>
  <c r="BD37" i="5"/>
  <c r="BD33" i="5"/>
  <c r="BD140" i="5"/>
  <c r="BD16" i="5"/>
  <c r="BD12" i="5"/>
  <c r="BD28" i="5"/>
  <c r="BD45" i="5" s="1" a="1"/>
  <c r="BD45" i="5" s="1"/>
  <c r="BD13" i="5"/>
  <c r="BD202" i="5" s="1"/>
  <c r="BE5" i="5"/>
  <c r="BD31" i="5"/>
  <c r="BD17" i="5"/>
  <c r="BD6" i="5"/>
  <c r="BD18" i="5" s="1"/>
  <c r="R48" i="3"/>
  <c r="BC62" i="5"/>
  <c r="BC59" i="5"/>
  <c r="BB47" i="5"/>
  <c r="BC209" i="5" s="1"/>
  <c r="BC213" i="5" s="1"/>
  <c r="BB221" i="5"/>
  <c r="BA223" i="5"/>
  <c r="BA95" i="5"/>
  <c r="BC45" i="5" a="1"/>
  <c r="BC45" i="5" s="1"/>
  <c r="BC47" i="5" s="1"/>
  <c r="BD196" i="5"/>
  <c r="BD195" i="5"/>
  <c r="BC222" i="5" l="1"/>
  <c r="BC214" i="5"/>
  <c r="BB187" i="5"/>
  <c r="BB188" i="5"/>
  <c r="BB189" i="5"/>
  <c r="BC61" i="5"/>
  <c r="BC55" i="5"/>
  <c r="BD209" i="5"/>
  <c r="BD213" i="5" s="1"/>
  <c r="BC46" i="5"/>
  <c r="BC221" i="5"/>
  <c r="BB223" i="5"/>
  <c r="BD57" i="5"/>
  <c r="BD75" i="5"/>
  <c r="BE51" i="5"/>
  <c r="BE58" i="5" s="1"/>
  <c r="BD44" i="5"/>
  <c r="BD47" i="5" s="1"/>
  <c r="BE19" i="5"/>
  <c r="BA71" i="5"/>
  <c r="R20" i="3"/>
  <c r="BD62" i="5"/>
  <c r="BD61" i="5" s="1"/>
  <c r="BD77" i="5" s="1"/>
  <c r="BG4" i="6"/>
  <c r="BD4" i="7"/>
  <c r="BD3" i="7" s="1"/>
  <c r="BF5" i="6"/>
  <c r="R18" i="3"/>
  <c r="R40" i="3"/>
  <c r="BC76" i="5"/>
  <c r="BE175" i="5"/>
  <c r="BE165" i="5"/>
  <c r="BE158" i="5"/>
  <c r="BE171" i="5"/>
  <c r="BE161" i="5"/>
  <c r="BE157" i="5"/>
  <c r="BE153" i="5"/>
  <c r="BE141" i="5"/>
  <c r="BE132" i="5"/>
  <c r="BE81" i="5"/>
  <c r="BE173" i="5"/>
  <c r="BE172" i="5"/>
  <c r="BE146" i="5"/>
  <c r="BE183" i="5" s="1" a="1"/>
  <c r="BE183" i="5" s="1"/>
  <c r="BE139" i="5"/>
  <c r="BE130" i="5"/>
  <c r="BE78" i="5"/>
  <c r="BE41" i="5"/>
  <c r="BE39" i="5"/>
  <c r="BE181" i="5"/>
  <c r="BE180" i="5"/>
  <c r="BE156" i="5"/>
  <c r="BE152" i="5"/>
  <c r="BE145" i="5"/>
  <c r="BE136" i="5"/>
  <c r="BE68" i="5" a="1"/>
  <c r="BE68" i="5" s="1"/>
  <c r="BE66" i="5"/>
  <c r="BE64" i="5" s="1"/>
  <c r="BE179" i="5"/>
  <c r="BE178" i="5"/>
  <c r="BE162" i="5"/>
  <c r="BE150" i="5"/>
  <c r="BE177" i="5"/>
  <c r="BE176" i="5"/>
  <c r="BE170" i="5"/>
  <c r="BE197" i="5"/>
  <c r="BF193" i="5" s="1"/>
  <c r="BE166" i="5"/>
  <c r="BE143" i="5"/>
  <c r="BE138" i="5"/>
  <c r="BE154" i="5"/>
  <c r="BE144" i="5"/>
  <c r="BE107" i="5"/>
  <c r="BE163" i="5"/>
  <c r="BE104" i="5"/>
  <c r="BE50" i="5"/>
  <c r="BE29" i="5"/>
  <c r="BE27" i="5"/>
  <c r="BF5" i="5"/>
  <c r="BE160" i="5"/>
  <c r="BE142" i="5"/>
  <c r="BE131" i="5"/>
  <c r="BE93" i="5"/>
  <c r="BE35" i="5"/>
  <c r="BE33" i="5"/>
  <c r="BE31" i="5"/>
  <c r="BE17" i="5"/>
  <c r="BE134" i="5"/>
  <c r="BE105" i="5"/>
  <c r="BE82" i="5"/>
  <c r="BE174" i="5"/>
  <c r="BE155" i="5"/>
  <c r="BE151" i="5"/>
  <c r="BE100" i="5"/>
  <c r="BE99" i="5" s="1"/>
  <c r="BE137" i="5"/>
  <c r="BE164" i="5"/>
  <c r="BE159" i="5"/>
  <c r="BE135" i="5"/>
  <c r="BE106" i="5"/>
  <c r="BE140" i="5"/>
  <c r="BE79" i="5"/>
  <c r="BE40" i="5"/>
  <c r="BE38" i="5"/>
  <c r="BE16" i="5"/>
  <c r="BE13" i="5"/>
  <c r="BE202" i="5" s="1"/>
  <c r="BE14" i="5"/>
  <c r="BE12" i="5"/>
  <c r="BE133" i="5"/>
  <c r="BE32" i="5"/>
  <c r="BE37" i="5"/>
  <c r="BE24" i="5"/>
  <c r="BE11" i="5"/>
  <c r="BF19" i="5" s="1"/>
  <c r="BE36" i="5"/>
  <c r="BE30" i="5"/>
  <c r="BE20" i="5"/>
  <c r="BE34" i="5"/>
  <c r="BE28" i="5"/>
  <c r="BE45" i="5" s="1" a="1"/>
  <c r="BE45" i="5" s="1"/>
  <c r="BE6" i="5"/>
  <c r="BE18" i="5" s="1"/>
  <c r="BE62" i="5" s="1"/>
  <c r="BD103" i="5"/>
  <c r="BE196" i="5"/>
  <c r="BE195" i="5"/>
  <c r="BE59" i="5" l="1"/>
  <c r="BE57" i="5" s="1"/>
  <c r="BE21" i="5"/>
  <c r="BE103" i="5"/>
  <c r="BD214" i="5"/>
  <c r="BD222" i="5"/>
  <c r="BE75" i="5"/>
  <c r="S54" i="3"/>
  <c r="N54" i="3" s="1"/>
  <c r="BF195" i="5"/>
  <c r="BF196" i="5"/>
  <c r="BH4" i="6"/>
  <c r="BE4" i="7"/>
  <c r="BE3" i="7" s="1"/>
  <c r="BG5" i="6"/>
  <c r="BD46" i="5"/>
  <c r="BE209" i="5" s="1"/>
  <c r="BE213" i="5" s="1"/>
  <c r="BD96" i="5"/>
  <c r="BF197" i="5"/>
  <c r="BF181" i="5"/>
  <c r="BF179" i="5"/>
  <c r="BF177" i="5"/>
  <c r="BF175" i="5"/>
  <c r="BF173" i="5"/>
  <c r="BF171" i="5"/>
  <c r="BF178" i="5"/>
  <c r="BF163" i="5"/>
  <c r="BF156" i="5"/>
  <c r="BF172" i="5"/>
  <c r="BF165" i="5"/>
  <c r="BF146" i="5"/>
  <c r="BF183" i="5" s="1" a="1"/>
  <c r="BF183" i="5" s="1"/>
  <c r="S39" i="3" s="1"/>
  <c r="BF139" i="5"/>
  <c r="BF130" i="5"/>
  <c r="BF78" i="5"/>
  <c r="BF174" i="5"/>
  <c r="BF154" i="5"/>
  <c r="BF150" i="5"/>
  <c r="BF144" i="5"/>
  <c r="BF137" i="5"/>
  <c r="BF164" i="5"/>
  <c r="BF160" i="5"/>
  <c r="BF143" i="5"/>
  <c r="BF134" i="5"/>
  <c r="BF106" i="5"/>
  <c r="S55" i="3" s="1"/>
  <c r="N55" i="3" s="1"/>
  <c r="BF176" i="5"/>
  <c r="BF170" i="5"/>
  <c r="BF155" i="5"/>
  <c r="BF142" i="5"/>
  <c r="BF159" i="5"/>
  <c r="BF166" i="5"/>
  <c r="BF162" i="5"/>
  <c r="BF157" i="5"/>
  <c r="BF141" i="5"/>
  <c r="BF180" i="5"/>
  <c r="BF136" i="5"/>
  <c r="BF131" i="5"/>
  <c r="BF107" i="5"/>
  <c r="BF93" i="5"/>
  <c r="BF41" i="5"/>
  <c r="BF35" i="5"/>
  <c r="BF33" i="5"/>
  <c r="BF31" i="5"/>
  <c r="BF17" i="5"/>
  <c r="BG5" i="5"/>
  <c r="BF105" i="5"/>
  <c r="BF82" i="5"/>
  <c r="BF37" i="5"/>
  <c r="BF14" i="5"/>
  <c r="BF12" i="5"/>
  <c r="BF153" i="5"/>
  <c r="BF151" i="5"/>
  <c r="BF138" i="5"/>
  <c r="BF100" i="5"/>
  <c r="BF99" i="5" s="1"/>
  <c r="S51" i="3" s="1"/>
  <c r="N51" i="3" s="1"/>
  <c r="BF152" i="5"/>
  <c r="BF132" i="5"/>
  <c r="BF158" i="5"/>
  <c r="BF135" i="5"/>
  <c r="BF145" i="5"/>
  <c r="BF140" i="5"/>
  <c r="BF79" i="5"/>
  <c r="BF161" i="5"/>
  <c r="BF133" i="5"/>
  <c r="BF68" i="5" a="1"/>
  <c r="BF68" i="5" s="1"/>
  <c r="S38" i="3" s="1"/>
  <c r="BF36" i="5"/>
  <c r="BF11" i="5"/>
  <c r="BG19" i="5" s="1"/>
  <c r="BF32" i="5"/>
  <c r="BF29" i="5"/>
  <c r="BF81" i="5"/>
  <c r="BF39" i="5"/>
  <c r="BF24" i="5"/>
  <c r="BF16" i="5"/>
  <c r="BF38" i="5"/>
  <c r="BF30" i="5"/>
  <c r="BF27" i="5"/>
  <c r="BF104" i="5"/>
  <c r="BF66" i="5"/>
  <c r="BF64" i="5" s="1"/>
  <c r="S37" i="3" s="1"/>
  <c r="N37" i="3" s="1"/>
  <c r="BF20" i="5"/>
  <c r="BF21" i="5" s="1"/>
  <c r="BF34" i="5"/>
  <c r="BF28" i="5"/>
  <c r="BF45" i="5" s="1" a="1"/>
  <c r="BF45" i="5" s="1"/>
  <c r="BF50" i="5"/>
  <c r="S29" i="3" s="1"/>
  <c r="S11" i="3" s="1"/>
  <c r="BF13" i="5"/>
  <c r="BF202" i="5" s="1"/>
  <c r="BF40" i="5"/>
  <c r="BF6" i="5"/>
  <c r="BF18" i="5" s="1"/>
  <c r="BA189" i="5"/>
  <c r="BA187" i="5"/>
  <c r="BA188" i="5"/>
  <c r="BD55" i="5"/>
  <c r="S56" i="3"/>
  <c r="N56" i="3" s="1"/>
  <c r="BE61" i="5"/>
  <c r="BE77" i="5" s="1"/>
  <c r="BD74" i="5"/>
  <c r="BD72" i="5" s="1"/>
  <c r="BE44" i="5"/>
  <c r="BE47" i="5" s="1"/>
  <c r="BF51" i="5"/>
  <c r="BF58" i="5" s="1"/>
  <c r="R17" i="3"/>
  <c r="R22" i="3" s="1"/>
  <c r="R23" i="3" s="1"/>
  <c r="BC77" i="5"/>
  <c r="BC74" i="5" s="1"/>
  <c r="BD221" i="5"/>
  <c r="BC223" i="5"/>
  <c r="BC72" i="5" l="1"/>
  <c r="BC71" i="5" s="1"/>
  <c r="U51" i="3"/>
  <c r="T51" i="3"/>
  <c r="BE222" i="5"/>
  <c r="BE214" i="5"/>
  <c r="BE55" i="5"/>
  <c r="U56" i="3"/>
  <c r="T54" i="3"/>
  <c r="U54" i="3"/>
  <c r="BE74" i="5"/>
  <c r="BE72" i="5" s="1"/>
  <c r="S16" i="3"/>
  <c r="N39" i="3"/>
  <c r="BF59" i="5"/>
  <c r="BF76" i="5" s="1"/>
  <c r="N29" i="3"/>
  <c r="T56" i="3" s="1"/>
  <c r="BD189" i="5"/>
  <c r="S15" i="3"/>
  <c r="N38" i="3"/>
  <c r="BF75" i="5"/>
  <c r="BD95" i="5"/>
  <c r="BE221" i="5"/>
  <c r="BD223" i="5"/>
  <c r="BI4" i="6"/>
  <c r="BF4" i="7"/>
  <c r="BF3" i="7" s="1"/>
  <c r="BH5" i="6"/>
  <c r="BE46" i="5"/>
  <c r="BF209" i="5" s="1"/>
  <c r="BF213" i="5" s="1"/>
  <c r="BF62" i="5"/>
  <c r="BF103" i="5"/>
  <c r="BG106" i="5"/>
  <c r="BG161" i="5"/>
  <c r="BG154" i="5"/>
  <c r="BG174" i="5"/>
  <c r="BG173" i="5"/>
  <c r="BG150" i="5"/>
  <c r="BG144" i="5"/>
  <c r="BG137" i="5"/>
  <c r="BG176" i="5"/>
  <c r="BG166" i="5"/>
  <c r="BG162" i="5"/>
  <c r="BG158" i="5"/>
  <c r="BG142" i="5"/>
  <c r="BG135" i="5"/>
  <c r="BG107" i="5"/>
  <c r="BG104" i="5"/>
  <c r="BG100" i="5"/>
  <c r="BG99" i="5" s="1"/>
  <c r="BG93" i="5"/>
  <c r="BG157" i="5"/>
  <c r="BG153" i="5"/>
  <c r="BG141" i="5"/>
  <c r="BG132" i="5"/>
  <c r="BG81" i="5"/>
  <c r="BG177" i="5"/>
  <c r="BG143" i="5"/>
  <c r="BG175" i="5"/>
  <c r="BG165" i="5"/>
  <c r="BG160" i="5"/>
  <c r="BG178" i="5"/>
  <c r="BG156" i="5"/>
  <c r="BG155" i="5"/>
  <c r="BG146" i="5"/>
  <c r="BG183" i="5" s="1" a="1"/>
  <c r="BG183" i="5" s="1"/>
  <c r="BG181" i="5"/>
  <c r="BG105" i="5"/>
  <c r="BG171" i="5"/>
  <c r="BG82" i="5"/>
  <c r="BG37" i="5"/>
  <c r="BG14" i="5"/>
  <c r="BG12" i="5"/>
  <c r="BG180" i="5"/>
  <c r="BG151" i="5"/>
  <c r="BG138" i="5"/>
  <c r="BG134" i="5"/>
  <c r="BG39" i="5"/>
  <c r="BG152" i="5"/>
  <c r="BG78" i="5"/>
  <c r="BG179" i="5"/>
  <c r="BG170" i="5"/>
  <c r="BG164" i="5"/>
  <c r="BG159" i="5"/>
  <c r="BG145" i="5"/>
  <c r="BG140" i="5"/>
  <c r="BG130" i="5"/>
  <c r="BG79" i="5"/>
  <c r="BG133" i="5"/>
  <c r="BG172" i="5"/>
  <c r="BG50" i="5"/>
  <c r="BG59" i="5" s="1"/>
  <c r="BG76" i="5" s="1"/>
  <c r="BG29" i="5"/>
  <c r="BG27" i="5"/>
  <c r="BG131" i="5"/>
  <c r="BG24" i="5"/>
  <c r="BG41" i="5"/>
  <c r="BG38" i="5"/>
  <c r="BG11" i="5"/>
  <c r="BG66" i="5"/>
  <c r="BG64" i="5" s="1"/>
  <c r="BG33" i="5"/>
  <c r="BG30" i="5"/>
  <c r="BG16" i="5"/>
  <c r="BG36" i="5"/>
  <c r="BG20" i="5"/>
  <c r="BG21" i="5" s="1"/>
  <c r="BG34" i="5"/>
  <c r="BG28" i="5"/>
  <c r="BG17" i="5"/>
  <c r="BG40" i="5"/>
  <c r="BG31" i="5"/>
  <c r="BG163" i="5"/>
  <c r="BG68" i="5" a="1"/>
  <c r="BG68" i="5" s="1"/>
  <c r="BG139" i="5"/>
  <c r="BG136" i="5"/>
  <c r="BG13" i="5"/>
  <c r="BG32" i="5"/>
  <c r="BH5" i="5"/>
  <c r="BG35" i="5"/>
  <c r="BG6" i="5"/>
  <c r="BG18" i="5" s="1"/>
  <c r="BG62" i="5" s="1"/>
  <c r="BG61" i="5" s="1"/>
  <c r="BG77" i="5" s="1"/>
  <c r="BE96" i="5"/>
  <c r="BE95" i="5" s="1"/>
  <c r="U55" i="3"/>
  <c r="BE76" i="5"/>
  <c r="S33" i="3"/>
  <c r="N33" i="3" s="1"/>
  <c r="U37" i="3"/>
  <c r="T37" i="3"/>
  <c r="BD71" i="5"/>
  <c r="BD188" i="5" s="1"/>
  <c r="BG51" i="5"/>
  <c r="BG58" i="5" s="1"/>
  <c r="BF44" i="5"/>
  <c r="BF46" i="5" s="1"/>
  <c r="S53" i="3"/>
  <c r="S32" i="3"/>
  <c r="N32" i="3" s="1"/>
  <c r="BF222" i="5" l="1"/>
  <c r="BF223" i="5" s="1"/>
  <c r="BF214" i="5"/>
  <c r="BG103" i="5"/>
  <c r="BF61" i="5"/>
  <c r="S35" i="3"/>
  <c r="N35" i="3" s="1"/>
  <c r="S49" i="3"/>
  <c r="BD187" i="5"/>
  <c r="BE223" i="5"/>
  <c r="BF221" i="5"/>
  <c r="BH51" i="5"/>
  <c r="BH58" i="5" s="1"/>
  <c r="BG44" i="5"/>
  <c r="BG46" i="5" s="1"/>
  <c r="BF96" i="5"/>
  <c r="BF95" i="5" s="1"/>
  <c r="BH180" i="5"/>
  <c r="BH178" i="5"/>
  <c r="BH176" i="5"/>
  <c r="BH174" i="5"/>
  <c r="BH172" i="5"/>
  <c r="BH170" i="5"/>
  <c r="BH165" i="5"/>
  <c r="BH163" i="5"/>
  <c r="BH161" i="5"/>
  <c r="BH159" i="5"/>
  <c r="BH157" i="5"/>
  <c r="BH155" i="5"/>
  <c r="BH153" i="5"/>
  <c r="BH151" i="5"/>
  <c r="BH146" i="5"/>
  <c r="BH183" i="5" s="1" a="1"/>
  <c r="BH183" i="5" s="1"/>
  <c r="BH144" i="5"/>
  <c r="BH142" i="5"/>
  <c r="BH140" i="5"/>
  <c r="BH138" i="5"/>
  <c r="BH136" i="5"/>
  <c r="BH134" i="5"/>
  <c r="BH132" i="5"/>
  <c r="BH130" i="5"/>
  <c r="BH181" i="5"/>
  <c r="BH173" i="5"/>
  <c r="BH152" i="5"/>
  <c r="BH166" i="5"/>
  <c r="BH162" i="5"/>
  <c r="BH158" i="5"/>
  <c r="BH154" i="5"/>
  <c r="BH135" i="5"/>
  <c r="BH107" i="5"/>
  <c r="BH104" i="5"/>
  <c r="BH103" i="5" s="1"/>
  <c r="BH100" i="5"/>
  <c r="BH99" i="5" s="1"/>
  <c r="BH93" i="5"/>
  <c r="BH68" i="5" a="1"/>
  <c r="BH68" i="5" s="1"/>
  <c r="BH175" i="5"/>
  <c r="BH133" i="5"/>
  <c r="BH105" i="5"/>
  <c r="BH82" i="5"/>
  <c r="BH50" i="5"/>
  <c r="BH59" i="5" s="1"/>
  <c r="BH76" i="5" s="1"/>
  <c r="BH171" i="5"/>
  <c r="BH139" i="5"/>
  <c r="BH78" i="5"/>
  <c r="BH41" i="5"/>
  <c r="BH39" i="5"/>
  <c r="BH37" i="5"/>
  <c r="BH160" i="5"/>
  <c r="BH164" i="5"/>
  <c r="BH177" i="5"/>
  <c r="BH156" i="5"/>
  <c r="BH141" i="5"/>
  <c r="BH179" i="5"/>
  <c r="BH137" i="5"/>
  <c r="BH106" i="5"/>
  <c r="BH143" i="5"/>
  <c r="BH28" i="5"/>
  <c r="BH45" i="5" s="1" a="1"/>
  <c r="BH45" i="5" s="1"/>
  <c r="BH150" i="5"/>
  <c r="BH145" i="5"/>
  <c r="BH79" i="5"/>
  <c r="BH131" i="5"/>
  <c r="BH81" i="5"/>
  <c r="BH35" i="5"/>
  <c r="BH33" i="5"/>
  <c r="BH31" i="5"/>
  <c r="BH17" i="5"/>
  <c r="BI5" i="5"/>
  <c r="BH38" i="5"/>
  <c r="BH11" i="5"/>
  <c r="BI19" i="5" s="1"/>
  <c r="BH66" i="5"/>
  <c r="BH64" i="5" s="1"/>
  <c r="BH30" i="5"/>
  <c r="BH16" i="5"/>
  <c r="BH36" i="5"/>
  <c r="BH27" i="5"/>
  <c r="BH20" i="5"/>
  <c r="BH12" i="5"/>
  <c r="BH34" i="5"/>
  <c r="BH40" i="5"/>
  <c r="BH13" i="5"/>
  <c r="BH32" i="5"/>
  <c r="BH24" i="5"/>
  <c r="BH14" i="5"/>
  <c r="BH6" i="5"/>
  <c r="BH18" i="5" s="1"/>
  <c r="BH29" i="5"/>
  <c r="BF47" i="5"/>
  <c r="BG57" i="5"/>
  <c r="BG55" i="5" s="1"/>
  <c r="BG75" i="5"/>
  <c r="BG74" i="5" s="1"/>
  <c r="BG72" i="5" s="1"/>
  <c r="BE71" i="5"/>
  <c r="N11" i="3"/>
  <c r="U29" i="3"/>
  <c r="T50" i="3"/>
  <c r="T36" i="3"/>
  <c r="T47" i="3"/>
  <c r="T44" i="3"/>
  <c r="T46" i="3"/>
  <c r="T42" i="3"/>
  <c r="T45" i="3"/>
  <c r="U33" i="3"/>
  <c r="T33" i="3"/>
  <c r="U32" i="3"/>
  <c r="T32" i="3"/>
  <c r="BH19" i="5"/>
  <c r="BH21" i="5" s="1"/>
  <c r="BJ4" i="6"/>
  <c r="BG4" i="7"/>
  <c r="BG3" i="7" s="1"/>
  <c r="BI5" i="6"/>
  <c r="BF57" i="5"/>
  <c r="D107" i="3"/>
  <c r="N16" i="3"/>
  <c r="U39" i="3"/>
  <c r="T39" i="3"/>
  <c r="D108" i="3" s="1"/>
  <c r="S52" i="3"/>
  <c r="N53" i="3"/>
  <c r="T55" i="3"/>
  <c r="BG45" i="5" a="1"/>
  <c r="BG45" i="5" s="1"/>
  <c r="N15" i="3"/>
  <c r="T38" i="3"/>
  <c r="U38" i="3"/>
  <c r="BE188" i="5"/>
  <c r="BE189" i="5"/>
  <c r="BE187" i="5"/>
  <c r="BC187" i="5"/>
  <c r="BC189" i="5"/>
  <c r="BC188" i="5"/>
  <c r="S21" i="3" l="1"/>
  <c r="N52" i="3"/>
  <c r="BH44" i="5"/>
  <c r="BI51" i="5"/>
  <c r="BI58" i="5" s="1"/>
  <c r="S48" i="3"/>
  <c r="N49" i="3"/>
  <c r="BF77" i="5"/>
  <c r="BF74" i="5" s="1"/>
  <c r="S34" i="3"/>
  <c r="T35" i="3"/>
  <c r="U35" i="3"/>
  <c r="BH75" i="5"/>
  <c r="BH57" i="5"/>
  <c r="BJ5" i="6"/>
  <c r="BK4" i="6"/>
  <c r="BH4" i="7"/>
  <c r="BH3" i="7" s="1"/>
  <c r="U15" i="3"/>
  <c r="T15" i="3"/>
  <c r="BG47" i="5"/>
  <c r="BF55" i="5"/>
  <c r="S31" i="3"/>
  <c r="BH62" i="5"/>
  <c r="BH61" i="5" s="1"/>
  <c r="BH77" i="5" s="1"/>
  <c r="U16" i="3"/>
  <c r="T16" i="3"/>
  <c r="U53" i="3"/>
  <c r="T53" i="3"/>
  <c r="U11" i="3"/>
  <c r="T19" i="3"/>
  <c r="BI176" i="5"/>
  <c r="BI166" i="5"/>
  <c r="BI159" i="5"/>
  <c r="BI150" i="5"/>
  <c r="BI175" i="5"/>
  <c r="BI142" i="5"/>
  <c r="BI133" i="5"/>
  <c r="BI105" i="5"/>
  <c r="BI82" i="5"/>
  <c r="BI50" i="5"/>
  <c r="BI59" i="5" s="1"/>
  <c r="BI76" i="5" s="1"/>
  <c r="BI177" i="5"/>
  <c r="BI155" i="5"/>
  <c r="BI151" i="5"/>
  <c r="BI140" i="5"/>
  <c r="BI131" i="5"/>
  <c r="BI79" i="5"/>
  <c r="BI40" i="5"/>
  <c r="BI172" i="5"/>
  <c r="BI165" i="5"/>
  <c r="BI161" i="5"/>
  <c r="BI146" i="5"/>
  <c r="BI183" i="5" s="1" a="1"/>
  <c r="BI183" i="5" s="1"/>
  <c r="BI137" i="5"/>
  <c r="BI130" i="5"/>
  <c r="BI68" i="5" a="1"/>
  <c r="BI68" i="5" s="1"/>
  <c r="BI141" i="5"/>
  <c r="BI174" i="5"/>
  <c r="BI163" i="5"/>
  <c r="BI181" i="5"/>
  <c r="BI180" i="5"/>
  <c r="BI179" i="5"/>
  <c r="BI178" i="5"/>
  <c r="BI139" i="5"/>
  <c r="BI164" i="5"/>
  <c r="BI160" i="5"/>
  <c r="BI153" i="5"/>
  <c r="BI136" i="5"/>
  <c r="BI138" i="5"/>
  <c r="BI134" i="5"/>
  <c r="BI39" i="5"/>
  <c r="BI28" i="5"/>
  <c r="BI152" i="5"/>
  <c r="BI100" i="5"/>
  <c r="BI99" i="5" s="1"/>
  <c r="BI78" i="5"/>
  <c r="BI34" i="5"/>
  <c r="BI32" i="5"/>
  <c r="BI30" i="5"/>
  <c r="BI24" i="5"/>
  <c r="BI20" i="5"/>
  <c r="BI21" i="5" s="1"/>
  <c r="BI170" i="5"/>
  <c r="BI154" i="5"/>
  <c r="BI145" i="5"/>
  <c r="BI132" i="5"/>
  <c r="BI162" i="5"/>
  <c r="BI158" i="5"/>
  <c r="BI156" i="5"/>
  <c r="BI135" i="5"/>
  <c r="BI173" i="5"/>
  <c r="BI157" i="5"/>
  <c r="BI106" i="5"/>
  <c r="BI144" i="5"/>
  <c r="BI81" i="5"/>
  <c r="BI104" i="5"/>
  <c r="BI41" i="5"/>
  <c r="BI14" i="5"/>
  <c r="BI12" i="5"/>
  <c r="BI107" i="5"/>
  <c r="BI66" i="5"/>
  <c r="BI64" i="5" s="1"/>
  <c r="BI16" i="5"/>
  <c r="BI13" i="5"/>
  <c r="BI37" i="5"/>
  <c r="BI36" i="5"/>
  <c r="BI33" i="5"/>
  <c r="BI27" i="5"/>
  <c r="BI45" i="5" s="1" a="1"/>
  <c r="BI45" i="5" s="1"/>
  <c r="BI17" i="5"/>
  <c r="BI31" i="5"/>
  <c r="BJ5" i="5"/>
  <c r="BI143" i="5"/>
  <c r="BI171" i="5"/>
  <c r="BI93" i="5"/>
  <c r="BI38" i="5"/>
  <c r="BI35" i="5"/>
  <c r="BI29" i="5"/>
  <c r="BI11" i="5"/>
  <c r="BI6" i="5"/>
  <c r="BI18" i="5" s="1"/>
  <c r="BI62" i="5" s="1"/>
  <c r="BI61" i="5" s="1"/>
  <c r="BI77" i="5" s="1"/>
  <c r="BG96" i="5"/>
  <c r="BG95" i="5" s="1"/>
  <c r="BG71" i="5" s="1"/>
  <c r="BG189" i="5" l="1"/>
  <c r="BG188" i="5"/>
  <c r="BG187" i="5"/>
  <c r="BF72" i="5"/>
  <c r="BF71" i="5" s="1"/>
  <c r="BF189" i="5" s="1"/>
  <c r="S57" i="3" s="1"/>
  <c r="S43" i="3"/>
  <c r="S41" i="3" s="1"/>
  <c r="BJ180" i="5"/>
  <c r="BJ178" i="5"/>
  <c r="BJ176" i="5"/>
  <c r="BJ174" i="5"/>
  <c r="BJ172" i="5"/>
  <c r="BJ179" i="5"/>
  <c r="BJ171" i="5"/>
  <c r="BJ164" i="5"/>
  <c r="BJ157" i="5"/>
  <c r="BJ177" i="5"/>
  <c r="BJ155" i="5"/>
  <c r="BJ151" i="5"/>
  <c r="BJ140" i="5"/>
  <c r="BJ131" i="5"/>
  <c r="BJ79" i="5"/>
  <c r="BJ170" i="5"/>
  <c r="BJ163" i="5"/>
  <c r="BJ159" i="5"/>
  <c r="BJ145" i="5"/>
  <c r="BJ138" i="5"/>
  <c r="BJ66" i="5"/>
  <c r="BJ64" i="5" s="1"/>
  <c r="BJ173" i="5"/>
  <c r="BJ162" i="5"/>
  <c r="BJ158" i="5"/>
  <c r="BJ154" i="5"/>
  <c r="BJ150" i="5"/>
  <c r="BJ144" i="5"/>
  <c r="BJ135" i="5"/>
  <c r="BJ107" i="5"/>
  <c r="BJ104" i="5"/>
  <c r="BJ100" i="5"/>
  <c r="BJ99" i="5" s="1"/>
  <c r="BJ93" i="5"/>
  <c r="BJ175" i="5"/>
  <c r="BJ165" i="5"/>
  <c r="BJ153" i="5"/>
  <c r="BJ146" i="5"/>
  <c r="BJ183" i="5" s="1" a="1"/>
  <c r="BJ183" i="5" s="1"/>
  <c r="BJ139" i="5"/>
  <c r="BJ161" i="5"/>
  <c r="BJ152" i="5"/>
  <c r="BJ142" i="5"/>
  <c r="BJ160" i="5"/>
  <c r="BJ105" i="5"/>
  <c r="BJ78" i="5"/>
  <c r="BJ34" i="5"/>
  <c r="BJ32" i="5"/>
  <c r="BJ30" i="5"/>
  <c r="BJ24" i="5"/>
  <c r="BJ20" i="5"/>
  <c r="BJ132" i="5"/>
  <c r="BJ68" i="5" a="1"/>
  <c r="BJ68" i="5" s="1"/>
  <c r="BJ38" i="5"/>
  <c r="BJ16" i="5"/>
  <c r="BJ13" i="5"/>
  <c r="BJ156" i="5"/>
  <c r="BJ141" i="5"/>
  <c r="BJ137" i="5"/>
  <c r="BJ130" i="5"/>
  <c r="BJ106" i="5"/>
  <c r="BJ133" i="5"/>
  <c r="BJ81" i="5"/>
  <c r="BJ166" i="5"/>
  <c r="BJ143" i="5"/>
  <c r="BJ136" i="5"/>
  <c r="BJ37" i="5"/>
  <c r="BJ41" i="5"/>
  <c r="BJ39" i="5"/>
  <c r="BJ36" i="5"/>
  <c r="BJ33" i="5"/>
  <c r="BJ27" i="5"/>
  <c r="BJ12" i="5"/>
  <c r="BK5" i="5"/>
  <c r="BJ181" i="5"/>
  <c r="BJ17" i="5"/>
  <c r="BJ40" i="5"/>
  <c r="BJ31" i="5"/>
  <c r="BJ28" i="5"/>
  <c r="BJ82" i="5"/>
  <c r="BJ35" i="5"/>
  <c r="BJ29" i="5"/>
  <c r="BJ45" i="5" s="1" a="1"/>
  <c r="BJ45" i="5" s="1"/>
  <c r="BJ134" i="5"/>
  <c r="BJ50" i="5"/>
  <c r="BJ59" i="5" s="1"/>
  <c r="BJ76" i="5" s="1"/>
  <c r="BJ14" i="5"/>
  <c r="BJ11" i="5"/>
  <c r="BJ6" i="5"/>
  <c r="BJ18" i="5" s="1"/>
  <c r="BJ62" i="5" s="1"/>
  <c r="BJ61" i="5" s="1"/>
  <c r="BJ77" i="5" s="1"/>
  <c r="BJ19" i="5"/>
  <c r="T49" i="3"/>
  <c r="U49" i="3"/>
  <c r="S20" i="3"/>
  <c r="N48" i="3"/>
  <c r="BI4" i="7"/>
  <c r="BK5" i="6"/>
  <c r="BL4" i="6"/>
  <c r="BL5" i="6" s="1"/>
  <c r="BI75" i="5"/>
  <c r="BI74" i="5" s="1"/>
  <c r="BI72" i="5" s="1"/>
  <c r="BI57" i="5"/>
  <c r="BI55" i="5" s="1"/>
  <c r="BH46" i="5"/>
  <c r="BH96" i="5"/>
  <c r="BH95" i="5" s="1"/>
  <c r="S13" i="3"/>
  <c r="N31" i="3"/>
  <c r="BH55" i="5"/>
  <c r="T52" i="3"/>
  <c r="N21" i="3"/>
  <c r="U52" i="3"/>
  <c r="BI103" i="5"/>
  <c r="BF188" i="5"/>
  <c r="S30" i="3"/>
  <c r="N30" i="3" s="1"/>
  <c r="BH74" i="5"/>
  <c r="BH72" i="5" s="1"/>
  <c r="BI44" i="5"/>
  <c r="BJ51" i="5"/>
  <c r="BJ58" i="5" s="1"/>
  <c r="S14" i="3"/>
  <c r="N34" i="3"/>
  <c r="BH47" i="5"/>
  <c r="BI46" i="5" l="1"/>
  <c r="BI96" i="5"/>
  <c r="BI95" i="5" s="1"/>
  <c r="BI71" i="5" s="1"/>
  <c r="U21" i="3"/>
  <c r="T21" i="3"/>
  <c r="BJ21" i="5"/>
  <c r="BK51" i="5"/>
  <c r="BK58" i="5" s="1"/>
  <c r="BJ44" i="5"/>
  <c r="BJ46" i="5" s="1"/>
  <c r="BJ103" i="5"/>
  <c r="BK107" i="5"/>
  <c r="BK105" i="5"/>
  <c r="BK162" i="5"/>
  <c r="BK155" i="5"/>
  <c r="BK176" i="5"/>
  <c r="BK170" i="5"/>
  <c r="BK163" i="5"/>
  <c r="BK159" i="5"/>
  <c r="BK145" i="5"/>
  <c r="BK138" i="5"/>
  <c r="BK66" i="5"/>
  <c r="BK64" i="5" s="1"/>
  <c r="BK179" i="5"/>
  <c r="BK178" i="5"/>
  <c r="BK160" i="5"/>
  <c r="BK156" i="5"/>
  <c r="BK152" i="5"/>
  <c r="BK143" i="5"/>
  <c r="BK136" i="5"/>
  <c r="BK175" i="5"/>
  <c r="BK174" i="5"/>
  <c r="BK166" i="5"/>
  <c r="BK142" i="5"/>
  <c r="BK133" i="5"/>
  <c r="BK82" i="5"/>
  <c r="BK50" i="5"/>
  <c r="BK59" i="5" s="1"/>
  <c r="BK76" i="5" s="1"/>
  <c r="BK158" i="5"/>
  <c r="BK140" i="5"/>
  <c r="BK139" i="5"/>
  <c r="BK173" i="5"/>
  <c r="BK161" i="5"/>
  <c r="BK181" i="5"/>
  <c r="BK180" i="5"/>
  <c r="BK165" i="5"/>
  <c r="BK154" i="5"/>
  <c r="BK144" i="5"/>
  <c r="BK171" i="5"/>
  <c r="BK135" i="5"/>
  <c r="BK134" i="5"/>
  <c r="BK151" i="5"/>
  <c r="BK132" i="5"/>
  <c r="BK100" i="5"/>
  <c r="BK99" i="5" s="1"/>
  <c r="BK38" i="5"/>
  <c r="BK16" i="5"/>
  <c r="BK13" i="5"/>
  <c r="BK153" i="5"/>
  <c r="BK150" i="5"/>
  <c r="BK146" i="5"/>
  <c r="BK183" i="5" s="1" a="1"/>
  <c r="BK183" i="5" s="1"/>
  <c r="BK40" i="5"/>
  <c r="BK36" i="5"/>
  <c r="BK11" i="5"/>
  <c r="BL19" i="5" s="1"/>
  <c r="BK141" i="5"/>
  <c r="BK137" i="5"/>
  <c r="BK130" i="5"/>
  <c r="BK106" i="5"/>
  <c r="BK79" i="5"/>
  <c r="BK164" i="5"/>
  <c r="BK157" i="5"/>
  <c r="BK81" i="5"/>
  <c r="BK172" i="5"/>
  <c r="BK131" i="5"/>
  <c r="BK104" i="5"/>
  <c r="BK177" i="5"/>
  <c r="BK93" i="5"/>
  <c r="BK39" i="5"/>
  <c r="BK28" i="5"/>
  <c r="BK37" i="5"/>
  <c r="BK30" i="5"/>
  <c r="BK12" i="5"/>
  <c r="BK20" i="5"/>
  <c r="BK17" i="5"/>
  <c r="BK78" i="5"/>
  <c r="BK68" i="5" a="1"/>
  <c r="BK68" i="5" s="1"/>
  <c r="BK34" i="5"/>
  <c r="BK31" i="5"/>
  <c r="BL5" i="5"/>
  <c r="BK35" i="5"/>
  <c r="BK29" i="5"/>
  <c r="BK32" i="5"/>
  <c r="BK27" i="5"/>
  <c r="BK45" i="5" s="1" a="1"/>
  <c r="BK45" i="5" s="1"/>
  <c r="BK14" i="5"/>
  <c r="BK24" i="5"/>
  <c r="BK6" i="5"/>
  <c r="BK18" i="5" s="1"/>
  <c r="BK41" i="5"/>
  <c r="BK33" i="5"/>
  <c r="BJ75" i="5"/>
  <c r="BJ74" i="5" s="1"/>
  <c r="BJ72" i="5" s="1"/>
  <c r="BJ57" i="5"/>
  <c r="BJ55" i="5" s="1"/>
  <c r="S40" i="3"/>
  <c r="S18" i="3"/>
  <c r="S17" i="3" s="1"/>
  <c r="BH71" i="5"/>
  <c r="BH189" i="5" s="1"/>
  <c r="U30" i="3"/>
  <c r="T30" i="3"/>
  <c r="BK19" i="5"/>
  <c r="BK21" i="5" s="1"/>
  <c r="F13" i="6"/>
  <c r="H13" i="6"/>
  <c r="H14" i="6" s="1"/>
  <c r="G13" i="6"/>
  <c r="G14" i="6" s="1"/>
  <c r="I13" i="6"/>
  <c r="I14" i="6" s="1"/>
  <c r="J13" i="6"/>
  <c r="J14" i="6" s="1"/>
  <c r="K13" i="6"/>
  <c r="K14" i="6" s="1"/>
  <c r="BF187" i="5"/>
  <c r="U31" i="3"/>
  <c r="T31" i="3"/>
  <c r="N13" i="3"/>
  <c r="BI3" i="7"/>
  <c r="G16" i="6"/>
  <c r="H16" i="6"/>
  <c r="F16" i="6"/>
  <c r="K16" i="6"/>
  <c r="I16" i="6"/>
  <c r="J16" i="6"/>
  <c r="T34" i="3"/>
  <c r="N14" i="3"/>
  <c r="U34" i="3"/>
  <c r="BI47" i="5"/>
  <c r="S12" i="3"/>
  <c r="S22" i="3" s="1"/>
  <c r="S23" i="3" s="1"/>
  <c r="U48" i="3"/>
  <c r="T48" i="3"/>
  <c r="N20" i="3"/>
  <c r="BI188" i="5" l="1"/>
  <c r="BI187" i="5"/>
  <c r="BI189" i="5"/>
  <c r="BL181" i="5"/>
  <c r="BL179" i="5"/>
  <c r="BL177" i="5"/>
  <c r="BL175" i="5"/>
  <c r="BL173" i="5"/>
  <c r="BL171" i="5"/>
  <c r="BL166" i="5"/>
  <c r="BL164" i="5"/>
  <c r="BL162" i="5"/>
  <c r="BL160" i="5"/>
  <c r="BL158" i="5"/>
  <c r="BL156" i="5"/>
  <c r="BL154" i="5"/>
  <c r="BL152" i="5"/>
  <c r="BL150" i="5"/>
  <c r="BL145" i="5"/>
  <c r="BL143" i="5"/>
  <c r="BL141" i="5"/>
  <c r="BL139" i="5"/>
  <c r="BL137" i="5"/>
  <c r="BL135" i="5"/>
  <c r="BL133" i="5"/>
  <c r="BL131" i="5"/>
  <c r="BL174" i="5"/>
  <c r="BL153" i="5"/>
  <c r="BL178" i="5"/>
  <c r="BL136" i="5"/>
  <c r="BL68" i="5" a="1"/>
  <c r="BL68" i="5" s="1"/>
  <c r="BL180" i="5"/>
  <c r="BL134" i="5"/>
  <c r="BL106" i="5"/>
  <c r="BL81" i="5"/>
  <c r="BL151" i="5"/>
  <c r="BL140" i="5"/>
  <c r="BL105" i="5"/>
  <c r="BL79" i="5"/>
  <c r="G80" i="5" s="1"/>
  <c r="G74" i="5" s="1"/>
  <c r="BL40" i="5"/>
  <c r="BL38" i="5"/>
  <c r="BL36" i="5"/>
  <c r="BL163" i="5"/>
  <c r="BL172" i="5"/>
  <c r="BL161" i="5"/>
  <c r="BL170" i="5"/>
  <c r="BL165" i="5"/>
  <c r="BL155" i="5"/>
  <c r="BL144" i="5"/>
  <c r="BL104" i="5"/>
  <c r="BL176" i="5"/>
  <c r="BL146" i="5"/>
  <c r="BL183" i="5" s="1" a="1"/>
  <c r="BL183" i="5" s="1"/>
  <c r="BL142" i="5"/>
  <c r="BL11" i="5"/>
  <c r="BL130" i="5"/>
  <c r="BL66" i="5"/>
  <c r="BL64" i="5" s="1"/>
  <c r="BL29" i="5"/>
  <c r="BL27" i="5"/>
  <c r="BL157" i="5"/>
  <c r="BL159" i="5"/>
  <c r="BL93" i="5"/>
  <c r="BL107" i="5"/>
  <c r="BL82" i="5"/>
  <c r="BL78" i="5"/>
  <c r="BL34" i="5"/>
  <c r="BL32" i="5"/>
  <c r="BL30" i="5"/>
  <c r="BL24" i="5"/>
  <c r="BL20" i="5"/>
  <c r="BL21" i="5" s="1"/>
  <c r="BL138" i="5"/>
  <c r="BL17" i="5"/>
  <c r="BL31" i="5"/>
  <c r="BL28" i="5"/>
  <c r="BL13" i="5"/>
  <c r="BL35" i="5"/>
  <c r="BL100" i="5"/>
  <c r="BL99" i="5" s="1"/>
  <c r="BL132" i="5"/>
  <c r="BL50" i="5"/>
  <c r="BL14" i="5"/>
  <c r="BL39" i="5"/>
  <c r="BL37" i="5"/>
  <c r="BL16" i="5"/>
  <c r="BL41" i="5"/>
  <c r="BL33" i="5"/>
  <c r="BL12" i="5"/>
  <c r="BL6" i="5"/>
  <c r="BL18" i="5" s="1"/>
  <c r="BK62" i="5"/>
  <c r="BK61" i="5" s="1"/>
  <c r="BK77" i="5" s="1"/>
  <c r="U20" i="3"/>
  <c r="T20" i="3"/>
  <c r="E13" i="6"/>
  <c r="F14" i="6"/>
  <c r="BH188" i="5"/>
  <c r="BL51" i="5"/>
  <c r="BL58" i="5" s="1"/>
  <c r="BK44" i="5"/>
  <c r="U14" i="3"/>
  <c r="T14" i="3"/>
  <c r="G19" i="6"/>
  <c r="I19" i="6"/>
  <c r="G23" i="6"/>
  <c r="G22" i="6"/>
  <c r="G17" i="6"/>
  <c r="G31" i="6"/>
  <c r="G20" i="6"/>
  <c r="G27" i="6"/>
  <c r="G28" i="6"/>
  <c r="H20" i="6"/>
  <c r="H24" i="6"/>
  <c r="G25" i="6"/>
  <c r="H19" i="6"/>
  <c r="H21" i="6"/>
  <c r="G29" i="6"/>
  <c r="G26" i="6"/>
  <c r="H27" i="6"/>
  <c r="G21" i="6"/>
  <c r="H17" i="6"/>
  <c r="G30" i="6"/>
  <c r="H31" i="6"/>
  <c r="G24" i="6"/>
  <c r="I20" i="6"/>
  <c r="I28" i="6"/>
  <c r="H28" i="6"/>
  <c r="K19" i="6"/>
  <c r="H29" i="6"/>
  <c r="I25" i="6"/>
  <c r="I23" i="6"/>
  <c r="I27" i="6"/>
  <c r="J28" i="6"/>
  <c r="H22" i="6"/>
  <c r="I17" i="6"/>
  <c r="J30" i="6"/>
  <c r="J22" i="6"/>
  <c r="H25" i="6"/>
  <c r="I31" i="6"/>
  <c r="H23" i="6"/>
  <c r="I26" i="6"/>
  <c r="H26" i="6"/>
  <c r="H30" i="6"/>
  <c r="I30" i="6"/>
  <c r="I24" i="6"/>
  <c r="I21" i="6"/>
  <c r="J20" i="6"/>
  <c r="J26" i="6"/>
  <c r="K29" i="6"/>
  <c r="K26" i="6"/>
  <c r="K27" i="6"/>
  <c r="J31" i="6"/>
  <c r="J23" i="6"/>
  <c r="K23" i="6"/>
  <c r="K28" i="6"/>
  <c r="J19" i="6"/>
  <c r="J32" i="6" s="1"/>
  <c r="J17" i="6"/>
  <c r="J21" i="6"/>
  <c r="K17" i="6"/>
  <c r="K22" i="6"/>
  <c r="K20" i="6"/>
  <c r="J25" i="6"/>
  <c r="K25" i="6"/>
  <c r="J29" i="6"/>
  <c r="J27" i="6"/>
  <c r="I22" i="6"/>
  <c r="I29" i="6"/>
  <c r="J24" i="6"/>
  <c r="K31" i="6"/>
  <c r="K21" i="6"/>
  <c r="K24" i="6"/>
  <c r="K30" i="6"/>
  <c r="BH187" i="5"/>
  <c r="BJ71" i="5"/>
  <c r="BJ187" i="5" s="1"/>
  <c r="BK103" i="5"/>
  <c r="BJ96" i="5"/>
  <c r="BJ95" i="5" s="1"/>
  <c r="N12" i="3"/>
  <c r="U13" i="3"/>
  <c r="T13" i="3"/>
  <c r="BK75" i="5"/>
  <c r="BK74" i="5" s="1"/>
  <c r="BK72" i="5" s="1"/>
  <c r="BK57" i="5"/>
  <c r="BK55" i="5" s="1"/>
  <c r="BJ47" i="5"/>
  <c r="D50" i="7" l="1" a="1"/>
  <c r="D50" i="7" s="1"/>
  <c r="C50" i="7" a="1"/>
  <c r="C50" i="7" s="1"/>
  <c r="B50" i="7" a="1"/>
  <c r="B50" i="7" s="1"/>
  <c r="E50" i="7" a="1"/>
  <c r="E50" i="7" s="1"/>
  <c r="G50" i="7" a="1"/>
  <c r="G50" i="7" s="1"/>
  <c r="F50" i="7" a="1"/>
  <c r="F50" i="7" s="1"/>
  <c r="B41" i="7" a="1"/>
  <c r="B41" i="7" s="1"/>
  <c r="F41" i="7" a="1"/>
  <c r="F41" i="7" s="1"/>
  <c r="E41" i="7" a="1"/>
  <c r="E41" i="7" s="1"/>
  <c r="D41" i="7" a="1"/>
  <c r="D41" i="7" s="1"/>
  <c r="G41" i="7" a="1"/>
  <c r="G41" i="7" s="1"/>
  <c r="C41" i="7" a="1"/>
  <c r="C41" i="7" s="1"/>
  <c r="K32" i="6"/>
  <c r="I32" i="6"/>
  <c r="BJ189" i="5"/>
  <c r="G72" i="5"/>
  <c r="G71" i="5" s="1"/>
  <c r="O43" i="3"/>
  <c r="G18" i="7" a="1"/>
  <c r="G18" i="7" s="1"/>
  <c r="D18" i="7" a="1"/>
  <c r="D18" i="7" s="1"/>
  <c r="F18" i="7" a="1"/>
  <c r="F18" i="7" s="1"/>
  <c r="B18" i="7" a="1"/>
  <c r="B18" i="7" s="1"/>
  <c r="E18" i="7" a="1"/>
  <c r="E18" i="7" s="1"/>
  <c r="C18" i="7" a="1"/>
  <c r="C18" i="7" s="1"/>
  <c r="G32" i="6"/>
  <c r="D42" i="7" a="1"/>
  <c r="D42" i="7" s="1"/>
  <c r="G42" i="7" a="1"/>
  <c r="G42" i="7" s="1"/>
  <c r="F42" i="7" a="1"/>
  <c r="F42" i="7" s="1"/>
  <c r="B42" i="7" a="1"/>
  <c r="B42" i="7" s="1"/>
  <c r="E42" i="7" a="1"/>
  <c r="E42" i="7" s="1"/>
  <c r="C42" i="7" a="1"/>
  <c r="C42" i="7" s="1"/>
  <c r="C29" i="7" a="1"/>
  <c r="C29" i="7" s="1"/>
  <c r="B29" i="7" a="1"/>
  <c r="B29" i="7" s="1"/>
  <c r="F29" i="6" s="1"/>
  <c r="E29" i="6" s="1"/>
  <c r="G29" i="7" a="1"/>
  <c r="G29" i="7" s="1"/>
  <c r="E29" i="7" a="1"/>
  <c r="E29" i="7" s="1"/>
  <c r="D29" i="7" a="1"/>
  <c r="D29" i="7" s="1"/>
  <c r="F29" i="7" a="1"/>
  <c r="F29" i="7" s="1"/>
  <c r="BK46" i="5"/>
  <c r="BK96" i="5"/>
  <c r="BK95" i="5" s="1"/>
  <c r="BK71" i="5" s="1"/>
  <c r="D46" i="7" a="1"/>
  <c r="D46" i="7" s="1"/>
  <c r="C46" i="7" a="1"/>
  <c r="C46" i="7" s="1"/>
  <c r="B46" i="7" a="1"/>
  <c r="B46" i="7" s="1"/>
  <c r="F46" i="7" a="1"/>
  <c r="F46" i="7" s="1"/>
  <c r="G46" i="7" a="1"/>
  <c r="G46" i="7" s="1"/>
  <c r="E46" i="7" a="1"/>
  <c r="E46" i="7" s="1"/>
  <c r="G37" i="7" a="1"/>
  <c r="G37" i="7" s="1"/>
  <c r="F37" i="7" a="1"/>
  <c r="F37" i="7" s="1"/>
  <c r="B37" i="7" a="1"/>
  <c r="B37" i="7" s="1"/>
  <c r="E37" i="7" a="1"/>
  <c r="E37" i="7" s="1"/>
  <c r="D37" i="7" a="1"/>
  <c r="D37" i="7" s="1"/>
  <c r="C37" i="7" a="1"/>
  <c r="C37" i="7" s="1"/>
  <c r="E43" i="7" a="1"/>
  <c r="E43" i="7" s="1"/>
  <c r="B43" i="7" a="1"/>
  <c r="B43" i="7" s="1"/>
  <c r="G43" i="7" a="1"/>
  <c r="G43" i="7" s="1"/>
  <c r="D43" i="7" a="1"/>
  <c r="D43" i="7" s="1"/>
  <c r="C43" i="7" a="1"/>
  <c r="C43" i="7" s="1"/>
  <c r="F43" i="7" a="1"/>
  <c r="F43" i="7" s="1"/>
  <c r="BL75" i="5"/>
  <c r="C12" i="7" a="1"/>
  <c r="C12" i="7" s="1"/>
  <c r="F12" i="7" a="1"/>
  <c r="F12" i="7" s="1"/>
  <c r="B12" i="7" a="1"/>
  <c r="B12" i="7" s="1"/>
  <c r="E12" i="7" a="1"/>
  <c r="E12" i="7" s="1"/>
  <c r="D12" i="7" a="1"/>
  <c r="D12" i="7" s="1"/>
  <c r="G12" i="7" a="1"/>
  <c r="G12" i="7" s="1"/>
  <c r="F48" i="7" a="1"/>
  <c r="F48" i="7" s="1"/>
  <c r="B48" i="7" a="1"/>
  <c r="B48" i="7" s="1"/>
  <c r="E48" i="7" a="1"/>
  <c r="E48" i="7" s="1"/>
  <c r="C48" i="7" a="1"/>
  <c r="C48" i="7" s="1"/>
  <c r="D48" i="7" a="1"/>
  <c r="D48" i="7" s="1"/>
  <c r="G48" i="7" a="1"/>
  <c r="G48" i="7" s="1"/>
  <c r="F40" i="7" a="1"/>
  <c r="F40" i="7" s="1"/>
  <c r="D40" i="7" a="1"/>
  <c r="D40" i="7" s="1"/>
  <c r="C40" i="7" a="1"/>
  <c r="C40" i="7" s="1"/>
  <c r="G40" i="7" a="1"/>
  <c r="G40" i="7" s="1"/>
  <c r="E40" i="7" a="1"/>
  <c r="E40" i="7" s="1"/>
  <c r="B40" i="7" a="1"/>
  <c r="B40" i="7" s="1"/>
  <c r="BL45" i="5" a="1"/>
  <c r="BL45" i="5" s="1"/>
  <c r="BL44" i="5"/>
  <c r="F36" i="7" a="1"/>
  <c r="F36" i="7" s="1"/>
  <c r="B36" i="7" a="1"/>
  <c r="B36" i="7" s="1"/>
  <c r="G36" i="7" a="1"/>
  <c r="G36" i="7" s="1"/>
  <c r="E36" i="7" a="1"/>
  <c r="E36" i="7" s="1"/>
  <c r="D36" i="7" a="1"/>
  <c r="D36" i="7" s="1"/>
  <c r="C36" i="7" a="1"/>
  <c r="C36" i="7" s="1"/>
  <c r="BL103" i="5"/>
  <c r="E45" i="7" a="1"/>
  <c r="E45" i="7" s="1"/>
  <c r="G45" i="7" a="1"/>
  <c r="G45" i="7" s="1"/>
  <c r="B45" i="7" a="1"/>
  <c r="B45" i="7" s="1"/>
  <c r="F45" i="7" a="1"/>
  <c r="F45" i="7" s="1"/>
  <c r="C45" i="7" a="1"/>
  <c r="C45" i="7" s="1"/>
  <c r="D45" i="7" a="1"/>
  <c r="D45" i="7" s="1"/>
  <c r="T12" i="3"/>
  <c r="U12" i="3"/>
  <c r="BJ188" i="5"/>
  <c r="F38" i="7" a="1"/>
  <c r="F38" i="7" s="1"/>
  <c r="C38" i="7" a="1"/>
  <c r="C38" i="7" s="1"/>
  <c r="E38" i="7" a="1"/>
  <c r="E38" i="7" s="1"/>
  <c r="G38" i="7" a="1"/>
  <c r="G38" i="7" s="1"/>
  <c r="D38" i="7" a="1"/>
  <c r="D38" i="7" s="1"/>
  <c r="B38" i="7" a="1"/>
  <c r="B38" i="7" s="1"/>
  <c r="D47" i="7" a="1"/>
  <c r="D47" i="7" s="1"/>
  <c r="F47" i="7" a="1"/>
  <c r="F47" i="7" s="1"/>
  <c r="E47" i="7" a="1"/>
  <c r="E47" i="7" s="1"/>
  <c r="G47" i="7" a="1"/>
  <c r="G47" i="7" s="1"/>
  <c r="C47" i="7" a="1"/>
  <c r="C47" i="7" s="1"/>
  <c r="B47" i="7" a="1"/>
  <c r="B47" i="7" s="1"/>
  <c r="G44" i="7" a="1"/>
  <c r="G44" i="7" s="1"/>
  <c r="B44" i="7" a="1"/>
  <c r="B44" i="7" s="1"/>
  <c r="D44" i="7" a="1"/>
  <c r="D44" i="7" s="1"/>
  <c r="E44" i="7" a="1"/>
  <c r="E44" i="7" s="1"/>
  <c r="F44" i="7" a="1"/>
  <c r="F44" i="7" s="1"/>
  <c r="C44" i="7" a="1"/>
  <c r="C44" i="7" s="1"/>
  <c r="E39" i="7" a="1"/>
  <c r="E39" i="7" s="1"/>
  <c r="C39" i="7" a="1"/>
  <c r="C39" i="7" s="1"/>
  <c r="G39" i="7" a="1"/>
  <c r="G39" i="7" s="1"/>
  <c r="F39" i="7" a="1"/>
  <c r="F39" i="7" s="1"/>
  <c r="B39" i="7" a="1"/>
  <c r="B39" i="7" s="1"/>
  <c r="D39" i="7" a="1"/>
  <c r="D39" i="7" s="1"/>
  <c r="F31" i="7" a="1"/>
  <c r="F31" i="7" s="1"/>
  <c r="E31" i="7" a="1"/>
  <c r="E31" i="7" s="1"/>
  <c r="D31" i="7" a="1"/>
  <c r="D31" i="7" s="1"/>
  <c r="G31" i="7" a="1"/>
  <c r="G31" i="7" s="1"/>
  <c r="B31" i="7" a="1"/>
  <c r="B31" i="7" s="1"/>
  <c r="C31" i="7" a="1"/>
  <c r="C31" i="7" s="1"/>
  <c r="H32" i="6"/>
  <c r="BL62" i="5"/>
  <c r="BL59" i="5"/>
  <c r="C8" i="7" a="1"/>
  <c r="C8" i="7" s="1"/>
  <c r="D8" i="7" a="1"/>
  <c r="D8" i="7" s="1"/>
  <c r="E8" i="7" a="1"/>
  <c r="E8" i="7" s="1"/>
  <c r="B8" i="7" a="1"/>
  <c r="B8" i="7" s="1"/>
  <c r="F8" i="7" a="1"/>
  <c r="F8" i="7" s="1"/>
  <c r="G8" i="7" a="1"/>
  <c r="G8" i="7" s="1"/>
  <c r="E17" i="7" a="1"/>
  <c r="E17" i="7" s="1"/>
  <c r="F17" i="7" a="1"/>
  <c r="F17" i="7" s="1"/>
  <c r="C17" i="7" a="1"/>
  <c r="C17" i="7" s="1"/>
  <c r="G17" i="7" a="1"/>
  <c r="G17" i="7" s="1"/>
  <c r="D17" i="7" a="1"/>
  <c r="D17" i="7" s="1"/>
  <c r="B17" i="7" a="1"/>
  <c r="B17" i="7" s="1"/>
  <c r="D49" i="7" a="1"/>
  <c r="D49" i="7" s="1"/>
  <c r="G49" i="7" a="1"/>
  <c r="G49" i="7" s="1"/>
  <c r="E49" i="7" a="1"/>
  <c r="E49" i="7" s="1"/>
  <c r="C49" i="7" a="1"/>
  <c r="C49" i="7" s="1"/>
  <c r="F49" i="7" a="1"/>
  <c r="F49" i="7" s="1"/>
  <c r="B49" i="7" a="1"/>
  <c r="B49" i="7" s="1"/>
  <c r="BK47" i="5"/>
  <c r="BK187" i="5" l="1"/>
  <c r="BK189" i="5"/>
  <c r="BK188" i="5"/>
  <c r="G189" i="5"/>
  <c r="G188" i="5"/>
  <c r="G187" i="5"/>
  <c r="E17" i="6"/>
  <c r="F17" i="6"/>
  <c r="E30" i="7" a="1"/>
  <c r="E30" i="7" s="1"/>
  <c r="G30" i="7" a="1"/>
  <c r="G30" i="7" s="1"/>
  <c r="F30" i="7" a="1"/>
  <c r="F30" i="7" s="1"/>
  <c r="B30" i="7" a="1"/>
  <c r="B30" i="7" s="1"/>
  <c r="D30" i="7" a="1"/>
  <c r="D30" i="7" s="1"/>
  <c r="C30" i="7" a="1"/>
  <c r="C30" i="7" s="1"/>
  <c r="F22" i="6"/>
  <c r="E22" i="6" s="1"/>
  <c r="N43" i="3"/>
  <c r="O41" i="3"/>
  <c r="F23" i="6"/>
  <c r="E23" i="6" s="1"/>
  <c r="BL47" i="5"/>
  <c r="BL76" i="5"/>
  <c r="F13" i="7" a="1"/>
  <c r="F13" i="7" s="1"/>
  <c r="D13" i="7" a="1"/>
  <c r="D13" i="7" s="1"/>
  <c r="G13" i="7" a="1"/>
  <c r="G13" i="7" s="1"/>
  <c r="B13" i="7" a="1"/>
  <c r="B13" i="7" s="1"/>
  <c r="E13" i="7" a="1"/>
  <c r="E13" i="7" s="1"/>
  <c r="C13" i="7" a="1"/>
  <c r="C13" i="7" s="1"/>
  <c r="BL57" i="5"/>
  <c r="BL46" i="5"/>
  <c r="B7" i="7" a="1"/>
  <c r="B7" i="7" s="1"/>
  <c r="B51" i="7" s="1"/>
  <c r="F7" i="7" a="1"/>
  <c r="F7" i="7" s="1"/>
  <c r="F51" i="7" s="1"/>
  <c r="G7" i="7" a="1"/>
  <c r="G7" i="7" s="1"/>
  <c r="G51" i="7" s="1"/>
  <c r="D7" i="7" a="1"/>
  <c r="D7" i="7" s="1"/>
  <c r="D51" i="7" s="1"/>
  <c r="C7" i="7" a="1"/>
  <c r="C7" i="7" s="1"/>
  <c r="C51" i="7" s="1"/>
  <c r="E7" i="7" a="1"/>
  <c r="E7" i="7" s="1"/>
  <c r="E51" i="7" s="1"/>
  <c r="BL96" i="5"/>
  <c r="BL95" i="5" s="1"/>
  <c r="BL61" i="5"/>
  <c r="G15" i="7" a="1"/>
  <c r="G15" i="7" s="1"/>
  <c r="D15" i="7" a="1"/>
  <c r="D15" i="7" s="1"/>
  <c r="E15" i="7" a="1"/>
  <c r="E15" i="7" s="1"/>
  <c r="B15" i="7" a="1"/>
  <c r="B15" i="7" s="1"/>
  <c r="C15" i="7" a="1"/>
  <c r="C15" i="7" s="1"/>
  <c r="F15" i="7" a="1"/>
  <c r="F15" i="7" s="1"/>
  <c r="T43" i="3" l="1"/>
  <c r="U43" i="3"/>
  <c r="BL77" i="5"/>
  <c r="BL74" i="5" s="1"/>
  <c r="G14" i="7" a="1"/>
  <c r="G14" i="7" s="1"/>
  <c r="C14" i="7" a="1"/>
  <c r="C14" i="7" s="1"/>
  <c r="B14" i="7" a="1"/>
  <c r="B14" i="7" s="1"/>
  <c r="E14" i="7" a="1"/>
  <c r="E14" i="7" s="1"/>
  <c r="D14" i="7" a="1"/>
  <c r="D14" i="7" s="1"/>
  <c r="F14" i="7" a="1"/>
  <c r="F14" i="7" s="1"/>
  <c r="E28" i="7" a="1"/>
  <c r="E28" i="7" s="1"/>
  <c r="B28" i="7" a="1"/>
  <c r="B28" i="7" s="1"/>
  <c r="G28" i="7" a="1"/>
  <c r="G28" i="7" s="1"/>
  <c r="D28" i="7" a="1"/>
  <c r="D28" i="7" s="1"/>
  <c r="F28" i="7" a="1"/>
  <c r="F28" i="7" s="1"/>
  <c r="C28" i="7" a="1"/>
  <c r="C28" i="7" s="1"/>
  <c r="BL55" i="5"/>
  <c r="G11" i="7" a="1"/>
  <c r="G11" i="7" s="1"/>
  <c r="F11" i="7" a="1"/>
  <c r="F11" i="7" s="1"/>
  <c r="E11" i="7" a="1"/>
  <c r="E11" i="7" s="1"/>
  <c r="C11" i="7" a="1"/>
  <c r="C11" i="7" s="1"/>
  <c r="D11" i="7" a="1"/>
  <c r="D11" i="7" s="1"/>
  <c r="B11" i="7" a="1"/>
  <c r="B11" i="7" s="1"/>
  <c r="F20" i="6" s="1"/>
  <c r="E20" i="6" s="1"/>
  <c r="F30" i="6"/>
  <c r="E30" i="6" s="1"/>
  <c r="O57" i="3"/>
  <c r="N57" i="3" s="1"/>
  <c r="N41" i="3"/>
  <c r="O18" i="3"/>
  <c r="O17" i="3" s="1"/>
  <c r="O22" i="3" s="1"/>
  <c r="O23" i="3" s="1"/>
  <c r="O40" i="3"/>
  <c r="N40" i="3" s="1"/>
  <c r="BL72" i="5" l="1"/>
  <c r="BL71" i="5" s="1"/>
  <c r="G22" i="7" a="1"/>
  <c r="G22" i="7" s="1"/>
  <c r="G20" i="7" s="1"/>
  <c r="G19" i="7" s="1"/>
  <c r="B22" i="7" a="1"/>
  <c r="B22" i="7" s="1"/>
  <c r="D22" i="7" a="1"/>
  <c r="D22" i="7" s="1"/>
  <c r="D20" i="7" s="1"/>
  <c r="D19" i="7" s="1"/>
  <c r="E22" i="7" a="1"/>
  <c r="E22" i="7" s="1"/>
  <c r="E20" i="7" s="1"/>
  <c r="E19" i="7" s="1"/>
  <c r="C22" i="7" a="1"/>
  <c r="C22" i="7" s="1"/>
  <c r="C20" i="7" s="1"/>
  <c r="C19" i="7" s="1"/>
  <c r="F22" i="7" a="1"/>
  <c r="F22" i="7" s="1"/>
  <c r="F20" i="7" s="1"/>
  <c r="F19" i="7" s="1"/>
  <c r="F21" i="6"/>
  <c r="E21" i="6" s="1"/>
  <c r="N18" i="3"/>
  <c r="U41" i="3"/>
  <c r="T41" i="3"/>
  <c r="F28" i="6"/>
  <c r="E28" i="6" s="1"/>
  <c r="U57" i="3"/>
  <c r="T57" i="3"/>
  <c r="T40" i="3"/>
  <c r="U40" i="3"/>
  <c r="BL188" i="5"/>
  <c r="BL189" i="5"/>
  <c r="BL187" i="5"/>
  <c r="C9" i="7" a="1"/>
  <c r="C9" i="7" s="1"/>
  <c r="D9" i="7" a="1"/>
  <c r="D9" i="7" s="1"/>
  <c r="F9" i="7" a="1"/>
  <c r="F9" i="7" s="1"/>
  <c r="G9" i="7" a="1"/>
  <c r="G9" i="7" s="1"/>
  <c r="E9" i="7" a="1"/>
  <c r="E9" i="7" s="1"/>
  <c r="B9" i="7" a="1"/>
  <c r="B9" i="7" s="1"/>
  <c r="E10" i="7" l="1"/>
  <c r="G10" i="7"/>
  <c r="B33" i="7"/>
  <c r="B10" i="7"/>
  <c r="F19" i="6"/>
  <c r="F10" i="7"/>
  <c r="C32" i="7" a="1"/>
  <c r="C32" i="7" s="1"/>
  <c r="D32" i="7" a="1"/>
  <c r="D32" i="7" s="1"/>
  <c r="E32" i="7" a="1"/>
  <c r="E32" i="7" s="1"/>
  <c r="E33" i="7" s="1"/>
  <c r="G32" i="7" a="1"/>
  <c r="G32" i="7" s="1"/>
  <c r="G33" i="7" s="1"/>
  <c r="F32" i="7" a="1"/>
  <c r="F32" i="7" s="1"/>
  <c r="F33" i="7" s="1"/>
  <c r="B32" i="7" a="1"/>
  <c r="B32" i="7" s="1"/>
  <c r="D33" i="7"/>
  <c r="D10" i="7"/>
  <c r="C33" i="7"/>
  <c r="C10" i="7"/>
  <c r="B20" i="7"/>
  <c r="B19" i="7" s="1"/>
  <c r="F24" i="6" s="1"/>
  <c r="E24" i="6" s="1"/>
  <c r="F25" i="6"/>
  <c r="E25" i="6" s="1"/>
  <c r="N17" i="3"/>
  <c r="U18" i="3"/>
  <c r="T18" i="3"/>
  <c r="F31" i="6" l="1"/>
  <c r="E31" i="6" s="1"/>
  <c r="E19" i="6"/>
  <c r="E32" i="6" s="1"/>
  <c r="F32" i="6"/>
  <c r="U17" i="3"/>
  <c r="T17" i="3"/>
  <c r="N22" i="3"/>
  <c r="U22" i="3" l="1"/>
  <c r="T22" i="3"/>
  <c r="N23" i="3"/>
  <c r="U23" i="3" l="1"/>
  <c r="T2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<sst xmlns="http://schemas.openxmlformats.org/spreadsheetml/2006/main" count="788" uniqueCount="468">
  <si>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</si>
  <si>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</si>
  <si>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</si>
  <si>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</si>
  <si>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</si>
  <si>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</si>
  <si>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</si>
  <si>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</si>
  <si>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</si>
  <si>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</si>
  <si>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</si>
  <si>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</si>
  <si>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</si>
  <si>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</si>
  <si>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</si>
  <si>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</si>
  <si>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</si>
  <si>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</si>
  <si>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</si>
  <si>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</si>
  <si>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</si>
  <si>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</si>
  <si>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</si>
  <si>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</si>
  <si>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</si>
  <si>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</si>
  <si>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</si>
  <si>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</si>
  <si>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</si>
  <si>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</si>
  <si>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</si>
  <si>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</si>
  <si>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</si>
  <si>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</si>
  <si>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</si>
  <si>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</si>
  <si>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</si>
  <si>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</si>
  <si>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</si>
  <si>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</si>
  <si>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</si>
  <si>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</si>
  <si>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</si>
  <si>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</si>
  <si>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</si>
  <si>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</si>
  <si>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</si>
  <si>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</si>
  <si>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</si>
  <si>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</si>
  <si>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</si>
  <si>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</si>
  <si>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</si>
  <si>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</si>
  <si>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</si>
  <si>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</si>
  <si>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</si>
  <si>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</si>
  <si>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</si>
  <si>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</si>
  <si>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</si>
  <si>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</si>
  <si>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</si>
  <si>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</si>
  <si>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</si>
  <si>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</si>
  <si>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</si>
  <si>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</si>
  <si>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</si>
  <si>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</si>
  <si>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</si>
  <si>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</si>
  <si>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</si>
  <si>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</si>
  <si>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</si>
  <si>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</si>
  <si>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</si>
  <si>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</si>
  <si>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</si>
  <si>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</si>
  <si>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</si>
  <si>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</si>
  <si>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</si>
  <si>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</si>
  <si>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</si>
  <si>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</si>
  <si>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</si>
  <si>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</si>
  <si>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</si>
  <si>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</si>
  <si>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</si>
  <si>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</si>
  <si>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</si>
  <si>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</si>
  <si>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</si>
  <si>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</si>
  <si>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</si>
  <si>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</si>
  <si>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</si>
  <si>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</si>
  <si>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</si>
  <si>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</si>
  <si>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</si>
  <si>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</si>
  <si>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</si>
  <si>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</si>
  <si>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</si>
  <si>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</si>
  <si>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</si>
  <si>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</si>
  <si>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</si>
  <si>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</si>
  <si>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</si>
  <si>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</si>
  <si>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</si>
  <si>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</si>
  <si>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</si>
  <si>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</si>
  <si>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</si>
  <si>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</si>
  <si>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</si>
  <si>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</si>
  <si>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</si>
  <si>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</si>
  <si>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</si>
  <si>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</si>
  <si>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</si>
  <si>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</si>
  <si>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</si>
  <si>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</si>
  <si>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</si>
  <si>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</si>
  <si>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</si>
  <si>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</si>
  <si>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</si>
  <si>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</si>
  <si>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</si>
  <si>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</si>
  <si>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</si>
  <si>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</si>
  <si>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</si>
  <si>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</si>
  <si>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</si>
  <si>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</si>
  <si>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</si>
  <si>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</si>
  <si>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</si>
  <si>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</si>
  <si>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</si>
  <si>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</si>
  <si>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</si>
  <si>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</si>
  <si>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</si>
  <si>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</si>
  <si>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</si>
  <si>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</si>
  <si>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</si>
  <si>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</si>
  <si>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</si>
  <si>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</si>
  <si>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</si>
  <si>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</si>
  <si>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</si>
  <si>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</si>
  <si>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</si>
  <si>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</si>
  <si>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</si>
  <si>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</si>
  <si>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Product</t>
  </si>
  <si>
    <t>Unsecured Cashloan</t>
  </si>
  <si>
    <t>UPL</t>
  </si>
  <si>
    <t>Disclaimer</t>
  </si>
  <si>
    <t>Sub-Product</t>
  </si>
  <si>
    <t>Cashloan</t>
  </si>
  <si>
    <t>ALL</t>
  </si>
  <si>
    <t>Instruction</t>
  </si>
  <si>
    <t>Sub-Segments</t>
  </si>
  <si>
    <t>VNPAY</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</si>
  <si>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</si>
  <si>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</si>
  <si>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</si>
  <si>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</si>
  <si>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</si>
  <si>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</si>
  <si>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</si>
  <si>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</si>
  <si>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</si>
  <si>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</si>
  <si>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</si>
  <si>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</si>
  <si>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</si>
  <si>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</si>
  <si>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</si>
  <si>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</si>
  <si>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</si>
  <si>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</si>
  <si>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</si>
  <si>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</si>
  <si>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</si>
  <si>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</si>
  <si>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</si>
  <si>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</si>
  <si>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</si>
  <si>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</si>
  <si>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</si>
  <si>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</si>
  <si>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</si>
  <si>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</si>
  <si>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</si>
  <si>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</si>
  <si>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</si>
  <si>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</si>
  <si>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</si>
  <si>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</si>
  <si>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</si>
  <si>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</si>
  <si>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</si>
  <si>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</si>
  <si>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</si>
  <si>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</si>
  <si>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</si>
  <si>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</si>
  <si>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</si>
  <si>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</si>
  <si>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</si>
  <si>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</si>
  <si>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</si>
  <si>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</si>
  <si>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</si>
  <si>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</si>
  <si>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</si>
  <si>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</si>
  <si>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</si>
  <si>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</si>
  <si>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</si>
  <si>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</si>
  <si>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</si>
  <si>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</si>
  <si>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</si>
  <si>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</si>
  <si>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</si>
  <si>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</si>
  <si>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</si>
  <si>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</si>
  <si>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</si>
  <si>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</si>
  <si>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</si>
  <si>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</si>
  <si>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</si>
  <si>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</si>
  <si>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</si>
  <si>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</si>
  <si>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</si>
  <si>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</si>
  <si>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</si>
  <si>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</si>
  <si>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</si>
  <si>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</si>
  <si>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</si>
  <si>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</si>
  <si>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</si>
  <si>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</si>
  <si>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</si>
  <si>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</si>
  <si>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</si>
  <si>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</si>
  <si>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</si>
  <si>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</si>
  <si>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</si>
  <si>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</si>
  <si>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</si>
  <si>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</si>
  <si>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</si>
  <si>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</si>
  <si>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</si>
  <si>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</si>
  <si>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</si>
  <si>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</si>
  <si>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</si>
  <si>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</si>
  <si>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</si>
  <si>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</si>
  <si>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HKN-TTA</t>
  </si>
  <si>
    <t>Aproval rate, signed rate</t>
  </si>
  <si>
    <t>aprroval rate</t>
  </si>
  <si>
    <t>Signed rate</t>
  </si>
  <si>
    <t>Disburse, Tenor, Insurance, IR, COF</t>
  </si>
  <si>
    <t>Disburse date</t>
  </si>
  <si>
    <t># Disburse</t>
  </si>
  <si>
    <t>Disburse amount (VND)</t>
  </si>
  <si>
    <t>Current balance (VND)</t>
  </si>
  <si>
    <t>Ticket size (VND)</t>
  </si>
  <si>
    <t>Avg tenor (Month)</t>
  </si>
  <si>
    <t>Avg IR (%)</t>
  </si>
  <si>
    <t>Insurance fee (VND)</t>
  </si>
  <si>
    <t>% Insurance penetration by date</t>
  </si>
  <si>
    <t>AVG</t>
  </si>
  <si>
    <t>ENR</t>
  </si>
  <si>
    <t>Cân nhắc xem lại</t>
  </si>
  <si>
    <t>Balance by day</t>
  </si>
  <si>
    <t>Thu lãi vay</t>
  </si>
  <si>
    <t>Years (BUSINESS_DATE)</t>
  </si>
  <si>
    <t>Months (BUSINESS_DATE)</t>
  </si>
  <si>
    <t>Sum of BALANCE</t>
  </si>
  <si>
    <t>Sum of Lai DCV</t>
  </si>
  <si>
    <t>2025</t>
  </si>
  <si>
    <t>Oct</t>
  </si>
  <si>
    <t>Nov</t>
  </si>
  <si>
    <t>Dec</t>
  </si>
  <si>
    <t>UW, collection, MKT</t>
  </si>
  <si>
    <t>New ACC</t>
  </si>
  <si>
    <t>Active acc</t>
  </si>
  <si>
    <t>MKT acquisition</t>
  </si>
  <si>
    <t>UW</t>
  </si>
  <si>
    <t>Collection</t>
  </si>
  <si>
    <t>SMS</t>
  </si>
  <si>
    <t>Partner acquisition</t>
  </si>
  <si>
    <t>Econtract</t>
  </si>
  <si>
    <t>NFC</t>
  </si>
  <si>
    <t>Sử dụng mức tương đương Q2 do quý 3  thay đổi collection, chi phí ko đầy đủ</t>
  </si>
  <si>
    <t>Allocation</t>
  </si>
  <si>
    <t>System</t>
  </si>
  <si>
    <t>Other</t>
  </si>
  <si>
    <t>RR</t>
  </si>
  <si>
    <t>Adjust</t>
  </si>
  <si>
    <t>SUM</t>
  </si>
  <si>
    <t>B00</t>
  </si>
  <si>
    <t>B01</t>
  </si>
  <si>
    <t>B02</t>
  </si>
  <si>
    <t>B03</t>
  </si>
  <si>
    <t>B04</t>
  </si>
  <si>
    <t>B05</t>
  </si>
  <si>
    <t>B06</t>
  </si>
  <si>
    <t>B07</t>
  </si>
  <si>
    <t>B08</t>
  </si>
  <si>
    <t>B09</t>
  </si>
  <si>
    <t>B10+</t>
  </si>
  <si>
    <t>Sum of principal_balance_at_report_month</t>
  </si>
  <si>
    <t>Column Labels</t>
  </si>
  <si>
    <t>Row Labels</t>
  </si>
  <si>
    <t>Grand Total</t>
  </si>
  <si>
    <t>Early repayment</t>
  </si>
  <si>
    <t>MOB13</t>
  </si>
  <si>
    <t>MOB4-other</t>
  </si>
  <si>
    <t>MOB1-3</t>
  </si>
  <si>
    <t>MOB4</t>
  </si>
  <si>
    <t>CL</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</si>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</sst>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0.000%"/>
    <numFmt numFmtId="171" formatCode="_(* #,##0.0000_);_(* \(#,##0.0000\);_(* &quot;-&quot;??_);_(@_)"/>
    <numFmt numFmtId="172" formatCode="0.00000"/>
    <numFmt numFmtId="173" formatCode="_(* #,##0.0000_);_(* \(#,##0.0000\);_(* &quot;-&quot;????_);_(@_)"/>
    <numFmt numFmtId="174" formatCode="[$-409]mmm\-yy;@"/>
    <numFmt numFmtId="175" formatCode="#,##0.0"/>
    <numFmt numFmtId="176" formatCode="[$-409]dd\-mmm\-yy;@"/>
  </numFmts>
  <fonts count="85"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sz val="11"/>
      <color rgb="FF000000"/>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0">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4" fontId="2" fillId="0" borderId="0" applyFont="0" applyFill="0" applyBorder="0" applyAlignment="0" applyProtection="0"/>
    <xf numFmtId="0" fontId="63" fillId="2" borderId="2" applyNumberFormat="0" applyAlignment="0" applyProtection="0"/>
    <xf numFmtId="0" fontId="1" fillId="0" borderId="1" applyNumberFormat="0" applyFill="0" applyAlignment="0" applyProtection="0"/>
  </cellStyleXfs>
  <cellXfs count="380">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0" fontId="41" fillId="0" borderId="0" xfId="3" applyFont="1"/>
    <xf numFmtId="43" fontId="39" fillId="0" borderId="0" xfId="5" applyFont="1" applyFill="1" applyBorder="1"/>
    <xf numFmtId="0" fontId="42" fillId="0" borderId="0" xfId="3" applyFont="1"/>
    <xf numFmtId="0" fontId="43" fillId="0" borderId="0" xfId="3" applyFont="1"/>
    <xf numFmtId="10" fontId="43" fillId="0" borderId="0" xfId="6" applyNumberFormat="1" applyFont="1" applyFill="1" applyBorder="1"/>
    <xf numFmtId="0" fontId="24" fillId="0" borderId="0" xfId="3" applyFont="1"/>
    <xf numFmtId="43" fontId="43" fillId="0" borderId="0" xfId="5" applyFont="1" applyFill="1" applyBorder="1"/>
    <xf numFmtId="0" fontId="44" fillId="0" borderId="0" xfId="3" applyFont="1"/>
    <xf numFmtId="0" fontId="23" fillId="0" borderId="0" xfId="3" applyFont="1"/>
    <xf numFmtId="10" fontId="45" fillId="0" borderId="0" xfId="6" applyNumberFormat="1" applyFont="1" applyFill="1" applyBorder="1"/>
    <xf numFmtId="0" fontId="46" fillId="0" borderId="0" xfId="3" applyFont="1"/>
    <xf numFmtId="0" fontId="19" fillId="0" borderId="0" xfId="3" applyFont="1"/>
    <xf numFmtId="0" fontId="32" fillId="0" borderId="0" xfId="3" applyFont="1"/>
    <xf numFmtId="0" fontId="25" fillId="0" borderId="4" xfId="3" applyFont="1" applyBorder="1"/>
    <xf numFmtId="0" fontId="47" fillId="0" borderId="0" xfId="3" applyFont="1"/>
    <xf numFmtId="0" fontId="25" fillId="0" borderId="4" xfId="3" applyFont="1" applyBorder="1" applyAlignment="1">
      <alignment horizontal="right"/>
    </xf>
    <xf numFmtId="1" fontId="47" fillId="0" borderId="0" xfId="3" applyNumberFormat="1" applyFont="1"/>
    <xf numFmtId="0" fontId="29" fillId="0" borderId="0" xfId="4" applyAlignment="1" applyProtection="1"/>
    <xf numFmtId="0" fontId="25" fillId="0" borderId="5" xfId="3" applyFont="1" applyBorder="1"/>
    <xf numFmtId="0" fontId="31" fillId="0" borderId="0" xfId="3" applyFont="1"/>
    <xf numFmtId="0" fontId="25" fillId="0" borderId="5" xfId="3" applyFont="1" applyBorder="1" applyAlignment="1">
      <alignment horizontal="right"/>
    </xf>
    <xf numFmtId="0" fontId="48" fillId="0" borderId="0" xfId="3" applyFont="1" applyAlignment="1">
      <alignment horizontal="left"/>
    </xf>
    <xf numFmtId="164" fontId="22" fillId="0" borderId="0" xfId="7" applyFont="1" applyFill="1" applyBorder="1" applyAlignment="1">
      <alignment horizontal="left"/>
    </xf>
    <xf numFmtId="43" fontId="22" fillId="0" borderId="0" xfId="7" applyNumberFormat="1" applyFont="1" applyBorder="1" applyAlignment="1">
      <alignment horizontal="right"/>
    </xf>
    <xf numFmtId="43" fontId="31" fillId="0" borderId="0" xfId="5" applyFont="1" applyFill="1" applyBorder="1"/>
    <xf numFmtId="165" fontId="49" fillId="0" borderId="0" xfId="7" applyNumberFormat="1" applyFont="1" applyBorder="1" applyAlignment="1">
      <alignment horizontal="right"/>
    </xf>
    <xf numFmtId="0" fontId="36" fillId="0" borderId="3" xfId="3" applyFont="1" applyBorder="1"/>
    <xf numFmtId="0" fontId="45" fillId="0" borderId="3" xfId="3" applyFont="1" applyBorder="1"/>
    <xf numFmtId="0" fontId="45" fillId="0" borderId="0" xfId="3" applyFont="1"/>
    <xf numFmtId="0" fontId="25" fillId="0" borderId="6" xfId="3" applyFont="1" applyBorder="1"/>
    <xf numFmtId="0" fontId="36" fillId="0" borderId="6" xfId="3" applyFont="1" applyBorder="1"/>
    <xf numFmtId="43" fontId="36" fillId="0" borderId="0" xfId="3" applyNumberFormat="1" applyFont="1"/>
    <xf numFmtId="43" fontId="45" fillId="0" borderId="0" xfId="5" applyFont="1" applyFill="1" applyBorder="1"/>
    <xf numFmtId="166" fontId="36" fillId="3" borderId="7" xfId="5" applyNumberFormat="1" applyFont="1" applyFill="1" applyBorder="1" applyAlignment="1">
      <alignment horizontal="right" wrapText="1"/>
    </xf>
    <xf numFmtId="167" fontId="36" fillId="0" borderId="0" xfId="5" applyNumberFormat="1" applyFont="1" applyFill="1"/>
    <xf numFmtId="0" fontId="48" fillId="0" borderId="0" xfId="3" applyFont="1"/>
    <xf numFmtId="0" fontId="35" fillId="0" borderId="0" xfId="3" applyFont="1" applyAlignment="1">
      <alignment horizontal="center" vertical="center"/>
    </xf>
    <xf numFmtId="0" fontId="35" fillId="0" borderId="0" xfId="3" applyFont="1" applyAlignment="1">
      <alignment horizontal="right"/>
    </xf>
    <xf numFmtId="43" fontId="50"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2" fontId="36" fillId="3" borderId="7" xfId="3" applyNumberFormat="1" applyFont="1" applyFill="1" applyBorder="1" applyAlignment="1">
      <alignment horizontal="right"/>
    </xf>
    <xf numFmtId="43" fontId="36" fillId="0" borderId="0" xfId="5" applyFont="1" applyFill="1"/>
    <xf numFmtId="43" fontId="45" fillId="0" borderId="0" xfId="6" applyNumberFormat="1" applyFont="1" applyFill="1"/>
    <xf numFmtId="0" fontId="36" fillId="0" borderId="0" xfId="3" applyFont="1" applyAlignment="1">
      <alignment wrapText="1"/>
    </xf>
    <xf numFmtId="10" fontId="35" fillId="0" borderId="8" xfId="6" applyNumberFormat="1" applyFont="1" applyFill="1" applyBorder="1"/>
    <xf numFmtId="167" fontId="36" fillId="3" borderId="7" xfId="5" applyNumberFormat="1" applyFont="1" applyFill="1" applyBorder="1" applyAlignment="1">
      <alignment horizontal="right"/>
    </xf>
    <xf numFmtId="10" fontId="45" fillId="0" borderId="0" xfId="3" applyNumberFormat="1" applyFont="1"/>
    <xf numFmtId="0" fontId="36" fillId="0" borderId="0" xfId="3" applyFont="1" applyAlignment="1">
      <alignment horizontal="left" indent="1"/>
    </xf>
    <xf numFmtId="168" fontId="36" fillId="0" borderId="8" xfId="5" applyNumberFormat="1" applyFont="1" applyFill="1" applyBorder="1"/>
    <xf numFmtId="43" fontId="36" fillId="0" borderId="8" xfId="5" applyFont="1" applyFill="1" applyBorder="1"/>
    <xf numFmtId="10" fontId="36" fillId="0" borderId="8" xfId="6" applyNumberFormat="1" applyFont="1" applyFill="1" applyBorder="1"/>
    <xf numFmtId="169" fontId="36" fillId="0" borderId="8" xfId="6" applyNumberFormat="1" applyFont="1" applyFill="1" applyBorder="1"/>
    <xf numFmtId="167" fontId="36" fillId="0" borderId="7" xfId="5" applyNumberFormat="1" applyFont="1" applyFill="1" applyBorder="1" applyAlignment="1">
      <alignment horizontal="right"/>
    </xf>
    <xf numFmtId="1" fontId="36" fillId="0" borderId="0" xfId="3" applyNumberFormat="1" applyFont="1"/>
    <xf numFmtId="0" fontId="51" fillId="0" borderId="9" xfId="3" applyFont="1" applyBorder="1"/>
    <xf numFmtId="0" fontId="51" fillId="0" borderId="0" xfId="3" applyFont="1"/>
    <xf numFmtId="9" fontId="36" fillId="0" borderId="0" xfId="6" applyFont="1"/>
    <xf numFmtId="169" fontId="36" fillId="0" borderId="0" xfId="6" applyNumberFormat="1" applyFont="1"/>
    <xf numFmtId="170" fontId="36" fillId="0" borderId="0" xfId="3" applyNumberFormat="1" applyFont="1"/>
    <xf numFmtId="0" fontId="35" fillId="0" borderId="10" xfId="3" applyFont="1" applyBorder="1" applyAlignment="1">
      <alignment horizontal="right"/>
    </xf>
    <xf numFmtId="0" fontId="50" fillId="0" borderId="10" xfId="3" applyFont="1" applyBorder="1" applyAlignment="1">
      <alignment horizontal="right"/>
    </xf>
    <xf numFmtId="0" fontId="36" fillId="3" borderId="10" xfId="3" applyFont="1" applyFill="1" applyBorder="1" applyAlignment="1">
      <alignment horizontal="right"/>
    </xf>
    <xf numFmtId="1" fontId="45" fillId="3" borderId="10" xfId="3" applyNumberFormat="1" applyFont="1" applyFill="1" applyBorder="1" applyAlignment="1">
      <alignment horizontal="right"/>
    </xf>
    <xf numFmtId="10" fontId="36" fillId="3" borderId="10" xfId="6" applyNumberFormat="1" applyFont="1" applyFill="1" applyBorder="1" applyAlignment="1">
      <alignment horizontal="right"/>
    </xf>
    <xf numFmtId="10" fontId="36" fillId="0" borderId="10" xfId="6" applyNumberFormat="1" applyFont="1" applyFill="1" applyBorder="1" applyAlignment="1">
      <alignment horizontal="right"/>
    </xf>
    <xf numFmtId="167" fontId="45" fillId="3" borderId="10" xfId="3" applyNumberFormat="1" applyFont="1" applyFill="1" applyBorder="1" applyAlignment="1">
      <alignment horizontal="right"/>
    </xf>
    <xf numFmtId="168" fontId="36" fillId="0" borderId="8" xfId="3" applyNumberFormat="1" applyFont="1" applyBorder="1"/>
    <xf numFmtId="43" fontId="36" fillId="0" borderId="8" xfId="3" applyNumberFormat="1" applyFont="1" applyBorder="1"/>
    <xf numFmtId="0" fontId="36" fillId="0" borderId="10" xfId="3" applyFont="1" applyBorder="1" applyAlignment="1">
      <alignment horizontal="right"/>
    </xf>
    <xf numFmtId="0" fontId="45" fillId="0" borderId="10" xfId="3" applyFont="1" applyBorder="1" applyAlignment="1">
      <alignment horizontal="right"/>
    </xf>
    <xf numFmtId="9" fontId="36" fillId="0" borderId="10" xfId="6" applyFont="1" applyFill="1" applyBorder="1" applyAlignment="1">
      <alignment horizontal="right"/>
    </xf>
    <xf numFmtId="10" fontId="36" fillId="0" borderId="0" xfId="6" applyNumberFormat="1" applyFont="1"/>
    <xf numFmtId="10" fontId="36" fillId="0" borderId="0" xfId="3" applyNumberFormat="1" applyFont="1"/>
    <xf numFmtId="0" fontId="53" fillId="0" borderId="0" xfId="3" applyFont="1"/>
    <xf numFmtId="0" fontId="54" fillId="0" borderId="0" xfId="3" applyFont="1"/>
    <xf numFmtId="0" fontId="37" fillId="0" borderId="0" xfId="3" applyFont="1" applyAlignment="1">
      <alignment wrapText="1"/>
    </xf>
    <xf numFmtId="0" fontId="35" fillId="0" borderId="10" xfId="3" applyFont="1" applyBorder="1" applyAlignment="1">
      <alignment horizontal="center" vertical="center" wrapText="1"/>
    </xf>
    <xf numFmtId="0" fontId="50" fillId="0" borderId="10" xfId="3" applyFont="1" applyBorder="1" applyAlignment="1">
      <alignment horizontal="center" vertical="center" wrapText="1"/>
    </xf>
    <xf numFmtId="0" fontId="55" fillId="0" borderId="10" xfId="3" applyFont="1" applyBorder="1" applyAlignment="1">
      <alignment horizontal="center" vertical="center" wrapText="1"/>
    </xf>
    <xf numFmtId="0" fontId="52" fillId="0" borderId="0" xfId="3" applyFont="1"/>
    <xf numFmtId="43" fontId="45" fillId="0" borderId="0" xfId="5" applyFont="1" applyFill="1"/>
    <xf numFmtId="10" fontId="50" fillId="0" borderId="0" xfId="6" applyNumberFormat="1" applyFont="1" applyFill="1" applyBorder="1"/>
    <xf numFmtId="167" fontId="37" fillId="0" borderId="0" xfId="5" applyNumberFormat="1" applyFont="1" applyFill="1"/>
    <xf numFmtId="167" fontId="36" fillId="3" borderId="10" xfId="5" applyNumberFormat="1" applyFont="1" applyFill="1" applyBorder="1" applyAlignment="1">
      <alignment horizontal="right"/>
    </xf>
    <xf numFmtId="167" fontId="45" fillId="3" borderId="10" xfId="5" applyNumberFormat="1" applyFont="1" applyFill="1" applyBorder="1" applyAlignment="1">
      <alignment horizontal="right"/>
    </xf>
    <xf numFmtId="10" fontId="45" fillId="3" borderId="10" xfId="6" applyNumberFormat="1" applyFont="1" applyFill="1" applyBorder="1" applyAlignment="1">
      <alignment horizontal="right"/>
    </xf>
    <xf numFmtId="10" fontId="56" fillId="0" borderId="0" xfId="6" applyNumberFormat="1" applyFont="1" applyFill="1"/>
    <xf numFmtId="43" fontId="45" fillId="0" borderId="0" xfId="3" applyNumberFormat="1" applyFont="1"/>
    <xf numFmtId="0" fontId="35" fillId="0" borderId="0" xfId="3" applyFont="1" applyAlignment="1">
      <alignment horizontal="center" wrapText="1"/>
    </xf>
    <xf numFmtId="167" fontId="36" fillId="0" borderId="0" xfId="3" applyNumberFormat="1" applyFont="1"/>
    <xf numFmtId="43" fontId="57" fillId="0" borderId="0" xfId="3" applyNumberFormat="1" applyFont="1"/>
    <xf numFmtId="43" fontId="50" fillId="0" borderId="0" xfId="5" applyFont="1" applyFill="1" applyBorder="1" applyAlignment="1">
      <alignment horizontal="center" vertical="center"/>
    </xf>
    <xf numFmtId="167" fontId="36" fillId="0" borderId="10" xfId="5" applyNumberFormat="1" applyFont="1" applyFill="1" applyBorder="1" applyAlignment="1">
      <alignment horizontal="right"/>
    </xf>
    <xf numFmtId="167" fontId="45" fillId="0" borderId="10" xfId="5" applyNumberFormat="1" applyFont="1" applyFill="1" applyBorder="1" applyAlignment="1">
      <alignment horizontal="right"/>
    </xf>
    <xf numFmtId="10" fontId="45" fillId="0" borderId="10" xfId="6" applyNumberFormat="1" applyFont="1" applyFill="1" applyBorder="1" applyAlignment="1">
      <alignment horizontal="right"/>
    </xf>
    <xf numFmtId="0" fontId="50" fillId="0" borderId="0" xfId="3" applyFont="1"/>
    <xf numFmtId="0" fontId="35" fillId="0" borderId="8" xfId="3" applyFont="1" applyBorder="1"/>
    <xf numFmtId="10" fontId="35" fillId="0" borderId="8" xfId="6" applyNumberFormat="1" applyFont="1" applyBorder="1"/>
    <xf numFmtId="43" fontId="50" fillId="0" borderId="8" xfId="5" applyFont="1" applyFill="1" applyBorder="1"/>
    <xf numFmtId="167" fontId="37" fillId="0" borderId="0" xfId="5" applyNumberFormat="1" applyFont="1" applyFill="1" applyAlignment="1">
      <alignment wrapText="1"/>
    </xf>
    <xf numFmtId="0" fontId="45" fillId="0" borderId="0" xfId="3" applyFont="1" applyAlignment="1">
      <alignment wrapText="1"/>
    </xf>
    <xf numFmtId="0" fontId="36" fillId="0" borderId="0" xfId="3" applyFont="1" applyAlignment="1">
      <alignment horizontal="left" indent="2"/>
    </xf>
    <xf numFmtId="43" fontId="45" fillId="0" borderId="8" xfId="5" applyFont="1" applyFill="1" applyBorder="1"/>
    <xf numFmtId="0" fontId="58" fillId="0" borderId="0" xfId="3" applyFont="1"/>
    <xf numFmtId="10" fontId="36" fillId="3" borderId="7" xfId="6" applyNumberFormat="1" applyFont="1" applyFill="1" applyBorder="1"/>
    <xf numFmtId="10" fontId="36" fillId="0" borderId="0" xfId="6" applyNumberFormat="1" applyFont="1" applyFill="1"/>
    <xf numFmtId="10" fontId="56" fillId="0" borderId="0" xfId="6" applyNumberFormat="1" applyFont="1" applyFill="1" applyBorder="1"/>
    <xf numFmtId="43" fontId="36" fillId="3" borderId="7" xfId="5" applyFont="1" applyFill="1" applyBorder="1"/>
    <xf numFmtId="0" fontId="57" fillId="0" borderId="0" xfId="3" applyFont="1"/>
    <xf numFmtId="169" fontId="36" fillId="3" borderId="7" xfId="5" applyNumberFormat="1" applyFont="1" applyFill="1" applyBorder="1"/>
    <xf numFmtId="0" fontId="35" fillId="0" borderId="0" xfId="3" applyFont="1" applyAlignment="1">
      <alignment horizontal="left"/>
    </xf>
    <xf numFmtId="43" fontId="50" fillId="0" borderId="8" xfId="5" applyFont="1" applyFill="1" applyBorder="1" applyAlignment="1">
      <alignment horizontal="right"/>
    </xf>
    <xf numFmtId="169" fontId="36" fillId="3" borderId="7" xfId="6" applyNumberFormat="1" applyFont="1" applyFill="1" applyBorder="1"/>
    <xf numFmtId="0" fontId="59" fillId="0" borderId="0" xfId="3" applyFont="1"/>
    <xf numFmtId="164" fontId="36" fillId="0" borderId="0" xfId="3" applyNumberFormat="1" applyFont="1"/>
    <xf numFmtId="0" fontId="60" fillId="0" borderId="0" xfId="3" applyFont="1"/>
    <xf numFmtId="43" fontId="60" fillId="0" borderId="0" xfId="5" applyFont="1" applyFill="1" applyBorder="1"/>
    <xf numFmtId="9" fontId="36" fillId="3" borderId="7" xfId="6" applyFont="1" applyFill="1" applyBorder="1"/>
    <xf numFmtId="168" fontId="36" fillId="0" borderId="0" xfId="5" applyNumberFormat="1" applyFont="1" applyFill="1" applyBorder="1"/>
    <xf numFmtId="43" fontId="36" fillId="0" borderId="0" xfId="5" applyFont="1" applyFill="1" applyBorder="1"/>
    <xf numFmtId="0" fontId="45" fillId="0" borderId="0" xfId="3" applyFont="1" applyAlignment="1">
      <alignment horizontal="left" indent="1"/>
    </xf>
    <xf numFmtId="0" fontId="61" fillId="0" borderId="0" xfId="3" applyFont="1"/>
    <xf numFmtId="9" fontId="36" fillId="0" borderId="7" xfId="6" applyFont="1" applyFill="1" applyBorder="1"/>
    <xf numFmtId="0" fontId="45" fillId="0" borderId="0" xfId="3" applyFont="1" applyAlignment="1">
      <alignment horizontal="left"/>
    </xf>
    <xf numFmtId="0" fontId="36" fillId="0" borderId="0" xfId="3" applyFont="1" applyProtection="1">
      <protection locked="0"/>
    </xf>
    <xf numFmtId="168" fontId="45" fillId="3" borderId="7" xfId="5" applyNumberFormat="1" applyFont="1" applyFill="1" applyBorder="1"/>
    <xf numFmtId="171" fontId="36" fillId="0" borderId="0" xfId="5" applyNumberFormat="1" applyFont="1" applyFill="1" applyBorder="1"/>
    <xf numFmtId="169" fontId="45" fillId="3" borderId="7" xfId="5" applyNumberFormat="1" applyFont="1" applyFill="1" applyBorder="1"/>
    <xf numFmtId="169" fontId="36" fillId="0" borderId="0" xfId="6" applyNumberFormat="1" applyFont="1" applyFill="1" applyBorder="1"/>
    <xf numFmtId="9" fontId="36" fillId="0" borderId="0" xfId="6" applyFont="1" applyFill="1" applyBorder="1"/>
    <xf numFmtId="10" fontId="36" fillId="0" borderId="0" xfId="3" applyNumberFormat="1" applyFont="1" applyAlignment="1">
      <alignment wrapText="1"/>
    </xf>
    <xf numFmtId="169" fontId="36" fillId="0" borderId="0" xfId="3" applyNumberFormat="1" applyFont="1"/>
    <xf numFmtId="43" fontId="36" fillId="0" borderId="0" xfId="5" applyFont="1"/>
    <xf numFmtId="43" fontId="35" fillId="0" borderId="0" xfId="3" applyNumberFormat="1" applyFont="1"/>
    <xf numFmtId="10" fontId="35" fillId="0" borderId="0" xfId="6" applyNumberFormat="1" applyFont="1" applyFill="1" applyBorder="1"/>
    <xf numFmtId="9" fontId="35" fillId="0" borderId="0" xfId="6" applyFont="1" applyFill="1" applyBorder="1"/>
    <xf numFmtId="168" fontId="36" fillId="3" borderId="7" xfId="5" applyNumberFormat="1" applyFont="1" applyFill="1" applyBorder="1"/>
    <xf numFmtId="168" fontId="36" fillId="0" borderId="7" xfId="5" applyNumberFormat="1" applyFont="1" applyFill="1" applyBorder="1"/>
    <xf numFmtId="43" fontId="45" fillId="0" borderId="7" xfId="5" applyFont="1" applyFill="1" applyBorder="1"/>
    <xf numFmtId="43" fontId="62" fillId="0" borderId="0" xfId="3" applyNumberFormat="1" applyFont="1"/>
    <xf numFmtId="169" fontId="35" fillId="0" borderId="0" xfId="3" applyNumberFormat="1" applyFont="1"/>
    <xf numFmtId="171" fontId="36" fillId="3" borderId="7" xfId="5" applyNumberFormat="1" applyFont="1" applyFill="1" applyBorder="1"/>
    <xf numFmtId="0" fontId="35" fillId="0" borderId="0" xfId="3" applyFont="1" applyAlignment="1">
      <alignment horizontal="left" vertical="top"/>
    </xf>
    <xf numFmtId="0" fontId="35" fillId="0" borderId="0" xfId="3" applyFont="1" applyAlignment="1">
      <alignment horizontal="center"/>
    </xf>
    <xf numFmtId="0" fontId="45" fillId="0" borderId="0" xfId="3" applyFont="1" applyAlignment="1">
      <alignment horizontal="right"/>
    </xf>
    <xf numFmtId="169" fontId="36" fillId="0" borderId="0" xfId="8" applyNumberFormat="1" applyFont="1" applyFill="1" applyBorder="1"/>
    <xf numFmtId="10" fontId="36" fillId="3" borderId="2" xfId="8" applyNumberFormat="1" applyFont="1" applyFill="1"/>
    <xf numFmtId="10" fontId="36" fillId="0" borderId="2" xfId="8" applyNumberFormat="1" applyFont="1" applyFill="1"/>
    <xf numFmtId="10" fontId="57" fillId="0" borderId="2" xfId="8" applyNumberFormat="1" applyFont="1" applyFill="1"/>
    <xf numFmtId="10" fontId="36" fillId="0" borderId="0" xfId="8" applyNumberFormat="1" applyFont="1" applyFill="1" applyBorder="1"/>
    <xf numFmtId="169" fontId="35" fillId="0" borderId="0" xfId="8" applyNumberFormat="1" applyFont="1" applyFill="1" applyBorder="1"/>
    <xf numFmtId="10" fontId="62" fillId="0" borderId="0" xfId="6" applyNumberFormat="1" applyFont="1"/>
    <xf numFmtId="10" fontId="62" fillId="0" borderId="0" xfId="3" applyNumberFormat="1" applyFont="1"/>
    <xf numFmtId="10" fontId="36" fillId="3" borderId="8" xfId="6" applyNumberFormat="1" applyFont="1" applyFill="1" applyBorder="1"/>
    <xf numFmtId="170" fontId="36" fillId="0" borderId="0" xfId="6" applyNumberFormat="1" applyFont="1"/>
    <xf numFmtId="0" fontId="44" fillId="0" borderId="0" xfId="9" applyFont="1" applyFill="1" applyBorder="1"/>
    <xf numFmtId="43" fontId="31" fillId="0" borderId="0" xfId="5" applyFont="1" applyFill="1"/>
    <xf numFmtId="0" fontId="64" fillId="0" borderId="0" xfId="3" applyFont="1"/>
    <xf numFmtId="0" fontId="10" fillId="0" borderId="0" xfId="3"/>
    <xf numFmtId="0" fontId="65" fillId="0" borderId="0" xfId="3" applyFont="1"/>
    <xf numFmtId="0" fontId="10" fillId="3" borderId="0" xfId="3" applyFill="1"/>
    <xf numFmtId="10" fontId="66" fillId="3" borderId="0" xfId="3" applyNumberFormat="1" applyFont="1" applyFill="1"/>
    <xf numFmtId="0" fontId="10" fillId="0" borderId="11" xfId="3" applyBorder="1"/>
    <xf numFmtId="0" fontId="10" fillId="3" borderId="11" xfId="3" applyFill="1" applyBorder="1"/>
    <xf numFmtId="17" fontId="10" fillId="0" borderId="11" xfId="3" applyNumberFormat="1" applyBorder="1"/>
    <xf numFmtId="167" fontId="66" fillId="4" borderId="11" xfId="5" applyNumberFormat="1" applyFont="1" applyFill="1" applyBorder="1"/>
    <xf numFmtId="167" fontId="0" fillId="0" borderId="11" xfId="5" applyNumberFormat="1" applyFont="1" applyBorder="1"/>
    <xf numFmtId="169" fontId="66" fillId="4" borderId="11" xfId="6" applyNumberFormat="1" applyFont="1" applyFill="1" applyBorder="1"/>
    <xf numFmtId="167" fontId="10" fillId="0" borderId="0" xfId="3" applyNumberFormat="1"/>
    <xf numFmtId="169" fontId="0" fillId="0" borderId="11" xfId="6" applyNumberFormat="1" applyFont="1" applyBorder="1"/>
    <xf numFmtId="17" fontId="10" fillId="0" borderId="0" xfId="3" applyNumberFormat="1"/>
    <xf numFmtId="167" fontId="0" fillId="0" borderId="0" xfId="5" applyNumberFormat="1" applyFont="1" applyBorder="1"/>
    <xf numFmtId="10" fontId="0" fillId="0" borderId="0" xfId="6" applyNumberFormat="1" applyFont="1" applyBorder="1"/>
    <xf numFmtId="9" fontId="0" fillId="0" borderId="0" xfId="6" applyFont="1" applyBorder="1"/>
    <xf numFmtId="43" fontId="0" fillId="3" borderId="0" xfId="5" applyFont="1" applyFill="1"/>
    <xf numFmtId="43" fontId="0" fillId="3" borderId="0" xfId="6" applyNumberFormat="1" applyFont="1" applyFill="1"/>
    <xf numFmtId="10" fontId="0" fillId="3" borderId="0" xfId="6" applyNumberFormat="1" applyFont="1" applyFill="1"/>
    <xf numFmtId="167" fontId="67" fillId="0" borderId="12" xfId="3" applyNumberFormat="1" applyFont="1" applyBorder="1"/>
    <xf numFmtId="167" fontId="0" fillId="0" borderId="12" xfId="5" applyNumberFormat="1" applyFont="1" applyFill="1" applyBorder="1"/>
    <xf numFmtId="167" fontId="66" fillId="4" borderId="0" xfId="3" applyNumberFormat="1" applyFont="1" applyFill="1"/>
    <xf numFmtId="167" fontId="67" fillId="0" borderId="0" xfId="3" applyNumberFormat="1" applyFont="1"/>
    <xf numFmtId="167" fontId="0" fillId="0" borderId="0" xfId="5" applyNumberFormat="1" applyFont="1" applyFill="1" applyBorder="1"/>
    <xf numFmtId="167" fontId="66" fillId="0" borderId="0" xfId="3" applyNumberFormat="1" applyFont="1"/>
    <xf numFmtId="43" fontId="67" fillId="0" borderId="0" xfId="5" applyFont="1" applyBorder="1"/>
    <xf numFmtId="170" fontId="0" fillId="3" borderId="0" xfId="6" applyNumberFormat="1" applyFont="1" applyFill="1" applyBorder="1"/>
    <xf numFmtId="169" fontId="67" fillId="0" borderId="0" xfId="6" applyNumberFormat="1" applyFont="1" applyBorder="1"/>
    <xf numFmtId="167" fontId="0" fillId="0" borderId="0" xfId="5" applyNumberFormat="1" applyFont="1"/>
    <xf numFmtId="167" fontId="66" fillId="4" borderId="0" xfId="5" applyNumberFormat="1" applyFont="1" applyFill="1"/>
    <xf numFmtId="0" fontId="66" fillId="0" borderId="0" xfId="3" applyFont="1"/>
    <xf numFmtId="169" fontId="0" fillId="3" borderId="0" xfId="6" applyNumberFormat="1" applyFont="1" applyFill="1"/>
    <xf numFmtId="0" fontId="65" fillId="5" borderId="13" xfId="3" applyFont="1" applyFill="1" applyBorder="1"/>
    <xf numFmtId="0" fontId="65" fillId="0" borderId="13" xfId="3" quotePrefix="1" applyFont="1" applyBorder="1"/>
    <xf numFmtId="0" fontId="66" fillId="4" borderId="0" xfId="3" applyFont="1" applyFill="1"/>
    <xf numFmtId="43" fontId="66" fillId="4" borderId="0" xfId="3" applyNumberFormat="1" applyFont="1" applyFill="1"/>
    <xf numFmtId="167" fontId="0" fillId="0" borderId="12" xfId="5" applyNumberFormat="1" applyFont="1" applyBorder="1"/>
    <xf numFmtId="171" fontId="0" fillId="3" borderId="0" xfId="5" applyNumberFormat="1" applyFont="1" applyFill="1"/>
    <xf numFmtId="171" fontId="0" fillId="3" borderId="0" xfId="5" applyNumberFormat="1" applyFont="1" applyFill="1" applyBorder="1"/>
    <xf numFmtId="172" fontId="10" fillId="3" borderId="0" xfId="3" applyNumberFormat="1" applyFill="1"/>
    <xf numFmtId="168" fontId="0" fillId="3" borderId="0" xfId="5" applyNumberFormat="1" applyFont="1" applyFill="1"/>
    <xf numFmtId="0" fontId="65" fillId="5" borderId="0" xfId="3" applyFont="1" applyFill="1"/>
    <xf numFmtId="0" fontId="10" fillId="0" borderId="0" xfId="3" applyAlignment="1">
      <alignment horizontal="left"/>
    </xf>
    <xf numFmtId="10" fontId="10" fillId="0" borderId="0" xfId="3" applyNumberFormat="1"/>
    <xf numFmtId="10" fontId="66" fillId="4" borderId="0" xfId="3" applyNumberFormat="1" applyFont="1" applyFill="1"/>
    <xf numFmtId="0" fontId="65" fillId="5" borderId="12" xfId="3" applyFont="1" applyFill="1" applyBorder="1" applyAlignment="1">
      <alignment horizontal="left"/>
    </xf>
    <xf numFmtId="167" fontId="65" fillId="5" borderId="12" xfId="5" applyNumberFormat="1" applyFont="1" applyFill="1" applyBorder="1"/>
    <xf numFmtId="9" fontId="10" fillId="0" borderId="0" xfId="3" applyNumberFormat="1"/>
    <xf numFmtId="0" fontId="68" fillId="0" borderId="0" xfId="3" applyFont="1"/>
    <xf numFmtId="167" fontId="45" fillId="0" borderId="0" xfId="5" applyNumberFormat="1" applyFont="1" applyFill="1"/>
    <xf numFmtId="2" fontId="45" fillId="0" borderId="0" xfId="5" applyNumberFormat="1" applyFont="1" applyFill="1" applyAlignment="1">
      <alignment horizontal="right"/>
    </xf>
    <xf numFmtId="0" fontId="69" fillId="0" borderId="0" xfId="3" applyFont="1"/>
    <xf numFmtId="9" fontId="45" fillId="0" borderId="0" xfId="6" applyFont="1" applyFill="1"/>
    <xf numFmtId="9" fontId="45" fillId="0" borderId="0" xfId="3" applyNumberFormat="1" applyFont="1"/>
    <xf numFmtId="167" fontId="50" fillId="6" borderId="0" xfId="5" applyNumberFormat="1" applyFont="1" applyFill="1"/>
    <xf numFmtId="167" fontId="50" fillId="0" borderId="0" xfId="5" applyNumberFormat="1" applyFont="1" applyFill="1"/>
    <xf numFmtId="0" fontId="70" fillId="0" borderId="14" xfId="3" applyFont="1" applyBorder="1"/>
    <xf numFmtId="0" fontId="50" fillId="0" borderId="14" xfId="3" applyFont="1" applyBorder="1"/>
    <xf numFmtId="0" fontId="45" fillId="0" borderId="14" xfId="3" applyFont="1" applyBorder="1"/>
    <xf numFmtId="167" fontId="45" fillId="0" borderId="14" xfId="5" applyNumberFormat="1" applyFont="1" applyFill="1" applyBorder="1"/>
    <xf numFmtId="10" fontId="45" fillId="0" borderId="0" xfId="6" applyNumberFormat="1" applyFont="1" applyFill="1"/>
    <xf numFmtId="9" fontId="45" fillId="3" borderId="0" xfId="3" applyNumberFormat="1" applyFont="1" applyFill="1"/>
    <xf numFmtId="10" fontId="45" fillId="3" borderId="0" xfId="6" applyNumberFormat="1" applyFont="1" applyFill="1"/>
    <xf numFmtId="43" fontId="50" fillId="0" borderId="0" xfId="5" applyFont="1" applyFill="1"/>
    <xf numFmtId="0" fontId="59" fillId="0" borderId="0" xfId="3" applyFont="1" applyAlignment="1">
      <alignment horizontal="left"/>
    </xf>
    <xf numFmtId="171" fontId="50" fillId="7" borderId="0" xfId="5" applyNumberFormat="1" applyFont="1" applyFill="1"/>
    <xf numFmtId="43" fontId="71" fillId="0" borderId="0" xfId="5" applyFont="1" applyFill="1"/>
    <xf numFmtId="43" fontId="45" fillId="0" borderId="0" xfId="5" applyFont="1" applyFill="1" applyAlignment="1">
      <alignment horizontal="center" vertical="center"/>
    </xf>
    <xf numFmtId="167" fontId="45" fillId="0" borderId="0" xfId="5" applyNumberFormat="1" applyFont="1" applyFill="1" applyAlignment="1">
      <alignment horizontal="right"/>
    </xf>
    <xf numFmtId="43" fontId="45" fillId="8" borderId="0" xfId="5" applyFont="1" applyFill="1"/>
    <xf numFmtId="168" fontId="45" fillId="8" borderId="0" xfId="5" applyNumberFormat="1" applyFont="1" applyFill="1"/>
    <xf numFmtId="0" fontId="45" fillId="0" borderId="0" xfId="3" applyFont="1" applyAlignment="1">
      <alignment horizontal="center" vertical="center"/>
    </xf>
    <xf numFmtId="167" fontId="45" fillId="0" borderId="0" xfId="5" applyNumberFormat="1" applyFont="1" applyAlignment="1">
      <alignment horizontal="right"/>
    </xf>
    <xf numFmtId="0" fontId="45" fillId="8" borderId="0" xfId="3" applyFont="1" applyFill="1"/>
    <xf numFmtId="0" fontId="50" fillId="8" borderId="0" xfId="3" applyFont="1" applyFill="1"/>
    <xf numFmtId="167" fontId="45" fillId="0" borderId="0" xfId="3" applyNumberFormat="1" applyFont="1"/>
    <xf numFmtId="169" fontId="45" fillId="0" borderId="0" xfId="6" applyNumberFormat="1" applyFont="1" applyFill="1"/>
    <xf numFmtId="171" fontId="50" fillId="0" borderId="0" xfId="5" applyNumberFormat="1" applyFont="1" applyFill="1"/>
    <xf numFmtId="10" fontId="50" fillId="0" borderId="0" xfId="6" applyNumberFormat="1" applyFont="1" applyFill="1"/>
    <xf numFmtId="0" fontId="70" fillId="0" borderId="0" xfId="3" applyFont="1"/>
    <xf numFmtId="167" fontId="45" fillId="0" borderId="0" xfId="5" applyNumberFormat="1" applyFont="1" applyFill="1" applyBorder="1"/>
    <xf numFmtId="43" fontId="50" fillId="0" borderId="0" xfId="3" applyNumberFormat="1" applyFont="1"/>
    <xf numFmtId="43" fontId="45" fillId="0" borderId="0" xfId="5" quotePrefix="1" applyFont="1" applyFill="1"/>
    <xf numFmtId="0" fontId="50" fillId="3" borderId="0" xfId="3" applyFont="1" applyFill="1"/>
    <xf numFmtId="0" fontId="45" fillId="3" borderId="0" xfId="3" applyFont="1" applyFill="1"/>
    <xf numFmtId="43" fontId="45" fillId="3" borderId="0" xfId="5" applyFont="1" applyFill="1"/>
    <xf numFmtId="0" fontId="45" fillId="0" borderId="0" xfId="3" applyFont="1" applyAlignment="1">
      <alignment horizontal="left" indent="2"/>
    </xf>
    <xf numFmtId="173" fontId="45" fillId="0" borderId="0" xfId="3" applyNumberFormat="1" applyFont="1"/>
    <xf numFmtId="0" fontId="45" fillId="9" borderId="0" xfId="3" applyFont="1" applyFill="1"/>
    <xf numFmtId="43" fontId="45" fillId="9" borderId="0" xfId="5" applyFont="1" applyFill="1"/>
    <xf numFmtId="168" fontId="45" fillId="0" borderId="0" xfId="5" applyNumberFormat="1" applyFont="1" applyFill="1"/>
    <xf numFmtId="168" fontId="45" fillId="0" borderId="0" xfId="3" applyNumberFormat="1" applyFont="1"/>
    <xf numFmtId="43" fontId="58" fillId="0" borderId="0" xfId="3" applyNumberFormat="1" applyFont="1"/>
    <xf numFmtId="10" fontId="45" fillId="0" borderId="0" xfId="6" applyNumberFormat="1" applyFont="1"/>
    <xf numFmtId="164" fontId="45" fillId="0" borderId="0" xfId="3" applyNumberFormat="1" applyFont="1"/>
    <xf numFmtId="0" fontId="45" fillId="10" borderId="0" xfId="3" applyFont="1" applyFill="1"/>
    <xf numFmtId="0" fontId="72" fillId="0" borderId="0" xfId="3" applyFont="1"/>
    <xf numFmtId="0" fontId="73" fillId="0" borderId="0" xfId="3" applyFont="1"/>
    <xf numFmtId="0" fontId="19"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4" fillId="0" borderId="9" xfId="3" applyFont="1" applyBorder="1"/>
    <xf numFmtId="174" fontId="24" fillId="3" borderId="9" xfId="3" applyNumberFormat="1" applyFont="1" applyFill="1" applyBorder="1" applyAlignment="1">
      <alignment horizontal="right"/>
    </xf>
    <xf numFmtId="174" fontId="74" fillId="0" borderId="9" xfId="3" applyNumberFormat="1" applyFont="1" applyBorder="1" applyAlignment="1">
      <alignment horizontal="right"/>
    </xf>
    <xf numFmtId="0" fontId="47" fillId="0" borderId="0" xfId="3" applyFont="1" applyAlignment="1">
      <alignment horizontal="left"/>
    </xf>
    <xf numFmtId="0" fontId="75" fillId="0" borderId="0" xfId="3" applyFont="1"/>
    <xf numFmtId="167" fontId="34" fillId="0" borderId="0" xfId="5" applyNumberFormat="1" applyFont="1" applyFill="1" applyBorder="1" applyAlignment="1">
      <alignment horizontal="right"/>
    </xf>
    <xf numFmtId="0" fontId="47" fillId="0" borderId="0" xfId="3" applyFont="1" applyAlignment="1">
      <alignment horizontal="right"/>
    </xf>
    <xf numFmtId="175" fontId="76" fillId="11" borderId="15" xfId="3" applyNumberFormat="1" applyFont="1" applyFill="1" applyBorder="1"/>
    <xf numFmtId="3" fontId="76" fillId="11" borderId="15" xfId="3" applyNumberFormat="1" applyFont="1" applyFill="1" applyBorder="1"/>
    <xf numFmtId="167" fontId="33" fillId="0" borderId="6" xfId="5" applyNumberFormat="1" applyFont="1" applyFill="1" applyBorder="1"/>
    <xf numFmtId="167" fontId="19" fillId="0" borderId="6" xfId="5" applyNumberFormat="1" applyFont="1" applyFill="1" applyBorder="1"/>
    <xf numFmtId="0" fontId="74" fillId="10" borderId="0" xfId="3" applyFont="1" applyFill="1" applyAlignment="1">
      <alignment horizontal="right"/>
    </xf>
    <xf numFmtId="0" fontId="19"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19" fillId="0" borderId="0" xfId="5" applyNumberFormat="1" applyFont="1" applyFill="1"/>
    <xf numFmtId="167" fontId="19" fillId="0" borderId="9" xfId="3" applyNumberFormat="1" applyFont="1" applyBorder="1"/>
    <xf numFmtId="167" fontId="19" fillId="0" borderId="9" xfId="5" applyNumberFormat="1" applyFont="1" applyFill="1" applyBorder="1"/>
    <xf numFmtId="167" fontId="19" fillId="0" borderId="0" xfId="5" applyNumberFormat="1" applyFont="1" applyFill="1" applyBorder="1"/>
    <xf numFmtId="167" fontId="19" fillId="0" borderId="0" xfId="3" applyNumberFormat="1" applyFont="1"/>
    <xf numFmtId="166" fontId="33" fillId="0" borderId="0" xfId="5" applyNumberFormat="1" applyFont="1" applyFill="1"/>
    <xf numFmtId="166" fontId="33" fillId="0" borderId="9" xfId="5" applyNumberFormat="1" applyFont="1" applyFill="1" applyBorder="1"/>
    <xf numFmtId="43" fontId="19" fillId="0" borderId="0" xfId="3" applyNumberFormat="1" applyFont="1"/>
    <xf numFmtId="166" fontId="19" fillId="0" borderId="0" xfId="3" applyNumberFormat="1" applyFont="1"/>
    <xf numFmtId="166" fontId="33" fillId="0" borderId="0" xfId="3" applyNumberFormat="1" applyFont="1"/>
    <xf numFmtId="43" fontId="33" fillId="0" borderId="0" xfId="3" applyNumberFormat="1" applyFont="1"/>
    <xf numFmtId="0" fontId="19" fillId="0" borderId="0" xfId="3" applyFont="1" applyAlignment="1">
      <alignment horizontal="left" indent="1"/>
    </xf>
    <xf numFmtId="166" fontId="19" fillId="0" borderId="0" xfId="5" applyNumberFormat="1" applyFont="1" applyFill="1"/>
    <xf numFmtId="166" fontId="19" fillId="0" borderId="0" xfId="5" applyNumberFormat="1" applyFont="1" applyFill="1" applyBorder="1"/>
    <xf numFmtId="0" fontId="59" fillId="0" borderId="0" xfId="3" applyFont="1" applyAlignment="1">
      <alignment horizontal="left" indent="4"/>
    </xf>
    <xf numFmtId="167" fontId="59" fillId="0" borderId="0" xfId="3" applyNumberFormat="1" applyFont="1"/>
    <xf numFmtId="167" fontId="59" fillId="0" borderId="0" xfId="5" applyNumberFormat="1" applyFont="1" applyFill="1"/>
    <xf numFmtId="0" fontId="77" fillId="0" borderId="0" xfId="3" applyFont="1"/>
    <xf numFmtId="0" fontId="78" fillId="0" borderId="0" xfId="3" applyFont="1"/>
    <xf numFmtId="43" fontId="78" fillId="0" borderId="0" xfId="3" applyNumberFormat="1" applyFont="1"/>
    <xf numFmtId="0" fontId="79" fillId="0" borderId="0" xfId="3" applyFont="1"/>
    <xf numFmtId="0" fontId="80" fillId="12" borderId="16" xfId="3" applyFont="1" applyFill="1" applyBorder="1"/>
    <xf numFmtId="176" fontId="81" fillId="12" borderId="16" xfId="3" applyNumberFormat="1" applyFont="1" applyFill="1" applyBorder="1" applyAlignment="1">
      <alignment horizontal="right"/>
    </xf>
    <xf numFmtId="0" fontId="80" fillId="12" borderId="0" xfId="3" applyFont="1" applyFill="1"/>
    <xf numFmtId="167" fontId="77" fillId="0" borderId="0" xfId="5" applyNumberFormat="1" applyFont="1"/>
    <xf numFmtId="167" fontId="82" fillId="0" borderId="0" xfId="3" applyNumberFormat="1" applyFont="1"/>
    <xf numFmtId="167" fontId="79" fillId="0" borderId="0" xfId="5" applyNumberFormat="1" applyFont="1"/>
    <xf numFmtId="167" fontId="79" fillId="0" borderId="0" xfId="3" applyNumberFormat="1" applyFont="1"/>
    <xf numFmtId="0" fontId="78" fillId="0" borderId="0" xfId="3" applyFont="1" applyAlignment="1">
      <alignment horizontal="left" indent="1"/>
    </xf>
    <xf numFmtId="167" fontId="78" fillId="0" borderId="0" xfId="5" applyNumberFormat="1" applyFont="1"/>
    <xf numFmtId="0" fontId="77" fillId="8" borderId="0" xfId="3" applyFont="1" applyFill="1"/>
    <xf numFmtId="0" fontId="83" fillId="0" borderId="0" xfId="3" applyFont="1"/>
    <xf numFmtId="167" fontId="83" fillId="0" borderId="0" xfId="5" applyNumberFormat="1" applyFont="1"/>
    <xf numFmtId="10" fontId="78" fillId="0" borderId="0" xfId="6" applyNumberFormat="1" applyFont="1"/>
    <xf numFmtId="167" fontId="78" fillId="0" borderId="0" xfId="3" applyNumberFormat="1" applyFont="1"/>
    <xf numFmtId="167" fontId="83" fillId="0" borderId="0" xfId="3" applyNumberFormat="1" applyFont="1"/>
    <xf numFmtId="0" fontId="84" fillId="0" borderId="0" xfId="3" applyFont="1"/>
    <xf numFmtId="0" fontId="77" fillId="10" borderId="16" xfId="3" applyFont="1" applyFill="1" applyBorder="1"/>
    <xf numFmtId="167" fontId="77" fillId="10" borderId="16" xfId="5" applyNumberFormat="1" applyFont="1" applyFill="1" applyBorder="1"/>
    <xf numFmtId="0" fontId="77" fillId="0" borderId="0" xfId="3" applyFont="1" applyAlignment="1">
      <alignment horizontal="left"/>
    </xf>
    <xf numFmtId="167" fontId="77" fillId="0" borderId="0" xfId="3" applyNumberFormat="1" applyFont="1"/>
    <xf numFmtId="43" fontId="78" fillId="0" borderId="0" xfId="5" applyFont="1"/>
  </cellXfs>
  <cellStyles count="10">
    <cellStyle name="Comma 19" xfId="5" xr:uid="{DEE9A347-EF34-114C-B196-C7CA85BBFE1A}"/>
    <cellStyle name="Comma 2 14 3" xfId="7" xr:uid="{03E4BAE1-8A57-A044-A1CD-082F610D30C2}"/>
    <cellStyle name="Heading 1 3" xfId="9" xr:uid="{4D54B5F3-AFDC-F545-8379-7D074DF5108F}"/>
    <cellStyle name="Hyperlink 2" xfId="4" xr:uid="{ADE8E003-7F97-8A4A-B689-17FB6686952C}"/>
    <cellStyle name="Input 3" xfId="8" xr:uid="{E4E2CC3A-2DE3-2543-AA4B-E8AE56057208}"/>
    <cellStyle name="Normal" xfId="0" builtinId="0"/>
    <cellStyle name="Normal 2" xfId="1" xr:uid="{F07F8049-7D4C-3049-AF81-FD7A46B4689E}"/>
    <cellStyle name="Normal 22" xfId="3" xr:uid="{610BD64D-1797-2D41-91BC-A1C9E2C65C72}"/>
    <cellStyle name="Normal 25" xfId="2" xr:uid="{21A4D239-4B77-534E-AFC1-14645D99CD8B}"/>
    <cellStyle name="Percent 15" xfId="6" xr:uid="{18D234AB-833D-C641-8251-888462BDFA42}"/>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60113</xdr:colOff>
      <xdr:row>1</xdr:row>
      <xdr:rowOff>7470</xdr:rowOff>
    </xdr:from>
    <xdr:to>
      <xdr:col>9</xdr:col>
      <xdr:colOff>1038313</xdr:colOff>
      <xdr:row>17</xdr:row>
      <xdr:rowOff>78004</xdr:rowOff>
    </xdr:to>
    <xdr:pic>
      <xdr:nvPicPr>
        <xdr:cNvPr id="2" name="Picture 1">
          <a:extLst>
            <a:ext uri="{FF2B5EF4-FFF2-40B4-BE49-F238E27FC236}">
              <a16:creationId xmlns:a16="http://schemas.microsoft.com/office/drawing/2014/main" id="{8440BE98-1925-1948-9A11-537E83D09EBC}"/>
            </a:ext>
          </a:extLst>
        </xdr:cNvPr>
        <xdr:cNvPicPr>
          <a:picLocks noChangeAspect="1"/>
        </xdr:cNvPicPr>
      </xdr:nvPicPr>
      <xdr:blipFill>
        <a:blip xmlns:r="http://schemas.openxmlformats.org/officeDocument/2006/relationships" r:embed="rId1"/>
        <a:stretch>
          <a:fillRect/>
        </a:stretch>
      </xdr:blipFill>
      <xdr:spPr>
        <a:xfrm>
          <a:off x="11236113" y="197970"/>
          <a:ext cx="5816900" cy="31185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1.4.%20VNPAY_CashLoan_Model_SAP&amp;PnL_v9_2025%20Q4.xlsb" TargetMode="External"/><Relationship Id="rId2" Type="http://schemas.openxmlformats.org/officeDocument/2006/relationships/externalLinkPath" Target="/Users/dam.ho/Downloads/SAP%20Q4.2025_update%202/1.4.%20VNPAY_CashLoan_Model_SAP&amp;PnL_v9_2025%20Q4.xlsb" TargetMode="External"/><Relationship Id="rId1" Type="http://schemas.openxmlformats.org/officeDocument/2006/relationships/externalLinkPath" Target="/Users/dam.ho/Downloads/SAP%20Q4.2025_update%202/1.4.%20VNPAY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85BA-47C7-174C-BFBB-3B1A91F1E2B6}">
  <sheetPr>
    <tabColor rgb="FFFF0000"/>
  </sheetPr>
  <dimension ref="A1:T130"/>
  <sheetViews>
    <sheetView showGridLines="0" tabSelected="1" zoomScale="90" workbookViewId="0">
      <pane xSplit="1" ySplit="2" topLeftCell="B114" activePane="bottomRight" state="frozen"/>
      <selection pane="topRight" activeCell="B1" sqref="B1"/>
      <selection pane="bottomLeft" activeCell="A3" sqref="A3"/>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8008109A-0670-2047-8FD7-0D9F2F6067F5}"/>
    <hyperlink ref="L80" location="NOTE!B90" display="xem giải thích DPD+ tại đây" xr:uid="{B3F301FE-8217-0841-86E0-F365FD576222}"/>
    <hyperlink ref="L85" location="NOTE!B90" display="xem giải thích DPD+ tại đây" xr:uid="{3D27B221-B148-5F4C-B0A4-93C0A5CA1F2E}"/>
    <hyperlink ref="L86" location="NOTE!B90" display="xem giải thích DPD+ tại đây" xr:uid="{5BB2D820-767F-C04A-97B0-70EDE643E0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3BA1-EC13-F342-8A80-CD1CE8FFDA5C}">
  <sheetPr>
    <tabColor rgb="FFFFFF00"/>
    <pageSetUpPr fitToPage="1"/>
  </sheetPr>
  <dimension ref="A1:AG118"/>
  <sheetViews>
    <sheetView showGridLines="0" topLeftCell="A2" zoomScale="80" zoomScaleNormal="100" zoomScaleSheetLayoutView="70" workbookViewId="0">
      <selection activeCell="G124" sqref="G124"/>
    </sheetView>
  </sheetViews>
  <sheetFormatPr baseColWidth="10" defaultColWidth="9.1640625" defaultRowHeight="12" x14ac:dyDescent="0.15"/>
  <cols>
    <col min="1" max="1" width="4" style="52" customWidth="1"/>
    <col min="2" max="2" width="19.1640625" style="68" customWidth="1"/>
    <col min="3" max="3" width="18.33203125" style="68" bestFit="1" customWidth="1"/>
    <col min="4" max="4" width="7.33203125" style="75" customWidth="1"/>
    <col min="5" max="6" width="9" style="68" customWidth="1"/>
    <col min="7" max="7" width="11.5" style="68" customWidth="1"/>
    <col min="8" max="8" width="7.1640625" style="68" customWidth="1"/>
    <col min="9" max="9" width="15.5" style="75" customWidth="1"/>
    <col min="10" max="10" width="16.6640625" style="75" customWidth="1"/>
    <col min="11" max="11" width="11.5" style="68" customWidth="1"/>
    <col min="12" max="13" width="9" style="68" customWidth="1"/>
    <col min="14" max="16" width="8.5" style="68" customWidth="1"/>
    <col min="17" max="19" width="8.5" style="68" hidden="1" customWidth="1"/>
    <col min="20" max="20" width="8.5" style="68" customWidth="1"/>
    <col min="21" max="21" width="8.5" style="80" customWidth="1"/>
    <col min="22" max="22" width="9.1640625" style="75" customWidth="1"/>
    <col min="23" max="23" width="9.1640625" style="68"/>
    <col min="24" max="24" width="10.5" style="68" bestFit="1" customWidth="1"/>
    <col min="25" max="25" width="10.83203125" style="68" customWidth="1"/>
    <col min="26" max="38" width="9.1640625" style="68"/>
    <col min="39" max="39" width="9.1640625" style="68" customWidth="1"/>
    <col min="40" max="16384" width="9.1640625" style="68"/>
  </cols>
  <sheetData>
    <row r="1" spans="1:25" s="56" customFormat="1" ht="18" customHeight="1" x14ac:dyDescent="0.2">
      <c r="A1" s="52"/>
      <c r="B1" s="53" t="s">
        <v>165</v>
      </c>
      <c r="C1" s="54"/>
      <c r="D1" s="55">
        <v>1</v>
      </c>
      <c r="E1" s="55"/>
      <c r="F1" s="55"/>
      <c r="G1" s="55"/>
      <c r="H1" s="55"/>
      <c r="I1" s="54"/>
      <c r="J1" s="54"/>
      <c r="U1" s="57"/>
      <c r="V1" s="54"/>
    </row>
    <row r="2" spans="1:25" s="59" customFormat="1" ht="13" customHeight="1" x14ac:dyDescent="0.15">
      <c r="A2" s="58"/>
      <c r="B2" s="59" t="str">
        <f>NOTE!N2</f>
        <v>HKN</v>
      </c>
      <c r="C2" s="59">
        <f>NOTE!P2</f>
        <v>20251001</v>
      </c>
      <c r="D2" s="59" t="str">
        <f>NOTE!O2</f>
        <v>v9</v>
      </c>
      <c r="I2" s="60"/>
      <c r="K2" s="61" t="s">
        <v>166</v>
      </c>
      <c r="U2" s="62"/>
    </row>
    <row r="3" spans="1:25" s="56" customFormat="1" ht="12" customHeight="1" x14ac:dyDescent="0.2">
      <c r="A3" s="63"/>
      <c r="B3" s="24"/>
      <c r="C3" s="24"/>
      <c r="D3" s="64"/>
      <c r="E3" s="24"/>
      <c r="F3" s="24"/>
      <c r="G3" s="24"/>
      <c r="H3" s="55"/>
      <c r="I3" s="65"/>
      <c r="J3" s="54"/>
      <c r="K3" s="66" t="s">
        <v>167</v>
      </c>
      <c r="L3" s="67"/>
      <c r="M3" s="67"/>
      <c r="N3" s="68"/>
      <c r="O3" s="68"/>
      <c r="P3" s="68"/>
      <c r="U3" s="57"/>
      <c r="V3" s="54"/>
    </row>
    <row r="4" spans="1:25" s="24" customFormat="1" ht="16" thickBot="1" x14ac:dyDescent="0.25">
      <c r="A4" s="52"/>
      <c r="B4" s="69" t="s">
        <v>168</v>
      </c>
      <c r="C4" s="69" t="s">
        <v>169</v>
      </c>
      <c r="D4" s="70" t="s">
        <v>170</v>
      </c>
      <c r="E4" s="69" t="s">
        <v>34</v>
      </c>
      <c r="F4" s="69"/>
      <c r="G4" s="71" t="s">
        <v>162</v>
      </c>
      <c r="H4" s="72" t="str">
        <f>G4</f>
        <v>IFRS</v>
      </c>
      <c r="K4" s="67"/>
      <c r="L4" s="73" t="s">
        <v>171</v>
      </c>
      <c r="M4" s="67"/>
      <c r="N4" s="68"/>
      <c r="O4" s="68"/>
      <c r="P4" s="68"/>
    </row>
    <row r="5" spans="1:25" ht="16" thickBot="1" x14ac:dyDescent="0.25">
      <c r="B5" s="69" t="s">
        <v>172</v>
      </c>
      <c r="C5" s="74" t="s">
        <v>173</v>
      </c>
      <c r="D5" s="70" t="s">
        <v>174</v>
      </c>
      <c r="E5" s="69" t="s">
        <v>37</v>
      </c>
      <c r="F5" s="69"/>
      <c r="G5" s="71" t="s">
        <v>163</v>
      </c>
      <c r="H5" s="72" t="str">
        <f>G5</f>
        <v>DPD180+</v>
      </c>
      <c r="K5" s="67"/>
      <c r="L5" s="73" t="s">
        <v>175</v>
      </c>
      <c r="M5" s="67"/>
      <c r="T5" s="75"/>
      <c r="U5" s="75"/>
      <c r="V5" s="68"/>
    </row>
    <row r="6" spans="1:25" ht="16" thickBot="1" x14ac:dyDescent="0.25">
      <c r="B6" s="74" t="s">
        <v>176</v>
      </c>
      <c r="C6" s="74" t="s">
        <v>177</v>
      </c>
      <c r="D6" s="70" t="s">
        <v>174</v>
      </c>
      <c r="E6" s="74" t="s">
        <v>178</v>
      </c>
      <c r="F6" s="74"/>
      <c r="G6" s="76">
        <v>2025</v>
      </c>
      <c r="H6" s="72">
        <f>G6</f>
        <v>2025</v>
      </c>
      <c r="K6" s="67"/>
      <c r="L6" s="73" t="s">
        <v>179</v>
      </c>
      <c r="M6" s="67"/>
      <c r="T6" s="75"/>
      <c r="U6" s="75"/>
      <c r="V6" s="68"/>
    </row>
    <row r="7" spans="1:25" ht="13" x14ac:dyDescent="0.15">
      <c r="A7" s="63"/>
      <c r="B7" s="36"/>
      <c r="C7" s="77"/>
      <c r="D7" s="30"/>
      <c r="I7" s="78"/>
      <c r="J7" s="79"/>
      <c r="V7" s="81"/>
    </row>
    <row r="8" spans="1:25" s="51" customFormat="1" ht="14.25" customHeight="1" thickBot="1" x14ac:dyDescent="0.2">
      <c r="A8" s="63"/>
      <c r="B8" s="45" t="s">
        <v>40</v>
      </c>
      <c r="C8" s="82"/>
      <c r="D8" s="83"/>
      <c r="E8" s="82"/>
      <c r="F8" s="82"/>
      <c r="G8" s="82"/>
      <c r="H8" s="46" t="s">
        <v>180</v>
      </c>
      <c r="I8" s="84"/>
      <c r="J8" s="84"/>
      <c r="K8" s="85" t="s">
        <v>181</v>
      </c>
      <c r="L8" s="86"/>
      <c r="M8" s="86"/>
      <c r="N8" s="86"/>
      <c r="O8" s="86"/>
      <c r="P8" s="86"/>
      <c r="Q8" s="86"/>
      <c r="R8" s="86"/>
      <c r="S8" s="86"/>
      <c r="T8" s="86"/>
      <c r="U8" s="86" t="s">
        <v>180</v>
      </c>
    </row>
    <row r="9" spans="1:25" s="51" customFormat="1" ht="13.5" customHeight="1" thickTop="1" x14ac:dyDescent="0.15">
      <c r="A9" s="63"/>
      <c r="D9" s="84"/>
      <c r="I9" s="84"/>
      <c r="J9" s="84"/>
      <c r="N9" s="87"/>
      <c r="O9" s="87"/>
      <c r="P9" s="87"/>
      <c r="Q9" s="87"/>
      <c r="R9" s="87"/>
      <c r="U9" s="88"/>
    </row>
    <row r="10" spans="1:25" s="51" customFormat="1" x14ac:dyDescent="0.15">
      <c r="A10" s="52"/>
      <c r="B10" s="50" t="s">
        <v>41</v>
      </c>
      <c r="C10" s="51" t="s">
        <v>42</v>
      </c>
      <c r="D10" s="84"/>
      <c r="E10" s="89">
        <f>DATA!G25</f>
        <v>14.837553688141924</v>
      </c>
      <c r="F10" s="87"/>
      <c r="G10" s="90"/>
      <c r="H10" s="87"/>
      <c r="I10" s="84"/>
      <c r="J10" s="84"/>
      <c r="K10" s="91"/>
      <c r="N10" s="92" t="s">
        <v>182</v>
      </c>
      <c r="O10" s="92" t="s">
        <v>183</v>
      </c>
      <c r="P10" s="92" t="s">
        <v>184</v>
      </c>
      <c r="Q10" s="92" t="s">
        <v>185</v>
      </c>
      <c r="R10" s="92" t="s">
        <v>186</v>
      </c>
      <c r="S10" s="92" t="s">
        <v>187</v>
      </c>
      <c r="T10" s="93" t="s">
        <v>188</v>
      </c>
      <c r="U10" s="94" t="s">
        <v>189</v>
      </c>
    </row>
    <row r="11" spans="1:25" s="51" customFormat="1" ht="11.25" customHeight="1" x14ac:dyDescent="0.15">
      <c r="A11" s="52"/>
      <c r="C11" s="51" t="s">
        <v>45</v>
      </c>
      <c r="D11" s="84"/>
      <c r="E11" s="95" t="s">
        <v>190</v>
      </c>
      <c r="G11" s="90"/>
      <c r="I11" s="84"/>
      <c r="J11" s="84"/>
      <c r="K11" s="50" t="s">
        <v>191</v>
      </c>
      <c r="N11" s="96">
        <f t="shared" ref="N11:S11" si="0">N29</f>
        <v>4.7456492160892516</v>
      </c>
      <c r="O11" s="96">
        <f t="shared" si="0"/>
        <v>8.0917437242744068</v>
      </c>
      <c r="P11" s="96">
        <f t="shared" si="0"/>
        <v>0.73033580626706596</v>
      </c>
      <c r="Q11" s="96">
        <f t="shared" si="0"/>
        <v>0</v>
      </c>
      <c r="R11" s="97">
        <f t="shared" si="0"/>
        <v>0</v>
      </c>
      <c r="S11" s="97">
        <f t="shared" si="0"/>
        <v>0</v>
      </c>
      <c r="T11" s="98"/>
      <c r="U11" s="99">
        <f t="shared" ref="U11:U23" si="1">N11/$E$10</f>
        <v>0.31984040737671893</v>
      </c>
    </row>
    <row r="12" spans="1:25" s="51" customFormat="1" ht="11" x14ac:dyDescent="0.15">
      <c r="A12" s="52"/>
      <c r="C12" s="51" t="s">
        <v>48</v>
      </c>
      <c r="D12" s="84"/>
      <c r="E12" s="100">
        <f>DATA!H25</f>
        <v>16</v>
      </c>
      <c r="F12" s="101"/>
      <c r="G12" s="90"/>
      <c r="I12" s="84"/>
      <c r="J12" s="102"/>
      <c r="K12" s="50" t="s">
        <v>192</v>
      </c>
      <c r="L12" s="103"/>
      <c r="N12" s="96">
        <f t="shared" ref="N12:S12" si="2">SUM(N13:N15)</f>
        <v>3.5729466257703706</v>
      </c>
      <c r="O12" s="96">
        <f t="shared" si="2"/>
        <v>3.4390338045594318</v>
      </c>
      <c r="P12" s="96">
        <f>SUM(P13:P15)</f>
        <v>0.13391282121093914</v>
      </c>
      <c r="Q12" s="96">
        <f t="shared" si="2"/>
        <v>0</v>
      </c>
      <c r="R12" s="97">
        <f t="shared" si="2"/>
        <v>0</v>
      </c>
      <c r="S12" s="97">
        <f t="shared" si="2"/>
        <v>0</v>
      </c>
      <c r="T12" s="104">
        <f t="shared" ref="T12:T23" si="3">N12/$E$14*12/$N$11</f>
        <v>0.4106666736103482</v>
      </c>
      <c r="U12" s="99">
        <f t="shared" si="1"/>
        <v>0.24080429300322237</v>
      </c>
    </row>
    <row r="13" spans="1:25" s="51" customFormat="1" ht="11" x14ac:dyDescent="0.15">
      <c r="A13" s="52"/>
      <c r="C13" s="51" t="s">
        <v>51</v>
      </c>
      <c r="D13" s="84"/>
      <c r="E13" s="105">
        <v>6</v>
      </c>
      <c r="G13" s="90"/>
      <c r="I13" s="106"/>
      <c r="J13" s="102"/>
      <c r="K13" s="107" t="s">
        <v>193</v>
      </c>
      <c r="N13" s="108">
        <f t="shared" ref="N13:S13" si="4">N31</f>
        <v>2.6903515895901382</v>
      </c>
      <c r="O13" s="108">
        <f>O31</f>
        <v>2.5637561318193169</v>
      </c>
      <c r="P13" s="108">
        <f t="shared" si="4"/>
        <v>0.12659545777082126</v>
      </c>
      <c r="Q13" s="108">
        <f t="shared" si="4"/>
        <v>0</v>
      </c>
      <c r="R13" s="109">
        <f t="shared" si="4"/>
        <v>0</v>
      </c>
      <c r="S13" s="109">
        <f t="shared" si="4"/>
        <v>0</v>
      </c>
      <c r="T13" s="110">
        <f t="shared" si="3"/>
        <v>0.30922312977487548</v>
      </c>
      <c r="U13" s="111">
        <f t="shared" si="1"/>
        <v>0.18132042829541703</v>
      </c>
    </row>
    <row r="14" spans="1:25" s="51" customFormat="1" ht="11" x14ac:dyDescent="0.15">
      <c r="A14" s="52"/>
      <c r="C14" s="51" t="s">
        <v>54</v>
      </c>
      <c r="D14" s="84"/>
      <c r="E14" s="112">
        <f>E12+E13</f>
        <v>22</v>
      </c>
      <c r="F14" s="113"/>
      <c r="G14" s="90"/>
      <c r="I14" s="106"/>
      <c r="J14" s="102"/>
      <c r="K14" s="107" t="s">
        <v>194</v>
      </c>
      <c r="N14" s="108">
        <f t="shared" ref="N14:S14" si="5">N34</f>
        <v>0.88259503618023261</v>
      </c>
      <c r="O14" s="108">
        <f>O34</f>
        <v>0.8752776727401147</v>
      </c>
      <c r="P14" s="108">
        <f t="shared" si="5"/>
        <v>7.31736344011788E-3</v>
      </c>
      <c r="Q14" s="108">
        <f t="shared" si="5"/>
        <v>0</v>
      </c>
      <c r="R14" s="109">
        <f t="shared" si="5"/>
        <v>0</v>
      </c>
      <c r="S14" s="109">
        <f t="shared" si="5"/>
        <v>0</v>
      </c>
      <c r="T14" s="110">
        <f t="shared" si="3"/>
        <v>0.10144354383547274</v>
      </c>
      <c r="U14" s="111">
        <f t="shared" si="1"/>
        <v>5.948386470780536E-2</v>
      </c>
    </row>
    <row r="15" spans="1:25" s="51" customFormat="1" ht="11" x14ac:dyDescent="0.15">
      <c r="A15" s="52"/>
      <c r="I15" s="106"/>
      <c r="J15" s="102"/>
      <c r="K15" s="107" t="s">
        <v>195</v>
      </c>
      <c r="N15" s="108">
        <f t="shared" ref="N15:S16" si="6">N38</f>
        <v>0</v>
      </c>
      <c r="O15" s="108">
        <f>O38</f>
        <v>0</v>
      </c>
      <c r="P15" s="108">
        <f t="shared" si="6"/>
        <v>0</v>
      </c>
      <c r="Q15" s="108">
        <f t="shared" si="6"/>
        <v>0</v>
      </c>
      <c r="R15" s="109">
        <f t="shared" si="6"/>
        <v>0</v>
      </c>
      <c r="S15" s="109">
        <f t="shared" si="6"/>
        <v>0</v>
      </c>
      <c r="T15" s="110">
        <f t="shared" si="3"/>
        <v>0</v>
      </c>
      <c r="U15" s="111">
        <f t="shared" si="1"/>
        <v>0</v>
      </c>
    </row>
    <row r="16" spans="1:25" s="51" customFormat="1" ht="11" x14ac:dyDescent="0.15">
      <c r="A16" s="52"/>
      <c r="D16" s="84"/>
      <c r="E16" s="84"/>
      <c r="F16" s="84"/>
      <c r="G16" s="114"/>
      <c r="H16" s="115"/>
      <c r="I16" s="106"/>
      <c r="J16" s="102"/>
      <c r="K16" s="50" t="s">
        <v>196</v>
      </c>
      <c r="N16" s="96">
        <f t="shared" si="6"/>
        <v>-2.288977642015479</v>
      </c>
      <c r="O16" s="96">
        <f>O39</f>
        <v>-2.1659983723457277</v>
      </c>
      <c r="P16" s="96">
        <f t="shared" si="6"/>
        <v>-0.12297926966975137</v>
      </c>
      <c r="Q16" s="96">
        <f t="shared" si="6"/>
        <v>0</v>
      </c>
      <c r="R16" s="97">
        <f t="shared" si="6"/>
        <v>0</v>
      </c>
      <c r="S16" s="97">
        <f t="shared" si="6"/>
        <v>0</v>
      </c>
      <c r="T16" s="104">
        <f>N16/$E$14*12/$N$11</f>
        <v>-0.26309008576703224</v>
      </c>
      <c r="U16" s="99">
        <f t="shared" si="1"/>
        <v>-0.15426920704892311</v>
      </c>
      <c r="V16" s="87"/>
      <c r="W16" s="116"/>
      <c r="X16" s="117"/>
      <c r="Y16" s="118"/>
    </row>
    <row r="17" spans="1:25" s="51" customFormat="1" ht="11" x14ac:dyDescent="0.15">
      <c r="A17" s="52"/>
      <c r="B17" s="50" t="s">
        <v>57</v>
      </c>
      <c r="C17" s="119" t="s">
        <v>197</v>
      </c>
      <c r="D17" s="120" t="s">
        <v>198</v>
      </c>
      <c r="E17" s="119" t="s">
        <v>60</v>
      </c>
      <c r="F17" s="119" t="s">
        <v>62</v>
      </c>
      <c r="G17" s="119" t="s">
        <v>65</v>
      </c>
      <c r="I17" s="106"/>
      <c r="J17" s="102"/>
      <c r="K17" s="50" t="s">
        <v>199</v>
      </c>
      <c r="N17" s="96">
        <f t="shared" ref="N17:S17" si="7">SUM(N18:N21)</f>
        <v>-1.1152233029138925</v>
      </c>
      <c r="O17" s="96">
        <f>SUM(O18:O21)</f>
        <v>-0.95965085830294905</v>
      </c>
      <c r="P17" s="96">
        <f t="shared" si="7"/>
        <v>-0.15557244461094338</v>
      </c>
      <c r="Q17" s="96">
        <f t="shared" si="7"/>
        <v>0</v>
      </c>
      <c r="R17" s="97">
        <f>SUM(R18:R21)</f>
        <v>0</v>
      </c>
      <c r="S17" s="97">
        <f t="shared" si="7"/>
        <v>0</v>
      </c>
      <c r="T17" s="104">
        <f t="shared" si="3"/>
        <v>-0.12818132821719574</v>
      </c>
      <c r="U17" s="99">
        <f t="shared" si="1"/>
        <v>-7.5162208430974153E-2</v>
      </c>
    </row>
    <row r="18" spans="1:25" s="51" customFormat="1" ht="11" x14ac:dyDescent="0.15">
      <c r="A18" s="52">
        <v>1</v>
      </c>
      <c r="B18" s="52">
        <v>1</v>
      </c>
      <c r="C18" s="121">
        <v>1</v>
      </c>
      <c r="D18" s="122">
        <f>E12</f>
        <v>16</v>
      </c>
      <c r="E18" s="123">
        <f>DATA!D33</f>
        <v>0.45290893795156428</v>
      </c>
      <c r="F18" s="123">
        <f>DATA!D37</f>
        <v>7.3999999999999996E-2</v>
      </c>
      <c r="G18" s="124">
        <f>E18-F18</f>
        <v>0.37890893795156427</v>
      </c>
      <c r="I18" s="106"/>
      <c r="J18" s="102"/>
      <c r="K18" s="107" t="s">
        <v>92</v>
      </c>
      <c r="N18" s="108">
        <f t="shared" ref="N18:S18" si="8">SUM(N41)</f>
        <v>-0.29675107376283849</v>
      </c>
      <c r="O18" s="108">
        <f>SUM(O41)</f>
        <v>-0.29675107376283849</v>
      </c>
      <c r="P18" s="108">
        <f t="shared" si="8"/>
        <v>0</v>
      </c>
      <c r="Q18" s="108">
        <f t="shared" si="8"/>
        <v>0</v>
      </c>
      <c r="R18" s="109">
        <f>SUM(R41)</f>
        <v>0</v>
      </c>
      <c r="S18" s="109">
        <f t="shared" si="8"/>
        <v>0</v>
      </c>
      <c r="T18" s="110">
        <f t="shared" si="3"/>
        <v>-3.4107919629560154E-2</v>
      </c>
      <c r="U18" s="111">
        <f t="shared" si="1"/>
        <v>-0.02</v>
      </c>
    </row>
    <row r="19" spans="1:25" s="51" customFormat="1" ht="11" x14ac:dyDescent="0.15">
      <c r="A19" s="52">
        <v>2</v>
      </c>
      <c r="B19" s="52">
        <v>2</v>
      </c>
      <c r="C19" s="121">
        <f>IF(D18="","",IF(D18&gt;$E$12,"",D18+1))</f>
        <v>17</v>
      </c>
      <c r="D19" s="125">
        <f>E14</f>
        <v>22</v>
      </c>
      <c r="E19" s="123">
        <f>E18</f>
        <v>0.45290893795156428</v>
      </c>
      <c r="F19" s="123">
        <f>F18</f>
        <v>7.3999999999999996E-2</v>
      </c>
      <c r="G19" s="124">
        <f>E19-F19</f>
        <v>0.37890893795156427</v>
      </c>
      <c r="I19" s="106"/>
      <c r="J19" s="102"/>
      <c r="K19" s="107" t="s">
        <v>200</v>
      </c>
      <c r="N19" s="126">
        <f t="shared" ref="N19:S19" si="9">N45</f>
        <v>-6.6001863063213803E-2</v>
      </c>
      <c r="O19" s="108">
        <f>O45</f>
        <v>-6.6001863063213803E-2</v>
      </c>
      <c r="P19" s="126">
        <f t="shared" si="9"/>
        <v>0</v>
      </c>
      <c r="Q19" s="126">
        <f t="shared" si="9"/>
        <v>0</v>
      </c>
      <c r="R19" s="127">
        <f>R45</f>
        <v>0</v>
      </c>
      <c r="S19" s="127">
        <f t="shared" si="9"/>
        <v>0</v>
      </c>
      <c r="T19" s="110">
        <f t="shared" si="3"/>
        <v>-7.5861098401971243E-3</v>
      </c>
      <c r="U19" s="111">
        <f t="shared" si="1"/>
        <v>-4.4482981797708378E-3</v>
      </c>
    </row>
    <row r="20" spans="1:25" s="51" customFormat="1" ht="11" x14ac:dyDescent="0.15">
      <c r="A20" s="52">
        <v>3</v>
      </c>
      <c r="B20" s="52">
        <v>3</v>
      </c>
      <c r="C20" s="128"/>
      <c r="D20" s="129"/>
      <c r="E20" s="124"/>
      <c r="F20" s="124"/>
      <c r="G20" s="124"/>
      <c r="I20" s="106"/>
      <c r="J20" s="102"/>
      <c r="K20" s="107" t="s">
        <v>201</v>
      </c>
      <c r="N20" s="126">
        <f t="shared" ref="N20:S20" si="10">N48</f>
        <v>-0.1077635209672157</v>
      </c>
      <c r="O20" s="126">
        <f>O48</f>
        <v>-8.0036364945163418E-2</v>
      </c>
      <c r="P20" s="126">
        <f t="shared" si="10"/>
        <v>-2.7727156022052286E-2</v>
      </c>
      <c r="Q20" s="126">
        <f t="shared" si="10"/>
        <v>0</v>
      </c>
      <c r="R20" s="127">
        <f>R48</f>
        <v>0</v>
      </c>
      <c r="S20" s="127">
        <f t="shared" si="10"/>
        <v>0</v>
      </c>
      <c r="T20" s="110">
        <f t="shared" si="3"/>
        <v>-1.2386103495907554E-2</v>
      </c>
      <c r="U20" s="111">
        <f t="shared" si="1"/>
        <v>-7.2628900445590033E-3</v>
      </c>
    </row>
    <row r="21" spans="1:25" s="51" customFormat="1" ht="11" x14ac:dyDescent="0.15">
      <c r="A21" s="52">
        <v>4</v>
      </c>
      <c r="B21" s="52">
        <v>4</v>
      </c>
      <c r="C21" s="128"/>
      <c r="D21" s="129"/>
      <c r="E21" s="130"/>
      <c r="F21" s="130"/>
      <c r="G21" s="130"/>
      <c r="I21" s="84"/>
      <c r="J21" s="84"/>
      <c r="K21" s="107" t="s">
        <v>202</v>
      </c>
      <c r="N21" s="108">
        <f t="shared" ref="N21:S21" si="11">N52</f>
        <v>-0.64470684512062448</v>
      </c>
      <c r="O21" s="108">
        <f>O52</f>
        <v>-0.51686155653173338</v>
      </c>
      <c r="P21" s="108">
        <f t="shared" si="11"/>
        <v>-0.1278452885888911</v>
      </c>
      <c r="Q21" s="108">
        <f t="shared" si="11"/>
        <v>0</v>
      </c>
      <c r="R21" s="109">
        <f>R52</f>
        <v>0</v>
      </c>
      <c r="S21" s="109">
        <f t="shared" si="11"/>
        <v>0</v>
      </c>
      <c r="T21" s="110">
        <f t="shared" si="3"/>
        <v>-7.4101195251530916E-2</v>
      </c>
      <c r="U21" s="111">
        <f t="shared" si="1"/>
        <v>-4.3451020206644306E-2</v>
      </c>
    </row>
    <row r="22" spans="1:25" s="51" customFormat="1" ht="11" x14ac:dyDescent="0.15">
      <c r="A22" s="52">
        <v>5</v>
      </c>
      <c r="B22" s="52">
        <v>5</v>
      </c>
      <c r="C22" s="128"/>
      <c r="D22" s="129"/>
      <c r="E22" s="130"/>
      <c r="F22" s="130"/>
      <c r="G22" s="130"/>
      <c r="I22" s="84"/>
      <c r="J22" s="84"/>
      <c r="K22" s="50" t="s">
        <v>203</v>
      </c>
      <c r="N22" s="96">
        <f t="shared" ref="N22:S22" si="12">N12+N16+N17</f>
        <v>0.16874568084099906</v>
      </c>
      <c r="O22" s="96">
        <f t="shared" si="12"/>
        <v>0.31338457391075503</v>
      </c>
      <c r="P22" s="96">
        <f t="shared" si="12"/>
        <v>-0.14463889306975561</v>
      </c>
      <c r="Q22" s="96">
        <f t="shared" si="12"/>
        <v>0</v>
      </c>
      <c r="R22" s="97">
        <f t="shared" si="12"/>
        <v>0</v>
      </c>
      <c r="S22" s="97">
        <f t="shared" si="12"/>
        <v>0</v>
      </c>
      <c r="T22" s="104">
        <f t="shared" si="3"/>
        <v>1.9395259626120223E-2</v>
      </c>
      <c r="U22" s="99">
        <f t="shared" si="1"/>
        <v>1.1372877523325123E-2</v>
      </c>
      <c r="W22" s="87"/>
      <c r="X22" s="131"/>
      <c r="Y22" s="132"/>
    </row>
    <row r="23" spans="1:25" s="51" customFormat="1" ht="11" x14ac:dyDescent="0.15">
      <c r="A23" s="52"/>
      <c r="B23" s="52">
        <v>6</v>
      </c>
      <c r="C23" s="128"/>
      <c r="D23" s="129"/>
      <c r="E23" s="130"/>
      <c r="F23" s="130"/>
      <c r="G23" s="130"/>
      <c r="I23" s="84"/>
      <c r="J23" s="84"/>
      <c r="K23" s="51" t="s">
        <v>204</v>
      </c>
      <c r="N23" s="96">
        <f t="shared" ref="N23:S23" si="13">N22-N21</f>
        <v>0.81345252596162354</v>
      </c>
      <c r="O23" s="108">
        <f t="shared" si="13"/>
        <v>0.83024613044248841</v>
      </c>
      <c r="P23" s="108">
        <f t="shared" si="13"/>
        <v>-1.6793604480864505E-2</v>
      </c>
      <c r="Q23" s="108">
        <f t="shared" si="13"/>
        <v>0</v>
      </c>
      <c r="R23" s="109">
        <f t="shared" si="13"/>
        <v>0</v>
      </c>
      <c r="S23" s="109">
        <f t="shared" si="13"/>
        <v>0</v>
      </c>
      <c r="T23" s="110">
        <f t="shared" si="3"/>
        <v>9.3496454877651139E-2</v>
      </c>
      <c r="U23" s="111">
        <f t="shared" si="1"/>
        <v>5.4823897729969429E-2</v>
      </c>
      <c r="V23" s="84"/>
    </row>
    <row r="24" spans="1:25" s="51" customFormat="1" ht="15.75" customHeight="1" x14ac:dyDescent="0.15">
      <c r="A24" s="52"/>
      <c r="B24" s="133"/>
      <c r="C24" s="134"/>
      <c r="D24" s="115"/>
      <c r="E24" s="115"/>
      <c r="F24" s="115"/>
      <c r="G24" s="115"/>
      <c r="H24" s="115"/>
      <c r="I24" s="84"/>
      <c r="J24" s="84"/>
      <c r="V24" s="88"/>
    </row>
    <row r="25" spans="1:25" s="51" customFormat="1" x14ac:dyDescent="0.15">
      <c r="A25" s="135"/>
      <c r="B25" s="50" t="s">
        <v>67</v>
      </c>
      <c r="C25" s="136" t="s">
        <v>197</v>
      </c>
      <c r="D25" s="137" t="s">
        <v>198</v>
      </c>
      <c r="E25" s="136" t="s">
        <v>68</v>
      </c>
      <c r="F25" s="138" t="s">
        <v>70</v>
      </c>
      <c r="G25" s="136" t="s">
        <v>72</v>
      </c>
      <c r="H25" s="139"/>
      <c r="I25" s="84"/>
      <c r="J25" s="106"/>
      <c r="N25" s="87"/>
      <c r="U25" s="140"/>
      <c r="V25" s="141"/>
    </row>
    <row r="26" spans="1:25" s="51" customFormat="1" ht="12" customHeight="1" thickBot="1" x14ac:dyDescent="0.2">
      <c r="A26" s="52"/>
      <c r="B26" s="142">
        <v>1</v>
      </c>
      <c r="C26" s="143">
        <v>1</v>
      </c>
      <c r="D26" s="144">
        <v>1</v>
      </c>
      <c r="E26" s="145">
        <f>DATA!E125</f>
        <v>6.0846599642670716E-2</v>
      </c>
      <c r="F26" s="123"/>
      <c r="G26" s="145">
        <v>0.08</v>
      </c>
      <c r="H26" s="146" t="s">
        <v>205</v>
      </c>
      <c r="I26" s="84"/>
      <c r="J26" s="84"/>
      <c r="K26" s="85" t="s">
        <v>206</v>
      </c>
      <c r="L26" s="86"/>
      <c r="M26" s="86"/>
      <c r="N26" s="86"/>
      <c r="O26" s="86"/>
      <c r="P26" s="86"/>
      <c r="Q26" s="86"/>
      <c r="R26" s="86"/>
      <c r="S26" s="86"/>
      <c r="T26" s="86"/>
      <c r="U26" s="86" t="s">
        <v>180</v>
      </c>
      <c r="V26" s="84"/>
    </row>
    <row r="27" spans="1:25" s="51" customFormat="1" ht="12" customHeight="1" x14ac:dyDescent="0.15">
      <c r="A27" s="52"/>
      <c r="B27" s="142">
        <v>2</v>
      </c>
      <c r="C27" s="143">
        <f>D26+1</f>
        <v>2</v>
      </c>
      <c r="D27" s="144">
        <v>3</v>
      </c>
      <c r="E27" s="145">
        <f>E26</f>
        <v>6.0846599642670716E-2</v>
      </c>
      <c r="F27" s="123"/>
      <c r="G27" s="145">
        <v>0.06</v>
      </c>
      <c r="H27" s="146" t="s">
        <v>205</v>
      </c>
      <c r="I27" s="84"/>
      <c r="J27" s="147"/>
      <c r="L27" s="148"/>
      <c r="M27" s="148"/>
      <c r="O27" s="148"/>
      <c r="P27" s="148"/>
      <c r="Q27" s="148"/>
      <c r="R27" s="148"/>
      <c r="U27" s="140"/>
      <c r="V27" s="147"/>
      <c r="W27" s="87"/>
      <c r="X27" s="149"/>
    </row>
    <row r="28" spans="1:25" s="51" customFormat="1" ht="11" x14ac:dyDescent="0.15">
      <c r="A28" s="52"/>
      <c r="B28" s="142">
        <v>3</v>
      </c>
      <c r="C28" s="143">
        <f>D27+1</f>
        <v>4</v>
      </c>
      <c r="D28" s="144">
        <v>14</v>
      </c>
      <c r="E28" s="145">
        <v>0.05</v>
      </c>
      <c r="F28" s="123"/>
      <c r="G28" s="145">
        <v>2.5000000000000001E-2</v>
      </c>
      <c r="H28" s="146" t="s">
        <v>205</v>
      </c>
      <c r="I28" s="84"/>
      <c r="J28" s="150"/>
      <c r="N28" s="92" t="s">
        <v>182</v>
      </c>
      <c r="O28" s="92" t="s">
        <v>183</v>
      </c>
      <c r="P28" s="92" t="s">
        <v>184</v>
      </c>
      <c r="Q28" s="92" t="s">
        <v>185</v>
      </c>
      <c r="R28" s="92" t="s">
        <v>186</v>
      </c>
      <c r="S28" s="92" t="s">
        <v>187</v>
      </c>
      <c r="T28" s="92" t="s">
        <v>188</v>
      </c>
      <c r="U28" s="151" t="s">
        <v>189</v>
      </c>
      <c r="V28" s="147"/>
      <c r="W28" s="87"/>
      <c r="X28" s="149"/>
    </row>
    <row r="29" spans="1:25" s="51" customFormat="1" ht="11" x14ac:dyDescent="0.15">
      <c r="A29" s="52"/>
      <c r="B29" s="142">
        <v>4</v>
      </c>
      <c r="C29" s="152">
        <f>IF(D28="","",IF(D28&gt;$E$12,"",D28+1))</f>
        <v>15</v>
      </c>
      <c r="D29" s="153"/>
      <c r="E29" s="154"/>
      <c r="F29" s="124"/>
      <c r="G29" s="154"/>
      <c r="I29" s="84"/>
      <c r="K29" s="155" t="s">
        <v>191</v>
      </c>
      <c r="N29" s="97">
        <f>SUM(SAP_Speadsheet!$D$50:$BF$50)/COUNTIF(SAP_Speadsheet!$D$50:$BF$50,"&gt;0")</f>
        <v>4.7456492160892516</v>
      </c>
      <c r="O29" s="97">
        <f>IFERROR(SUM(SAP_Speadsheet!$D$50:$P$50)/COUNTIF(SAP_Speadsheet!$D$50:$P$50,"&gt;0"),0)</f>
        <v>8.0917437242744068</v>
      </c>
      <c r="P29" s="97">
        <f>IFERROR(SUM(SAP_Speadsheet!$Q$50:$AB$50)/COUNTIF(SAP_Speadsheet!$Q$50:$AB$50,"&gt;0"),0)</f>
        <v>0.73033580626706596</v>
      </c>
      <c r="Q29" s="97">
        <f>IFERROR(SUM(SAP_Speadsheet!$AC$50:$AN$50)/COUNTIF(SAP_Speadsheet!$AC$50:$AN$50,"&gt;0"),0)</f>
        <v>0</v>
      </c>
      <c r="R29" s="97">
        <f>IFERROR(SUM(SAP_Speadsheet!$AO$50:$AZ$50)/COUNTIF(SAP_Speadsheet!$AO$50:$AZ$50,"&gt;0"),0)</f>
        <v>0</v>
      </c>
      <c r="S29" s="97">
        <f>IFERROR(SUM(SAP_Speadsheet!$BA$50:$BF$50)/COUNTIF(SAP_Speadsheet!$BA$50:$BF$50,"&gt;0"),0)</f>
        <v>0</v>
      </c>
      <c r="T29" s="156"/>
      <c r="U29" s="157">
        <f t="shared" ref="U29:U52" si="14">N29/$E$10</f>
        <v>0.31984040737671893</v>
      </c>
      <c r="V29" s="147"/>
      <c r="W29" s="87"/>
      <c r="X29" s="149"/>
    </row>
    <row r="30" spans="1:25" s="51" customFormat="1" ht="11" x14ac:dyDescent="0.15">
      <c r="A30" s="52"/>
      <c r="B30" s="142">
        <v>5</v>
      </c>
      <c r="C30" s="152" t="str">
        <f>IF(D29="","",IF(D29&gt;$E$12,"",D29+1))</f>
        <v/>
      </c>
      <c r="D30" s="153"/>
      <c r="E30" s="154">
        <f>IF(D30="",0,SUMIFS(#REF!,#REF!,Leadsheet!G$24,#REF!,Leadsheet!$A30,#REF!,Leadsheet!$C$4,#REF!,Leadsheet!$G$5,#REF!,Leadsheet!$D$5,#REF!,Leadsheet!G4))</f>
        <v>0</v>
      </c>
      <c r="F30" s="124">
        <v>0</v>
      </c>
      <c r="G30" s="154"/>
      <c r="I30" s="84"/>
      <c r="J30" s="147"/>
      <c r="K30" s="50" t="s">
        <v>192</v>
      </c>
      <c r="N30" s="158">
        <f t="shared" ref="N30:N51" si="15">SUM(O30:S30)</f>
        <v>3.572946625770371</v>
      </c>
      <c r="O30" s="158">
        <f>SUM(SAP_Speadsheet!$E$55:$P$55)</f>
        <v>3.4390338045594318</v>
      </c>
      <c r="P30" s="158">
        <f>SUM(SAP_Speadsheet!$Q$55:$AB$55)</f>
        <v>0.13391282121093914</v>
      </c>
      <c r="Q30" s="158">
        <f>SUM(SAP_Speadsheet!$AC$55:$AN$55)</f>
        <v>0</v>
      </c>
      <c r="R30" s="158">
        <f>SUM(SAP_Speadsheet!$AO$55:$AZ$55)</f>
        <v>0</v>
      </c>
      <c r="S30" s="158">
        <f>SUM(SAP_Speadsheet!$BA$55:$BF$55)</f>
        <v>0</v>
      </c>
      <c r="T30" s="104">
        <f t="shared" ref="T30:T57" si="16">N30/$E$14*12/$N$29</f>
        <v>0.4106666736103482</v>
      </c>
      <c r="U30" s="104">
        <f t="shared" si="14"/>
        <v>0.2408042930032224</v>
      </c>
      <c r="V30" s="150"/>
      <c r="W30" s="87"/>
      <c r="X30" s="149"/>
    </row>
    <row r="31" spans="1:25" s="51" customFormat="1" ht="11" x14ac:dyDescent="0.15">
      <c r="A31" s="52"/>
      <c r="B31" s="159">
        <v>6</v>
      </c>
      <c r="C31" s="152" t="str">
        <f>IF(D30="","",IF(D30&gt;$E$12,"",D30+1))</f>
        <v/>
      </c>
      <c r="D31" s="153"/>
      <c r="E31" s="124">
        <f>IF(D31="",0,SUMIFS(#REF!,#REF!,Leadsheet!G$24,#REF!,Leadsheet!$A31,#REF!,Leadsheet!$C$4,#REF!,Leadsheet!$G$5,#REF!,Leadsheet!$D$5,#REF!,Leadsheet!G4))</f>
        <v>0</v>
      </c>
      <c r="F31" s="124">
        <v>0</v>
      </c>
      <c r="G31" s="124"/>
      <c r="I31" s="160"/>
      <c r="J31" s="147"/>
      <c r="K31" s="50" t="s">
        <v>193</v>
      </c>
      <c r="N31" s="158">
        <f>SUM(O31:S31)</f>
        <v>2.6903515895901382</v>
      </c>
      <c r="O31" s="158">
        <f>SUM(SAP_Speadsheet!$E$57:$P$57)</f>
        <v>2.5637561318193169</v>
      </c>
      <c r="P31" s="158">
        <f>SUM(SAP_Speadsheet!$Q$57:$AB$57)</f>
        <v>0.12659545777082126</v>
      </c>
      <c r="Q31" s="158">
        <f>SUM(SAP_Speadsheet!$AC$57:$AN$57)</f>
        <v>0</v>
      </c>
      <c r="R31" s="158">
        <f>SUM(SAP_Speadsheet!$AO$57:$AZ$57)</f>
        <v>0</v>
      </c>
      <c r="S31" s="158">
        <f>SUM(SAP_Speadsheet!$BA$57:$BF$57)</f>
        <v>0</v>
      </c>
      <c r="T31" s="104">
        <f t="shared" si="16"/>
        <v>0.30922312977487548</v>
      </c>
      <c r="U31" s="104">
        <f t="shared" si="14"/>
        <v>0.18132042829541703</v>
      </c>
      <c r="V31" s="147"/>
      <c r="W31" s="87"/>
      <c r="X31" s="149"/>
    </row>
    <row r="32" spans="1:25" s="51" customFormat="1" ht="11" x14ac:dyDescent="0.15">
      <c r="A32" s="52"/>
      <c r="D32" s="84"/>
      <c r="I32" s="84"/>
      <c r="J32" s="147"/>
      <c r="K32" s="161" t="s">
        <v>207</v>
      </c>
      <c r="N32" s="162">
        <f t="shared" si="15"/>
        <v>3.3341779999062466</v>
      </c>
      <c r="O32" s="162">
        <f>SUM(SAP_Speadsheet!$E$58:$P$58)</f>
        <v>3.1625451674156229</v>
      </c>
      <c r="P32" s="162">
        <f>SUM(SAP_Speadsheet!$Q$58:$AB$58)</f>
        <v>0.17163283249062367</v>
      </c>
      <c r="Q32" s="162">
        <f>SUM(SAP_Speadsheet!$AC$58:$AN$58)</f>
        <v>0</v>
      </c>
      <c r="R32" s="162">
        <f>SUM(SAP_Speadsheet!$AO$58:$AZ$58)</f>
        <v>0</v>
      </c>
      <c r="S32" s="162">
        <f>SUM(SAP_Speadsheet!$BA$58:$BF$58)</f>
        <v>0</v>
      </c>
      <c r="T32" s="110">
        <f t="shared" si="16"/>
        <v>0.38322312977487544</v>
      </c>
      <c r="U32" s="110">
        <f t="shared" si="14"/>
        <v>0.22471211022952522</v>
      </c>
      <c r="V32" s="147"/>
      <c r="W32" s="87"/>
      <c r="X32" s="149"/>
    </row>
    <row r="33" spans="1:24" s="103" customFormat="1" ht="11.25" customHeight="1" x14ac:dyDescent="0.15">
      <c r="A33" s="135"/>
      <c r="B33" s="50" t="s">
        <v>75</v>
      </c>
      <c r="C33" s="51" t="s">
        <v>76</v>
      </c>
      <c r="D33" s="163"/>
      <c r="E33" s="164"/>
      <c r="F33" s="146" t="s">
        <v>208</v>
      </c>
      <c r="G33" s="36"/>
      <c r="I33" s="160"/>
      <c r="J33" s="147"/>
      <c r="K33" s="161" t="s">
        <v>209</v>
      </c>
      <c r="L33" s="51"/>
      <c r="M33" s="51"/>
      <c r="N33" s="162">
        <f t="shared" si="15"/>
        <v>-0.64382641031610854</v>
      </c>
      <c r="O33" s="162">
        <f>SUM(SAP_Speadsheet!$E$59:$P$59)</f>
        <v>-0.59878903559630614</v>
      </c>
      <c r="P33" s="162">
        <f>SUM(SAP_Speadsheet!$Q$59:$AB$59)</f>
        <v>-4.5037374719802403E-2</v>
      </c>
      <c r="Q33" s="162">
        <f>SUM(SAP_Speadsheet!$AC$59:$AN$59)</f>
        <v>0</v>
      </c>
      <c r="R33" s="162">
        <f>SUM(SAP_Speadsheet!$AO$59:$AZ$59)</f>
        <v>0</v>
      </c>
      <c r="S33" s="162">
        <f>SUM(SAP_Speadsheet!$BA$59:$BF$59)</f>
        <v>0</v>
      </c>
      <c r="T33" s="110">
        <f t="shared" si="16"/>
        <v>-7.400000000000001E-2</v>
      </c>
      <c r="U33" s="110">
        <f t="shared" si="14"/>
        <v>-4.3391681934108209E-2</v>
      </c>
      <c r="V33" s="147"/>
      <c r="W33" s="87"/>
      <c r="X33" s="149"/>
    </row>
    <row r="34" spans="1:24" s="51" customFormat="1" ht="11" x14ac:dyDescent="0.15">
      <c r="C34" s="51" t="s">
        <v>79</v>
      </c>
      <c r="E34" s="164">
        <f>DATA!J25</f>
        <v>6.9722406511406668E-2</v>
      </c>
      <c r="F34" s="146" t="s">
        <v>208</v>
      </c>
      <c r="I34" s="65"/>
      <c r="J34" s="147"/>
      <c r="K34" s="50" t="s">
        <v>194</v>
      </c>
      <c r="N34" s="158">
        <f t="shared" si="15"/>
        <v>0.88259503618023261</v>
      </c>
      <c r="O34" s="158">
        <f>SUM(SAP_Speadsheet!$E$61:$P$61)</f>
        <v>0.8752776727401147</v>
      </c>
      <c r="P34" s="158">
        <f>SUM(SAP_Speadsheet!$Q$61:$AB$61)</f>
        <v>7.31736344011788E-3</v>
      </c>
      <c r="Q34" s="158">
        <f>SUM(SAP_Speadsheet!$AC$61:$AN$61)</f>
        <v>0</v>
      </c>
      <c r="R34" s="158">
        <f>SUM(SAP_Speadsheet!$AO$61:$AZ$61)</f>
        <v>0</v>
      </c>
      <c r="S34" s="158">
        <f>SUM(SAP_Speadsheet!$BA$61:$BF$61)</f>
        <v>0</v>
      </c>
      <c r="T34" s="104">
        <f t="shared" si="16"/>
        <v>0.10144354383547274</v>
      </c>
      <c r="U34" s="104">
        <f t="shared" si="14"/>
        <v>5.948386470780536E-2</v>
      </c>
      <c r="V34" s="147"/>
      <c r="W34" s="87"/>
      <c r="X34" s="149"/>
    </row>
    <row r="35" spans="1:24" s="51" customFormat="1" ht="11" x14ac:dyDescent="0.15">
      <c r="A35" s="52"/>
      <c r="B35" s="139"/>
      <c r="C35" s="51" t="s">
        <v>81</v>
      </c>
      <c r="D35" s="84"/>
      <c r="E35" s="164">
        <f>DATA!K25</f>
        <v>0.74160582754882676</v>
      </c>
      <c r="F35" s="146" t="s">
        <v>208</v>
      </c>
      <c r="I35" s="84"/>
      <c r="J35" s="147"/>
      <c r="K35" s="161" t="s">
        <v>210</v>
      </c>
      <c r="M35" s="165"/>
      <c r="N35" s="162">
        <f t="shared" si="15"/>
        <v>0.25816038528508944</v>
      </c>
      <c r="O35" s="162">
        <f>SUM(SAP_Speadsheet!$E$62:$P$62)</f>
        <v>0.25084302184497154</v>
      </c>
      <c r="P35" s="162">
        <f>SUM(SAP_Speadsheet!$Q$62:$AB$62)</f>
        <v>7.31736344011788E-3</v>
      </c>
      <c r="Q35" s="162">
        <f>SUM(SAP_Speadsheet!$AC$62:$AN$62)</f>
        <v>0</v>
      </c>
      <c r="R35" s="162">
        <f>SUM(SAP_Speadsheet!$AO$62:$AZ$62)</f>
        <v>0</v>
      </c>
      <c r="S35" s="162">
        <f>SUM(SAP_Speadsheet!$BA$62:$BF$62)</f>
        <v>0</v>
      </c>
      <c r="T35" s="110">
        <f t="shared" si="16"/>
        <v>2.9672390266992813E-2</v>
      </c>
      <c r="U35" s="110">
        <f t="shared" si="14"/>
        <v>1.7399120549865948E-2</v>
      </c>
      <c r="V35" s="147"/>
      <c r="W35" s="87"/>
      <c r="X35" s="149"/>
    </row>
    <row r="36" spans="1:24" s="51" customFormat="1" ht="11" x14ac:dyDescent="0.15">
      <c r="A36" s="52"/>
      <c r="C36" s="51" t="s">
        <v>83</v>
      </c>
      <c r="D36" s="163"/>
      <c r="E36" s="164">
        <v>0.85599999999999998</v>
      </c>
      <c r="F36" s="146" t="s">
        <v>208</v>
      </c>
      <c r="H36" s="52" t="s">
        <v>211</v>
      </c>
      <c r="I36" s="65"/>
      <c r="J36" s="147"/>
      <c r="K36" s="161" t="s">
        <v>212</v>
      </c>
      <c r="N36" s="162">
        <f t="shared" si="15"/>
        <v>0.62443465089514327</v>
      </c>
      <c r="O36" s="162">
        <f>SUM(SAP_Speadsheet!$E$63:$P$63)</f>
        <v>0.62443465089514327</v>
      </c>
      <c r="P36" s="162">
        <f>SUM(SAP_Speadsheet!$Q$63:$AB$63)</f>
        <v>0</v>
      </c>
      <c r="Q36" s="162">
        <f>SUM(SAP_Speadsheet!$AC$63:$AN$63)</f>
        <v>0</v>
      </c>
      <c r="R36" s="162">
        <f>SUM(SAP_Speadsheet!$AO$63:$AZ$63)</f>
        <v>0</v>
      </c>
      <c r="S36" s="162">
        <f>SUM(SAP_Speadsheet!$BA$63:$BF$63)</f>
        <v>0</v>
      </c>
      <c r="T36" s="110">
        <f t="shared" si="16"/>
        <v>7.1771153568479948E-2</v>
      </c>
      <c r="U36" s="110">
        <f t="shared" si="14"/>
        <v>4.2084744157939419E-2</v>
      </c>
      <c r="V36" s="147"/>
      <c r="W36" s="87"/>
      <c r="X36" s="149"/>
    </row>
    <row r="37" spans="1:24" s="51" customFormat="1" ht="11" x14ac:dyDescent="0.15">
      <c r="A37" s="52"/>
      <c r="D37" s="163"/>
      <c r="E37" s="65"/>
      <c r="F37" s="166"/>
      <c r="H37" s="52" t="s">
        <v>211</v>
      </c>
      <c r="I37" s="65"/>
      <c r="J37" s="147"/>
      <c r="K37" s="161" t="s">
        <v>86</v>
      </c>
      <c r="N37" s="162">
        <f t="shared" si="15"/>
        <v>0</v>
      </c>
      <c r="O37" s="162">
        <f>SUM(SAP_Speadsheet!$E$64:$P$64)</f>
        <v>0</v>
      </c>
      <c r="P37" s="162">
        <f>SUM(SAP_Speadsheet!$Q$64:$AB$64)</f>
        <v>0</v>
      </c>
      <c r="Q37" s="162">
        <f>SUM(SAP_Speadsheet!$AC$64:$AN$64)</f>
        <v>0</v>
      </c>
      <c r="R37" s="162">
        <f>SUM(SAP_Speadsheet!$AO$64:$AZ$64)</f>
        <v>0</v>
      </c>
      <c r="S37" s="162">
        <f>SUM(SAP_Speadsheet!$BA$64:$BF$64)</f>
        <v>0</v>
      </c>
      <c r="T37" s="110">
        <f t="shared" si="16"/>
        <v>0</v>
      </c>
      <c r="U37" s="110">
        <f t="shared" si="14"/>
        <v>0</v>
      </c>
      <c r="V37" s="147"/>
      <c r="W37" s="87"/>
      <c r="X37" s="149"/>
    </row>
    <row r="38" spans="1:24" s="51" customFormat="1" ht="11" x14ac:dyDescent="0.15">
      <c r="A38" s="52"/>
      <c r="B38" s="50" t="s">
        <v>86</v>
      </c>
      <c r="C38" s="51" t="s">
        <v>213</v>
      </c>
      <c r="E38" s="167"/>
      <c r="F38" s="146" t="s">
        <v>214</v>
      </c>
      <c r="H38" s="168"/>
      <c r="I38" s="147"/>
      <c r="J38" s="147"/>
      <c r="K38" s="50" t="s">
        <v>195</v>
      </c>
      <c r="L38" s="139"/>
      <c r="M38" s="117"/>
      <c r="N38" s="109">
        <f t="shared" si="15"/>
        <v>0</v>
      </c>
      <c r="O38" s="109">
        <f>SUM(SAP_Speadsheet!$E$68:$P$68)</f>
        <v>0</v>
      </c>
      <c r="P38" s="109">
        <f>SUM(SAP_Speadsheet!$Q$68:$AB$68)</f>
        <v>0</v>
      </c>
      <c r="Q38" s="109">
        <f>SUM(SAP_Speadsheet!$AC$68:$AN$68)</f>
        <v>0</v>
      </c>
      <c r="R38" s="109">
        <f>SUM(SAP_Speadsheet!$AO$68:$AZ$68)</f>
        <v>0</v>
      </c>
      <c r="S38" s="109">
        <f>SUM(SAP_Speadsheet!$BA$68:$BF$68)</f>
        <v>0</v>
      </c>
      <c r="T38" s="110">
        <f t="shared" si="16"/>
        <v>0</v>
      </c>
      <c r="U38" s="110">
        <f t="shared" si="14"/>
        <v>0</v>
      </c>
      <c r="V38" s="147"/>
      <c r="W38" s="87"/>
      <c r="X38" s="149"/>
    </row>
    <row r="39" spans="1:24" s="51" customFormat="1" ht="11" x14ac:dyDescent="0.15">
      <c r="A39" s="52"/>
      <c r="C39" s="51" t="s">
        <v>213</v>
      </c>
      <c r="E39" s="169"/>
      <c r="F39" s="146" t="s">
        <v>215</v>
      </c>
      <c r="I39" s="147"/>
      <c r="J39" s="147"/>
      <c r="K39" s="170" t="s">
        <v>196</v>
      </c>
      <c r="L39" s="50"/>
      <c r="M39" s="50"/>
      <c r="N39" s="158">
        <f t="shared" si="15"/>
        <v>-2.288977642015479</v>
      </c>
      <c r="O39" s="158">
        <f>SUM(SAP_Speadsheet!$E$183:$P$183)</f>
        <v>-2.1659983723457277</v>
      </c>
      <c r="P39" s="158">
        <f>SUM(SAP_Speadsheet!$Q$183:$AB$183)</f>
        <v>-0.12297926966975137</v>
      </c>
      <c r="Q39" s="158">
        <f>SUM(SAP_Speadsheet!$AC$183:$AN$183)</f>
        <v>0</v>
      </c>
      <c r="R39" s="158">
        <f>SUM(SAP_Speadsheet!$AO$183:$AZ$183)</f>
        <v>0</v>
      </c>
      <c r="S39" s="158">
        <f>SUM(SAP_Speadsheet!$BA$183:$BF$183)</f>
        <v>0</v>
      </c>
      <c r="T39" s="104">
        <f t="shared" si="16"/>
        <v>-0.26309008576703224</v>
      </c>
      <c r="U39" s="104">
        <f t="shared" si="14"/>
        <v>-0.15426920704892311</v>
      </c>
      <c r="V39" s="147"/>
      <c r="W39" s="87"/>
      <c r="X39" s="149"/>
    </row>
    <row r="40" spans="1:24" s="51" customFormat="1" ht="11" x14ac:dyDescent="0.15">
      <c r="A40" s="52"/>
      <c r="C40" s="51" t="s">
        <v>216</v>
      </c>
      <c r="D40" s="163"/>
      <c r="E40" s="169"/>
      <c r="F40" s="146" t="s">
        <v>217</v>
      </c>
      <c r="I40" s="147"/>
      <c r="J40" s="147"/>
      <c r="K40" s="50" t="s">
        <v>199</v>
      </c>
      <c r="N40" s="158">
        <f t="shared" si="15"/>
        <v>-1.1152233029138925</v>
      </c>
      <c r="O40" s="158">
        <f>+SUM(O41,O45,O48,O52)</f>
        <v>-0.95965085830294905</v>
      </c>
      <c r="P40" s="171">
        <f>+SUM(P41,P45,P48,P52)</f>
        <v>-0.15557244461094338</v>
      </c>
      <c r="Q40" s="171">
        <f>+SUM(Q41,Q45,Q48,Q52)</f>
        <v>0</v>
      </c>
      <c r="R40" s="171">
        <f>+SUM(R41,R45,R48,R52)</f>
        <v>0</v>
      </c>
      <c r="S40" s="158">
        <f>+SUM(S41,S45,S48,S52)</f>
        <v>0</v>
      </c>
      <c r="T40" s="104">
        <f t="shared" si="16"/>
        <v>-0.12818132821719574</v>
      </c>
      <c r="U40" s="104">
        <f t="shared" si="14"/>
        <v>-7.5162208430974153E-2</v>
      </c>
      <c r="V40" s="147"/>
      <c r="W40" s="87"/>
      <c r="X40" s="149"/>
    </row>
    <row r="41" spans="1:24" s="51" customFormat="1" ht="14" thickBot="1" x14ac:dyDescent="0.2">
      <c r="A41" s="52"/>
      <c r="B41" s="45" t="s">
        <v>89</v>
      </c>
      <c r="C41" s="82"/>
      <c r="D41" s="83"/>
      <c r="E41" s="82"/>
      <c r="F41" s="82"/>
      <c r="G41" s="82"/>
      <c r="H41" s="82" t="s">
        <v>180</v>
      </c>
      <c r="I41" s="147"/>
      <c r="J41" s="147"/>
      <c r="K41" s="170" t="s">
        <v>92</v>
      </c>
      <c r="N41" s="158">
        <f t="shared" si="15"/>
        <v>-0.29675107376283849</v>
      </c>
      <c r="O41" s="158">
        <f>SUM(O42:O44)</f>
        <v>-0.29675107376283849</v>
      </c>
      <c r="P41" s="158">
        <f>SUM(P42:P44)</f>
        <v>0</v>
      </c>
      <c r="Q41" s="158">
        <f>SUM(Q42:Q44)</f>
        <v>0</v>
      </c>
      <c r="R41" s="158">
        <f>SUM(R42:R44)</f>
        <v>0</v>
      </c>
      <c r="S41" s="158">
        <f>SUM(S42:S44)</f>
        <v>0</v>
      </c>
      <c r="T41" s="104">
        <f t="shared" si="16"/>
        <v>-3.4107919629560154E-2</v>
      </c>
      <c r="U41" s="104">
        <f t="shared" si="14"/>
        <v>-0.02</v>
      </c>
      <c r="V41" s="147"/>
      <c r="W41" s="87"/>
      <c r="X41" s="149"/>
    </row>
    <row r="42" spans="1:24" s="51" customFormat="1" thickTop="1" x14ac:dyDescent="0.15">
      <c r="A42" s="52"/>
      <c r="D42" s="84"/>
      <c r="I42" s="147"/>
      <c r="J42" s="147"/>
      <c r="K42" s="107" t="s">
        <v>218</v>
      </c>
      <c r="L42" s="139"/>
      <c r="N42" s="109">
        <f t="shared" si="15"/>
        <v>-0.29675107376283849</v>
      </c>
      <c r="O42" s="109">
        <f>SUM(SAP_Speadsheet!$E$73:$P$73)</f>
        <v>-0.29675107376283849</v>
      </c>
      <c r="P42" s="109">
        <f>SUM(SAP_Speadsheet!$Q$73:$AB$73)</f>
        <v>0</v>
      </c>
      <c r="Q42" s="109">
        <f>SUM(SAP_Speadsheet!$AC$73:$AN$73)</f>
        <v>0</v>
      </c>
      <c r="R42" s="109">
        <f>SUM(SAP_Speadsheet!$AO$73:$AZ$73)</f>
        <v>0</v>
      </c>
      <c r="S42" s="109">
        <f>SUM(SAP_Speadsheet!$BA$73:$BF$73)</f>
        <v>0</v>
      </c>
      <c r="T42" s="110">
        <f t="shared" si="16"/>
        <v>-3.4107919629560154E-2</v>
      </c>
      <c r="U42" s="110">
        <f t="shared" si="14"/>
        <v>-0.02</v>
      </c>
      <c r="V42" s="147"/>
      <c r="W42" s="87"/>
      <c r="X42" s="149"/>
    </row>
    <row r="43" spans="1:24" s="51" customFormat="1" ht="11" x14ac:dyDescent="0.15">
      <c r="A43" s="52"/>
      <c r="B43" s="50" t="s">
        <v>90</v>
      </c>
      <c r="D43" s="84"/>
      <c r="E43" s="172">
        <v>3.5000000000000003E-2</v>
      </c>
      <c r="F43" s="146" t="s">
        <v>219</v>
      </c>
      <c r="I43" s="147"/>
      <c r="J43" s="147"/>
      <c r="K43" s="107" t="s">
        <v>220</v>
      </c>
      <c r="N43" s="162">
        <f t="shared" si="15"/>
        <v>0</v>
      </c>
      <c r="O43" s="162">
        <f>SUM(SAP_Speadsheet!$E$74:$P$74)</f>
        <v>0</v>
      </c>
      <c r="P43" s="162">
        <f>SUM(SAP_Speadsheet!$Q$74:$AB$74)</f>
        <v>0</v>
      </c>
      <c r="Q43" s="162">
        <f>SUM(SAP_Speadsheet!$AC$74:$AN$74)</f>
        <v>0</v>
      </c>
      <c r="R43" s="162">
        <f>SUM(SAP_Speadsheet!$AO$74:$AZ$74)</f>
        <v>0</v>
      </c>
      <c r="S43" s="162">
        <f>SUM(SAP_Speadsheet!$BA$74:$BF$74)</f>
        <v>0</v>
      </c>
      <c r="T43" s="110">
        <f t="shared" si="16"/>
        <v>0</v>
      </c>
      <c r="U43" s="110">
        <f t="shared" si="14"/>
        <v>0</v>
      </c>
      <c r="V43" s="147"/>
      <c r="W43" s="87"/>
      <c r="X43" s="149"/>
    </row>
    <row r="44" spans="1:24" s="139" customFormat="1" ht="11" x14ac:dyDescent="0.15">
      <c r="A44" s="52"/>
      <c r="B44" s="51"/>
      <c r="C44" s="51"/>
      <c r="D44" s="84"/>
      <c r="E44" s="173"/>
      <c r="F44" s="146"/>
      <c r="G44" s="174"/>
      <c r="H44" s="87"/>
      <c r="I44" s="147"/>
      <c r="J44" s="147"/>
      <c r="K44" s="107" t="s">
        <v>221</v>
      </c>
      <c r="M44" s="51"/>
      <c r="N44" s="109">
        <f t="shared" si="15"/>
        <v>0</v>
      </c>
      <c r="O44" s="109">
        <f>SUM(SAP_Speadsheet!$E$86:$P$86)</f>
        <v>0</v>
      </c>
      <c r="P44" s="109">
        <f>SUM(SAP_Speadsheet!$Q$86:$AB$86)</f>
        <v>0</v>
      </c>
      <c r="Q44" s="109">
        <f>SUM(SAP_Speadsheet!$AC$86:$AN$86)</f>
        <v>0</v>
      </c>
      <c r="R44" s="109">
        <f>SUM(SAP_Speadsheet!$AO$86:$AZ$86)</f>
        <v>0</v>
      </c>
      <c r="S44" s="109">
        <f>SUM(SAP_Speadsheet!$BA$86:$BF$86)</f>
        <v>0</v>
      </c>
      <c r="T44" s="110">
        <f t="shared" si="16"/>
        <v>0</v>
      </c>
      <c r="U44" s="110">
        <f t="shared" si="14"/>
        <v>0</v>
      </c>
      <c r="V44" s="147"/>
      <c r="W44" s="87"/>
      <c r="X44" s="149"/>
    </row>
    <row r="45" spans="1:24" s="139" customFormat="1" ht="11" x14ac:dyDescent="0.15">
      <c r="A45" s="52"/>
      <c r="B45" s="50" t="s">
        <v>92</v>
      </c>
      <c r="F45" s="146"/>
      <c r="I45" s="147"/>
      <c r="J45" s="147"/>
      <c r="K45" s="170" t="s">
        <v>200</v>
      </c>
      <c r="M45" s="51"/>
      <c r="N45" s="97">
        <f t="shared" si="15"/>
        <v>-6.6001863063213803E-2</v>
      </c>
      <c r="O45" s="97">
        <f>SUM(O46:O47)</f>
        <v>-6.6001863063213803E-2</v>
      </c>
      <c r="P45" s="97">
        <f>SUM(P46:P47)</f>
        <v>0</v>
      </c>
      <c r="Q45" s="97">
        <f>SUM(Q46:Q47)</f>
        <v>0</v>
      </c>
      <c r="R45" s="97">
        <f>SUM(R46:R47)</f>
        <v>0</v>
      </c>
      <c r="S45" s="97">
        <f>SUM(S46:S47)</f>
        <v>0</v>
      </c>
      <c r="T45" s="104">
        <f t="shared" si="16"/>
        <v>-7.5861098401971243E-3</v>
      </c>
      <c r="U45" s="104">
        <f t="shared" si="14"/>
        <v>-4.4482981797708378E-3</v>
      </c>
      <c r="V45" s="147"/>
      <c r="W45" s="87"/>
      <c r="X45" s="149"/>
    </row>
    <row r="46" spans="1:24" s="139" customFormat="1" ht="11" x14ac:dyDescent="0.15">
      <c r="A46" s="52"/>
      <c r="C46" s="133" t="s">
        <v>94</v>
      </c>
      <c r="E46" s="175" t="s">
        <v>222</v>
      </c>
      <c r="F46" s="146"/>
      <c r="H46" s="176"/>
      <c r="K46" s="107" t="s">
        <v>223</v>
      </c>
      <c r="L46" s="51"/>
      <c r="M46" s="51"/>
      <c r="N46" s="109">
        <f t="shared" si="15"/>
        <v>-6.3721030613151694E-2</v>
      </c>
      <c r="O46" s="109">
        <f>SUM(SAP_Speadsheet!$E$89:$P$89)</f>
        <v>-6.3721030613151694E-2</v>
      </c>
      <c r="P46" s="109">
        <f>SUM(SAP_Speadsheet!$Q$89:$AB$89)</f>
        <v>0</v>
      </c>
      <c r="Q46" s="109">
        <f>SUM(SAP_Speadsheet!$AC$89:$AN$89)</f>
        <v>0</v>
      </c>
      <c r="R46" s="109">
        <f>SUM(SAP_Speadsheet!$AO$89:$AZ$89)</f>
        <v>0</v>
      </c>
      <c r="S46" s="109">
        <f>SUM(SAP_Speadsheet!$BA$89:$BF$89)</f>
        <v>0</v>
      </c>
      <c r="T46" s="110">
        <f t="shared" si="16"/>
        <v>-7.323955944985327E-3</v>
      </c>
      <c r="U46" s="110">
        <f t="shared" si="14"/>
        <v>-4.2945779305976249E-3</v>
      </c>
      <c r="V46" s="147"/>
      <c r="W46" s="87"/>
      <c r="X46" s="149"/>
    </row>
    <row r="47" spans="1:24" s="51" customFormat="1" ht="11" x14ac:dyDescent="0.15">
      <c r="A47" s="52"/>
      <c r="C47" s="51" t="s">
        <v>96</v>
      </c>
      <c r="D47" s="84"/>
      <c r="E47" s="177"/>
      <c r="F47" s="146" t="s">
        <v>224</v>
      </c>
      <c r="G47" s="178"/>
      <c r="H47" s="139"/>
      <c r="K47" s="107" t="s">
        <v>225</v>
      </c>
      <c r="N47" s="109">
        <f t="shared" si="15"/>
        <v>-2.2808324500621074E-3</v>
      </c>
      <c r="O47" s="109">
        <f>SUM(SAP_Speadsheet!$E$90:$P$90)</f>
        <v>-2.2808324500621074E-3</v>
      </c>
      <c r="P47" s="109">
        <f>SUM(SAP_Speadsheet!$Q$90:$AB$90)</f>
        <v>0</v>
      </c>
      <c r="Q47" s="109">
        <f>SUM(SAP_Speadsheet!$AC$90:$AN$90)</f>
        <v>0</v>
      </c>
      <c r="R47" s="109">
        <f>SUM(SAP_Speadsheet!$AO$90:$AZ$90)</f>
        <v>0</v>
      </c>
      <c r="S47" s="109">
        <f>SUM(SAP_Speadsheet!$BA$90:$BF$90)</f>
        <v>0</v>
      </c>
      <c r="T47" s="110">
        <f t="shared" si="16"/>
        <v>-2.6215389521179607E-4</v>
      </c>
      <c r="U47" s="110">
        <f t="shared" si="14"/>
        <v>-1.5372024917321335E-4</v>
      </c>
      <c r="V47" s="147"/>
      <c r="W47" s="87"/>
      <c r="X47" s="149"/>
    </row>
    <row r="48" spans="1:24" s="51" customFormat="1" ht="11" x14ac:dyDescent="0.15">
      <c r="A48" s="52"/>
      <c r="C48" s="51" t="s">
        <v>99</v>
      </c>
      <c r="D48" s="84"/>
      <c r="E48" s="177"/>
      <c r="F48" s="146" t="s">
        <v>224</v>
      </c>
      <c r="G48" s="179"/>
      <c r="K48" s="170" t="s">
        <v>226</v>
      </c>
      <c r="N48" s="97">
        <f t="shared" si="15"/>
        <v>-0.1077635209672157</v>
      </c>
      <c r="O48" s="97">
        <f>SUM(O49:O51)</f>
        <v>-8.0036364945163418E-2</v>
      </c>
      <c r="P48" s="97">
        <f>SUM(P49:P51)</f>
        <v>-2.7727156022052286E-2</v>
      </c>
      <c r="Q48" s="97">
        <f>SUM(Q49:Q51)</f>
        <v>0</v>
      </c>
      <c r="R48" s="97">
        <f>SUM(R49:R51)</f>
        <v>0</v>
      </c>
      <c r="S48" s="97">
        <f>SUM(S49:S51)</f>
        <v>0</v>
      </c>
      <c r="T48" s="104">
        <f t="shared" si="16"/>
        <v>-1.2386103495907554E-2</v>
      </c>
      <c r="U48" s="104">
        <f t="shared" si="14"/>
        <v>-7.2628900445590033E-3</v>
      </c>
      <c r="V48" s="147"/>
      <c r="W48" s="87"/>
      <c r="X48" s="149"/>
    </row>
    <row r="49" spans="1:24" s="51" customFormat="1" ht="11" x14ac:dyDescent="0.15">
      <c r="A49" s="52"/>
      <c r="E49" s="176" t="s">
        <v>227</v>
      </c>
      <c r="F49" s="146"/>
      <c r="G49" s="179"/>
      <c r="K49" s="107" t="s">
        <v>228</v>
      </c>
      <c r="N49" s="109">
        <f t="shared" si="15"/>
        <v>-9.8760427482656316E-2</v>
      </c>
      <c r="O49" s="109">
        <f>SUM(SAP_Speadsheet!$E$96:$P$96)</f>
        <v>-7.2808000000000012E-2</v>
      </c>
      <c r="P49" s="109">
        <f>SUM(SAP_Speadsheet!$Q$96:$AB$96)</f>
        <v>-2.5952427482656304E-2</v>
      </c>
      <c r="Q49" s="109">
        <f>SUM(SAP_Speadsheet!$AC$96:$AN$96)</f>
        <v>0</v>
      </c>
      <c r="R49" s="109">
        <f>SUM(SAP_Speadsheet!$AO$96:$AZ$96)</f>
        <v>0</v>
      </c>
      <c r="S49" s="109">
        <f>SUM(SAP_Speadsheet!$BA$96:$BF$96)</f>
        <v>0</v>
      </c>
      <c r="T49" s="110">
        <f t="shared" si="16"/>
        <v>-1.1351307614312254E-2</v>
      </c>
      <c r="U49" s="110">
        <f t="shared" si="14"/>
        <v>-6.6561125613034851E-3</v>
      </c>
      <c r="V49" s="147"/>
      <c r="W49" s="87"/>
      <c r="X49" s="149"/>
    </row>
    <row r="50" spans="1:24" s="51" customFormat="1" ht="11" x14ac:dyDescent="0.15">
      <c r="A50" s="52"/>
      <c r="C50" s="51" t="s">
        <v>101</v>
      </c>
      <c r="D50" s="163"/>
      <c r="E50" s="177"/>
      <c r="F50" s="146" t="s">
        <v>224</v>
      </c>
      <c r="G50" s="179"/>
      <c r="K50" s="107" t="s">
        <v>229</v>
      </c>
      <c r="N50" s="109">
        <f t="shared" si="15"/>
        <v>0</v>
      </c>
      <c r="O50" s="109">
        <f>SUM(SAP_Speadsheet!$E$97:$P$97)</f>
        <v>0</v>
      </c>
      <c r="P50" s="109">
        <f>SUM(SAP_Speadsheet!$Q$97:$AB$97)</f>
        <v>0</v>
      </c>
      <c r="Q50" s="109">
        <f>SUM(SAP_Speadsheet!$AC$97:$AN$97)</f>
        <v>0</v>
      </c>
      <c r="R50" s="109">
        <f>SUM(SAP_Speadsheet!$AO$97:$AZ$97)</f>
        <v>0</v>
      </c>
      <c r="S50" s="109">
        <f>SUM(SAP_Speadsheet!$BA$97:$BF$97)</f>
        <v>0</v>
      </c>
      <c r="T50" s="110">
        <f t="shared" si="16"/>
        <v>0</v>
      </c>
      <c r="U50" s="110">
        <f t="shared" si="14"/>
        <v>0</v>
      </c>
      <c r="V50" s="147"/>
      <c r="W50" s="87"/>
      <c r="X50" s="149"/>
    </row>
    <row r="51" spans="1:24" s="51" customFormat="1" ht="11" x14ac:dyDescent="0.15">
      <c r="A51" s="52"/>
      <c r="C51" s="51" t="s">
        <v>103</v>
      </c>
      <c r="E51" s="177"/>
      <c r="F51" s="146" t="s">
        <v>224</v>
      </c>
      <c r="G51" s="179"/>
      <c r="I51" s="180"/>
      <c r="J51" s="147"/>
      <c r="K51" s="107" t="s">
        <v>134</v>
      </c>
      <c r="L51" s="139"/>
      <c r="N51" s="109">
        <f t="shared" si="15"/>
        <v>-9.0030934845593911E-3</v>
      </c>
      <c r="O51" s="109">
        <f>SUM(SAP_Speadsheet!$E$99:$P$99)</f>
        <v>-7.2283649451634078E-3</v>
      </c>
      <c r="P51" s="109">
        <f>SUM(SAP_Speadsheet!$Q$99:$AB$99)</f>
        <v>-1.7747285393959833E-3</v>
      </c>
      <c r="Q51" s="109">
        <f>SUM(SAP_Speadsheet!$AC$99:$AN$99)</f>
        <v>0</v>
      </c>
      <c r="R51" s="109">
        <f>SUM(SAP_Speadsheet!$AO$99:$AZ$99)</f>
        <v>0</v>
      </c>
      <c r="S51" s="109">
        <f>SUM(SAP_Speadsheet!$BA$99:$BF$99)</f>
        <v>0</v>
      </c>
      <c r="T51" s="110">
        <f t="shared" si="16"/>
        <v>-1.0347958815953003E-3</v>
      </c>
      <c r="U51" s="110">
        <f t="shared" si="14"/>
        <v>-6.0677748325551836E-4</v>
      </c>
      <c r="V51" s="147"/>
      <c r="W51" s="87"/>
      <c r="X51" s="149"/>
    </row>
    <row r="52" spans="1:24" s="51" customFormat="1" ht="11" x14ac:dyDescent="0.15">
      <c r="A52" s="52"/>
      <c r="C52" s="51" t="s">
        <v>105</v>
      </c>
      <c r="E52" s="177"/>
      <c r="F52" s="146" t="s">
        <v>224</v>
      </c>
      <c r="G52" s="178"/>
      <c r="H52" s="176"/>
      <c r="I52" s="180"/>
      <c r="J52" s="147"/>
      <c r="K52" s="170" t="s">
        <v>230</v>
      </c>
      <c r="N52" s="97">
        <f t="shared" ref="N52:N57" si="17">SUM(O52:S52)</f>
        <v>-0.64470684512062448</v>
      </c>
      <c r="O52" s="97">
        <f>SUM(O53:O56)</f>
        <v>-0.51686155653173338</v>
      </c>
      <c r="P52" s="97">
        <f>SUM(P53:P56)</f>
        <v>-0.1278452885888911</v>
      </c>
      <c r="Q52" s="97">
        <f>SUM(Q53:Q56)</f>
        <v>0</v>
      </c>
      <c r="R52" s="97">
        <f>SUM(R53:R56)</f>
        <v>0</v>
      </c>
      <c r="S52" s="97">
        <f>SUM(S53:S56)</f>
        <v>0</v>
      </c>
      <c r="T52" s="104">
        <f t="shared" si="16"/>
        <v>-7.4101195251530916E-2</v>
      </c>
      <c r="U52" s="104">
        <f t="shared" si="14"/>
        <v>-4.3451020206644306E-2</v>
      </c>
      <c r="V52" s="147"/>
      <c r="W52" s="87"/>
      <c r="X52" s="149"/>
    </row>
    <row r="53" spans="1:24" s="51" customFormat="1" ht="11" x14ac:dyDescent="0.15">
      <c r="A53" s="52"/>
      <c r="C53" s="51" t="s">
        <v>107</v>
      </c>
      <c r="E53" s="177"/>
      <c r="F53" s="146" t="s">
        <v>224</v>
      </c>
      <c r="G53" s="178"/>
      <c r="H53" s="176"/>
      <c r="I53" s="180"/>
      <c r="J53" s="147"/>
      <c r="K53" s="107" t="s">
        <v>139</v>
      </c>
      <c r="N53" s="109">
        <f t="shared" si="17"/>
        <v>-0.10304644722147453</v>
      </c>
      <c r="O53" s="109">
        <f>SUM(SAP_Speadsheet!$E$104:$P$104)</f>
        <v>-8.2612349332185808E-2</v>
      </c>
      <c r="P53" s="109">
        <f>SUM(SAP_Speadsheet!$Q$104:$AB$104)</f>
        <v>-2.0434097889288728E-2</v>
      </c>
      <c r="Q53" s="109">
        <f>SUM(SAP_Speadsheet!$AC$104:$AN$104)</f>
        <v>0</v>
      </c>
      <c r="R53" s="109">
        <f>SUM(SAP_Speadsheet!$AO$104:$AZ$104)</f>
        <v>0</v>
      </c>
      <c r="S53" s="109">
        <f>SUM(SAP_Speadsheet!$BA$104:$BF$104)</f>
        <v>0</v>
      </c>
      <c r="T53" s="110">
        <f t="shared" si="16"/>
        <v>-1.1843933352540085E-2</v>
      </c>
      <c r="U53" s="110">
        <f>N53/$E$10</f>
        <v>-6.9449755254350713E-3</v>
      </c>
      <c r="V53" s="147"/>
      <c r="W53" s="87"/>
      <c r="X53" s="149"/>
    </row>
    <row r="54" spans="1:24" s="51" customFormat="1" ht="11" x14ac:dyDescent="0.15">
      <c r="A54" s="52"/>
      <c r="C54" s="51" t="s">
        <v>109</v>
      </c>
      <c r="E54" s="177"/>
      <c r="F54" s="146" t="s">
        <v>224</v>
      </c>
      <c r="I54" s="180"/>
      <c r="J54" s="147"/>
      <c r="K54" s="107" t="s">
        <v>231</v>
      </c>
      <c r="N54" s="109">
        <f t="shared" si="17"/>
        <v>-0.2760684708303115</v>
      </c>
      <c r="O54" s="109">
        <f>SUM(SAP_Speadsheet!$E$105:$P$105)</f>
        <v>-0.22132412680680183</v>
      </c>
      <c r="P54" s="109">
        <f>SUM(SAP_Speadsheet!$Q$105:$AB$105)</f>
        <v>-5.4744344023509688E-2</v>
      </c>
      <c r="Q54" s="109">
        <f>SUM(SAP_Speadsheet!$AC$105:$AN$105)</f>
        <v>0</v>
      </c>
      <c r="R54" s="109">
        <f>SUM(SAP_Speadsheet!$AO$105:$AZ$105)</f>
        <v>0</v>
      </c>
      <c r="S54" s="109">
        <f>SUM(SAP_Speadsheet!$BA$105:$BF$105)</f>
        <v>0</v>
      </c>
      <c r="T54" s="110">
        <f t="shared" si="16"/>
        <v>-3.1730706467000484E-2</v>
      </c>
      <c r="U54" s="110">
        <f>N54/$E$10</f>
        <v>-1.8606063818386965E-2</v>
      </c>
      <c r="V54" s="147"/>
      <c r="W54" s="87"/>
      <c r="X54" s="149"/>
    </row>
    <row r="55" spans="1:24" s="51" customFormat="1" ht="11" x14ac:dyDescent="0.15">
      <c r="A55" s="52"/>
      <c r="C55" s="51" t="s">
        <v>232</v>
      </c>
      <c r="E55" s="177"/>
      <c r="F55" s="146" t="s">
        <v>233</v>
      </c>
      <c r="J55" s="147"/>
      <c r="K55" s="107" t="s">
        <v>143</v>
      </c>
      <c r="N55" s="109">
        <f t="shared" si="17"/>
        <v>-0.13243889850431567</v>
      </c>
      <c r="O55" s="109">
        <f>SUM(SAP_Speadsheet!$E$106:$P$106)</f>
        <v>-0.106176281118097</v>
      </c>
      <c r="P55" s="109">
        <f>SUM(SAP_Speadsheet!$Q$106:$AB$106)</f>
        <v>-2.626261738621866E-2</v>
      </c>
      <c r="Q55" s="109">
        <f>SUM(SAP_Speadsheet!$AC$106:$AN$106)</f>
        <v>0</v>
      </c>
      <c r="R55" s="109">
        <f>SUM(SAP_Speadsheet!$AO$106:$AZ$106)</f>
        <v>0</v>
      </c>
      <c r="S55" s="109">
        <f>SUM(SAP_Speadsheet!$BA$106:$BF$106)</f>
        <v>0</v>
      </c>
      <c r="T55" s="110">
        <f t="shared" si="16"/>
        <v>-1.5222237442088593E-2</v>
      </c>
      <c r="U55" s="110">
        <f>N55/$E$10</f>
        <v>-8.9259254785483931E-3</v>
      </c>
      <c r="V55" s="147"/>
      <c r="W55" s="87"/>
      <c r="X55" s="149"/>
    </row>
    <row r="56" spans="1:24" s="51" customFormat="1" ht="11" x14ac:dyDescent="0.15">
      <c r="A56" s="52"/>
      <c r="C56" s="51" t="s">
        <v>111</v>
      </c>
      <c r="D56" s="84"/>
      <c r="E56" s="167"/>
      <c r="F56" s="146" t="s">
        <v>234</v>
      </c>
      <c r="J56" s="147"/>
      <c r="K56" s="107" t="s">
        <v>235</v>
      </c>
      <c r="N56" s="109">
        <f t="shared" si="17"/>
        <v>-0.13315302856452274</v>
      </c>
      <c r="O56" s="109">
        <f>SUM(SAP_Speadsheet!$E$107:$P$107)</f>
        <v>-0.10674879927464873</v>
      </c>
      <c r="P56" s="109">
        <f>SUM(SAP_Speadsheet!$Q$107:$AB$107)</f>
        <v>-2.6404229289874022E-2</v>
      </c>
      <c r="Q56" s="109">
        <f>SUM(SAP_Speadsheet!$AC$107:$AN$107)</f>
        <v>0</v>
      </c>
      <c r="R56" s="109">
        <f>SUM(SAP_Speadsheet!$AO$107:$AZ$107)</f>
        <v>0</v>
      </c>
      <c r="S56" s="109">
        <f>SUM(SAP_Speadsheet!$BA$107:$BF$107)</f>
        <v>0</v>
      </c>
      <c r="T56" s="110">
        <f t="shared" si="16"/>
        <v>-1.5304317989901749E-2</v>
      </c>
      <c r="U56" s="110">
        <f>N56/$E$10</f>
        <v>-8.9740553842738765E-3</v>
      </c>
      <c r="V56" s="147"/>
      <c r="W56" s="87"/>
      <c r="X56" s="149"/>
    </row>
    <row r="57" spans="1:24" s="51" customFormat="1" ht="11" x14ac:dyDescent="0.15">
      <c r="A57" s="52"/>
      <c r="E57" s="169">
        <v>0.02</v>
      </c>
      <c r="F57" s="146" t="s">
        <v>236</v>
      </c>
      <c r="J57" s="147"/>
      <c r="K57" s="50" t="s">
        <v>203</v>
      </c>
      <c r="L57" s="139"/>
      <c r="N57" s="97">
        <f t="shared" si="17"/>
        <v>0.16874568084099922</v>
      </c>
      <c r="O57" s="97">
        <f>SUM(SAP_Speadsheet!$E$189:$P$189)</f>
        <v>0.31338457391075486</v>
      </c>
      <c r="P57" s="97">
        <f>SUM(SAP_Speadsheet!$Q$189:$AB$189)</f>
        <v>-0.14463889306975564</v>
      </c>
      <c r="Q57" s="97">
        <f>SUM(SAP_Speadsheet!$AC$189:$AN$189)</f>
        <v>0</v>
      </c>
      <c r="R57" s="97">
        <f>SUM(SAP_Speadsheet!$AO$189:$AZ$189)</f>
        <v>0</v>
      </c>
      <c r="S57" s="97">
        <f>SUM(SAP_Speadsheet!$BA$189:$BF$189)</f>
        <v>0</v>
      </c>
      <c r="T57" s="104">
        <f t="shared" si="16"/>
        <v>1.939525962612024E-2</v>
      </c>
      <c r="U57" s="104">
        <f>N57/$E$10</f>
        <v>1.1372877523325133E-2</v>
      </c>
      <c r="V57" s="147"/>
      <c r="W57" s="87"/>
      <c r="X57" s="149"/>
    </row>
    <row r="58" spans="1:24" s="51" customFormat="1" ht="11" x14ac:dyDescent="0.15">
      <c r="A58" s="52"/>
      <c r="F58" s="146"/>
      <c r="J58" s="147"/>
      <c r="V58" s="147"/>
      <c r="W58" s="87"/>
      <c r="X58" s="149"/>
    </row>
    <row r="59" spans="1:24" s="51" customFormat="1" ht="11" x14ac:dyDescent="0.15">
      <c r="A59" s="52"/>
      <c r="C59" s="133" t="s">
        <v>116</v>
      </c>
      <c r="F59" s="146"/>
      <c r="J59" s="147"/>
      <c r="N59" s="87"/>
      <c r="V59" s="147"/>
      <c r="W59" s="87"/>
      <c r="X59" s="149"/>
    </row>
    <row r="60" spans="1:24" s="51" customFormat="1" ht="11" x14ac:dyDescent="0.15">
      <c r="A60" s="52"/>
      <c r="C60" s="181"/>
      <c r="D60" s="84"/>
      <c r="E60" s="182"/>
      <c r="F60" s="146"/>
      <c r="G60" s="178"/>
      <c r="H60" s="176"/>
      <c r="I60" s="183"/>
      <c r="J60" s="84"/>
      <c r="V60" s="84"/>
    </row>
    <row r="61" spans="1:24" s="51" customFormat="1" ht="11.25" customHeight="1" x14ac:dyDescent="0.15">
      <c r="A61" s="52"/>
      <c r="C61" s="51" t="s">
        <v>116</v>
      </c>
      <c r="D61" s="84"/>
      <c r="E61" s="167">
        <f>DATA!D64</f>
        <v>0</v>
      </c>
      <c r="F61" s="146" t="s">
        <v>234</v>
      </c>
      <c r="G61" s="178"/>
      <c r="H61" s="179"/>
      <c r="I61" s="183"/>
      <c r="J61" s="84"/>
      <c r="V61" s="84"/>
    </row>
    <row r="62" spans="1:24" s="51" customFormat="1" ht="11.25" customHeight="1" x14ac:dyDescent="0.15">
      <c r="A62" s="52"/>
      <c r="C62" s="184"/>
      <c r="F62" s="146"/>
      <c r="I62" s="155"/>
      <c r="J62" s="84"/>
      <c r="V62" s="84"/>
    </row>
    <row r="63" spans="1:24" s="139" customFormat="1" ht="11.25" customHeight="1" x14ac:dyDescent="0.15">
      <c r="A63" s="52"/>
      <c r="B63" s="50" t="s">
        <v>118</v>
      </c>
      <c r="C63" s="51" t="s">
        <v>119</v>
      </c>
      <c r="D63" s="84"/>
      <c r="E63" s="185">
        <f>DATA!D65*Leadsheet!E66*Leadsheet!E67</f>
        <v>1.64243505246623E-2</v>
      </c>
      <c r="F63" s="146" t="s">
        <v>237</v>
      </c>
      <c r="G63" s="186"/>
      <c r="H63" s="179"/>
      <c r="I63" s="183"/>
      <c r="J63" s="163"/>
      <c r="V63" s="163"/>
    </row>
    <row r="64" spans="1:24" s="51" customFormat="1" ht="11.25" customHeight="1" x14ac:dyDescent="0.15">
      <c r="A64" s="52" t="s">
        <v>238</v>
      </c>
      <c r="B64" s="50"/>
      <c r="C64" s="51" t="s">
        <v>121</v>
      </c>
      <c r="D64" s="84"/>
      <c r="E64" s="185"/>
      <c r="F64" s="146" t="s">
        <v>239</v>
      </c>
      <c r="G64" s="186"/>
      <c r="I64" s="183"/>
      <c r="J64" s="84"/>
      <c r="V64" s="84"/>
    </row>
    <row r="65" spans="1:33" s="51" customFormat="1" ht="11.25" customHeight="1" x14ac:dyDescent="0.15">
      <c r="A65" s="52"/>
      <c r="C65" s="51" t="s">
        <v>123</v>
      </c>
      <c r="D65" s="84"/>
      <c r="E65" s="185">
        <f>DATA!D69</f>
        <v>2.2808324500621074E-3</v>
      </c>
      <c r="F65" s="146" t="s">
        <v>239</v>
      </c>
      <c r="G65" s="179"/>
      <c r="H65" s="179"/>
      <c r="I65" s="155"/>
      <c r="V65" s="84"/>
    </row>
    <row r="66" spans="1:33" s="51" customFormat="1" ht="11.25" customHeight="1" x14ac:dyDescent="0.15">
      <c r="A66" s="52" t="s">
        <v>240</v>
      </c>
      <c r="C66" s="51" t="s">
        <v>125</v>
      </c>
      <c r="D66" s="84"/>
      <c r="E66" s="187">
        <f>DATA!E7</f>
        <v>0.36099999999999999</v>
      </c>
      <c r="F66" s="146" t="s">
        <v>241</v>
      </c>
      <c r="G66" s="188"/>
      <c r="H66" s="179"/>
      <c r="I66" s="183"/>
      <c r="J66" s="84"/>
      <c r="V66" s="84"/>
    </row>
    <row r="67" spans="1:33" s="51" customFormat="1" ht="11.25" customHeight="1" x14ac:dyDescent="0.15">
      <c r="A67" s="52" t="s">
        <v>242</v>
      </c>
      <c r="C67" s="51" t="s">
        <v>128</v>
      </c>
      <c r="D67" s="84"/>
      <c r="E67" s="187">
        <f>DATA!E8</f>
        <v>0.71399999999999997</v>
      </c>
      <c r="F67" s="146" t="s">
        <v>243</v>
      </c>
      <c r="G67" s="189"/>
      <c r="H67" s="179"/>
      <c r="I67" s="155"/>
      <c r="J67" s="84"/>
      <c r="V67" s="84"/>
    </row>
    <row r="68" spans="1:33" s="51" customFormat="1" ht="11.25" customHeight="1" x14ac:dyDescent="0.15">
      <c r="A68" s="52" t="s">
        <v>244</v>
      </c>
      <c r="F68" s="146"/>
      <c r="H68" s="188"/>
      <c r="I68" s="84"/>
      <c r="J68" s="84"/>
      <c r="V68" s="84"/>
      <c r="W68" s="190"/>
      <c r="X68" s="191"/>
      <c r="Y68" s="191"/>
      <c r="Z68" s="191"/>
      <c r="AA68" s="191"/>
      <c r="AB68" s="191"/>
      <c r="AC68" s="191"/>
      <c r="AD68" s="191"/>
      <c r="AE68" s="191"/>
      <c r="AF68" s="191"/>
      <c r="AG68" s="191"/>
    </row>
    <row r="69" spans="1:33" s="51" customFormat="1" ht="11" x14ac:dyDescent="0.15">
      <c r="A69" s="52" t="s">
        <v>245</v>
      </c>
      <c r="F69" s="146"/>
      <c r="H69" s="188"/>
      <c r="I69" s="84"/>
      <c r="V69" s="84"/>
      <c r="W69" s="191"/>
      <c r="X69" s="117"/>
      <c r="Y69" s="117"/>
      <c r="Z69" s="117"/>
      <c r="AA69" s="117"/>
      <c r="AB69" s="117"/>
      <c r="AC69" s="117"/>
      <c r="AD69" s="117"/>
      <c r="AE69" s="117"/>
      <c r="AF69" s="117"/>
      <c r="AG69" s="116"/>
    </row>
    <row r="70" spans="1:33" s="51" customFormat="1" ht="11" x14ac:dyDescent="0.15">
      <c r="A70" s="52"/>
      <c r="D70" s="84"/>
      <c r="E70" s="192"/>
      <c r="F70" s="146"/>
      <c r="H70" s="179"/>
      <c r="J70" s="84"/>
      <c r="K70" s="50"/>
      <c r="L70" s="50"/>
      <c r="M70" s="50"/>
      <c r="N70" s="193"/>
      <c r="O70" s="193"/>
      <c r="P70" s="193"/>
      <c r="Q70" s="193"/>
      <c r="R70" s="193"/>
      <c r="S70" s="193"/>
      <c r="T70" s="194"/>
      <c r="U70" s="195"/>
      <c r="V70" s="84"/>
      <c r="W70" s="191"/>
      <c r="X70" s="117"/>
      <c r="Y70" s="117"/>
      <c r="Z70" s="117"/>
      <c r="AA70" s="117"/>
      <c r="AB70" s="117"/>
      <c r="AC70" s="117"/>
      <c r="AD70" s="117"/>
      <c r="AE70" s="117"/>
      <c r="AF70" s="117"/>
      <c r="AG70" s="116"/>
    </row>
    <row r="71" spans="1:33" s="51" customFormat="1" ht="11" x14ac:dyDescent="0.15">
      <c r="A71" s="84"/>
      <c r="B71" s="50" t="s">
        <v>131</v>
      </c>
      <c r="C71" s="51" t="s">
        <v>132</v>
      </c>
      <c r="D71" s="84"/>
      <c r="E71" s="196">
        <f>DATA!D66</f>
        <v>8.0000000000000002E-3</v>
      </c>
      <c r="F71" s="146" t="s">
        <v>246</v>
      </c>
      <c r="G71" s="186"/>
      <c r="H71" s="179"/>
      <c r="I71" s="84"/>
      <c r="J71" s="84"/>
      <c r="K71" s="50"/>
      <c r="L71" s="50"/>
      <c r="M71" s="50"/>
      <c r="N71" s="193"/>
      <c r="O71" s="193"/>
      <c r="P71" s="193"/>
      <c r="Q71" s="193"/>
      <c r="R71" s="193"/>
      <c r="S71" s="193"/>
      <c r="T71" s="194"/>
      <c r="U71" s="195"/>
      <c r="V71" s="84"/>
      <c r="W71" s="191"/>
      <c r="X71" s="117"/>
      <c r="Y71" s="117"/>
      <c r="Z71" s="117"/>
      <c r="AA71" s="117"/>
      <c r="AB71" s="117"/>
      <c r="AC71" s="117"/>
      <c r="AD71" s="117"/>
      <c r="AE71" s="117"/>
      <c r="AF71" s="117"/>
      <c r="AG71" s="116"/>
    </row>
    <row r="72" spans="1:33" s="51" customFormat="1" ht="11" x14ac:dyDescent="0.15">
      <c r="A72" s="84"/>
      <c r="C72" s="181" t="s">
        <v>247</v>
      </c>
      <c r="D72" s="84"/>
      <c r="E72" s="197"/>
      <c r="F72" s="146" t="s">
        <v>246</v>
      </c>
      <c r="G72" s="186"/>
      <c r="H72" s="179"/>
      <c r="I72" s="84"/>
      <c r="J72" s="84"/>
      <c r="K72" s="50"/>
      <c r="L72" s="50"/>
      <c r="M72" s="50"/>
      <c r="N72" s="193"/>
      <c r="O72" s="193"/>
      <c r="P72" s="193"/>
      <c r="Q72" s="193"/>
      <c r="R72" s="193"/>
      <c r="S72" s="193"/>
      <c r="T72" s="194"/>
      <c r="U72" s="195"/>
      <c r="V72" s="84"/>
      <c r="W72" s="191"/>
      <c r="X72" s="117"/>
      <c r="Y72" s="117"/>
      <c r="Z72" s="117"/>
      <c r="AA72" s="117"/>
      <c r="AB72" s="117"/>
      <c r="AC72" s="117"/>
      <c r="AD72" s="117"/>
      <c r="AE72" s="117"/>
      <c r="AF72" s="117"/>
      <c r="AG72" s="116"/>
    </row>
    <row r="73" spans="1:33" s="51" customFormat="1" ht="11" x14ac:dyDescent="0.15">
      <c r="A73" s="84"/>
      <c r="C73" s="181" t="s">
        <v>248</v>
      </c>
      <c r="D73" s="84"/>
      <c r="E73" s="198"/>
      <c r="F73" s="146" t="s">
        <v>249</v>
      </c>
      <c r="G73" s="186"/>
      <c r="H73" s="179"/>
      <c r="I73" s="84"/>
      <c r="J73" s="84"/>
      <c r="K73" s="50"/>
      <c r="L73" s="50"/>
      <c r="M73" s="50"/>
      <c r="N73" s="193"/>
      <c r="O73" s="193"/>
      <c r="P73" s="193"/>
      <c r="Q73" s="193"/>
      <c r="R73" s="193"/>
      <c r="S73" s="193"/>
      <c r="T73" s="194"/>
      <c r="U73" s="195"/>
      <c r="V73" s="84"/>
      <c r="W73" s="191"/>
      <c r="X73" s="117"/>
      <c r="Y73" s="117"/>
      <c r="Z73" s="117"/>
      <c r="AA73" s="117"/>
      <c r="AB73" s="117"/>
      <c r="AC73" s="117"/>
      <c r="AD73" s="117"/>
      <c r="AE73" s="117"/>
      <c r="AF73" s="117"/>
      <c r="AG73" s="116"/>
    </row>
    <row r="74" spans="1:33" s="51" customFormat="1" ht="11" x14ac:dyDescent="0.15">
      <c r="A74" s="84"/>
      <c r="C74" s="181" t="s">
        <v>250</v>
      </c>
      <c r="D74" s="84"/>
      <c r="E74" s="198"/>
      <c r="F74" s="146" t="s">
        <v>249</v>
      </c>
      <c r="G74" s="186"/>
      <c r="H74" s="179"/>
      <c r="I74" s="84"/>
      <c r="J74" s="84"/>
      <c r="K74" s="50"/>
      <c r="L74" s="50"/>
      <c r="M74" s="50"/>
      <c r="N74" s="193"/>
      <c r="O74" s="193"/>
      <c r="P74" s="193"/>
      <c r="Q74" s="193"/>
      <c r="R74" s="199"/>
      <c r="S74" s="193"/>
      <c r="T74" s="194"/>
      <c r="U74" s="140"/>
      <c r="V74" s="84"/>
      <c r="W74" s="191"/>
      <c r="X74" s="117"/>
      <c r="Y74" s="117"/>
      <c r="Z74" s="117"/>
      <c r="AA74" s="117"/>
      <c r="AB74" s="117"/>
      <c r="AC74" s="117"/>
      <c r="AD74" s="117"/>
      <c r="AE74" s="117"/>
      <c r="AF74" s="117"/>
      <c r="AG74" s="116"/>
    </row>
    <row r="75" spans="1:33" s="51" customFormat="1" ht="11" x14ac:dyDescent="0.15">
      <c r="A75" s="52"/>
      <c r="C75" s="181" t="s">
        <v>251</v>
      </c>
      <c r="D75" s="84"/>
      <c r="E75" s="198"/>
      <c r="F75" s="146" t="s">
        <v>249</v>
      </c>
      <c r="G75" s="186"/>
      <c r="H75" s="179"/>
      <c r="I75" s="84"/>
      <c r="J75" s="84"/>
      <c r="K75" s="50"/>
      <c r="L75" s="50"/>
      <c r="M75" s="50"/>
      <c r="N75" s="193"/>
      <c r="O75" s="193"/>
      <c r="P75" s="193"/>
      <c r="Q75" s="193"/>
      <c r="R75" s="199"/>
      <c r="S75" s="193"/>
      <c r="T75" s="194"/>
      <c r="U75" s="140"/>
      <c r="V75" s="84"/>
      <c r="W75" s="191"/>
      <c r="X75" s="117"/>
      <c r="Y75" s="117"/>
      <c r="Z75" s="117"/>
      <c r="AA75" s="117"/>
      <c r="AB75" s="117"/>
      <c r="AC75" s="117"/>
      <c r="AD75" s="117"/>
      <c r="AE75" s="117"/>
      <c r="AF75" s="117"/>
      <c r="AG75" s="116"/>
    </row>
    <row r="76" spans="1:33" s="51" customFormat="1" ht="11" x14ac:dyDescent="0.15">
      <c r="A76" s="52"/>
      <c r="F76" s="146"/>
      <c r="I76" s="84"/>
      <c r="J76" s="84"/>
      <c r="K76" s="50"/>
      <c r="L76" s="50"/>
      <c r="M76" s="50"/>
      <c r="N76" s="193"/>
      <c r="O76" s="193"/>
      <c r="P76" s="193"/>
      <c r="Q76" s="193"/>
      <c r="R76" s="199"/>
      <c r="S76" s="193"/>
      <c r="T76" s="194"/>
      <c r="U76" s="140"/>
      <c r="V76" s="84"/>
    </row>
    <row r="77" spans="1:33" s="51" customFormat="1" ht="11" x14ac:dyDescent="0.15">
      <c r="A77" s="52"/>
      <c r="B77" s="50" t="s">
        <v>134</v>
      </c>
      <c r="F77" s="146"/>
      <c r="I77" s="84"/>
      <c r="J77" s="84"/>
      <c r="K77" s="50"/>
      <c r="L77" s="50"/>
      <c r="M77" s="50"/>
      <c r="N77" s="193"/>
      <c r="O77" s="193"/>
      <c r="P77" s="193"/>
      <c r="Q77" s="193"/>
      <c r="R77" s="199"/>
      <c r="S77" s="193"/>
      <c r="T77" s="194"/>
      <c r="U77" s="140"/>
      <c r="V77" s="84"/>
    </row>
    <row r="78" spans="1:33" s="51" customFormat="1" ht="11" x14ac:dyDescent="0.15">
      <c r="A78" s="52"/>
      <c r="C78" s="51" t="s">
        <v>135</v>
      </c>
      <c r="E78" s="196">
        <f>DATA!D67</f>
        <v>8.3516637148046307E-4</v>
      </c>
      <c r="F78" s="146" t="s">
        <v>246</v>
      </c>
      <c r="I78" s="84"/>
      <c r="J78" s="84"/>
      <c r="U78" s="140"/>
      <c r="V78" s="84"/>
      <c r="W78" s="190"/>
      <c r="X78" s="200"/>
      <c r="Y78" s="200"/>
      <c r="Z78" s="200"/>
      <c r="AA78" s="200"/>
      <c r="AB78" s="200"/>
      <c r="AC78" s="200"/>
      <c r="AD78" s="200"/>
      <c r="AE78" s="200"/>
      <c r="AF78" s="200"/>
    </row>
    <row r="79" spans="1:33" s="51" customFormat="1" ht="11" x14ac:dyDescent="0.15">
      <c r="A79" s="52" t="s">
        <v>252</v>
      </c>
      <c r="F79" s="146"/>
      <c r="I79" s="84"/>
      <c r="J79" s="84"/>
      <c r="U79" s="140"/>
      <c r="V79" s="84"/>
      <c r="W79" s="200"/>
      <c r="X79" s="117"/>
      <c r="Y79" s="117"/>
      <c r="Z79" s="117"/>
      <c r="AA79" s="117"/>
      <c r="AB79" s="117"/>
      <c r="AC79" s="117"/>
      <c r="AD79" s="117"/>
      <c r="AE79" s="117"/>
      <c r="AF79" s="117"/>
    </row>
    <row r="80" spans="1:33" s="51" customFormat="1" ht="11" x14ac:dyDescent="0.15">
      <c r="A80" s="52" t="s">
        <v>253</v>
      </c>
      <c r="F80" s="146"/>
      <c r="L80" s="186"/>
      <c r="U80" s="140"/>
      <c r="V80" s="84"/>
      <c r="W80" s="200"/>
      <c r="X80" s="117"/>
      <c r="Y80" s="117"/>
      <c r="Z80" s="117"/>
      <c r="AA80" s="117"/>
      <c r="AB80" s="117"/>
      <c r="AC80" s="117"/>
      <c r="AD80" s="117"/>
      <c r="AE80" s="117"/>
      <c r="AF80" s="117"/>
    </row>
    <row r="81" spans="1:32" s="51" customFormat="1" ht="11" x14ac:dyDescent="0.15">
      <c r="A81" s="52" t="s">
        <v>254</v>
      </c>
      <c r="B81" s="50" t="s">
        <v>137</v>
      </c>
      <c r="C81" s="51" t="s">
        <v>139</v>
      </c>
      <c r="D81" s="84"/>
      <c r="E81" s="201">
        <v>9.077282642806923E-3</v>
      </c>
      <c r="F81" s="146" t="s">
        <v>246</v>
      </c>
      <c r="L81" s="186"/>
      <c r="U81" s="140"/>
      <c r="V81" s="84"/>
      <c r="W81" s="200"/>
      <c r="X81" s="117"/>
      <c r="Y81" s="117"/>
      <c r="Z81" s="117"/>
      <c r="AA81" s="117"/>
      <c r="AB81" s="117"/>
      <c r="AC81" s="117"/>
      <c r="AD81" s="117"/>
      <c r="AE81" s="117"/>
      <c r="AF81" s="117"/>
    </row>
    <row r="82" spans="1:32" s="51" customFormat="1" ht="11" x14ac:dyDescent="0.15">
      <c r="A82" s="52" t="s">
        <v>125</v>
      </c>
      <c r="B82" s="50"/>
      <c r="C82" s="51" t="s">
        <v>141</v>
      </c>
      <c r="E82" s="201">
        <v>2.4318660235886368E-2</v>
      </c>
      <c r="F82" s="146" t="s">
        <v>246</v>
      </c>
      <c r="G82" s="186"/>
      <c r="I82" s="84"/>
      <c r="J82" s="84"/>
      <c r="U82" s="140"/>
      <c r="V82" s="84"/>
      <c r="W82" s="200"/>
      <c r="X82" s="117"/>
      <c r="Y82" s="117"/>
      <c r="Z82" s="117"/>
      <c r="AA82" s="117"/>
      <c r="AB82" s="117"/>
      <c r="AC82" s="117"/>
      <c r="AD82" s="117"/>
      <c r="AE82" s="117"/>
      <c r="AF82" s="117"/>
    </row>
    <row r="83" spans="1:32" s="51" customFormat="1" ht="11" x14ac:dyDescent="0.15">
      <c r="A83" s="52"/>
      <c r="B83" s="50"/>
      <c r="C83" s="51" t="s">
        <v>143</v>
      </c>
      <c r="D83" s="84"/>
      <c r="E83" s="201">
        <v>1.1666441173288321E-2</v>
      </c>
      <c r="F83" s="146" t="s">
        <v>246</v>
      </c>
      <c r="G83" s="186"/>
      <c r="I83" s="84"/>
      <c r="J83" s="84"/>
      <c r="U83" s="88"/>
      <c r="V83" s="84"/>
      <c r="W83" s="200"/>
      <c r="X83" s="117"/>
      <c r="Y83" s="117"/>
      <c r="Z83" s="117"/>
      <c r="AA83" s="117"/>
      <c r="AB83" s="117"/>
      <c r="AC83" s="117"/>
      <c r="AD83" s="117"/>
      <c r="AE83" s="117"/>
      <c r="AF83" s="117"/>
    </row>
    <row r="84" spans="1:32" s="51" customFormat="1" ht="11" x14ac:dyDescent="0.15">
      <c r="A84" s="52"/>
      <c r="B84" s="50"/>
      <c r="C84" s="51" t="s">
        <v>145</v>
      </c>
      <c r="D84" s="84"/>
      <c r="E84" s="201">
        <v>1.1729348343550017E-2</v>
      </c>
      <c r="F84" s="146" t="s">
        <v>246</v>
      </c>
      <c r="G84" s="186"/>
      <c r="I84" s="84"/>
      <c r="J84" s="84"/>
      <c r="U84" s="88"/>
      <c r="V84" s="84"/>
      <c r="W84" s="200"/>
      <c r="X84" s="117"/>
      <c r="Y84" s="117"/>
      <c r="Z84" s="117"/>
      <c r="AA84" s="117"/>
      <c r="AB84" s="117"/>
      <c r="AC84" s="117"/>
      <c r="AD84" s="117"/>
      <c r="AE84" s="117"/>
      <c r="AF84" s="117"/>
    </row>
    <row r="85" spans="1:32" s="51" customFormat="1" ht="11" x14ac:dyDescent="0.15">
      <c r="A85" s="52"/>
      <c r="B85" s="50"/>
      <c r="I85" s="84"/>
      <c r="J85" s="84"/>
      <c r="U85" s="88"/>
      <c r="V85" s="84"/>
      <c r="W85" s="200"/>
      <c r="X85" s="117"/>
      <c r="Y85" s="117"/>
      <c r="Z85" s="117"/>
      <c r="AA85" s="117"/>
      <c r="AB85" s="117"/>
      <c r="AC85" s="117"/>
      <c r="AD85" s="117"/>
      <c r="AE85" s="117"/>
      <c r="AF85" s="117"/>
    </row>
    <row r="86" spans="1:32" s="51" customFormat="1" ht="11" x14ac:dyDescent="0.15">
      <c r="A86" s="52" t="s">
        <v>255</v>
      </c>
      <c r="I86" s="84"/>
      <c r="J86" s="84"/>
      <c r="U86" s="88"/>
      <c r="V86" s="84"/>
    </row>
    <row r="87" spans="1:32" s="51" customFormat="1" x14ac:dyDescent="0.15">
      <c r="A87" s="52"/>
      <c r="D87" s="84"/>
      <c r="J87" s="75"/>
      <c r="K87" s="68"/>
      <c r="L87" s="68"/>
      <c r="M87" s="68"/>
      <c r="N87" s="68"/>
      <c r="O87" s="68"/>
      <c r="P87" s="68"/>
      <c r="Q87" s="68"/>
      <c r="R87" s="68"/>
      <c r="S87" s="68"/>
      <c r="T87" s="91"/>
      <c r="U87" s="88"/>
      <c r="V87" s="84"/>
    </row>
    <row r="88" spans="1:32" s="51" customFormat="1" ht="14" thickBot="1" x14ac:dyDescent="0.2">
      <c r="A88" s="52"/>
      <c r="B88" s="45" t="s">
        <v>147</v>
      </c>
      <c r="C88" s="46"/>
      <c r="D88" s="44"/>
      <c r="E88" s="46"/>
      <c r="F88" s="46"/>
      <c r="G88" s="46"/>
      <c r="H88" s="46"/>
      <c r="I88" s="75"/>
      <c r="J88" s="155"/>
      <c r="L88" s="50"/>
      <c r="N88" s="50"/>
      <c r="P88" s="50"/>
      <c r="Q88" s="50"/>
      <c r="R88" s="50"/>
      <c r="S88" s="50"/>
      <c r="U88" s="88"/>
      <c r="V88" s="84"/>
    </row>
    <row r="89" spans="1:32" s="51" customFormat="1" ht="13" thickTop="1" x14ac:dyDescent="0.15">
      <c r="A89" s="52"/>
      <c r="B89" s="91"/>
      <c r="C89" s="91"/>
      <c r="D89" s="75"/>
      <c r="E89" s="91"/>
      <c r="F89" s="68"/>
      <c r="G89" s="91"/>
      <c r="H89" s="68"/>
    </row>
    <row r="90" spans="1:32" s="51" customFormat="1" ht="11" x14ac:dyDescent="0.15">
      <c r="A90" s="63"/>
      <c r="B90" s="202" t="s">
        <v>256</v>
      </c>
      <c r="C90" s="50"/>
      <c r="D90" s="203" t="s">
        <v>148</v>
      </c>
      <c r="E90" s="203" t="s">
        <v>150</v>
      </c>
      <c r="F90" s="203" t="s">
        <v>152</v>
      </c>
      <c r="G90" s="88"/>
      <c r="H90" s="204"/>
    </row>
    <row r="91" spans="1:32" s="51" customFormat="1" ht="11" x14ac:dyDescent="0.15">
      <c r="A91" s="52"/>
      <c r="B91" s="205"/>
      <c r="C91" s="50" t="s">
        <v>257</v>
      </c>
      <c r="D91" s="206">
        <f>DATA!D84</f>
        <v>0.05</v>
      </c>
      <c r="E91" s="207">
        <f>PRODUCT(D91:$D$104)</f>
        <v>2.589322600553114E-2</v>
      </c>
      <c r="F91" s="208">
        <f>E91*(1-$E$110)*(1-$E$111)*(1-$E$112)*(1-$E$113)</f>
        <v>2.4126792198891883E-2</v>
      </c>
      <c r="G91" s="65"/>
      <c r="H91" s="209"/>
    </row>
    <row r="92" spans="1:32" s="51" customFormat="1" ht="11" x14ac:dyDescent="0.15">
      <c r="A92" s="52"/>
      <c r="B92" s="205"/>
      <c r="C92" s="50" t="s">
        <v>258</v>
      </c>
      <c r="D92" s="206">
        <f>DATA!D85</f>
        <v>0.67100000000000004</v>
      </c>
      <c r="E92" s="207">
        <f>PRODUCT(D92:$D$104)</f>
        <v>0.51786452011062289</v>
      </c>
      <c r="F92" s="208">
        <f t="shared" ref="F92:F98" si="18">E92*(1-$E$110)*(1-$E$111)*(1-$E$112)*(1-$E$113)</f>
        <v>0.48253584397783778</v>
      </c>
      <c r="G92" s="65"/>
      <c r="H92" s="209"/>
    </row>
    <row r="93" spans="1:32" s="51" customFormat="1" ht="11" x14ac:dyDescent="0.15">
      <c r="A93" s="52"/>
      <c r="B93" s="205"/>
      <c r="C93" s="50" t="s">
        <v>259</v>
      </c>
      <c r="D93" s="206">
        <f>DATA!D86</f>
        <v>0.91</v>
      </c>
      <c r="E93" s="207">
        <f>PRODUCT(D93:$D$104)</f>
        <v>0.77178020880867781</v>
      </c>
      <c r="F93" s="208">
        <f t="shared" si="18"/>
        <v>0.71912942470616648</v>
      </c>
      <c r="G93" s="65"/>
      <c r="H93" s="209"/>
    </row>
    <row r="94" spans="1:32" s="51" customFormat="1" ht="11" x14ac:dyDescent="0.15">
      <c r="A94" s="52"/>
      <c r="B94" s="205"/>
      <c r="C94" s="50" t="s">
        <v>260</v>
      </c>
      <c r="D94" s="206">
        <f>DATA!D87</f>
        <v>0.95199999999999996</v>
      </c>
      <c r="E94" s="207">
        <f>PRODUCT(D94:$D$104)</f>
        <v>0.84811011956997562</v>
      </c>
      <c r="F94" s="208">
        <f t="shared" si="18"/>
        <v>0.79025211506172133</v>
      </c>
      <c r="G94" s="65"/>
      <c r="H94" s="209"/>
    </row>
    <row r="95" spans="1:32" s="51" customFormat="1" ht="11" x14ac:dyDescent="0.15">
      <c r="A95" s="52"/>
      <c r="B95" s="205"/>
      <c r="C95" s="50" t="s">
        <v>261</v>
      </c>
      <c r="D95" s="206">
        <f>DATA!D88</f>
        <v>0.96041088943187236</v>
      </c>
      <c r="E95" s="207">
        <f>PRODUCT(D95:$D$104)</f>
        <v>0.89087197433820964</v>
      </c>
      <c r="F95" s="208">
        <f t="shared" si="18"/>
        <v>0.83009675951861484</v>
      </c>
      <c r="G95" s="65"/>
      <c r="H95" s="209"/>
    </row>
    <row r="96" spans="1:32" s="51" customFormat="1" ht="11" x14ac:dyDescent="0.15">
      <c r="A96" s="52"/>
      <c r="B96" s="205"/>
      <c r="C96" s="50" t="s">
        <v>262</v>
      </c>
      <c r="D96" s="206">
        <f>DATA!D89</f>
        <v>0.94496136917032947</v>
      </c>
      <c r="E96" s="207">
        <f>PRODUCT(D96:$D$104)</f>
        <v>0.92759462032464235</v>
      </c>
      <c r="F96" s="208">
        <f t="shared" si="18"/>
        <v>0.86431418953366468</v>
      </c>
      <c r="G96" s="65"/>
      <c r="H96" s="209"/>
    </row>
    <row r="97" spans="1:22" s="51" customFormat="1" ht="11" x14ac:dyDescent="0.15">
      <c r="A97" s="52"/>
      <c r="B97" s="205"/>
      <c r="C97" s="50" t="s">
        <v>263</v>
      </c>
      <c r="D97" s="206">
        <f>DATA!D90</f>
        <v>0.98754205130312189</v>
      </c>
      <c r="E97" s="207">
        <f>PRODUCT(D97:$D$104)</f>
        <v>0.98162173670555974</v>
      </c>
      <c r="F97" s="208">
        <f t="shared" si="18"/>
        <v>0.91465558035724537</v>
      </c>
      <c r="G97" s="65"/>
      <c r="H97" s="209"/>
    </row>
    <row r="98" spans="1:22" s="51" customFormat="1" ht="11" x14ac:dyDescent="0.15">
      <c r="A98" s="52"/>
      <c r="B98" s="205"/>
      <c r="C98" s="50" t="s">
        <v>264</v>
      </c>
      <c r="D98" s="206">
        <f>DATA!D91</f>
        <v>0.995</v>
      </c>
      <c r="E98" s="207">
        <f>PRODUCT(D98:$D$104)</f>
        <v>0.99400500000000003</v>
      </c>
      <c r="F98" s="208">
        <f t="shared" si="18"/>
        <v>0.92619405842039992</v>
      </c>
      <c r="G98" s="65"/>
      <c r="H98" s="209"/>
    </row>
    <row r="99" spans="1:22" s="51" customFormat="1" ht="11" x14ac:dyDescent="0.15">
      <c r="A99" s="52"/>
      <c r="B99" s="205"/>
      <c r="C99" s="50" t="s">
        <v>265</v>
      </c>
      <c r="D99" s="206">
        <f>DATA!D92</f>
        <v>0.999</v>
      </c>
      <c r="E99" s="207">
        <f>PRODUCT(D99:$D$104)</f>
        <v>0.999</v>
      </c>
      <c r="F99" s="208">
        <f>E99*(1-$E$111)*(1-$E$112)*(1-$E$113)</f>
        <v>0.94984520399999994</v>
      </c>
      <c r="G99" s="65"/>
      <c r="H99" s="209"/>
    </row>
    <row r="100" spans="1:22" s="51" customFormat="1" ht="11" x14ac:dyDescent="0.15">
      <c r="A100" s="52"/>
      <c r="B100" s="205"/>
      <c r="C100" s="50" t="s">
        <v>266</v>
      </c>
      <c r="D100" s="206">
        <v>1</v>
      </c>
      <c r="E100" s="207">
        <f>PRODUCT(D100:$D$104)</f>
        <v>1</v>
      </c>
      <c r="F100" s="208">
        <f>E100*(1-$E$111)*(1-$E$112)*(1-$E$113)</f>
        <v>0.95079599999999986</v>
      </c>
      <c r="G100" s="65"/>
      <c r="H100" s="209"/>
    </row>
    <row r="101" spans="1:22" s="51" customFormat="1" ht="11" x14ac:dyDescent="0.15">
      <c r="A101" s="52"/>
      <c r="B101" s="205"/>
      <c r="C101" s="50" t="s">
        <v>267</v>
      </c>
      <c r="D101" s="206">
        <v>1</v>
      </c>
      <c r="E101" s="207">
        <f>PRODUCT(D101:$D$104)</f>
        <v>1</v>
      </c>
      <c r="F101" s="208">
        <f>E101*(1-$E$111)*(1-$E$112)*(1-$E$113)</f>
        <v>0.95079599999999986</v>
      </c>
      <c r="G101" s="65"/>
      <c r="H101" s="209"/>
    </row>
    <row r="102" spans="1:22" s="51" customFormat="1" ht="11" x14ac:dyDescent="0.15">
      <c r="A102" s="52"/>
      <c r="B102" s="205"/>
      <c r="C102" s="50" t="s">
        <v>268</v>
      </c>
      <c r="D102" s="206">
        <v>1</v>
      </c>
      <c r="E102" s="207">
        <f>PRODUCT(D102:$D$104)</f>
        <v>1</v>
      </c>
      <c r="F102" s="208">
        <f>E102*(1-$E$111)*(1-$E$112)*(1-$E$113)</f>
        <v>0.95079599999999986</v>
      </c>
      <c r="G102" s="65"/>
      <c r="H102" s="209"/>
    </row>
    <row r="103" spans="1:22" s="51" customFormat="1" ht="11" x14ac:dyDescent="0.15">
      <c r="A103" s="52"/>
      <c r="B103" s="205"/>
      <c r="C103" s="50" t="s">
        <v>269</v>
      </c>
      <c r="D103" s="206">
        <v>1</v>
      </c>
      <c r="E103" s="207">
        <f>PRODUCT(D103:$D$104)</f>
        <v>1</v>
      </c>
      <c r="F103" s="208">
        <f>E103*(1-$E$111)*(1-$E$112)*(1-$E$113)</f>
        <v>0.95079599999999986</v>
      </c>
      <c r="G103" s="65"/>
      <c r="H103" s="209"/>
    </row>
    <row r="104" spans="1:22" s="51" customFormat="1" ht="11" x14ac:dyDescent="0.15">
      <c r="A104" s="52"/>
      <c r="B104" s="205"/>
      <c r="C104" s="210" t="s">
        <v>270</v>
      </c>
      <c r="D104" s="207"/>
      <c r="E104" s="207"/>
      <c r="F104" s="208">
        <f>(1-$E$111)*(1-$E$112)*(1-$E$113)</f>
        <v>0.95079599999999986</v>
      </c>
      <c r="G104" s="65"/>
      <c r="H104" s="84"/>
      <c r="I104" s="84"/>
      <c r="J104" s="84"/>
      <c r="U104" s="65"/>
      <c r="V104" s="84"/>
    </row>
    <row r="105" spans="1:22" s="51" customFormat="1" ht="11" x14ac:dyDescent="0.15">
      <c r="A105" s="52"/>
      <c r="C105" s="210" t="s">
        <v>271</v>
      </c>
      <c r="D105" s="207"/>
      <c r="E105" s="207"/>
      <c r="F105" s="208">
        <f>(1-$E$112)*(1-$E$113)</f>
        <v>0.97019999999999995</v>
      </c>
      <c r="I105" s="84"/>
      <c r="J105" s="84"/>
      <c r="U105" s="65"/>
      <c r="V105" s="84"/>
    </row>
    <row r="106" spans="1:22" s="51" customFormat="1" ht="11" x14ac:dyDescent="0.15">
      <c r="A106" s="52" t="s">
        <v>272</v>
      </c>
      <c r="C106" s="210" t="s">
        <v>273</v>
      </c>
      <c r="D106" s="207"/>
      <c r="E106" s="207"/>
      <c r="F106" s="208">
        <f>(1-$E$113)</f>
        <v>0.99</v>
      </c>
      <c r="I106" s="84"/>
      <c r="J106" s="84"/>
      <c r="U106" s="88"/>
      <c r="V106" s="84"/>
    </row>
    <row r="107" spans="1:22" s="51" customFormat="1" ht="11" x14ac:dyDescent="0.15">
      <c r="A107" s="52" t="s">
        <v>274</v>
      </c>
      <c r="C107" s="51" t="s">
        <v>275</v>
      </c>
      <c r="D107" s="211">
        <f>N39/E10</f>
        <v>-0.15426920704892311</v>
      </c>
      <c r="I107" s="84"/>
      <c r="J107" s="84"/>
      <c r="U107" s="88"/>
      <c r="V107" s="84"/>
    </row>
    <row r="108" spans="1:22" s="51" customFormat="1" ht="11" x14ac:dyDescent="0.15">
      <c r="A108" s="52" t="s">
        <v>276</v>
      </c>
      <c r="C108" s="51" t="s">
        <v>277</v>
      </c>
      <c r="D108" s="212">
        <f>T39</f>
        <v>-0.26309008576703224</v>
      </c>
      <c r="I108" s="84"/>
      <c r="J108" s="84"/>
      <c r="U108" s="88"/>
      <c r="V108" s="84"/>
    </row>
    <row r="109" spans="1:22" s="51" customFormat="1" x14ac:dyDescent="0.15">
      <c r="A109" s="52"/>
      <c r="H109" s="68"/>
      <c r="I109" s="84"/>
      <c r="J109" s="84"/>
      <c r="U109" s="140"/>
      <c r="V109" s="84"/>
    </row>
    <row r="110" spans="1:22" s="51" customFormat="1" ht="11" x14ac:dyDescent="0.15">
      <c r="A110" s="52"/>
      <c r="B110" s="50" t="s">
        <v>154</v>
      </c>
      <c r="C110" s="51" t="s">
        <v>278</v>
      </c>
      <c r="E110" s="213">
        <v>0.02</v>
      </c>
      <c r="I110" s="84"/>
      <c r="J110" s="84"/>
      <c r="U110" s="88"/>
      <c r="V110" s="84"/>
    </row>
    <row r="111" spans="1:22" s="51" customFormat="1" x14ac:dyDescent="0.15">
      <c r="A111" s="52"/>
      <c r="B111" s="50"/>
      <c r="C111" s="51" t="s">
        <v>270</v>
      </c>
      <c r="D111" s="52" t="s">
        <v>272</v>
      </c>
      <c r="E111" s="213">
        <v>0.02</v>
      </c>
      <c r="G111" s="214"/>
      <c r="H111" s="68"/>
      <c r="I111" s="84"/>
      <c r="J111" s="84"/>
      <c r="U111" s="140"/>
      <c r="V111" s="84"/>
    </row>
    <row r="112" spans="1:22" s="51" customFormat="1" ht="11" x14ac:dyDescent="0.15">
      <c r="A112" s="215"/>
      <c r="C112" s="51" t="s">
        <v>279</v>
      </c>
      <c r="D112" s="52" t="s">
        <v>274</v>
      </c>
      <c r="E112" s="213">
        <v>0.02</v>
      </c>
      <c r="G112" s="214"/>
      <c r="I112" s="84"/>
      <c r="J112" s="84"/>
      <c r="U112" s="140"/>
      <c r="V112" s="84"/>
    </row>
    <row r="113" spans="2:21" x14ac:dyDescent="0.15">
      <c r="B113" s="51"/>
      <c r="C113" s="51" t="s">
        <v>273</v>
      </c>
      <c r="D113" s="52" t="s">
        <v>276</v>
      </c>
      <c r="E113" s="213">
        <v>0.01</v>
      </c>
      <c r="F113" s="51"/>
      <c r="G113" s="214"/>
      <c r="H113" s="51"/>
      <c r="U113" s="216"/>
    </row>
    <row r="114" spans="2:21" x14ac:dyDescent="0.15">
      <c r="D114" s="217"/>
      <c r="G114" s="51"/>
      <c r="U114" s="216"/>
    </row>
    <row r="115" spans="2:21" x14ac:dyDescent="0.15">
      <c r="B115" s="50" t="s">
        <v>156</v>
      </c>
      <c r="C115" s="51" t="s">
        <v>157</v>
      </c>
      <c r="E115" s="201">
        <v>0</v>
      </c>
      <c r="F115" s="146" t="s">
        <v>280</v>
      </c>
      <c r="U115" s="216"/>
    </row>
    <row r="116" spans="2:21" x14ac:dyDescent="0.15">
      <c r="U116" s="216"/>
    </row>
    <row r="117" spans="2:21" x14ac:dyDescent="0.15">
      <c r="B117" s="50" t="s">
        <v>281</v>
      </c>
      <c r="C117" s="51"/>
      <c r="D117" s="84"/>
      <c r="E117" s="110">
        <f>1-D92</f>
        <v>0.32899999999999996</v>
      </c>
      <c r="U117" s="216"/>
    </row>
    <row r="118" spans="2:21"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6E431AD0-549D-674A-B942-B368226B3329}"/>
    <hyperlink ref="L5" location="NOTE!B19" display="Instruction" xr:uid="{E2295AAB-DADD-0E4B-83F2-C95F951F8C74}"/>
    <hyperlink ref="L6" location="NOTE!B33" display="Legend" xr:uid="{E0C938AC-3B6A-AA43-8F1B-1C8D485827D2}"/>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C9C17A55-0B33-E94E-AF9F-57CD61276DE9}">
          <x14:formula1>
            <xm:f>NOTE!$B$129:$B$130</xm:f>
          </x14:formula1>
          <xm:sqref>G5</xm:sqref>
        </x14:dataValidation>
        <x14:dataValidation type="list" allowBlank="1" showInputMessage="1" showErrorMessage="1" xr:uid="{66805266-65C7-F145-8DAD-1B82BAA18287}">
          <x14:formula1>
            <xm:f>NOTE!$E$129:$E$130</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66078-14C7-0B49-80B9-81C07B61E82A}">
  <dimension ref="B1:P125"/>
  <sheetViews>
    <sheetView topLeftCell="A6" zoomScale="85" workbookViewId="0">
      <selection activeCell="G124" sqref="G124"/>
    </sheetView>
  </sheetViews>
  <sheetFormatPr baseColWidth="10" defaultColWidth="8.83203125" defaultRowHeight="15" x14ac:dyDescent="0.2"/>
  <cols>
    <col min="1" max="1" width="8.83203125" style="218"/>
    <col min="2" max="3" width="37.5" style="218" bestFit="1" customWidth="1"/>
    <col min="4" max="4" width="20.1640625" style="218" bestFit="1" customWidth="1"/>
    <col min="5" max="6" width="21.33203125" style="218" bestFit="1" customWidth="1"/>
    <col min="7" max="15" width="21.1640625" style="218" bestFit="1" customWidth="1"/>
    <col min="16" max="16" width="21.5" style="218" customWidth="1"/>
    <col min="17" max="31" width="12.33203125" style="218" bestFit="1" customWidth="1"/>
    <col min="32" max="32" width="10.5" style="218" bestFit="1" customWidth="1"/>
    <col min="33" max="16384" width="8.83203125" style="218"/>
  </cols>
  <sheetData>
    <row r="1" spans="2:5" x14ac:dyDescent="0.2">
      <c r="B1" s="218" t="s">
        <v>282</v>
      </c>
    </row>
    <row r="2" spans="2:5" x14ac:dyDescent="0.2">
      <c r="B2" s="218">
        <v>20260119</v>
      </c>
    </row>
    <row r="5" spans="2:5" x14ac:dyDescent="0.2">
      <c r="B5" s="219">
        <v>1</v>
      </c>
      <c r="C5" s="219" t="s">
        <v>283</v>
      </c>
    </row>
    <row r="7" spans="2:5" x14ac:dyDescent="0.2">
      <c r="C7" s="220" t="s">
        <v>284</v>
      </c>
      <c r="E7" s="221">
        <v>0.36099999999999999</v>
      </c>
    </row>
    <row r="8" spans="2:5" x14ac:dyDescent="0.2">
      <c r="C8" s="220" t="s">
        <v>285</v>
      </c>
      <c r="E8" s="221">
        <v>0.71399999999999997</v>
      </c>
    </row>
    <row r="17" spans="2:15" x14ac:dyDescent="0.2">
      <c r="B17" s="219">
        <v>2</v>
      </c>
      <c r="C17" s="219" t="s">
        <v>286</v>
      </c>
    </row>
    <row r="19" spans="2:15" x14ac:dyDescent="0.2">
      <c r="C19" s="222" t="s">
        <v>287</v>
      </c>
      <c r="D19" s="222" t="s">
        <v>288</v>
      </c>
      <c r="E19" s="222" t="s">
        <v>289</v>
      </c>
      <c r="F19" s="222" t="s">
        <v>290</v>
      </c>
      <c r="G19" s="223" t="s">
        <v>291</v>
      </c>
      <c r="H19" s="223" t="s">
        <v>292</v>
      </c>
      <c r="I19" s="223" t="s">
        <v>293</v>
      </c>
      <c r="J19" s="223" t="s">
        <v>294</v>
      </c>
      <c r="K19" s="222" t="s">
        <v>295</v>
      </c>
    </row>
    <row r="20" spans="2:15" ht="16" x14ac:dyDescent="0.2">
      <c r="C20" s="224">
        <v>45992</v>
      </c>
      <c r="D20" s="225">
        <v>1395</v>
      </c>
      <c r="E20" s="225">
        <v>21697550000</v>
      </c>
      <c r="F20" s="226"/>
      <c r="G20" s="225">
        <v>15553799.2831541</v>
      </c>
      <c r="H20" s="225">
        <v>16.2881720430107</v>
      </c>
      <c r="I20" s="227">
        <v>0.46336917562723601</v>
      </c>
      <c r="J20" s="225">
        <v>1054550000</v>
      </c>
      <c r="K20" s="227">
        <v>0.73261648745519703</v>
      </c>
      <c r="L20" s="228">
        <f>E20-J20</f>
        <v>20643000000</v>
      </c>
    </row>
    <row r="21" spans="2:15" ht="16" x14ac:dyDescent="0.2">
      <c r="C21" s="224">
        <v>45962</v>
      </c>
      <c r="D21" s="225">
        <v>1413</v>
      </c>
      <c r="E21" s="225">
        <v>19620350000</v>
      </c>
      <c r="F21" s="226"/>
      <c r="G21" s="225">
        <v>13885598.0184005</v>
      </c>
      <c r="H21" s="225">
        <v>15.7813163481953</v>
      </c>
      <c r="I21" s="227">
        <v>0.46266808209482901</v>
      </c>
      <c r="J21" s="225">
        <v>973350000</v>
      </c>
      <c r="K21" s="227">
        <v>0.74663835810332602</v>
      </c>
      <c r="L21" s="228">
        <f>E21-J21</f>
        <v>18647000000</v>
      </c>
    </row>
    <row r="22" spans="2:15" ht="16" x14ac:dyDescent="0.2">
      <c r="C22" s="224">
        <v>45931</v>
      </c>
      <c r="D22" s="226">
        <v>1476</v>
      </c>
      <c r="E22" s="226">
        <v>22246180000</v>
      </c>
      <c r="F22" s="226"/>
      <c r="G22" s="226">
        <v>15071937.669376601</v>
      </c>
      <c r="H22" s="226">
        <v>16.0365853658536</v>
      </c>
      <c r="I22" s="229">
        <v>0.462703252032518</v>
      </c>
      <c r="J22" s="226">
        <v>1097180000</v>
      </c>
      <c r="K22" s="229">
        <v>0.74593495934959297</v>
      </c>
      <c r="L22" s="228">
        <f>E22-J22</f>
        <v>21149000000</v>
      </c>
    </row>
    <row r="23" spans="2:15" ht="16" x14ac:dyDescent="0.2">
      <c r="C23" s="230"/>
      <c r="D23" s="231"/>
      <c r="E23" s="231"/>
      <c r="F23" s="231"/>
      <c r="G23" s="231"/>
      <c r="H23" s="231"/>
      <c r="I23" s="232"/>
      <c r="J23" s="231"/>
      <c r="K23" s="233"/>
      <c r="L23" s="228"/>
    </row>
    <row r="24" spans="2:15" ht="16" x14ac:dyDescent="0.2">
      <c r="C24" s="230"/>
      <c r="D24" s="231"/>
      <c r="E24" s="231"/>
      <c r="F24" s="231"/>
      <c r="G24" s="231"/>
      <c r="H24" s="231"/>
      <c r="I24" s="232"/>
      <c r="J24" s="231"/>
      <c r="K24" s="233"/>
      <c r="L24" s="228"/>
    </row>
    <row r="25" spans="2:15" ht="16" x14ac:dyDescent="0.2">
      <c r="C25" s="220" t="s">
        <v>296</v>
      </c>
      <c r="G25" s="234">
        <f>SUM(E20:E22)/SUM(D20:D22)/10^6</f>
        <v>14.837553688141924</v>
      </c>
      <c r="H25" s="234">
        <f>ROUND(SUMPRODUCT(H20:H22,E20:E22)/SUM(E20:E22),0)</f>
        <v>16</v>
      </c>
      <c r="I25" s="235">
        <f>SUMPRODUCT(I20:I22,E20:E22)/SUM(E20:E22)</f>
        <v>0.46291970862255494</v>
      </c>
      <c r="J25" s="236">
        <f>SUM(J20:J22)/SUMPRODUCT(K20:K22,L20:L22)</f>
        <v>6.9722406511406668E-2</v>
      </c>
      <c r="K25" s="236">
        <f>SUMPRODUCT(K20:K22,E20:E22)/SUM(E20:E22)</f>
        <v>0.74160582754882676</v>
      </c>
    </row>
    <row r="28" spans="2:15" x14ac:dyDescent="0.2">
      <c r="D28" s="237">
        <v>10</v>
      </c>
      <c r="E28" s="237">
        <f>D28+1</f>
        <v>11</v>
      </c>
      <c r="F28" s="237">
        <f>E28+1</f>
        <v>12</v>
      </c>
    </row>
    <row r="29" spans="2:15" ht="16" x14ac:dyDescent="0.2">
      <c r="C29" s="218" t="s">
        <v>297</v>
      </c>
      <c r="D29" s="238">
        <v>101068876374</v>
      </c>
      <c r="E29" s="239">
        <v>107157807951</v>
      </c>
      <c r="F29" s="239">
        <v>114324863034</v>
      </c>
    </row>
    <row r="30" spans="2:15" x14ac:dyDescent="0.2">
      <c r="D30" s="240">
        <f>E22</f>
        <v>22246180000</v>
      </c>
      <c r="E30" s="239">
        <f>E21</f>
        <v>19620350000</v>
      </c>
      <c r="F30" s="239">
        <f>E20</f>
        <v>21697550000</v>
      </c>
      <c r="G30" s="240"/>
      <c r="H30" s="240"/>
      <c r="I30" s="240"/>
      <c r="J30" s="240"/>
      <c r="K30" s="240"/>
      <c r="L30" s="240"/>
    </row>
    <row r="31" spans="2:15" ht="16" x14ac:dyDescent="0.2">
      <c r="D31" s="241"/>
      <c r="E31" s="240"/>
      <c r="F31" s="240"/>
      <c r="G31" s="240"/>
      <c r="H31" s="240"/>
      <c r="I31" s="240"/>
      <c r="J31" s="240"/>
      <c r="K31" s="240"/>
      <c r="L31" s="240"/>
      <c r="M31" s="240"/>
      <c r="N31" s="242"/>
      <c r="O31" s="242"/>
    </row>
    <row r="32" spans="2:15" ht="16" x14ac:dyDescent="0.2">
      <c r="D32" s="241"/>
      <c r="E32" s="240" t="s">
        <v>298</v>
      </c>
      <c r="F32" s="240"/>
      <c r="G32" s="240"/>
      <c r="H32" s="240"/>
      <c r="I32" s="240"/>
      <c r="J32" s="240"/>
      <c r="K32" s="240"/>
      <c r="L32" s="240"/>
      <c r="M32" s="243"/>
      <c r="N32" s="242"/>
      <c r="O32" s="242"/>
    </row>
    <row r="33" spans="3:15" ht="16" x14ac:dyDescent="0.2">
      <c r="C33" s="218" t="s">
        <v>60</v>
      </c>
      <c r="D33" s="244">
        <f>E33</f>
        <v>0.45290893795156428</v>
      </c>
      <c r="E33" s="245">
        <f>SUM(D35:F35)/SUM(D34:F34)*365</f>
        <v>0.45290893795156428</v>
      </c>
      <c r="F33" s="240"/>
      <c r="G33" s="240"/>
      <c r="H33" s="240"/>
      <c r="I33" s="240"/>
      <c r="J33" s="240"/>
      <c r="K33" s="240"/>
      <c r="L33" s="240"/>
      <c r="M33" s="240"/>
      <c r="N33" s="242"/>
      <c r="O33" s="242"/>
    </row>
    <row r="34" spans="3:15" ht="16" x14ac:dyDescent="0.2">
      <c r="C34" s="218" t="s">
        <v>299</v>
      </c>
      <c r="D34" s="246">
        <v>2646528857360</v>
      </c>
      <c r="E34" s="239">
        <v>2803832735492</v>
      </c>
      <c r="F34" s="239">
        <v>3008910958344</v>
      </c>
      <c r="G34" s="240"/>
      <c r="H34" s="240"/>
      <c r="I34" s="240"/>
      <c r="J34" s="240"/>
      <c r="K34" s="240"/>
      <c r="L34" s="240"/>
    </row>
    <row r="35" spans="3:15" ht="16" x14ac:dyDescent="0.2">
      <c r="C35" s="218" t="s">
        <v>300</v>
      </c>
      <c r="D35" s="246">
        <v>3293167691</v>
      </c>
      <c r="E35" s="247">
        <v>3487480127</v>
      </c>
      <c r="F35" s="247">
        <v>3716010119</v>
      </c>
      <c r="G35" s="240"/>
      <c r="H35" s="240"/>
      <c r="I35" s="240"/>
      <c r="J35" s="240"/>
      <c r="K35" s="240"/>
      <c r="L35" s="240"/>
    </row>
    <row r="36" spans="3:15" x14ac:dyDescent="0.2">
      <c r="N36" s="248"/>
      <c r="O36" s="248"/>
    </row>
    <row r="37" spans="3:15" ht="16" x14ac:dyDescent="0.2">
      <c r="C37" s="218" t="s">
        <v>62</v>
      </c>
      <c r="D37" s="249">
        <v>7.3999999999999996E-2</v>
      </c>
    </row>
    <row r="39" spans="3:15" x14ac:dyDescent="0.2">
      <c r="C39" s="250" t="s">
        <v>301</v>
      </c>
      <c r="D39" s="250" t="s">
        <v>302</v>
      </c>
      <c r="E39" s="250" t="s">
        <v>303</v>
      </c>
      <c r="F39" s="250" t="s">
        <v>304</v>
      </c>
    </row>
    <row r="40" spans="3:15" x14ac:dyDescent="0.2">
      <c r="C40" s="251" t="s">
        <v>305</v>
      </c>
      <c r="D40" s="252" t="s">
        <v>306</v>
      </c>
      <c r="E40" s="239">
        <v>2976030609952</v>
      </c>
      <c r="F40" s="239">
        <v>570125894.58709967</v>
      </c>
    </row>
    <row r="41" spans="3:15" x14ac:dyDescent="0.2">
      <c r="D41" s="252" t="s">
        <v>307</v>
      </c>
      <c r="E41" s="253">
        <v>3170699687949</v>
      </c>
      <c r="F41" s="253">
        <v>621319613.04789996</v>
      </c>
    </row>
    <row r="42" spans="3:15" x14ac:dyDescent="0.2">
      <c r="D42" s="252" t="s">
        <v>308</v>
      </c>
      <c r="E42" s="253">
        <v>3089737356645</v>
      </c>
      <c r="F42" s="253">
        <v>617444276.87459981</v>
      </c>
    </row>
    <row r="43" spans="3:15" ht="16" x14ac:dyDescent="0.2">
      <c r="D43" s="241"/>
      <c r="E43" s="240"/>
      <c r="F43" s="240"/>
      <c r="G43" s="240"/>
      <c r="H43" s="240"/>
      <c r="I43" s="240"/>
      <c r="J43" s="240"/>
      <c r="K43" s="240"/>
      <c r="L43" s="240"/>
      <c r="M43" s="240"/>
      <c r="N43" s="240"/>
      <c r="O43" s="240"/>
    </row>
    <row r="44" spans="3:15" ht="16" x14ac:dyDescent="0.2">
      <c r="D44" s="241"/>
      <c r="E44" s="240"/>
      <c r="F44" s="240"/>
      <c r="G44" s="240"/>
      <c r="H44" s="240"/>
      <c r="I44" s="240"/>
      <c r="J44" s="240"/>
      <c r="K44" s="240"/>
      <c r="L44" s="240"/>
      <c r="M44" s="240"/>
      <c r="N44" s="240"/>
      <c r="O44" s="240"/>
    </row>
    <row r="45" spans="3:15" ht="16" x14ac:dyDescent="0.2">
      <c r="D45" s="241"/>
      <c r="E45" s="240"/>
      <c r="F45" s="240"/>
      <c r="G45" s="240"/>
      <c r="H45" s="240"/>
      <c r="I45" s="240"/>
      <c r="J45" s="240"/>
      <c r="K45" s="240"/>
      <c r="L45" s="240"/>
      <c r="M45" s="240"/>
      <c r="N45" s="240"/>
      <c r="O45" s="240"/>
    </row>
    <row r="48" spans="3:15" x14ac:dyDescent="0.2">
      <c r="M48" s="218">
        <f>M49/D52</f>
        <v>6.9132791327913283</v>
      </c>
    </row>
    <row r="49" spans="2:13" x14ac:dyDescent="0.2">
      <c r="M49" s="228">
        <f>D53-L53</f>
        <v>10204</v>
      </c>
    </row>
    <row r="50" spans="2:13" x14ac:dyDescent="0.2">
      <c r="B50" s="219">
        <v>3</v>
      </c>
      <c r="C50" s="219" t="s">
        <v>309</v>
      </c>
    </row>
    <row r="51" spans="2:13" x14ac:dyDescent="0.2">
      <c r="D51" s="237">
        <v>10</v>
      </c>
      <c r="E51" s="237">
        <f>D51+1</f>
        <v>11</v>
      </c>
      <c r="F51" s="237">
        <f>E51+1</f>
        <v>12</v>
      </c>
    </row>
    <row r="52" spans="2:13" ht="16" x14ac:dyDescent="0.2">
      <c r="C52" s="218" t="s">
        <v>310</v>
      </c>
      <c r="D52" s="238">
        <v>1476</v>
      </c>
      <c r="E52" s="239">
        <v>1413</v>
      </c>
      <c r="F52" s="239">
        <v>1395</v>
      </c>
    </row>
    <row r="53" spans="2:13" ht="16" x14ac:dyDescent="0.2">
      <c r="C53" s="218" t="s">
        <v>311</v>
      </c>
      <c r="D53" s="238">
        <v>10204</v>
      </c>
      <c r="E53" s="239">
        <v>10704</v>
      </c>
      <c r="F53" s="239">
        <v>11056</v>
      </c>
    </row>
    <row r="55" spans="2:13" x14ac:dyDescent="0.2">
      <c r="C55" s="218" t="s">
        <v>312</v>
      </c>
    </row>
    <row r="56" spans="2:13" ht="16" x14ac:dyDescent="0.2">
      <c r="C56" s="218" t="s">
        <v>313</v>
      </c>
      <c r="D56" s="246">
        <v>95580911.614676833</v>
      </c>
      <c r="E56" s="239">
        <v>93154244.487965226</v>
      </c>
      <c r="F56" s="239">
        <v>84245739.044099838</v>
      </c>
    </row>
    <row r="57" spans="2:13" x14ac:dyDescent="0.2">
      <c r="C57" s="218" t="s">
        <v>314</v>
      </c>
      <c r="D57" s="247">
        <v>28426097.342375379</v>
      </c>
      <c r="E57" s="247">
        <v>43427798.622516707</v>
      </c>
      <c r="F57" s="247">
        <v>38729442.245731339</v>
      </c>
    </row>
    <row r="58" spans="2:13" ht="16" x14ac:dyDescent="0.2">
      <c r="C58" s="218" t="s">
        <v>315</v>
      </c>
      <c r="D58" s="246">
        <v>9210396.8935545366</v>
      </c>
      <c r="E58" s="247">
        <v>9053041.7107444834</v>
      </c>
      <c r="F58" s="247">
        <v>8431819.2937025018</v>
      </c>
    </row>
    <row r="59" spans="2:13" ht="16" x14ac:dyDescent="0.2">
      <c r="C59" s="218" t="s">
        <v>316</v>
      </c>
      <c r="D59" s="246">
        <v>422980000</v>
      </c>
      <c r="E59" s="247">
        <v>372940000</v>
      </c>
      <c r="F59" s="247">
        <v>412860000</v>
      </c>
    </row>
    <row r="60" spans="2:13" ht="16" x14ac:dyDescent="0.2">
      <c r="C60" s="218" t="s">
        <v>317</v>
      </c>
      <c r="D60" s="254">
        <v>1086785</v>
      </c>
      <c r="E60" s="247">
        <v>1024658</v>
      </c>
      <c r="F60" s="247">
        <v>1027878</v>
      </c>
    </row>
    <row r="61" spans="2:13" ht="16" x14ac:dyDescent="0.2">
      <c r="C61" s="218" t="s">
        <v>318</v>
      </c>
      <c r="D61" s="254">
        <v>2277937.9538506637</v>
      </c>
      <c r="E61" s="247">
        <v>1971115.7230559343</v>
      </c>
      <c r="F61" s="247">
        <v>2382711.5391594688</v>
      </c>
    </row>
    <row r="64" spans="2:13" ht="16" x14ac:dyDescent="0.2">
      <c r="C64" s="218" t="s">
        <v>312</v>
      </c>
      <c r="D64" s="255">
        <f>SUM(D55:L55)/SUM(D52:L52)/10^6</f>
        <v>0</v>
      </c>
    </row>
    <row r="65" spans="2:5" ht="16" x14ac:dyDescent="0.2">
      <c r="C65" s="218" t="s">
        <v>313</v>
      </c>
      <c r="D65" s="255">
        <f>SUM(D56:F56)/SUM(D52:F52)/10^6</f>
        <v>6.3721030613151694E-2</v>
      </c>
    </row>
    <row r="66" spans="2:5" ht="16" x14ac:dyDescent="0.2">
      <c r="C66" s="218" t="s">
        <v>314</v>
      </c>
      <c r="D66" s="256">
        <f>8000/10^6</f>
        <v>8.0000000000000002E-3</v>
      </c>
      <c r="E66" s="218" t="s">
        <v>319</v>
      </c>
    </row>
    <row r="67" spans="2:5" x14ac:dyDescent="0.2">
      <c r="C67" s="218" t="s">
        <v>315</v>
      </c>
      <c r="D67" s="257">
        <f>SUM(D58:F58)/SUM(D53:F53)/10^6</f>
        <v>8.3516637148046307E-4</v>
      </c>
    </row>
    <row r="68" spans="2:5" ht="16" x14ac:dyDescent="0.2">
      <c r="C68" s="218" t="s">
        <v>316</v>
      </c>
      <c r="D68" s="249">
        <f>SUM(D59:F59)/SUM(E20:E22)</f>
        <v>1.9016715100729845E-2</v>
      </c>
    </row>
    <row r="69" spans="2:5" ht="16" x14ac:dyDescent="0.2">
      <c r="C69" s="218" t="s">
        <v>123</v>
      </c>
      <c r="D69" s="258">
        <f>SUM(D60:F61)/SUM(D52:F52)/10^6</f>
        <v>2.2808324500621074E-3</v>
      </c>
    </row>
    <row r="71" spans="2:5" x14ac:dyDescent="0.2">
      <c r="B71" s="219">
        <v>4</v>
      </c>
      <c r="C71" s="219" t="s">
        <v>320</v>
      </c>
    </row>
    <row r="73" spans="2:5" ht="16" x14ac:dyDescent="0.2">
      <c r="C73" s="218" t="s">
        <v>139</v>
      </c>
      <c r="D73" s="258">
        <v>8.0701705594107605E-3</v>
      </c>
    </row>
    <row r="74" spans="2:5" ht="16" x14ac:dyDescent="0.2">
      <c r="C74" s="218" t="s">
        <v>141</v>
      </c>
      <c r="D74" s="258">
        <v>1.6933316056155723E-2</v>
      </c>
    </row>
    <row r="75" spans="2:5" ht="16" x14ac:dyDescent="0.2">
      <c r="C75" s="218" t="s">
        <v>321</v>
      </c>
      <c r="D75" s="258">
        <v>6.1217502216659933E-3</v>
      </c>
    </row>
    <row r="76" spans="2:5" ht="16" x14ac:dyDescent="0.2">
      <c r="C76" s="218" t="s">
        <v>322</v>
      </c>
      <c r="D76" s="258">
        <v>8.9101168816839802E-3</v>
      </c>
    </row>
    <row r="80" spans="2:5" x14ac:dyDescent="0.2">
      <c r="B80" s="219">
        <v>5</v>
      </c>
      <c r="C80" s="219" t="s">
        <v>323</v>
      </c>
    </row>
    <row r="81" spans="2:8" x14ac:dyDescent="0.2">
      <c r="B81" s="219"/>
      <c r="C81" s="219"/>
    </row>
    <row r="83" spans="2:8" x14ac:dyDescent="0.2">
      <c r="D83" s="218" t="s">
        <v>324</v>
      </c>
      <c r="E83" s="218" t="s">
        <v>325</v>
      </c>
      <c r="F83" s="250">
        <v>202510</v>
      </c>
      <c r="G83" s="259">
        <v>11</v>
      </c>
      <c r="H83" s="259">
        <v>12</v>
      </c>
    </row>
    <row r="84" spans="2:8" ht="16" x14ac:dyDescent="0.2">
      <c r="C84" s="260" t="s">
        <v>326</v>
      </c>
      <c r="D84" s="236">
        <v>0.05</v>
      </c>
      <c r="E84" s="261">
        <f>AVERAGE(F84:H84)</f>
        <v>5.1226209985526315E-2</v>
      </c>
      <c r="F84" s="261">
        <f t="shared" ref="F84:H92" si="0">N102/M101</f>
        <v>5.3774000587864024E-2</v>
      </c>
      <c r="G84" s="262">
        <f t="shared" si="0"/>
        <v>5.1858982624831337E-2</v>
      </c>
      <c r="H84" s="262">
        <f t="shared" si="0"/>
        <v>4.8045646743883584E-2</v>
      </c>
    </row>
    <row r="85" spans="2:8" ht="16" x14ac:dyDescent="0.2">
      <c r="C85" s="260" t="s">
        <v>327</v>
      </c>
      <c r="D85" s="236">
        <v>0.67100000000000004</v>
      </c>
      <c r="E85" s="261">
        <f t="shared" ref="E85:E92" si="1">AVERAGE(F85:H85)</f>
        <v>0.68055804342761916</v>
      </c>
      <c r="F85" s="261">
        <f t="shared" si="0"/>
        <v>0.62578913421121563</v>
      </c>
      <c r="G85" s="262">
        <f t="shared" si="0"/>
        <v>0.69990419649235769</v>
      </c>
      <c r="H85" s="262">
        <f t="shared" si="0"/>
        <v>0.71598079957928418</v>
      </c>
    </row>
    <row r="86" spans="2:8" ht="16" x14ac:dyDescent="0.2">
      <c r="C86" s="260" t="s">
        <v>328</v>
      </c>
      <c r="D86" s="236">
        <v>0.91</v>
      </c>
      <c r="E86" s="261">
        <f t="shared" si="1"/>
        <v>0.9309381914050906</v>
      </c>
      <c r="F86" s="261">
        <f t="shared" si="0"/>
        <v>0.91231423072338025</v>
      </c>
      <c r="G86" s="262">
        <f t="shared" si="0"/>
        <v>0.93441234985377597</v>
      </c>
      <c r="H86" s="262">
        <f t="shared" si="0"/>
        <v>0.94608799363811569</v>
      </c>
    </row>
    <row r="87" spans="2:8" ht="16" x14ac:dyDescent="0.2">
      <c r="C87" s="260" t="s">
        <v>329</v>
      </c>
      <c r="D87" s="236">
        <v>0.95199999999999996</v>
      </c>
      <c r="E87" s="261">
        <f t="shared" si="1"/>
        <v>0.97750216487404729</v>
      </c>
      <c r="F87" s="261">
        <f t="shared" si="0"/>
        <v>0.98182007732722043</v>
      </c>
      <c r="G87" s="262">
        <f t="shared" si="0"/>
        <v>0.96030122415358254</v>
      </c>
      <c r="H87" s="262">
        <f t="shared" si="0"/>
        <v>0.99038519314133899</v>
      </c>
    </row>
    <row r="88" spans="2:8" ht="16" x14ac:dyDescent="0.2">
      <c r="C88" s="260" t="s">
        <v>330</v>
      </c>
      <c r="D88" s="236">
        <f>E88*99%</f>
        <v>0.96041088943187236</v>
      </c>
      <c r="E88" s="261">
        <f t="shared" si="1"/>
        <v>0.97011200952714383</v>
      </c>
      <c r="F88" s="261">
        <f t="shared" si="0"/>
        <v>0.97108931061844517</v>
      </c>
      <c r="G88" s="262">
        <f t="shared" si="0"/>
        <v>0.9707717832281425</v>
      </c>
      <c r="H88" s="262">
        <f t="shared" si="0"/>
        <v>0.96847493473484392</v>
      </c>
    </row>
    <row r="89" spans="2:8" ht="16" x14ac:dyDescent="0.2">
      <c r="C89" s="260" t="s">
        <v>331</v>
      </c>
      <c r="D89" s="236">
        <f>E89*99%</f>
        <v>0.94496136917032947</v>
      </c>
      <c r="E89" s="261">
        <f t="shared" si="1"/>
        <v>0.95450643350538333</v>
      </c>
      <c r="F89" s="261">
        <f t="shared" si="0"/>
        <v>0.97508855475838652</v>
      </c>
      <c r="G89" s="262">
        <f t="shared" si="0"/>
        <v>0.98442080850407621</v>
      </c>
      <c r="H89" s="262">
        <f t="shared" si="0"/>
        <v>0.90400993725368706</v>
      </c>
    </row>
    <row r="90" spans="2:8" ht="16" x14ac:dyDescent="0.2">
      <c r="C90" s="260" t="s">
        <v>332</v>
      </c>
      <c r="D90" s="236">
        <f>E90*99%</f>
        <v>0.98754205130312189</v>
      </c>
      <c r="E90" s="261">
        <f t="shared" si="1"/>
        <v>0.99751722353850703</v>
      </c>
      <c r="F90" s="261">
        <f t="shared" si="0"/>
        <v>0.99420634041723932</v>
      </c>
      <c r="G90" s="262">
        <f t="shared" si="0"/>
        <v>0.99834533019828187</v>
      </c>
      <c r="H90" s="262">
        <v>1</v>
      </c>
    </row>
    <row r="91" spans="2:8" ht="16" x14ac:dyDescent="0.2">
      <c r="C91" s="260" t="s">
        <v>333</v>
      </c>
      <c r="D91" s="236">
        <v>0.995</v>
      </c>
      <c r="E91" s="261">
        <f t="shared" si="1"/>
        <v>0.96963102001953183</v>
      </c>
      <c r="F91" s="261">
        <f t="shared" si="0"/>
        <v>0.92118185114192752</v>
      </c>
      <c r="G91" s="262">
        <f t="shared" si="0"/>
        <v>0.98771120891666775</v>
      </c>
      <c r="H91" s="262">
        <v>1</v>
      </c>
    </row>
    <row r="92" spans="2:8" ht="16" x14ac:dyDescent="0.2">
      <c r="C92" s="260" t="s">
        <v>334</v>
      </c>
      <c r="D92" s="236">
        <v>0.999</v>
      </c>
      <c r="E92" s="261">
        <f t="shared" si="1"/>
        <v>0.98644571818886906</v>
      </c>
      <c r="F92" s="261">
        <f t="shared" si="0"/>
        <v>0.95933715456660706</v>
      </c>
      <c r="G92" s="262">
        <f t="shared" si="0"/>
        <v>1</v>
      </c>
      <c r="H92" s="262">
        <v>1</v>
      </c>
    </row>
    <row r="93" spans="2:8" x14ac:dyDescent="0.2">
      <c r="C93" s="260" t="s">
        <v>335</v>
      </c>
      <c r="E93" s="261"/>
      <c r="F93" s="261">
        <v>1</v>
      </c>
      <c r="G93" s="262">
        <v>1</v>
      </c>
      <c r="H93" s="262">
        <v>1</v>
      </c>
    </row>
    <row r="94" spans="2:8" x14ac:dyDescent="0.2">
      <c r="C94" s="260" t="s">
        <v>336</v>
      </c>
    </row>
    <row r="99" spans="3:16" x14ac:dyDescent="0.2">
      <c r="C99" s="259" t="s">
        <v>337</v>
      </c>
      <c r="D99" s="259" t="s">
        <v>338</v>
      </c>
      <c r="E99" s="259"/>
      <c r="F99" s="259"/>
      <c r="G99" s="259"/>
      <c r="H99" s="259"/>
      <c r="I99" s="259"/>
      <c r="J99" s="259"/>
      <c r="K99" s="259"/>
      <c r="L99" s="259"/>
      <c r="M99" s="259"/>
      <c r="N99" s="259"/>
      <c r="O99" s="259"/>
      <c r="P99" s="259"/>
    </row>
    <row r="100" spans="3:16" x14ac:dyDescent="0.2">
      <c r="C100" s="250" t="s">
        <v>339</v>
      </c>
      <c r="D100" s="250">
        <v>202412</v>
      </c>
      <c r="E100" s="250">
        <v>202501</v>
      </c>
      <c r="F100" s="250">
        <v>202502</v>
      </c>
      <c r="G100" s="250">
        <v>202503</v>
      </c>
      <c r="H100" s="250">
        <v>202504</v>
      </c>
      <c r="I100" s="250">
        <v>202505</v>
      </c>
      <c r="J100" s="250">
        <v>202506</v>
      </c>
      <c r="K100" s="250">
        <v>202507</v>
      </c>
      <c r="L100" s="250">
        <v>202508</v>
      </c>
      <c r="M100" s="250">
        <v>202509</v>
      </c>
      <c r="N100" s="250">
        <v>202510</v>
      </c>
      <c r="O100" s="250">
        <v>202511</v>
      </c>
      <c r="P100" s="250">
        <v>202512</v>
      </c>
    </row>
    <row r="101" spans="3:16" ht="16" x14ac:dyDescent="0.2">
      <c r="C101" s="260" t="s">
        <v>326</v>
      </c>
      <c r="D101" s="246">
        <v>3382579464</v>
      </c>
      <c r="E101" s="246">
        <v>13358014616</v>
      </c>
      <c r="F101" s="246">
        <v>20886756018</v>
      </c>
      <c r="G101" s="246">
        <v>30559653757</v>
      </c>
      <c r="H101" s="246">
        <v>40289319449</v>
      </c>
      <c r="I101" s="246">
        <v>54191302606</v>
      </c>
      <c r="J101" s="246">
        <v>63315830655</v>
      </c>
      <c r="K101" s="246">
        <v>68679537673</v>
      </c>
      <c r="L101" s="247">
        <v>71247584742</v>
      </c>
      <c r="M101" s="247">
        <v>79952553855</v>
      </c>
      <c r="N101" s="247">
        <v>88082122938</v>
      </c>
      <c r="O101" s="247">
        <v>92768484578</v>
      </c>
      <c r="P101" s="247">
        <v>99173467204</v>
      </c>
    </row>
    <row r="102" spans="3:16" ht="16" x14ac:dyDescent="0.2">
      <c r="C102" s="260" t="s">
        <v>327</v>
      </c>
      <c r="D102" s="246"/>
      <c r="E102" s="246">
        <v>111416305</v>
      </c>
      <c r="F102" s="246">
        <v>807339693</v>
      </c>
      <c r="G102" s="246">
        <v>896330074</v>
      </c>
      <c r="H102" s="246">
        <v>1499190052</v>
      </c>
      <c r="I102" s="246">
        <v>1696568932</v>
      </c>
      <c r="J102" s="246">
        <v>2644553730</v>
      </c>
      <c r="K102" s="246">
        <v>2755878002</v>
      </c>
      <c r="L102" s="247">
        <v>3179847550</v>
      </c>
      <c r="M102" s="247">
        <v>3936172334</v>
      </c>
      <c r="N102" s="247">
        <v>4299368678</v>
      </c>
      <c r="O102" s="247">
        <v>4567849283</v>
      </c>
      <c r="P102" s="247">
        <v>4457121839</v>
      </c>
    </row>
    <row r="103" spans="3:16" ht="16" x14ac:dyDescent="0.2">
      <c r="C103" s="260" t="s">
        <v>328</v>
      </c>
      <c r="D103" s="246"/>
      <c r="E103" s="246"/>
      <c r="F103" s="246">
        <v>84996305</v>
      </c>
      <c r="G103" s="246">
        <v>417531388</v>
      </c>
      <c r="H103" s="246">
        <v>546002970</v>
      </c>
      <c r="I103" s="246">
        <v>1007341529</v>
      </c>
      <c r="J103" s="246">
        <v>1207002681</v>
      </c>
      <c r="K103" s="246">
        <v>1625450607</v>
      </c>
      <c r="L103" s="247">
        <v>1822682961</v>
      </c>
      <c r="M103" s="247">
        <v>2015305191</v>
      </c>
      <c r="N103" s="247">
        <v>2463213877</v>
      </c>
      <c r="O103" s="247">
        <v>3009146180</v>
      </c>
      <c r="P103" s="247">
        <v>3270492382</v>
      </c>
    </row>
    <row r="104" spans="3:16" ht="16" x14ac:dyDescent="0.2">
      <c r="C104" s="260" t="s">
        <v>329</v>
      </c>
      <c r="D104" s="246"/>
      <c r="E104" s="246"/>
      <c r="F104" s="246"/>
      <c r="G104" s="246">
        <v>84996305</v>
      </c>
      <c r="H104" s="246">
        <v>380446879</v>
      </c>
      <c r="I104" s="246">
        <v>579654173</v>
      </c>
      <c r="J104" s="246">
        <v>905755416</v>
      </c>
      <c r="K104" s="246">
        <v>1064451858</v>
      </c>
      <c r="L104" s="247">
        <v>1515370444</v>
      </c>
      <c r="M104" s="247">
        <v>1669975970</v>
      </c>
      <c r="N104" s="247">
        <v>1838591605</v>
      </c>
      <c r="O104" s="247">
        <v>2301657467</v>
      </c>
      <c r="P104" s="247">
        <v>2846917072</v>
      </c>
    </row>
    <row r="105" spans="3:16" ht="16" x14ac:dyDescent="0.2">
      <c r="C105" s="260" t="s">
        <v>330</v>
      </c>
      <c r="D105" s="246"/>
      <c r="E105" s="246"/>
      <c r="F105" s="246"/>
      <c r="G105" s="246"/>
      <c r="H105" s="246">
        <v>84996305</v>
      </c>
      <c r="I105" s="246">
        <v>373570379</v>
      </c>
      <c r="J105" s="246">
        <v>556796443</v>
      </c>
      <c r="K105" s="246">
        <v>909589717</v>
      </c>
      <c r="L105" s="247">
        <v>1099823236</v>
      </c>
      <c r="M105" s="247">
        <v>1443528947</v>
      </c>
      <c r="N105" s="247">
        <v>1639615936</v>
      </c>
      <c r="O105" s="247">
        <v>1765601769</v>
      </c>
      <c r="P105" s="247">
        <v>2279527475</v>
      </c>
    </row>
    <row r="106" spans="3:16" ht="16" x14ac:dyDescent="0.2">
      <c r="C106" s="260" t="s">
        <v>331</v>
      </c>
      <c r="D106" s="246"/>
      <c r="E106" s="246"/>
      <c r="F106" s="246"/>
      <c r="G106" s="246"/>
      <c r="H106" s="246"/>
      <c r="I106" s="246">
        <v>84996305</v>
      </c>
      <c r="J106" s="246">
        <v>352170379</v>
      </c>
      <c r="K106" s="246">
        <v>523718388</v>
      </c>
      <c r="L106" s="247">
        <v>895445480</v>
      </c>
      <c r="M106" s="247">
        <v>1081533638</v>
      </c>
      <c r="N106" s="247">
        <v>1401795530</v>
      </c>
      <c r="O106" s="247">
        <v>1591692886</v>
      </c>
      <c r="P106" s="247">
        <v>1709941058</v>
      </c>
    </row>
    <row r="107" spans="3:16" ht="16" x14ac:dyDescent="0.2">
      <c r="C107" s="260" t="s">
        <v>332</v>
      </c>
      <c r="D107" s="246"/>
      <c r="E107" s="246"/>
      <c r="F107" s="246"/>
      <c r="G107" s="246"/>
      <c r="H107" s="246"/>
      <c r="I107" s="246"/>
      <c r="J107" s="246">
        <v>74296305</v>
      </c>
      <c r="K107" s="246">
        <v>373027232</v>
      </c>
      <c r="L107" s="247">
        <v>557217499</v>
      </c>
      <c r="M107" s="247">
        <v>875786181</v>
      </c>
      <c r="N107" s="247">
        <v>1054591072</v>
      </c>
      <c r="O107" s="247">
        <v>1379956689</v>
      </c>
      <c r="P107" s="247">
        <v>1438906186</v>
      </c>
    </row>
    <row r="108" spans="3:16" ht="16" x14ac:dyDescent="0.2">
      <c r="C108" s="260" t="s">
        <v>333</v>
      </c>
      <c r="D108" s="246"/>
      <c r="E108" s="246"/>
      <c r="F108" s="246"/>
      <c r="G108" s="246"/>
      <c r="H108" s="246"/>
      <c r="I108" s="246"/>
      <c r="J108" s="246"/>
      <c r="K108" s="246">
        <v>74296305</v>
      </c>
      <c r="L108" s="247">
        <v>370919415</v>
      </c>
      <c r="M108" s="247">
        <v>534053281</v>
      </c>
      <c r="N108" s="247">
        <v>870712174</v>
      </c>
      <c r="O108" s="247">
        <v>1052846072</v>
      </c>
      <c r="P108" s="247">
        <v>1409869512</v>
      </c>
    </row>
    <row r="109" spans="3:16" ht="16" x14ac:dyDescent="0.2">
      <c r="C109" s="260" t="s">
        <v>334</v>
      </c>
      <c r="D109" s="246"/>
      <c r="E109" s="246"/>
      <c r="F109" s="246"/>
      <c r="G109" s="246"/>
      <c r="H109" s="246"/>
      <c r="I109" s="246"/>
      <c r="J109" s="246"/>
      <c r="K109" s="246"/>
      <c r="L109" s="247">
        <v>52896305</v>
      </c>
      <c r="M109" s="247">
        <v>360669423</v>
      </c>
      <c r="N109" s="247">
        <v>491960190</v>
      </c>
      <c r="O109" s="247">
        <v>860012174</v>
      </c>
      <c r="P109" s="247">
        <v>1091748678</v>
      </c>
    </row>
    <row r="110" spans="3:16" ht="16" x14ac:dyDescent="0.2">
      <c r="C110" s="260" t="s">
        <v>335</v>
      </c>
      <c r="D110" s="246"/>
      <c r="E110" s="246"/>
      <c r="F110" s="246"/>
      <c r="G110" s="246"/>
      <c r="H110" s="246"/>
      <c r="I110" s="246"/>
      <c r="J110" s="246"/>
      <c r="K110" s="246"/>
      <c r="L110" s="247"/>
      <c r="M110" s="247">
        <v>52896305</v>
      </c>
      <c r="N110" s="247">
        <v>346003578</v>
      </c>
      <c r="O110" s="247">
        <v>491960190</v>
      </c>
      <c r="P110" s="247">
        <v>885892459</v>
      </c>
    </row>
    <row r="111" spans="3:16" ht="16" x14ac:dyDescent="0.2">
      <c r="C111" s="260" t="s">
        <v>336</v>
      </c>
      <c r="D111" s="246"/>
      <c r="E111" s="246"/>
      <c r="F111" s="246"/>
      <c r="G111" s="246"/>
      <c r="H111" s="246"/>
      <c r="I111" s="246"/>
      <c r="J111" s="246"/>
      <c r="K111" s="246"/>
      <c r="L111" s="247"/>
      <c r="M111" s="247"/>
      <c r="N111" s="247">
        <v>98177641</v>
      </c>
      <c r="O111" s="247">
        <v>444181219</v>
      </c>
      <c r="P111" s="247">
        <v>941141409</v>
      </c>
    </row>
    <row r="112" spans="3:16" x14ac:dyDescent="0.2">
      <c r="C112" s="263" t="s">
        <v>340</v>
      </c>
      <c r="D112" s="264">
        <v>3382579464</v>
      </c>
      <c r="E112" s="264">
        <v>13469430921</v>
      </c>
      <c r="F112" s="264">
        <v>21779092016</v>
      </c>
      <c r="G112" s="264">
        <v>31958511524</v>
      </c>
      <c r="H112" s="264">
        <v>42799955655</v>
      </c>
      <c r="I112" s="264">
        <v>57933433924</v>
      </c>
      <c r="J112" s="264">
        <v>69056405609</v>
      </c>
      <c r="K112" s="264">
        <v>76005949782</v>
      </c>
      <c r="L112" s="264">
        <v>80741787632</v>
      </c>
      <c r="M112" s="264">
        <v>91922475125</v>
      </c>
      <c r="N112" s="264">
        <v>102586153219</v>
      </c>
      <c r="O112" s="264">
        <v>110233388507</v>
      </c>
      <c r="P112" s="264">
        <v>119505025274</v>
      </c>
    </row>
    <row r="117" spans="2:15" x14ac:dyDescent="0.2">
      <c r="B117" s="218">
        <v>6</v>
      </c>
      <c r="C117" s="218" t="s">
        <v>341</v>
      </c>
    </row>
    <row r="119" spans="2:15" x14ac:dyDescent="0.2">
      <c r="D119" s="218">
        <v>1</v>
      </c>
      <c r="E119" s="218">
        <v>2</v>
      </c>
      <c r="F119" s="218">
        <f>E119+1</f>
        <v>3</v>
      </c>
      <c r="G119" s="218">
        <f t="shared" ref="G119:O119" si="2">F119+1</f>
        <v>4</v>
      </c>
      <c r="H119" s="218">
        <f t="shared" si="2"/>
        <v>5</v>
      </c>
      <c r="I119" s="218">
        <f t="shared" si="2"/>
        <v>6</v>
      </c>
      <c r="J119" s="218">
        <f t="shared" si="2"/>
        <v>7</v>
      </c>
      <c r="K119" s="218">
        <f t="shared" si="2"/>
        <v>8</v>
      </c>
      <c r="L119" s="218">
        <f t="shared" si="2"/>
        <v>9</v>
      </c>
      <c r="M119" s="218">
        <f t="shared" si="2"/>
        <v>10</v>
      </c>
      <c r="N119" s="218">
        <f t="shared" si="2"/>
        <v>11</v>
      </c>
      <c r="O119" s="218">
        <f t="shared" si="2"/>
        <v>12</v>
      </c>
    </row>
    <row r="120" spans="2:15" x14ac:dyDescent="0.2">
      <c r="C120" s="218" t="s">
        <v>342</v>
      </c>
      <c r="D120" s="265">
        <v>0.03</v>
      </c>
      <c r="E120" s="265">
        <v>0.03</v>
      </c>
      <c r="F120" s="265">
        <v>0.03</v>
      </c>
      <c r="G120" s="265">
        <v>0.03</v>
      </c>
      <c r="H120" s="265">
        <v>0.03</v>
      </c>
      <c r="I120" s="265">
        <v>0.03</v>
      </c>
      <c r="J120" s="265">
        <v>0.03</v>
      </c>
      <c r="K120" s="265">
        <v>0.08</v>
      </c>
      <c r="L120" s="265">
        <v>0.08</v>
      </c>
      <c r="M120" s="265">
        <v>0.08</v>
      </c>
      <c r="N120" s="265">
        <v>0.08</v>
      </c>
      <c r="O120" s="265">
        <v>0.08</v>
      </c>
    </row>
    <row r="121" spans="2:15" x14ac:dyDescent="0.2">
      <c r="C121" s="218" t="s">
        <v>343</v>
      </c>
      <c r="D121" s="265">
        <v>0.03</v>
      </c>
      <c r="E121" s="265">
        <v>0.03</v>
      </c>
      <c r="F121" s="265">
        <v>0.03</v>
      </c>
      <c r="G121" s="265">
        <v>0.03</v>
      </c>
      <c r="H121" s="265">
        <v>0.03</v>
      </c>
      <c r="I121" s="265">
        <v>0.03</v>
      </c>
      <c r="J121" s="265">
        <v>0.03</v>
      </c>
      <c r="K121" s="265">
        <v>0.08</v>
      </c>
      <c r="L121" s="265">
        <v>0.08</v>
      </c>
      <c r="M121" s="265">
        <v>0.08</v>
      </c>
      <c r="N121" s="265">
        <v>0.08</v>
      </c>
      <c r="O121" s="265">
        <v>0.08</v>
      </c>
    </row>
    <row r="124" spans="2:15" x14ac:dyDescent="0.2">
      <c r="E124" s="218" t="s">
        <v>344</v>
      </c>
      <c r="F124" s="218" t="s">
        <v>345</v>
      </c>
    </row>
    <row r="125" spans="2:15" ht="16" x14ac:dyDescent="0.2">
      <c r="C125" s="218" t="s">
        <v>346</v>
      </c>
      <c r="D125" s="219" t="s">
        <v>177</v>
      </c>
      <c r="E125" s="236">
        <v>6.0846599642670716E-2</v>
      </c>
      <c r="F125" s="236">
        <v>6.0846599642670716E-2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65F1-5F2D-C648-8086-22F5B085575C}">
  <sheetPr>
    <tabColor theme="4" tint="0.59999389629810485"/>
  </sheetPr>
  <dimension ref="A1:BL223"/>
  <sheetViews>
    <sheetView showGridLines="0" zoomScaleNormal="100" zoomScaleSheetLayoutView="55" workbookViewId="0">
      <pane xSplit="3" ySplit="6" topLeftCell="E7"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84" hidden="1" customWidth="1" outlineLevel="1"/>
    <col min="2" max="2" width="6.6640625" style="84" customWidth="1" collapsed="1"/>
    <col min="3" max="3" width="29.83203125" style="84" customWidth="1"/>
    <col min="4" max="4" width="8.5" style="84" customWidth="1"/>
    <col min="5" max="5" width="9" style="84" bestFit="1" customWidth="1"/>
    <col min="6" max="6" width="8.6640625" style="84" bestFit="1" customWidth="1"/>
    <col min="7" max="12" width="9" style="84" bestFit="1" customWidth="1"/>
    <col min="13" max="13" width="8.6640625" style="84" bestFit="1" customWidth="1"/>
    <col min="14" max="15" width="9" style="84" bestFit="1" customWidth="1"/>
    <col min="16" max="16" width="8.6640625" style="84" bestFit="1" customWidth="1"/>
    <col min="17" max="64" width="8.5" style="84" customWidth="1"/>
    <col min="65" max="16384" width="9.1640625" style="84"/>
  </cols>
  <sheetData>
    <row r="1" spans="2:64" ht="20" x14ac:dyDescent="0.2">
      <c r="B1" s="266" t="s">
        <v>347</v>
      </c>
      <c r="C1" s="204"/>
      <c r="E1" s="267"/>
      <c r="F1" s="267"/>
      <c r="G1" s="267"/>
      <c r="H1" s="267"/>
      <c r="I1" s="267"/>
      <c r="J1" s="267"/>
      <c r="K1" s="267"/>
      <c r="L1" s="267"/>
      <c r="AX1" s="147"/>
    </row>
    <row r="2" spans="2:64" ht="20" x14ac:dyDescent="0.2">
      <c r="B2" s="266"/>
      <c r="C2" s="204"/>
      <c r="E2" s="267"/>
      <c r="F2" s="267"/>
      <c r="G2" s="267"/>
      <c r="H2" s="267"/>
      <c r="I2" s="267"/>
      <c r="J2" s="267"/>
      <c r="K2" s="267"/>
      <c r="L2" s="267"/>
      <c r="AX2" s="147"/>
    </row>
    <row r="3" spans="2:64" x14ac:dyDescent="0.15">
      <c r="C3" s="268"/>
      <c r="E3" s="267"/>
      <c r="F3" s="267"/>
      <c r="G3" s="267"/>
      <c r="H3" s="267"/>
      <c r="I3" s="267"/>
      <c r="J3" s="267"/>
      <c r="K3" s="267"/>
      <c r="L3" s="267"/>
      <c r="AV3" s="147"/>
    </row>
    <row r="4" spans="2:64" x14ac:dyDescent="0.15">
      <c r="C4" s="269" t="s">
        <v>348</v>
      </c>
      <c r="D4" s="155"/>
      <c r="F4" s="270"/>
      <c r="G4" s="271"/>
      <c r="H4" s="271"/>
      <c r="I4" s="271"/>
      <c r="J4" s="271"/>
      <c r="K4" s="271"/>
      <c r="L4" s="271"/>
      <c r="M4" s="271"/>
      <c r="N4" s="271"/>
      <c r="O4" s="271"/>
      <c r="P4" s="271"/>
      <c r="Q4" s="271"/>
      <c r="R4" s="271"/>
      <c r="S4" s="271"/>
      <c r="T4" s="271"/>
      <c r="U4" s="271"/>
      <c r="V4" s="271"/>
      <c r="W4" s="271"/>
      <c r="X4" s="271"/>
      <c r="Y4" s="271"/>
      <c r="Z4" s="271"/>
      <c r="AA4" s="271"/>
      <c r="AB4" s="271"/>
    </row>
    <row r="5" spans="2:64" x14ac:dyDescent="0.15">
      <c r="C5" s="155" t="s">
        <v>54</v>
      </c>
      <c r="D5" s="272">
        <v>0</v>
      </c>
      <c r="E5" s="273">
        <f t="shared" ref="E5:BL5" si="0">D5+1</f>
        <v>1</v>
      </c>
      <c r="F5" s="273">
        <f t="shared" si="0"/>
        <v>2</v>
      </c>
      <c r="G5" s="273">
        <f t="shared" si="0"/>
        <v>3</v>
      </c>
      <c r="H5" s="273">
        <f t="shared" si="0"/>
        <v>4</v>
      </c>
      <c r="I5" s="273">
        <f t="shared" si="0"/>
        <v>5</v>
      </c>
      <c r="J5" s="273">
        <f t="shared" si="0"/>
        <v>6</v>
      </c>
      <c r="K5" s="273">
        <f t="shared" si="0"/>
        <v>7</v>
      </c>
      <c r="L5" s="273">
        <f t="shared" si="0"/>
        <v>8</v>
      </c>
      <c r="M5" s="273">
        <f t="shared" si="0"/>
        <v>9</v>
      </c>
      <c r="N5" s="273">
        <f t="shared" si="0"/>
        <v>10</v>
      </c>
      <c r="O5" s="273">
        <f t="shared" si="0"/>
        <v>11</v>
      </c>
      <c r="P5" s="273">
        <f t="shared" si="0"/>
        <v>12</v>
      </c>
      <c r="Q5" s="273">
        <f t="shared" si="0"/>
        <v>13</v>
      </c>
      <c r="R5" s="273">
        <f t="shared" si="0"/>
        <v>14</v>
      </c>
      <c r="S5" s="273">
        <f t="shared" si="0"/>
        <v>15</v>
      </c>
      <c r="T5" s="273">
        <f t="shared" si="0"/>
        <v>16</v>
      </c>
      <c r="U5" s="273">
        <f t="shared" si="0"/>
        <v>17</v>
      </c>
      <c r="V5" s="273">
        <f t="shared" si="0"/>
        <v>18</v>
      </c>
      <c r="W5" s="273">
        <f t="shared" si="0"/>
        <v>19</v>
      </c>
      <c r="X5" s="273">
        <f t="shared" si="0"/>
        <v>20</v>
      </c>
      <c r="Y5" s="273">
        <f t="shared" si="0"/>
        <v>21</v>
      </c>
      <c r="Z5" s="273">
        <f t="shared" si="0"/>
        <v>22</v>
      </c>
      <c r="AA5" s="273">
        <f t="shared" si="0"/>
        <v>23</v>
      </c>
      <c r="AB5" s="273">
        <f t="shared" si="0"/>
        <v>24</v>
      </c>
      <c r="AC5" s="273">
        <f t="shared" si="0"/>
        <v>25</v>
      </c>
      <c r="AD5" s="273">
        <f t="shared" si="0"/>
        <v>26</v>
      </c>
      <c r="AE5" s="273">
        <f t="shared" si="0"/>
        <v>27</v>
      </c>
      <c r="AF5" s="273">
        <f t="shared" si="0"/>
        <v>28</v>
      </c>
      <c r="AG5" s="273">
        <f t="shared" si="0"/>
        <v>29</v>
      </c>
      <c r="AH5" s="273">
        <f t="shared" si="0"/>
        <v>30</v>
      </c>
      <c r="AI5" s="273">
        <f t="shared" si="0"/>
        <v>31</v>
      </c>
      <c r="AJ5" s="273">
        <f t="shared" si="0"/>
        <v>32</v>
      </c>
      <c r="AK5" s="273">
        <f t="shared" si="0"/>
        <v>33</v>
      </c>
      <c r="AL5" s="273">
        <f t="shared" si="0"/>
        <v>34</v>
      </c>
      <c r="AM5" s="273">
        <f t="shared" si="0"/>
        <v>35</v>
      </c>
      <c r="AN5" s="273">
        <f t="shared" si="0"/>
        <v>36</v>
      </c>
      <c r="AO5" s="273">
        <f t="shared" si="0"/>
        <v>37</v>
      </c>
      <c r="AP5" s="273">
        <f t="shared" si="0"/>
        <v>38</v>
      </c>
      <c r="AQ5" s="273">
        <f t="shared" si="0"/>
        <v>39</v>
      </c>
      <c r="AR5" s="273">
        <f t="shared" si="0"/>
        <v>40</v>
      </c>
      <c r="AS5" s="273">
        <f t="shared" si="0"/>
        <v>41</v>
      </c>
      <c r="AT5" s="273">
        <f t="shared" si="0"/>
        <v>42</v>
      </c>
      <c r="AU5" s="273">
        <f t="shared" si="0"/>
        <v>43</v>
      </c>
      <c r="AV5" s="273">
        <f t="shared" si="0"/>
        <v>44</v>
      </c>
      <c r="AW5" s="273">
        <f t="shared" si="0"/>
        <v>45</v>
      </c>
      <c r="AX5" s="273">
        <f t="shared" si="0"/>
        <v>46</v>
      </c>
      <c r="AY5" s="273">
        <f t="shared" si="0"/>
        <v>47</v>
      </c>
      <c r="AZ5" s="273">
        <f t="shared" si="0"/>
        <v>48</v>
      </c>
      <c r="BA5" s="273">
        <f t="shared" si="0"/>
        <v>49</v>
      </c>
      <c r="BB5" s="273">
        <f t="shared" si="0"/>
        <v>50</v>
      </c>
      <c r="BC5" s="273">
        <f t="shared" si="0"/>
        <v>51</v>
      </c>
      <c r="BD5" s="273">
        <f t="shared" si="0"/>
        <v>52</v>
      </c>
      <c r="BE5" s="273">
        <f t="shared" si="0"/>
        <v>53</v>
      </c>
      <c r="BF5" s="273">
        <f t="shared" si="0"/>
        <v>54</v>
      </c>
      <c r="BG5" s="273">
        <f t="shared" si="0"/>
        <v>55</v>
      </c>
      <c r="BH5" s="273">
        <f t="shared" si="0"/>
        <v>56</v>
      </c>
      <c r="BI5" s="273">
        <f t="shared" si="0"/>
        <v>57</v>
      </c>
      <c r="BJ5" s="273">
        <f t="shared" si="0"/>
        <v>58</v>
      </c>
      <c r="BK5" s="273">
        <f t="shared" si="0"/>
        <v>59</v>
      </c>
      <c r="BL5" s="273">
        <f t="shared" si="0"/>
        <v>60</v>
      </c>
    </row>
    <row r="6" spans="2:64" x14ac:dyDescent="0.15">
      <c r="C6" s="155" t="s">
        <v>349</v>
      </c>
      <c r="D6" s="273">
        <f>IF(Leadsheet!$E$12-SAP_Speadsheet!D5&lt;0,0,Leadsheet!$E$12-SAP_Speadsheet!D5)</f>
        <v>16</v>
      </c>
      <c r="E6" s="273">
        <f>IF(Leadsheet!$E$12-SAP_Speadsheet!E5&lt;0,0,Leadsheet!$E$12-SAP_Speadsheet!E5)</f>
        <v>15</v>
      </c>
      <c r="F6" s="273">
        <f>IF(Leadsheet!$E$12-SAP_Speadsheet!F5&lt;0,0,Leadsheet!$E$12-SAP_Speadsheet!F5)</f>
        <v>14</v>
      </c>
      <c r="G6" s="273">
        <f>IF(Leadsheet!$E$12-SAP_Speadsheet!G5&lt;0,0,Leadsheet!$E$12-SAP_Speadsheet!G5)</f>
        <v>13</v>
      </c>
      <c r="H6" s="273">
        <f>IF(Leadsheet!$E$12-SAP_Speadsheet!H5&lt;0,0,Leadsheet!$E$12-SAP_Speadsheet!H5)</f>
        <v>12</v>
      </c>
      <c r="I6" s="273">
        <f>IF(Leadsheet!$E$12-SAP_Speadsheet!I5&lt;0,0,Leadsheet!$E$12-SAP_Speadsheet!I5)</f>
        <v>11</v>
      </c>
      <c r="J6" s="273">
        <f>IF(Leadsheet!$E$12-SAP_Speadsheet!J5&lt;0,0,Leadsheet!$E$12-SAP_Speadsheet!J5)</f>
        <v>10</v>
      </c>
      <c r="K6" s="273">
        <f>IF(Leadsheet!$E$12-SAP_Speadsheet!K5&lt;0,0,Leadsheet!$E$12-SAP_Speadsheet!K5)</f>
        <v>9</v>
      </c>
      <c r="L6" s="273">
        <f>IF(Leadsheet!$E$12-SAP_Speadsheet!L5&lt;0,0,Leadsheet!$E$12-SAP_Speadsheet!L5)</f>
        <v>8</v>
      </c>
      <c r="M6" s="273">
        <f>IF(Leadsheet!$E$12-SAP_Speadsheet!M5&lt;0,0,Leadsheet!$E$12-SAP_Speadsheet!M5)</f>
        <v>7</v>
      </c>
      <c r="N6" s="273">
        <f>IF(Leadsheet!$E$12-SAP_Speadsheet!N5&lt;0,0,Leadsheet!$E$12-SAP_Speadsheet!N5)</f>
        <v>6</v>
      </c>
      <c r="O6" s="273">
        <f>IF(Leadsheet!$E$12-SAP_Speadsheet!O5&lt;0,0,Leadsheet!$E$12-SAP_Speadsheet!O5)</f>
        <v>5</v>
      </c>
      <c r="P6" s="273">
        <f>IF(Leadsheet!$E$12-SAP_Speadsheet!P5&lt;0,0,Leadsheet!$E$12-SAP_Speadsheet!P5)</f>
        <v>4</v>
      </c>
      <c r="Q6" s="273">
        <f>IF(Leadsheet!$E$12-SAP_Speadsheet!Q5&lt;0,0,Leadsheet!$E$12-SAP_Speadsheet!Q5)</f>
        <v>3</v>
      </c>
      <c r="R6" s="273">
        <f>IF(Leadsheet!$E$12-SAP_Speadsheet!R5&lt;0,0,Leadsheet!$E$12-SAP_Speadsheet!R5)</f>
        <v>2</v>
      </c>
      <c r="S6" s="273">
        <f>IF(Leadsheet!$E$12-SAP_Speadsheet!S5&lt;0,0,Leadsheet!$E$12-SAP_Speadsheet!S5)</f>
        <v>1</v>
      </c>
      <c r="T6" s="273">
        <f>IF(Leadsheet!$E$12-SAP_Speadsheet!T5&lt;0,0,Leadsheet!$E$12-SAP_Speadsheet!T5)</f>
        <v>0</v>
      </c>
      <c r="U6" s="273">
        <f>IF(Leadsheet!$E$12-SAP_Speadsheet!U5&lt;0,0,Leadsheet!$E$12-SAP_Speadsheet!U5)</f>
        <v>0</v>
      </c>
      <c r="V6" s="273">
        <f>IF(Leadsheet!$E$12-SAP_Speadsheet!V5&lt;0,0,Leadsheet!$E$12-SAP_Speadsheet!V5)</f>
        <v>0</v>
      </c>
      <c r="W6" s="273">
        <f>IF(Leadsheet!$E$12-SAP_Speadsheet!W5&lt;0,0,Leadsheet!$E$12-SAP_Speadsheet!W5)</f>
        <v>0</v>
      </c>
      <c r="X6" s="273">
        <f>IF(Leadsheet!$E$12-SAP_Speadsheet!X5&lt;0,0,Leadsheet!$E$12-SAP_Speadsheet!X5)</f>
        <v>0</v>
      </c>
      <c r="Y6" s="273">
        <f>IF(Leadsheet!$E$12-SAP_Speadsheet!Y5&lt;0,0,Leadsheet!$E$12-SAP_Speadsheet!Y5)</f>
        <v>0</v>
      </c>
      <c r="Z6" s="273">
        <f>IF(Leadsheet!$E$12-SAP_Speadsheet!Z5&lt;0,0,Leadsheet!$E$12-SAP_Speadsheet!Z5)</f>
        <v>0</v>
      </c>
      <c r="AA6" s="273">
        <f>IF(Leadsheet!$E$12-SAP_Speadsheet!AA5&lt;0,0,Leadsheet!$E$12-SAP_Speadsheet!AA5)</f>
        <v>0</v>
      </c>
      <c r="AB6" s="273">
        <f>IF(Leadsheet!$E$12-SAP_Speadsheet!AB5&lt;0,0,Leadsheet!$E$12-SAP_Speadsheet!AB5)</f>
        <v>0</v>
      </c>
      <c r="AC6" s="273">
        <f>IF(Leadsheet!$E$12-SAP_Speadsheet!AC5&lt;0,0,Leadsheet!$E$12-SAP_Speadsheet!AC5)</f>
        <v>0</v>
      </c>
      <c r="AD6" s="273">
        <f>IF(Leadsheet!$E$12-SAP_Speadsheet!AD5&lt;0,0,Leadsheet!$E$12-SAP_Speadsheet!AD5)</f>
        <v>0</v>
      </c>
      <c r="AE6" s="273">
        <f>IF(Leadsheet!$E$12-SAP_Speadsheet!AE5&lt;0,0,Leadsheet!$E$12-SAP_Speadsheet!AE5)</f>
        <v>0</v>
      </c>
      <c r="AF6" s="273">
        <f>IF(Leadsheet!$E$12-SAP_Speadsheet!AF5&lt;0,0,Leadsheet!$E$12-SAP_Speadsheet!AF5)</f>
        <v>0</v>
      </c>
      <c r="AG6" s="273">
        <f>IF(Leadsheet!$E$12-SAP_Speadsheet!AG5&lt;0,0,Leadsheet!$E$12-SAP_Speadsheet!AG5)</f>
        <v>0</v>
      </c>
      <c r="AH6" s="273">
        <f>IF(Leadsheet!$E$12-SAP_Speadsheet!AH5&lt;0,0,Leadsheet!$E$12-SAP_Speadsheet!AH5)</f>
        <v>0</v>
      </c>
      <c r="AI6" s="273">
        <f>IF(Leadsheet!$E$12-SAP_Speadsheet!AI5&lt;0,0,Leadsheet!$E$12-SAP_Speadsheet!AI5)</f>
        <v>0</v>
      </c>
      <c r="AJ6" s="273">
        <f>IF(Leadsheet!$E$12-SAP_Speadsheet!AJ5&lt;0,0,Leadsheet!$E$12-SAP_Speadsheet!AJ5)</f>
        <v>0</v>
      </c>
      <c r="AK6" s="273">
        <f>IF(Leadsheet!$E$12-SAP_Speadsheet!AK5&lt;0,0,Leadsheet!$E$12-SAP_Speadsheet!AK5)</f>
        <v>0</v>
      </c>
      <c r="AL6" s="273">
        <f>IF(Leadsheet!$E$12-SAP_Speadsheet!AL5&lt;0,0,Leadsheet!$E$12-SAP_Speadsheet!AL5)</f>
        <v>0</v>
      </c>
      <c r="AM6" s="273">
        <f>IF(Leadsheet!$E$12-SAP_Speadsheet!AM5&lt;0,0,Leadsheet!$E$12-SAP_Speadsheet!AM5)</f>
        <v>0</v>
      </c>
      <c r="AN6" s="273">
        <f>IF(Leadsheet!$E$12-SAP_Speadsheet!AN5&lt;0,0,Leadsheet!$E$12-SAP_Speadsheet!AN5)</f>
        <v>0</v>
      </c>
      <c r="AO6" s="273">
        <f>IF(Leadsheet!$E$12-SAP_Speadsheet!AO5&lt;0,0,Leadsheet!$E$12-SAP_Speadsheet!AO5)</f>
        <v>0</v>
      </c>
      <c r="AP6" s="273">
        <f>IF(Leadsheet!$E$12-SAP_Speadsheet!AP5&lt;0,0,Leadsheet!$E$12-SAP_Speadsheet!AP5)</f>
        <v>0</v>
      </c>
      <c r="AQ6" s="273">
        <f>IF(Leadsheet!$E$12-SAP_Speadsheet!AQ5&lt;0,0,Leadsheet!$E$12-SAP_Speadsheet!AQ5)</f>
        <v>0</v>
      </c>
      <c r="AR6" s="273">
        <f>IF(Leadsheet!$E$12-SAP_Speadsheet!AR5&lt;0,0,Leadsheet!$E$12-SAP_Speadsheet!AR5)</f>
        <v>0</v>
      </c>
      <c r="AS6" s="273">
        <f>IF(Leadsheet!$E$12-SAP_Speadsheet!AS5&lt;0,0,Leadsheet!$E$12-SAP_Speadsheet!AS5)</f>
        <v>0</v>
      </c>
      <c r="AT6" s="273">
        <f>IF(Leadsheet!$E$12-SAP_Speadsheet!AT5&lt;0,0,Leadsheet!$E$12-SAP_Speadsheet!AT5)</f>
        <v>0</v>
      </c>
      <c r="AU6" s="273">
        <f>IF(Leadsheet!$E$12-SAP_Speadsheet!AU5&lt;0,0,Leadsheet!$E$12-SAP_Speadsheet!AU5)</f>
        <v>0</v>
      </c>
      <c r="AV6" s="273">
        <f>IF(Leadsheet!$E$12-SAP_Speadsheet!AV5&lt;0,0,Leadsheet!$E$12-SAP_Speadsheet!AV5)</f>
        <v>0</v>
      </c>
      <c r="AW6" s="273">
        <f>IF(Leadsheet!$E$12-SAP_Speadsheet!AW5&lt;0,0,Leadsheet!$E$12-SAP_Speadsheet!AW5)</f>
        <v>0</v>
      </c>
      <c r="AX6" s="273">
        <f>IF(Leadsheet!$E$12-SAP_Speadsheet!AX5&lt;0,0,Leadsheet!$E$12-SAP_Speadsheet!AX5)</f>
        <v>0</v>
      </c>
      <c r="AY6" s="273">
        <f>IF(Leadsheet!$E$12-SAP_Speadsheet!AY5&lt;0,0,Leadsheet!$E$12-SAP_Speadsheet!AY5)</f>
        <v>0</v>
      </c>
      <c r="AZ6" s="273">
        <f>IF(Leadsheet!$E$12-SAP_Speadsheet!AZ5&lt;0,0,Leadsheet!$E$12-SAP_Speadsheet!AZ5)</f>
        <v>0</v>
      </c>
      <c r="BA6" s="273">
        <f>IF(Leadsheet!$E$12-SAP_Speadsheet!BA5&lt;0,0,Leadsheet!$E$12-SAP_Speadsheet!BA5)</f>
        <v>0</v>
      </c>
      <c r="BB6" s="273">
        <f>IF(Leadsheet!$E$12-SAP_Speadsheet!BB5&lt;0,0,Leadsheet!$E$12-SAP_Speadsheet!BB5)</f>
        <v>0</v>
      </c>
      <c r="BC6" s="273">
        <f>IF(Leadsheet!$E$12-SAP_Speadsheet!BC5&lt;0,0,Leadsheet!$E$12-SAP_Speadsheet!BC5)</f>
        <v>0</v>
      </c>
      <c r="BD6" s="267">
        <f>IF(Leadsheet!$E$12-SAP_Speadsheet!BD5&lt;0,0,Leadsheet!$E$12-SAP_Speadsheet!BD5)</f>
        <v>0</v>
      </c>
      <c r="BE6" s="267">
        <f>IF(Leadsheet!$E$12-SAP_Speadsheet!BE5&lt;0,0,Leadsheet!$E$12-SAP_Speadsheet!BE5)</f>
        <v>0</v>
      </c>
      <c r="BF6" s="267">
        <f>IF(Leadsheet!$E$12-SAP_Speadsheet!BF5&lt;0,0,Leadsheet!$E$12-SAP_Speadsheet!BF5)</f>
        <v>0</v>
      </c>
      <c r="BG6" s="267">
        <f>IF(Leadsheet!$E$12-SAP_Speadsheet!BG5&lt;0,0,Leadsheet!$E$12-SAP_Speadsheet!BG5)</f>
        <v>0</v>
      </c>
      <c r="BH6" s="267">
        <f>IF(Leadsheet!$E$12-SAP_Speadsheet!BH5&lt;0,0,Leadsheet!$E$12-SAP_Speadsheet!BH5)</f>
        <v>0</v>
      </c>
      <c r="BI6" s="267">
        <f>IF(Leadsheet!$E$12-SAP_Speadsheet!BI5&lt;0,0,Leadsheet!$E$12-SAP_Speadsheet!BI5)</f>
        <v>0</v>
      </c>
      <c r="BJ6" s="267">
        <f>IF(Leadsheet!$E$12-SAP_Speadsheet!BJ5&lt;0,0,Leadsheet!$E$12-SAP_Speadsheet!BJ5)</f>
        <v>0</v>
      </c>
      <c r="BK6" s="267">
        <f>IF(Leadsheet!$E$12-SAP_Speadsheet!BK5&lt;0,0,Leadsheet!$E$12-SAP_Speadsheet!BK5)</f>
        <v>0</v>
      </c>
      <c r="BL6" s="267">
        <f>IF(Leadsheet!$E$12-SAP_Speadsheet!BL5&lt;0,0,Leadsheet!$E$12-SAP_Speadsheet!BL5)</f>
        <v>0</v>
      </c>
    </row>
    <row r="7" spans="2:64" x14ac:dyDescent="0.15">
      <c r="C7" s="155" t="s">
        <v>350</v>
      </c>
      <c r="D7" s="267">
        <f>Leadsheet!E13+Leadsheet!E12</f>
        <v>22</v>
      </c>
    </row>
    <row r="8" spans="2:64" x14ac:dyDescent="0.15">
      <c r="C8" s="155"/>
      <c r="E8" s="267"/>
    </row>
    <row r="9" spans="2:64" ht="13" thickBot="1" x14ac:dyDescent="0.2">
      <c r="B9" s="274" t="s">
        <v>351</v>
      </c>
      <c r="C9" s="275"/>
      <c r="D9" s="276"/>
      <c r="E9" s="277"/>
      <c r="F9" s="276"/>
      <c r="G9" s="276"/>
      <c r="H9" s="276"/>
      <c r="I9" s="276"/>
      <c r="J9" s="276"/>
      <c r="K9" s="276"/>
      <c r="L9" s="276"/>
      <c r="M9" s="276"/>
      <c r="N9" s="276"/>
      <c r="O9" s="276"/>
      <c r="P9" s="276"/>
      <c r="Q9" s="276"/>
      <c r="R9" s="276"/>
      <c r="S9" s="276"/>
      <c r="T9" s="276"/>
      <c r="U9" s="276"/>
      <c r="V9" s="276"/>
      <c r="W9" s="276"/>
      <c r="X9" s="276"/>
      <c r="Y9" s="276"/>
      <c r="Z9" s="276"/>
      <c r="AA9" s="276"/>
      <c r="AB9" s="276"/>
      <c r="AC9" s="276"/>
      <c r="AD9" s="276"/>
      <c r="AE9" s="276"/>
      <c r="AF9" s="276"/>
      <c r="AG9" s="276"/>
      <c r="AH9" s="276"/>
      <c r="AI9" s="276"/>
      <c r="AJ9" s="276"/>
      <c r="AK9" s="276"/>
      <c r="AL9" s="276"/>
      <c r="AM9" s="276"/>
      <c r="AN9" s="276"/>
      <c r="AO9" s="276"/>
      <c r="AP9" s="276"/>
      <c r="AQ9" s="276"/>
      <c r="AR9" s="276"/>
      <c r="AS9" s="276"/>
      <c r="AT9" s="276"/>
      <c r="AU9" s="276"/>
      <c r="AV9" s="276"/>
      <c r="AW9" s="276"/>
      <c r="AX9" s="276"/>
      <c r="AY9" s="276"/>
      <c r="AZ9" s="276"/>
      <c r="BA9" s="276"/>
      <c r="BB9" s="276"/>
      <c r="BC9" s="276"/>
      <c r="BD9" s="276"/>
      <c r="BE9" s="276"/>
      <c r="BF9" s="276"/>
      <c r="BG9" s="276"/>
      <c r="BH9" s="276"/>
      <c r="BI9" s="276"/>
      <c r="BJ9" s="276"/>
      <c r="BK9" s="276"/>
      <c r="BL9" s="276"/>
    </row>
    <row r="10" spans="2:64" ht="12" thickTop="1" x14ac:dyDescent="0.15">
      <c r="B10" s="155" t="s">
        <v>352</v>
      </c>
      <c r="C10" s="155"/>
      <c r="E10" s="267"/>
    </row>
    <row r="11" spans="2:64" x14ac:dyDescent="0.15">
      <c r="C11" s="84" t="s">
        <v>353</v>
      </c>
      <c r="D11" s="278">
        <f>Leadsheet!E18</f>
        <v>0.45290893795156428</v>
      </c>
      <c r="E11" s="278">
        <f>IF(E$5&gt;$D$7,0,VLOOKUP(SAP_Speadsheet!E$5,Leadsheet!$C$18:$F$23,3,1))</f>
        <v>0.45290893795156428</v>
      </c>
      <c r="F11" s="278">
        <f>IF(F$5&gt;$D$7,0,VLOOKUP(SAP_Speadsheet!F$5,Leadsheet!$C$18:$F$23,3,1))</f>
        <v>0.45290893795156428</v>
      </c>
      <c r="G11" s="278">
        <f>IF(G$5&gt;$D$7,0,VLOOKUP(SAP_Speadsheet!G$5,Leadsheet!$C$18:$F$23,3,1))</f>
        <v>0.45290893795156428</v>
      </c>
      <c r="H11" s="278">
        <f>IF(H$5&gt;$D$7,0,VLOOKUP(SAP_Speadsheet!H$5,Leadsheet!$C$18:$F$23,3,1))</f>
        <v>0.45290893795156428</v>
      </c>
      <c r="I11" s="278">
        <f>IF(I$5&gt;$D$7,0,VLOOKUP(SAP_Speadsheet!I$5,Leadsheet!$C$18:$F$23,3,1))</f>
        <v>0.45290893795156428</v>
      </c>
      <c r="J11" s="278">
        <f>IF(J$5&gt;$D$7,0,VLOOKUP(SAP_Speadsheet!J$5,Leadsheet!$C$18:$F$23,3,1))</f>
        <v>0.45290893795156428</v>
      </c>
      <c r="K11" s="278">
        <f>IF(K$5&gt;$D$7,0,VLOOKUP(SAP_Speadsheet!K$5,Leadsheet!$C$18:$F$23,3,1))</f>
        <v>0.45290893795156428</v>
      </c>
      <c r="L11" s="278">
        <f>IF(L$5&gt;$D$7,0,VLOOKUP(SAP_Speadsheet!L$5,Leadsheet!$C$18:$F$23,3,1))</f>
        <v>0.45290893795156428</v>
      </c>
      <c r="M11" s="278">
        <f>IF(M$5&gt;$D$7,0,VLOOKUP(SAP_Speadsheet!M$5,Leadsheet!$C$18:$F$23,3,1))</f>
        <v>0.45290893795156428</v>
      </c>
      <c r="N11" s="278">
        <f>IF(N$5&gt;$D$7,0,VLOOKUP(SAP_Speadsheet!N$5,Leadsheet!$C$18:$F$23,3,1))</f>
        <v>0.45290893795156428</v>
      </c>
      <c r="O11" s="278">
        <f>IF(O$5&gt;$D$7,0,VLOOKUP(SAP_Speadsheet!O$5,Leadsheet!$C$18:$F$23,3,1))</f>
        <v>0.45290893795156428</v>
      </c>
      <c r="P11" s="278">
        <f>IF(P$5&gt;$D$7,0,VLOOKUP(SAP_Speadsheet!P$5,Leadsheet!$C$18:$F$23,3,1))</f>
        <v>0.45290893795156428</v>
      </c>
      <c r="Q11" s="278">
        <f>IF(Q$5&gt;$D$7,0,VLOOKUP(SAP_Speadsheet!Q$5,Leadsheet!$C$18:$F$23,3,1))</f>
        <v>0.45290893795156428</v>
      </c>
      <c r="R11" s="278">
        <f>IF(R$5&gt;$D$7,0,VLOOKUP(SAP_Speadsheet!R$5,Leadsheet!$C$18:$F$23,3,1))</f>
        <v>0.45290893795156428</v>
      </c>
      <c r="S11" s="278">
        <f>IF(S$5&gt;$D$7,0,VLOOKUP(SAP_Speadsheet!S$5,Leadsheet!$C$18:$F$23,3,1))</f>
        <v>0.45290893795156428</v>
      </c>
      <c r="T11" s="278">
        <f>IF(T$5&gt;$D$7,0,VLOOKUP(SAP_Speadsheet!T$5,Leadsheet!$C$18:$F$23,3,1))</f>
        <v>0.45290893795156428</v>
      </c>
      <c r="U11" s="278">
        <f>IF(U$5&gt;$D$7,0,VLOOKUP(SAP_Speadsheet!U$5,Leadsheet!$C$18:$F$23,3,1))</f>
        <v>0.45290893795156428</v>
      </c>
      <c r="V11" s="278">
        <f>IF(V$5&gt;$D$7,0,VLOOKUP(SAP_Speadsheet!V$5,Leadsheet!$C$18:$F$23,3,1))</f>
        <v>0.45290893795156428</v>
      </c>
      <c r="W11" s="278">
        <f>IF(W$5&gt;$D$7,0,VLOOKUP(SAP_Speadsheet!W$5,Leadsheet!$C$18:$F$23,3,1))</f>
        <v>0.45290893795156428</v>
      </c>
      <c r="X11" s="278">
        <f>IF(X$5&gt;$D$7,0,VLOOKUP(SAP_Speadsheet!X$5,Leadsheet!$C$18:$F$23,3,1))</f>
        <v>0.45290893795156428</v>
      </c>
      <c r="Y11" s="278">
        <f>IF(Y$5&gt;$D$7,0,VLOOKUP(SAP_Speadsheet!Y$5,Leadsheet!$C$18:$F$23,3,1))</f>
        <v>0.45290893795156428</v>
      </c>
      <c r="Z11" s="278">
        <f>IF(Z$5&gt;$D$7,0,VLOOKUP(SAP_Speadsheet!Z$5,Leadsheet!$C$18:$F$23,3,1))</f>
        <v>0.45290893795156428</v>
      </c>
      <c r="AA11" s="278">
        <f>IF(AA$5&gt;$D$7,0,VLOOKUP(SAP_Speadsheet!AA$5,Leadsheet!$C$18:$F$23,3,1))</f>
        <v>0</v>
      </c>
      <c r="AB11" s="278">
        <f>IF(AB$5&gt;$D$7,0,VLOOKUP(SAP_Speadsheet!AB$5,Leadsheet!$C$18:$F$23,3,1))</f>
        <v>0</v>
      </c>
      <c r="AC11" s="278">
        <f>IF(AC$5&gt;$D$7,0,VLOOKUP(SAP_Speadsheet!AC$5,Leadsheet!$C$18:$F$23,3,1))</f>
        <v>0</v>
      </c>
      <c r="AD11" s="278">
        <f>IF(AD$5&gt;$D$7,0,VLOOKUP(SAP_Speadsheet!AD$5,Leadsheet!$C$18:$F$23,3,1))</f>
        <v>0</v>
      </c>
      <c r="AE11" s="278">
        <f>IF(AE$5&gt;$D$7,0,VLOOKUP(SAP_Speadsheet!AE$5,Leadsheet!$C$18:$F$23,3,1))</f>
        <v>0</v>
      </c>
      <c r="AF11" s="278">
        <f>IF(AF$5&gt;$D$7,0,VLOOKUP(SAP_Speadsheet!AF$5,Leadsheet!$C$18:$F$23,3,1))</f>
        <v>0</v>
      </c>
      <c r="AG11" s="278">
        <f>IF(AG$5&gt;$D$7,0,VLOOKUP(SAP_Speadsheet!AG$5,Leadsheet!$C$18:$F$23,3,1))</f>
        <v>0</v>
      </c>
      <c r="AH11" s="278">
        <f>IF(AH$5&gt;$D$7,0,VLOOKUP(SAP_Speadsheet!AH$5,Leadsheet!$C$18:$F$23,3,1))</f>
        <v>0</v>
      </c>
      <c r="AI11" s="278">
        <f>IF(AI$5&gt;$D$7,0,VLOOKUP(SAP_Speadsheet!AI$5,Leadsheet!$C$18:$F$23,3,1))</f>
        <v>0</v>
      </c>
      <c r="AJ11" s="278">
        <f>IF(AJ$5&gt;$D$7,0,VLOOKUP(SAP_Speadsheet!AJ$5,Leadsheet!$C$18:$F$23,3,1))</f>
        <v>0</v>
      </c>
      <c r="AK11" s="278">
        <f>IF(AK$5&gt;$D$7,0,VLOOKUP(SAP_Speadsheet!AK$5,Leadsheet!$C$18:$F$23,3,1))</f>
        <v>0</v>
      </c>
      <c r="AL11" s="278">
        <f>IF(AL$5&gt;$D$7,0,VLOOKUP(SAP_Speadsheet!AL$5,Leadsheet!$C$18:$F$23,3,1))</f>
        <v>0</v>
      </c>
      <c r="AM11" s="278">
        <f>IF(AM$5&gt;$D$7,0,VLOOKUP(SAP_Speadsheet!AM$5,Leadsheet!$C$18:$F$23,3,1))</f>
        <v>0</v>
      </c>
      <c r="AN11" s="278">
        <f>IF(AN$5&gt;$D$7,0,VLOOKUP(SAP_Speadsheet!AN$5,Leadsheet!$C$18:$F$23,3,1))</f>
        <v>0</v>
      </c>
      <c r="AO11" s="278">
        <f>IF(AO$5&gt;$D$7,0,VLOOKUP(SAP_Speadsheet!AO$5,Leadsheet!$C$18:$F$23,3,1))</f>
        <v>0</v>
      </c>
      <c r="AP11" s="278">
        <f>IF(AP$5&gt;$D$7,0,VLOOKUP(SAP_Speadsheet!AP$5,Leadsheet!$C$18:$F$23,3,1))</f>
        <v>0</v>
      </c>
      <c r="AQ11" s="278">
        <f>IF(AQ$5&gt;$D$7,0,VLOOKUP(SAP_Speadsheet!AQ$5,Leadsheet!$C$18:$F$23,3,1))</f>
        <v>0</v>
      </c>
      <c r="AR11" s="278">
        <f>IF(AR$5&gt;$D$7,0,VLOOKUP(SAP_Speadsheet!AR$5,Leadsheet!$C$18:$F$23,3,1))</f>
        <v>0</v>
      </c>
      <c r="AS11" s="278">
        <f>IF(AS$5&gt;$D$7,0,VLOOKUP(SAP_Speadsheet!AS$5,Leadsheet!$C$18:$F$23,3,1))</f>
        <v>0</v>
      </c>
      <c r="AT11" s="278">
        <f>IF(AT$5&gt;$D$7,0,VLOOKUP(SAP_Speadsheet!AT$5,Leadsheet!$C$18:$F$23,3,1))</f>
        <v>0</v>
      </c>
      <c r="AU11" s="278">
        <f>IF(AU$5&gt;$D$7,0,VLOOKUP(SAP_Speadsheet!AU$5,Leadsheet!$C$18:$F$23,3,1))</f>
        <v>0</v>
      </c>
      <c r="AV11" s="278">
        <f>IF(AV$5&gt;$D$7,0,VLOOKUP(SAP_Speadsheet!AV$5,Leadsheet!$C$18:$F$23,3,1))</f>
        <v>0</v>
      </c>
      <c r="AW11" s="278">
        <f>IF(AW$5&gt;$D$7,0,VLOOKUP(SAP_Speadsheet!AW$5,Leadsheet!$C$18:$F$23,3,1))</f>
        <v>0</v>
      </c>
      <c r="AX11" s="278">
        <f>IF(AX$5&gt;$D$7,0,VLOOKUP(SAP_Speadsheet!AX$5,Leadsheet!$C$18:$F$23,3,1))</f>
        <v>0</v>
      </c>
      <c r="AY11" s="278">
        <f>IF(AY$5&gt;$D$7,0,VLOOKUP(SAP_Speadsheet!AY$5,Leadsheet!$C$18:$F$23,3,1))</f>
        <v>0</v>
      </c>
      <c r="AZ11" s="278">
        <f>IF(AZ$5&gt;$D$7,0,VLOOKUP(SAP_Speadsheet!AZ$5,Leadsheet!$C$18:$F$23,3,1))</f>
        <v>0</v>
      </c>
      <c r="BA11" s="278">
        <f>IF(BA$5&gt;$D$7,0,VLOOKUP(SAP_Speadsheet!BA$5,Leadsheet!$C$18:$F$23,3,1))</f>
        <v>0</v>
      </c>
      <c r="BB11" s="278">
        <f>IF(BB$5&gt;$D$7,0,VLOOKUP(SAP_Speadsheet!BB$5,Leadsheet!$C$18:$F$23,3,1))</f>
        <v>0</v>
      </c>
      <c r="BC11" s="278">
        <f>IF(BC$5&gt;$D$7,0,VLOOKUP(SAP_Speadsheet!BC$5,Leadsheet!$C$18:$F$23,3,1))</f>
        <v>0</v>
      </c>
      <c r="BD11" s="278">
        <f>IF(BD$5&gt;$D$7,0,VLOOKUP(SAP_Speadsheet!BD$5,Leadsheet!$C$18:$F$23,3,1))</f>
        <v>0</v>
      </c>
      <c r="BE11" s="278">
        <f>IF(BE$5&gt;$D$7,0,VLOOKUP(SAP_Speadsheet!BE$5,Leadsheet!$C$18:$F$23,3,1))</f>
        <v>0</v>
      </c>
      <c r="BF11" s="278">
        <f>IF(BF$5&gt;$D$7,0,VLOOKUP(SAP_Speadsheet!BF$5,Leadsheet!$C$18:$F$23,3,1))</f>
        <v>0</v>
      </c>
      <c r="BG11" s="278">
        <f>IF(BG$5&gt;$D$7,0,VLOOKUP(SAP_Speadsheet!BG$5,Leadsheet!$C$18:$F$23,3,1))</f>
        <v>0</v>
      </c>
      <c r="BH11" s="278">
        <f>IF(BH$5&gt;$D$7,0,VLOOKUP(SAP_Speadsheet!BH$5,Leadsheet!$C$18:$F$23,3,1))</f>
        <v>0</v>
      </c>
      <c r="BI11" s="278">
        <f>IF(BI$5&gt;$D$7,0,VLOOKUP(SAP_Speadsheet!BI$5,Leadsheet!$C$18:$F$23,3,1))</f>
        <v>0</v>
      </c>
      <c r="BJ11" s="278">
        <f>IF(BJ$5&gt;$D$7,0,VLOOKUP(SAP_Speadsheet!BJ$5,Leadsheet!$C$18:$F$23,3,1))</f>
        <v>0</v>
      </c>
      <c r="BK11" s="278">
        <f>IF(BK$5&gt;$D$7,0,VLOOKUP(SAP_Speadsheet!BK$5,Leadsheet!$C$18:$F$23,3,1))</f>
        <v>0</v>
      </c>
      <c r="BL11" s="278">
        <f>IF(BL$5&gt;$D$7,0,VLOOKUP(SAP_Speadsheet!BL$5,Leadsheet!$C$18:$F$23,3,1))</f>
        <v>0</v>
      </c>
    </row>
    <row r="12" spans="2:64" x14ac:dyDescent="0.15">
      <c r="C12" s="84" t="s">
        <v>354</v>
      </c>
      <c r="D12" s="278">
        <f>Leadsheet!F18</f>
        <v>7.3999999999999996E-2</v>
      </c>
      <c r="E12" s="278">
        <f>IF(E$5&gt;$D$7,0,VLOOKUP(SAP_Speadsheet!E$5,Leadsheet!$C$18:$F$23,4,1))</f>
        <v>7.3999999999999996E-2</v>
      </c>
      <c r="F12" s="278">
        <f>IF(F$5&gt;$D$7,0,VLOOKUP(SAP_Speadsheet!F$5,Leadsheet!$C$18:$F$23,4,1))</f>
        <v>7.3999999999999996E-2</v>
      </c>
      <c r="G12" s="278">
        <f>IF(G$5&gt;$D$7,0,VLOOKUP(SAP_Speadsheet!G$5,Leadsheet!$C$18:$F$23,4,1))</f>
        <v>7.3999999999999996E-2</v>
      </c>
      <c r="H12" s="278">
        <f>IF(H$5&gt;$D$7,0,VLOOKUP(SAP_Speadsheet!H$5,Leadsheet!$C$18:$F$23,4,1))</f>
        <v>7.3999999999999996E-2</v>
      </c>
      <c r="I12" s="278">
        <f>IF(I$5&gt;$D$7,0,VLOOKUP(SAP_Speadsheet!I$5,Leadsheet!$C$18:$F$23,4,1))</f>
        <v>7.3999999999999996E-2</v>
      </c>
      <c r="J12" s="278">
        <f>IF(J$5&gt;$D$7,0,VLOOKUP(SAP_Speadsheet!J$5,Leadsheet!$C$18:$F$23,4,1))</f>
        <v>7.3999999999999996E-2</v>
      </c>
      <c r="K12" s="278">
        <f>IF(K$5&gt;$D$7,0,VLOOKUP(SAP_Speadsheet!K$5,Leadsheet!$C$18:$F$23,4,1))</f>
        <v>7.3999999999999996E-2</v>
      </c>
      <c r="L12" s="278">
        <f>IF(L$5&gt;$D$7,0,VLOOKUP(SAP_Speadsheet!L$5,Leadsheet!$C$18:$F$23,4,1))</f>
        <v>7.3999999999999996E-2</v>
      </c>
      <c r="M12" s="278">
        <f>IF(M$5&gt;$D$7,0,VLOOKUP(SAP_Speadsheet!M$5,Leadsheet!$C$18:$F$23,4,1))</f>
        <v>7.3999999999999996E-2</v>
      </c>
      <c r="N12" s="278">
        <f>IF(N$5&gt;$D$7,0,VLOOKUP(SAP_Speadsheet!N$5,Leadsheet!$C$18:$F$23,4,1))</f>
        <v>7.3999999999999996E-2</v>
      </c>
      <c r="O12" s="278">
        <f>IF(O$5&gt;$D$7,0,VLOOKUP(SAP_Speadsheet!O$5,Leadsheet!$C$18:$F$23,4,1))</f>
        <v>7.3999999999999996E-2</v>
      </c>
      <c r="P12" s="278">
        <f>IF(P$5&gt;$D$7,0,VLOOKUP(SAP_Speadsheet!P$5,Leadsheet!$C$18:$F$23,4,1))</f>
        <v>7.3999999999999996E-2</v>
      </c>
      <c r="Q12" s="278">
        <f>IF(Q$5&gt;$D$7,0,VLOOKUP(SAP_Speadsheet!Q$5,Leadsheet!$C$18:$F$23,4,1))</f>
        <v>7.3999999999999996E-2</v>
      </c>
      <c r="R12" s="278">
        <f>IF(R$5&gt;$D$7,0,VLOOKUP(SAP_Speadsheet!R$5,Leadsheet!$C$18:$F$23,4,1))</f>
        <v>7.3999999999999996E-2</v>
      </c>
      <c r="S12" s="278">
        <f>IF(S$5&gt;$D$7,0,VLOOKUP(SAP_Speadsheet!S$5,Leadsheet!$C$18:$F$23,4,1))</f>
        <v>7.3999999999999996E-2</v>
      </c>
      <c r="T12" s="278">
        <f>IF(T$5&gt;$D$7,0,VLOOKUP(SAP_Speadsheet!T$5,Leadsheet!$C$18:$F$23,4,1))</f>
        <v>7.3999999999999996E-2</v>
      </c>
      <c r="U12" s="278">
        <f>IF(U$5&gt;$D$7,0,VLOOKUP(SAP_Speadsheet!U$5,Leadsheet!$C$18:$F$23,4,1))</f>
        <v>7.3999999999999996E-2</v>
      </c>
      <c r="V12" s="278">
        <f>IF(V$5&gt;$D$7,0,VLOOKUP(SAP_Speadsheet!V$5,Leadsheet!$C$18:$F$23,4,1))</f>
        <v>7.3999999999999996E-2</v>
      </c>
      <c r="W12" s="278">
        <f>IF(W$5&gt;$D$7,0,VLOOKUP(SAP_Speadsheet!W$5,Leadsheet!$C$18:$F$23,4,1))</f>
        <v>7.3999999999999996E-2</v>
      </c>
      <c r="X12" s="278">
        <f>IF(X$5&gt;$D$7,0,VLOOKUP(SAP_Speadsheet!X$5,Leadsheet!$C$18:$F$23,4,1))</f>
        <v>7.3999999999999996E-2</v>
      </c>
      <c r="Y12" s="278">
        <f>IF(Y$5&gt;$D$7,0,VLOOKUP(SAP_Speadsheet!Y$5,Leadsheet!$C$18:$F$23,4,1))</f>
        <v>7.3999999999999996E-2</v>
      </c>
      <c r="Z12" s="278">
        <f>IF(Z$5&gt;$D$7,0,VLOOKUP(SAP_Speadsheet!Z$5,Leadsheet!$C$18:$F$23,4,1))</f>
        <v>7.3999999999999996E-2</v>
      </c>
      <c r="AA12" s="278">
        <f>IF(AA$5&gt;$D$7,0,VLOOKUP(SAP_Speadsheet!AA$5,Leadsheet!$C$18:$F$23,4,1))</f>
        <v>0</v>
      </c>
      <c r="AB12" s="278">
        <f>IF(AB$5&gt;$D$7,0,VLOOKUP(SAP_Speadsheet!AB$5,Leadsheet!$C$18:$F$23,4,1))</f>
        <v>0</v>
      </c>
      <c r="AC12" s="278">
        <f>IF(AC$5&gt;$D$7,0,VLOOKUP(SAP_Speadsheet!AC$5,Leadsheet!$C$18:$F$23,4,1))</f>
        <v>0</v>
      </c>
      <c r="AD12" s="278">
        <f>IF(AD$5&gt;$D$7,0,VLOOKUP(SAP_Speadsheet!AD$5,Leadsheet!$C$18:$F$23,4,1))</f>
        <v>0</v>
      </c>
      <c r="AE12" s="278">
        <f>IF(AE$5&gt;$D$7,0,VLOOKUP(SAP_Speadsheet!AE$5,Leadsheet!$C$18:$F$23,4,1))</f>
        <v>0</v>
      </c>
      <c r="AF12" s="278">
        <f>IF(AF$5&gt;$D$7,0,VLOOKUP(SAP_Speadsheet!AF$5,Leadsheet!$C$18:$F$23,4,1))</f>
        <v>0</v>
      </c>
      <c r="AG12" s="278">
        <f>IF(AG$5&gt;$D$7,0,VLOOKUP(SAP_Speadsheet!AG$5,Leadsheet!$C$18:$F$23,4,1))</f>
        <v>0</v>
      </c>
      <c r="AH12" s="278">
        <f>IF(AH$5&gt;$D$7,0,VLOOKUP(SAP_Speadsheet!AH$5,Leadsheet!$C$18:$F$23,4,1))</f>
        <v>0</v>
      </c>
      <c r="AI12" s="278">
        <f>IF(AI$5&gt;$D$7,0,VLOOKUP(SAP_Speadsheet!AI$5,Leadsheet!$C$18:$F$23,4,1))</f>
        <v>0</v>
      </c>
      <c r="AJ12" s="278">
        <f>IF(AJ$5&gt;$D$7,0,VLOOKUP(SAP_Speadsheet!AJ$5,Leadsheet!$C$18:$F$23,4,1))</f>
        <v>0</v>
      </c>
      <c r="AK12" s="278">
        <f>IF(AK$5&gt;$D$7,0,VLOOKUP(SAP_Speadsheet!AK$5,Leadsheet!$C$18:$F$23,4,1))</f>
        <v>0</v>
      </c>
      <c r="AL12" s="278">
        <f>IF(AL$5&gt;$D$7,0,VLOOKUP(SAP_Speadsheet!AL$5,Leadsheet!$C$18:$F$23,4,1))</f>
        <v>0</v>
      </c>
      <c r="AM12" s="278">
        <f>IF(AM$5&gt;$D$7,0,VLOOKUP(SAP_Speadsheet!AM$5,Leadsheet!$C$18:$F$23,4,1))</f>
        <v>0</v>
      </c>
      <c r="AN12" s="278">
        <f>IF(AN$5&gt;$D$7,0,VLOOKUP(SAP_Speadsheet!AN$5,Leadsheet!$C$18:$F$23,4,1))</f>
        <v>0</v>
      </c>
      <c r="AO12" s="278">
        <f>IF(AO$5&gt;$D$7,0,VLOOKUP(SAP_Speadsheet!AO$5,Leadsheet!$C$18:$F$23,4,1))</f>
        <v>0</v>
      </c>
      <c r="AP12" s="278">
        <f>IF(AP$5&gt;$D$7,0,VLOOKUP(SAP_Speadsheet!AP$5,Leadsheet!$C$18:$F$23,4,1))</f>
        <v>0</v>
      </c>
      <c r="AQ12" s="278">
        <f>IF(AQ$5&gt;$D$7,0,VLOOKUP(SAP_Speadsheet!AQ$5,Leadsheet!$C$18:$F$23,4,1))</f>
        <v>0</v>
      </c>
      <c r="AR12" s="278">
        <f>IF(AR$5&gt;$D$7,0,VLOOKUP(SAP_Speadsheet!AR$5,Leadsheet!$C$18:$F$23,4,1))</f>
        <v>0</v>
      </c>
      <c r="AS12" s="278">
        <f>IF(AS$5&gt;$D$7,0,VLOOKUP(SAP_Speadsheet!AS$5,Leadsheet!$C$18:$F$23,4,1))</f>
        <v>0</v>
      </c>
      <c r="AT12" s="278">
        <f>IF(AT$5&gt;$D$7,0,VLOOKUP(SAP_Speadsheet!AT$5,Leadsheet!$C$18:$F$23,4,1))</f>
        <v>0</v>
      </c>
      <c r="AU12" s="278">
        <f>IF(AU$5&gt;$D$7,0,VLOOKUP(SAP_Speadsheet!AU$5,Leadsheet!$C$18:$F$23,4,1))</f>
        <v>0</v>
      </c>
      <c r="AV12" s="278">
        <f>IF(AV$5&gt;$D$7,0,VLOOKUP(SAP_Speadsheet!AV$5,Leadsheet!$C$18:$F$23,4,1))</f>
        <v>0</v>
      </c>
      <c r="AW12" s="278">
        <f>IF(AW$5&gt;$D$7,0,VLOOKUP(SAP_Speadsheet!AW$5,Leadsheet!$C$18:$F$23,4,1))</f>
        <v>0</v>
      </c>
      <c r="AX12" s="278">
        <f>IF(AX$5&gt;$D$7,0,VLOOKUP(SAP_Speadsheet!AX$5,Leadsheet!$C$18:$F$23,4,1))</f>
        <v>0</v>
      </c>
      <c r="AY12" s="278">
        <f>IF(AY$5&gt;$D$7,0,VLOOKUP(SAP_Speadsheet!AY$5,Leadsheet!$C$18:$F$23,4,1))</f>
        <v>0</v>
      </c>
      <c r="AZ12" s="278">
        <f>IF(AZ$5&gt;$D$7,0,VLOOKUP(SAP_Speadsheet!AZ$5,Leadsheet!$C$18:$F$23,4,1))</f>
        <v>0</v>
      </c>
      <c r="BA12" s="278">
        <f>IF(BA$5&gt;$D$7,0,VLOOKUP(SAP_Speadsheet!BA$5,Leadsheet!$C$18:$F$23,4,1))</f>
        <v>0</v>
      </c>
      <c r="BB12" s="278">
        <f>IF(BB$5&gt;$D$7,0,VLOOKUP(SAP_Speadsheet!BB$5,Leadsheet!$C$18:$F$23,4,1))</f>
        <v>0</v>
      </c>
      <c r="BC12" s="278">
        <f>IF(BC$5&gt;$D$7,0,VLOOKUP(SAP_Speadsheet!BC$5,Leadsheet!$C$18:$F$23,4,1))</f>
        <v>0</v>
      </c>
      <c r="BD12" s="278">
        <f>IF(BD$5&gt;$D$7,0,VLOOKUP(SAP_Speadsheet!BD$5,Leadsheet!$C$18:$F$23,4,1))</f>
        <v>0</v>
      </c>
      <c r="BE12" s="278">
        <f>IF(BE$5&gt;$D$7,0,VLOOKUP(SAP_Speadsheet!BE$5,Leadsheet!$C$18:$F$23,4,1))</f>
        <v>0</v>
      </c>
      <c r="BF12" s="278">
        <f>IF(BF$5&gt;$D$7,0,VLOOKUP(SAP_Speadsheet!BF$5,Leadsheet!$C$18:$F$23,4,1))</f>
        <v>0</v>
      </c>
      <c r="BG12" s="278">
        <f>IF(BG$5&gt;$D$7,0,VLOOKUP(SAP_Speadsheet!BG$5,Leadsheet!$C$18:$F$23,4,1))</f>
        <v>0</v>
      </c>
      <c r="BH12" s="278">
        <f>IF(BH$5&gt;$D$7,0,VLOOKUP(SAP_Speadsheet!BH$5,Leadsheet!$C$18:$F$23,4,1))</f>
        <v>0</v>
      </c>
      <c r="BI12" s="278">
        <f>IF(BI$5&gt;$D$7,0,VLOOKUP(SAP_Speadsheet!BI$5,Leadsheet!$C$18:$F$23,4,1))</f>
        <v>0</v>
      </c>
      <c r="BJ12" s="278">
        <f>IF(BJ$5&gt;$D$7,0,VLOOKUP(SAP_Speadsheet!BJ$5,Leadsheet!$C$18:$F$23,4,1))</f>
        <v>0</v>
      </c>
      <c r="BK12" s="278">
        <f>IF(BK$5&gt;$D$7,0,VLOOKUP(SAP_Speadsheet!BK$5,Leadsheet!$C$18:$F$23,4,1))</f>
        <v>0</v>
      </c>
      <c r="BL12" s="278">
        <f>IF(BL$5&gt;$D$7,0,VLOOKUP(SAP_Speadsheet!BL$5,Leadsheet!$C$18:$F$23,4,1))</f>
        <v>0</v>
      </c>
    </row>
    <row r="13" spans="2:64" x14ac:dyDescent="0.15">
      <c r="C13" s="84" t="s">
        <v>355</v>
      </c>
      <c r="E13" s="278">
        <f>IF(E$5&lt;Leadsheet!$E$12,VLOOKUP(SAP_Speadsheet!E$5,Leadsheet!$C$26:$G$30,5,1),0)</f>
        <v>0.08</v>
      </c>
      <c r="F13" s="278">
        <f>IF(F$5&lt;Leadsheet!$E$12,VLOOKUP(SAP_Speadsheet!F$5,Leadsheet!$C$26:$G$30,5,1),0)</f>
        <v>0.06</v>
      </c>
      <c r="G13" s="278">
        <f>IF(G$5&lt;Leadsheet!$E$12,VLOOKUP(SAP_Speadsheet!G$5,Leadsheet!$C$26:$G$30,5,1),0)</f>
        <v>0.06</v>
      </c>
      <c r="H13" s="278">
        <f>IF(H$5&lt;Leadsheet!$E$12,VLOOKUP(SAP_Speadsheet!H$5,Leadsheet!$C$26:$G$30,5,1),0)</f>
        <v>2.5000000000000001E-2</v>
      </c>
      <c r="I13" s="278">
        <f>IF(I$5&lt;Leadsheet!$E$12,VLOOKUP(SAP_Speadsheet!I$5,Leadsheet!$C$26:$G$30,5,1),0)</f>
        <v>2.5000000000000001E-2</v>
      </c>
      <c r="J13" s="278">
        <f>IF(J$5&lt;Leadsheet!$E$12,VLOOKUP(SAP_Speadsheet!J$5,Leadsheet!$C$26:$G$30,5,1),0)</f>
        <v>2.5000000000000001E-2</v>
      </c>
      <c r="K13" s="278">
        <f>IF(K$5&lt;Leadsheet!$E$12,VLOOKUP(SAP_Speadsheet!K$5,Leadsheet!$C$26:$G$30,5,1),0)</f>
        <v>2.5000000000000001E-2</v>
      </c>
      <c r="L13" s="278">
        <f>IF(L$5&lt;Leadsheet!$E$12,VLOOKUP(SAP_Speadsheet!L$5,Leadsheet!$C$26:$G$30,5,1),0)</f>
        <v>2.5000000000000001E-2</v>
      </c>
      <c r="M13" s="278">
        <f>IF(M$5&lt;Leadsheet!$E$12,VLOOKUP(SAP_Speadsheet!M$5,Leadsheet!$C$26:$G$30,5,1),0)</f>
        <v>2.5000000000000001E-2</v>
      </c>
      <c r="N13" s="278">
        <f>IF(N$5&lt;Leadsheet!$E$12,VLOOKUP(SAP_Speadsheet!N$5,Leadsheet!$C$26:$G$30,5,1),0)</f>
        <v>2.5000000000000001E-2</v>
      </c>
      <c r="O13" s="278">
        <f>IF(O$5&lt;Leadsheet!$E$12,VLOOKUP(SAP_Speadsheet!O$5,Leadsheet!$C$26:$G$30,5,1),0)</f>
        <v>2.5000000000000001E-2</v>
      </c>
      <c r="P13" s="278">
        <f>IF(P$5&lt;Leadsheet!$E$12,VLOOKUP(SAP_Speadsheet!P$5,Leadsheet!$C$26:$G$30,5,1),0)</f>
        <v>2.5000000000000001E-2</v>
      </c>
      <c r="Q13" s="278">
        <f>IF(Q$5&lt;Leadsheet!$E$12,VLOOKUP(SAP_Speadsheet!Q$5,Leadsheet!$C$26:$G$30,5,1),0)</f>
        <v>2.5000000000000001E-2</v>
      </c>
      <c r="R13" s="278">
        <f>IF(R$5&lt;Leadsheet!$E$12,VLOOKUP(SAP_Speadsheet!R$5,Leadsheet!$C$26:$G$30,5,1),0)</f>
        <v>2.5000000000000001E-2</v>
      </c>
      <c r="S13" s="278">
        <f>IF(S$5&lt;Leadsheet!$E$12,VLOOKUP(SAP_Speadsheet!S$5,Leadsheet!$C$26:$G$30,5,1),0)</f>
        <v>0</v>
      </c>
      <c r="T13" s="278">
        <f>IF(T$5&lt;Leadsheet!$E$12,VLOOKUP(SAP_Speadsheet!T$5,Leadsheet!$C$26:$G$30,5,1),0)</f>
        <v>0</v>
      </c>
      <c r="U13" s="278">
        <f>IF(U$5&lt;Leadsheet!$E$12,VLOOKUP(SAP_Speadsheet!U$5,Leadsheet!$C$26:$G$30,5,1),0)</f>
        <v>0</v>
      </c>
      <c r="V13" s="278">
        <f>IF(V$5&lt;Leadsheet!$E$12,VLOOKUP(SAP_Speadsheet!V$5,Leadsheet!$C$26:$G$30,5,1),0)</f>
        <v>0</v>
      </c>
      <c r="W13" s="278">
        <f>IF(W$5&lt;Leadsheet!$E$12,VLOOKUP(SAP_Speadsheet!W$5,Leadsheet!$C$26:$G$30,5,1),0)</f>
        <v>0</v>
      </c>
      <c r="X13" s="278">
        <f>IF(X$5&lt;Leadsheet!$E$12,VLOOKUP(SAP_Speadsheet!X$5,Leadsheet!$C$26:$G$30,5,1),0)</f>
        <v>0</v>
      </c>
      <c r="Y13" s="278">
        <f>IF(Y$5&lt;Leadsheet!$E$12,VLOOKUP(SAP_Speadsheet!Y$5,Leadsheet!$C$26:$G$30,5,1),0)</f>
        <v>0</v>
      </c>
      <c r="Z13" s="278">
        <f>IF(Z$5&lt;Leadsheet!$E$12,VLOOKUP(SAP_Speadsheet!Z$5,Leadsheet!$C$26:$G$30,5,1),0)</f>
        <v>0</v>
      </c>
      <c r="AA13" s="278">
        <f>IF(AA$5&lt;Leadsheet!$E$12,VLOOKUP(SAP_Speadsheet!AA$5,Leadsheet!$C$26:$G$30,5,1),0)</f>
        <v>0</v>
      </c>
      <c r="AB13" s="278">
        <f>IF(AB$5&lt;Leadsheet!$E$12,VLOOKUP(SAP_Speadsheet!AB$5,Leadsheet!$C$26:$G$30,5,1),0)</f>
        <v>0</v>
      </c>
      <c r="AC13" s="278">
        <f>IF(AC$5&lt;Leadsheet!$E$12,VLOOKUP(SAP_Speadsheet!AC$5,Leadsheet!$C$26:$G$30,5,1),0)</f>
        <v>0</v>
      </c>
      <c r="AD13" s="278">
        <f>IF(AD$5&lt;Leadsheet!$E$12,VLOOKUP(SAP_Speadsheet!AD$5,Leadsheet!$C$26:$G$30,5,1),0)</f>
        <v>0</v>
      </c>
      <c r="AE13" s="278">
        <f>IF(AE$5&lt;Leadsheet!$E$12,VLOOKUP(SAP_Speadsheet!AE$5,Leadsheet!$C$26:$G$30,5,1),0)</f>
        <v>0</v>
      </c>
      <c r="AF13" s="278">
        <f>IF(AF$5&lt;Leadsheet!$E$12,VLOOKUP(SAP_Speadsheet!AF$5,Leadsheet!$C$26:$G$30,5,1),0)</f>
        <v>0</v>
      </c>
      <c r="AG13" s="278">
        <f>IF(AG$5&lt;Leadsheet!$E$12,VLOOKUP(SAP_Speadsheet!AG$5,Leadsheet!$C$26:$G$30,5,1),0)</f>
        <v>0</v>
      </c>
      <c r="AH13" s="278">
        <f>IF(AH$5&lt;Leadsheet!$E$12,VLOOKUP(SAP_Speadsheet!AH$5,Leadsheet!$C$26:$G$30,5,1),0)</f>
        <v>0</v>
      </c>
      <c r="AI13" s="278">
        <f>IF(AI$5&lt;Leadsheet!$E$12,VLOOKUP(SAP_Speadsheet!AI$5,Leadsheet!$C$26:$G$30,5,1),0)</f>
        <v>0</v>
      </c>
      <c r="AJ13" s="278">
        <f>IF(AJ$5&lt;Leadsheet!$E$12,VLOOKUP(SAP_Speadsheet!AJ$5,Leadsheet!$C$26:$G$30,5,1),0)</f>
        <v>0</v>
      </c>
      <c r="AK13" s="278">
        <f>IF(AK$5&lt;Leadsheet!$E$12,VLOOKUP(SAP_Speadsheet!AK$5,Leadsheet!$C$26:$G$30,5,1),0)</f>
        <v>0</v>
      </c>
      <c r="AL13" s="278">
        <f>IF(AL$5&lt;Leadsheet!$E$12,VLOOKUP(SAP_Speadsheet!AL$5,Leadsheet!$C$26:$G$30,5,1),0)</f>
        <v>0</v>
      </c>
      <c r="AM13" s="278">
        <f>IF(AM$5&lt;Leadsheet!$E$12,VLOOKUP(SAP_Speadsheet!AM$5,Leadsheet!$C$26:$G$30,5,1),0)</f>
        <v>0</v>
      </c>
      <c r="AN13" s="278">
        <f>IF(AN$5&lt;Leadsheet!$E$12,VLOOKUP(SAP_Speadsheet!AN$5,Leadsheet!$C$26:$G$30,5,1),0)</f>
        <v>0</v>
      </c>
      <c r="AO13" s="278">
        <f>IF(AO$5&lt;Leadsheet!$E$12,VLOOKUP(SAP_Speadsheet!AO$5,Leadsheet!$C$26:$G$30,5,1),0)</f>
        <v>0</v>
      </c>
      <c r="AP13" s="278">
        <f>IF(AP$5&lt;Leadsheet!$E$12,VLOOKUP(SAP_Speadsheet!AP$5,Leadsheet!$C$26:$G$30,5,1),0)</f>
        <v>0</v>
      </c>
      <c r="AQ13" s="278">
        <f>IF(AQ$5&lt;Leadsheet!$E$12,VLOOKUP(SAP_Speadsheet!AQ$5,Leadsheet!$C$26:$G$30,5,1),0)</f>
        <v>0</v>
      </c>
      <c r="AR13" s="278">
        <f>IF(AR$5&lt;Leadsheet!$E$12,VLOOKUP(SAP_Speadsheet!AR$5,Leadsheet!$C$26:$G$30,5,1),0)</f>
        <v>0</v>
      </c>
      <c r="AS13" s="278">
        <f>IF(AS$5&lt;Leadsheet!$E$12,VLOOKUP(SAP_Speadsheet!AS$5,Leadsheet!$C$26:$G$30,5,1),0)</f>
        <v>0</v>
      </c>
      <c r="AT13" s="278">
        <f>IF(AT$5&lt;Leadsheet!$E$12,VLOOKUP(SAP_Speadsheet!AT$5,Leadsheet!$C$26:$G$30,5,1),0)</f>
        <v>0</v>
      </c>
      <c r="AU13" s="278">
        <f>IF(AU$5&lt;Leadsheet!$E$12,VLOOKUP(SAP_Speadsheet!AU$5,Leadsheet!$C$26:$G$30,5,1),0)</f>
        <v>0</v>
      </c>
      <c r="AV13" s="278">
        <f>IF(AV$5&lt;Leadsheet!$E$12,VLOOKUP(SAP_Speadsheet!AV$5,Leadsheet!$C$26:$G$30,5,1),0)</f>
        <v>0</v>
      </c>
      <c r="AW13" s="278">
        <f>IF(AW$5&lt;Leadsheet!$E$12,VLOOKUP(SAP_Speadsheet!AW$5,Leadsheet!$C$26:$G$30,5,1),0)</f>
        <v>0</v>
      </c>
      <c r="AX13" s="278">
        <f>IF(AX$5&lt;Leadsheet!$E$12,VLOOKUP(SAP_Speadsheet!AX$5,Leadsheet!$C$26:$G$30,5,1),0)</f>
        <v>0</v>
      </c>
      <c r="AY13" s="278">
        <f>IF(AY$5&lt;Leadsheet!$E$12,VLOOKUP(SAP_Speadsheet!AY$5,Leadsheet!$C$26:$G$30,5,1),0)</f>
        <v>0</v>
      </c>
      <c r="AZ13" s="278">
        <f>IF(AZ$5&lt;Leadsheet!$E$12,VLOOKUP(SAP_Speadsheet!AZ$5,Leadsheet!$C$26:$G$30,5,1),0)</f>
        <v>0</v>
      </c>
      <c r="BA13" s="278">
        <f>IF(BA$5&lt;Leadsheet!$E$12,VLOOKUP(SAP_Speadsheet!BA$5,Leadsheet!$C$26:$G$30,5,1),0)</f>
        <v>0</v>
      </c>
      <c r="BB13" s="278">
        <f>IF(BB$5&lt;Leadsheet!$E$12,VLOOKUP(SAP_Speadsheet!BB$5,Leadsheet!$C$26:$G$30,5,1),0)</f>
        <v>0</v>
      </c>
      <c r="BC13" s="278">
        <f>IF(BC$5&lt;Leadsheet!$E$12,VLOOKUP(SAP_Speadsheet!BC$5,Leadsheet!$C$26:$G$30,5,1),0)</f>
        <v>0</v>
      </c>
      <c r="BD13" s="278">
        <f>IF(BD$5&lt;Leadsheet!$E$12,VLOOKUP(SAP_Speadsheet!BD$5,Leadsheet!$C$26:$G$30,5,1),0)</f>
        <v>0</v>
      </c>
      <c r="BE13" s="278">
        <f>IF(BE$5&lt;Leadsheet!$E$12,VLOOKUP(SAP_Speadsheet!BE$5,Leadsheet!$C$26:$G$30,5,1),0)</f>
        <v>0</v>
      </c>
      <c r="BF13" s="278">
        <f>IF(BF$5&lt;Leadsheet!$E$12,VLOOKUP(SAP_Speadsheet!BF$5,Leadsheet!$C$26:$G$30,5,1),0)</f>
        <v>0</v>
      </c>
      <c r="BG13" s="278">
        <f>IF(BG$5&lt;Leadsheet!$E$12,VLOOKUP(SAP_Speadsheet!BG$5,Leadsheet!$C$26:$G$30,5,1),0)</f>
        <v>0</v>
      </c>
      <c r="BH13" s="278">
        <f>IF(BH$5&lt;Leadsheet!$E$12,VLOOKUP(SAP_Speadsheet!BH$5,Leadsheet!$C$26:$G$30,5,1),0)</f>
        <v>0</v>
      </c>
      <c r="BI13" s="278">
        <f>IF(BI$5&lt;Leadsheet!$E$12,VLOOKUP(SAP_Speadsheet!BI$5,Leadsheet!$C$26:$G$30,5,1),0)</f>
        <v>0</v>
      </c>
      <c r="BJ13" s="278">
        <f>IF(BJ$5&lt;Leadsheet!$E$12,VLOOKUP(SAP_Speadsheet!BJ$5,Leadsheet!$C$26:$G$30,5,1),0)</f>
        <v>0</v>
      </c>
      <c r="BK13" s="278">
        <f>IF(BK$5&lt;Leadsheet!$E$12,VLOOKUP(SAP_Speadsheet!BK$5,Leadsheet!$C$26:$G$30,5,1),0)</f>
        <v>0</v>
      </c>
      <c r="BL13" s="278">
        <f>IF(BL$5&lt;Leadsheet!$E$12,VLOOKUP(SAP_Speadsheet!BL$5,Leadsheet!$C$26:$G$30,5,1),0)</f>
        <v>0</v>
      </c>
    </row>
    <row r="14" spans="2:64" x14ac:dyDescent="0.15">
      <c r="C14" s="84" t="s">
        <v>356</v>
      </c>
      <c r="E14" s="278">
        <f>IF(E$5&lt;Leadsheet!$E$12,VLOOKUP(SAP_Speadsheet!E$5,Leadsheet!$C$26:$F$30,3,1),0)</f>
        <v>6.0846599642670716E-2</v>
      </c>
      <c r="F14" s="278">
        <f>IF(F$5&lt;Leadsheet!$E$12,VLOOKUP(SAP_Speadsheet!F$5,Leadsheet!$C$26:$F$30,3,1),0)</f>
        <v>6.0846599642670716E-2</v>
      </c>
      <c r="G14" s="278">
        <f>IF(G$5&lt;Leadsheet!$E$12,VLOOKUP(SAP_Speadsheet!G$5,Leadsheet!$C$26:$F$30,3,1),0)</f>
        <v>6.0846599642670716E-2</v>
      </c>
      <c r="H14" s="278">
        <f>IF(H$5&lt;Leadsheet!$E$12,VLOOKUP(SAP_Speadsheet!H$5,Leadsheet!$C$26:$F$30,3,1),0)</f>
        <v>0.05</v>
      </c>
      <c r="I14" s="278">
        <f>IF(I$5&lt;Leadsheet!$E$12,VLOOKUP(SAP_Speadsheet!I$5,Leadsheet!$C$26:$F$30,3,1),0)</f>
        <v>0.05</v>
      </c>
      <c r="J14" s="278">
        <f>IF(J$5&lt;Leadsheet!$E$12,VLOOKUP(SAP_Speadsheet!J$5,Leadsheet!$C$26:$F$30,3,1),0)</f>
        <v>0.05</v>
      </c>
      <c r="K14" s="278">
        <f>IF(K$5&lt;Leadsheet!$E$12,VLOOKUP(SAP_Speadsheet!K$5,Leadsheet!$C$26:$F$30,3,1),0)</f>
        <v>0.05</v>
      </c>
      <c r="L14" s="278">
        <f>IF(L$5&lt;Leadsheet!$E$12,VLOOKUP(SAP_Speadsheet!L$5,Leadsheet!$C$26:$F$30,3,1),0)</f>
        <v>0.05</v>
      </c>
      <c r="M14" s="278">
        <f>IF(M$5&lt;Leadsheet!$E$12,VLOOKUP(SAP_Speadsheet!M$5,Leadsheet!$C$26:$F$30,3,1),0)</f>
        <v>0.05</v>
      </c>
      <c r="N14" s="278">
        <f>IF(N$5&lt;Leadsheet!$E$12,VLOOKUP(SAP_Speadsheet!N$5,Leadsheet!$C$26:$F$30,3,1),0)</f>
        <v>0.05</v>
      </c>
      <c r="O14" s="278">
        <f>IF(O$5&lt;Leadsheet!$E$12,VLOOKUP(SAP_Speadsheet!O$5,Leadsheet!$C$26:$F$30,3,1),0)</f>
        <v>0.05</v>
      </c>
      <c r="P14" s="278">
        <f>IF(P$5&lt;Leadsheet!$E$12,VLOOKUP(SAP_Speadsheet!P$5,Leadsheet!$C$26:$F$30,3,1),0)</f>
        <v>0.05</v>
      </c>
      <c r="Q14" s="278">
        <f>IF(Q$5&lt;Leadsheet!$E$12,VLOOKUP(SAP_Speadsheet!Q$5,Leadsheet!$C$26:$F$30,3,1),0)</f>
        <v>0.05</v>
      </c>
      <c r="R14" s="278">
        <f>IF(R$5&lt;Leadsheet!$E$12,VLOOKUP(SAP_Speadsheet!R$5,Leadsheet!$C$26:$F$30,3,1),0)</f>
        <v>0.05</v>
      </c>
      <c r="S14" s="278">
        <f>IF(S$5&lt;Leadsheet!$E$12,VLOOKUP(SAP_Speadsheet!S$5,Leadsheet!$C$26:$F$30,3,1),0)</f>
        <v>0</v>
      </c>
      <c r="T14" s="278">
        <f>IF(T$5&lt;Leadsheet!$E$12,VLOOKUP(SAP_Speadsheet!T$5,Leadsheet!$C$26:$F$30,3,1),0)</f>
        <v>0</v>
      </c>
      <c r="U14" s="278">
        <f>IF(U$5&lt;Leadsheet!$E$12,VLOOKUP(SAP_Speadsheet!U$5,Leadsheet!$C$26:$F$30,3,1),0)</f>
        <v>0</v>
      </c>
      <c r="V14" s="278">
        <f>IF(V$5&lt;Leadsheet!$E$12,VLOOKUP(SAP_Speadsheet!V$5,Leadsheet!$C$26:$F$30,3,1),0)</f>
        <v>0</v>
      </c>
      <c r="W14" s="278">
        <f>IF(W$5&lt;Leadsheet!$E$12,VLOOKUP(SAP_Speadsheet!W$5,Leadsheet!$C$26:$F$30,3,1),0)</f>
        <v>0</v>
      </c>
      <c r="X14" s="278">
        <f>IF(X$5&lt;Leadsheet!$E$12,VLOOKUP(SAP_Speadsheet!X$5,Leadsheet!$C$26:$F$30,3,1),0)</f>
        <v>0</v>
      </c>
      <c r="Y14" s="278">
        <f>IF(Y$5&lt;Leadsheet!$E$12,VLOOKUP(SAP_Speadsheet!Y$5,Leadsheet!$C$26:$F$30,3,1),0)</f>
        <v>0</v>
      </c>
      <c r="Z14" s="278">
        <f>IF(Z$5&lt;Leadsheet!$E$12,VLOOKUP(SAP_Speadsheet!Z$5,Leadsheet!$C$26:$F$30,3,1),0)</f>
        <v>0</v>
      </c>
      <c r="AA14" s="278">
        <f>IF(AA$5&lt;Leadsheet!$E$12,VLOOKUP(SAP_Speadsheet!AA$5,Leadsheet!$C$26:$F$30,3,1),0)</f>
        <v>0</v>
      </c>
      <c r="AB14" s="278">
        <f>IF(AB$5&lt;Leadsheet!$E$12,VLOOKUP(SAP_Speadsheet!AB$5,Leadsheet!$C$26:$F$30,3,1),0)</f>
        <v>0</v>
      </c>
      <c r="AC14" s="278">
        <f>IF(AC$5&lt;Leadsheet!$E$12,VLOOKUP(SAP_Speadsheet!AC$5,Leadsheet!$C$26:$F$30,3,1),0)</f>
        <v>0</v>
      </c>
      <c r="AD14" s="278">
        <f>IF(AD$5&lt;Leadsheet!$E$12,VLOOKUP(SAP_Speadsheet!AD$5,Leadsheet!$C$26:$F$30,3,1),0)</f>
        <v>0</v>
      </c>
      <c r="AE14" s="278">
        <f>IF(AE$5&lt;Leadsheet!$E$12,VLOOKUP(SAP_Speadsheet!AE$5,Leadsheet!$C$26:$F$30,3,1),0)</f>
        <v>0</v>
      </c>
      <c r="AF14" s="278">
        <f>IF(AF$5&lt;Leadsheet!$E$12,VLOOKUP(SAP_Speadsheet!AF$5,Leadsheet!$C$26:$F$30,3,1),0)</f>
        <v>0</v>
      </c>
      <c r="AG14" s="278">
        <f>IF(AG$5&lt;Leadsheet!$E$12,VLOOKUP(SAP_Speadsheet!AG$5,Leadsheet!$C$26:$F$30,3,1),0)</f>
        <v>0</v>
      </c>
      <c r="AH14" s="278">
        <f>IF(AH$5&lt;Leadsheet!$E$12,VLOOKUP(SAP_Speadsheet!AH$5,Leadsheet!$C$26:$F$30,3,1),0)</f>
        <v>0</v>
      </c>
      <c r="AI14" s="278">
        <f>IF(AI$5&lt;Leadsheet!$E$12,VLOOKUP(SAP_Speadsheet!AI$5,Leadsheet!$C$26:$F$30,3,1),0)</f>
        <v>0</v>
      </c>
      <c r="AJ14" s="278">
        <f>IF(AJ$5&lt;Leadsheet!$E$12,VLOOKUP(SAP_Speadsheet!AJ$5,Leadsheet!$C$26:$F$30,3,1),0)</f>
        <v>0</v>
      </c>
      <c r="AK14" s="278">
        <f>IF(AK$5&lt;Leadsheet!$E$12,VLOOKUP(SAP_Speadsheet!AK$5,Leadsheet!$C$26:$F$30,3,1),0)</f>
        <v>0</v>
      </c>
      <c r="AL14" s="278">
        <f>IF(AL$5&lt;Leadsheet!$E$12,VLOOKUP(SAP_Speadsheet!AL$5,Leadsheet!$C$26:$F$30,3,1),0)</f>
        <v>0</v>
      </c>
      <c r="AM14" s="278">
        <f>IF(AM$5&lt;Leadsheet!$E$12,VLOOKUP(SAP_Speadsheet!AM$5,Leadsheet!$C$26:$F$30,3,1),0)</f>
        <v>0</v>
      </c>
      <c r="AN14" s="278">
        <f>IF(AN$5&lt;Leadsheet!$E$12,VLOOKUP(SAP_Speadsheet!AN$5,Leadsheet!$C$26:$F$30,3,1),0)</f>
        <v>0</v>
      </c>
      <c r="AO14" s="278">
        <f>IF(AO$5&lt;Leadsheet!$E$12,VLOOKUP(SAP_Speadsheet!AO$5,Leadsheet!$C$26:$F$30,3,1),0)</f>
        <v>0</v>
      </c>
      <c r="AP14" s="278">
        <f>IF(AP$5&lt;Leadsheet!$E$12,VLOOKUP(SAP_Speadsheet!AP$5,Leadsheet!$C$26:$F$30,3,1),0)</f>
        <v>0</v>
      </c>
      <c r="AQ14" s="278">
        <f>IF(AQ$5&lt;Leadsheet!$E$12,VLOOKUP(SAP_Speadsheet!AQ$5,Leadsheet!$C$26:$F$30,3,1),0)</f>
        <v>0</v>
      </c>
      <c r="AR14" s="278">
        <f>IF(AR$5&lt;Leadsheet!$E$12,VLOOKUP(SAP_Speadsheet!AR$5,Leadsheet!$C$26:$F$30,3,1),0)</f>
        <v>0</v>
      </c>
      <c r="AS14" s="278">
        <f>IF(AS$5&lt;Leadsheet!$E$12,VLOOKUP(SAP_Speadsheet!AS$5,Leadsheet!$C$26:$F$30,3,1),0)</f>
        <v>0</v>
      </c>
      <c r="AT14" s="278">
        <f>IF(AT$5&lt;Leadsheet!$E$12,VLOOKUP(SAP_Speadsheet!AT$5,Leadsheet!$C$26:$F$30,3,1),0)</f>
        <v>0</v>
      </c>
      <c r="AU14" s="278">
        <f>IF(AU$5&lt;Leadsheet!$E$12,VLOOKUP(SAP_Speadsheet!AU$5,Leadsheet!$C$26:$F$30,3,1),0)</f>
        <v>0</v>
      </c>
      <c r="AV14" s="278">
        <f>IF(AV$5&lt;Leadsheet!$E$12,VLOOKUP(SAP_Speadsheet!AV$5,Leadsheet!$C$26:$F$30,3,1),0)</f>
        <v>0</v>
      </c>
      <c r="AW14" s="278">
        <f>IF(AW$5&lt;Leadsheet!$E$12,VLOOKUP(SAP_Speadsheet!AW$5,Leadsheet!$C$26:$F$30,3,1),0)</f>
        <v>0</v>
      </c>
      <c r="AX14" s="278">
        <f>IF(AX$5&lt;Leadsheet!$E$12,VLOOKUP(SAP_Speadsheet!AX$5,Leadsheet!$C$26:$F$30,3,1),0)</f>
        <v>0</v>
      </c>
      <c r="AY14" s="278">
        <f>IF(AY$5&lt;Leadsheet!$E$12,VLOOKUP(SAP_Speadsheet!AY$5,Leadsheet!$C$26:$F$30,3,1),0)</f>
        <v>0</v>
      </c>
      <c r="AZ14" s="278">
        <f>IF(AZ$5&lt;Leadsheet!$E$12,VLOOKUP(SAP_Speadsheet!AZ$5,Leadsheet!$C$26:$F$30,3,1),0)</f>
        <v>0</v>
      </c>
      <c r="BA14" s="278">
        <f>IF(BA$5&lt;Leadsheet!$E$12,VLOOKUP(SAP_Speadsheet!BA$5,Leadsheet!$C$26:$F$30,3,1),0)</f>
        <v>0</v>
      </c>
      <c r="BB14" s="278">
        <f>IF(BB$5&lt;Leadsheet!$E$12,VLOOKUP(SAP_Speadsheet!BB$5,Leadsheet!$C$26:$F$30,3,1),0)</f>
        <v>0</v>
      </c>
      <c r="BC14" s="278">
        <f>IF(BC$5&lt;Leadsheet!$E$12,VLOOKUP(SAP_Speadsheet!BC$5,Leadsheet!$C$26:$F$30,3,1),0)</f>
        <v>0</v>
      </c>
      <c r="BD14" s="278">
        <f>IF(BD$5&lt;Leadsheet!$E$12,VLOOKUP(SAP_Speadsheet!BD$5,Leadsheet!$C$26:$F$30,3,1),0)</f>
        <v>0</v>
      </c>
      <c r="BE14" s="278">
        <f>IF(BE$5&lt;Leadsheet!$E$12,VLOOKUP(SAP_Speadsheet!BE$5,Leadsheet!$C$26:$F$30,3,1),0)</f>
        <v>0</v>
      </c>
      <c r="BF14" s="278">
        <f>IF(BF$5&lt;Leadsheet!$E$12,VLOOKUP(SAP_Speadsheet!BF$5,Leadsheet!$C$26:$F$30,3,1),0)</f>
        <v>0</v>
      </c>
      <c r="BG14" s="278">
        <f>IF(BG$5&lt;Leadsheet!$E$12,VLOOKUP(SAP_Speadsheet!BG$5,Leadsheet!$C$26:$F$30,3,1),0)</f>
        <v>0</v>
      </c>
      <c r="BH14" s="278">
        <f>IF(BH$5&lt;Leadsheet!$E$12,VLOOKUP(SAP_Speadsheet!BH$5,Leadsheet!$C$26:$F$30,3,1),0)</f>
        <v>0</v>
      </c>
      <c r="BI14" s="278">
        <f>IF(BI$5&lt;Leadsheet!$E$12,VLOOKUP(SAP_Speadsheet!BI$5,Leadsheet!$C$26:$F$30,3,1),0)</f>
        <v>0</v>
      </c>
      <c r="BJ14" s="278">
        <f>IF(BJ$5&lt;Leadsheet!$E$12,VLOOKUP(SAP_Speadsheet!BJ$5,Leadsheet!$C$26:$F$30,3,1),0)</f>
        <v>0</v>
      </c>
      <c r="BK14" s="278">
        <f>IF(BK$5&lt;Leadsheet!$E$12,VLOOKUP(SAP_Speadsheet!BK$5,Leadsheet!$C$26:$F$30,3,1),0)</f>
        <v>0</v>
      </c>
      <c r="BL14" s="278">
        <f>IF(BL$5&lt;Leadsheet!$E$12,VLOOKUP(SAP_Speadsheet!BL$5,Leadsheet!$C$26:$F$30,3,1),0)</f>
        <v>0</v>
      </c>
    </row>
    <row r="15" spans="2:64" x14ac:dyDescent="0.15">
      <c r="E15" s="278"/>
      <c r="F15" s="278"/>
      <c r="G15" s="278"/>
      <c r="H15" s="278"/>
      <c r="I15" s="278"/>
      <c r="J15" s="278"/>
      <c r="K15" s="278"/>
      <c r="L15" s="278"/>
      <c r="M15" s="278"/>
      <c r="N15" s="278"/>
      <c r="O15" s="278"/>
      <c r="P15" s="278"/>
      <c r="Q15" s="278"/>
      <c r="R15" s="278"/>
      <c r="S15" s="278"/>
      <c r="T15" s="278"/>
      <c r="U15" s="278"/>
      <c r="V15" s="278"/>
      <c r="W15" s="278"/>
      <c r="X15" s="278"/>
      <c r="Y15" s="278"/>
      <c r="Z15" s="278"/>
      <c r="AA15" s="278"/>
      <c r="AB15" s="278"/>
      <c r="AC15" s="278"/>
      <c r="AD15" s="278"/>
      <c r="AE15" s="278"/>
      <c r="AF15" s="278"/>
      <c r="AG15" s="278"/>
      <c r="AH15" s="278"/>
      <c r="AI15" s="278"/>
      <c r="AJ15" s="278"/>
      <c r="AK15" s="278"/>
      <c r="AL15" s="278"/>
      <c r="AM15" s="278"/>
      <c r="AN15" s="278"/>
      <c r="AO15" s="278"/>
      <c r="AP15" s="278"/>
      <c r="AQ15" s="278"/>
      <c r="AR15" s="278"/>
      <c r="AS15" s="278"/>
      <c r="AT15" s="278"/>
      <c r="AU15" s="278"/>
      <c r="AV15" s="278"/>
      <c r="AW15" s="278"/>
      <c r="AX15" s="278"/>
      <c r="AY15" s="278"/>
      <c r="AZ15" s="270"/>
      <c r="BA15" s="270"/>
      <c r="BB15" s="270"/>
      <c r="BC15" s="270"/>
      <c r="BD15" s="270"/>
      <c r="BE15" s="270"/>
      <c r="BF15" s="270"/>
      <c r="BG15" s="270"/>
      <c r="BH15" s="270"/>
      <c r="BI15" s="270"/>
      <c r="BJ15" s="270"/>
      <c r="BK15" s="270"/>
      <c r="BL15" s="270"/>
    </row>
    <row r="16" spans="2:64" x14ac:dyDescent="0.15">
      <c r="B16" s="155" t="s">
        <v>190</v>
      </c>
      <c r="C16" s="84" t="s">
        <v>357</v>
      </c>
      <c r="D16" s="279">
        <v>1</v>
      </c>
      <c r="E16" s="280">
        <f t="shared" ref="E16:BL16" si="1">IF(E5&gt;$D$7,0,D16-E13)</f>
        <v>0.92</v>
      </c>
      <c r="F16" s="280">
        <f t="shared" si="1"/>
        <v>0.8600000000000001</v>
      </c>
      <c r="G16" s="280">
        <f t="shared" si="1"/>
        <v>0.8</v>
      </c>
      <c r="H16" s="280">
        <f t="shared" si="1"/>
        <v>0.77500000000000002</v>
      </c>
      <c r="I16" s="280">
        <f t="shared" si="1"/>
        <v>0.75</v>
      </c>
      <c r="J16" s="280">
        <f t="shared" si="1"/>
        <v>0.72499999999999998</v>
      </c>
      <c r="K16" s="280">
        <f t="shared" si="1"/>
        <v>0.7</v>
      </c>
      <c r="L16" s="280">
        <f t="shared" si="1"/>
        <v>0.67499999999999993</v>
      </c>
      <c r="M16" s="280">
        <f t="shared" si="1"/>
        <v>0.64999999999999991</v>
      </c>
      <c r="N16" s="280">
        <f t="shared" si="1"/>
        <v>0.62499999999999989</v>
      </c>
      <c r="O16" s="280">
        <f t="shared" si="1"/>
        <v>0.59999999999999987</v>
      </c>
      <c r="P16" s="280">
        <f t="shared" si="1"/>
        <v>0.57499999999999984</v>
      </c>
      <c r="Q16" s="280">
        <f t="shared" si="1"/>
        <v>0.54999999999999982</v>
      </c>
      <c r="R16" s="280">
        <f t="shared" si="1"/>
        <v>0.5249999999999998</v>
      </c>
      <c r="S16" s="280">
        <f t="shared" si="1"/>
        <v>0.5249999999999998</v>
      </c>
      <c r="T16" s="280">
        <f t="shared" si="1"/>
        <v>0.5249999999999998</v>
      </c>
      <c r="U16" s="280">
        <f t="shared" si="1"/>
        <v>0.5249999999999998</v>
      </c>
      <c r="V16" s="280">
        <f t="shared" si="1"/>
        <v>0.5249999999999998</v>
      </c>
      <c r="W16" s="280">
        <f t="shared" si="1"/>
        <v>0.5249999999999998</v>
      </c>
      <c r="X16" s="280">
        <f t="shared" si="1"/>
        <v>0.5249999999999998</v>
      </c>
      <c r="Y16" s="280">
        <f t="shared" si="1"/>
        <v>0.5249999999999998</v>
      </c>
      <c r="Z16" s="280">
        <f t="shared" si="1"/>
        <v>0.5249999999999998</v>
      </c>
      <c r="AA16" s="280">
        <f t="shared" si="1"/>
        <v>0</v>
      </c>
      <c r="AB16" s="280">
        <f t="shared" si="1"/>
        <v>0</v>
      </c>
      <c r="AC16" s="280">
        <f t="shared" si="1"/>
        <v>0</v>
      </c>
      <c r="AD16" s="280">
        <f t="shared" si="1"/>
        <v>0</v>
      </c>
      <c r="AE16" s="280">
        <f t="shared" si="1"/>
        <v>0</v>
      </c>
      <c r="AF16" s="280">
        <f t="shared" si="1"/>
        <v>0</v>
      </c>
      <c r="AG16" s="280">
        <f t="shared" si="1"/>
        <v>0</v>
      </c>
      <c r="AH16" s="280">
        <f t="shared" si="1"/>
        <v>0</v>
      </c>
      <c r="AI16" s="280">
        <f t="shared" si="1"/>
        <v>0</v>
      </c>
      <c r="AJ16" s="280">
        <f t="shared" si="1"/>
        <v>0</v>
      </c>
      <c r="AK16" s="280">
        <f t="shared" si="1"/>
        <v>0</v>
      </c>
      <c r="AL16" s="280">
        <f t="shared" si="1"/>
        <v>0</v>
      </c>
      <c r="AM16" s="280">
        <f t="shared" si="1"/>
        <v>0</v>
      </c>
      <c r="AN16" s="280">
        <f t="shared" si="1"/>
        <v>0</v>
      </c>
      <c r="AO16" s="280">
        <f t="shared" si="1"/>
        <v>0</v>
      </c>
      <c r="AP16" s="280">
        <f t="shared" si="1"/>
        <v>0</v>
      </c>
      <c r="AQ16" s="280">
        <f t="shared" si="1"/>
        <v>0</v>
      </c>
      <c r="AR16" s="280">
        <f t="shared" si="1"/>
        <v>0</v>
      </c>
      <c r="AS16" s="280">
        <f t="shared" si="1"/>
        <v>0</v>
      </c>
      <c r="AT16" s="280">
        <f t="shared" si="1"/>
        <v>0</v>
      </c>
      <c r="AU16" s="280">
        <f t="shared" si="1"/>
        <v>0</v>
      </c>
      <c r="AV16" s="280">
        <f t="shared" si="1"/>
        <v>0</v>
      </c>
      <c r="AW16" s="280">
        <f t="shared" si="1"/>
        <v>0</v>
      </c>
      <c r="AX16" s="280">
        <f t="shared" si="1"/>
        <v>0</v>
      </c>
      <c r="AY16" s="280">
        <f t="shared" si="1"/>
        <v>0</v>
      </c>
      <c r="AZ16" s="280">
        <f t="shared" si="1"/>
        <v>0</v>
      </c>
      <c r="BA16" s="280">
        <f t="shared" si="1"/>
        <v>0</v>
      </c>
      <c r="BB16" s="280">
        <f t="shared" si="1"/>
        <v>0</v>
      </c>
      <c r="BC16" s="280">
        <f t="shared" si="1"/>
        <v>0</v>
      </c>
      <c r="BD16" s="280">
        <f t="shared" si="1"/>
        <v>0</v>
      </c>
      <c r="BE16" s="280">
        <f t="shared" si="1"/>
        <v>0</v>
      </c>
      <c r="BF16" s="280">
        <f t="shared" si="1"/>
        <v>0</v>
      </c>
      <c r="BG16" s="280">
        <f t="shared" si="1"/>
        <v>0</v>
      </c>
      <c r="BH16" s="280">
        <f t="shared" si="1"/>
        <v>0</v>
      </c>
      <c r="BI16" s="280">
        <f t="shared" si="1"/>
        <v>0</v>
      </c>
      <c r="BJ16" s="280">
        <f t="shared" si="1"/>
        <v>0</v>
      </c>
      <c r="BK16" s="280">
        <f t="shared" si="1"/>
        <v>0</v>
      </c>
      <c r="BL16" s="280">
        <f t="shared" si="1"/>
        <v>0</v>
      </c>
    </row>
    <row r="17" spans="1:64" s="140" customFormat="1" x14ac:dyDescent="0.15">
      <c r="B17" s="155"/>
      <c r="C17" s="183" t="s">
        <v>358</v>
      </c>
      <c r="D17" s="281">
        <f>Leadsheet!E10</f>
        <v>14.837553688141924</v>
      </c>
      <c r="E17" s="281">
        <f>IF(E$5&gt;Leadsheet!$E$12,0,D17+E21+E18)</f>
        <v>12.958310908364878</v>
      </c>
      <c r="F17" s="281">
        <f>IF(F$5&gt;Leadsheet!$E$12,0,SAP_Speadsheet!E17+SAP_Speadsheet!F21+F18)</f>
        <v>11.501246095849872</v>
      </c>
      <c r="G17" s="281">
        <f>IF(G$5&gt;Leadsheet!$E$12,0,SAP_Speadsheet!F17+SAP_Speadsheet!G21+G18)</f>
        <v>10.130647942779108</v>
      </c>
      <c r="H17" s="281">
        <f>IF(H$5&gt;Leadsheet!$E$12,0,SAP_Speadsheet!G17+SAP_Speadsheet!H21+H18)</f>
        <v>9.2336188068240777</v>
      </c>
      <c r="I17" s="281">
        <f>IF(I$5&gt;Leadsheet!$E$12,0,SAP_Speadsheet!H17+SAP_Speadsheet!I21+I18)</f>
        <v>8.3557068422796874</v>
      </c>
      <c r="J17" s="281">
        <f>IF(J$5&gt;Leadsheet!$E$12,0,SAP_Speadsheet!I17+SAP_Speadsheet!J21+J18)</f>
        <v>7.4964377934425253</v>
      </c>
      <c r="K17" s="281">
        <f>IF(K$5&gt;Leadsheet!$E$12,0,SAP_Speadsheet!J17+SAP_Speadsheet!K21+K18)</f>
        <v>6.655005247319945</v>
      </c>
      <c r="L17" s="281">
        <f>IF(L$5&gt;Leadsheet!$E$12,0,SAP_Speadsheet!K17+SAP_Speadsheet!L21+L18)</f>
        <v>5.8314685469319718</v>
      </c>
      <c r="M17" s="281">
        <f>IF(M$5&gt;Leadsheet!$E$12,0,SAP_Speadsheet!L17+SAP_Speadsheet!M21+M18)</f>
        <v>5.0260463306658929</v>
      </c>
      <c r="N17" s="281">
        <f>IF(N$5&gt;Leadsheet!$E$12,0,SAP_Speadsheet!M17+SAP_Speadsheet!N21+N18)</f>
        <v>4.239121125323468</v>
      </c>
      <c r="O17" s="281">
        <f>IF(O$5&gt;Leadsheet!$E$12,0,SAP_Speadsheet!N17+SAP_Speadsheet!O21+O18)</f>
        <v>3.4712351262591725</v>
      </c>
      <c r="P17" s="281">
        <f>IF(P$5&gt;Leadsheet!$E$12,0,SAP_Speadsheet!O17+SAP_Speadsheet!P21+P18)</f>
        <v>2.7231933079126978</v>
      </c>
      <c r="Q17" s="281">
        <f>IF(Q$5&gt;Leadsheet!$E$12,0,SAP_Speadsheet!P17+SAP_Speadsheet!Q21+Q18)</f>
        <v>1.9962444391479506</v>
      </c>
      <c r="R17" s="281">
        <f>IF(R$5&gt;Leadsheet!$E$12,0,SAP_Speadsheet!Q17+SAP_Speadsheet!R21+R18)</f>
        <v>1.2924801135018653</v>
      </c>
      <c r="S17" s="281">
        <f>IF(S$5&gt;Leadsheet!$E$12,0,SAP_Speadsheet!R17+SAP_Speadsheet!S21+S18)</f>
        <v>0.65820950785008447</v>
      </c>
      <c r="T17" s="281">
        <f>IF(T$5&gt;Leadsheet!$E$12,0,SAP_Speadsheet!S17+SAP_Speadsheet!T21+T18)</f>
        <v>2.2204460492503131E-16</v>
      </c>
      <c r="U17" s="281">
        <f>IF(U$5&gt;Leadsheet!$E$12,0,SAP_Speadsheet!T17+SAP_Speadsheet!U21+U18)</f>
        <v>0</v>
      </c>
      <c r="V17" s="281">
        <f>IF(V$5&gt;Leadsheet!$E$12,0,SAP_Speadsheet!U17+SAP_Speadsheet!V21+V18)</f>
        <v>0</v>
      </c>
      <c r="W17" s="281">
        <f>IF(W$5&gt;Leadsheet!$E$12,0,SAP_Speadsheet!V17+SAP_Speadsheet!W21+W18)</f>
        <v>0</v>
      </c>
      <c r="X17" s="281">
        <f>IF(X$5&gt;Leadsheet!$E$12,0,SAP_Speadsheet!W17+SAP_Speadsheet!X21+X18)</f>
        <v>0</v>
      </c>
      <c r="Y17" s="281">
        <f>IF(Y$5&gt;Leadsheet!$E$12,0,SAP_Speadsheet!X17+SAP_Speadsheet!Y21+Y18)</f>
        <v>0</v>
      </c>
      <c r="Z17" s="281">
        <f>IF(Z$5&gt;Leadsheet!$E$12,0,SAP_Speadsheet!Y17+SAP_Speadsheet!Z21+Z18)</f>
        <v>0</v>
      </c>
      <c r="AA17" s="281">
        <f>IF(AA$5&gt;Leadsheet!$E$12,0,SAP_Speadsheet!Z17+SAP_Speadsheet!AA21+AA18)</f>
        <v>0</v>
      </c>
      <c r="AB17" s="281">
        <f>IF(AB$5&gt;Leadsheet!$E$12,0,SAP_Speadsheet!AA17+SAP_Speadsheet!AB21+AB18)</f>
        <v>0</v>
      </c>
      <c r="AC17" s="281">
        <f>IF(AC$5&gt;Leadsheet!$E$12,0,SAP_Speadsheet!AB17+SAP_Speadsheet!AC21+AC18)</f>
        <v>0</v>
      </c>
      <c r="AD17" s="281">
        <f>IF(AD$5&gt;Leadsheet!$E$12,0,SAP_Speadsheet!AC17+SAP_Speadsheet!AD21+AD18)</f>
        <v>0</v>
      </c>
      <c r="AE17" s="281">
        <f>IF(AE$5&gt;Leadsheet!$E$12,0,SAP_Speadsheet!AD17+SAP_Speadsheet!AE21+AE18)</f>
        <v>0</v>
      </c>
      <c r="AF17" s="281">
        <f>IF(AF$5&gt;Leadsheet!$E$12,0,SAP_Speadsheet!AE17+SAP_Speadsheet!AF21+AF18)</f>
        <v>0</v>
      </c>
      <c r="AG17" s="281">
        <f>IF(AG$5&gt;Leadsheet!$E$12,0,SAP_Speadsheet!AF17+SAP_Speadsheet!AG21+AG18)</f>
        <v>0</v>
      </c>
      <c r="AH17" s="281">
        <f>IF(AH$5&gt;Leadsheet!$E$12,0,SAP_Speadsheet!AG17+SAP_Speadsheet!AH21+AH18)</f>
        <v>0</v>
      </c>
      <c r="AI17" s="281">
        <f>IF(AI$5&gt;Leadsheet!$E$12,0,SAP_Speadsheet!AH17+SAP_Speadsheet!AI21+AI18)</f>
        <v>0</v>
      </c>
      <c r="AJ17" s="281">
        <f>IF(AJ$5&gt;Leadsheet!$E$12,0,SAP_Speadsheet!AI17+SAP_Speadsheet!AJ21+AJ18)</f>
        <v>0</v>
      </c>
      <c r="AK17" s="281">
        <f>IF(AK$5&gt;Leadsheet!$E$12,0,SAP_Speadsheet!AJ17+SAP_Speadsheet!AK21+AK18)</f>
        <v>0</v>
      </c>
      <c r="AL17" s="281">
        <f>IF(AL$5&gt;Leadsheet!$E$12,0,SAP_Speadsheet!AK17+SAP_Speadsheet!AL21+AL18)</f>
        <v>0</v>
      </c>
      <c r="AM17" s="281">
        <f>IF(AM$5&gt;Leadsheet!$E$12,0,SAP_Speadsheet!AL17+SAP_Speadsheet!AM21+AM18)</f>
        <v>0</v>
      </c>
      <c r="AN17" s="281">
        <f>IF(AN$5&gt;Leadsheet!$E$12,0,SAP_Speadsheet!AM17+SAP_Speadsheet!AN21+AN18)</f>
        <v>0</v>
      </c>
      <c r="AO17" s="281">
        <f>IF(AO$5&gt;Leadsheet!$E$12,0,SAP_Speadsheet!AN17+SAP_Speadsheet!AO21+AO18)</f>
        <v>0</v>
      </c>
      <c r="AP17" s="281">
        <f>IF(AP$5&gt;Leadsheet!$E$12,0,SAP_Speadsheet!AO17+SAP_Speadsheet!AP21+AP18)</f>
        <v>0</v>
      </c>
      <c r="AQ17" s="281">
        <f>IF(AQ$5&gt;Leadsheet!$E$12,0,SAP_Speadsheet!AP17+SAP_Speadsheet!AQ21+AQ18)</f>
        <v>0</v>
      </c>
      <c r="AR17" s="281">
        <f>IF(AR$5&gt;Leadsheet!$E$12,0,SAP_Speadsheet!AQ17+SAP_Speadsheet!AR21+AR18)</f>
        <v>0</v>
      </c>
      <c r="AS17" s="281">
        <f>IF(AS$5&gt;Leadsheet!$E$12,0,SAP_Speadsheet!AR17+SAP_Speadsheet!AS21+AS18)</f>
        <v>0</v>
      </c>
      <c r="AT17" s="281">
        <f>IF(AT$5&gt;Leadsheet!$E$12,0,SAP_Speadsheet!AS17+SAP_Speadsheet!AT21+AT18)</f>
        <v>0</v>
      </c>
      <c r="AU17" s="281">
        <f>IF(AU$5&gt;Leadsheet!$E$12,0,SAP_Speadsheet!AT17+SAP_Speadsheet!AU21+AU18)</f>
        <v>0</v>
      </c>
      <c r="AV17" s="281">
        <f>IF(AV$5&gt;Leadsheet!$E$12,0,SAP_Speadsheet!AU17+SAP_Speadsheet!AV21+AV18)</f>
        <v>0</v>
      </c>
      <c r="AW17" s="281">
        <f>IF(AW$5&gt;Leadsheet!$E$12,0,SAP_Speadsheet!AV17+SAP_Speadsheet!AW21+AW18)</f>
        <v>0</v>
      </c>
      <c r="AX17" s="281">
        <f>IF(AX$5&gt;Leadsheet!$E$12,0,SAP_Speadsheet!AW17+SAP_Speadsheet!AX21+AX18)</f>
        <v>0</v>
      </c>
      <c r="AY17" s="281">
        <f>IF(AY$5&gt;Leadsheet!$E$12,0,SAP_Speadsheet!AX17+SAP_Speadsheet!AY21+AY18)</f>
        <v>0</v>
      </c>
      <c r="AZ17" s="281">
        <f>IF(AZ$5&gt;Leadsheet!$E$12,0,SAP_Speadsheet!AY17+SAP_Speadsheet!AZ21+AZ18)</f>
        <v>0</v>
      </c>
      <c r="BA17" s="281">
        <f>IF(BA$5&gt;Leadsheet!$E$12,0,SAP_Speadsheet!AZ17+SAP_Speadsheet!BA21+BA18)</f>
        <v>0</v>
      </c>
      <c r="BB17" s="281">
        <f>IF(BB$5&gt;Leadsheet!$E$12,0,SAP_Speadsheet!BA17+SAP_Speadsheet!BB21+BB18)</f>
        <v>0</v>
      </c>
      <c r="BC17" s="281">
        <f>IF(BC$5&gt;Leadsheet!$E$12,0,SAP_Speadsheet!BB17+SAP_Speadsheet!BC21+BC18)</f>
        <v>0</v>
      </c>
      <c r="BD17" s="281">
        <f>IF(BD$5&gt;Leadsheet!$E$12,0,SAP_Speadsheet!BC17+SAP_Speadsheet!BD21+BD18)</f>
        <v>0</v>
      </c>
      <c r="BE17" s="281">
        <f>IF(BE$5&gt;Leadsheet!$E$12,0,SAP_Speadsheet!BD17+SAP_Speadsheet!BE21+BE18)</f>
        <v>0</v>
      </c>
      <c r="BF17" s="281">
        <f>IF(BF$5&gt;Leadsheet!$E$12,0,SAP_Speadsheet!BE17+SAP_Speadsheet!BF21+BF18)</f>
        <v>0</v>
      </c>
      <c r="BG17" s="281">
        <f>IF(BG$5&gt;Leadsheet!$E$12,0,SAP_Speadsheet!BF17+SAP_Speadsheet!BG21+BG18)</f>
        <v>0</v>
      </c>
      <c r="BH17" s="281">
        <f>IF(BH$5&gt;Leadsheet!$E$12,0,SAP_Speadsheet!BG17+SAP_Speadsheet!BH21+BH18)</f>
        <v>0</v>
      </c>
      <c r="BI17" s="281">
        <f>IF(BI$5&gt;Leadsheet!$E$12,0,SAP_Speadsheet!BH17+SAP_Speadsheet!BI21+BI18)</f>
        <v>0</v>
      </c>
      <c r="BJ17" s="281">
        <f>IF(BJ$5&gt;Leadsheet!$E$12,0,SAP_Speadsheet!BI17+SAP_Speadsheet!BJ21+BJ18)</f>
        <v>0</v>
      </c>
      <c r="BK17" s="281">
        <f>IF(BK$5&gt;Leadsheet!$E$12,0,SAP_Speadsheet!BJ17+SAP_Speadsheet!BK21+BK18)</f>
        <v>0</v>
      </c>
      <c r="BL17" s="281">
        <f>IF(BL$5&gt;Leadsheet!$E$12,0,SAP_Speadsheet!BK17+SAP_Speadsheet!BL21+BL18)</f>
        <v>0</v>
      </c>
    </row>
    <row r="18" spans="1:64" x14ac:dyDescent="0.15">
      <c r="C18" s="84" t="s">
        <v>359</v>
      </c>
      <c r="E18" s="140">
        <f>-IF(E6&gt;0,IFERROR(D27*(D16-E16)/D16,0),0)</f>
        <v>-1.1870042950513533</v>
      </c>
      <c r="F18" s="140">
        <f>-IF(F6&gt;0,IFERROR(E27*(E16-F16)/E16,0),0)</f>
        <v>-0.79898120531700356</v>
      </c>
      <c r="G18" s="140">
        <f>-IF(G6&gt;0,IFERROR(F27*(F16-G16)/F16,0),0)</f>
        <v>-0.73203714177463985</v>
      </c>
      <c r="H18" s="140">
        <f t="shared" ref="H18:BL18" si="2">-IF(H6&gt;0,IFERROR(G27*(G16-H16)/G16,0),0)</f>
        <v>-0.27902412228788565</v>
      </c>
      <c r="I18" s="140">
        <f t="shared" si="2"/>
        <v>-0.25539339474322104</v>
      </c>
      <c r="J18" s="140">
        <f t="shared" si="2"/>
        <v>-0.23241501181114599</v>
      </c>
      <c r="K18" s="140">
        <f t="shared" si="2"/>
        <v>-0.21048116026688624</v>
      </c>
      <c r="L18" s="140">
        <f t="shared" si="2"/>
        <v>-0.18884538551932395</v>
      </c>
      <c r="M18" s="140">
        <f t="shared" si="2"/>
        <v>-0.1674365508303399</v>
      </c>
      <c r="N18" s="140">
        <f t="shared" si="2"/>
        <v>-0.14620522052060594</v>
      </c>
      <c r="O18" s="140">
        <f t="shared" si="2"/>
        <v>-0.12515130317096118</v>
      </c>
      <c r="P18" s="140">
        <f t="shared" si="2"/>
        <v>-0.10425957722528055</v>
      </c>
      <c r="Q18" s="140">
        <f t="shared" si="2"/>
        <v>-8.3503539091015891E-2</v>
      </c>
      <c r="R18" s="140">
        <f t="shared" si="2"/>
        <v>-6.2843729711341709E-2</v>
      </c>
      <c r="S18" s="140">
        <f t="shared" si="2"/>
        <v>0</v>
      </c>
      <c r="T18" s="140">
        <f t="shared" si="2"/>
        <v>0</v>
      </c>
      <c r="U18" s="140">
        <f t="shared" si="2"/>
        <v>0</v>
      </c>
      <c r="V18" s="140">
        <f t="shared" si="2"/>
        <v>0</v>
      </c>
      <c r="W18" s="140">
        <f t="shared" si="2"/>
        <v>0</v>
      </c>
      <c r="X18" s="140">
        <f t="shared" si="2"/>
        <v>0</v>
      </c>
      <c r="Y18" s="140">
        <f t="shared" si="2"/>
        <v>0</v>
      </c>
      <c r="Z18" s="140">
        <f t="shared" si="2"/>
        <v>0</v>
      </c>
      <c r="AA18" s="140">
        <f t="shared" si="2"/>
        <v>0</v>
      </c>
      <c r="AB18" s="140">
        <f t="shared" si="2"/>
        <v>0</v>
      </c>
      <c r="AC18" s="140">
        <f t="shared" si="2"/>
        <v>0</v>
      </c>
      <c r="AD18" s="140">
        <f t="shared" si="2"/>
        <v>0</v>
      </c>
      <c r="AE18" s="140">
        <f t="shared" si="2"/>
        <v>0</v>
      </c>
      <c r="AF18" s="140">
        <f t="shared" si="2"/>
        <v>0</v>
      </c>
      <c r="AG18" s="140">
        <f t="shared" si="2"/>
        <v>0</v>
      </c>
      <c r="AH18" s="140">
        <f t="shared" si="2"/>
        <v>0</v>
      </c>
      <c r="AI18" s="140">
        <f t="shared" si="2"/>
        <v>0</v>
      </c>
      <c r="AJ18" s="140">
        <f t="shared" si="2"/>
        <v>0</v>
      </c>
      <c r="AK18" s="140">
        <f t="shared" si="2"/>
        <v>0</v>
      </c>
      <c r="AL18" s="140">
        <f t="shared" si="2"/>
        <v>0</v>
      </c>
      <c r="AM18" s="140">
        <f t="shared" si="2"/>
        <v>0</v>
      </c>
      <c r="AN18" s="140">
        <f t="shared" si="2"/>
        <v>0</v>
      </c>
      <c r="AO18" s="140">
        <f t="shared" si="2"/>
        <v>0</v>
      </c>
      <c r="AP18" s="140">
        <f t="shared" si="2"/>
        <v>0</v>
      </c>
      <c r="AQ18" s="140">
        <f t="shared" si="2"/>
        <v>0</v>
      </c>
      <c r="AR18" s="140">
        <f t="shared" si="2"/>
        <v>0</v>
      </c>
      <c r="AS18" s="140">
        <f t="shared" si="2"/>
        <v>0</v>
      </c>
      <c r="AT18" s="140">
        <f t="shared" si="2"/>
        <v>0</v>
      </c>
      <c r="AU18" s="140">
        <f t="shared" si="2"/>
        <v>0</v>
      </c>
      <c r="AV18" s="140">
        <f t="shared" si="2"/>
        <v>0</v>
      </c>
      <c r="AW18" s="140">
        <f t="shared" si="2"/>
        <v>0</v>
      </c>
      <c r="AX18" s="140">
        <f t="shared" si="2"/>
        <v>0</v>
      </c>
      <c r="AY18" s="140">
        <f t="shared" si="2"/>
        <v>0</v>
      </c>
      <c r="AZ18" s="140">
        <f t="shared" si="2"/>
        <v>0</v>
      </c>
      <c r="BA18" s="140">
        <f t="shared" si="2"/>
        <v>0</v>
      </c>
      <c r="BB18" s="140">
        <f t="shared" si="2"/>
        <v>0</v>
      </c>
      <c r="BC18" s="140">
        <f t="shared" si="2"/>
        <v>0</v>
      </c>
      <c r="BD18" s="140">
        <f t="shared" si="2"/>
        <v>0</v>
      </c>
      <c r="BE18" s="140">
        <f t="shared" si="2"/>
        <v>0</v>
      </c>
      <c r="BF18" s="140">
        <f t="shared" si="2"/>
        <v>0</v>
      </c>
      <c r="BG18" s="140">
        <f t="shared" si="2"/>
        <v>0</v>
      </c>
      <c r="BH18" s="140">
        <f t="shared" si="2"/>
        <v>0</v>
      </c>
      <c r="BI18" s="140">
        <f t="shared" si="2"/>
        <v>0</v>
      </c>
      <c r="BJ18" s="140">
        <f t="shared" si="2"/>
        <v>0</v>
      </c>
      <c r="BK18" s="140">
        <f t="shared" si="2"/>
        <v>0</v>
      </c>
      <c r="BL18" s="140">
        <f t="shared" si="2"/>
        <v>0</v>
      </c>
    </row>
    <row r="19" spans="1:64" x14ac:dyDescent="0.15">
      <c r="C19" s="84" t="s">
        <v>360</v>
      </c>
      <c r="E19" s="281">
        <f>-IFERROR(PMT(D11/12,D6,-D17),0)</f>
        <v>-1.252243541616999</v>
      </c>
      <c r="F19" s="281">
        <f>-IFERROR(PMT(E11/12,E6,-E17),0)</f>
        <v>-1.1471615097941439</v>
      </c>
      <c r="G19" s="281">
        <f>-IFERROR(PMT(F11/12,F6,-F17),0)</f>
        <v>-1.0726457741620352</v>
      </c>
      <c r="H19" s="281">
        <f t="shared" ref="H19:BL19" si="3">-IFERROR(PMT(G11/12,G6,-G17),0)</f>
        <v>-1.000360097044251</v>
      </c>
      <c r="I19" s="281">
        <f t="shared" si="3"/>
        <v>-0.97101761040519297</v>
      </c>
      <c r="J19" s="281">
        <f t="shared" si="3"/>
        <v>-0.94221856300697482</v>
      </c>
      <c r="K19" s="281">
        <f t="shared" si="3"/>
        <v>-0.91388502580969566</v>
      </c>
      <c r="L19" s="281">
        <f t="shared" si="3"/>
        <v>-0.88586726142079641</v>
      </c>
      <c r="M19" s="281">
        <f t="shared" si="3"/>
        <v>-0.85807935095981458</v>
      </c>
      <c r="N19" s="281">
        <f t="shared" si="3"/>
        <v>-0.83041509363158883</v>
      </c>
      <c r="O19" s="281">
        <f t="shared" si="3"/>
        <v>-0.80272934978652533</v>
      </c>
      <c r="P19" s="281">
        <f t="shared" si="3"/>
        <v>-0.77479502565571146</v>
      </c>
      <c r="Q19" s="281">
        <f t="shared" si="3"/>
        <v>-0.74622521208402659</v>
      </c>
      <c r="R19" s="281">
        <f t="shared" si="3"/>
        <v>-0.71626367500359456</v>
      </c>
      <c r="S19" s="281">
        <f t="shared" si="3"/>
        <v>-0.68305192194591813</v>
      </c>
      <c r="T19" s="281">
        <f t="shared" si="3"/>
        <v>-0.68305192194591791</v>
      </c>
      <c r="U19" s="281">
        <f t="shared" si="3"/>
        <v>0</v>
      </c>
      <c r="V19" s="281">
        <f t="shared" si="3"/>
        <v>0</v>
      </c>
      <c r="W19" s="281">
        <f t="shared" si="3"/>
        <v>0</v>
      </c>
      <c r="X19" s="281">
        <f t="shared" si="3"/>
        <v>0</v>
      </c>
      <c r="Y19" s="281">
        <f t="shared" si="3"/>
        <v>0</v>
      </c>
      <c r="Z19" s="281">
        <f>-IFERROR(PMT(Y11/12,Y6,-Y17),0)</f>
        <v>0</v>
      </c>
      <c r="AA19" s="281">
        <f>-IFERROR(PMT(Z11/12,Z6,-Z17),0)</f>
        <v>0</v>
      </c>
      <c r="AB19" s="281">
        <f t="shared" si="3"/>
        <v>0</v>
      </c>
      <c r="AC19" s="281">
        <f t="shared" si="3"/>
        <v>0</v>
      </c>
      <c r="AD19" s="281">
        <f t="shared" si="3"/>
        <v>0</v>
      </c>
      <c r="AE19" s="281">
        <f t="shared" si="3"/>
        <v>0</v>
      </c>
      <c r="AF19" s="281">
        <f t="shared" si="3"/>
        <v>0</v>
      </c>
      <c r="AG19" s="281">
        <f t="shared" si="3"/>
        <v>0</v>
      </c>
      <c r="AH19" s="281">
        <f t="shared" si="3"/>
        <v>0</v>
      </c>
      <c r="AI19" s="281">
        <f t="shared" si="3"/>
        <v>0</v>
      </c>
      <c r="AJ19" s="281">
        <f t="shared" si="3"/>
        <v>0</v>
      </c>
      <c r="AK19" s="281">
        <f t="shared" si="3"/>
        <v>0</v>
      </c>
      <c r="AL19" s="281">
        <f t="shared" si="3"/>
        <v>0</v>
      </c>
      <c r="AM19" s="281">
        <f t="shared" si="3"/>
        <v>0</v>
      </c>
      <c r="AN19" s="281">
        <f t="shared" si="3"/>
        <v>0</v>
      </c>
      <c r="AO19" s="281">
        <f t="shared" si="3"/>
        <v>0</v>
      </c>
      <c r="AP19" s="281">
        <f t="shared" si="3"/>
        <v>0</v>
      </c>
      <c r="AQ19" s="281">
        <f t="shared" si="3"/>
        <v>0</v>
      </c>
      <c r="AR19" s="281">
        <f t="shared" si="3"/>
        <v>0</v>
      </c>
      <c r="AS19" s="281">
        <f t="shared" si="3"/>
        <v>0</v>
      </c>
      <c r="AT19" s="281">
        <f t="shared" si="3"/>
        <v>0</v>
      </c>
      <c r="AU19" s="281">
        <f t="shared" si="3"/>
        <v>0</v>
      </c>
      <c r="AV19" s="281">
        <f t="shared" si="3"/>
        <v>0</v>
      </c>
      <c r="AW19" s="281">
        <f t="shared" si="3"/>
        <v>0</v>
      </c>
      <c r="AX19" s="281">
        <f t="shared" si="3"/>
        <v>0</v>
      </c>
      <c r="AY19" s="281">
        <f t="shared" si="3"/>
        <v>0</v>
      </c>
      <c r="AZ19" s="281">
        <f t="shared" si="3"/>
        <v>0</v>
      </c>
      <c r="BA19" s="281">
        <f t="shared" si="3"/>
        <v>0</v>
      </c>
      <c r="BB19" s="281">
        <f t="shared" si="3"/>
        <v>0</v>
      </c>
      <c r="BC19" s="281">
        <f t="shared" si="3"/>
        <v>0</v>
      </c>
      <c r="BD19" s="281">
        <f t="shared" si="3"/>
        <v>0</v>
      </c>
      <c r="BE19" s="281">
        <f t="shared" si="3"/>
        <v>0</v>
      </c>
      <c r="BF19" s="281">
        <f t="shared" si="3"/>
        <v>0</v>
      </c>
      <c r="BG19" s="281">
        <f t="shared" si="3"/>
        <v>0</v>
      </c>
      <c r="BH19" s="281">
        <f t="shared" si="3"/>
        <v>0</v>
      </c>
      <c r="BI19" s="281">
        <f t="shared" si="3"/>
        <v>0</v>
      </c>
      <c r="BJ19" s="281">
        <f t="shared" si="3"/>
        <v>0</v>
      </c>
      <c r="BK19" s="281">
        <f t="shared" si="3"/>
        <v>0</v>
      </c>
      <c r="BL19" s="281">
        <f t="shared" si="3"/>
        <v>0</v>
      </c>
    </row>
    <row r="20" spans="1:64" s="140" customFormat="1" x14ac:dyDescent="0.15">
      <c r="C20" s="84" t="s">
        <v>361</v>
      </c>
      <c r="E20" s="140">
        <f>-IF(E5&gt;$D$6,0,D17*D11/12)</f>
        <v>-0.5600050568913062</v>
      </c>
      <c r="F20" s="140">
        <f t="shared" ref="F20:BL20" si="4">-IF(F5&gt;$D$6,0,E17*E11/12)</f>
        <v>-0.48907790259614226</v>
      </c>
      <c r="G20" s="140">
        <f t="shared" si="4"/>
        <v>-0.43408476286591169</v>
      </c>
      <c r="H20" s="140">
        <f t="shared" si="4"/>
        <v>-0.38235508337710716</v>
      </c>
      <c r="I20" s="140">
        <f t="shared" si="4"/>
        <v>-0.34849904060402359</v>
      </c>
      <c r="J20" s="140">
        <f t="shared" si="4"/>
        <v>-0.31536452598095938</v>
      </c>
      <c r="K20" s="140">
        <f t="shared" si="4"/>
        <v>-0.28293363995400184</v>
      </c>
      <c r="L20" s="140">
        <f t="shared" si="4"/>
        <v>-0.25117594655214698</v>
      </c>
      <c r="M20" s="140">
        <f t="shared" si="4"/>
        <v>-0.22009368552407593</v>
      </c>
      <c r="N20" s="140">
        <f t="shared" si="4"/>
        <v>-0.1896951088097705</v>
      </c>
      <c r="O20" s="140">
        <f t="shared" si="4"/>
        <v>-0.15999465389319098</v>
      </c>
      <c r="P20" s="140">
        <f t="shared" si="4"/>
        <v>-0.13101278453451717</v>
      </c>
      <c r="Q20" s="140">
        <f t="shared" si="4"/>
        <v>-0.10277988241029561</v>
      </c>
      <c r="R20" s="140">
        <f t="shared" si="4"/>
        <v>-7.5343079068851196E-2</v>
      </c>
      <c r="S20" s="140">
        <f t="shared" si="4"/>
        <v>-4.8781316294137254E-2</v>
      </c>
      <c r="T20" s="140">
        <f t="shared" si="4"/>
        <v>-2.4842414095833629E-2</v>
      </c>
      <c r="U20" s="140">
        <f t="shared" si="4"/>
        <v>0</v>
      </c>
      <c r="V20" s="140">
        <f t="shared" si="4"/>
        <v>0</v>
      </c>
      <c r="W20" s="140">
        <f t="shared" si="4"/>
        <v>0</v>
      </c>
      <c r="X20" s="140">
        <f t="shared" si="4"/>
        <v>0</v>
      </c>
      <c r="Y20" s="140">
        <f t="shared" si="4"/>
        <v>0</v>
      </c>
      <c r="Z20" s="140">
        <f t="shared" si="4"/>
        <v>0</v>
      </c>
      <c r="AA20" s="140">
        <f t="shared" si="4"/>
        <v>0</v>
      </c>
      <c r="AB20" s="140">
        <f t="shared" si="4"/>
        <v>0</v>
      </c>
      <c r="AC20" s="140">
        <f t="shared" si="4"/>
        <v>0</v>
      </c>
      <c r="AD20" s="140">
        <f t="shared" si="4"/>
        <v>0</v>
      </c>
      <c r="AE20" s="140">
        <f t="shared" si="4"/>
        <v>0</v>
      </c>
      <c r="AF20" s="140">
        <f t="shared" si="4"/>
        <v>0</v>
      </c>
      <c r="AG20" s="140">
        <f t="shared" si="4"/>
        <v>0</v>
      </c>
      <c r="AH20" s="140">
        <f t="shared" si="4"/>
        <v>0</v>
      </c>
      <c r="AI20" s="140">
        <f t="shared" si="4"/>
        <v>0</v>
      </c>
      <c r="AJ20" s="140">
        <f t="shared" si="4"/>
        <v>0</v>
      </c>
      <c r="AK20" s="140">
        <f t="shared" si="4"/>
        <v>0</v>
      </c>
      <c r="AL20" s="140">
        <f t="shared" si="4"/>
        <v>0</v>
      </c>
      <c r="AM20" s="140">
        <f t="shared" si="4"/>
        <v>0</v>
      </c>
      <c r="AN20" s="140">
        <f t="shared" si="4"/>
        <v>0</v>
      </c>
      <c r="AO20" s="140">
        <f t="shared" si="4"/>
        <v>0</v>
      </c>
      <c r="AP20" s="140">
        <f t="shared" si="4"/>
        <v>0</v>
      </c>
      <c r="AQ20" s="140">
        <f t="shared" si="4"/>
        <v>0</v>
      </c>
      <c r="AR20" s="140">
        <f t="shared" si="4"/>
        <v>0</v>
      </c>
      <c r="AS20" s="140">
        <f t="shared" si="4"/>
        <v>0</v>
      </c>
      <c r="AT20" s="140">
        <f t="shared" si="4"/>
        <v>0</v>
      </c>
      <c r="AU20" s="140">
        <f t="shared" si="4"/>
        <v>0</v>
      </c>
      <c r="AV20" s="140">
        <f t="shared" si="4"/>
        <v>0</v>
      </c>
      <c r="AW20" s="140">
        <f t="shared" si="4"/>
        <v>0</v>
      </c>
      <c r="AX20" s="140">
        <f t="shared" si="4"/>
        <v>0</v>
      </c>
      <c r="AY20" s="140">
        <f t="shared" si="4"/>
        <v>0</v>
      </c>
      <c r="AZ20" s="140">
        <f t="shared" si="4"/>
        <v>0</v>
      </c>
      <c r="BA20" s="140">
        <f t="shared" si="4"/>
        <v>0</v>
      </c>
      <c r="BB20" s="140">
        <f t="shared" si="4"/>
        <v>0</v>
      </c>
      <c r="BC20" s="140">
        <f t="shared" si="4"/>
        <v>0</v>
      </c>
      <c r="BD20" s="140">
        <f t="shared" si="4"/>
        <v>0</v>
      </c>
      <c r="BE20" s="140">
        <f t="shared" si="4"/>
        <v>0</v>
      </c>
      <c r="BF20" s="140">
        <f t="shared" si="4"/>
        <v>0</v>
      </c>
      <c r="BG20" s="140">
        <f t="shared" si="4"/>
        <v>0</v>
      </c>
      <c r="BH20" s="140">
        <f t="shared" si="4"/>
        <v>0</v>
      </c>
      <c r="BI20" s="140">
        <f t="shared" si="4"/>
        <v>0</v>
      </c>
      <c r="BJ20" s="140">
        <f t="shared" si="4"/>
        <v>0</v>
      </c>
      <c r="BK20" s="140">
        <f t="shared" si="4"/>
        <v>0</v>
      </c>
      <c r="BL20" s="140">
        <f t="shared" si="4"/>
        <v>0</v>
      </c>
    </row>
    <row r="21" spans="1:64" s="140" customFormat="1" x14ac:dyDescent="0.15">
      <c r="C21" s="282" t="s">
        <v>362</v>
      </c>
      <c r="E21" s="140">
        <f t="shared" ref="E21:BL21" si="5">E19-E20</f>
        <v>-0.69223848472569283</v>
      </c>
      <c r="F21" s="140">
        <f t="shared" si="5"/>
        <v>-0.65808360719800163</v>
      </c>
      <c r="G21" s="140">
        <f t="shared" si="5"/>
        <v>-0.63856101129612353</v>
      </c>
      <c r="H21" s="140">
        <f t="shared" si="5"/>
        <v>-0.61800501366714378</v>
      </c>
      <c r="I21" s="140">
        <f t="shared" si="5"/>
        <v>-0.62251856980116937</v>
      </c>
      <c r="J21" s="140">
        <f t="shared" si="5"/>
        <v>-0.62685403702601539</v>
      </c>
      <c r="K21" s="140">
        <f t="shared" si="5"/>
        <v>-0.63095138585569388</v>
      </c>
      <c r="L21" s="140">
        <f t="shared" si="5"/>
        <v>-0.63469131486864949</v>
      </c>
      <c r="M21" s="140">
        <f t="shared" si="5"/>
        <v>-0.63798566543573865</v>
      </c>
      <c r="N21" s="140">
        <f t="shared" si="5"/>
        <v>-0.64071998482181836</v>
      </c>
      <c r="O21" s="140">
        <f t="shared" si="5"/>
        <v>-0.64273469589333432</v>
      </c>
      <c r="P21" s="140">
        <f t="shared" si="5"/>
        <v>-0.64378224112119431</v>
      </c>
      <c r="Q21" s="140">
        <f t="shared" si="5"/>
        <v>-0.64344532967373103</v>
      </c>
      <c r="R21" s="140">
        <f t="shared" si="5"/>
        <v>-0.64092059593474338</v>
      </c>
      <c r="S21" s="140">
        <f t="shared" si="5"/>
        <v>-0.63427060565178084</v>
      </c>
      <c r="T21" s="140">
        <f t="shared" si="5"/>
        <v>-0.65820950785008425</v>
      </c>
      <c r="U21" s="140">
        <f t="shared" si="5"/>
        <v>0</v>
      </c>
      <c r="V21" s="140">
        <f t="shared" si="5"/>
        <v>0</v>
      </c>
      <c r="W21" s="140">
        <f t="shared" si="5"/>
        <v>0</v>
      </c>
      <c r="X21" s="140">
        <f t="shared" si="5"/>
        <v>0</v>
      </c>
      <c r="Y21" s="140">
        <f t="shared" si="5"/>
        <v>0</v>
      </c>
      <c r="Z21" s="140">
        <f t="shared" si="5"/>
        <v>0</v>
      </c>
      <c r="AA21" s="140">
        <f t="shared" si="5"/>
        <v>0</v>
      </c>
      <c r="AB21" s="140">
        <f t="shared" si="5"/>
        <v>0</v>
      </c>
      <c r="AC21" s="140">
        <f t="shared" si="5"/>
        <v>0</v>
      </c>
      <c r="AD21" s="140">
        <f t="shared" si="5"/>
        <v>0</v>
      </c>
      <c r="AE21" s="140">
        <f t="shared" si="5"/>
        <v>0</v>
      </c>
      <c r="AF21" s="140">
        <f t="shared" si="5"/>
        <v>0</v>
      </c>
      <c r="AG21" s="140">
        <f t="shared" si="5"/>
        <v>0</v>
      </c>
      <c r="AH21" s="140">
        <f t="shared" si="5"/>
        <v>0</v>
      </c>
      <c r="AI21" s="140">
        <f t="shared" si="5"/>
        <v>0</v>
      </c>
      <c r="AJ21" s="140">
        <f t="shared" si="5"/>
        <v>0</v>
      </c>
      <c r="AK21" s="140">
        <f t="shared" si="5"/>
        <v>0</v>
      </c>
      <c r="AL21" s="140">
        <f t="shared" si="5"/>
        <v>0</v>
      </c>
      <c r="AM21" s="140">
        <f t="shared" si="5"/>
        <v>0</v>
      </c>
      <c r="AN21" s="140">
        <f t="shared" si="5"/>
        <v>0</v>
      </c>
      <c r="AO21" s="140">
        <f t="shared" si="5"/>
        <v>0</v>
      </c>
      <c r="AP21" s="140">
        <f t="shared" si="5"/>
        <v>0</v>
      </c>
      <c r="AQ21" s="140">
        <f t="shared" si="5"/>
        <v>0</v>
      </c>
      <c r="AR21" s="140">
        <f t="shared" si="5"/>
        <v>0</v>
      </c>
      <c r="AS21" s="140">
        <f t="shared" si="5"/>
        <v>0</v>
      </c>
      <c r="AT21" s="140">
        <f t="shared" si="5"/>
        <v>0</v>
      </c>
      <c r="AU21" s="140">
        <f t="shared" si="5"/>
        <v>0</v>
      </c>
      <c r="AV21" s="140">
        <f t="shared" si="5"/>
        <v>0</v>
      </c>
      <c r="AW21" s="140">
        <f t="shared" si="5"/>
        <v>0</v>
      </c>
      <c r="AX21" s="140">
        <f t="shared" si="5"/>
        <v>0</v>
      </c>
      <c r="AY21" s="140">
        <f t="shared" si="5"/>
        <v>0</v>
      </c>
      <c r="AZ21" s="140">
        <f t="shared" si="5"/>
        <v>0</v>
      </c>
      <c r="BA21" s="140">
        <f t="shared" si="5"/>
        <v>0</v>
      </c>
      <c r="BB21" s="140">
        <f t="shared" si="5"/>
        <v>0</v>
      </c>
      <c r="BC21" s="140">
        <f t="shared" si="5"/>
        <v>0</v>
      </c>
      <c r="BD21" s="140">
        <f t="shared" si="5"/>
        <v>0</v>
      </c>
      <c r="BE21" s="140">
        <f t="shared" si="5"/>
        <v>0</v>
      </c>
      <c r="BF21" s="140">
        <f t="shared" si="5"/>
        <v>0</v>
      </c>
      <c r="BG21" s="140">
        <f t="shared" si="5"/>
        <v>0</v>
      </c>
      <c r="BH21" s="140">
        <f t="shared" si="5"/>
        <v>0</v>
      </c>
      <c r="BI21" s="140">
        <f t="shared" si="5"/>
        <v>0</v>
      </c>
      <c r="BJ21" s="140">
        <f t="shared" si="5"/>
        <v>0</v>
      </c>
      <c r="BK21" s="140">
        <f t="shared" si="5"/>
        <v>0</v>
      </c>
      <c r="BL21" s="140">
        <f t="shared" si="5"/>
        <v>0</v>
      </c>
    </row>
    <row r="22" spans="1:64" s="140" customFormat="1" x14ac:dyDescent="0.15">
      <c r="C22" s="282"/>
    </row>
    <row r="23" spans="1:64" x14ac:dyDescent="0.15">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row>
    <row r="24" spans="1:64" x14ac:dyDescent="0.15">
      <c r="C24" s="155" t="s">
        <v>363</v>
      </c>
      <c r="D24" s="155"/>
      <c r="E24" s="283">
        <f>IF(E5&gt;Leadsheet!$E$12,0,IFERROR(E21/D17*D27*(1-Leadsheet!$D$91)+E18,0))</f>
        <v>-1.8446308555407613</v>
      </c>
      <c r="F24" s="283">
        <f>IF(F5&gt;Leadsheet!$E$12,0,IFERROR(F21/E17*E27*(1-Leadsheet!$D$91)+F18,0))</f>
        <v>-1.3900382835178013</v>
      </c>
      <c r="G24" s="283">
        <f>IF(G5&gt;Leadsheet!$E$12,0,IFERROR(G21/F17*F27*(1-Leadsheet!$D$91)+G18,0))</f>
        <v>-1.2854655200014751</v>
      </c>
      <c r="H24" s="283">
        <f>IF(H5&gt;Leadsheet!$E$12,0,IFERROR(H21/G17*G27*(1-Leadsheet!$D$91)+H18,0))</f>
        <v>-0.7964761695263135</v>
      </c>
      <c r="I24" s="283">
        <f>IF(I5&gt;Leadsheet!$E$12,0,IFERROR(I21/H17*H27*(1-Leadsheet!$D$91)+I18,0))</f>
        <v>-0.76247204948998148</v>
      </c>
      <c r="J24" s="283">
        <f>IF(J5&gt;Leadsheet!$E$12,0,IFERROR(J21/I17*I27*(1-Leadsheet!$D$91)+J18,0))</f>
        <v>-0.72934163912401107</v>
      </c>
      <c r="K24" s="283">
        <f>IF(K5&gt;Leadsheet!$E$12,0,IFERROR(K21/J17*J27*(1-Leadsheet!$D$91)+K18,0))</f>
        <v>-0.69854405272211673</v>
      </c>
      <c r="L24" s="283">
        <f>IF(L5&gt;Leadsheet!$E$12,0,IFERROR(L21/K17*K27*(1-Leadsheet!$D$91)+L18,0))</f>
        <v>-0.66791890601050274</v>
      </c>
      <c r="M24" s="283">
        <f>IF(M5&gt;Leadsheet!$E$12,0,IFERROR(M21/L17*L27*(1-Leadsheet!$D$91)+M18,0))</f>
        <v>-0.63729887418632769</v>
      </c>
      <c r="N24" s="283">
        <f>IF(N5&gt;Leadsheet!$E$12,0,IFERROR(N21/M17*M27*(1-Leadsheet!$D$91)+N18,0))</f>
        <v>-0.60656949744768029</v>
      </c>
      <c r="O24" s="283">
        <f>IF(O5&gt;Leadsheet!$E$12,0,IFERROR(O21/N17*N27*(1-Leadsheet!$D$91)+O18,0))</f>
        <v>-0.57581742172400785</v>
      </c>
      <c r="P24" s="283">
        <f>IF(P5&gt;Leadsheet!$E$12,0,IFERROR(P21/O17*O27*(1-Leadsheet!$D$91)+P18,0))</f>
        <v>-0.54512472465031703</v>
      </c>
      <c r="Q24" s="283">
        <f>IF(Q5&gt;Leadsheet!$E$12,0,IFERROR(Q21/P17*P27*(1-Leadsheet!$D$91)+Q18,0))</f>
        <v>-0.51461493743294306</v>
      </c>
      <c r="R24" s="283">
        <f>IF(R5&gt;Leadsheet!$E$12,0,IFERROR(R21/Q17*Q27*(1-Leadsheet!$D$91)+R18,0))</f>
        <v>-0.48453901615332928</v>
      </c>
      <c r="S24" s="283">
        <f>IF(S5&gt;Leadsheet!$E$12,0,IFERROR(S21/R17*R27*(1-Leadsheet!$D$91)+S18,0))</f>
        <v>-0.41336382006269207</v>
      </c>
      <c r="T24" s="283">
        <f>IF(T5&gt;Leadsheet!$E$12,0,IFERROR(T21/S17*S27*(1-Leadsheet!$D$91)+T18,0))</f>
        <v>-0.44929999912624713</v>
      </c>
      <c r="U24" s="283">
        <f>IF(U5&gt;Leadsheet!$E$12,0,IFERROR(U21/T17*T27*(1-Leadsheet!$D$91)+U18,0))</f>
        <v>0</v>
      </c>
      <c r="V24" s="283">
        <f>IF(V5&gt;Leadsheet!$E$12,0,IFERROR(V21/U17*U27*(1-Leadsheet!$D$91)+V18,0))</f>
        <v>0</v>
      </c>
      <c r="W24" s="283">
        <f>IF(W5&gt;Leadsheet!$E$12,0,IFERROR(W21/V17*V27*(1-Leadsheet!$D$91)+W18,0))</f>
        <v>0</v>
      </c>
      <c r="X24" s="283">
        <f>IF(X5&gt;Leadsheet!$E$12,0,IFERROR(X21/W17*W27*(1-Leadsheet!$D$91)+X18,0))</f>
        <v>0</v>
      </c>
      <c r="Y24" s="283">
        <f>IF(Y5&gt;Leadsheet!$E$12,0,IFERROR(Y21/X17*X27*(1-Leadsheet!$D$91)+Y18,0))</f>
        <v>0</v>
      </c>
      <c r="Z24" s="283">
        <f>IF(Z5&gt;Leadsheet!$E$12,0,IFERROR(Z21/Y17*Y27*(1-Leadsheet!$D$91)+Z18,0))</f>
        <v>0</v>
      </c>
      <c r="AA24" s="283">
        <f>IF(AA5&gt;Leadsheet!$E$12,0,IFERROR(AA21/Z17*Z27*(1-Leadsheet!$D$91)+AA18,0))</f>
        <v>0</v>
      </c>
      <c r="AB24" s="283">
        <f>IF(AB5&gt;Leadsheet!$E$12,0,IFERROR(AB21/AA17*AA27*(1-Leadsheet!$D$91)+AB18,0))</f>
        <v>0</v>
      </c>
      <c r="AC24" s="283">
        <f>IF(AC5&gt;Leadsheet!$E$12,0,IFERROR(AC21/AB17*AB27*(1-Leadsheet!$D$91)+AC18,0))</f>
        <v>0</v>
      </c>
      <c r="AD24" s="283">
        <f>IF(AD5&gt;Leadsheet!$E$12,0,IFERROR(AD21/AC17*AC27*(1-Leadsheet!$D$91)+AD18,0))</f>
        <v>0</v>
      </c>
      <c r="AE24" s="283">
        <f>IF(AE5&gt;Leadsheet!$E$12,0,IFERROR(AE21/AD17*AD27*(1-Leadsheet!$D$91)+AE18,0))</f>
        <v>0</v>
      </c>
      <c r="AF24" s="283">
        <f>IF(AF5&gt;Leadsheet!$E$12,0,IFERROR(AF21/AE17*AE27*(1-Leadsheet!$D$91)+AF18,0))</f>
        <v>0</v>
      </c>
      <c r="AG24" s="283">
        <f>IF(AG5&gt;Leadsheet!$E$12,0,IFERROR(AG21/AF17*AF27*(1-Leadsheet!$D$91)+AG18,0))</f>
        <v>0</v>
      </c>
      <c r="AH24" s="283">
        <f>IF(AH5&gt;Leadsheet!$E$12,0,IFERROR(AH21/AG17*AG27*(1-Leadsheet!$D$91)+AH18,0))</f>
        <v>0</v>
      </c>
      <c r="AI24" s="283">
        <f>IF(AI5&gt;Leadsheet!$E$12,0,IFERROR(AI21/AH17*AH27*(1-Leadsheet!$D$91)+AI18,0))</f>
        <v>0</v>
      </c>
      <c r="AJ24" s="283">
        <f>IF(AJ5&gt;Leadsheet!$E$12,0,IFERROR(AJ21/AI17*AI27*(1-Leadsheet!$D$91)+AJ18,0))</f>
        <v>0</v>
      </c>
      <c r="AK24" s="283">
        <f>IF(AK5&gt;Leadsheet!$E$12,0,IFERROR(AK21/AJ17*AJ27*(1-Leadsheet!$D$91)+AK18,0))</f>
        <v>0</v>
      </c>
      <c r="AL24" s="283">
        <f>IF(AL5&gt;Leadsheet!$E$12,0,IFERROR(AL21/AK17*AK27*(1-Leadsheet!$D$91)+AL18,0))</f>
        <v>0</v>
      </c>
      <c r="AM24" s="283">
        <f>IF(AM5&gt;Leadsheet!$E$12,0,IFERROR(AM21/AL17*AL27*(1-Leadsheet!$D$91)+AM18,0))</f>
        <v>0</v>
      </c>
      <c r="AN24" s="283">
        <f>IF(AN5&gt;Leadsheet!$E$12,0,IFERROR(AN21/AM17*AM27*(1-Leadsheet!$D$91)+AN18,0))</f>
        <v>0</v>
      </c>
      <c r="AO24" s="283">
        <f>IF(AO5&gt;Leadsheet!$E$12,0,IFERROR(AO21/AN17*AN27*(1-Leadsheet!$D$91)+AO18,0))</f>
        <v>0</v>
      </c>
      <c r="AP24" s="283">
        <f>IF(AP5&gt;Leadsheet!$E$12,0,IFERROR(AP21/AO17*AO27*(1-Leadsheet!$D$91)+AP18,0))</f>
        <v>0</v>
      </c>
      <c r="AQ24" s="283">
        <f>IF(AQ5&gt;Leadsheet!$E$12,0,IFERROR(AQ21/AP17*AP27*(1-Leadsheet!$D$91)+AQ18,0))</f>
        <v>0</v>
      </c>
      <c r="AR24" s="283">
        <f>IF(AR5&gt;Leadsheet!$E$12,0,IFERROR(AR21/AQ17*AQ27*(1-Leadsheet!$D$91)+AR18,0))</f>
        <v>0</v>
      </c>
      <c r="AS24" s="283">
        <f>IF(AS5&gt;Leadsheet!$E$12,0,IFERROR(AS21/AR17*AR27*(1-Leadsheet!$D$91)+AS18,0))</f>
        <v>0</v>
      </c>
      <c r="AT24" s="283">
        <f>IF(AT5&gt;Leadsheet!$E$12,0,IFERROR(AT21/AS17*AS27*(1-Leadsheet!$D$91)+AT18,0))</f>
        <v>0</v>
      </c>
      <c r="AU24" s="283">
        <f>IF(AU5&gt;Leadsheet!$E$12,0,IFERROR(AU21/AT17*AT27*(1-Leadsheet!$D$91)+AU18,0))</f>
        <v>0</v>
      </c>
      <c r="AV24" s="283">
        <f>IF(AV5&gt;Leadsheet!$E$12,0,IFERROR(AV21/AU17*AU27*(1-Leadsheet!$D$91)+AV18,0))</f>
        <v>0</v>
      </c>
      <c r="AW24" s="283">
        <f>IF(AW5&gt;Leadsheet!$E$12,0,IFERROR(AW21/AV17*AV27*(1-Leadsheet!$D$91)+AW18,0))</f>
        <v>0</v>
      </c>
      <c r="AX24" s="283">
        <f>IF(AX5&gt;Leadsheet!$E$12,0,IFERROR(AX21/AW17*AW27*(1-Leadsheet!$D$91)+AX18,0))</f>
        <v>0</v>
      </c>
      <c r="AY24" s="283">
        <f>IF(AY5&gt;Leadsheet!$E$12,0,IFERROR(AY21/AX17*AX27*(1-Leadsheet!$D$91)+AY18,0))</f>
        <v>0</v>
      </c>
      <c r="AZ24" s="283">
        <f>IF(AZ5&gt;Leadsheet!$E$12,0,IFERROR(AZ21/AY17*AY27*(1-Leadsheet!$D$91)+AZ18,0))</f>
        <v>0</v>
      </c>
      <c r="BA24" s="283">
        <f>IF(BA5&gt;Leadsheet!$E$12,0,IFERROR(BA21/AZ17*AZ27*(1-Leadsheet!$D$91)+BA18,0))</f>
        <v>0</v>
      </c>
      <c r="BB24" s="283">
        <f>IF(BB5&gt;Leadsheet!$E$12,0,IFERROR(BB21/BA17*BA27*(1-Leadsheet!$D$91)+BB18,0))</f>
        <v>0</v>
      </c>
      <c r="BC24" s="283">
        <f>IF(BC5&gt;Leadsheet!$E$12,0,IFERROR(BC21/BB17*BB27*(1-Leadsheet!$D$91)+BC18,0))</f>
        <v>0</v>
      </c>
      <c r="BD24" s="283">
        <f>IF(BD5&gt;Leadsheet!$E$12,0,IFERROR(BD21/BC17*BC27*(1-Leadsheet!$D$91)+BD18,0))</f>
        <v>0</v>
      </c>
      <c r="BE24" s="283">
        <f>IF(BE5&gt;Leadsheet!$E$12,0,IFERROR(BE21/BD17*BD27*(1-Leadsheet!$D$91)+BE18,0))</f>
        <v>0</v>
      </c>
      <c r="BF24" s="283">
        <f>IF(BF5&gt;Leadsheet!$E$12,0,IFERROR(BF21/BE17*BE27*(1-Leadsheet!$D$91)+BF18,0))</f>
        <v>0</v>
      </c>
      <c r="BG24" s="283">
        <f>IF(BG5&gt;Leadsheet!$E$12,0,IFERROR(BG21/BF17*BF27*(1-Leadsheet!$D$91)+BG18,0))</f>
        <v>0</v>
      </c>
      <c r="BH24" s="283">
        <f>IF(BH5&gt;Leadsheet!$E$12,0,IFERROR(BH21/BG17*BG27*(1-Leadsheet!$D$91)+BH18,0))</f>
        <v>0</v>
      </c>
      <c r="BI24" s="283">
        <f>IF(BI5&gt;Leadsheet!$E$12,0,IFERROR(BI21/BH17*BH27*(1-Leadsheet!$D$91)+BI18,0))</f>
        <v>0</v>
      </c>
      <c r="BJ24" s="283">
        <f>IF(BJ5&gt;Leadsheet!$E$12,0,IFERROR(BJ21/BI17*BI27*(1-Leadsheet!$D$91)+BJ18,0))</f>
        <v>0</v>
      </c>
      <c r="BK24" s="283">
        <f>IF(BK5&gt;Leadsheet!$E$12,0,IFERROR(BK21/BJ17*BJ27*(1-Leadsheet!$D$91)+BK18,0))</f>
        <v>0</v>
      </c>
      <c r="BL24" s="283">
        <f>IF(BL5&gt;Leadsheet!$E$12,0,IFERROR(BL21/BK17*BK27*(1-Leadsheet!$D$91)+BL18,0))</f>
        <v>0</v>
      </c>
    </row>
    <row r="25" spans="1:64" x14ac:dyDescent="0.15">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40"/>
      <c r="BE25" s="140"/>
      <c r="BF25" s="140"/>
      <c r="BG25" s="140"/>
      <c r="BH25" s="140"/>
      <c r="BI25" s="140"/>
      <c r="BJ25" s="140"/>
      <c r="BK25" s="140"/>
      <c r="BL25" s="140"/>
    </row>
    <row r="26" spans="1:64" s="155" customFormat="1" x14ac:dyDescent="0.15">
      <c r="A26" s="284" t="s">
        <v>364</v>
      </c>
      <c r="B26" s="284" t="s">
        <v>365</v>
      </c>
      <c r="C26" s="269" t="s">
        <v>366</v>
      </c>
      <c r="D26" s="281"/>
      <c r="E26" s="281"/>
      <c r="F26" s="281"/>
      <c r="G26" s="281"/>
      <c r="H26" s="281"/>
      <c r="I26" s="281"/>
      <c r="J26" s="281"/>
      <c r="K26" s="281"/>
      <c r="L26" s="281"/>
      <c r="M26" s="281"/>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row>
    <row r="27" spans="1:64" s="140" customFormat="1" x14ac:dyDescent="0.15">
      <c r="A27" s="285" t="s">
        <v>367</v>
      </c>
      <c r="B27" s="286">
        <v>0</v>
      </c>
      <c r="C27" s="84" t="s">
        <v>368</v>
      </c>
      <c r="D27" s="287">
        <f>Leadsheet!E10</f>
        <v>14.837553688141924</v>
      </c>
      <c r="E27" s="288">
        <f>IF(E5&gt;=Leadsheet!$E$12,0,D44+E24-SUM(E28:E41))</f>
        <v>12.251045148194066</v>
      </c>
      <c r="F27" s="288">
        <f>IF(F5&gt;=Leadsheet!$E$12,0,E44+F24-SUM(F28:F41))</f>
        <v>10.492532365436496</v>
      </c>
      <c r="G27" s="288">
        <f>IF(G5&gt;=Leadsheet!$E$12,0,F44+G24-SUM(G28:G41))</f>
        <v>8.9287719132123335</v>
      </c>
      <c r="H27" s="288">
        <f>IF(H5&gt;=Leadsheet!$E$12,0,G44+H24-SUM(H28:H41))</f>
        <v>7.9171952370398451</v>
      </c>
      <c r="I27" s="288">
        <f>IF(I5&gt;=Leadsheet!$E$12,0,H44+I24-SUM(I28:I41))</f>
        <v>6.9724503543343737</v>
      </c>
      <c r="J27" s="288">
        <f>IF(J5&gt;=Leadsheet!$E$12,0,I44+J24-SUM(J28:J41))</f>
        <v>6.1039536477396954</v>
      </c>
      <c r="K27" s="288">
        <f>IF(K5&gt;=Leadsheet!$E$12,0,J44+K24-SUM(K28:K41))</f>
        <v>5.2876707945410661</v>
      </c>
      <c r="L27" s="288">
        <f>IF(L5&gt;=Leadsheet!$E$12,0,K44+L24-SUM(L28:L41))</f>
        <v>4.5207868724191727</v>
      </c>
      <c r="M27" s="288">
        <f>IF(M5&gt;=Leadsheet!$E$12,0,L44+M24-SUM(M28:M41))</f>
        <v>3.8013357335357507</v>
      </c>
      <c r="N27" s="288">
        <f>IF(N5&gt;=Leadsheet!$E$12,0,M44+N24-SUM(N28:N41))</f>
        <v>3.1287825792740263</v>
      </c>
      <c r="O27" s="288">
        <f>IF(O5&gt;=Leadsheet!$E$12,0,N44+O24-SUM(O28:O41))</f>
        <v>2.5022298534067304</v>
      </c>
      <c r="P27" s="288">
        <f>IF(P5&gt;=Leadsheet!$E$12,0,O44+P24-SUM(P28:P41))</f>
        <v>1.9205813990933631</v>
      </c>
      <c r="Q27" s="288">
        <f>IF(Q5&gt;=Leadsheet!$E$12,0,P44+Q24-SUM(Q28:Q41))</f>
        <v>1.382562053649516</v>
      </c>
      <c r="R27" s="288">
        <f>IF(R5&gt;=Leadsheet!$E$12,0,Q44+R24-SUM(R28:R41))</f>
        <v>0.88666209212603553</v>
      </c>
      <c r="S27" s="288">
        <f>IF(S5&gt;=Leadsheet!$E$12,0,R44+S24-SUM(S28:S41))</f>
        <v>0.47294736750131294</v>
      </c>
      <c r="T27" s="288">
        <f>IF(T5&gt;=Leadsheet!$E$12,0,S44+T24-SUM(T28:T41))</f>
        <v>0</v>
      </c>
      <c r="U27" s="288">
        <f>IF(U5&gt;=Leadsheet!$E$12,0,T44+U24-SUM(U28:U41))</f>
        <v>0</v>
      </c>
      <c r="V27" s="288">
        <f>IF(V5&gt;=Leadsheet!$E$12,0,U44+V24-SUM(V28:V41))</f>
        <v>0</v>
      </c>
      <c r="W27" s="288">
        <f>IF(W5&gt;=Leadsheet!$E$12,0,V44+W24-SUM(W28:W41))</f>
        <v>0</v>
      </c>
      <c r="X27" s="288">
        <f>IF(X5&gt;=Leadsheet!$E$12,0,W44+X24-SUM(X28:X41))</f>
        <v>0</v>
      </c>
      <c r="Y27" s="288">
        <f>IF(Y5&gt;=Leadsheet!$E$12,0,X44+Y24-SUM(Y28:Y41))</f>
        <v>0</v>
      </c>
      <c r="Z27" s="288">
        <f>IF(Z5&gt;=Leadsheet!$E$12,0,Y44+Z24-SUM(Z28:Z41))</f>
        <v>0</v>
      </c>
      <c r="AA27" s="288">
        <f>IF(AA5&gt;=Leadsheet!$E$12,0,Z44+AA24-SUM(AA28:AA41))</f>
        <v>0</v>
      </c>
      <c r="AB27" s="288">
        <f>IF(AB5&gt;=Leadsheet!$E$12,0,AA44+AB24-SUM(AB28:AB41))</f>
        <v>0</v>
      </c>
      <c r="AC27" s="288">
        <f>IF(AC5&gt;=Leadsheet!$E$12,0,AB44+AC24-SUM(AC28:AC41))</f>
        <v>0</v>
      </c>
      <c r="AD27" s="288">
        <f>IF(AD5&gt;=Leadsheet!$E$12,0,AC44+AD24-SUM(AD28:AD41))</f>
        <v>0</v>
      </c>
      <c r="AE27" s="288">
        <f>IF(AE5&gt;=Leadsheet!$E$12,0,AD44+AE24-SUM(AE28:AE41))</f>
        <v>0</v>
      </c>
      <c r="AF27" s="288">
        <f>IF(AF5&gt;=Leadsheet!$E$12,0,AE44+AF24-SUM(AF28:AF41))</f>
        <v>0</v>
      </c>
      <c r="AG27" s="288">
        <f>IF(AG5&gt;=Leadsheet!$E$12,0,AF44+AG24-SUM(AG28:AG41))</f>
        <v>0</v>
      </c>
      <c r="AH27" s="288">
        <f>IF(AH5&gt;=Leadsheet!$E$12,0,AG44+AH24-SUM(AH28:AH41))</f>
        <v>0</v>
      </c>
      <c r="AI27" s="288">
        <f>IF(AI5&gt;=Leadsheet!$E$12,0,AH44+AI24-SUM(AI28:AI41))</f>
        <v>0</v>
      </c>
      <c r="AJ27" s="288">
        <f>IF(AJ5&gt;=Leadsheet!$E$12,0,AI44+AJ24-SUM(AJ28:AJ41))</f>
        <v>0</v>
      </c>
      <c r="AK27" s="288">
        <f>IF(AK5&gt;=Leadsheet!$E$12,0,AJ44+AK24-SUM(AK28:AK41))</f>
        <v>0</v>
      </c>
      <c r="AL27" s="288">
        <f>IF(AL5&gt;=Leadsheet!$E$12,0,AK44+AL24-SUM(AL28:AL41))</f>
        <v>0</v>
      </c>
      <c r="AM27" s="288">
        <f>IF(AM5&gt;=Leadsheet!$E$12,0,AL44+AM24-SUM(AM28:AM41))</f>
        <v>0</v>
      </c>
      <c r="AN27" s="288">
        <f>IF(AN5&gt;=Leadsheet!$E$12,0,AM44+AN24-SUM(AN28:AN41))</f>
        <v>0</v>
      </c>
      <c r="AO27" s="288">
        <f>IF(AO5&gt;=Leadsheet!$E$12,0,AN44+AO24-SUM(AO28:AO41))</f>
        <v>0</v>
      </c>
      <c r="AP27" s="288">
        <f>IF(AP5&gt;=Leadsheet!$E$12,0,AO44+AP24-SUM(AP28:AP41))</f>
        <v>0</v>
      </c>
      <c r="AQ27" s="288">
        <f>IF(AQ5&gt;=Leadsheet!$E$12,0,AP44+AQ24-SUM(AQ28:AQ41))</f>
        <v>0</v>
      </c>
      <c r="AR27" s="288">
        <f>IF(AR5&gt;=Leadsheet!$E$12,0,AQ44+AR24-SUM(AR28:AR41))</f>
        <v>0</v>
      </c>
      <c r="AS27" s="288">
        <f>IF(AS5&gt;=Leadsheet!$E$12,0,AR44+AS24-SUM(AS28:AS41))</f>
        <v>0</v>
      </c>
      <c r="AT27" s="288">
        <f>IF(AT5&gt;=Leadsheet!$E$12,0,AS44+AT24-SUM(AT28:AT41))</f>
        <v>0</v>
      </c>
      <c r="AU27" s="288">
        <f>IF(AU5&gt;=Leadsheet!$E$12,0,AT44+AU24-SUM(AU28:AU41))</f>
        <v>0</v>
      </c>
      <c r="AV27" s="288">
        <f>IF(AV5&gt;=Leadsheet!$E$12,0,AU44+AV24-SUM(AV28:AV41))</f>
        <v>0</v>
      </c>
      <c r="AW27" s="288">
        <f>IF(AW5&gt;=Leadsheet!$E$12,0,AV44+AW24-SUM(AW28:AW41))</f>
        <v>0</v>
      </c>
      <c r="AX27" s="288">
        <f>IF(AX5&gt;=Leadsheet!$E$12,0,AW44+AX24-SUM(AX28:AX41))</f>
        <v>0</v>
      </c>
      <c r="AY27" s="288">
        <f>IF(AY5&gt;=Leadsheet!$E$12,0,AX44+AY24-SUM(AY28:AY41))</f>
        <v>0</v>
      </c>
      <c r="AZ27" s="288">
        <f>IF(AZ5&gt;=Leadsheet!$E$12,0,AY44+AZ24-SUM(AZ28:AZ41))</f>
        <v>0</v>
      </c>
      <c r="BA27" s="288">
        <f>IF(BA5&gt;=Leadsheet!$E$12,0,AZ44+BA24-SUM(BA28:BA41))</f>
        <v>0</v>
      </c>
      <c r="BB27" s="288">
        <f>IF(BB5&gt;=Leadsheet!$E$12,0,BA44+BB24-SUM(BB28:BB41))</f>
        <v>0</v>
      </c>
      <c r="BC27" s="288">
        <f>IF(BC5&gt;=Leadsheet!$E$12,0,BB44+BC24-SUM(BC28:BC41))</f>
        <v>0</v>
      </c>
      <c r="BD27" s="288">
        <f>IF(BD5&gt;=Leadsheet!$E$12,0,BC44+BD24-SUM(BD28:BD41))</f>
        <v>0</v>
      </c>
      <c r="BE27" s="288">
        <f>IF(BE5&gt;=Leadsheet!$E$12,0,BD44+BE24-SUM(BE28:BE41))</f>
        <v>0</v>
      </c>
      <c r="BF27" s="288">
        <f>IF(BF5&gt;=Leadsheet!$E$12,0,BE44+BF24-SUM(BF28:BF41))</f>
        <v>0</v>
      </c>
      <c r="BG27" s="288">
        <f>IF(BG5&gt;=Leadsheet!$E$12,0,BF44+BG24-SUM(BG28:BG41))</f>
        <v>0</v>
      </c>
      <c r="BH27" s="288">
        <f>IF(BH5&gt;=Leadsheet!$E$12,0,BG44+BH24-SUM(BH28:BH41))</f>
        <v>0</v>
      </c>
      <c r="BI27" s="288">
        <f>IF(BI5&gt;=Leadsheet!$E$12,0,BH44+BI24-SUM(BI28:BI41))</f>
        <v>0</v>
      </c>
      <c r="BJ27" s="288">
        <f>IF(BJ5&gt;=Leadsheet!$E$12,0,BI44+BJ24-SUM(BJ28:BJ41))</f>
        <v>0</v>
      </c>
      <c r="BK27" s="288">
        <f>IF(BK5&gt;=Leadsheet!$E$12,0,BJ44+BK24-SUM(BK28:BK41))</f>
        <v>0</v>
      </c>
      <c r="BL27" s="288">
        <f>IF(BL5&gt;=Leadsheet!$E$12,0,BK44+BL24-SUM(BL28:BL41))</f>
        <v>0</v>
      </c>
    </row>
    <row r="28" spans="1:64" s="140" customFormat="1" x14ac:dyDescent="0.15">
      <c r="A28" s="285" t="s">
        <v>369</v>
      </c>
      <c r="B28" s="286">
        <v>30</v>
      </c>
      <c r="C28" s="84" t="s">
        <v>370</v>
      </c>
      <c r="D28" s="287"/>
      <c r="E28" s="288">
        <f>IF(E$5&gt;$D$7,0,D27*Leadsheet!$D91)</f>
        <v>0.74187768440709623</v>
      </c>
      <c r="F28" s="288">
        <f>IF(F$5&gt;$D$7,0,E27*Leadsheet!$D91)</f>
        <v>0.61255225740970332</v>
      </c>
      <c r="G28" s="288">
        <f>IF(G$5&gt;$D$7,0,F27*Leadsheet!$D91)</f>
        <v>0.52462661827182477</v>
      </c>
      <c r="H28" s="288">
        <f>IF(H$5&gt;$D$7,0,G27*Leadsheet!$D91)</f>
        <v>0.44643859566061672</v>
      </c>
      <c r="I28" s="288">
        <f>IF(I$5&gt;$D$7,0,H27*Leadsheet!$D91)</f>
        <v>0.39585976185199229</v>
      </c>
      <c r="J28" s="288">
        <f>IF(J$5&gt;$D$7,0,I27*Leadsheet!$D91)</f>
        <v>0.34862251771671871</v>
      </c>
      <c r="K28" s="288">
        <f>IF(K$5&gt;$D$7,0,J27*Leadsheet!$D91)</f>
        <v>0.3051976823869848</v>
      </c>
      <c r="L28" s="288">
        <f>IF(L$5&gt;$D$7,0,K27*Leadsheet!$D91)</f>
        <v>0.26438353972705331</v>
      </c>
      <c r="M28" s="288">
        <f>IF(M$5&gt;$D$7,0,L27*Leadsheet!$D91)</f>
        <v>0.22603934362095865</v>
      </c>
      <c r="N28" s="288">
        <f>IF(N$5&gt;$D$7,0,M27*Leadsheet!$D91)</f>
        <v>0.19006678667678756</v>
      </c>
      <c r="O28" s="288">
        <f>IF(O$5&gt;$D$7,0,N27*Leadsheet!$D91)</f>
        <v>0.15643912896370132</v>
      </c>
      <c r="P28" s="288">
        <f>IF(P$5&gt;$D$7,0,O27*Leadsheet!$D91)</f>
        <v>0.12511149267033653</v>
      </c>
      <c r="Q28" s="288">
        <f>IF(Q$5&gt;$D$7,0,P27*Leadsheet!$D91)</f>
        <v>9.6029069954668159E-2</v>
      </c>
      <c r="R28" s="288">
        <f>IF(R$5&gt;$D$7,0,Q27*Leadsheet!$D91)</f>
        <v>6.9128102682475809E-2</v>
      </c>
      <c r="S28" s="288">
        <f>IF(S$5&gt;$D$7,0,R27*Leadsheet!$D91)</f>
        <v>4.4333104606301778E-2</v>
      </c>
      <c r="T28" s="287">
        <f>IF(T$5&gt;$D$7,0,S27*Leadsheet!$D91)</f>
        <v>2.3647368375065647E-2</v>
      </c>
      <c r="U28" s="287">
        <f>IF(U$5&gt;$D$7,0,T27*Leadsheet!$D91)</f>
        <v>0</v>
      </c>
      <c r="V28" s="287">
        <f>IF(V$5&gt;$D$7,0,U27*Leadsheet!$D91)</f>
        <v>0</v>
      </c>
      <c r="W28" s="287">
        <f>IF(W$5&gt;$D$7,0,V27*Leadsheet!$D91)</f>
        <v>0</v>
      </c>
      <c r="X28" s="287">
        <f>IF(X$5&gt;$D$7,0,W27*Leadsheet!$D91)</f>
        <v>0</v>
      </c>
      <c r="Y28" s="287">
        <f>IF(Y$5&gt;$D$7,0,X27*Leadsheet!$D91)</f>
        <v>0</v>
      </c>
      <c r="Z28" s="287">
        <f>IF(Z$5&gt;$D$7,0,Y27*Leadsheet!$D91)</f>
        <v>0</v>
      </c>
      <c r="AA28" s="287">
        <f>IF(AA$5&gt;$D$7,0,Z27*Leadsheet!$D91)</f>
        <v>0</v>
      </c>
      <c r="AB28" s="287">
        <f>IF(AB$5&gt;$D$7,0,AA27*Leadsheet!$D91)</f>
        <v>0</v>
      </c>
      <c r="AC28" s="287">
        <f>IF(AC$5&gt;$D$7,0,AB27*Leadsheet!$D91)</f>
        <v>0</v>
      </c>
      <c r="AD28" s="287">
        <f>IF(AD$5&gt;$D$7,0,AC27*Leadsheet!$D91)</f>
        <v>0</v>
      </c>
      <c r="AE28" s="287">
        <f>IF(AE$5&gt;$D$7,0,AD27*Leadsheet!$D91)</f>
        <v>0</v>
      </c>
      <c r="AF28" s="287">
        <f>IF(AF$5&gt;$D$7,0,AE27*Leadsheet!$D91)</f>
        <v>0</v>
      </c>
      <c r="AG28" s="287">
        <f>IF(AG$5&gt;$D$7,0,AF27*Leadsheet!$D91)</f>
        <v>0</v>
      </c>
      <c r="AH28" s="287">
        <f>IF(AH$5&gt;$D$7,0,AG27*Leadsheet!$D91)</f>
        <v>0</v>
      </c>
      <c r="AI28" s="287">
        <f>IF(AI$5&gt;$D$7,0,AH27*Leadsheet!$D91)</f>
        <v>0</v>
      </c>
      <c r="AJ28" s="287">
        <f>IF(AJ$5&gt;$D$7,0,AI27*Leadsheet!$D91)</f>
        <v>0</v>
      </c>
      <c r="AK28" s="287">
        <f>IF(AK$5&gt;$D$7,0,AJ27*Leadsheet!$D91)</f>
        <v>0</v>
      </c>
      <c r="AL28" s="287">
        <f>IF(AL$5&gt;$D$7,0,AK27*Leadsheet!$D91)</f>
        <v>0</v>
      </c>
      <c r="AM28" s="287">
        <f>IF(AM$5&gt;$D$7,0,AL27*Leadsheet!$D91)</f>
        <v>0</v>
      </c>
      <c r="AN28" s="287">
        <f>IF(AN$5&gt;$D$7,0,AM27*Leadsheet!$D91)</f>
        <v>0</v>
      </c>
      <c r="AO28" s="287">
        <f>IF(AO$5&gt;$D$7,0,AN27*Leadsheet!$D91)</f>
        <v>0</v>
      </c>
      <c r="AP28" s="287">
        <f>IF(AP$5&gt;$D$7,0,AO27*Leadsheet!$D91)</f>
        <v>0</v>
      </c>
      <c r="AQ28" s="287">
        <f>IF(AQ$5&gt;$D$7,0,AP27*Leadsheet!$D91)</f>
        <v>0</v>
      </c>
      <c r="AR28" s="287">
        <f>IF(AR$5&gt;$D$7,0,AQ27*Leadsheet!$D91)</f>
        <v>0</v>
      </c>
      <c r="AS28" s="287">
        <f>IF(AS$5&gt;$D$7,0,AR27*Leadsheet!$D91)</f>
        <v>0</v>
      </c>
      <c r="AT28" s="287">
        <f>IF(AT$5&gt;$D$7,0,AS27*Leadsheet!$D91)</f>
        <v>0</v>
      </c>
      <c r="AU28" s="287">
        <f>IF(AU$5&gt;$D$7,0,AT27*Leadsheet!$D91)</f>
        <v>0</v>
      </c>
      <c r="AV28" s="287">
        <f>IF(AV$5&gt;$D$7,0,AU27*Leadsheet!$D91)</f>
        <v>0</v>
      </c>
      <c r="AW28" s="287">
        <f>IF(AW$5&gt;$D$7,0,AV27*Leadsheet!$D91)</f>
        <v>0</v>
      </c>
      <c r="AX28" s="287">
        <f>IF(AX$5&gt;$D$7,0,AW27*Leadsheet!$D91)</f>
        <v>0</v>
      </c>
      <c r="AY28" s="287">
        <f>IF(AY$5&gt;$D$7,0,AX27*Leadsheet!$D91)</f>
        <v>0</v>
      </c>
      <c r="AZ28" s="287">
        <f>IF(AZ$5&gt;$D$7,0,AY27*Leadsheet!$D91)</f>
        <v>0</v>
      </c>
      <c r="BA28" s="287">
        <f>IF(BA$5&gt;$D$7,0,AZ27*Leadsheet!$D91)</f>
        <v>0</v>
      </c>
      <c r="BB28" s="287">
        <f>IF(BB$5&gt;$D$7,0,BA27*Leadsheet!$D91)</f>
        <v>0</v>
      </c>
      <c r="BC28" s="287">
        <f>IF(BC$5&gt;$D$7,0,BB27*Leadsheet!$D91)</f>
        <v>0</v>
      </c>
      <c r="BD28" s="287">
        <f>IF(BD$5&gt;$D$7,0,BC27*Leadsheet!$D91)</f>
        <v>0</v>
      </c>
      <c r="BE28" s="287">
        <f>IF(BE$5&gt;$D$7,0,BD27*Leadsheet!$D91)</f>
        <v>0</v>
      </c>
      <c r="BF28" s="287">
        <f>IF(BF$5&gt;$D$7,0,BE27*Leadsheet!$D91)</f>
        <v>0</v>
      </c>
      <c r="BG28" s="287">
        <f>IF(BG$5&gt;$D$7,0,BF27*Leadsheet!$D91)</f>
        <v>0</v>
      </c>
      <c r="BH28" s="287">
        <f>IF(BH$5&gt;$D$7,0,BG27*Leadsheet!$D91)</f>
        <v>0</v>
      </c>
      <c r="BI28" s="287">
        <f>IF(BI$5&gt;$D$7,0,BH27*Leadsheet!$D91)</f>
        <v>0</v>
      </c>
      <c r="BJ28" s="287">
        <f>IF(BJ$5&gt;$D$7,0,BI27*Leadsheet!$D91)</f>
        <v>0</v>
      </c>
      <c r="BK28" s="287">
        <f>IF(BK$5&gt;$D$7,0,BJ27*Leadsheet!$D91)</f>
        <v>0</v>
      </c>
      <c r="BL28" s="287">
        <f>IF(BL$5&gt;$D$7,0,BK27*Leadsheet!$D91)</f>
        <v>0</v>
      </c>
    </row>
    <row r="29" spans="1:64" s="140" customFormat="1" x14ac:dyDescent="0.15">
      <c r="A29" s="285" t="s">
        <v>369</v>
      </c>
      <c r="B29" s="286">
        <v>60</v>
      </c>
      <c r="C29" s="84" t="s">
        <v>371</v>
      </c>
      <c r="D29" s="287"/>
      <c r="E29" s="288">
        <f>IF(E$5&gt;$D$7,0,D28*Leadsheet!$D92)</f>
        <v>0</v>
      </c>
      <c r="F29" s="288">
        <f>IF(F$5&gt;$D$7,0,E28*Leadsheet!$D92)</f>
        <v>0.49779992623716157</v>
      </c>
      <c r="G29" s="288">
        <f>IF(G$5&gt;$D$7,0,F28*Leadsheet!$D92)</f>
        <v>0.41102256472191095</v>
      </c>
      <c r="H29" s="288">
        <f>IF(H$5&gt;$D$7,0,G28*Leadsheet!$D92)</f>
        <v>0.35202446086039446</v>
      </c>
      <c r="I29" s="288">
        <f>IF(I$5&gt;$D$7,0,H28*Leadsheet!$D92)</f>
        <v>0.29956029768827386</v>
      </c>
      <c r="J29" s="288">
        <f>IF(J$5&gt;$D$7,0,I28*Leadsheet!$D92)</f>
        <v>0.26562190020268683</v>
      </c>
      <c r="K29" s="288">
        <f>IF(K$5&gt;$D$7,0,J28*Leadsheet!$D92)</f>
        <v>0.23392570938791826</v>
      </c>
      <c r="L29" s="288">
        <f>IF(L$5&gt;$D$7,0,K28*Leadsheet!$D92)</f>
        <v>0.20478764488166681</v>
      </c>
      <c r="M29" s="288">
        <f>IF(M$5&gt;$D$7,0,L28*Leadsheet!$D92)</f>
        <v>0.17740135515685279</v>
      </c>
      <c r="N29" s="288">
        <f>IF(N$5&gt;$D$7,0,M28*Leadsheet!$D92)</f>
        <v>0.15167239956966327</v>
      </c>
      <c r="O29" s="288">
        <f>IF(O$5&gt;$D$7,0,N28*Leadsheet!$D92)</f>
        <v>0.12753481386012447</v>
      </c>
      <c r="P29" s="288">
        <f>IF(P$5&gt;$D$7,0,O28*Leadsheet!$D92)</f>
        <v>0.10497065553464359</v>
      </c>
      <c r="Q29" s="288">
        <f>IF(Q$5&gt;$D$7,0,P28*Leadsheet!$D92)</f>
        <v>8.3949811581795819E-2</v>
      </c>
      <c r="R29" s="288">
        <f>IF(R$5&gt;$D$7,0,Q28*Leadsheet!$D92)</f>
        <v>6.4435505939582333E-2</v>
      </c>
      <c r="S29" s="288">
        <f>IF(S$5&gt;$D$7,0,R28*Leadsheet!$D92)</f>
        <v>4.6384956899941272E-2</v>
      </c>
      <c r="T29" s="287">
        <f>IF(T$5&gt;$D$7,0,S28*Leadsheet!$D92)</f>
        <v>2.9747513190828495E-2</v>
      </c>
      <c r="U29" s="287">
        <f>IF(U$5&gt;$D$7,0,T28*Leadsheet!$D92)</f>
        <v>1.5867384179669049E-2</v>
      </c>
      <c r="V29" s="287">
        <f>IF(V$5&gt;$D$7,0,U28*Leadsheet!$D92)</f>
        <v>0</v>
      </c>
      <c r="W29" s="287">
        <f>IF(W$5&gt;$D$7,0,V28*Leadsheet!$D92)</f>
        <v>0</v>
      </c>
      <c r="X29" s="287">
        <f>IF(X$5&gt;$D$7,0,W28*Leadsheet!$D92)</f>
        <v>0</v>
      </c>
      <c r="Y29" s="287">
        <f>IF(Y$5&gt;$D$7,0,X28*Leadsheet!$D92)</f>
        <v>0</v>
      </c>
      <c r="Z29" s="287">
        <f>IF(Z$5&gt;$D$7,0,Y28*Leadsheet!$D92)</f>
        <v>0</v>
      </c>
      <c r="AA29" s="287">
        <f>IF(AA$5&gt;$D$7,0,Z28*Leadsheet!$D92)</f>
        <v>0</v>
      </c>
      <c r="AB29" s="287">
        <f>IF(AB$5&gt;$D$7,0,AA28*Leadsheet!$D92)</f>
        <v>0</v>
      </c>
      <c r="AC29" s="287">
        <f>IF(AC$5&gt;$D$7,0,AB28*Leadsheet!$D92)</f>
        <v>0</v>
      </c>
      <c r="AD29" s="287">
        <f>IF(AD$5&gt;$D$7,0,AC28*Leadsheet!$D92)</f>
        <v>0</v>
      </c>
      <c r="AE29" s="287">
        <f>IF(AE$5&gt;$D$7,0,AD28*Leadsheet!$D92)</f>
        <v>0</v>
      </c>
      <c r="AF29" s="287">
        <f>IF(AF$5&gt;$D$7,0,AE28*Leadsheet!$D92)</f>
        <v>0</v>
      </c>
      <c r="AG29" s="287">
        <f>IF(AG$5&gt;$D$7,0,AF28*Leadsheet!$D92)</f>
        <v>0</v>
      </c>
      <c r="AH29" s="287">
        <f>IF(AH$5&gt;$D$7,0,AG28*Leadsheet!$D92)</f>
        <v>0</v>
      </c>
      <c r="AI29" s="287">
        <f>IF(AI$5&gt;$D$7,0,AH28*Leadsheet!$D92)</f>
        <v>0</v>
      </c>
      <c r="AJ29" s="287">
        <f>IF(AJ$5&gt;$D$7,0,AI28*Leadsheet!$D92)</f>
        <v>0</v>
      </c>
      <c r="AK29" s="287">
        <f>IF(AK$5&gt;$D$7,0,AJ28*Leadsheet!$D92)</f>
        <v>0</v>
      </c>
      <c r="AL29" s="287">
        <f>IF(AL$5&gt;$D$7,0,AK28*Leadsheet!$D92)</f>
        <v>0</v>
      </c>
      <c r="AM29" s="287">
        <f>IF(AM$5&gt;$D$7,0,AL28*Leadsheet!$D92)</f>
        <v>0</v>
      </c>
      <c r="AN29" s="287">
        <f>IF(AN$5&gt;$D$7,0,AM28*Leadsheet!$D92)</f>
        <v>0</v>
      </c>
      <c r="AO29" s="287">
        <f>IF(AO$5&gt;$D$7,0,AN28*Leadsheet!$D92)</f>
        <v>0</v>
      </c>
      <c r="AP29" s="287">
        <f>IF(AP$5&gt;$D$7,0,AO28*Leadsheet!$D92)</f>
        <v>0</v>
      </c>
      <c r="AQ29" s="287">
        <f>IF(AQ$5&gt;$D$7,0,AP28*Leadsheet!$D92)</f>
        <v>0</v>
      </c>
      <c r="AR29" s="287">
        <f>IF(AR$5&gt;$D$7,0,AQ28*Leadsheet!$D92)</f>
        <v>0</v>
      </c>
      <c r="AS29" s="287">
        <f>IF(AS$5&gt;$D$7,0,AR28*Leadsheet!$D92)</f>
        <v>0</v>
      </c>
      <c r="AT29" s="287">
        <f>IF(AT$5&gt;$D$7,0,AS28*Leadsheet!$D92)</f>
        <v>0</v>
      </c>
      <c r="AU29" s="287">
        <f>IF(AU$5&gt;$D$7,0,AT28*Leadsheet!$D92)</f>
        <v>0</v>
      </c>
      <c r="AV29" s="287">
        <f>IF(AV$5&gt;$D$7,0,AU28*Leadsheet!$D92)</f>
        <v>0</v>
      </c>
      <c r="AW29" s="287">
        <f>IF(AW$5&gt;$D$7,0,AV28*Leadsheet!$D92)</f>
        <v>0</v>
      </c>
      <c r="AX29" s="287">
        <f>IF(AX$5&gt;$D$7,0,AW28*Leadsheet!$D92)</f>
        <v>0</v>
      </c>
      <c r="AY29" s="287">
        <f>IF(AY$5&gt;$D$7,0,AX28*Leadsheet!$D92)</f>
        <v>0</v>
      </c>
      <c r="AZ29" s="287">
        <f>IF(AZ$5&gt;$D$7,0,AY28*Leadsheet!$D92)</f>
        <v>0</v>
      </c>
      <c r="BA29" s="287">
        <f>IF(BA$5&gt;$D$7,0,AZ28*Leadsheet!$D92)</f>
        <v>0</v>
      </c>
      <c r="BB29" s="287">
        <f>IF(BB$5&gt;$D$7,0,BA28*Leadsheet!$D92)</f>
        <v>0</v>
      </c>
      <c r="BC29" s="287">
        <f>IF(BC$5&gt;$D$7,0,BB28*Leadsheet!$D92)</f>
        <v>0</v>
      </c>
      <c r="BD29" s="287">
        <f>IF(BD$5&gt;$D$7,0,BC28*Leadsheet!$D92)</f>
        <v>0</v>
      </c>
      <c r="BE29" s="287">
        <f>IF(BE$5&gt;$D$7,0,BD28*Leadsheet!$D92)</f>
        <v>0</v>
      </c>
      <c r="BF29" s="287">
        <f>IF(BF$5&gt;$D$7,0,BE28*Leadsheet!$D92)</f>
        <v>0</v>
      </c>
      <c r="BG29" s="287">
        <f>IF(BG$5&gt;$D$7,0,BF28*Leadsheet!$D92)</f>
        <v>0</v>
      </c>
      <c r="BH29" s="287">
        <f>IF(BH$5&gt;$D$7,0,BG28*Leadsheet!$D92)</f>
        <v>0</v>
      </c>
      <c r="BI29" s="287">
        <f>IF(BI$5&gt;$D$7,0,BH28*Leadsheet!$D92)</f>
        <v>0</v>
      </c>
      <c r="BJ29" s="287">
        <f>IF(BJ$5&gt;$D$7,0,BI28*Leadsheet!$D92)</f>
        <v>0</v>
      </c>
      <c r="BK29" s="287">
        <f>IF(BK$5&gt;$D$7,0,BJ28*Leadsheet!$D92)</f>
        <v>0</v>
      </c>
      <c r="BL29" s="287">
        <f>IF(BL$5&gt;$D$7,0,BK28*Leadsheet!$D92)</f>
        <v>0</v>
      </c>
    </row>
    <row r="30" spans="1:64" s="140" customFormat="1" x14ac:dyDescent="0.15">
      <c r="A30" s="285" t="s">
        <v>369</v>
      </c>
      <c r="B30" s="286">
        <v>90</v>
      </c>
      <c r="C30" s="84" t="s">
        <v>372</v>
      </c>
      <c r="D30" s="287"/>
      <c r="E30" s="288">
        <f>IF(E$5&gt;$D$7,0,D29*Leadsheet!$D93)</f>
        <v>0</v>
      </c>
      <c r="F30" s="288">
        <f>IF(F$5&gt;$D$7,0,E29*Leadsheet!$D93)</f>
        <v>0</v>
      </c>
      <c r="G30" s="288">
        <f>IF(G$5&gt;$D$7,0,F29*Leadsheet!$D93)</f>
        <v>0.45299793287581702</v>
      </c>
      <c r="H30" s="288">
        <f>IF(H$5&gt;$D$7,0,G29*Leadsheet!$D93)</f>
        <v>0.37403053389693897</v>
      </c>
      <c r="I30" s="288">
        <f>IF(I$5&gt;$D$7,0,H29*Leadsheet!$D93)</f>
        <v>0.32034225938295896</v>
      </c>
      <c r="J30" s="288">
        <f>IF(J$5&gt;$D$7,0,I29*Leadsheet!$D93)</f>
        <v>0.2725998708963292</v>
      </c>
      <c r="K30" s="288">
        <f>IF(K$5&gt;$D$7,0,J29*Leadsheet!$D93)</f>
        <v>0.24171592918444504</v>
      </c>
      <c r="L30" s="288">
        <f>IF(L$5&gt;$D$7,0,K29*Leadsheet!$D93)</f>
        <v>0.21287239554300563</v>
      </c>
      <c r="M30" s="288">
        <f>IF(M$5&gt;$D$7,0,L29*Leadsheet!$D93)</f>
        <v>0.18635675684231681</v>
      </c>
      <c r="N30" s="288">
        <f>IF(N$5&gt;$D$7,0,M29*Leadsheet!$D93)</f>
        <v>0.16143523319273603</v>
      </c>
      <c r="O30" s="288">
        <f>IF(O$5&gt;$D$7,0,N29*Leadsheet!$D93)</f>
        <v>0.1380218836083936</v>
      </c>
      <c r="P30" s="288">
        <f>IF(P$5&gt;$D$7,0,O29*Leadsheet!$D93)</f>
        <v>0.11605668061271326</v>
      </c>
      <c r="Q30" s="288">
        <f>IF(Q$5&gt;$D$7,0,P29*Leadsheet!$D93)</f>
        <v>9.5523296536525665E-2</v>
      </c>
      <c r="R30" s="288">
        <f>IF(R$5&gt;$D$7,0,Q29*Leadsheet!$D93)</f>
        <v>7.6394328539434203E-2</v>
      </c>
      <c r="S30" s="288">
        <f>IF(S$5&gt;$D$7,0,R29*Leadsheet!$D93)</f>
        <v>5.8636310405019924E-2</v>
      </c>
      <c r="T30" s="287">
        <f>IF(T$5&gt;$D$7,0,S29*Leadsheet!$D93)</f>
        <v>4.2210310778946561E-2</v>
      </c>
      <c r="U30" s="287">
        <f>IF(U$5&gt;$D$7,0,T29*Leadsheet!$D93)</f>
        <v>2.7070237003653932E-2</v>
      </c>
      <c r="V30" s="287">
        <f>IF(V$5&gt;$D$7,0,U29*Leadsheet!$D93)</f>
        <v>1.4439319603498835E-2</v>
      </c>
      <c r="W30" s="287">
        <f>IF(W$5&gt;$D$7,0,V29*Leadsheet!$D93)</f>
        <v>0</v>
      </c>
      <c r="X30" s="287">
        <f>IF(X$5&gt;$D$7,0,W29*Leadsheet!$D93)</f>
        <v>0</v>
      </c>
      <c r="Y30" s="287">
        <f>IF(Y$5&gt;$D$7,0,X29*Leadsheet!$D93)</f>
        <v>0</v>
      </c>
      <c r="Z30" s="287">
        <f>IF(Z$5&gt;$D$7,0,Y29*Leadsheet!$D93)</f>
        <v>0</v>
      </c>
      <c r="AA30" s="287">
        <f>IF(AA$5&gt;$D$7,0,Z29*Leadsheet!$D93)</f>
        <v>0</v>
      </c>
      <c r="AB30" s="287">
        <f>IF(AB$5&gt;$D$7,0,AA29*Leadsheet!$D93)</f>
        <v>0</v>
      </c>
      <c r="AC30" s="287">
        <f>IF(AC$5&gt;$D$7,0,AB29*Leadsheet!$D93)</f>
        <v>0</v>
      </c>
      <c r="AD30" s="287">
        <f>IF(AD$5&gt;$D$7,0,AC29*Leadsheet!$D93)</f>
        <v>0</v>
      </c>
      <c r="AE30" s="287">
        <f>IF(AE$5&gt;$D$7,0,AD29*Leadsheet!$D93)</f>
        <v>0</v>
      </c>
      <c r="AF30" s="287">
        <f>IF(AF$5&gt;$D$7,0,AE29*Leadsheet!$D93)</f>
        <v>0</v>
      </c>
      <c r="AG30" s="287">
        <f>IF(AG$5&gt;$D$7,0,AF29*Leadsheet!$D93)</f>
        <v>0</v>
      </c>
      <c r="AH30" s="287">
        <f>IF(AH$5&gt;$D$7,0,AG29*Leadsheet!$D93)</f>
        <v>0</v>
      </c>
      <c r="AI30" s="287">
        <f>IF(AI$5&gt;$D$7,0,AH29*Leadsheet!$D93)</f>
        <v>0</v>
      </c>
      <c r="AJ30" s="287">
        <f>IF(AJ$5&gt;$D$7,0,AI29*Leadsheet!$D93)</f>
        <v>0</v>
      </c>
      <c r="AK30" s="287">
        <f>IF(AK$5&gt;$D$7,0,AJ29*Leadsheet!$D93)</f>
        <v>0</v>
      </c>
      <c r="AL30" s="287">
        <f>IF(AL$5&gt;$D$7,0,AK29*Leadsheet!$D93)</f>
        <v>0</v>
      </c>
      <c r="AM30" s="287">
        <f>IF(AM$5&gt;$D$7,0,AL29*Leadsheet!$D93)</f>
        <v>0</v>
      </c>
      <c r="AN30" s="287">
        <f>IF(AN$5&gt;$D$7,0,AM29*Leadsheet!$D93)</f>
        <v>0</v>
      </c>
      <c r="AO30" s="287">
        <f>IF(AO$5&gt;$D$7,0,AN29*Leadsheet!$D93)</f>
        <v>0</v>
      </c>
      <c r="AP30" s="287">
        <f>IF(AP$5&gt;$D$7,0,AO29*Leadsheet!$D93)</f>
        <v>0</v>
      </c>
      <c r="AQ30" s="287">
        <f>IF(AQ$5&gt;$D$7,0,AP29*Leadsheet!$D93)</f>
        <v>0</v>
      </c>
      <c r="AR30" s="287">
        <f>IF(AR$5&gt;$D$7,0,AQ29*Leadsheet!$D93)</f>
        <v>0</v>
      </c>
      <c r="AS30" s="287">
        <f>IF(AS$5&gt;$D$7,0,AR29*Leadsheet!$D93)</f>
        <v>0</v>
      </c>
      <c r="AT30" s="287">
        <f>IF(AT$5&gt;$D$7,0,AS29*Leadsheet!$D93)</f>
        <v>0</v>
      </c>
      <c r="AU30" s="287">
        <f>IF(AU$5&gt;$D$7,0,AT29*Leadsheet!$D93)</f>
        <v>0</v>
      </c>
      <c r="AV30" s="287">
        <v>0</v>
      </c>
      <c r="AW30" s="287">
        <f>IF(AW$5&gt;$D$7,0,AV29*Leadsheet!$D93)</f>
        <v>0</v>
      </c>
      <c r="AX30" s="287">
        <f>IF(AX$5&gt;$D$7,0,AW29*Leadsheet!$D93)</f>
        <v>0</v>
      </c>
      <c r="AY30" s="287">
        <f>IF(AY$5&gt;$D$7,0,AX29*Leadsheet!$D93)</f>
        <v>0</v>
      </c>
      <c r="AZ30" s="287">
        <f>IF(AZ$5&gt;$D$7,0,AY29*Leadsheet!$D93)</f>
        <v>0</v>
      </c>
      <c r="BA30" s="287">
        <f>IF(BA$5&gt;$D$7,0,AZ29*Leadsheet!$D93)</f>
        <v>0</v>
      </c>
      <c r="BB30" s="287">
        <f>IF(BB$5&gt;$D$7,0,BA29*Leadsheet!$D93)</f>
        <v>0</v>
      </c>
      <c r="BC30" s="287">
        <f>IF(BC$5&gt;$D$7,0,BB29*Leadsheet!$D93)</f>
        <v>0</v>
      </c>
      <c r="BD30" s="287">
        <f>IF(BD$5&gt;$D$7,0,BC29*Leadsheet!$D93)</f>
        <v>0</v>
      </c>
      <c r="BE30" s="287">
        <f>IF(BE$5&gt;$D$7,0,BD29*Leadsheet!$D93)</f>
        <v>0</v>
      </c>
      <c r="BF30" s="287">
        <f>IF(BF$5&gt;$D$7,0,BE29*Leadsheet!$D93)</f>
        <v>0</v>
      </c>
      <c r="BG30" s="287">
        <f>IF(BG$5&gt;$D$7,0,BF29*Leadsheet!$D93)</f>
        <v>0</v>
      </c>
      <c r="BH30" s="287">
        <f>IF(BH$5&gt;$D$7,0,BG29*Leadsheet!$D93)</f>
        <v>0</v>
      </c>
      <c r="BI30" s="287">
        <f>IF(BI$5&gt;$D$7,0,BH29*Leadsheet!$D93)</f>
        <v>0</v>
      </c>
      <c r="BJ30" s="287">
        <f>IF(BJ$5&gt;$D$7,0,BI29*Leadsheet!$D93)</f>
        <v>0</v>
      </c>
      <c r="BK30" s="287">
        <f>IF(BK$5&gt;$D$7,0,BJ29*Leadsheet!$D93)</f>
        <v>0</v>
      </c>
      <c r="BL30" s="287">
        <f>IF(BL$5&gt;$D$7,0,BK29*Leadsheet!$D93)</f>
        <v>0</v>
      </c>
    </row>
    <row r="31" spans="1:64" x14ac:dyDescent="0.15">
      <c r="A31" s="289" t="s">
        <v>373</v>
      </c>
      <c r="B31" s="290">
        <v>120</v>
      </c>
      <c r="C31" s="84" t="s">
        <v>374</v>
      </c>
      <c r="D31" s="291"/>
      <c r="E31" s="288">
        <f>IF(E$5&gt;$D$7,0,D30*Leadsheet!$D94)</f>
        <v>0</v>
      </c>
      <c r="F31" s="288">
        <f>IF(F$5&gt;$D$7,0,E30*Leadsheet!$D94)</f>
        <v>0</v>
      </c>
      <c r="G31" s="288">
        <f>IF(G$5&gt;$D$7,0,F30*Leadsheet!$D94)</f>
        <v>0</v>
      </c>
      <c r="H31" s="288">
        <f>IF(H$5&gt;$D$7,0,G30*Leadsheet!$D94)</f>
        <v>0.4312540320977778</v>
      </c>
      <c r="I31" s="288">
        <f>IF(I$5&gt;$D$7,0,H30*Leadsheet!$D94)</f>
        <v>0.35607706826988589</v>
      </c>
      <c r="J31" s="288">
        <f>IF(J$5&gt;$D$7,0,I30*Leadsheet!$D94)</f>
        <v>0.3049658309325769</v>
      </c>
      <c r="K31" s="288">
        <f>IF(K$5&gt;$D$7,0,J30*Leadsheet!$D94)</f>
        <v>0.2595150770933054</v>
      </c>
      <c r="L31" s="288">
        <f>IF(L$5&gt;$D$7,0,K30*Leadsheet!$D94)</f>
        <v>0.23011356458359167</v>
      </c>
      <c r="M31" s="288">
        <f>IF(M$5&gt;$D$7,0,L30*Leadsheet!$D94)</f>
        <v>0.20265452055694136</v>
      </c>
      <c r="N31" s="288">
        <f>IF(N$5&gt;$D$7,0,M30*Leadsheet!$D94)</f>
        <v>0.17741163251388559</v>
      </c>
      <c r="O31" s="288">
        <f>IF(O$5&gt;$D$7,0,N30*Leadsheet!$D94)</f>
        <v>0.15368634199948469</v>
      </c>
      <c r="P31" s="288">
        <f>IF(P$5&gt;$D$7,0,O30*Leadsheet!$D94)</f>
        <v>0.13139683319519069</v>
      </c>
      <c r="Q31" s="288">
        <f>IF(Q$5&gt;$D$7,0,P30*Leadsheet!$D94)</f>
        <v>0.11048595994330303</v>
      </c>
      <c r="R31" s="288">
        <f>IF(R$5&gt;$D$7,0,Q30*Leadsheet!$D94)</f>
        <v>9.0938178302772427E-2</v>
      </c>
      <c r="S31" s="288">
        <f>IF(S$5&gt;$D$7,0,R30*Leadsheet!$D94)</f>
        <v>7.2727400769541359E-2</v>
      </c>
      <c r="T31" s="287">
        <f>IF(T$5&gt;$D$7,0,S30*Leadsheet!$D94)</f>
        <v>5.5821767505578969E-2</v>
      </c>
      <c r="U31" s="287">
        <f>IF(U$5&gt;$D$7,0,T30*Leadsheet!$D94)</f>
        <v>4.0184215861557127E-2</v>
      </c>
      <c r="V31" s="287">
        <f>IF(V$5&gt;$D$7,0,U30*Leadsheet!$D94)</f>
        <v>2.5770865627478542E-2</v>
      </c>
      <c r="W31" s="287">
        <f>IF(W$5&gt;$D$7,0,V30*Leadsheet!$D94)</f>
        <v>1.374623226253089E-2</v>
      </c>
      <c r="X31" s="287">
        <f>IF(X$5&gt;$D$7,0,W30*Leadsheet!$D94)</f>
        <v>0</v>
      </c>
      <c r="Y31" s="287">
        <f>IF(Y$5&gt;$D$7,0,X30*Leadsheet!$D94)</f>
        <v>0</v>
      </c>
      <c r="Z31" s="287">
        <f>IF(Z$5&gt;$D$7,0,Y30*Leadsheet!$D94)</f>
        <v>0</v>
      </c>
      <c r="AA31" s="287">
        <f>IF(AA$5&gt;$D$7,0,Z30*Leadsheet!$D94)</f>
        <v>0</v>
      </c>
      <c r="AB31" s="287">
        <f>IF(AB$5&gt;$D$7,0,AA30*Leadsheet!$D94)</f>
        <v>0</v>
      </c>
      <c r="AC31" s="287">
        <f>IF(AC$5&gt;$D$7,0,AB30*Leadsheet!$D94)</f>
        <v>0</v>
      </c>
      <c r="AD31" s="287">
        <f>IF(AD$5&gt;$D$7,0,AC30*Leadsheet!$D94)</f>
        <v>0</v>
      </c>
      <c r="AE31" s="287">
        <f>IF(AE$5&gt;$D$7,0,AD30*Leadsheet!$D94)</f>
        <v>0</v>
      </c>
      <c r="AF31" s="287">
        <f>IF(AF$5&gt;$D$7,0,AE30*Leadsheet!$D94)</f>
        <v>0</v>
      </c>
      <c r="AG31" s="287">
        <f>IF(AG$5&gt;$D$7,0,AF30*Leadsheet!$D94)</f>
        <v>0</v>
      </c>
      <c r="AH31" s="287">
        <f>IF(AH$5&gt;$D$7,0,AG30*Leadsheet!$D94)</f>
        <v>0</v>
      </c>
      <c r="AI31" s="287">
        <f>IF(AI$5&gt;$D$7,0,AH30*Leadsheet!$D94)</f>
        <v>0</v>
      </c>
      <c r="AJ31" s="287">
        <f>IF(AJ$5&gt;$D$7,0,AI30*Leadsheet!$D94)</f>
        <v>0</v>
      </c>
      <c r="AK31" s="287">
        <f>IF(AK$5&gt;$D$7,0,AJ30*Leadsheet!$D94)</f>
        <v>0</v>
      </c>
      <c r="AL31" s="287">
        <f>IF(AL$5&gt;$D$7,0,AK30*Leadsheet!$D94)</f>
        <v>0</v>
      </c>
      <c r="AM31" s="287">
        <f>IF(AM$5&gt;$D$7,0,AL30*Leadsheet!$D94)</f>
        <v>0</v>
      </c>
      <c r="AN31" s="287">
        <f>IF(AN$5&gt;$D$7,0,AM30*Leadsheet!$D94)</f>
        <v>0</v>
      </c>
      <c r="AO31" s="287">
        <f>IF(AO$5&gt;$D$7,0,AN30*Leadsheet!$D94)</f>
        <v>0</v>
      </c>
      <c r="AP31" s="287">
        <f>IF(AP$5&gt;$D$7,0,AO30*Leadsheet!$D94)</f>
        <v>0</v>
      </c>
      <c r="AQ31" s="287">
        <f>IF(AQ$5&gt;$D$7,0,AP30*Leadsheet!$D94)</f>
        <v>0</v>
      </c>
      <c r="AR31" s="287">
        <f>IF(AR$5&gt;$D$7,0,AQ30*Leadsheet!$D94)</f>
        <v>0</v>
      </c>
      <c r="AS31" s="287">
        <f>IF(AS$5&gt;$D$7,0,AR30*Leadsheet!$D94)</f>
        <v>0</v>
      </c>
      <c r="AT31" s="287">
        <f>IF(AT$5&gt;$D$7,0,AS30*Leadsheet!$D94)</f>
        <v>0</v>
      </c>
      <c r="AU31" s="287">
        <f>IF(AU$5&gt;$D$7,0,AT30*Leadsheet!$D94)</f>
        <v>0</v>
      </c>
      <c r="AV31" s="287">
        <f>IF(AV$5&gt;$D$7,0,AU30*Leadsheet!$D94)</f>
        <v>0</v>
      </c>
      <c r="AW31" s="287">
        <f>IF(AW$5&gt;$D$7,0,AV30*Leadsheet!$D94)</f>
        <v>0</v>
      </c>
      <c r="AX31" s="287">
        <f>IF(AX$5&gt;$D$7,0,AW30*Leadsheet!$D94)</f>
        <v>0</v>
      </c>
      <c r="AY31" s="287">
        <f>IF(AY$5&gt;$D$7,0,AX30*Leadsheet!$D94)</f>
        <v>0</v>
      </c>
      <c r="AZ31" s="287">
        <f>IF(AZ$5&gt;$D$7,0,AY30*Leadsheet!$D94)</f>
        <v>0</v>
      </c>
      <c r="BA31" s="287">
        <f>IF(BA$5&gt;$D$7,0,AZ30*Leadsheet!$D94)</f>
        <v>0</v>
      </c>
      <c r="BB31" s="287">
        <f>IF(BB$5&gt;$D$7,0,BA30*Leadsheet!$D94)</f>
        <v>0</v>
      </c>
      <c r="BC31" s="287">
        <f>IF(BC$5&gt;$D$7,0,BB30*Leadsheet!$D94)</f>
        <v>0</v>
      </c>
      <c r="BD31" s="287">
        <f>IF(BD$5&gt;$D$7,0,BC30*Leadsheet!$D94)</f>
        <v>0</v>
      </c>
      <c r="BE31" s="287">
        <f>IF(BE$5&gt;$D$7,0,BD30*Leadsheet!$D94)</f>
        <v>0</v>
      </c>
      <c r="BF31" s="287">
        <f>IF(BF$5&gt;$D$7,0,BE30*Leadsheet!$D94)</f>
        <v>0</v>
      </c>
      <c r="BG31" s="287">
        <f>IF(BG$5&gt;$D$7,0,BF30*Leadsheet!$D94)</f>
        <v>0</v>
      </c>
      <c r="BH31" s="287">
        <f>IF(BH$5&gt;$D$7,0,BG30*Leadsheet!$D94)</f>
        <v>0</v>
      </c>
      <c r="BI31" s="287">
        <f>IF(BI$5&gt;$D$7,0,BH30*Leadsheet!$D94)</f>
        <v>0</v>
      </c>
      <c r="BJ31" s="287">
        <f>IF(BJ$5&gt;$D$7,0,BI30*Leadsheet!$D94)</f>
        <v>0</v>
      </c>
      <c r="BK31" s="287">
        <f>IF(BK$5&gt;$D$7,0,BJ30*Leadsheet!$D94)</f>
        <v>0</v>
      </c>
      <c r="BL31" s="287">
        <f>IF(BL$5&gt;$D$7,0,BK30*Leadsheet!$D94)</f>
        <v>0</v>
      </c>
    </row>
    <row r="32" spans="1:64" x14ac:dyDescent="0.15">
      <c r="A32" s="289" t="s">
        <v>373</v>
      </c>
      <c r="B32" s="290">
        <v>150</v>
      </c>
      <c r="C32" s="84" t="s">
        <v>375</v>
      </c>
      <c r="D32" s="291"/>
      <c r="E32" s="288">
        <f>IF(E$5&gt;$D$7,0,D31*Leadsheet!$D95)</f>
        <v>0</v>
      </c>
      <c r="F32" s="288">
        <f>IF(F$5&gt;$D$7,0,E31*Leadsheet!$D95)</f>
        <v>0</v>
      </c>
      <c r="G32" s="288">
        <f>IF(G$5&gt;$D$7,0,F31*Leadsheet!$D95)</f>
        <v>0</v>
      </c>
      <c r="H32" s="288">
        <f>IF(H$5&gt;$D$7,0,G31*Leadsheet!$D95)</f>
        <v>0</v>
      </c>
      <c r="I32" s="288">
        <f>IF(I$5&gt;$D$7,0,H31*Leadsheet!$D95)</f>
        <v>0.41418106853810799</v>
      </c>
      <c r="J32" s="288">
        <f>IF(J$5&gt;$D$7,0,I31*Leadsheet!$D95)</f>
        <v>0.34198029384337464</v>
      </c>
      <c r="K32" s="288">
        <f>IF(K$5&gt;$D$7,0,J31*Leadsheet!$D95)</f>
        <v>0.29289250493228619</v>
      </c>
      <c r="L32" s="288">
        <f>IF(L$5&gt;$D$7,0,K31*Leadsheet!$D95)</f>
        <v>0.24924110601216237</v>
      </c>
      <c r="M32" s="288">
        <f>IF(M$5&gt;$D$7,0,L31*Leadsheet!$D95)</f>
        <v>0.22100357323206588</v>
      </c>
      <c r="N32" s="288">
        <f>IF(N$5&gt;$D$7,0,M31*Leadsheet!$D95)</f>
        <v>0.19463160833548171</v>
      </c>
      <c r="O32" s="288">
        <f>IF(O$5&gt;$D$7,0,N31*Leadsheet!$D95)</f>
        <v>0.17038806377822135</v>
      </c>
      <c r="P32" s="288">
        <f>IF(P$5&gt;$D$7,0,O31*Leadsheet!$D95)</f>
        <v>0.147602036413256</v>
      </c>
      <c r="Q32" s="288">
        <f>IF(Q$5&gt;$D$7,0,P31*Leadsheet!$D95)</f>
        <v>0.12619494943752446</v>
      </c>
      <c r="R32" s="288">
        <f>IF(R$5&gt;$D$7,0,Q31*Leadsheet!$D95)</f>
        <v>0.10611191905888188</v>
      </c>
      <c r="S32" s="288">
        <f>IF(S$5&gt;$D$7,0,R31*Leadsheet!$D95)</f>
        <v>8.7338016707079857E-2</v>
      </c>
      <c r="T32" s="287">
        <f>IF(T$5&gt;$D$7,0,S31*Leadsheet!$D95)</f>
        <v>6.9848187659143454E-2</v>
      </c>
      <c r="U32" s="287">
        <f>IF(U$5&gt;$D$7,0,T31*Leadsheet!$D95)</f>
        <v>5.3611833379692289E-2</v>
      </c>
      <c r="V32" s="287">
        <f>IF(V$5&gt;$D$7,0,U31*Leadsheet!$D95)</f>
        <v>3.859335849672043E-2</v>
      </c>
      <c r="W32" s="287">
        <f>IF(W$5&gt;$D$7,0,V31*Leadsheet!$D95)</f>
        <v>2.4750619978715933E-2</v>
      </c>
      <c r="X32" s="287">
        <f>IF(X$5&gt;$D$7,0,W31*Leadsheet!$D95)</f>
        <v>1.3202031153594392E-2</v>
      </c>
      <c r="Y32" s="287">
        <f>IF(Y$5&gt;$D$7,0,X31*Leadsheet!$D95)</f>
        <v>0</v>
      </c>
      <c r="Z32" s="287">
        <f>IF(Z$5&gt;$D$7,0,Y31*Leadsheet!$D95)</f>
        <v>0</v>
      </c>
      <c r="AA32" s="287">
        <f>IF(AA$5&gt;$D$7,0,Z31*Leadsheet!$D95)</f>
        <v>0</v>
      </c>
      <c r="AB32" s="287">
        <f>IF(AB$5&gt;$D$7,0,AA31*Leadsheet!$D95)</f>
        <v>0</v>
      </c>
      <c r="AC32" s="287">
        <f>IF(AC$5&gt;$D$7,0,AB31*Leadsheet!$D95)</f>
        <v>0</v>
      </c>
      <c r="AD32" s="287">
        <f>IF(AD$5&gt;$D$7,0,AC31*Leadsheet!$D95)</f>
        <v>0</v>
      </c>
      <c r="AE32" s="287">
        <f>IF(AE$5&gt;$D$7,0,AD31*Leadsheet!$D95)</f>
        <v>0</v>
      </c>
      <c r="AF32" s="287">
        <f>IF(AF$5&gt;$D$7,0,AE31*Leadsheet!$D95)</f>
        <v>0</v>
      </c>
      <c r="AG32" s="287">
        <f>IF(AG$5&gt;$D$7,0,AF31*Leadsheet!$D95)</f>
        <v>0</v>
      </c>
      <c r="AH32" s="287">
        <f>IF(AH$5&gt;$D$7,0,AG31*Leadsheet!$D95)</f>
        <v>0</v>
      </c>
      <c r="AI32" s="287">
        <f>IF(AI$5&gt;$D$7,0,AH31*Leadsheet!$D95)</f>
        <v>0</v>
      </c>
      <c r="AJ32" s="287">
        <f>IF(AJ$5&gt;$D$7,0,AI31*Leadsheet!$D95)</f>
        <v>0</v>
      </c>
      <c r="AK32" s="287">
        <f>IF(AK$5&gt;$D$7,0,AJ31*Leadsheet!$D95)</f>
        <v>0</v>
      </c>
      <c r="AL32" s="287">
        <f>IF(AL$5&gt;$D$7,0,AK31*Leadsheet!$D95)</f>
        <v>0</v>
      </c>
      <c r="AM32" s="287">
        <f>IF(AM$5&gt;$D$7,0,AL31*Leadsheet!$D95)</f>
        <v>0</v>
      </c>
      <c r="AN32" s="287">
        <f>IF(AN$5&gt;$D$7,0,AM31*Leadsheet!$D95)</f>
        <v>0</v>
      </c>
      <c r="AO32" s="287">
        <f>IF(AO$5&gt;$D$7,0,AN31*Leadsheet!$D95)</f>
        <v>0</v>
      </c>
      <c r="AP32" s="287">
        <f>IF(AP$5&gt;$D$7,0,AO31*Leadsheet!$D95)</f>
        <v>0</v>
      </c>
      <c r="AQ32" s="287">
        <f>IF(AQ$5&gt;$D$7,0,AP31*Leadsheet!$D95)</f>
        <v>0</v>
      </c>
      <c r="AR32" s="287">
        <f>IF(AR$5&gt;$D$7,0,AQ31*Leadsheet!$D95)</f>
        <v>0</v>
      </c>
      <c r="AS32" s="287">
        <f>IF(AS$5&gt;$D$7,0,AR31*Leadsheet!$D95)</f>
        <v>0</v>
      </c>
      <c r="AT32" s="287">
        <f>IF(AT$5&gt;$D$7,0,AS31*Leadsheet!$D95)</f>
        <v>0</v>
      </c>
      <c r="AU32" s="287">
        <f>IF(AU$5&gt;$D$7,0,AT31*Leadsheet!$D95)</f>
        <v>0</v>
      </c>
      <c r="AV32" s="287">
        <f>IF(AV$5&gt;$D$7,0,AU31*Leadsheet!$D95)</f>
        <v>0</v>
      </c>
      <c r="AW32" s="287">
        <f>IF(AW$5&gt;$D$7,0,AV31*Leadsheet!$D95)</f>
        <v>0</v>
      </c>
      <c r="AX32" s="287">
        <f>IF(AX$5&gt;$D$7,0,AW31*Leadsheet!$D95)</f>
        <v>0</v>
      </c>
      <c r="AY32" s="287">
        <f>IF(AY$5&gt;$D$7,0,AX31*Leadsheet!$D95)</f>
        <v>0</v>
      </c>
      <c r="AZ32" s="287">
        <f>IF(AZ$5&gt;$D$7,0,AY31*Leadsheet!$D95)</f>
        <v>0</v>
      </c>
      <c r="BA32" s="287">
        <f>IF(BA$5&gt;$D$7,0,AZ31*Leadsheet!$D95)</f>
        <v>0</v>
      </c>
      <c r="BB32" s="287">
        <f>IF(BB$5&gt;$D$7,0,BA31*Leadsheet!$D95)</f>
        <v>0</v>
      </c>
      <c r="BC32" s="287">
        <f>IF(BC$5&gt;$D$7,0,BB31*Leadsheet!$D95)</f>
        <v>0</v>
      </c>
      <c r="BD32" s="287">
        <f>IF(BD$5&gt;$D$7,0,BC31*Leadsheet!$D95)</f>
        <v>0</v>
      </c>
      <c r="BE32" s="287">
        <f>IF(BE$5&gt;$D$7,0,BD31*Leadsheet!$D95)</f>
        <v>0</v>
      </c>
      <c r="BF32" s="287">
        <f>IF(BF$5&gt;$D$7,0,BE31*Leadsheet!$D95)</f>
        <v>0</v>
      </c>
      <c r="BG32" s="287">
        <f>IF(BG$5&gt;$D$7,0,BF31*Leadsheet!$D95)</f>
        <v>0</v>
      </c>
      <c r="BH32" s="287">
        <f>IF(BH$5&gt;$D$7,0,BG31*Leadsheet!$D95)</f>
        <v>0</v>
      </c>
      <c r="BI32" s="287">
        <f>IF(BI$5&gt;$D$7,0,BH31*Leadsheet!$D95)</f>
        <v>0</v>
      </c>
      <c r="BJ32" s="287">
        <f>IF(BJ$5&gt;$D$7,0,BI31*Leadsheet!$D95)</f>
        <v>0</v>
      </c>
      <c r="BK32" s="287">
        <f>IF(BK$5&gt;$D$7,0,BJ31*Leadsheet!$D95)</f>
        <v>0</v>
      </c>
      <c r="BL32" s="287">
        <f>IF(BL$5&gt;$D$7,0,BK31*Leadsheet!$D95)</f>
        <v>0</v>
      </c>
    </row>
    <row r="33" spans="1:64" s="155" customFormat="1" x14ac:dyDescent="0.15">
      <c r="A33" s="289" t="s">
        <v>373</v>
      </c>
      <c r="B33" s="290">
        <v>180</v>
      </c>
      <c r="C33" s="84" t="s">
        <v>376</v>
      </c>
      <c r="D33" s="292"/>
      <c r="E33" s="288">
        <f>IF(E$5&gt;$D$7,0,D32*Leadsheet!$D96)</f>
        <v>0</v>
      </c>
      <c r="F33" s="288">
        <f>IF(F$5&gt;$D$7,0,E32*Leadsheet!$D96)</f>
        <v>0</v>
      </c>
      <c r="G33" s="288">
        <f>IF(G$5&gt;$D$7,0,F32*Leadsheet!$D96)</f>
        <v>0</v>
      </c>
      <c r="H33" s="288">
        <f>IF(H$5&gt;$D$7,0,G32*Leadsheet!$D96)</f>
        <v>0</v>
      </c>
      <c r="I33" s="288">
        <f>IF(I$5&gt;$D$7,0,H32*Leadsheet!$D96)</f>
        <v>0</v>
      </c>
      <c r="J33" s="288">
        <f>IF(J$5&gt;$D$7,0,I32*Leadsheet!$D96)</f>
        <v>0.39138510961020062</v>
      </c>
      <c r="K33" s="288">
        <f>IF(K$5&gt;$D$7,0,J32*Leadsheet!$D96)</f>
        <v>0.32315816669950687</v>
      </c>
      <c r="L33" s="288">
        <f>IF(L$5&gt;$D$7,0,K32*Leadsheet!$D96)</f>
        <v>0.27677210248054063</v>
      </c>
      <c r="M33" s="288">
        <f>IF(M$5&gt;$D$7,0,L32*Leadsheet!$D96)</f>
        <v>0.2355232167907802</v>
      </c>
      <c r="N33" s="288">
        <f>IF(N$5&gt;$D$7,0,M32*Leadsheet!$D96)</f>
        <v>0.20883983915290816</v>
      </c>
      <c r="O33" s="288">
        <f>IF(O$5&gt;$D$7,0,N32*Leadsheet!$D96)</f>
        <v>0.18391935109652011</v>
      </c>
      <c r="P33" s="288">
        <f>IF(P$5&gt;$D$7,0,O32*Leadsheet!$D96)</f>
        <v>0.16101013803814948</v>
      </c>
      <c r="Q33" s="288">
        <f>IF(Q$5&gt;$D$7,0,P32*Leadsheet!$D96)</f>
        <v>0.13947822242139923</v>
      </c>
      <c r="R33" s="288">
        <f>IF(R$5&gt;$D$7,0,Q32*Leadsheet!$D96)</f>
        <v>0.11924935220286362</v>
      </c>
      <c r="S33" s="288">
        <f>IF(S$5&gt;$D$7,0,R32*Leadsheet!$D96)</f>
        <v>0.1002716643191722</v>
      </c>
      <c r="T33" s="287">
        <f>IF(T$5&gt;$D$7,0,S32*Leadsheet!$D96)</f>
        <v>8.2531051848143286E-2</v>
      </c>
      <c r="U33" s="287">
        <f>IF(U$5&gt;$D$7,0,T32*Leadsheet!$D96)</f>
        <v>6.6003839044450313E-2</v>
      </c>
      <c r="V33" s="287">
        <f>IF(V$5&gt;$D$7,0,U32*Leadsheet!$D96)</f>
        <v>5.06611114742056E-2</v>
      </c>
      <c r="W33" s="287">
        <f>IF(W$5&gt;$D$7,0,V32*Leadsheet!$D96)</f>
        <v>3.6469232885942303E-2</v>
      </c>
      <c r="X33" s="287">
        <f>IF(X$5&gt;$D$7,0,W32*Leadsheet!$D96)</f>
        <v>2.3388379742901918E-2</v>
      </c>
      <c r="Y33" s="287">
        <f>IF(Y$5&gt;$D$7,0,X32*Leadsheet!$D96)</f>
        <v>1.2475409434729901E-2</v>
      </c>
      <c r="Z33" s="287">
        <f>IF(Z$5&gt;$D$7,0,Y32*Leadsheet!$D96)</f>
        <v>0</v>
      </c>
      <c r="AA33" s="287">
        <f>IF(AA$5&gt;$D$7,0,Z32*Leadsheet!$D96)</f>
        <v>0</v>
      </c>
      <c r="AB33" s="287">
        <f>IF(AB$5&gt;$D$7,0,AA32*Leadsheet!$D96)</f>
        <v>0</v>
      </c>
      <c r="AC33" s="287">
        <f>IF(AC$5&gt;$D$7,0,AB32*Leadsheet!$D96)</f>
        <v>0</v>
      </c>
      <c r="AD33" s="287">
        <f>IF(AD$5&gt;$D$7,0,AC32*Leadsheet!$D96)</f>
        <v>0</v>
      </c>
      <c r="AE33" s="287">
        <f>IF(AE$5&gt;$D$7,0,AD32*Leadsheet!$D96)</f>
        <v>0</v>
      </c>
      <c r="AF33" s="287">
        <f>IF(AF$5&gt;$D$7,0,AE32*Leadsheet!$D96)</f>
        <v>0</v>
      </c>
      <c r="AG33" s="287">
        <f>IF(AG$5&gt;$D$7,0,AF32*Leadsheet!$D96)</f>
        <v>0</v>
      </c>
      <c r="AH33" s="287">
        <f>IF(AH$5&gt;$D$7,0,AG32*Leadsheet!$D96)</f>
        <v>0</v>
      </c>
      <c r="AI33" s="287">
        <f>IF(AI$5&gt;$D$7,0,AH32*Leadsheet!$D96)</f>
        <v>0</v>
      </c>
      <c r="AJ33" s="287">
        <f>IF(AJ$5&gt;$D$7,0,AI32*Leadsheet!$D96)</f>
        <v>0</v>
      </c>
      <c r="AK33" s="287">
        <f>IF(AK$5&gt;$D$7,0,AJ32*Leadsheet!$D96)</f>
        <v>0</v>
      </c>
      <c r="AL33" s="287">
        <f>IF(AL$5&gt;$D$7,0,AK32*Leadsheet!$D96)</f>
        <v>0</v>
      </c>
      <c r="AM33" s="287">
        <f>IF(AM$5&gt;$D$7,0,AL32*Leadsheet!$D96)</f>
        <v>0</v>
      </c>
      <c r="AN33" s="287">
        <f>IF(AN$5&gt;$D$7,0,AM32*Leadsheet!$D96)</f>
        <v>0</v>
      </c>
      <c r="AO33" s="287">
        <f>IF(AO$5&gt;$D$7,0,AN32*Leadsheet!$D96)</f>
        <v>0</v>
      </c>
      <c r="AP33" s="287">
        <f>IF(AP$5&gt;$D$7,0,AO32*Leadsheet!$D96)</f>
        <v>0</v>
      </c>
      <c r="AQ33" s="287">
        <f>IF(AQ$5&gt;$D$7,0,AP32*Leadsheet!$D96)</f>
        <v>0</v>
      </c>
      <c r="AR33" s="287">
        <f>IF(AR$5&gt;$D$7,0,AQ32*Leadsheet!$D96)</f>
        <v>0</v>
      </c>
      <c r="AS33" s="287">
        <f>IF(AS$5&gt;$D$7,0,AR32*Leadsheet!$D96)</f>
        <v>0</v>
      </c>
      <c r="AT33" s="287">
        <f>IF(AT$5&gt;$D$7,0,AS32*Leadsheet!$D96)</f>
        <v>0</v>
      </c>
      <c r="AU33" s="287">
        <f>IF(AU$5&gt;$D$7,0,AT32*Leadsheet!$D96)</f>
        <v>0</v>
      </c>
      <c r="AV33" s="287">
        <f>IF(AV$5&gt;$D$7,0,AU32*Leadsheet!$D96)</f>
        <v>0</v>
      </c>
      <c r="AW33" s="287">
        <f>IF(AW$5&gt;$D$7,0,AV32*Leadsheet!$D96)</f>
        <v>0</v>
      </c>
      <c r="AX33" s="287">
        <f>IF(AX$5&gt;$D$7,0,AW32*Leadsheet!$D96)</f>
        <v>0</v>
      </c>
      <c r="AY33" s="287">
        <f>IF(AY$5&gt;$D$7,0,AX32*Leadsheet!$D96)</f>
        <v>0</v>
      </c>
      <c r="AZ33" s="287">
        <f>IF(AZ$5&gt;$D$7,0,AY32*Leadsheet!$D96)</f>
        <v>0</v>
      </c>
      <c r="BA33" s="287">
        <f>IF(BA$5&gt;$D$7,0,AZ32*Leadsheet!$D96)</f>
        <v>0</v>
      </c>
      <c r="BB33" s="287">
        <f>IF(BB$5&gt;$D$7,0,BA32*Leadsheet!$D96)</f>
        <v>0</v>
      </c>
      <c r="BC33" s="287">
        <f>IF(BC$5&gt;$D$7,0,BB32*Leadsheet!$D96)</f>
        <v>0</v>
      </c>
      <c r="BD33" s="287">
        <f>IF(BD$5&gt;$D$7,0,BC32*Leadsheet!$D96)</f>
        <v>0</v>
      </c>
      <c r="BE33" s="287">
        <f>IF(BE$5&gt;$D$7,0,BD32*Leadsheet!$D96)</f>
        <v>0</v>
      </c>
      <c r="BF33" s="287">
        <f>IF(BF$5&gt;$D$7,0,BE32*Leadsheet!$D96)</f>
        <v>0</v>
      </c>
      <c r="BG33" s="287">
        <f>IF(BG$5&gt;$D$7,0,BF32*Leadsheet!$D96)</f>
        <v>0</v>
      </c>
      <c r="BH33" s="287">
        <f>IF(BH$5&gt;$D$7,0,BG32*Leadsheet!$D96)</f>
        <v>0</v>
      </c>
      <c r="BI33" s="287">
        <f>IF(BI$5&gt;$D$7,0,BH32*Leadsheet!$D96)</f>
        <v>0</v>
      </c>
      <c r="BJ33" s="287">
        <f>IF(BJ$5&gt;$D$7,0,BI32*Leadsheet!$D96)</f>
        <v>0</v>
      </c>
      <c r="BK33" s="287">
        <f>IF(BK$5&gt;$D$7,0,BJ32*Leadsheet!$D96)</f>
        <v>0</v>
      </c>
      <c r="BL33" s="287">
        <f>IF(BL$5&gt;$D$7,0,BK32*Leadsheet!$D96)</f>
        <v>0</v>
      </c>
    </row>
    <row r="34" spans="1:64" s="155" customFormat="1" x14ac:dyDescent="0.15">
      <c r="A34" s="289" t="s">
        <v>377</v>
      </c>
      <c r="B34" s="290">
        <v>210</v>
      </c>
      <c r="C34" s="84" t="s">
        <v>378</v>
      </c>
      <c r="D34" s="292"/>
      <c r="E34" s="288">
        <f>IF(E$5&gt;$D$7,0,D33*Leadsheet!$D97)</f>
        <v>0</v>
      </c>
      <c r="F34" s="288">
        <f>IF(F$5&gt;$D$7,0,E33*Leadsheet!$D97)</f>
        <v>0</v>
      </c>
      <c r="G34" s="288">
        <f>IF(G$5&gt;$D$7,0,F33*Leadsheet!$D97)</f>
        <v>0</v>
      </c>
      <c r="H34" s="288">
        <f>IF(H$5&gt;$D$7,0,G33*Leadsheet!$D97)</f>
        <v>0</v>
      </c>
      <c r="I34" s="288">
        <f>IF(I$5&gt;$D$7,0,H33*Leadsheet!$D97)</f>
        <v>0</v>
      </c>
      <c r="J34" s="288">
        <f>IF(J$5&gt;$D$7,0,I33*Leadsheet!$D97)</f>
        <v>0</v>
      </c>
      <c r="K34" s="288">
        <f>IF(K$5&gt;$D$7,0,J33*Leadsheet!$D97)</f>
        <v>0.38650925399395475</v>
      </c>
      <c r="L34" s="288">
        <f>IF(L$5&gt;$D$7,0,K33*Leadsheet!$D97)</f>
        <v>0.31913227883778722</v>
      </c>
      <c r="M34" s="288">
        <f>IF(M$5&gt;$D$7,0,L33*Leadsheet!$D97)</f>
        <v>0.27332408982711098</v>
      </c>
      <c r="N34" s="288">
        <f>IF(N$5&gt;$D$7,0,M33*Leadsheet!$D97)</f>
        <v>0.23258908063907696</v>
      </c>
      <c r="O34" s="288">
        <f>IF(O$5&gt;$D$7,0,N33*Leadsheet!$D97)</f>
        <v>0.20623812315087695</v>
      </c>
      <c r="P34" s="288">
        <f>IF(P$5&gt;$D$7,0,O33*Leadsheet!$D97)</f>
        <v>0.18162809325619655</v>
      </c>
      <c r="Q34" s="288">
        <f>IF(Q$5&gt;$D$7,0,P33*Leadsheet!$D97)</f>
        <v>0.15900428199879296</v>
      </c>
      <c r="R34" s="288">
        <f>IF(R$5&gt;$D$7,0,Q33*Leadsheet!$D97)</f>
        <v>0.13774060988214168</v>
      </c>
      <c r="S34" s="288">
        <f>IF(S$5&gt;$D$7,0,R33*Leadsheet!$D97)</f>
        <v>0.1177637498909844</v>
      </c>
      <c r="T34" s="287">
        <f>IF(T$5&gt;$D$7,0,S33*Leadsheet!$D97)</f>
        <v>9.9022485069333366E-2</v>
      </c>
      <c r="U34" s="287">
        <f>IF(U$5&gt;$D$7,0,T33*Leadsheet!$D97)</f>
        <v>8.1502884238319737E-2</v>
      </c>
      <c r="V34" s="287">
        <f>IF(V$5&gt;$D$7,0,U33*Leadsheet!$D97)</f>
        <v>6.5181566603837546E-2</v>
      </c>
      <c r="W34" s="287">
        <f>IF(W$5&gt;$D$7,0,V33*Leadsheet!$D97)</f>
        <v>5.0029977946533126E-2</v>
      </c>
      <c r="X34" s="287">
        <f>IF(X$5&gt;$D$7,0,W33*Leadsheet!$D97)</f>
        <v>3.6014901053634731E-2</v>
      </c>
      <c r="Y34" s="287">
        <f>IF(Y$5&gt;$D$7,0,X33*Leadsheet!$D97)</f>
        <v>2.3097008507961744E-2</v>
      </c>
      <c r="Z34" s="287">
        <f>IF(Z$5&gt;$D$7,0,Y33*Leadsheet!$D97)</f>
        <v>1.2319991424019487E-2</v>
      </c>
      <c r="AA34" s="287">
        <f>IF(AA$5&gt;$D$7,0,Z33*Leadsheet!$D97)</f>
        <v>0</v>
      </c>
      <c r="AB34" s="287">
        <f>IF(AB$5&gt;$D$7,0,AA33*Leadsheet!$D97)</f>
        <v>0</v>
      </c>
      <c r="AC34" s="287">
        <f>IF(AC$5&gt;$D$7,0,AB33*Leadsheet!$D97)</f>
        <v>0</v>
      </c>
      <c r="AD34" s="287">
        <f>IF(AD$5&gt;$D$7,0,AC33*Leadsheet!$D97)</f>
        <v>0</v>
      </c>
      <c r="AE34" s="287">
        <f>IF(AE$5&gt;$D$7,0,AD33*Leadsheet!$D97)</f>
        <v>0</v>
      </c>
      <c r="AF34" s="287">
        <f>IF(AF$5&gt;$D$7,0,AE33*Leadsheet!$D97)</f>
        <v>0</v>
      </c>
      <c r="AG34" s="287">
        <f>IF(AG$5&gt;$D$7,0,AF33*Leadsheet!$D97)</f>
        <v>0</v>
      </c>
      <c r="AH34" s="287">
        <f>IF(AH$5&gt;$D$7,0,AG33*Leadsheet!$D97)</f>
        <v>0</v>
      </c>
      <c r="AI34" s="287">
        <f>IF(AI$5&gt;$D$7,0,AH33*Leadsheet!$D97)</f>
        <v>0</v>
      </c>
      <c r="AJ34" s="287">
        <f>IF(AJ$5&gt;$D$7,0,AI33*Leadsheet!$D97)</f>
        <v>0</v>
      </c>
      <c r="AK34" s="287">
        <f>IF(AK$5&gt;$D$7,0,AJ33*Leadsheet!$D97)</f>
        <v>0</v>
      </c>
      <c r="AL34" s="287">
        <f>IF(AL$5&gt;$D$7,0,AK33*Leadsheet!$D97)</f>
        <v>0</v>
      </c>
      <c r="AM34" s="287">
        <f>IF(AM$5&gt;$D$7,0,AL33*Leadsheet!$D97)</f>
        <v>0</v>
      </c>
      <c r="AN34" s="287">
        <f>IF(AN$5&gt;$D$7,0,AM33*Leadsheet!$D97)</f>
        <v>0</v>
      </c>
      <c r="AO34" s="287">
        <f>IF(AO$5&gt;$D$7,0,AN33*Leadsheet!$D97)</f>
        <v>0</v>
      </c>
      <c r="AP34" s="287">
        <f>IF(AP$5&gt;$D$7,0,AO33*Leadsheet!$D97)</f>
        <v>0</v>
      </c>
      <c r="AQ34" s="287">
        <f>IF(AQ$5&gt;$D$7,0,AP33*Leadsheet!$D97)</f>
        <v>0</v>
      </c>
      <c r="AR34" s="287">
        <f>IF(AR$5&gt;$D$7,0,AQ33*Leadsheet!$D97)</f>
        <v>0</v>
      </c>
      <c r="AS34" s="287">
        <f>IF(AS$5&gt;$D$7,0,AR33*Leadsheet!$D97)</f>
        <v>0</v>
      </c>
      <c r="AT34" s="287">
        <f>IF(AT$5&gt;$D$7,0,AS33*Leadsheet!$D97)</f>
        <v>0</v>
      </c>
      <c r="AU34" s="287">
        <f>IF(AU$5&gt;$D$7,0,AT33*Leadsheet!$D97)</f>
        <v>0</v>
      </c>
      <c r="AV34" s="287">
        <f>IF(AV$5&gt;$D$7,0,AU33*Leadsheet!$D97)</f>
        <v>0</v>
      </c>
      <c r="AW34" s="287">
        <f>IF(AW$5&gt;$D$7,0,AV33*Leadsheet!$D97)</f>
        <v>0</v>
      </c>
      <c r="AX34" s="287">
        <f>IF(AX$5&gt;$D$7,0,AW33*Leadsheet!$D97)</f>
        <v>0</v>
      </c>
      <c r="AY34" s="287">
        <f>IF(AY$5&gt;$D$7,0,AX33*Leadsheet!$D97)</f>
        <v>0</v>
      </c>
      <c r="AZ34" s="287">
        <f>IF(AZ$5&gt;$D$7,0,AY33*Leadsheet!$D97)</f>
        <v>0</v>
      </c>
      <c r="BA34" s="287">
        <f>IF(BA$5&gt;$D$7,0,AZ33*Leadsheet!$D97)</f>
        <v>0</v>
      </c>
      <c r="BB34" s="287">
        <f>IF(BB$5&gt;$D$7,0,BA33*Leadsheet!$D97)</f>
        <v>0</v>
      </c>
      <c r="BC34" s="287">
        <f>IF(BC$5&gt;$D$7,0,BB33*Leadsheet!$D97)</f>
        <v>0</v>
      </c>
      <c r="BD34" s="287">
        <f>IF(BD$5&gt;$D$7,0,BC33*Leadsheet!$D97)</f>
        <v>0</v>
      </c>
      <c r="BE34" s="287">
        <f>IF(BE$5&gt;$D$7,0,BD33*Leadsheet!$D97)</f>
        <v>0</v>
      </c>
      <c r="BF34" s="287">
        <f>IF(BF$5&gt;$D$7,0,BE33*Leadsheet!$D97)</f>
        <v>0</v>
      </c>
      <c r="BG34" s="287">
        <f>IF(BG$5&gt;$D$7,0,BF33*Leadsheet!$D97)</f>
        <v>0</v>
      </c>
      <c r="BH34" s="287">
        <f>IF(BH$5&gt;$D$7,0,BG33*Leadsheet!$D97)</f>
        <v>0</v>
      </c>
      <c r="BI34" s="287">
        <f>IF(BI$5&gt;$D$7,0,BH33*Leadsheet!$D97)</f>
        <v>0</v>
      </c>
      <c r="BJ34" s="287">
        <f>IF(BJ$5&gt;$D$7,0,BI33*Leadsheet!$D97)</f>
        <v>0</v>
      </c>
      <c r="BK34" s="287">
        <f>IF(BK$5&gt;$D$7,0,BJ33*Leadsheet!$D97)</f>
        <v>0</v>
      </c>
      <c r="BL34" s="287">
        <f>IF(BL$5&gt;$D$7,0,BK33*Leadsheet!$D97)</f>
        <v>0</v>
      </c>
    </row>
    <row r="35" spans="1:64" s="155" customFormat="1" x14ac:dyDescent="0.15">
      <c r="A35" s="289" t="s">
        <v>377</v>
      </c>
      <c r="B35" s="290">
        <v>240</v>
      </c>
      <c r="C35" s="84" t="s">
        <v>379</v>
      </c>
      <c r="D35" s="292"/>
      <c r="E35" s="288">
        <f>IF(E$5&gt;$D$7,0,D34*Leadsheet!$D98)</f>
        <v>0</v>
      </c>
      <c r="F35" s="288">
        <f>IF(F$5&gt;$D$7,0,E34*Leadsheet!$D98)</f>
        <v>0</v>
      </c>
      <c r="G35" s="288">
        <f>IF(G$5&gt;$D$7,0,F34*Leadsheet!$D98)</f>
        <v>0</v>
      </c>
      <c r="H35" s="288">
        <f>IF(H$5&gt;$D$7,0,G34*Leadsheet!$D98)</f>
        <v>0</v>
      </c>
      <c r="I35" s="288">
        <f>IF(I$5&gt;$D$7,0,H34*Leadsheet!$D98)</f>
        <v>0</v>
      </c>
      <c r="J35" s="288">
        <f>IF(J$5&gt;$D$7,0,I34*Leadsheet!$D98)</f>
        <v>0</v>
      </c>
      <c r="K35" s="288">
        <f>IF(K$5&gt;$D$7,0,J34*Leadsheet!$D98)</f>
        <v>0</v>
      </c>
      <c r="L35" s="288">
        <f>IF(L$5&gt;$D$7,0,K34*Leadsheet!$D98)</f>
        <v>0.384576707723985</v>
      </c>
      <c r="M35" s="288">
        <f>IF(M$5&gt;$D$7,0,L34*Leadsheet!$D98)</f>
        <v>0.31753661744359829</v>
      </c>
      <c r="N35" s="288">
        <f>IF(N$5&gt;$D$7,0,M34*Leadsheet!$D98)</f>
        <v>0.27195746937797544</v>
      </c>
      <c r="O35" s="288">
        <f>IF(O$5&gt;$D$7,0,N34*Leadsheet!$D98)</f>
        <v>0.23142613523588157</v>
      </c>
      <c r="P35" s="288">
        <f>IF(P$5&gt;$D$7,0,O34*Leadsheet!$D98)</f>
        <v>0.20520693253512257</v>
      </c>
      <c r="Q35" s="288">
        <f>IF(Q$5&gt;$D$7,0,P34*Leadsheet!$D98)</f>
        <v>0.18071995278991557</v>
      </c>
      <c r="R35" s="288">
        <f>IF(R$5&gt;$D$7,0,Q34*Leadsheet!$D98)</f>
        <v>0.158209260588799</v>
      </c>
      <c r="S35" s="288">
        <f>IF(S$5&gt;$D$7,0,R34*Leadsheet!$D98)</f>
        <v>0.13705190683273097</v>
      </c>
      <c r="T35" s="287">
        <f>IF(T$5&gt;$D$7,0,S34*Leadsheet!$D98)</f>
        <v>0.11717493114152948</v>
      </c>
      <c r="U35" s="287">
        <f>IF(U$5&gt;$D$7,0,T34*Leadsheet!$D98)</f>
        <v>9.8527372643986699E-2</v>
      </c>
      <c r="V35" s="287">
        <f>IF(V$5&gt;$D$7,0,U34*Leadsheet!$D98)</f>
        <v>8.1095369817128143E-2</v>
      </c>
      <c r="W35" s="287">
        <f>IF(W$5&gt;$D$7,0,V34*Leadsheet!$D98)</f>
        <v>6.4855658770818364E-2</v>
      </c>
      <c r="X35" s="287">
        <f>IF(X$5&gt;$D$7,0,W34*Leadsheet!$D98)</f>
        <v>4.9779828056800458E-2</v>
      </c>
      <c r="Y35" s="287">
        <f>IF(Y$5&gt;$D$7,0,X34*Leadsheet!$D98)</f>
        <v>3.5834826548366554E-2</v>
      </c>
      <c r="Z35" s="287">
        <f>IF(Z$5&gt;$D$7,0,Y34*Leadsheet!$D98)</f>
        <v>2.2981523465421934E-2</v>
      </c>
      <c r="AA35" s="287">
        <f>IF(AA$5&gt;$D$7,0,Z34*Leadsheet!$D98)</f>
        <v>0</v>
      </c>
      <c r="AB35" s="287">
        <f>IF(AB$5&gt;$D$7,0,AA34*Leadsheet!$D98)</f>
        <v>0</v>
      </c>
      <c r="AC35" s="287">
        <f>IF(AC$5&gt;$D$7,0,AB34*Leadsheet!$D98)</f>
        <v>0</v>
      </c>
      <c r="AD35" s="287">
        <f>IF(AD$5&gt;$D$7,0,AC34*Leadsheet!$D98)</f>
        <v>0</v>
      </c>
      <c r="AE35" s="287">
        <f>IF(AE$5&gt;$D$7,0,AD34*Leadsheet!$D98)</f>
        <v>0</v>
      </c>
      <c r="AF35" s="287">
        <f>IF(AF$5&gt;$D$7,0,AE34*Leadsheet!$D98)</f>
        <v>0</v>
      </c>
      <c r="AG35" s="287">
        <f>IF(AG$5&gt;$D$7,0,AF34*Leadsheet!$D98)</f>
        <v>0</v>
      </c>
      <c r="AH35" s="287">
        <f>IF(AH$5&gt;$D$7,0,AG34*Leadsheet!$D98)</f>
        <v>0</v>
      </c>
      <c r="AI35" s="287">
        <f>IF(AI$5&gt;$D$7,0,AH34*Leadsheet!$D98)</f>
        <v>0</v>
      </c>
      <c r="AJ35" s="287">
        <f>IF(AJ$5&gt;$D$7,0,AI34*Leadsheet!$D98)</f>
        <v>0</v>
      </c>
      <c r="AK35" s="287">
        <f>IF(AK$5&gt;$D$7,0,AJ34*Leadsheet!$D98)</f>
        <v>0</v>
      </c>
      <c r="AL35" s="287">
        <f>IF(AL$5&gt;$D$7,0,AK34*Leadsheet!$D98)</f>
        <v>0</v>
      </c>
      <c r="AM35" s="287">
        <f>IF(AM$5&gt;$D$7,0,AL34*Leadsheet!$D98)</f>
        <v>0</v>
      </c>
      <c r="AN35" s="287">
        <f>IF(AN$5&gt;$D$7,0,AM34*Leadsheet!$D98)</f>
        <v>0</v>
      </c>
      <c r="AO35" s="287">
        <f>IF(AO$5&gt;$D$7,0,AN34*Leadsheet!$D98)</f>
        <v>0</v>
      </c>
      <c r="AP35" s="287">
        <f>IF(AP$5&gt;$D$7,0,AO34*Leadsheet!$D98)</f>
        <v>0</v>
      </c>
      <c r="AQ35" s="287">
        <f>IF(AQ$5&gt;$D$7,0,AP34*Leadsheet!$D98)</f>
        <v>0</v>
      </c>
      <c r="AR35" s="287">
        <f>IF(AR$5&gt;$D$7,0,AQ34*Leadsheet!$D98)</f>
        <v>0</v>
      </c>
      <c r="AS35" s="287">
        <f>IF(AS$5&gt;$D$7,0,AR34*Leadsheet!$D98)</f>
        <v>0</v>
      </c>
      <c r="AT35" s="287">
        <f>IF(AT$5&gt;$D$7,0,AS34*Leadsheet!$D98)</f>
        <v>0</v>
      </c>
      <c r="AU35" s="287">
        <f>IF(AU$5&gt;$D$7,0,AT34*Leadsheet!$D98)</f>
        <v>0</v>
      </c>
      <c r="AV35" s="287">
        <f>IF(AV$5&gt;$D$7,0,AU34*Leadsheet!$D98)</f>
        <v>0</v>
      </c>
      <c r="AW35" s="287">
        <f>IF(AW$5&gt;$D$7,0,AV34*Leadsheet!$D98)</f>
        <v>0</v>
      </c>
      <c r="AX35" s="287">
        <f>IF(AX$5&gt;$D$7,0,AW34*Leadsheet!$D98)</f>
        <v>0</v>
      </c>
      <c r="AY35" s="287">
        <f>IF(AY$5&gt;$D$7,0,AX34*Leadsheet!$D98)</f>
        <v>0</v>
      </c>
      <c r="AZ35" s="287">
        <f>IF(AZ$5&gt;$D$7,0,AY34*Leadsheet!$D98)</f>
        <v>0</v>
      </c>
      <c r="BA35" s="287">
        <f>IF(BA$5&gt;$D$7,0,AZ34*Leadsheet!$D98)</f>
        <v>0</v>
      </c>
      <c r="BB35" s="287">
        <f>IF(BB$5&gt;$D$7,0,BA34*Leadsheet!$D98)</f>
        <v>0</v>
      </c>
      <c r="BC35" s="287">
        <f>IF(BC$5&gt;$D$7,0,BB34*Leadsheet!$D98)</f>
        <v>0</v>
      </c>
      <c r="BD35" s="287">
        <f>IF(BD$5&gt;$D$7,0,BC34*Leadsheet!$D98)</f>
        <v>0</v>
      </c>
      <c r="BE35" s="287">
        <f>IF(BE$5&gt;$D$7,0,BD34*Leadsheet!$D98)</f>
        <v>0</v>
      </c>
      <c r="BF35" s="287">
        <f>IF(BF$5&gt;$D$7,0,BE34*Leadsheet!$D98)</f>
        <v>0</v>
      </c>
      <c r="BG35" s="287">
        <f>IF(BG$5&gt;$D$7,0,BF34*Leadsheet!$D98)</f>
        <v>0</v>
      </c>
      <c r="BH35" s="287">
        <f>IF(BH$5&gt;$D$7,0,BG34*Leadsheet!$D98)</f>
        <v>0</v>
      </c>
      <c r="BI35" s="287">
        <f>IF(BI$5&gt;$D$7,0,BH34*Leadsheet!$D98)</f>
        <v>0</v>
      </c>
      <c r="BJ35" s="287">
        <f>IF(BJ$5&gt;$D$7,0,BI34*Leadsheet!$D98)</f>
        <v>0</v>
      </c>
      <c r="BK35" s="287">
        <f>IF(BK$5&gt;$D$7,0,BJ34*Leadsheet!$D98)</f>
        <v>0</v>
      </c>
      <c r="BL35" s="287">
        <f>IF(BL$5&gt;$D$7,0,BK34*Leadsheet!$D98)</f>
        <v>0</v>
      </c>
    </row>
    <row r="36" spans="1:64" s="155" customFormat="1" x14ac:dyDescent="0.15">
      <c r="A36" s="289" t="s">
        <v>377</v>
      </c>
      <c r="B36" s="290">
        <v>270</v>
      </c>
      <c r="C36" s="84" t="s">
        <v>380</v>
      </c>
      <c r="D36" s="292"/>
      <c r="E36" s="288">
        <f>IF(E$5&gt;$D$7,0,D35*Leadsheet!$D99)</f>
        <v>0</v>
      </c>
      <c r="F36" s="288">
        <f>IF(F$5&gt;$D$7,0,E35*Leadsheet!$D99)</f>
        <v>0</v>
      </c>
      <c r="G36" s="288">
        <f>IF(G$5&gt;$D$7,0,F35*Leadsheet!$D99)</f>
        <v>0</v>
      </c>
      <c r="H36" s="288">
        <f>IF(H$5&gt;$D$7,0,G35*Leadsheet!$D99)</f>
        <v>0</v>
      </c>
      <c r="I36" s="288">
        <f>IF(I$5&gt;$D$7,0,H35*Leadsheet!$D99)</f>
        <v>0</v>
      </c>
      <c r="J36" s="288">
        <f>IF(J$5&gt;$D$7,0,I35*Leadsheet!$D99)</f>
        <v>0</v>
      </c>
      <c r="K36" s="288">
        <f>IF(K$5&gt;$D$7,0,J35*Leadsheet!$D99)</f>
        <v>0</v>
      </c>
      <c r="L36" s="288">
        <f>IF(L$5&gt;$D$7,0,K35*Leadsheet!$D99)</f>
        <v>0</v>
      </c>
      <c r="M36" s="288">
        <f>IF(M$5&gt;$D$7,0,L35*Leadsheet!$D99)</f>
        <v>0.38419213101626104</v>
      </c>
      <c r="N36" s="288">
        <f>IF(N$5&gt;$D$7,0,M35*Leadsheet!$D99)</f>
        <v>0.31721908082615469</v>
      </c>
      <c r="O36" s="288">
        <f>IF(O$5&gt;$D$7,0,N35*Leadsheet!$D99)</f>
        <v>0.27168551190859747</v>
      </c>
      <c r="P36" s="288">
        <f>IF(P$5&gt;$D$7,0,O35*Leadsheet!$D99)</f>
        <v>0.23119470910064568</v>
      </c>
      <c r="Q36" s="288">
        <f>IF(Q$5&gt;$D$7,0,P35*Leadsheet!$D99)</f>
        <v>0.20500172560258745</v>
      </c>
      <c r="R36" s="288">
        <f>IF(R$5&gt;$D$7,0,Q35*Leadsheet!$D99)</f>
        <v>0.18053923283712564</v>
      </c>
      <c r="S36" s="288">
        <f>IF(S$5&gt;$D$7,0,R35*Leadsheet!$D99)</f>
        <v>0.15805105132821021</v>
      </c>
      <c r="T36" s="287">
        <f>IF(T$5&gt;$D$7,0,S35*Leadsheet!$D99)</f>
        <v>0.13691485492589825</v>
      </c>
      <c r="U36" s="287">
        <f>IF(U$5&gt;$D$7,0,T35*Leadsheet!$D99)</f>
        <v>0.11705775621038796</v>
      </c>
      <c r="V36" s="287">
        <f>IF(V$5&gt;$D$7,0,U35*Leadsheet!$D99)</f>
        <v>9.8428845271342713E-2</v>
      </c>
      <c r="W36" s="287">
        <f>IF(W$5&gt;$D$7,0,V35*Leadsheet!$D99)</f>
        <v>8.1014274447311019E-2</v>
      </c>
      <c r="X36" s="287">
        <f>IF(X$5&gt;$D$7,0,W35*Leadsheet!$D99)</f>
        <v>6.4790803112047546E-2</v>
      </c>
      <c r="Y36" s="287">
        <f>IF(Y$5&gt;$D$7,0,X35*Leadsheet!$D99)</f>
        <v>4.9730048228743655E-2</v>
      </c>
      <c r="Z36" s="287">
        <f>IF(Z$5&gt;$D$7,0,Y35*Leadsheet!$D99)</f>
        <v>3.5798991721818184E-2</v>
      </c>
      <c r="AA36" s="287">
        <f>IF(AA$5&gt;$D$7,0,Z35*Leadsheet!$D99)</f>
        <v>0</v>
      </c>
      <c r="AB36" s="287">
        <f>IF(AB$5&gt;$D$7,0,AA35*Leadsheet!$D99)</f>
        <v>0</v>
      </c>
      <c r="AC36" s="287">
        <f>IF(AC$5&gt;$D$7,0,AB35*Leadsheet!$D99)</f>
        <v>0</v>
      </c>
      <c r="AD36" s="287">
        <f>IF(AD$5&gt;$D$7,0,AC35*Leadsheet!$D99)</f>
        <v>0</v>
      </c>
      <c r="AE36" s="287">
        <f>IF(AE$5&gt;$D$7,0,AD35*Leadsheet!$D99)</f>
        <v>0</v>
      </c>
      <c r="AF36" s="287">
        <f>IF(AF$5&gt;$D$7,0,AE35*Leadsheet!$D99)</f>
        <v>0</v>
      </c>
      <c r="AG36" s="287">
        <f>IF(AG$5&gt;$D$7,0,AF35*Leadsheet!$D99)</f>
        <v>0</v>
      </c>
      <c r="AH36" s="287">
        <f>IF(AH$5&gt;$D$7,0,AG35*Leadsheet!$D99)</f>
        <v>0</v>
      </c>
      <c r="AI36" s="287">
        <f>IF(AI$5&gt;$D$7,0,AH35*Leadsheet!$D99)</f>
        <v>0</v>
      </c>
      <c r="AJ36" s="287">
        <f>IF(AJ$5&gt;$D$7,0,AI35*Leadsheet!$D99)</f>
        <v>0</v>
      </c>
      <c r="AK36" s="287">
        <f>IF(AK$5&gt;$D$7,0,AJ35*Leadsheet!$D99)</f>
        <v>0</v>
      </c>
      <c r="AL36" s="287">
        <f>IF(AL$5&gt;$D$7,0,AK35*Leadsheet!$D99)</f>
        <v>0</v>
      </c>
      <c r="AM36" s="287">
        <f>IF(AM$5&gt;$D$7,0,AL35*Leadsheet!$D99)</f>
        <v>0</v>
      </c>
      <c r="AN36" s="287">
        <f>IF(AN$5&gt;$D$7,0,AM35*Leadsheet!$D99)</f>
        <v>0</v>
      </c>
      <c r="AO36" s="287">
        <f>IF(AO$5&gt;$D$7,0,AN35*Leadsheet!$D99)</f>
        <v>0</v>
      </c>
      <c r="AP36" s="287">
        <f>IF(AP$5&gt;$D$7,0,AO35*Leadsheet!$D99)</f>
        <v>0</v>
      </c>
      <c r="AQ36" s="287">
        <f>IF(AQ$5&gt;$D$7,0,AP35*Leadsheet!$D99)</f>
        <v>0</v>
      </c>
      <c r="AR36" s="287">
        <f>IF(AR$5&gt;$D$7,0,AQ35*Leadsheet!$D99)</f>
        <v>0</v>
      </c>
      <c r="AS36" s="287">
        <f>IF(AS$5&gt;$D$7,0,AR35*Leadsheet!$D99)</f>
        <v>0</v>
      </c>
      <c r="AT36" s="287">
        <f>IF(AT$5&gt;$D$7,0,AS35*Leadsheet!$D99)</f>
        <v>0</v>
      </c>
      <c r="AU36" s="287">
        <f>IF(AU$5&gt;$D$7,0,AT35*Leadsheet!$D99)</f>
        <v>0</v>
      </c>
      <c r="AV36" s="287">
        <f>IF(AV$5&gt;$D$7,0,AU35*Leadsheet!$D99)</f>
        <v>0</v>
      </c>
      <c r="AW36" s="287">
        <f>IF(AW$5&gt;$D$7,0,AV35*Leadsheet!$D99)</f>
        <v>0</v>
      </c>
      <c r="AX36" s="287">
        <f>IF(AX$5&gt;$D$7,0,AW35*Leadsheet!$D99)</f>
        <v>0</v>
      </c>
      <c r="AY36" s="287">
        <f>IF(AY$5&gt;$D$7,0,AX35*Leadsheet!$D99)</f>
        <v>0</v>
      </c>
      <c r="AZ36" s="287">
        <f>IF(AZ$5&gt;$D$7,0,AY35*Leadsheet!$D99)</f>
        <v>0</v>
      </c>
      <c r="BA36" s="287">
        <f>IF(BA$5&gt;$D$7,0,AZ35*Leadsheet!$D99)</f>
        <v>0</v>
      </c>
      <c r="BB36" s="287">
        <f>IF(BB$5&gt;$D$7,0,BA35*Leadsheet!$D99)</f>
        <v>0</v>
      </c>
      <c r="BC36" s="287">
        <f>IF(BC$5&gt;$D$7,0,BB35*Leadsheet!$D99)</f>
        <v>0</v>
      </c>
      <c r="BD36" s="287">
        <f>IF(BD$5&gt;$D$7,0,BC35*Leadsheet!$D99)</f>
        <v>0</v>
      </c>
      <c r="BE36" s="287">
        <f>IF(BE$5&gt;$D$7,0,BD35*Leadsheet!$D99)</f>
        <v>0</v>
      </c>
      <c r="BF36" s="287">
        <f>IF(BF$5&gt;$D$7,0,BE35*Leadsheet!$D99)</f>
        <v>0</v>
      </c>
      <c r="BG36" s="287">
        <f>IF(BG$5&gt;$D$7,0,BF35*Leadsheet!$D99)</f>
        <v>0</v>
      </c>
      <c r="BH36" s="287">
        <f>IF(BH$5&gt;$D$7,0,BG35*Leadsheet!$D99)</f>
        <v>0</v>
      </c>
      <c r="BI36" s="287">
        <f>IF(BI$5&gt;$D$7,0,BH35*Leadsheet!$D99)</f>
        <v>0</v>
      </c>
      <c r="BJ36" s="287">
        <f>IF(BJ$5&gt;$D$7,0,BI35*Leadsheet!$D99)</f>
        <v>0</v>
      </c>
      <c r="BK36" s="287">
        <f>IF(BK$5&gt;$D$7,0,BJ35*Leadsheet!$D99)</f>
        <v>0</v>
      </c>
      <c r="BL36" s="287">
        <f>IF(BL$5&gt;$D$7,0,BK35*Leadsheet!$D99)</f>
        <v>0</v>
      </c>
    </row>
    <row r="37" spans="1:64" s="155" customFormat="1" x14ac:dyDescent="0.15">
      <c r="A37" s="289" t="s">
        <v>377</v>
      </c>
      <c r="B37" s="290">
        <v>300</v>
      </c>
      <c r="C37" s="84" t="s">
        <v>381</v>
      </c>
      <c r="D37" s="292"/>
      <c r="E37" s="288">
        <f>IF(E$5&gt;$D$7,0,D36*Leadsheet!$D100)</f>
        <v>0</v>
      </c>
      <c r="F37" s="288">
        <f>IF(F$5&gt;$D$7,0,E36*Leadsheet!$D100)</f>
        <v>0</v>
      </c>
      <c r="G37" s="288">
        <f>IF(G$5&gt;$D$7,0,F36*Leadsheet!$D100)</f>
        <v>0</v>
      </c>
      <c r="H37" s="288">
        <f>IF(H$5&gt;$D$7,0,G36*Leadsheet!$D100)</f>
        <v>0</v>
      </c>
      <c r="I37" s="288">
        <f>IF(I$5&gt;$D$7,0,H36*Leadsheet!$D100)</f>
        <v>0</v>
      </c>
      <c r="J37" s="288">
        <f>IF(J$5&gt;$D$7,0,I36*Leadsheet!$D100)</f>
        <v>0</v>
      </c>
      <c r="K37" s="288">
        <f>IF(K$5&gt;$D$7,0,J36*Leadsheet!$D100)</f>
        <v>0</v>
      </c>
      <c r="L37" s="288">
        <f>IF(L$5&gt;$D$7,0,K36*Leadsheet!$D100)</f>
        <v>0</v>
      </c>
      <c r="M37" s="288">
        <f>IF(M$5&gt;$D$7,0,L36*Leadsheet!$D100)</f>
        <v>0</v>
      </c>
      <c r="N37" s="288">
        <f>IF(N$5&gt;$D$7,0,M36*Leadsheet!$D100)</f>
        <v>0.38419213101626104</v>
      </c>
      <c r="O37" s="288">
        <f>IF(O$5&gt;$D$7,0,N36*Leadsheet!$D100)</f>
        <v>0.31721908082615469</v>
      </c>
      <c r="P37" s="288">
        <f>IF(P$5&gt;$D$7,0,O36*Leadsheet!$D100)</f>
        <v>0.27168551190859747</v>
      </c>
      <c r="Q37" s="288">
        <f>IF(Q$5&gt;$D$7,0,P36*Leadsheet!$D100)</f>
        <v>0.23119470910064568</v>
      </c>
      <c r="R37" s="288">
        <f>IF(R$5&gt;$D$7,0,Q36*Leadsheet!$D100)</f>
        <v>0.20500172560258745</v>
      </c>
      <c r="S37" s="288">
        <f>IF(S$5&gt;$D$7,0,R36*Leadsheet!$D100)</f>
        <v>0.18053923283712564</v>
      </c>
      <c r="T37" s="287">
        <f>IF(T$5&gt;$D$7,0,S36*Leadsheet!$D100)</f>
        <v>0.15805105132821021</v>
      </c>
      <c r="U37" s="287">
        <f>IF(U$5&gt;$D$7,0,T36*Leadsheet!$D100)</f>
        <v>0.13691485492589825</v>
      </c>
      <c r="V37" s="287">
        <f>IF(V$5&gt;$D$7,0,U36*Leadsheet!$D100)</f>
        <v>0.11705775621038796</v>
      </c>
      <c r="W37" s="287">
        <f>IF(W$5&gt;$D$7,0,V36*Leadsheet!$D100)</f>
        <v>9.8428845271342713E-2</v>
      </c>
      <c r="X37" s="287">
        <f>IF(X$5&gt;$D$7,0,W36*Leadsheet!$D100)</f>
        <v>8.1014274447311019E-2</v>
      </c>
      <c r="Y37" s="287">
        <f>IF(Y$5&gt;$D$7,0,X36*Leadsheet!$D100)</f>
        <v>6.4790803112047546E-2</v>
      </c>
      <c r="Z37" s="287">
        <f>IF(Z$5&gt;$D$7,0,Y36*Leadsheet!$D100)</f>
        <v>4.9730048228743655E-2</v>
      </c>
      <c r="AA37" s="287">
        <f>IF(AA$5&gt;$D$7,0,Z36*Leadsheet!$D100)</f>
        <v>0</v>
      </c>
      <c r="AB37" s="287">
        <f>IF(AB$5&gt;$D$7,0,AA36*Leadsheet!$D100)</f>
        <v>0</v>
      </c>
      <c r="AC37" s="287">
        <f>IF(AC$5&gt;$D$7,0,AB36*Leadsheet!$D100)</f>
        <v>0</v>
      </c>
      <c r="AD37" s="287">
        <f>IF(AD$5&gt;$D$7,0,AC36*Leadsheet!$D100)</f>
        <v>0</v>
      </c>
      <c r="AE37" s="287">
        <f>IF(AE$5&gt;$D$7,0,AD36*Leadsheet!$D100)</f>
        <v>0</v>
      </c>
      <c r="AF37" s="287">
        <f>IF(AF$5&gt;$D$7,0,AE36*Leadsheet!$D100)</f>
        <v>0</v>
      </c>
      <c r="AG37" s="287">
        <f>IF(AG$5&gt;$D$7,0,AF36*Leadsheet!$D100)</f>
        <v>0</v>
      </c>
      <c r="AH37" s="287">
        <f>IF(AH$5&gt;$D$7,0,AG36*Leadsheet!$D100)</f>
        <v>0</v>
      </c>
      <c r="AI37" s="287">
        <f>IF(AI$5&gt;$D$7,0,AH36*Leadsheet!$D100)</f>
        <v>0</v>
      </c>
      <c r="AJ37" s="287">
        <f>IF(AJ$5&gt;$D$7,0,AI36*Leadsheet!$D100)</f>
        <v>0</v>
      </c>
      <c r="AK37" s="287">
        <f>IF(AK$5&gt;$D$7,0,AJ36*Leadsheet!$D100)</f>
        <v>0</v>
      </c>
      <c r="AL37" s="287">
        <f>IF(AL$5&gt;$D$7,0,AK36*Leadsheet!$D100)</f>
        <v>0</v>
      </c>
      <c r="AM37" s="287">
        <f>IF(AM$5&gt;$D$7,0,AL36*Leadsheet!$D100)</f>
        <v>0</v>
      </c>
      <c r="AN37" s="287">
        <f>IF(AN$5&gt;$D$7,0,AM36*Leadsheet!$D100)</f>
        <v>0</v>
      </c>
      <c r="AO37" s="287">
        <f>IF(AO$5&gt;$D$7,0,AN36*Leadsheet!$D100)</f>
        <v>0</v>
      </c>
      <c r="AP37" s="287">
        <f>IF(AP$5&gt;$D$7,0,AO36*Leadsheet!$D100)</f>
        <v>0</v>
      </c>
      <c r="AQ37" s="287">
        <f>IF(AQ$5&gt;$D$7,0,AP36*Leadsheet!$D100)</f>
        <v>0</v>
      </c>
      <c r="AR37" s="287">
        <f>IF(AR$5&gt;$D$7,0,AQ36*Leadsheet!$D100)</f>
        <v>0</v>
      </c>
      <c r="AS37" s="287">
        <f>IF(AS$5&gt;$D$7,0,AR36*Leadsheet!$D100)</f>
        <v>0</v>
      </c>
      <c r="AT37" s="287">
        <f>IF(AT$5&gt;$D$7,0,AS36*Leadsheet!$D100)</f>
        <v>0</v>
      </c>
      <c r="AU37" s="287">
        <f>IF(AU$5&gt;$D$7,0,AT36*Leadsheet!$D100)</f>
        <v>0</v>
      </c>
      <c r="AV37" s="287">
        <f>IF(AV$5&gt;$D$7,0,AU36*Leadsheet!$D100)</f>
        <v>0</v>
      </c>
      <c r="AW37" s="287">
        <f>IF(AW$5&gt;$D$7,0,AV36*Leadsheet!$D100)</f>
        <v>0</v>
      </c>
      <c r="AX37" s="287">
        <f>IF(AX$5&gt;$D$7,0,AW36*Leadsheet!$D100)</f>
        <v>0</v>
      </c>
      <c r="AY37" s="287">
        <f>IF(AY$5&gt;$D$7,0,AX36*Leadsheet!$D100)</f>
        <v>0</v>
      </c>
      <c r="AZ37" s="287">
        <f>IF(AZ$5&gt;$D$7,0,AY36*Leadsheet!$D100)</f>
        <v>0</v>
      </c>
      <c r="BA37" s="287">
        <f>IF(BA$5&gt;$D$7,0,AZ36*Leadsheet!$D100)</f>
        <v>0</v>
      </c>
      <c r="BB37" s="287">
        <f>IF(BB$5&gt;$D$7,0,BA36*Leadsheet!$D100)</f>
        <v>0</v>
      </c>
      <c r="BC37" s="287">
        <f>IF(BC$5&gt;$D$7,0,BB36*Leadsheet!$D100)</f>
        <v>0</v>
      </c>
      <c r="BD37" s="287">
        <f>IF(BD$5&gt;$D$7,0,BC36*Leadsheet!$D100)</f>
        <v>0</v>
      </c>
      <c r="BE37" s="287">
        <f>IF(BE$5&gt;$D$7,0,BD36*Leadsheet!$D100)</f>
        <v>0</v>
      </c>
      <c r="BF37" s="287">
        <f>IF(BF$5&gt;$D$7,0,BE36*Leadsheet!$D100)</f>
        <v>0</v>
      </c>
      <c r="BG37" s="287">
        <f>IF(BG$5&gt;$D$7,0,BF36*Leadsheet!$D100)</f>
        <v>0</v>
      </c>
      <c r="BH37" s="287">
        <f>IF(BH$5&gt;$D$7,0,BG36*Leadsheet!$D100)</f>
        <v>0</v>
      </c>
      <c r="BI37" s="287">
        <f>IF(BI$5&gt;$D$7,0,BH36*Leadsheet!$D100)</f>
        <v>0</v>
      </c>
      <c r="BJ37" s="287">
        <f>IF(BJ$5&gt;$D$7,0,BI36*Leadsheet!$D100)</f>
        <v>0</v>
      </c>
      <c r="BK37" s="287">
        <f>IF(BK$5&gt;$D$7,0,BJ36*Leadsheet!$D100)</f>
        <v>0</v>
      </c>
      <c r="BL37" s="287">
        <f>IF(BL$5&gt;$D$7,0,BK36*Leadsheet!$D100)</f>
        <v>0</v>
      </c>
    </row>
    <row r="38" spans="1:64" s="155" customFormat="1" x14ac:dyDescent="0.15">
      <c r="A38" s="289" t="s">
        <v>377</v>
      </c>
      <c r="B38" s="290">
        <v>330</v>
      </c>
      <c r="C38" s="84" t="s">
        <v>382</v>
      </c>
      <c r="D38" s="292"/>
      <c r="E38" s="288">
        <f>IF(E$5&gt;$D$7,0,D37*Leadsheet!$D101)</f>
        <v>0</v>
      </c>
      <c r="F38" s="288">
        <f>IF(F$5&gt;$D$7,0,E37*Leadsheet!$D101)</f>
        <v>0</v>
      </c>
      <c r="G38" s="288">
        <f>IF(G$5&gt;$D$7,0,F37*Leadsheet!$D101)</f>
        <v>0</v>
      </c>
      <c r="H38" s="288">
        <f>IF(H$5&gt;$D$7,0,G37*Leadsheet!$D101)</f>
        <v>0</v>
      </c>
      <c r="I38" s="288">
        <f>IF(I$5&gt;$D$7,0,H37*Leadsheet!$D101)</f>
        <v>0</v>
      </c>
      <c r="J38" s="288">
        <f>IF(J$5&gt;$D$7,0,I37*Leadsheet!$D101)</f>
        <v>0</v>
      </c>
      <c r="K38" s="288">
        <f>IF(K$5&gt;$D$7,0,J37*Leadsheet!$D101)</f>
        <v>0</v>
      </c>
      <c r="L38" s="288">
        <f>IF(L$5&gt;$D$7,0,K37*Leadsheet!$D101)</f>
        <v>0</v>
      </c>
      <c r="M38" s="288">
        <f>IF(M$5&gt;$D$7,0,L37*Leadsheet!$D101)</f>
        <v>0</v>
      </c>
      <c r="N38" s="288">
        <f>IF(N$5&gt;$D$7,0,M37*Leadsheet!$D101)</f>
        <v>0</v>
      </c>
      <c r="O38" s="288">
        <f>IF(O$5&gt;$D$7,0,N37*Leadsheet!$D101)</f>
        <v>0.38419213101626104</v>
      </c>
      <c r="P38" s="288">
        <f>IF(P$5&gt;$D$7,0,O37*Leadsheet!$D101)</f>
        <v>0.31721908082615469</v>
      </c>
      <c r="Q38" s="288">
        <f>IF(Q$5&gt;$D$7,0,P37*Leadsheet!$D101)</f>
        <v>0.27168551190859747</v>
      </c>
      <c r="R38" s="288">
        <f>IF(R$5&gt;$D$7,0,Q37*Leadsheet!$D101)</f>
        <v>0.23119470910064568</v>
      </c>
      <c r="S38" s="288">
        <f>IF(S$5&gt;$D$7,0,R37*Leadsheet!$D101)</f>
        <v>0.20500172560258745</v>
      </c>
      <c r="T38" s="287">
        <f>IF(T$5&gt;$D$7,0,S37*Leadsheet!$D101)</f>
        <v>0.18053923283712564</v>
      </c>
      <c r="U38" s="287">
        <f>IF(U$5&gt;$D$7,0,T37*Leadsheet!$D101)</f>
        <v>0.15805105132821021</v>
      </c>
      <c r="V38" s="287">
        <f>IF(V$5&gt;$D$7,0,U37*Leadsheet!$D101)</f>
        <v>0.13691485492589825</v>
      </c>
      <c r="W38" s="287">
        <f>IF(W$5&gt;$D$7,0,V37*Leadsheet!$D101)</f>
        <v>0.11705775621038796</v>
      </c>
      <c r="X38" s="287">
        <f>IF(X$5&gt;$D$7,0,W37*Leadsheet!$D101)</f>
        <v>9.8428845271342713E-2</v>
      </c>
      <c r="Y38" s="287">
        <f>IF(Y$5&gt;$D$7,0,X37*Leadsheet!$D101)</f>
        <v>8.1014274447311019E-2</v>
      </c>
      <c r="Z38" s="287">
        <f>IF(Z$5&gt;$D$7,0,Y37*Leadsheet!$D101)</f>
        <v>6.4790803112047546E-2</v>
      </c>
      <c r="AA38" s="287">
        <f>IF(AA$5&gt;$D$7,0,Z37*Leadsheet!$D101)</f>
        <v>0</v>
      </c>
      <c r="AB38" s="287">
        <f>IF(AB$5&gt;$D$7,0,AA37*Leadsheet!$D101)</f>
        <v>0</v>
      </c>
      <c r="AC38" s="287">
        <f>IF(AC$5&gt;$D$7,0,AB37*Leadsheet!$D101)</f>
        <v>0</v>
      </c>
      <c r="AD38" s="287">
        <f>IF(AD$5&gt;$D$7,0,AC37*Leadsheet!$D101)</f>
        <v>0</v>
      </c>
      <c r="AE38" s="287">
        <f>IF(AE$5&gt;$D$7,0,AD37*Leadsheet!$D101)</f>
        <v>0</v>
      </c>
      <c r="AF38" s="287">
        <f>IF(AF$5&gt;$D$7,0,AE37*Leadsheet!$D101)</f>
        <v>0</v>
      </c>
      <c r="AG38" s="287">
        <f>IF(AG$5&gt;$D$7,0,AF37*Leadsheet!$D101)</f>
        <v>0</v>
      </c>
      <c r="AH38" s="287">
        <f>IF(AH$5&gt;$D$7,0,AG37*Leadsheet!$D101)</f>
        <v>0</v>
      </c>
      <c r="AI38" s="287">
        <f>IF(AI$5&gt;$D$7,0,AH37*Leadsheet!$D101)</f>
        <v>0</v>
      </c>
      <c r="AJ38" s="287">
        <f>IF(AJ$5&gt;$D$7,0,AI37*Leadsheet!$D101)</f>
        <v>0</v>
      </c>
      <c r="AK38" s="287">
        <f>IF(AK$5&gt;$D$7,0,AJ37*Leadsheet!$D101)</f>
        <v>0</v>
      </c>
      <c r="AL38" s="287">
        <f>IF(AL$5&gt;$D$7,0,AK37*Leadsheet!$D101)</f>
        <v>0</v>
      </c>
      <c r="AM38" s="287">
        <f>IF(AM$5&gt;$D$7,0,AL37*Leadsheet!$D101)</f>
        <v>0</v>
      </c>
      <c r="AN38" s="287">
        <f>IF(AN$5&gt;$D$7,0,AM37*Leadsheet!$D101)</f>
        <v>0</v>
      </c>
      <c r="AO38" s="287">
        <f>IF(AO$5&gt;$D$7,0,AN37*Leadsheet!$D101)</f>
        <v>0</v>
      </c>
      <c r="AP38" s="287">
        <f>IF(AP$5&gt;$D$7,0,AO37*Leadsheet!$D101)</f>
        <v>0</v>
      </c>
      <c r="AQ38" s="287">
        <f>IF(AQ$5&gt;$D$7,0,AP37*Leadsheet!$D101)</f>
        <v>0</v>
      </c>
      <c r="AR38" s="287">
        <f>IF(AR$5&gt;$D$7,0,AQ37*Leadsheet!$D101)</f>
        <v>0</v>
      </c>
      <c r="AS38" s="287">
        <f>IF(AS$5&gt;$D$7,0,AR37*Leadsheet!$D101)</f>
        <v>0</v>
      </c>
      <c r="AT38" s="287">
        <f>IF(AT$5&gt;$D$7,0,AS37*Leadsheet!$D101)</f>
        <v>0</v>
      </c>
      <c r="AU38" s="287">
        <f>IF(AU$5&gt;$D$7,0,AT37*Leadsheet!$D101)</f>
        <v>0</v>
      </c>
      <c r="AV38" s="287">
        <f>IF(AV$5&gt;$D$7,0,AU37*Leadsheet!$D101)</f>
        <v>0</v>
      </c>
      <c r="AW38" s="287">
        <f>IF(AW$5&gt;$D$7,0,AV37*Leadsheet!$D101)</f>
        <v>0</v>
      </c>
      <c r="AX38" s="287">
        <f>IF(AX$5&gt;$D$7,0,AW37*Leadsheet!$D101)</f>
        <v>0</v>
      </c>
      <c r="AY38" s="287">
        <f>IF(AY$5&gt;$D$7,0,AX37*Leadsheet!$D101)</f>
        <v>0</v>
      </c>
      <c r="AZ38" s="287">
        <f>IF(AZ$5&gt;$D$7,0,AY37*Leadsheet!$D101)</f>
        <v>0</v>
      </c>
      <c r="BA38" s="287">
        <f>IF(BA$5&gt;$D$7,0,AZ37*Leadsheet!$D101)</f>
        <v>0</v>
      </c>
      <c r="BB38" s="287">
        <f>IF(BB$5&gt;$D$7,0,BA37*Leadsheet!$D101)</f>
        <v>0</v>
      </c>
      <c r="BC38" s="287">
        <f>IF(BC$5&gt;$D$7,0,BB37*Leadsheet!$D101)</f>
        <v>0</v>
      </c>
      <c r="BD38" s="287">
        <f>IF(BD$5&gt;$D$7,0,BC37*Leadsheet!$D101)</f>
        <v>0</v>
      </c>
      <c r="BE38" s="287">
        <f>IF(BE$5&gt;$D$7,0,BD37*Leadsheet!$D101)</f>
        <v>0</v>
      </c>
      <c r="BF38" s="287">
        <f>IF(BF$5&gt;$D$7,0,BE37*Leadsheet!$D101)</f>
        <v>0</v>
      </c>
      <c r="BG38" s="287">
        <f>IF(BG$5&gt;$D$7,0,BF37*Leadsheet!$D101)</f>
        <v>0</v>
      </c>
      <c r="BH38" s="287">
        <f>IF(BH$5&gt;$D$7,0,BG37*Leadsheet!$D101)</f>
        <v>0</v>
      </c>
      <c r="BI38" s="287">
        <f>IF(BI$5&gt;$D$7,0,BH37*Leadsheet!$D101)</f>
        <v>0</v>
      </c>
      <c r="BJ38" s="287">
        <f>IF(BJ$5&gt;$D$7,0,BI37*Leadsheet!$D101)</f>
        <v>0</v>
      </c>
      <c r="BK38" s="287">
        <f>IF(BK$5&gt;$D$7,0,BJ37*Leadsheet!$D101)</f>
        <v>0</v>
      </c>
      <c r="BL38" s="287">
        <f>IF(BL$5&gt;$D$7,0,BK37*Leadsheet!$D101)</f>
        <v>0</v>
      </c>
    </row>
    <row r="39" spans="1:64" s="155" customFormat="1" x14ac:dyDescent="0.15">
      <c r="A39" s="289" t="s">
        <v>377</v>
      </c>
      <c r="B39" s="290">
        <v>360</v>
      </c>
      <c r="C39" s="84" t="s">
        <v>383</v>
      </c>
      <c r="D39" s="292"/>
      <c r="E39" s="288">
        <f>IF(E$5&gt;$D$7,0,D38*Leadsheet!$D102)</f>
        <v>0</v>
      </c>
      <c r="F39" s="288">
        <f>IF(F$5&gt;$D$7,0,E38*Leadsheet!$D102)</f>
        <v>0</v>
      </c>
      <c r="G39" s="288">
        <f>IF(G$5&gt;$D$7,0,F38*Leadsheet!$D102)</f>
        <v>0</v>
      </c>
      <c r="H39" s="288">
        <f>IF(H$5&gt;$D$7,0,G38*Leadsheet!$D102)</f>
        <v>0</v>
      </c>
      <c r="I39" s="288">
        <f>IF(I$5&gt;$D$7,0,H38*Leadsheet!$D102)</f>
        <v>0</v>
      </c>
      <c r="J39" s="288">
        <f>IF(J$5&gt;$D$7,0,I38*Leadsheet!$D102)</f>
        <v>0</v>
      </c>
      <c r="K39" s="288">
        <f>IF(K$5&gt;$D$7,0,J38*Leadsheet!$D102)</f>
        <v>0</v>
      </c>
      <c r="L39" s="288">
        <f>IF(L$5&gt;$D$7,0,K38*Leadsheet!$D102)</f>
        <v>0</v>
      </c>
      <c r="M39" s="288">
        <f>IF(M$5&gt;$D$7,0,L38*Leadsheet!$D102)</f>
        <v>0</v>
      </c>
      <c r="N39" s="288">
        <f>IF(N$5&gt;$D$7,0,M38*Leadsheet!$D102)</f>
        <v>0</v>
      </c>
      <c r="O39" s="288">
        <f>IF(O$5&gt;$D$7,0,N38*Leadsheet!$D102)</f>
        <v>0</v>
      </c>
      <c r="P39" s="288">
        <f>IF(P$5&gt;$D$7,0,O38*Leadsheet!$D102)</f>
        <v>0.38419213101626104</v>
      </c>
      <c r="Q39" s="288">
        <f>IF(Q$5&gt;$D$7,0,P38*Leadsheet!$D102)</f>
        <v>0.31721908082615469</v>
      </c>
      <c r="R39" s="288">
        <f>IF(R$5&gt;$D$7,0,Q38*Leadsheet!$D102)</f>
        <v>0.27168551190859747</v>
      </c>
      <c r="S39" s="288">
        <f>IF(S$5&gt;$D$7,0,R38*Leadsheet!$D102)</f>
        <v>0.23119470910064568</v>
      </c>
      <c r="T39" s="287">
        <f>IF(T$5&gt;$D$7,0,S38*Leadsheet!$D102)</f>
        <v>0.20500172560258745</v>
      </c>
      <c r="U39" s="287">
        <f>IF(U$5&gt;$D$7,0,T38*Leadsheet!$D102)</f>
        <v>0.18053923283712564</v>
      </c>
      <c r="V39" s="287">
        <f>IF(V$5&gt;$D$7,0,U38*Leadsheet!$D102)</f>
        <v>0.15805105132821021</v>
      </c>
      <c r="W39" s="287">
        <f>IF(W$5&gt;$D$7,0,V38*Leadsheet!$D102)</f>
        <v>0.13691485492589825</v>
      </c>
      <c r="X39" s="287">
        <f>IF(X$5&gt;$D$7,0,W38*Leadsheet!$D102)</f>
        <v>0.11705775621038796</v>
      </c>
      <c r="Y39" s="287">
        <f>IF(Y$5&gt;$D$7,0,X38*Leadsheet!$D102)</f>
        <v>9.8428845271342713E-2</v>
      </c>
      <c r="Z39" s="287">
        <f>IF(Z$5&gt;$D$7,0,Y38*Leadsheet!$D102)</f>
        <v>8.1014274447311019E-2</v>
      </c>
      <c r="AA39" s="287">
        <f>IF(AA$5&gt;$D$7,0,Z38*Leadsheet!$D102)</f>
        <v>0</v>
      </c>
      <c r="AB39" s="287">
        <f>IF(AB$5&gt;$D$7,0,AA38*Leadsheet!$D102)</f>
        <v>0</v>
      </c>
      <c r="AC39" s="287">
        <f>IF(AC$5&gt;$D$7,0,AB38*Leadsheet!$D102)</f>
        <v>0</v>
      </c>
      <c r="AD39" s="287">
        <f>IF(AD$5&gt;$D$7,0,AC38*Leadsheet!$D102)</f>
        <v>0</v>
      </c>
      <c r="AE39" s="287">
        <f>IF(AE$5&gt;$D$7,0,AD38*Leadsheet!$D102)</f>
        <v>0</v>
      </c>
      <c r="AF39" s="287">
        <f>IF(AF$5&gt;$D$7,0,AE38*Leadsheet!$D102)</f>
        <v>0</v>
      </c>
      <c r="AG39" s="287">
        <f>IF(AG$5&gt;$D$7,0,AF38*Leadsheet!$D102)</f>
        <v>0</v>
      </c>
      <c r="AH39" s="287">
        <f>IF(AH$5&gt;$D$7,0,AG38*Leadsheet!$D102)</f>
        <v>0</v>
      </c>
      <c r="AI39" s="287">
        <f>IF(AI$5&gt;$D$7,0,AH38*Leadsheet!$D102)</f>
        <v>0</v>
      </c>
      <c r="AJ39" s="287">
        <f>IF(AJ$5&gt;$D$7,0,AI38*Leadsheet!$D102)</f>
        <v>0</v>
      </c>
      <c r="AK39" s="287">
        <f>IF(AK$5&gt;$D$7,0,AJ38*Leadsheet!$D102)</f>
        <v>0</v>
      </c>
      <c r="AL39" s="287">
        <f>IF(AL$5&gt;$D$7,0,AK38*Leadsheet!$D102)</f>
        <v>0</v>
      </c>
      <c r="AM39" s="287">
        <f>IF(AM$5&gt;$D$7,0,AL38*Leadsheet!$D102)</f>
        <v>0</v>
      </c>
      <c r="AN39" s="287">
        <f>IF(AN$5&gt;$D$7,0,AM38*Leadsheet!$D102)</f>
        <v>0</v>
      </c>
      <c r="AO39" s="287">
        <f>IF(AO$5&gt;$D$7,0,AN38*Leadsheet!$D102)</f>
        <v>0</v>
      </c>
      <c r="AP39" s="287">
        <f>IF(AP$5&gt;$D$7,0,AO38*Leadsheet!$D102)</f>
        <v>0</v>
      </c>
      <c r="AQ39" s="287">
        <f>IF(AQ$5&gt;$D$7,0,AP38*Leadsheet!$D102)</f>
        <v>0</v>
      </c>
      <c r="AR39" s="287">
        <f>IF(AR$5&gt;$D$7,0,AQ38*Leadsheet!$D102)</f>
        <v>0</v>
      </c>
      <c r="AS39" s="287">
        <f>IF(AS$5&gt;$D$7,0,AR38*Leadsheet!$D102)</f>
        <v>0</v>
      </c>
      <c r="AT39" s="287">
        <f>IF(AT$5&gt;$D$7,0,AS38*Leadsheet!$D102)</f>
        <v>0</v>
      </c>
      <c r="AU39" s="287">
        <f>IF(AU$5&gt;$D$7,0,AT38*Leadsheet!$D102)</f>
        <v>0</v>
      </c>
      <c r="AV39" s="287">
        <f>IF(AV$5&gt;$D$7,0,AU38*Leadsheet!$D102)</f>
        <v>0</v>
      </c>
      <c r="AW39" s="287">
        <f>IF(AW$5&gt;$D$7,0,AV38*Leadsheet!$D102)</f>
        <v>0</v>
      </c>
      <c r="AX39" s="287">
        <f>IF(AX$5&gt;$D$7,0,AW38*Leadsheet!$D102)</f>
        <v>0</v>
      </c>
      <c r="AY39" s="287">
        <f>IF(AY$5&gt;$D$7,0,AX38*Leadsheet!$D102)</f>
        <v>0</v>
      </c>
      <c r="AZ39" s="287">
        <f>IF(AZ$5&gt;$D$7,0,AY38*Leadsheet!$D102)</f>
        <v>0</v>
      </c>
      <c r="BA39" s="287">
        <f>IF(BA$5&gt;$D$7,0,AZ38*Leadsheet!$D102)</f>
        <v>0</v>
      </c>
      <c r="BB39" s="287">
        <f>IF(BB$5&gt;$D$7,0,BA38*Leadsheet!$D102)</f>
        <v>0</v>
      </c>
      <c r="BC39" s="287">
        <f>IF(BC$5&gt;$D$7,0,BB38*Leadsheet!$D102)</f>
        <v>0</v>
      </c>
      <c r="BD39" s="287">
        <f>IF(BD$5&gt;$D$7,0,BC38*Leadsheet!$D102)</f>
        <v>0</v>
      </c>
      <c r="BE39" s="287">
        <f>IF(BE$5&gt;$D$7,0,BD38*Leadsheet!$D102)</f>
        <v>0</v>
      </c>
      <c r="BF39" s="287">
        <f>IF(BF$5&gt;$D$7,0,BE38*Leadsheet!$D102)</f>
        <v>0</v>
      </c>
      <c r="BG39" s="287">
        <f>IF(BG$5&gt;$D$7,0,BF38*Leadsheet!$D102)</f>
        <v>0</v>
      </c>
      <c r="BH39" s="287">
        <f>IF(BH$5&gt;$D$7,0,BG38*Leadsheet!$D102)</f>
        <v>0</v>
      </c>
      <c r="BI39" s="287">
        <f>IF(BI$5&gt;$D$7,0,BH38*Leadsheet!$D102)</f>
        <v>0</v>
      </c>
      <c r="BJ39" s="287">
        <f>IF(BJ$5&gt;$D$7,0,BI38*Leadsheet!$D102)</f>
        <v>0</v>
      </c>
      <c r="BK39" s="287">
        <f>IF(BK$5&gt;$D$7,0,BJ38*Leadsheet!$D102)</f>
        <v>0</v>
      </c>
      <c r="BL39" s="287">
        <f>IF(BL$5&gt;$D$7,0,BK38*Leadsheet!$D102)</f>
        <v>0</v>
      </c>
    </row>
    <row r="40" spans="1:64" x14ac:dyDescent="0.15">
      <c r="A40" s="289" t="s">
        <v>384</v>
      </c>
      <c r="B40" s="290">
        <v>390</v>
      </c>
      <c r="C40" s="84" t="s">
        <v>385</v>
      </c>
      <c r="D40" s="291"/>
      <c r="E40" s="288">
        <f>IF(E$5&gt;$D$7,0,D39*Leadsheet!$D103)</f>
        <v>0</v>
      </c>
      <c r="F40" s="288">
        <f>IF(F$5&gt;$D$7,0,E39*Leadsheet!$D103)</f>
        <v>0</v>
      </c>
      <c r="G40" s="288">
        <f>IF(G$5&gt;$D$7,0,F39*Leadsheet!$D103)</f>
        <v>0</v>
      </c>
      <c r="H40" s="288">
        <f>IF(H$5&gt;$D$7,0,G39*Leadsheet!$D103)</f>
        <v>0</v>
      </c>
      <c r="I40" s="288">
        <f>IF(I$5&gt;$D$7,0,H39*Leadsheet!$D103)</f>
        <v>0</v>
      </c>
      <c r="J40" s="288">
        <f>IF(J$5&gt;$D$7,0,I39*Leadsheet!$D103)</f>
        <v>0</v>
      </c>
      <c r="K40" s="288">
        <f>IF(K$5&gt;$D$7,0,J39*Leadsheet!$D103)</f>
        <v>0</v>
      </c>
      <c r="L40" s="288">
        <f>IF(L$5&gt;$D$7,0,K39*Leadsheet!$D103)</f>
        <v>0</v>
      </c>
      <c r="M40" s="288">
        <f>IF(M$5&gt;$D$7,0,L39*Leadsheet!$D103)</f>
        <v>0</v>
      </c>
      <c r="N40" s="288">
        <f>IF(N$5&gt;$D$7,0,M39*Leadsheet!$D103)</f>
        <v>0</v>
      </c>
      <c r="O40" s="288">
        <f>IF(O$5&gt;$D$7,0,N39*Leadsheet!$D103)</f>
        <v>0</v>
      </c>
      <c r="P40" s="288">
        <f>IF(P$5&gt;$D$7,0,O39*Leadsheet!$D103)</f>
        <v>0</v>
      </c>
      <c r="Q40" s="288">
        <f>IF(Q$5&gt;$D$7,0,P39*Leadsheet!$D103)</f>
        <v>0.38419213101626104</v>
      </c>
      <c r="R40" s="288">
        <f>IF(R$5&gt;$D$7,0,Q39*Leadsheet!$D103)</f>
        <v>0.31721908082615469</v>
      </c>
      <c r="S40" s="288">
        <f>IF(S$5&gt;$D$7,0,R39*Leadsheet!$D103)</f>
        <v>0.27168551190859747</v>
      </c>
      <c r="T40" s="287">
        <f>IF(T$5&gt;$D$7,0,S39*Leadsheet!$D103)</f>
        <v>0.23119470910064568</v>
      </c>
      <c r="U40" s="287">
        <f>IF(U$5&gt;$D$7,0,T39*Leadsheet!$D103)</f>
        <v>0.20500172560258745</v>
      </c>
      <c r="V40" s="287">
        <f>IF(V$5&gt;$D$7,0,U39*Leadsheet!$D103)</f>
        <v>0.18053923283712564</v>
      </c>
      <c r="W40" s="287">
        <f>IF(W$5&gt;$D$7,0,V39*Leadsheet!$D103)</f>
        <v>0.15805105132821021</v>
      </c>
      <c r="X40" s="287">
        <f>IF(X$5&gt;$D$7,0,W39*Leadsheet!$D103)</f>
        <v>0.13691485492589825</v>
      </c>
      <c r="Y40" s="287">
        <f>IF(Y$5&gt;$D$7,0,X39*Leadsheet!$D103)</f>
        <v>0.11705775621038796</v>
      </c>
      <c r="Z40" s="287">
        <f>IF(Z$5&gt;$D$7,0,Y39*Leadsheet!$D103)</f>
        <v>9.8428845271342713E-2</v>
      </c>
      <c r="AA40" s="287">
        <f>IF(AA$5&gt;$D$7,0,Z39*Leadsheet!$D103)</f>
        <v>0</v>
      </c>
      <c r="AB40" s="287">
        <f>IF(AB$5&gt;$D$7,0,AA39*Leadsheet!$D103)</f>
        <v>0</v>
      </c>
      <c r="AC40" s="287">
        <f>IF(AC$5&gt;$D$7,0,AB39*Leadsheet!$D103)</f>
        <v>0</v>
      </c>
      <c r="AD40" s="287">
        <f>IF(AD$5&gt;$D$7,0,AC39*Leadsheet!$D103)</f>
        <v>0</v>
      </c>
      <c r="AE40" s="287">
        <f>IF(AE$5&gt;$D$7,0,AD39*Leadsheet!$D103)</f>
        <v>0</v>
      </c>
      <c r="AF40" s="287">
        <f>IF(AF$5&gt;$D$7,0,AE39*Leadsheet!$D103)</f>
        <v>0</v>
      </c>
      <c r="AG40" s="287">
        <f>IF(AG$5&gt;$D$7,0,AF39*Leadsheet!$D103)</f>
        <v>0</v>
      </c>
      <c r="AH40" s="287">
        <f>IF(AH$5&gt;$D$7,0,AG39*Leadsheet!$D103)</f>
        <v>0</v>
      </c>
      <c r="AI40" s="287">
        <f>IF(AI$5&gt;$D$7,0,AH39*Leadsheet!$D103)</f>
        <v>0</v>
      </c>
      <c r="AJ40" s="287">
        <f>IF(AJ$5&gt;$D$7,0,AI39*Leadsheet!$D103)</f>
        <v>0</v>
      </c>
      <c r="AK40" s="287">
        <f>IF(AK$5&gt;$D$7,0,AJ39*Leadsheet!$D103)</f>
        <v>0</v>
      </c>
      <c r="AL40" s="287">
        <f>IF(AL$5&gt;$D$7,0,AK39*Leadsheet!$D103)</f>
        <v>0</v>
      </c>
      <c r="AM40" s="287">
        <f>IF(AM$5&gt;$D$7,0,AL39*Leadsheet!$D103)</f>
        <v>0</v>
      </c>
      <c r="AN40" s="287">
        <f>IF(AN$5&gt;$D$7,0,AM39*Leadsheet!$D103)</f>
        <v>0</v>
      </c>
      <c r="AO40" s="287">
        <f>IF(AO$5&gt;$D$7,0,AN39*Leadsheet!$D103)</f>
        <v>0</v>
      </c>
      <c r="AP40" s="287">
        <f>IF(AP$5&gt;$D$7,0,AO39*Leadsheet!$D103)</f>
        <v>0</v>
      </c>
      <c r="AQ40" s="287">
        <f>IF(AQ$5&gt;$D$7,0,AP39*Leadsheet!$D103)</f>
        <v>0</v>
      </c>
      <c r="AR40" s="287">
        <f>IF(AR$5&gt;$D$7,0,AQ39*Leadsheet!$D103)</f>
        <v>0</v>
      </c>
      <c r="AS40" s="287">
        <f>IF(AS$5&gt;$D$7,0,AR39*Leadsheet!$D103)</f>
        <v>0</v>
      </c>
      <c r="AT40" s="287">
        <f>IF(AT$5&gt;$D$7,0,AS39*Leadsheet!$D103)</f>
        <v>0</v>
      </c>
      <c r="AU40" s="287">
        <f>IF(AU$5&gt;$D$7,0,AT39*Leadsheet!$D103)</f>
        <v>0</v>
      </c>
      <c r="AV40" s="287">
        <f>IF(AV$5&gt;$D$7,0,AU39*Leadsheet!$D103)</f>
        <v>0</v>
      </c>
      <c r="AW40" s="287">
        <f>IF(AW$5&gt;$D$7,0,AV39*Leadsheet!$D103)</f>
        <v>0</v>
      </c>
      <c r="AX40" s="287">
        <f>IF(AX$5&gt;$D$7,0,AW39*Leadsheet!$D103)</f>
        <v>0</v>
      </c>
      <c r="AY40" s="287">
        <f>IF(AY$5&gt;$D$7,0,AX39*Leadsheet!$D103)</f>
        <v>0</v>
      </c>
      <c r="AZ40" s="287">
        <f>IF(AZ$5&gt;$D$7,0,AY39*Leadsheet!$D103)</f>
        <v>0</v>
      </c>
      <c r="BA40" s="287">
        <f>IF(BA$5&gt;$D$7,0,AZ39*Leadsheet!$D103)</f>
        <v>0</v>
      </c>
      <c r="BB40" s="287">
        <f>IF(BB$5&gt;$D$7,0,BA39*Leadsheet!$D103)</f>
        <v>0</v>
      </c>
      <c r="BC40" s="287">
        <f>IF(BC$5&gt;$D$7,0,BB39*Leadsheet!$D103)</f>
        <v>0</v>
      </c>
      <c r="BD40" s="287">
        <f>IF(BD$5&gt;$D$7,0,BC39*Leadsheet!$D103)</f>
        <v>0</v>
      </c>
      <c r="BE40" s="287">
        <f>IF(BE$5&gt;$D$7,0,BD39*Leadsheet!$D103)</f>
        <v>0</v>
      </c>
      <c r="BF40" s="287">
        <f>IF(BF$5&gt;$D$7,0,BE39*Leadsheet!$D103)</f>
        <v>0</v>
      </c>
      <c r="BG40" s="287">
        <f>IF(BG$5&gt;$D$7,0,BF39*Leadsheet!$D103)</f>
        <v>0</v>
      </c>
      <c r="BH40" s="287">
        <f>IF(BH$5&gt;$D$7,0,BG39*Leadsheet!$D103)</f>
        <v>0</v>
      </c>
      <c r="BI40" s="287">
        <f>IF(BI$5&gt;$D$7,0,BH39*Leadsheet!$D103)</f>
        <v>0</v>
      </c>
      <c r="BJ40" s="287">
        <f>IF(BJ$5&gt;$D$7,0,BI39*Leadsheet!$D103)</f>
        <v>0</v>
      </c>
      <c r="BK40" s="287">
        <f>IF(BK$5&gt;$D$7,0,BJ39*Leadsheet!$D103)</f>
        <v>0</v>
      </c>
      <c r="BL40" s="287">
        <f>IF(BL$5&gt;$D$7,0,BK39*Leadsheet!$D103)</f>
        <v>0</v>
      </c>
    </row>
    <row r="41" spans="1:64" x14ac:dyDescent="0.15">
      <c r="A41" s="289" t="s">
        <v>384</v>
      </c>
      <c r="B41" s="290" t="s">
        <v>386</v>
      </c>
      <c r="C41" s="84" t="s">
        <v>387</v>
      </c>
      <c r="D41" s="291"/>
      <c r="E41" s="287">
        <f t="shared" ref="E41:BL41" si="6">IF(E5&gt;$D$7,0,D40+D41)</f>
        <v>0</v>
      </c>
      <c r="F41" s="287">
        <f t="shared" si="6"/>
        <v>0</v>
      </c>
      <c r="G41" s="287">
        <f t="shared" si="6"/>
        <v>0</v>
      </c>
      <c r="H41" s="287">
        <f t="shared" si="6"/>
        <v>0</v>
      </c>
      <c r="I41" s="287">
        <f t="shared" si="6"/>
        <v>0</v>
      </c>
      <c r="J41" s="287">
        <f t="shared" si="6"/>
        <v>0</v>
      </c>
      <c r="K41" s="287">
        <f t="shared" si="6"/>
        <v>0</v>
      </c>
      <c r="L41" s="287">
        <f t="shared" si="6"/>
        <v>0</v>
      </c>
      <c r="M41" s="287">
        <f t="shared" si="6"/>
        <v>0</v>
      </c>
      <c r="N41" s="287">
        <f t="shared" si="6"/>
        <v>0</v>
      </c>
      <c r="O41" s="287">
        <f t="shared" si="6"/>
        <v>0</v>
      </c>
      <c r="P41" s="287">
        <f t="shared" si="6"/>
        <v>0</v>
      </c>
      <c r="Q41" s="287">
        <f t="shared" si="6"/>
        <v>0</v>
      </c>
      <c r="R41" s="287">
        <f t="shared" si="6"/>
        <v>0.38419213101626104</v>
      </c>
      <c r="S41" s="287">
        <f t="shared" si="6"/>
        <v>0.70141121184241573</v>
      </c>
      <c r="T41" s="287">
        <f t="shared" si="6"/>
        <v>0.97309672375101319</v>
      </c>
      <c r="U41" s="287">
        <f t="shared" si="6"/>
        <v>1.204291432851659</v>
      </c>
      <c r="V41" s="287">
        <f t="shared" si="6"/>
        <v>1.4092931584542465</v>
      </c>
      <c r="W41" s="287">
        <f t="shared" si="6"/>
        <v>1.5898323912913721</v>
      </c>
      <c r="X41" s="287">
        <f t="shared" si="6"/>
        <v>1.7478834426195824</v>
      </c>
      <c r="Y41" s="287">
        <f t="shared" si="6"/>
        <v>1.8847982975454807</v>
      </c>
      <c r="Z41" s="287">
        <f t="shared" si="6"/>
        <v>2.0018560537558687</v>
      </c>
      <c r="AA41" s="287">
        <f t="shared" si="6"/>
        <v>0</v>
      </c>
      <c r="AB41" s="287">
        <f t="shared" si="6"/>
        <v>0</v>
      </c>
      <c r="AC41" s="287">
        <f t="shared" si="6"/>
        <v>0</v>
      </c>
      <c r="AD41" s="287">
        <f t="shared" si="6"/>
        <v>0</v>
      </c>
      <c r="AE41" s="287">
        <f t="shared" si="6"/>
        <v>0</v>
      </c>
      <c r="AF41" s="287">
        <f t="shared" si="6"/>
        <v>0</v>
      </c>
      <c r="AG41" s="287">
        <f t="shared" si="6"/>
        <v>0</v>
      </c>
      <c r="AH41" s="287">
        <f t="shared" si="6"/>
        <v>0</v>
      </c>
      <c r="AI41" s="287">
        <f t="shared" si="6"/>
        <v>0</v>
      </c>
      <c r="AJ41" s="287">
        <f t="shared" si="6"/>
        <v>0</v>
      </c>
      <c r="AK41" s="287">
        <f t="shared" si="6"/>
        <v>0</v>
      </c>
      <c r="AL41" s="287">
        <f t="shared" si="6"/>
        <v>0</v>
      </c>
      <c r="AM41" s="287">
        <f t="shared" si="6"/>
        <v>0</v>
      </c>
      <c r="AN41" s="287">
        <f t="shared" si="6"/>
        <v>0</v>
      </c>
      <c r="AO41" s="287">
        <f t="shared" si="6"/>
        <v>0</v>
      </c>
      <c r="AP41" s="287">
        <f t="shared" si="6"/>
        <v>0</v>
      </c>
      <c r="AQ41" s="287">
        <f t="shared" si="6"/>
        <v>0</v>
      </c>
      <c r="AR41" s="287">
        <f t="shared" si="6"/>
        <v>0</v>
      </c>
      <c r="AS41" s="287">
        <f t="shared" si="6"/>
        <v>0</v>
      </c>
      <c r="AT41" s="287">
        <f t="shared" si="6"/>
        <v>0</v>
      </c>
      <c r="AU41" s="287">
        <f t="shared" si="6"/>
        <v>0</v>
      </c>
      <c r="AV41" s="287">
        <f t="shared" si="6"/>
        <v>0</v>
      </c>
      <c r="AW41" s="287">
        <f t="shared" si="6"/>
        <v>0</v>
      </c>
      <c r="AX41" s="287">
        <f t="shared" si="6"/>
        <v>0</v>
      </c>
      <c r="AY41" s="287">
        <f t="shared" si="6"/>
        <v>0</v>
      </c>
      <c r="AZ41" s="287">
        <f t="shared" si="6"/>
        <v>0</v>
      </c>
      <c r="BA41" s="287">
        <f t="shared" si="6"/>
        <v>0</v>
      </c>
      <c r="BB41" s="287">
        <f t="shared" si="6"/>
        <v>0</v>
      </c>
      <c r="BC41" s="287">
        <f t="shared" si="6"/>
        <v>0</v>
      </c>
      <c r="BD41" s="287">
        <f t="shared" si="6"/>
        <v>0</v>
      </c>
      <c r="BE41" s="287">
        <f t="shared" si="6"/>
        <v>0</v>
      </c>
      <c r="BF41" s="287">
        <f t="shared" si="6"/>
        <v>0</v>
      </c>
      <c r="BG41" s="287">
        <f t="shared" si="6"/>
        <v>0</v>
      </c>
      <c r="BH41" s="287">
        <f t="shared" si="6"/>
        <v>0</v>
      </c>
      <c r="BI41" s="287">
        <f t="shared" si="6"/>
        <v>0</v>
      </c>
      <c r="BJ41" s="287">
        <f t="shared" si="6"/>
        <v>0</v>
      </c>
      <c r="BK41" s="287">
        <f t="shared" si="6"/>
        <v>0</v>
      </c>
      <c r="BL41" s="287">
        <f t="shared" si="6"/>
        <v>0</v>
      </c>
    </row>
    <row r="42" spans="1:64" x14ac:dyDescent="0.15">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40"/>
      <c r="BE42" s="140"/>
      <c r="BF42" s="140"/>
      <c r="BG42" s="140"/>
      <c r="BH42" s="140"/>
      <c r="BI42" s="140"/>
      <c r="BJ42" s="140"/>
      <c r="BK42" s="140"/>
      <c r="BL42" s="140"/>
    </row>
    <row r="43" spans="1:64" x14ac:dyDescent="0.15">
      <c r="B43" s="155" t="s">
        <v>297</v>
      </c>
      <c r="C43" s="269"/>
      <c r="E43" s="293"/>
      <c r="F43" s="293"/>
      <c r="G43" s="293"/>
      <c r="H43" s="293"/>
      <c r="I43" s="293"/>
      <c r="J43" s="293"/>
      <c r="K43" s="293"/>
      <c r="L43" s="293"/>
      <c r="M43" s="293"/>
      <c r="N43" s="293"/>
      <c r="O43" s="293"/>
      <c r="P43" s="293"/>
      <c r="Q43" s="293"/>
      <c r="R43" s="293"/>
      <c r="S43" s="293"/>
      <c r="T43" s="147"/>
      <c r="U43" s="147"/>
      <c r="V43" s="147"/>
      <c r="W43" s="147"/>
      <c r="X43" s="147"/>
      <c r="Y43" s="147"/>
      <c r="Z43" s="147"/>
      <c r="AA43" s="147"/>
      <c r="AB43" s="147"/>
    </row>
    <row r="44" spans="1:64" s="140" customFormat="1" x14ac:dyDescent="0.15">
      <c r="C44" s="155" t="s">
        <v>388</v>
      </c>
      <c r="D44" s="281">
        <f>SUM(D27:D41)</f>
        <v>14.837553688141924</v>
      </c>
      <c r="E44" s="281">
        <f>SUM(E27:E41)</f>
        <v>12.992922832601163</v>
      </c>
      <c r="F44" s="281">
        <f t="shared" ref="F44:BL44" si="7">SUM(F27:F41)</f>
        <v>11.602884549083361</v>
      </c>
      <c r="G44" s="281">
        <f t="shared" si="7"/>
        <v>10.317419029081886</v>
      </c>
      <c r="H44" s="281">
        <f t="shared" si="7"/>
        <v>9.5209428595555732</v>
      </c>
      <c r="I44" s="281">
        <f t="shared" si="7"/>
        <v>8.7584708100655924</v>
      </c>
      <c r="J44" s="281">
        <f t="shared" si="7"/>
        <v>8.0291291709415837</v>
      </c>
      <c r="K44" s="281">
        <f t="shared" si="7"/>
        <v>7.3305851182194681</v>
      </c>
      <c r="L44" s="281">
        <f t="shared" si="7"/>
        <v>6.6626662122089648</v>
      </c>
      <c r="M44" s="281">
        <f t="shared" si="7"/>
        <v>6.0253673380226367</v>
      </c>
      <c r="N44" s="281">
        <f t="shared" si="7"/>
        <v>5.4187978405749551</v>
      </c>
      <c r="O44" s="281">
        <f t="shared" si="7"/>
        <v>4.8429804188509475</v>
      </c>
      <c r="P44" s="281">
        <f t="shared" si="7"/>
        <v>4.2978556942006305</v>
      </c>
      <c r="Q44" s="281">
        <f t="shared" si="7"/>
        <v>3.7832407567676878</v>
      </c>
      <c r="R44" s="281">
        <f t="shared" si="7"/>
        <v>3.2987017406143586</v>
      </c>
      <c r="S44" s="281">
        <f t="shared" si="7"/>
        <v>2.8853379205516672</v>
      </c>
      <c r="T44" s="281">
        <f t="shared" si="7"/>
        <v>2.4048019131140497</v>
      </c>
      <c r="U44" s="281">
        <f t="shared" si="7"/>
        <v>2.3846238201071976</v>
      </c>
      <c r="V44" s="281">
        <f t="shared" si="7"/>
        <v>2.3760264906500801</v>
      </c>
      <c r="W44" s="281">
        <f t="shared" si="7"/>
        <v>2.371150895319063</v>
      </c>
      <c r="X44" s="281">
        <f t="shared" si="7"/>
        <v>2.3684751165935012</v>
      </c>
      <c r="Y44" s="281">
        <f>SUM(Y27:Y41)</f>
        <v>2.3672272693063716</v>
      </c>
      <c r="Z44" s="281">
        <f t="shared" si="7"/>
        <v>2.3669205314265733</v>
      </c>
      <c r="AA44" s="281">
        <f t="shared" si="7"/>
        <v>0</v>
      </c>
      <c r="AB44" s="281">
        <f t="shared" si="7"/>
        <v>0</v>
      </c>
      <c r="AC44" s="281">
        <f t="shared" si="7"/>
        <v>0</v>
      </c>
      <c r="AD44" s="281">
        <f t="shared" si="7"/>
        <v>0</v>
      </c>
      <c r="AE44" s="281">
        <f t="shared" si="7"/>
        <v>0</v>
      </c>
      <c r="AF44" s="281">
        <f t="shared" si="7"/>
        <v>0</v>
      </c>
      <c r="AG44" s="281">
        <f t="shared" si="7"/>
        <v>0</v>
      </c>
      <c r="AH44" s="281">
        <f t="shared" si="7"/>
        <v>0</v>
      </c>
      <c r="AI44" s="281">
        <f t="shared" si="7"/>
        <v>0</v>
      </c>
      <c r="AJ44" s="281">
        <f t="shared" si="7"/>
        <v>0</v>
      </c>
      <c r="AK44" s="281">
        <f t="shared" si="7"/>
        <v>0</v>
      </c>
      <c r="AL44" s="281">
        <f t="shared" si="7"/>
        <v>0</v>
      </c>
      <c r="AM44" s="281">
        <f t="shared" si="7"/>
        <v>0</v>
      </c>
      <c r="AN44" s="281">
        <f t="shared" si="7"/>
        <v>0</v>
      </c>
      <c r="AO44" s="281">
        <f t="shared" si="7"/>
        <v>0</v>
      </c>
      <c r="AP44" s="281">
        <f t="shared" si="7"/>
        <v>0</v>
      </c>
      <c r="AQ44" s="281">
        <f t="shared" si="7"/>
        <v>0</v>
      </c>
      <c r="AR44" s="281">
        <f t="shared" si="7"/>
        <v>0</v>
      </c>
      <c r="AS44" s="281">
        <f t="shared" si="7"/>
        <v>0</v>
      </c>
      <c r="AT44" s="281">
        <f t="shared" si="7"/>
        <v>0</v>
      </c>
      <c r="AU44" s="281">
        <f t="shared" si="7"/>
        <v>0</v>
      </c>
      <c r="AV44" s="281">
        <f t="shared" si="7"/>
        <v>0</v>
      </c>
      <c r="AW44" s="281">
        <f t="shared" si="7"/>
        <v>0</v>
      </c>
      <c r="AX44" s="281">
        <f t="shared" si="7"/>
        <v>0</v>
      </c>
      <c r="AY44" s="281">
        <f t="shared" si="7"/>
        <v>0</v>
      </c>
      <c r="AZ44" s="281">
        <f t="shared" si="7"/>
        <v>0</v>
      </c>
      <c r="BA44" s="281">
        <f t="shared" si="7"/>
        <v>0</v>
      </c>
      <c r="BB44" s="281">
        <f t="shared" si="7"/>
        <v>0</v>
      </c>
      <c r="BC44" s="281">
        <f t="shared" si="7"/>
        <v>0</v>
      </c>
      <c r="BD44" s="281">
        <f t="shared" si="7"/>
        <v>0</v>
      </c>
      <c r="BE44" s="281">
        <f t="shared" si="7"/>
        <v>0</v>
      </c>
      <c r="BF44" s="281">
        <f t="shared" si="7"/>
        <v>0</v>
      </c>
      <c r="BG44" s="281">
        <f t="shared" si="7"/>
        <v>0</v>
      </c>
      <c r="BH44" s="281">
        <f t="shared" si="7"/>
        <v>0</v>
      </c>
      <c r="BI44" s="281">
        <f t="shared" si="7"/>
        <v>0</v>
      </c>
      <c r="BJ44" s="281">
        <f t="shared" si="7"/>
        <v>0</v>
      </c>
      <c r="BK44" s="281">
        <f t="shared" si="7"/>
        <v>0</v>
      </c>
      <c r="BL44" s="281">
        <f t="shared" si="7"/>
        <v>0</v>
      </c>
    </row>
    <row r="45" spans="1:64" s="155" customFormat="1" x14ac:dyDescent="0.15">
      <c r="C45" s="282" t="s">
        <v>389</v>
      </c>
      <c r="D45" s="140" cm="1">
        <f t="array" ref="D45">IF(D5=$D$7,0,_xlfn.IFS(Leadsheet!$G$5="DPD360+",SUM(SAP_Speadsheet!D27:D40),Leadsheet!$G$5="DPD180+",SUM(SAP_Speadsheet!D27:D34)))</f>
        <v>14.837553688141924</v>
      </c>
      <c r="E45" s="140" cm="1">
        <f t="array" ref="E45">IF(E5=$D$7,0,_xlfn.IFS(Leadsheet!$G$5="DPD360+",SUM(SAP_Speadsheet!E27:E40),Leadsheet!$G$5="DPD180+",SUM(SAP_Speadsheet!E27:E34)))</f>
        <v>12.992922832601163</v>
      </c>
      <c r="F45" s="140" cm="1">
        <f t="array" ref="F45">IF(F5=$D$7,0,_xlfn.IFS(Leadsheet!$G$5="DPD360+",SUM(SAP_Speadsheet!F27:F40),Leadsheet!$G$5="DPD180+",SUM(SAP_Speadsheet!F27:F34)))</f>
        <v>11.602884549083361</v>
      </c>
      <c r="G45" s="140" cm="1">
        <f t="array" ref="G45">IF(G5=$D$7,0,_xlfn.IFS(Leadsheet!$G$5="DPD360+",SUM(SAP_Speadsheet!G27:G40),Leadsheet!$G$5="DPD180+",SUM(SAP_Speadsheet!G27:G34)))</f>
        <v>10.317419029081886</v>
      </c>
      <c r="H45" s="140" cm="1">
        <f t="array" ref="H45">IF(H5=$D$7,0,_xlfn.IFS(Leadsheet!$G$5="DPD360+",SUM(SAP_Speadsheet!H27:H40),Leadsheet!$G$5="DPD180+",SUM(SAP_Speadsheet!H27:H34)))</f>
        <v>9.5209428595555732</v>
      </c>
      <c r="I45" s="140" cm="1">
        <f t="array" ref="I45">IF(I5=$D$7,0,_xlfn.IFS(Leadsheet!$G$5="DPD360+",SUM(SAP_Speadsheet!I27:I40),Leadsheet!$G$5="DPD180+",SUM(SAP_Speadsheet!I27:I34)))</f>
        <v>8.7584708100655924</v>
      </c>
      <c r="J45" s="140" cm="1">
        <f t="array" ref="J45">IF(J5=$D$7,0,_xlfn.IFS(Leadsheet!$G$5="DPD360+",SUM(SAP_Speadsheet!J27:J40),Leadsheet!$G$5="DPD180+",SUM(SAP_Speadsheet!J27:J34)))</f>
        <v>8.0291291709415837</v>
      </c>
      <c r="K45" s="140" cm="1">
        <f t="array" ref="K45">IF(K5=$D$7,0,_xlfn.IFS(Leadsheet!$G$5="DPD360+",SUM(SAP_Speadsheet!K27:K40),Leadsheet!$G$5="DPD180+",SUM(SAP_Speadsheet!K27:K34)))</f>
        <v>7.3305851182194681</v>
      </c>
      <c r="L45" s="140" cm="1">
        <f t="array" ref="L45">IF(L5=$D$7,0,_xlfn.IFS(Leadsheet!$G$5="DPD360+",SUM(SAP_Speadsheet!L27:L40),Leadsheet!$G$5="DPD180+",SUM(SAP_Speadsheet!L27:L34)))</f>
        <v>6.2780895044849796</v>
      </c>
      <c r="M45" s="140" cm="1">
        <f t="array" ref="M45">IF(M5=$D$7,0,_xlfn.IFS(Leadsheet!$G$5="DPD360+",SUM(SAP_Speadsheet!M27:M40),Leadsheet!$G$5="DPD180+",SUM(SAP_Speadsheet!M27:M34)))</f>
        <v>5.323638589562778</v>
      </c>
      <c r="N45" s="140" cm="1">
        <f t="array" ref="N45">IF(N5=$D$7,0,_xlfn.IFS(Leadsheet!$G$5="DPD360+",SUM(SAP_Speadsheet!N27:N40),Leadsheet!$G$5="DPD180+",SUM(SAP_Speadsheet!N27:N34)))</f>
        <v>4.445429159354565</v>
      </c>
      <c r="O45" s="140" cm="1">
        <f t="array" ref="O45">IF(O5=$D$7,0,_xlfn.IFS(Leadsheet!$G$5="DPD360+",SUM(SAP_Speadsheet!O27:O40),Leadsheet!$G$5="DPD180+",SUM(SAP_Speadsheet!O27:O34)))</f>
        <v>3.6384575598640532</v>
      </c>
      <c r="P45" s="140" cm="1">
        <f t="array" ref="P45">IF(P5=$D$7,0,_xlfn.IFS(Leadsheet!$G$5="DPD360+",SUM(SAP_Speadsheet!P27:P40),Leadsheet!$G$5="DPD180+",SUM(SAP_Speadsheet!P27:P34)))</f>
        <v>2.8883573288138491</v>
      </c>
      <c r="Q45" s="140" cm="1">
        <f t="array" ref="Q45">IF(Q5=$D$7,0,_xlfn.IFS(Leadsheet!$G$5="DPD360+",SUM(SAP_Speadsheet!Q27:Q40),Leadsheet!$G$5="DPD180+",SUM(SAP_Speadsheet!Q27:Q34)))</f>
        <v>2.1932276455235256</v>
      </c>
      <c r="R45" s="140" cm="1">
        <f t="array" ref="R45">IF(R5=$D$7,0,_xlfn.IFS(Leadsheet!$G$5="DPD360+",SUM(SAP_Speadsheet!R27:R40),Leadsheet!$G$5="DPD180+",SUM(SAP_Speadsheet!R27:R34)))</f>
        <v>1.5506600887341877</v>
      </c>
      <c r="S45" s="140" cm="1">
        <f t="array" ref="S45">IF(S5=$D$7,0,_xlfn.IFS(Leadsheet!$G$5="DPD360+",SUM(SAP_Speadsheet!S27:S40),Leadsheet!$G$5="DPD180+",SUM(SAP_Speadsheet!S27:S34)))</f>
        <v>1.0004025710993538</v>
      </c>
      <c r="T45" s="140" cm="1">
        <f t="array" ref="T45">IF(T5=$D$7,0,_xlfn.IFS(Leadsheet!$G$5="DPD360+",SUM(SAP_Speadsheet!T27:T40),Leadsheet!$G$5="DPD180+",SUM(SAP_Speadsheet!T27:T34)))</f>
        <v>0.40282868442703978</v>
      </c>
      <c r="U45" s="140" cm="1">
        <f t="array" ref="U45">IF(U5=$D$7,0,_xlfn.IFS(Leadsheet!$G$5="DPD360+",SUM(SAP_Speadsheet!U27:U40),Leadsheet!$G$5="DPD180+",SUM(SAP_Speadsheet!U27:U34)))</f>
        <v>0.28424039370734244</v>
      </c>
      <c r="V45" s="140" cm="1">
        <f t="array" ref="V45">IF(V5=$D$7,0,_xlfn.IFS(Leadsheet!$G$5="DPD360+",SUM(SAP_Speadsheet!V27:V40),Leadsheet!$G$5="DPD180+",SUM(SAP_Speadsheet!V27:V34)))</f>
        <v>0.19464622180574098</v>
      </c>
      <c r="W45" s="140" cm="1">
        <f t="array" ref="W45">IF(W5=$D$7,0,_xlfn.IFS(Leadsheet!$G$5="DPD360+",SUM(SAP_Speadsheet!W27:W40),Leadsheet!$G$5="DPD180+",SUM(SAP_Speadsheet!W27:W34)))</f>
        <v>0.12499606307372227</v>
      </c>
      <c r="X45" s="140" cm="1">
        <f t="array" ref="X45">IF(X5=$D$7,0,_xlfn.IFS(Leadsheet!$G$5="DPD360+",SUM(SAP_Speadsheet!X27:X40),Leadsheet!$G$5="DPD180+",SUM(SAP_Speadsheet!X27:X34)))</f>
        <v>7.2605311950131035E-2</v>
      </c>
      <c r="Y45" s="140" cm="1">
        <f t="array" ref="Y45">IF(Y5=$D$7,0,_xlfn.IFS(Leadsheet!$G$5="DPD360+",SUM(SAP_Speadsheet!Y27:Y40),Leadsheet!$G$5="DPD180+",SUM(SAP_Speadsheet!Y27:Y34)))</f>
        <v>3.5572417942691642E-2</v>
      </c>
      <c r="Z45" s="140" cm="1">
        <f t="array" ref="Z45">IF(Z5=$D$7,0,_xlfn.IFS(Leadsheet!$G$5="DPD360+",SUM(SAP_Speadsheet!Z27:Z40),Leadsheet!$G$5="DPD180+",SUM(SAP_Speadsheet!Z27:Z34)))</f>
        <v>0</v>
      </c>
      <c r="AA45" s="140" cm="1">
        <f t="array" ref="AA45">IF(AA5=$D$7,0,_xlfn.IFS(Leadsheet!$G$5="DPD360+",SUM(SAP_Speadsheet!AA27:AA40),Leadsheet!$G$5="DPD180+",SUM(SAP_Speadsheet!AA27:AA34)))</f>
        <v>0</v>
      </c>
      <c r="AB45" s="140" cm="1">
        <f t="array" ref="AB45">IF(AB5=$D$7,0,_xlfn.IFS(Leadsheet!$G$5="DPD360+",SUM(SAP_Speadsheet!AB27:AB40),Leadsheet!$G$5="DPD180+",SUM(SAP_Speadsheet!AB27:AB34)))</f>
        <v>0</v>
      </c>
      <c r="AC45" s="140" cm="1">
        <f t="array" ref="AC45">IF(AC5=$D$7,0,_xlfn.IFS(Leadsheet!$G$5="DPD360+",SUM(SAP_Speadsheet!AC27:AC40),Leadsheet!$G$5="DPD180+",SUM(SAP_Speadsheet!AC27:AC34)))</f>
        <v>0</v>
      </c>
      <c r="AD45" s="140" cm="1">
        <f t="array" ref="AD45">IF(AD5=$D$7,0,_xlfn.IFS(Leadsheet!$G$5="DPD360+",SUM(SAP_Speadsheet!AD27:AD40),Leadsheet!$G$5="DPD180+",SUM(SAP_Speadsheet!AD27:AD34)))</f>
        <v>0</v>
      </c>
      <c r="AE45" s="140" cm="1">
        <f t="array" ref="AE45">IF(AE5=$D$7,0,_xlfn.IFS(Leadsheet!$G$5="DPD360+",SUM(SAP_Speadsheet!AE27:AE40),Leadsheet!$G$5="DPD180+",SUM(SAP_Speadsheet!AE27:AE34)))</f>
        <v>0</v>
      </c>
      <c r="AF45" s="140" cm="1">
        <f t="array" ref="AF45">IF(AF5=$D$7,0,_xlfn.IFS(Leadsheet!$G$5="DPD360+",SUM(SAP_Speadsheet!AF27:AF40),Leadsheet!$G$5="DPD180+",SUM(SAP_Speadsheet!AF27:AF34)))</f>
        <v>0</v>
      </c>
      <c r="AG45" s="140" cm="1">
        <f t="array" ref="AG45">IF(AG5=$D$7,0,_xlfn.IFS(Leadsheet!$G$5="DPD360+",SUM(SAP_Speadsheet!AG27:AG40),Leadsheet!$G$5="DPD180+",SUM(SAP_Speadsheet!AG27:AG34)))</f>
        <v>0</v>
      </c>
      <c r="AH45" s="140" cm="1">
        <f t="array" ref="AH45">IF(AH5=$D$7,0,_xlfn.IFS(Leadsheet!$G$5="DPD360+",SUM(SAP_Speadsheet!AH27:AH40),Leadsheet!$G$5="DPD180+",SUM(SAP_Speadsheet!AH27:AH34)))</f>
        <v>0</v>
      </c>
      <c r="AI45" s="140" cm="1">
        <f t="array" ref="AI45">IF(AI5=$D$7,0,_xlfn.IFS(Leadsheet!$G$5="DPD360+",SUM(SAP_Speadsheet!AI27:AI40),Leadsheet!$G$5="DPD180+",SUM(SAP_Speadsheet!AI27:AI34)))</f>
        <v>0</v>
      </c>
      <c r="AJ45" s="140" cm="1">
        <f t="array" ref="AJ45">IF(AJ5=$D$7,0,_xlfn.IFS(Leadsheet!$G$5="DPD360+",SUM(SAP_Speadsheet!AJ27:AJ40),Leadsheet!$G$5="DPD180+",SUM(SAP_Speadsheet!AJ27:AJ34)))</f>
        <v>0</v>
      </c>
      <c r="AK45" s="140" cm="1">
        <f t="array" ref="AK45">IF(AK5=$D$7,0,_xlfn.IFS(Leadsheet!$G$5="DPD360+",SUM(SAP_Speadsheet!AK27:AK40),Leadsheet!$G$5="DPD180+",SUM(SAP_Speadsheet!AK27:AK34)))</f>
        <v>0</v>
      </c>
      <c r="AL45" s="140" cm="1">
        <f t="array" ref="AL45">IF(AL5=$D$7,0,_xlfn.IFS(Leadsheet!$G$5="DPD360+",SUM(SAP_Speadsheet!AL27:AL40),Leadsheet!$G$5="DPD180+",SUM(SAP_Speadsheet!AL27:AL34)))</f>
        <v>0</v>
      </c>
      <c r="AM45" s="140" cm="1">
        <f t="array" ref="AM45">IF(AM5=$D$7,0,_xlfn.IFS(Leadsheet!$G$5="DPD360+",SUM(SAP_Speadsheet!AM27:AM40),Leadsheet!$G$5="DPD180+",SUM(SAP_Speadsheet!AM27:AM34)))</f>
        <v>0</v>
      </c>
      <c r="AN45" s="140" cm="1">
        <f t="array" ref="AN45">IF(AN5=$D$7,0,_xlfn.IFS(Leadsheet!$G$5="DPD360+",SUM(SAP_Speadsheet!AN27:AN40),Leadsheet!$G$5="DPD180+",SUM(SAP_Speadsheet!AN27:AN34)))</f>
        <v>0</v>
      </c>
      <c r="AO45" s="140" cm="1">
        <f t="array" ref="AO45">IF(AO5=$D$7,0,_xlfn.IFS(Leadsheet!$G$5="DPD360+",SUM(SAP_Speadsheet!AO27:AO40),Leadsheet!$G$5="DPD180+",SUM(SAP_Speadsheet!AO27:AO34)))</f>
        <v>0</v>
      </c>
      <c r="AP45" s="140" cm="1">
        <f t="array" ref="AP45">IF(AP5=$D$7,0,_xlfn.IFS(Leadsheet!$G$5="DPD360+",SUM(SAP_Speadsheet!AP27:AP40),Leadsheet!$G$5="DPD180+",SUM(SAP_Speadsheet!AP27:AP34)))</f>
        <v>0</v>
      </c>
      <c r="AQ45" s="140" cm="1">
        <f t="array" ref="AQ45">IF(AQ5=$D$7,0,_xlfn.IFS(Leadsheet!$G$5="DPD360+",SUM(SAP_Speadsheet!AQ27:AQ40),Leadsheet!$G$5="DPD180+",SUM(SAP_Speadsheet!AQ27:AQ34)))</f>
        <v>0</v>
      </c>
      <c r="AR45" s="140" cm="1">
        <f t="array" ref="AR45">IF(AR5=$D$7,0,_xlfn.IFS(Leadsheet!$G$5="DPD360+",SUM(SAP_Speadsheet!AR27:AR40),Leadsheet!$G$5="DPD180+",SUM(SAP_Speadsheet!AR27:AR34)))</f>
        <v>0</v>
      </c>
      <c r="AS45" s="140" cm="1">
        <f t="array" ref="AS45">IF(AS5=$D$7,0,_xlfn.IFS(Leadsheet!$G$5="DPD360+",SUM(SAP_Speadsheet!AS27:AS40),Leadsheet!$G$5="DPD180+",SUM(SAP_Speadsheet!AS27:AS34)))</f>
        <v>0</v>
      </c>
      <c r="AT45" s="140" cm="1">
        <f t="array" ref="AT45">IF(AT5=$D$7,0,_xlfn.IFS(Leadsheet!$G$5="DPD360+",SUM(SAP_Speadsheet!AT27:AT40),Leadsheet!$G$5="DPD180+",SUM(SAP_Speadsheet!AT27:AT34)))</f>
        <v>0</v>
      </c>
      <c r="AU45" s="140" cm="1">
        <f t="array" ref="AU45">IF(AU5=$D$7,0,_xlfn.IFS(Leadsheet!$G$5="DPD360+",SUM(SAP_Speadsheet!AU27:AU40),Leadsheet!$G$5="DPD180+",SUM(SAP_Speadsheet!AU27:AU34)))</f>
        <v>0</v>
      </c>
      <c r="AV45" s="140" cm="1">
        <f t="array" ref="AV45">IF(AV5=$D$7,0,_xlfn.IFS(Leadsheet!$G$5="DPD360+",SUM(SAP_Speadsheet!AV27:AV40),Leadsheet!$G$5="DPD180+",SUM(SAP_Speadsheet!AV27:AV34)))</f>
        <v>0</v>
      </c>
      <c r="AW45" s="140" cm="1">
        <f t="array" ref="AW45">IF(AW5=$D$7,0,_xlfn.IFS(Leadsheet!$G$5="DPD360+",SUM(SAP_Speadsheet!AW27:AW40),Leadsheet!$G$5="DPD180+",SUM(SAP_Speadsheet!AW27:AW34)))</f>
        <v>0</v>
      </c>
      <c r="AX45" s="140" cm="1">
        <f t="array" ref="AX45">IF(AX5=$D$7,0,_xlfn.IFS(Leadsheet!$G$5="DPD360+",SUM(SAP_Speadsheet!AX27:AX40),Leadsheet!$G$5="DPD180+",SUM(SAP_Speadsheet!AX27:AX34)))</f>
        <v>0</v>
      </c>
      <c r="AY45" s="140" cm="1">
        <f t="array" ref="AY45">IF(AY5=$D$7,0,_xlfn.IFS(Leadsheet!$G$5="DPD360+",SUM(SAP_Speadsheet!AY27:AY40),Leadsheet!$G$5="DPD180+",SUM(SAP_Speadsheet!AY27:AY34)))</f>
        <v>0</v>
      </c>
      <c r="AZ45" s="140" cm="1">
        <f t="array" ref="AZ45">IF(AZ5=$D$7,0,_xlfn.IFS(Leadsheet!$G$5="DPD360+",SUM(SAP_Speadsheet!AZ27:AZ40),Leadsheet!$G$5="DPD180+",SUM(SAP_Speadsheet!AZ27:AZ34)))</f>
        <v>0</v>
      </c>
      <c r="BA45" s="140" cm="1">
        <f t="array" ref="BA45">IF(BA5=$D$7,0,_xlfn.IFS(Leadsheet!$G$5="DPD360+",SUM(SAP_Speadsheet!BA27:BA40),Leadsheet!$G$5="DPD180+",SUM(SAP_Speadsheet!BA27:BA34)))</f>
        <v>0</v>
      </c>
      <c r="BB45" s="140" cm="1">
        <f t="array" ref="BB45">IF(BB5=$D$7,0,_xlfn.IFS(Leadsheet!$G$5="DPD360+",SUM(SAP_Speadsheet!BB27:BB40),Leadsheet!$G$5="DPD180+",SUM(SAP_Speadsheet!BB27:BB34)))</f>
        <v>0</v>
      </c>
      <c r="BC45" s="140" cm="1">
        <f t="array" ref="BC45">IF(BC5=$D$7,0,_xlfn.IFS(Leadsheet!$G$5="DPD360+",SUM(SAP_Speadsheet!BC27:BC40),Leadsheet!$G$5="DPD180+",SUM(SAP_Speadsheet!BC27:BC34)))</f>
        <v>0</v>
      </c>
      <c r="BD45" s="140" cm="1">
        <f t="array" ref="BD45">IF(BD5=$D$7,0,_xlfn.IFS(Leadsheet!$G$5="DPD360+",SUM(SAP_Speadsheet!BD27:BD40),Leadsheet!$G$5="DPD180+",SUM(SAP_Speadsheet!BD27:BD34)))</f>
        <v>0</v>
      </c>
      <c r="BE45" s="140" cm="1">
        <f t="array" ref="BE45">IF(BE5=$D$7,0,_xlfn.IFS(Leadsheet!$G$5="DPD360+",SUM(SAP_Speadsheet!BE27:BE40),Leadsheet!$G$5="DPD180+",SUM(SAP_Speadsheet!BE27:BE34)))</f>
        <v>0</v>
      </c>
      <c r="BF45" s="140" cm="1">
        <f t="array" ref="BF45">IF(BF5=$D$7,0,_xlfn.IFS(Leadsheet!$G$5="DPD360+",SUM(SAP_Speadsheet!BF27:BF40),Leadsheet!$G$5="DPD180+",SUM(SAP_Speadsheet!BF27:BF34)))</f>
        <v>0</v>
      </c>
      <c r="BG45" s="140" cm="1">
        <f t="array" ref="BG45">IF(BG5=$D$7,0,_xlfn.IFS(Leadsheet!$G$5="DPD360+",SUM(SAP_Speadsheet!BG27:BG40),Leadsheet!$G$5="DPD180+",SUM(SAP_Speadsheet!BG27:BG34)))</f>
        <v>0</v>
      </c>
      <c r="BH45" s="140" cm="1">
        <f t="array" ref="BH45">IF(BH5=$D$7,0,_xlfn.IFS(Leadsheet!$G$5="DPD360+",SUM(SAP_Speadsheet!BH27:BH40),Leadsheet!$G$5="DPD180+",SUM(SAP_Speadsheet!BH27:BH34)))</f>
        <v>0</v>
      </c>
      <c r="BI45" s="140" cm="1">
        <f t="array" ref="BI45">IF(BI5=$D$7,0,_xlfn.IFS(Leadsheet!$G$5="DPD360+",SUM(SAP_Speadsheet!BI27:BI40),Leadsheet!$G$5="DPD180+",SUM(SAP_Speadsheet!BI27:BI34)))</f>
        <v>0</v>
      </c>
      <c r="BJ45" s="140" cm="1">
        <f t="array" ref="BJ45">IF(BJ5=$D$7,0,_xlfn.IFS(Leadsheet!$G$5="DPD360+",SUM(SAP_Speadsheet!BJ27:BJ40),Leadsheet!$G$5="DPD180+",SUM(SAP_Speadsheet!BJ27:BJ34)))</f>
        <v>0</v>
      </c>
      <c r="BK45" s="140" cm="1">
        <f t="array" ref="BK45">IF(BK5=$D$7,0,_xlfn.IFS(Leadsheet!$G$5="DPD360+",SUM(SAP_Speadsheet!BK27:BK40),Leadsheet!$G$5="DPD180+",SUM(SAP_Speadsheet!BK27:BK34)))</f>
        <v>0</v>
      </c>
      <c r="BL45" s="140" cm="1">
        <f t="array" ref="BL45">IF(BL5=$D$7,0,_xlfn.IFS(Leadsheet!$G$5="DPD360+",SUM(SAP_Speadsheet!BL27:BL40),Leadsheet!$G$5="DPD180+",SUM(SAP_Speadsheet!BL27:BL34)))</f>
        <v>0</v>
      </c>
    </row>
    <row r="46" spans="1:64" s="155" customFormat="1" x14ac:dyDescent="0.15">
      <c r="C46" s="282" t="s">
        <v>390</v>
      </c>
      <c r="D46" s="140">
        <f>D44-D45</f>
        <v>0</v>
      </c>
      <c r="E46" s="140">
        <f t="shared" ref="E46:BL46" si="8">E44-E45</f>
        <v>0</v>
      </c>
      <c r="F46" s="140">
        <f t="shared" si="8"/>
        <v>0</v>
      </c>
      <c r="G46" s="140">
        <f t="shared" si="8"/>
        <v>0</v>
      </c>
      <c r="H46" s="140">
        <f t="shared" si="8"/>
        <v>0</v>
      </c>
      <c r="I46" s="140">
        <f t="shared" si="8"/>
        <v>0</v>
      </c>
      <c r="J46" s="140">
        <f t="shared" si="8"/>
        <v>0</v>
      </c>
      <c r="K46" s="140">
        <f t="shared" si="8"/>
        <v>0</v>
      </c>
      <c r="L46" s="140">
        <f t="shared" si="8"/>
        <v>0.38457670772398522</v>
      </c>
      <c r="M46" s="140">
        <f t="shared" si="8"/>
        <v>0.70172874845985866</v>
      </c>
      <c r="N46" s="140">
        <f t="shared" si="8"/>
        <v>0.97336868122039011</v>
      </c>
      <c r="O46" s="140">
        <f t="shared" si="8"/>
        <v>1.2045228589868944</v>
      </c>
      <c r="P46" s="140">
        <f t="shared" si="8"/>
        <v>1.4094983653867814</v>
      </c>
      <c r="Q46" s="140">
        <f t="shared" si="8"/>
        <v>1.5900131112441622</v>
      </c>
      <c r="R46" s="140">
        <f t="shared" si="8"/>
        <v>1.7480416518801709</v>
      </c>
      <c r="S46" s="140">
        <f t="shared" si="8"/>
        <v>1.8849353494523133</v>
      </c>
      <c r="T46" s="140">
        <f t="shared" si="8"/>
        <v>2.0019732286870098</v>
      </c>
      <c r="U46" s="140">
        <f t="shared" si="8"/>
        <v>2.1003834263998553</v>
      </c>
      <c r="V46" s="140">
        <f t="shared" si="8"/>
        <v>2.1813802688443391</v>
      </c>
      <c r="W46" s="140">
        <f t="shared" si="8"/>
        <v>2.2461548322453408</v>
      </c>
      <c r="X46" s="140">
        <f t="shared" si="8"/>
        <v>2.2958698046433703</v>
      </c>
      <c r="Y46" s="140">
        <f>Y44-Y45</f>
        <v>2.3316548513636799</v>
      </c>
      <c r="Z46" s="140">
        <f t="shared" si="8"/>
        <v>2.3669205314265733</v>
      </c>
      <c r="AA46" s="140">
        <f t="shared" si="8"/>
        <v>0</v>
      </c>
      <c r="AB46" s="140">
        <f t="shared" si="8"/>
        <v>0</v>
      </c>
      <c r="AC46" s="140">
        <f t="shared" si="8"/>
        <v>0</v>
      </c>
      <c r="AD46" s="140">
        <f t="shared" si="8"/>
        <v>0</v>
      </c>
      <c r="AE46" s="140">
        <f t="shared" si="8"/>
        <v>0</v>
      </c>
      <c r="AF46" s="140">
        <f t="shared" si="8"/>
        <v>0</v>
      </c>
      <c r="AG46" s="140">
        <f t="shared" si="8"/>
        <v>0</v>
      </c>
      <c r="AH46" s="140">
        <f t="shared" si="8"/>
        <v>0</v>
      </c>
      <c r="AI46" s="140">
        <f t="shared" si="8"/>
        <v>0</v>
      </c>
      <c r="AJ46" s="140">
        <f t="shared" si="8"/>
        <v>0</v>
      </c>
      <c r="AK46" s="140">
        <f t="shared" si="8"/>
        <v>0</v>
      </c>
      <c r="AL46" s="140">
        <f t="shared" si="8"/>
        <v>0</v>
      </c>
      <c r="AM46" s="140">
        <f t="shared" si="8"/>
        <v>0</v>
      </c>
      <c r="AN46" s="140">
        <f t="shared" si="8"/>
        <v>0</v>
      </c>
      <c r="AO46" s="140">
        <f t="shared" si="8"/>
        <v>0</v>
      </c>
      <c r="AP46" s="140">
        <f t="shared" si="8"/>
        <v>0</v>
      </c>
      <c r="AQ46" s="140">
        <f t="shared" si="8"/>
        <v>0</v>
      </c>
      <c r="AR46" s="140">
        <f t="shared" si="8"/>
        <v>0</v>
      </c>
      <c r="AS46" s="140">
        <f t="shared" si="8"/>
        <v>0</v>
      </c>
      <c r="AT46" s="140">
        <f t="shared" si="8"/>
        <v>0</v>
      </c>
      <c r="AU46" s="140">
        <f t="shared" si="8"/>
        <v>0</v>
      </c>
      <c r="AV46" s="140">
        <f t="shared" si="8"/>
        <v>0</v>
      </c>
      <c r="AW46" s="140">
        <f t="shared" si="8"/>
        <v>0</v>
      </c>
      <c r="AX46" s="140">
        <f t="shared" si="8"/>
        <v>0</v>
      </c>
      <c r="AY46" s="140">
        <f t="shared" si="8"/>
        <v>0</v>
      </c>
      <c r="AZ46" s="140">
        <f t="shared" si="8"/>
        <v>0</v>
      </c>
      <c r="BA46" s="140">
        <f t="shared" si="8"/>
        <v>0</v>
      </c>
      <c r="BB46" s="140">
        <f t="shared" si="8"/>
        <v>0</v>
      </c>
      <c r="BC46" s="140">
        <f t="shared" si="8"/>
        <v>0</v>
      </c>
      <c r="BD46" s="140">
        <f t="shared" si="8"/>
        <v>0</v>
      </c>
      <c r="BE46" s="140">
        <f t="shared" si="8"/>
        <v>0</v>
      </c>
      <c r="BF46" s="140">
        <f t="shared" si="8"/>
        <v>0</v>
      </c>
      <c r="BG46" s="140">
        <f t="shared" si="8"/>
        <v>0</v>
      </c>
      <c r="BH46" s="140">
        <f t="shared" si="8"/>
        <v>0</v>
      </c>
      <c r="BI46" s="140">
        <f t="shared" si="8"/>
        <v>0</v>
      </c>
      <c r="BJ46" s="140">
        <f t="shared" si="8"/>
        <v>0</v>
      </c>
      <c r="BK46" s="140">
        <f t="shared" si="8"/>
        <v>0</v>
      </c>
      <c r="BL46" s="140">
        <f t="shared" si="8"/>
        <v>0</v>
      </c>
    </row>
    <row r="47" spans="1:64" s="155" customFormat="1" x14ac:dyDescent="0.15">
      <c r="C47" s="282" t="s">
        <v>391</v>
      </c>
      <c r="D47" s="294">
        <f>IFERROR(D45/D44,"")</f>
        <v>1</v>
      </c>
      <c r="E47" s="294">
        <f t="shared" ref="E47:BL47" si="9">IFERROR(E45/E44,"")</f>
        <v>1</v>
      </c>
      <c r="F47" s="294">
        <f t="shared" si="9"/>
        <v>1</v>
      </c>
      <c r="G47" s="294">
        <f t="shared" si="9"/>
        <v>1</v>
      </c>
      <c r="H47" s="294">
        <f t="shared" si="9"/>
        <v>1</v>
      </c>
      <c r="I47" s="294">
        <f t="shared" si="9"/>
        <v>1</v>
      </c>
      <c r="J47" s="294">
        <f t="shared" si="9"/>
        <v>1</v>
      </c>
      <c r="K47" s="294">
        <f t="shared" si="9"/>
        <v>1</v>
      </c>
      <c r="L47" s="294">
        <f t="shared" si="9"/>
        <v>0.94227885722096216</v>
      </c>
      <c r="M47" s="294">
        <f t="shared" si="9"/>
        <v>0.88353759877316507</v>
      </c>
      <c r="N47" s="294">
        <f t="shared" si="9"/>
        <v>0.82037184079243819</v>
      </c>
      <c r="O47" s="294">
        <f t="shared" si="9"/>
        <v>0.75128479679612636</v>
      </c>
      <c r="P47" s="294">
        <f t="shared" si="9"/>
        <v>0.67204613982533035</v>
      </c>
      <c r="Q47" s="294">
        <f t="shared" si="9"/>
        <v>0.57972193326585109</v>
      </c>
      <c r="R47" s="294">
        <f t="shared" si="9"/>
        <v>0.47008193242878299</v>
      </c>
      <c r="S47" s="294">
        <f t="shared" si="9"/>
        <v>0.34671937868132968</v>
      </c>
      <c r="T47" s="294">
        <f t="shared" si="9"/>
        <v>0.16751013138766382</v>
      </c>
      <c r="U47" s="294">
        <f t="shared" si="9"/>
        <v>0.11919716280220868</v>
      </c>
      <c r="V47" s="294">
        <f t="shared" si="9"/>
        <v>8.192089716663295E-2</v>
      </c>
      <c r="W47" s="294">
        <f t="shared" si="9"/>
        <v>5.2715355787976009E-2</v>
      </c>
      <c r="X47" s="294">
        <f t="shared" si="9"/>
        <v>3.0654876397670089E-2</v>
      </c>
      <c r="Y47" s="294">
        <f t="shared" si="9"/>
        <v>1.5027039610402436E-2</v>
      </c>
      <c r="Z47" s="294">
        <f t="shared" si="9"/>
        <v>0</v>
      </c>
      <c r="AA47" s="294" t="str">
        <f t="shared" si="9"/>
        <v/>
      </c>
      <c r="AB47" s="294" t="str">
        <f t="shared" si="9"/>
        <v/>
      </c>
      <c r="AC47" s="294" t="str">
        <f t="shared" si="9"/>
        <v/>
      </c>
      <c r="AD47" s="294" t="str">
        <f t="shared" si="9"/>
        <v/>
      </c>
      <c r="AE47" s="294" t="str">
        <f t="shared" si="9"/>
        <v/>
      </c>
      <c r="AF47" s="294" t="str">
        <f t="shared" si="9"/>
        <v/>
      </c>
      <c r="AG47" s="294" t="str">
        <f t="shared" si="9"/>
        <v/>
      </c>
      <c r="AH47" s="294" t="str">
        <f t="shared" si="9"/>
        <v/>
      </c>
      <c r="AI47" s="294" t="str">
        <f t="shared" si="9"/>
        <v/>
      </c>
      <c r="AJ47" s="294" t="str">
        <f t="shared" si="9"/>
        <v/>
      </c>
      <c r="AK47" s="294" t="str">
        <f t="shared" si="9"/>
        <v/>
      </c>
      <c r="AL47" s="294" t="str">
        <f t="shared" si="9"/>
        <v/>
      </c>
      <c r="AM47" s="294" t="str">
        <f t="shared" si="9"/>
        <v/>
      </c>
      <c r="AN47" s="294" t="str">
        <f t="shared" si="9"/>
        <v/>
      </c>
      <c r="AO47" s="294" t="str">
        <f t="shared" si="9"/>
        <v/>
      </c>
      <c r="AP47" s="294" t="str">
        <f t="shared" si="9"/>
        <v/>
      </c>
      <c r="AQ47" s="294" t="str">
        <f t="shared" si="9"/>
        <v/>
      </c>
      <c r="AR47" s="294" t="str">
        <f t="shared" si="9"/>
        <v/>
      </c>
      <c r="AS47" s="294" t="str">
        <f t="shared" si="9"/>
        <v/>
      </c>
      <c r="AT47" s="294" t="str">
        <f t="shared" si="9"/>
        <v/>
      </c>
      <c r="AU47" s="294" t="str">
        <f t="shared" si="9"/>
        <v/>
      </c>
      <c r="AV47" s="294" t="str">
        <f t="shared" si="9"/>
        <v/>
      </c>
      <c r="AW47" s="294" t="str">
        <f t="shared" si="9"/>
        <v/>
      </c>
      <c r="AX47" s="294" t="str">
        <f t="shared" si="9"/>
        <v/>
      </c>
      <c r="AY47" s="294" t="str">
        <f t="shared" si="9"/>
        <v/>
      </c>
      <c r="AZ47" s="294" t="str">
        <f t="shared" si="9"/>
        <v/>
      </c>
      <c r="BA47" s="294" t="str">
        <f t="shared" si="9"/>
        <v/>
      </c>
      <c r="BB47" s="294" t="str">
        <f t="shared" si="9"/>
        <v/>
      </c>
      <c r="BC47" s="294" t="str">
        <f t="shared" si="9"/>
        <v/>
      </c>
      <c r="BD47" s="294" t="str">
        <f t="shared" si="9"/>
        <v/>
      </c>
      <c r="BE47" s="294" t="str">
        <f t="shared" si="9"/>
        <v/>
      </c>
      <c r="BF47" s="294" t="str">
        <f t="shared" si="9"/>
        <v/>
      </c>
      <c r="BG47" s="294" t="str">
        <f t="shared" si="9"/>
        <v/>
      </c>
      <c r="BH47" s="294" t="str">
        <f t="shared" si="9"/>
        <v/>
      </c>
      <c r="BI47" s="294" t="str">
        <f t="shared" si="9"/>
        <v/>
      </c>
      <c r="BJ47" s="294" t="str">
        <f t="shared" si="9"/>
        <v/>
      </c>
      <c r="BK47" s="294" t="str">
        <f t="shared" si="9"/>
        <v/>
      </c>
      <c r="BL47" s="294" t="str">
        <f t="shared" si="9"/>
        <v/>
      </c>
    </row>
    <row r="48" spans="1:64" s="155" customFormat="1" x14ac:dyDescent="0.15">
      <c r="D48" s="281"/>
      <c r="E48" s="281"/>
      <c r="F48" s="281"/>
      <c r="G48" s="281"/>
      <c r="H48" s="281"/>
      <c r="I48" s="281"/>
      <c r="J48" s="281"/>
      <c r="K48" s="281"/>
      <c r="L48" s="295"/>
      <c r="M48" s="295"/>
      <c r="N48" s="295"/>
      <c r="O48" s="295"/>
      <c r="P48" s="295"/>
      <c r="Q48" s="295"/>
      <c r="R48" s="295"/>
      <c r="S48" s="295"/>
      <c r="T48" s="295"/>
      <c r="U48" s="295"/>
      <c r="V48" s="295"/>
      <c r="W48" s="295"/>
      <c r="X48" s="295"/>
      <c r="Y48" s="295"/>
      <c r="Z48" s="281"/>
      <c r="AA48" s="296"/>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row>
    <row r="49" spans="1:64" x14ac:dyDescent="0.15">
      <c r="B49" s="155" t="s">
        <v>191</v>
      </c>
      <c r="L49" s="278"/>
    </row>
    <row r="50" spans="1:64" x14ac:dyDescent="0.15">
      <c r="C50" s="84" t="s">
        <v>389</v>
      </c>
      <c r="D50" s="140"/>
      <c r="E50" s="281">
        <f>IF(E5&gt;$D$7,0,AVERAGE(D45:E45))</f>
        <v>13.915238260371543</v>
      </c>
      <c r="F50" s="281">
        <f t="shared" ref="F50:BL50" si="10">IF(F5&gt;$D$7,0,AVERAGE(E45:F45))</f>
        <v>12.297903690842261</v>
      </c>
      <c r="G50" s="281">
        <f t="shared" si="10"/>
        <v>10.960151789082623</v>
      </c>
      <c r="H50" s="281">
        <f t="shared" si="10"/>
        <v>9.9191809443187289</v>
      </c>
      <c r="I50" s="281">
        <f t="shared" si="10"/>
        <v>9.1397068348105819</v>
      </c>
      <c r="J50" s="281">
        <f t="shared" si="10"/>
        <v>8.393799990503588</v>
      </c>
      <c r="K50" s="281">
        <f t="shared" si="10"/>
        <v>7.6798571445805255</v>
      </c>
      <c r="L50" s="281">
        <f t="shared" si="10"/>
        <v>6.8043373113522243</v>
      </c>
      <c r="M50" s="281">
        <f t="shared" si="10"/>
        <v>5.8008640470238788</v>
      </c>
      <c r="N50" s="281">
        <f t="shared" si="10"/>
        <v>4.8845338744586719</v>
      </c>
      <c r="O50" s="281">
        <f t="shared" si="10"/>
        <v>4.0419433596093093</v>
      </c>
      <c r="P50" s="281">
        <f t="shared" si="10"/>
        <v>3.2634074443389514</v>
      </c>
      <c r="Q50" s="281">
        <f t="shared" si="10"/>
        <v>2.5407924871686873</v>
      </c>
      <c r="R50" s="281">
        <f t="shared" si="10"/>
        <v>1.8719438671288566</v>
      </c>
      <c r="S50" s="281">
        <f t="shared" si="10"/>
        <v>1.2755313299167708</v>
      </c>
      <c r="T50" s="281">
        <f t="shared" si="10"/>
        <v>0.70161562776319686</v>
      </c>
      <c r="U50" s="281">
        <f t="shared" si="10"/>
        <v>0.34353453906719111</v>
      </c>
      <c r="V50" s="281">
        <f t="shared" si="10"/>
        <v>0.23944330775654171</v>
      </c>
      <c r="W50" s="281">
        <f t="shared" si="10"/>
        <v>0.15982114243973161</v>
      </c>
      <c r="X50" s="281">
        <f t="shared" si="10"/>
        <v>9.8800687511926652E-2</v>
      </c>
      <c r="Y50" s="281">
        <f t="shared" si="10"/>
        <v>5.4088864946411339E-2</v>
      </c>
      <c r="Z50" s="281">
        <f t="shared" si="10"/>
        <v>1.7786208971345821E-2</v>
      </c>
      <c r="AA50" s="281">
        <f t="shared" si="10"/>
        <v>0</v>
      </c>
      <c r="AB50" s="281">
        <f t="shared" si="10"/>
        <v>0</v>
      </c>
      <c r="AC50" s="281">
        <f t="shared" si="10"/>
        <v>0</v>
      </c>
      <c r="AD50" s="281">
        <f t="shared" si="10"/>
        <v>0</v>
      </c>
      <c r="AE50" s="281">
        <f t="shared" si="10"/>
        <v>0</v>
      </c>
      <c r="AF50" s="281">
        <f t="shared" si="10"/>
        <v>0</v>
      </c>
      <c r="AG50" s="281">
        <f t="shared" si="10"/>
        <v>0</v>
      </c>
      <c r="AH50" s="281">
        <f t="shared" si="10"/>
        <v>0</v>
      </c>
      <c r="AI50" s="281">
        <f t="shared" si="10"/>
        <v>0</v>
      </c>
      <c r="AJ50" s="281">
        <f t="shared" si="10"/>
        <v>0</v>
      </c>
      <c r="AK50" s="281">
        <f t="shared" si="10"/>
        <v>0</v>
      </c>
      <c r="AL50" s="281">
        <f t="shared" si="10"/>
        <v>0</v>
      </c>
      <c r="AM50" s="281">
        <f t="shared" si="10"/>
        <v>0</v>
      </c>
      <c r="AN50" s="281">
        <f t="shared" si="10"/>
        <v>0</v>
      </c>
      <c r="AO50" s="281">
        <f t="shared" si="10"/>
        <v>0</v>
      </c>
      <c r="AP50" s="281">
        <f t="shared" si="10"/>
        <v>0</v>
      </c>
      <c r="AQ50" s="281">
        <f t="shared" si="10"/>
        <v>0</v>
      </c>
      <c r="AR50" s="281">
        <f t="shared" si="10"/>
        <v>0</v>
      </c>
      <c r="AS50" s="281">
        <f t="shared" si="10"/>
        <v>0</v>
      </c>
      <c r="AT50" s="281">
        <f t="shared" si="10"/>
        <v>0</v>
      </c>
      <c r="AU50" s="281">
        <f t="shared" si="10"/>
        <v>0</v>
      </c>
      <c r="AV50" s="281">
        <f t="shared" si="10"/>
        <v>0</v>
      </c>
      <c r="AW50" s="281">
        <f t="shared" si="10"/>
        <v>0</v>
      </c>
      <c r="AX50" s="281">
        <f t="shared" si="10"/>
        <v>0</v>
      </c>
      <c r="AY50" s="281">
        <f t="shared" si="10"/>
        <v>0</v>
      </c>
      <c r="AZ50" s="281">
        <f t="shared" si="10"/>
        <v>0</v>
      </c>
      <c r="BA50" s="281">
        <f t="shared" si="10"/>
        <v>0</v>
      </c>
      <c r="BB50" s="281">
        <f t="shared" si="10"/>
        <v>0</v>
      </c>
      <c r="BC50" s="281">
        <f t="shared" si="10"/>
        <v>0</v>
      </c>
      <c r="BD50" s="281">
        <f t="shared" si="10"/>
        <v>0</v>
      </c>
      <c r="BE50" s="281">
        <f t="shared" si="10"/>
        <v>0</v>
      </c>
      <c r="BF50" s="281">
        <f t="shared" si="10"/>
        <v>0</v>
      </c>
      <c r="BG50" s="281">
        <f t="shared" si="10"/>
        <v>0</v>
      </c>
      <c r="BH50" s="281">
        <f t="shared" si="10"/>
        <v>0</v>
      </c>
      <c r="BI50" s="281">
        <f t="shared" si="10"/>
        <v>0</v>
      </c>
      <c r="BJ50" s="281">
        <f t="shared" si="10"/>
        <v>0</v>
      </c>
      <c r="BK50" s="281">
        <f t="shared" si="10"/>
        <v>0</v>
      </c>
      <c r="BL50" s="281">
        <f t="shared" si="10"/>
        <v>0</v>
      </c>
    </row>
    <row r="51" spans="1:64" x14ac:dyDescent="0.15">
      <c r="C51" s="84" t="s">
        <v>392</v>
      </c>
      <c r="D51" s="140"/>
      <c r="E51" s="140">
        <f>D27*(1-Leadsheet!$D$91)+D28*Leadsheet!$E$117</f>
        <v>14.095676003734827</v>
      </c>
      <c r="F51" s="140">
        <f>E27*(1-Leadsheet!$D$91)+E28*Leadsheet!$E$117</f>
        <v>11.882570648954298</v>
      </c>
      <c r="G51" s="140">
        <f>F27*(1-Leadsheet!$D$91)+F28*Leadsheet!$E$117</f>
        <v>10.169435439852464</v>
      </c>
      <c r="H51" s="140">
        <f>G27*(1-Leadsheet!$D$91)+G28*Leadsheet!$E$117</f>
        <v>8.654935474963148</v>
      </c>
      <c r="I51" s="140">
        <f>H27*(1-Leadsheet!$D$91)+H28*Leadsheet!$E$117</f>
        <v>7.6682137731601951</v>
      </c>
      <c r="J51" s="140">
        <f>I27*(1-Leadsheet!$D$91)+I28*Leadsheet!$E$117</f>
        <v>6.7540656982669605</v>
      </c>
      <c r="K51" s="140">
        <f>J27*(1-Leadsheet!$D$91)+J28*Leadsheet!$E$117</f>
        <v>5.9134527736815112</v>
      </c>
      <c r="L51" s="140">
        <f>K27*(1-Leadsheet!$D$91)+K28*Leadsheet!$E$117</f>
        <v>5.1236972923193305</v>
      </c>
      <c r="M51" s="140">
        <f>L27*(1-Leadsheet!$D$91)+L28*Leadsheet!$E$117</f>
        <v>4.381729713368415</v>
      </c>
      <c r="N51" s="140">
        <f>M27*(1-Leadsheet!$D$91)+M28*Leadsheet!$E$117</f>
        <v>3.6856358909102584</v>
      </c>
      <c r="O51" s="140">
        <f>N27*(1-Leadsheet!$D$91)+N28*Leadsheet!$E$117</f>
        <v>3.0348754231269881</v>
      </c>
      <c r="P51" s="140">
        <f>O27*(1-Leadsheet!$D$91)+O28*Leadsheet!$E$117</f>
        <v>2.4285868341654515</v>
      </c>
      <c r="Q51" s="140">
        <f>P27*(1-Leadsheet!$D$91)+P28*Leadsheet!$E$117</f>
        <v>1.8657140102272356</v>
      </c>
      <c r="R51" s="140">
        <f>Q27*(1-Leadsheet!$D$91)+Q28*Leadsheet!$E$117</f>
        <v>1.3450275149821258</v>
      </c>
      <c r="S51" s="140">
        <f>R27*(1-Leadsheet!$D$91)+R28*Leadsheet!$E$117</f>
        <v>0.86507213330226829</v>
      </c>
      <c r="T51" s="140">
        <f>S27*(1-Leadsheet!$D$91)+S28*Leadsheet!$E$117</f>
        <v>0.46388559054172057</v>
      </c>
      <c r="U51" s="140">
        <f>T27*(1-Leadsheet!$D$91)+T28*Leadsheet!$E$117</f>
        <v>7.7799841953965967E-3</v>
      </c>
      <c r="V51" s="140">
        <f>U27*(1-Leadsheet!$D$91)+U28*Leadsheet!$E$117</f>
        <v>0</v>
      </c>
      <c r="W51" s="140">
        <f>V27*(1-Leadsheet!$D$91)+V28*Leadsheet!$E$117</f>
        <v>0</v>
      </c>
      <c r="X51" s="140">
        <f>W27*(1-Leadsheet!$D$91)+W28*Leadsheet!$E$117</f>
        <v>0</v>
      </c>
      <c r="Y51" s="140">
        <f>X27*(1-Leadsheet!$D$91)+X28*Leadsheet!$E$117</f>
        <v>0</v>
      </c>
      <c r="Z51" s="140">
        <f>Y27*(1-Leadsheet!$D$91)+Y28*Leadsheet!$E$117</f>
        <v>0</v>
      </c>
      <c r="AA51" s="140">
        <f>Z27*(1-Leadsheet!$D$91)+Z28*Leadsheet!$E$117</f>
        <v>0</v>
      </c>
      <c r="AB51" s="140">
        <f>AA27*(1-Leadsheet!$D$91)+AA28*Leadsheet!$E$117</f>
        <v>0</v>
      </c>
      <c r="AC51" s="140">
        <f>AB27*(1-Leadsheet!$D$91)+AB28*Leadsheet!$E$117</f>
        <v>0</v>
      </c>
      <c r="AD51" s="140">
        <f>AC27*(1-Leadsheet!$D$91)+AC28*Leadsheet!$E$117</f>
        <v>0</v>
      </c>
      <c r="AE51" s="140">
        <f>AD27*(1-Leadsheet!$D$91)+AD28*Leadsheet!$E$117</f>
        <v>0</v>
      </c>
      <c r="AF51" s="140">
        <f>AE27*(1-Leadsheet!$D$91)+AE28*Leadsheet!$E$117</f>
        <v>0</v>
      </c>
      <c r="AG51" s="140">
        <f>AF27*(1-Leadsheet!$D$91)+AF28*Leadsheet!$E$117</f>
        <v>0</v>
      </c>
      <c r="AH51" s="140">
        <f>AG27*(1-Leadsheet!$D$91)+AG28*Leadsheet!$E$117</f>
        <v>0</v>
      </c>
      <c r="AI51" s="140">
        <f>AH27*(1-Leadsheet!$D$91)+AH28*Leadsheet!$E$117</f>
        <v>0</v>
      </c>
      <c r="AJ51" s="140">
        <f>AI27*(1-Leadsheet!$D$91)+AI28*Leadsheet!$E$117</f>
        <v>0</v>
      </c>
      <c r="AK51" s="140">
        <f>AJ27*(1-Leadsheet!$D$91)+AJ28*Leadsheet!$E$117</f>
        <v>0</v>
      </c>
      <c r="AL51" s="140">
        <f>AK27*(1-Leadsheet!$D$91)+AK28*Leadsheet!$E$117</f>
        <v>0</v>
      </c>
      <c r="AM51" s="140">
        <f>AL27*(1-Leadsheet!$D$91)+AL28*Leadsheet!$E$117</f>
        <v>0</v>
      </c>
      <c r="AN51" s="140">
        <f>AM27*(1-Leadsheet!$D$91)+AM28*Leadsheet!$E$117</f>
        <v>0</v>
      </c>
      <c r="AO51" s="140">
        <f>AN27*(1-Leadsheet!$D$91)+AN28*Leadsheet!$E$117</f>
        <v>0</v>
      </c>
      <c r="AP51" s="140">
        <f>AO27*(1-Leadsheet!$D$91)+AO28*Leadsheet!$E$117</f>
        <v>0</v>
      </c>
      <c r="AQ51" s="140">
        <f>AP27*(1-Leadsheet!$D$91)+AP28*Leadsheet!$E$117</f>
        <v>0</v>
      </c>
      <c r="AR51" s="140">
        <f>AQ27*(1-Leadsheet!$D$91)+AQ28*Leadsheet!$E$117</f>
        <v>0</v>
      </c>
      <c r="AS51" s="140">
        <f>AR27*(1-Leadsheet!$D$91)+AR28*Leadsheet!$E$117</f>
        <v>0</v>
      </c>
      <c r="AT51" s="140">
        <f>AS27*(1-Leadsheet!$D$91)+AS28*Leadsheet!$E$117</f>
        <v>0</v>
      </c>
      <c r="AU51" s="140">
        <f>AT27*(1-Leadsheet!$D$91)+AT28*Leadsheet!$E$117</f>
        <v>0</v>
      </c>
      <c r="AV51" s="140">
        <f>AU27*(1-Leadsheet!$D$91)+AU28*Leadsheet!$E$117</f>
        <v>0</v>
      </c>
      <c r="AW51" s="140">
        <f>AV27*(1-Leadsheet!$D$91)+AV28*Leadsheet!$E$117</f>
        <v>0</v>
      </c>
      <c r="AX51" s="140">
        <f>AW27*(1-Leadsheet!$D$91)+AW28*Leadsheet!$E$117</f>
        <v>0</v>
      </c>
      <c r="AY51" s="140">
        <f>AX27*(1-Leadsheet!$D$91)+AX28*Leadsheet!$E$117</f>
        <v>0</v>
      </c>
      <c r="AZ51" s="140">
        <f>AY27*(1-Leadsheet!$D$91)+AY28*Leadsheet!$E$117</f>
        <v>0</v>
      </c>
      <c r="BA51" s="140">
        <f>AZ27*(1-Leadsheet!$D$91)+AZ28*Leadsheet!$E$117</f>
        <v>0</v>
      </c>
      <c r="BB51" s="140">
        <f>BA27*(1-Leadsheet!$D$91)+BA28*Leadsheet!$E$117</f>
        <v>0</v>
      </c>
      <c r="BC51" s="140">
        <f>BB27*(1-Leadsheet!$D$91)+BB28*Leadsheet!$E$117</f>
        <v>0</v>
      </c>
      <c r="BD51" s="140">
        <f>BC27*(1-Leadsheet!$D$91)+BC28*Leadsheet!$E$117</f>
        <v>0</v>
      </c>
      <c r="BE51" s="140">
        <f>BD27*(1-Leadsheet!$D$91)+BD28*Leadsheet!$E$117</f>
        <v>0</v>
      </c>
      <c r="BF51" s="140">
        <f>BE27*(1-Leadsheet!$D$91)+BE28*Leadsheet!$E$117</f>
        <v>0</v>
      </c>
      <c r="BG51" s="140">
        <f>BF27*(1-Leadsheet!$D$91)+BF28*Leadsheet!$E$117</f>
        <v>0</v>
      </c>
      <c r="BH51" s="140">
        <f>BG27*(1-Leadsheet!$D$91)+BG28*Leadsheet!$E$117</f>
        <v>0</v>
      </c>
      <c r="BI51" s="140">
        <f>BH27*(1-Leadsheet!$D$91)+BH28*Leadsheet!$E$117</f>
        <v>0</v>
      </c>
      <c r="BJ51" s="140">
        <f>BI27*(1-Leadsheet!$D$91)+BI28*Leadsheet!$E$117</f>
        <v>0</v>
      </c>
      <c r="BK51" s="140">
        <f>BJ27*(1-Leadsheet!$D$91)+BJ28*Leadsheet!$E$117</f>
        <v>0</v>
      </c>
      <c r="BL51" s="140">
        <f>BK27*(1-Leadsheet!$D$91)+BK28*Leadsheet!$E$117</f>
        <v>0</v>
      </c>
    </row>
    <row r="52" spans="1:64" x14ac:dyDescent="0.15">
      <c r="BC52" s="140"/>
      <c r="BD52" s="140"/>
      <c r="BE52" s="140"/>
      <c r="BF52" s="267"/>
      <c r="BG52" s="267"/>
      <c r="BH52" s="267"/>
      <c r="BI52" s="267"/>
      <c r="BJ52" s="267"/>
      <c r="BK52" s="267"/>
      <c r="BL52" s="267"/>
    </row>
    <row r="53" spans="1:64" ht="13" thickBot="1" x14ac:dyDescent="0.2">
      <c r="A53" s="155"/>
      <c r="B53" s="274" t="s">
        <v>393</v>
      </c>
      <c r="C53" s="275"/>
      <c r="D53" s="276"/>
      <c r="E53" s="277"/>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c r="AL53" s="276"/>
      <c r="AM53" s="276"/>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6"/>
      <c r="BL53" s="276"/>
    </row>
    <row r="54" spans="1:64" ht="13" thickTop="1" x14ac:dyDescent="0.15">
      <c r="A54" s="155"/>
      <c r="B54" s="297"/>
      <c r="C54" s="155"/>
      <c r="E54" s="298"/>
    </row>
    <row r="55" spans="1:64" x14ac:dyDescent="0.15">
      <c r="B55" s="155" t="s">
        <v>192</v>
      </c>
      <c r="E55" s="299">
        <f>E57+E61+E68</f>
        <v>1.1428539941180467</v>
      </c>
      <c r="F55" s="299">
        <f t="shared" ref="F55:BL55" si="11">F57+F61+F68</f>
        <v>0.42125508782444171</v>
      </c>
      <c r="G55" s="299">
        <f t="shared" si="11"/>
        <v>0.36077338524233182</v>
      </c>
      <c r="H55" s="299">
        <f t="shared" si="11"/>
        <v>0.27944105979150186</v>
      </c>
      <c r="I55" s="299">
        <f t="shared" si="11"/>
        <v>0.24582502392145761</v>
      </c>
      <c r="J55" s="299">
        <f t="shared" si="11"/>
        <v>0.2147737108372168</v>
      </c>
      <c r="K55" s="299">
        <f t="shared" si="11"/>
        <v>0.18635290690133316</v>
      </c>
      <c r="L55" s="299">
        <f t="shared" si="11"/>
        <v>0.1608628807767653</v>
      </c>
      <c r="M55" s="299">
        <f t="shared" si="11"/>
        <v>0.1379768784909115</v>
      </c>
      <c r="N55" s="299">
        <f t="shared" si="11"/>
        <v>0.11629375521922954</v>
      </c>
      <c r="O55" s="299">
        <f t="shared" si="11"/>
        <v>9.5875764832936347E-2</v>
      </c>
      <c r="P55" s="299">
        <f t="shared" si="11"/>
        <v>7.6749356603259364E-2</v>
      </c>
      <c r="Q55" s="299">
        <f t="shared" si="11"/>
        <v>5.8923502524791484E-2</v>
      </c>
      <c r="R55" s="299">
        <f t="shared" si="11"/>
        <v>4.2363114582121331E-2</v>
      </c>
      <c r="S55" s="299">
        <f t="shared" si="11"/>
        <v>2.4784131894298615E-2</v>
      </c>
      <c r="T55" s="299">
        <f t="shared" si="11"/>
        <v>1.3181531140734025E-2</v>
      </c>
      <c r="U55" s="299">
        <f t="shared" si="11"/>
        <v>-1.8248276259795928E-3</v>
      </c>
      <c r="V55" s="299">
        <f t="shared" si="11"/>
        <v>-1.4765670644986738E-3</v>
      </c>
      <c r="W55" s="299">
        <f t="shared" si="11"/>
        <v>-9.8556371171167815E-4</v>
      </c>
      <c r="X55" s="299">
        <f t="shared" si="11"/>
        <v>-6.0927090632354765E-4</v>
      </c>
      <c r="Y55" s="299">
        <f t="shared" si="11"/>
        <v>-3.3354800050286985E-4</v>
      </c>
      <c r="Z55" s="299">
        <f t="shared" si="11"/>
        <v>-1.096816219899659E-4</v>
      </c>
      <c r="AA55" s="299">
        <f t="shared" si="11"/>
        <v>0</v>
      </c>
      <c r="AB55" s="299">
        <f t="shared" si="11"/>
        <v>0</v>
      </c>
      <c r="AC55" s="299">
        <f t="shared" si="11"/>
        <v>0</v>
      </c>
      <c r="AD55" s="299">
        <f t="shared" si="11"/>
        <v>0</v>
      </c>
      <c r="AE55" s="299">
        <f t="shared" si="11"/>
        <v>0</v>
      </c>
      <c r="AF55" s="299">
        <f t="shared" si="11"/>
        <v>0</v>
      </c>
      <c r="AG55" s="299">
        <f t="shared" si="11"/>
        <v>0</v>
      </c>
      <c r="AH55" s="299">
        <f t="shared" si="11"/>
        <v>0</v>
      </c>
      <c r="AI55" s="299">
        <f t="shared" si="11"/>
        <v>0</v>
      </c>
      <c r="AJ55" s="299">
        <f t="shared" si="11"/>
        <v>0</v>
      </c>
      <c r="AK55" s="299">
        <f t="shared" si="11"/>
        <v>0</v>
      </c>
      <c r="AL55" s="299">
        <f t="shared" si="11"/>
        <v>0</v>
      </c>
      <c r="AM55" s="299">
        <f t="shared" si="11"/>
        <v>0</v>
      </c>
      <c r="AN55" s="299">
        <f t="shared" si="11"/>
        <v>0</v>
      </c>
      <c r="AO55" s="299">
        <f t="shared" si="11"/>
        <v>0</v>
      </c>
      <c r="AP55" s="299">
        <f t="shared" si="11"/>
        <v>0</v>
      </c>
      <c r="AQ55" s="299">
        <f t="shared" si="11"/>
        <v>0</v>
      </c>
      <c r="AR55" s="299">
        <f t="shared" si="11"/>
        <v>0</v>
      </c>
      <c r="AS55" s="299">
        <f t="shared" si="11"/>
        <v>0</v>
      </c>
      <c r="AT55" s="299">
        <f t="shared" si="11"/>
        <v>0</v>
      </c>
      <c r="AU55" s="299">
        <f t="shared" si="11"/>
        <v>0</v>
      </c>
      <c r="AV55" s="299">
        <f t="shared" si="11"/>
        <v>0</v>
      </c>
      <c r="AW55" s="299">
        <f t="shared" si="11"/>
        <v>0</v>
      </c>
      <c r="AX55" s="299">
        <f t="shared" si="11"/>
        <v>0</v>
      </c>
      <c r="AY55" s="299">
        <f t="shared" si="11"/>
        <v>0</v>
      </c>
      <c r="AZ55" s="299">
        <f t="shared" si="11"/>
        <v>0</v>
      </c>
      <c r="BA55" s="299">
        <f t="shared" si="11"/>
        <v>0</v>
      </c>
      <c r="BB55" s="299">
        <f t="shared" si="11"/>
        <v>0</v>
      </c>
      <c r="BC55" s="299">
        <f t="shared" si="11"/>
        <v>0</v>
      </c>
      <c r="BD55" s="299">
        <f t="shared" si="11"/>
        <v>0</v>
      </c>
      <c r="BE55" s="299">
        <f t="shared" si="11"/>
        <v>0</v>
      </c>
      <c r="BF55" s="299">
        <f t="shared" si="11"/>
        <v>0</v>
      </c>
      <c r="BG55" s="299">
        <f t="shared" si="11"/>
        <v>0</v>
      </c>
      <c r="BH55" s="299">
        <f t="shared" si="11"/>
        <v>0</v>
      </c>
      <c r="BI55" s="299">
        <f t="shared" si="11"/>
        <v>0</v>
      </c>
      <c r="BJ55" s="299">
        <f t="shared" si="11"/>
        <v>0</v>
      </c>
      <c r="BK55" s="299">
        <f t="shared" si="11"/>
        <v>0</v>
      </c>
      <c r="BL55" s="299">
        <f t="shared" si="11"/>
        <v>0</v>
      </c>
    </row>
    <row r="56" spans="1:64" x14ac:dyDescent="0.15">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row>
    <row r="57" spans="1:64" x14ac:dyDescent="0.15">
      <c r="B57" s="155"/>
      <c r="C57" s="155" t="s">
        <v>193</v>
      </c>
      <c r="E57" s="299">
        <f t="shared" ref="E57:BL57" si="12">E58+E59</f>
        <v>0.44619416810778306</v>
      </c>
      <c r="F57" s="299">
        <f t="shared" si="12"/>
        <v>0.37263979830249949</v>
      </c>
      <c r="G57" s="299">
        <f t="shared" si="12"/>
        <v>0.31623141435320534</v>
      </c>
      <c r="H57" s="299">
        <f t="shared" si="12"/>
        <v>0.26548985367710759</v>
      </c>
      <c r="I57" s="299">
        <f t="shared" si="12"/>
        <v>0.23305535418429654</v>
      </c>
      <c r="J57" s="299">
        <f t="shared" si="12"/>
        <v>0.20315296024665949</v>
      </c>
      <c r="K57" s="299">
        <f t="shared" si="12"/>
        <v>0.17582884888798886</v>
      </c>
      <c r="L57" s="299">
        <f t="shared" si="12"/>
        <v>0.15142061150079911</v>
      </c>
      <c r="M57" s="299">
        <f t="shared" si="12"/>
        <v>0.12960505094939451</v>
      </c>
      <c r="N57" s="299">
        <f t="shared" si="12"/>
        <v>0.10898349419319923</v>
      </c>
      <c r="O57" s="299">
        <f t="shared" si="12"/>
        <v>8.9618199674388291E-2</v>
      </c>
      <c r="P57" s="299">
        <f t="shared" si="12"/>
        <v>7.1536377741995338E-2</v>
      </c>
      <c r="Q57" s="299">
        <f t="shared" si="12"/>
        <v>5.4748325570240688E-2</v>
      </c>
      <c r="R57" s="299">
        <f t="shared" si="12"/>
        <v>3.9220928096554246E-2</v>
      </c>
      <c r="S57" s="299">
        <f t="shared" si="12"/>
        <v>2.4784131894298615E-2</v>
      </c>
      <c r="T57" s="299">
        <f t="shared" si="12"/>
        <v>1.3181531140734025E-2</v>
      </c>
      <c r="U57" s="299">
        <f t="shared" si="12"/>
        <v>-1.8248276259795928E-3</v>
      </c>
      <c r="V57" s="299">
        <f t="shared" si="12"/>
        <v>-1.4765670644986738E-3</v>
      </c>
      <c r="W57" s="299">
        <f t="shared" si="12"/>
        <v>-9.8556371171167815E-4</v>
      </c>
      <c r="X57" s="299">
        <f t="shared" si="12"/>
        <v>-6.0927090632354765E-4</v>
      </c>
      <c r="Y57" s="299">
        <f t="shared" si="12"/>
        <v>-3.3354800050286985E-4</v>
      </c>
      <c r="Z57" s="299">
        <f t="shared" si="12"/>
        <v>-1.096816219899659E-4</v>
      </c>
      <c r="AA57" s="299">
        <f t="shared" si="12"/>
        <v>0</v>
      </c>
      <c r="AB57" s="299">
        <f t="shared" si="12"/>
        <v>0</v>
      </c>
      <c r="AC57" s="299">
        <f t="shared" si="12"/>
        <v>0</v>
      </c>
      <c r="AD57" s="299">
        <f t="shared" si="12"/>
        <v>0</v>
      </c>
      <c r="AE57" s="299">
        <f t="shared" si="12"/>
        <v>0</v>
      </c>
      <c r="AF57" s="299">
        <f t="shared" si="12"/>
        <v>0</v>
      </c>
      <c r="AG57" s="299">
        <f t="shared" si="12"/>
        <v>0</v>
      </c>
      <c r="AH57" s="299">
        <f t="shared" si="12"/>
        <v>0</v>
      </c>
      <c r="AI57" s="299">
        <f t="shared" si="12"/>
        <v>0</v>
      </c>
      <c r="AJ57" s="299">
        <f t="shared" si="12"/>
        <v>0</v>
      </c>
      <c r="AK57" s="299">
        <f t="shared" si="12"/>
        <v>0</v>
      </c>
      <c r="AL57" s="299">
        <f t="shared" si="12"/>
        <v>0</v>
      </c>
      <c r="AM57" s="299">
        <f t="shared" si="12"/>
        <v>0</v>
      </c>
      <c r="AN57" s="299">
        <f t="shared" si="12"/>
        <v>0</v>
      </c>
      <c r="AO57" s="299">
        <f t="shared" si="12"/>
        <v>0</v>
      </c>
      <c r="AP57" s="299">
        <f t="shared" si="12"/>
        <v>0</v>
      </c>
      <c r="AQ57" s="299">
        <f t="shared" si="12"/>
        <v>0</v>
      </c>
      <c r="AR57" s="299">
        <f t="shared" si="12"/>
        <v>0</v>
      </c>
      <c r="AS57" s="299">
        <f t="shared" si="12"/>
        <v>0</v>
      </c>
      <c r="AT57" s="299">
        <f t="shared" si="12"/>
        <v>0</v>
      </c>
      <c r="AU57" s="299">
        <f t="shared" si="12"/>
        <v>0</v>
      </c>
      <c r="AV57" s="299">
        <f t="shared" si="12"/>
        <v>0</v>
      </c>
      <c r="AW57" s="299">
        <f t="shared" si="12"/>
        <v>0</v>
      </c>
      <c r="AX57" s="299">
        <f t="shared" si="12"/>
        <v>0</v>
      </c>
      <c r="AY57" s="299">
        <f t="shared" si="12"/>
        <v>0</v>
      </c>
      <c r="AZ57" s="299">
        <f t="shared" si="12"/>
        <v>0</v>
      </c>
      <c r="BA57" s="299">
        <f t="shared" si="12"/>
        <v>0</v>
      </c>
      <c r="BB57" s="299">
        <f t="shared" si="12"/>
        <v>0</v>
      </c>
      <c r="BC57" s="299">
        <f t="shared" si="12"/>
        <v>0</v>
      </c>
      <c r="BD57" s="299">
        <f t="shared" si="12"/>
        <v>0</v>
      </c>
      <c r="BE57" s="299">
        <f t="shared" si="12"/>
        <v>0</v>
      </c>
      <c r="BF57" s="299">
        <f t="shared" si="12"/>
        <v>0</v>
      </c>
      <c r="BG57" s="299">
        <f t="shared" si="12"/>
        <v>0</v>
      </c>
      <c r="BH57" s="299">
        <f t="shared" si="12"/>
        <v>0</v>
      </c>
      <c r="BI57" s="299">
        <f t="shared" si="12"/>
        <v>0</v>
      </c>
      <c r="BJ57" s="299">
        <f t="shared" si="12"/>
        <v>0</v>
      </c>
      <c r="BK57" s="299">
        <f t="shared" si="12"/>
        <v>0</v>
      </c>
      <c r="BL57" s="299">
        <f t="shared" si="12"/>
        <v>0</v>
      </c>
    </row>
    <row r="58" spans="1:64" s="155" customFormat="1" x14ac:dyDescent="0.15">
      <c r="C58" s="84" t="s">
        <v>207</v>
      </c>
      <c r="D58" s="299"/>
      <c r="E58" s="140">
        <f>IFERROR(E$51*D$11/12,0)</f>
        <v>0.53200480404674089</v>
      </c>
      <c r="F58" s="140">
        <f t="shared" ref="F58:BL58" si="13">IFERROR(F$51*E$11/12,0)</f>
        <v>0.44847687106269341</v>
      </c>
      <c r="G58" s="140">
        <f t="shared" si="13"/>
        <v>0.38381901705254817</v>
      </c>
      <c r="H58" s="140">
        <f t="shared" si="13"/>
        <v>0.32665813616707307</v>
      </c>
      <c r="I58" s="140">
        <f t="shared" si="13"/>
        <v>0.28941687966562846</v>
      </c>
      <c r="J58" s="140">
        <f t="shared" si="13"/>
        <v>0.25491472685476496</v>
      </c>
      <c r="K58" s="140">
        <f t="shared" si="13"/>
        <v>0.22318796794623544</v>
      </c>
      <c r="L58" s="140">
        <f t="shared" si="13"/>
        <v>0.19338069158747115</v>
      </c>
      <c r="M58" s="140">
        <f t="shared" si="13"/>
        <v>0.16537704590604177</v>
      </c>
      <c r="N58" s="140">
        <f t="shared" si="13"/>
        <v>0.13910478641902771</v>
      </c>
      <c r="O58" s="140">
        <f t="shared" si="13"/>
        <v>0.1145435170586457</v>
      </c>
      <c r="P58" s="140">
        <f t="shared" si="13"/>
        <v>9.1660723648752204E-2</v>
      </c>
      <c r="Q58" s="140">
        <f t="shared" si="13"/>
        <v>7.0416545907780931E-2</v>
      </c>
      <c r="R58" s="140">
        <f t="shared" si="13"/>
        <v>5.0764581943848863E-2</v>
      </c>
      <c r="S58" s="140">
        <f t="shared" si="13"/>
        <v>3.2649908428785367E-2</v>
      </c>
      <c r="T58" s="140">
        <f t="shared" si="13"/>
        <v>1.7508160845273738E-2</v>
      </c>
      <c r="U58" s="140">
        <f t="shared" si="13"/>
        <v>2.9363536493475233E-4</v>
      </c>
      <c r="V58" s="140">
        <f t="shared" si="13"/>
        <v>0</v>
      </c>
      <c r="W58" s="140">
        <f t="shared" si="13"/>
        <v>0</v>
      </c>
      <c r="X58" s="140">
        <f t="shared" si="13"/>
        <v>0</v>
      </c>
      <c r="Y58" s="140">
        <f t="shared" si="13"/>
        <v>0</v>
      </c>
      <c r="Z58" s="140">
        <f t="shared" si="13"/>
        <v>0</v>
      </c>
      <c r="AA58" s="140">
        <f t="shared" si="13"/>
        <v>0</v>
      </c>
      <c r="AB58" s="140">
        <f t="shared" si="13"/>
        <v>0</v>
      </c>
      <c r="AC58" s="140">
        <f t="shared" si="13"/>
        <v>0</v>
      </c>
      <c r="AD58" s="140">
        <f t="shared" si="13"/>
        <v>0</v>
      </c>
      <c r="AE58" s="140">
        <f t="shared" si="13"/>
        <v>0</v>
      </c>
      <c r="AF58" s="140">
        <f t="shared" si="13"/>
        <v>0</v>
      </c>
      <c r="AG58" s="140">
        <f t="shared" si="13"/>
        <v>0</v>
      </c>
      <c r="AH58" s="140">
        <f t="shared" si="13"/>
        <v>0</v>
      </c>
      <c r="AI58" s="140">
        <f t="shared" si="13"/>
        <v>0</v>
      </c>
      <c r="AJ58" s="140">
        <f t="shared" si="13"/>
        <v>0</v>
      </c>
      <c r="AK58" s="140">
        <f t="shared" si="13"/>
        <v>0</v>
      </c>
      <c r="AL58" s="140">
        <f t="shared" si="13"/>
        <v>0</v>
      </c>
      <c r="AM58" s="140">
        <f t="shared" si="13"/>
        <v>0</v>
      </c>
      <c r="AN58" s="140">
        <f t="shared" si="13"/>
        <v>0</v>
      </c>
      <c r="AO58" s="140">
        <f t="shared" si="13"/>
        <v>0</v>
      </c>
      <c r="AP58" s="140">
        <f t="shared" si="13"/>
        <v>0</v>
      </c>
      <c r="AQ58" s="140">
        <f t="shared" si="13"/>
        <v>0</v>
      </c>
      <c r="AR58" s="140">
        <f t="shared" si="13"/>
        <v>0</v>
      </c>
      <c r="AS58" s="140">
        <f t="shared" si="13"/>
        <v>0</v>
      </c>
      <c r="AT58" s="140">
        <f t="shared" si="13"/>
        <v>0</v>
      </c>
      <c r="AU58" s="140">
        <f t="shared" si="13"/>
        <v>0</v>
      </c>
      <c r="AV58" s="140">
        <f t="shared" si="13"/>
        <v>0</v>
      </c>
      <c r="AW58" s="140">
        <f t="shared" si="13"/>
        <v>0</v>
      </c>
      <c r="AX58" s="140">
        <f t="shared" si="13"/>
        <v>0</v>
      </c>
      <c r="AY58" s="140">
        <f t="shared" si="13"/>
        <v>0</v>
      </c>
      <c r="AZ58" s="140">
        <f t="shared" si="13"/>
        <v>0</v>
      </c>
      <c r="BA58" s="140">
        <f t="shared" si="13"/>
        <v>0</v>
      </c>
      <c r="BB58" s="140">
        <f t="shared" si="13"/>
        <v>0</v>
      </c>
      <c r="BC58" s="140">
        <f t="shared" si="13"/>
        <v>0</v>
      </c>
      <c r="BD58" s="140">
        <f t="shared" si="13"/>
        <v>0</v>
      </c>
      <c r="BE58" s="140">
        <f t="shared" si="13"/>
        <v>0</v>
      </c>
      <c r="BF58" s="140">
        <f t="shared" si="13"/>
        <v>0</v>
      </c>
      <c r="BG58" s="140">
        <f t="shared" si="13"/>
        <v>0</v>
      </c>
      <c r="BH58" s="140">
        <f t="shared" si="13"/>
        <v>0</v>
      </c>
      <c r="BI58" s="140">
        <f t="shared" si="13"/>
        <v>0</v>
      </c>
      <c r="BJ58" s="140">
        <f t="shared" si="13"/>
        <v>0</v>
      </c>
      <c r="BK58" s="140">
        <f t="shared" si="13"/>
        <v>0</v>
      </c>
      <c r="BL58" s="140">
        <f t="shared" si="13"/>
        <v>0</v>
      </c>
    </row>
    <row r="59" spans="1:64" s="155" customFormat="1" x14ac:dyDescent="0.15">
      <c r="C59" s="173" t="s">
        <v>209</v>
      </c>
      <c r="E59" s="140">
        <f t="shared" ref="E59:BL59" si="14">-IFERROR(E50*D12/12,0)</f>
        <v>-8.5810635938957838E-2</v>
      </c>
      <c r="F59" s="140">
        <f t="shared" si="14"/>
        <v>-7.5837072760193941E-2</v>
      </c>
      <c r="G59" s="140">
        <f t="shared" si="14"/>
        <v>-6.7587602699342844E-2</v>
      </c>
      <c r="H59" s="140">
        <f t="shared" si="14"/>
        <v>-6.1168282489965496E-2</v>
      </c>
      <c r="I59" s="140">
        <f t="shared" si="14"/>
        <v>-5.6361525481331914E-2</v>
      </c>
      <c r="J59" s="140">
        <f t="shared" si="14"/>
        <v>-5.1761766608105463E-2</v>
      </c>
      <c r="K59" s="140">
        <f t="shared" si="14"/>
        <v>-4.7359119058246572E-2</v>
      </c>
      <c r="L59" s="140">
        <f t="shared" si="14"/>
        <v>-4.1960080086672048E-2</v>
      </c>
      <c r="M59" s="140">
        <f t="shared" si="14"/>
        <v>-3.5771994956647249E-2</v>
      </c>
      <c r="N59" s="140">
        <f t="shared" si="14"/>
        <v>-3.0121292225828475E-2</v>
      </c>
      <c r="O59" s="140">
        <f t="shared" si="14"/>
        <v>-2.4925317384257406E-2</v>
      </c>
      <c r="P59" s="140">
        <f t="shared" si="14"/>
        <v>-2.0124345906756866E-2</v>
      </c>
      <c r="Q59" s="140">
        <f t="shared" si="14"/>
        <v>-1.5668220337540239E-2</v>
      </c>
      <c r="R59" s="140">
        <f t="shared" si="14"/>
        <v>-1.1543653847294616E-2</v>
      </c>
      <c r="S59" s="140">
        <f t="shared" si="14"/>
        <v>-7.8657765344867531E-3</v>
      </c>
      <c r="T59" s="140">
        <f t="shared" si="14"/>
        <v>-4.3266297045397141E-3</v>
      </c>
      <c r="U59" s="140">
        <f t="shared" si="14"/>
        <v>-2.1184629909143451E-3</v>
      </c>
      <c r="V59" s="140">
        <f t="shared" si="14"/>
        <v>-1.4765670644986738E-3</v>
      </c>
      <c r="W59" s="140">
        <f t="shared" si="14"/>
        <v>-9.8556371171167815E-4</v>
      </c>
      <c r="X59" s="140">
        <f t="shared" si="14"/>
        <v>-6.0927090632354765E-4</v>
      </c>
      <c r="Y59" s="140">
        <f t="shared" si="14"/>
        <v>-3.3354800050286985E-4</v>
      </c>
      <c r="Z59" s="140">
        <f t="shared" si="14"/>
        <v>-1.096816219899659E-4</v>
      </c>
      <c r="AA59" s="140">
        <f t="shared" si="14"/>
        <v>0</v>
      </c>
      <c r="AB59" s="140">
        <f t="shared" si="14"/>
        <v>0</v>
      </c>
      <c r="AC59" s="140">
        <f t="shared" si="14"/>
        <v>0</v>
      </c>
      <c r="AD59" s="140">
        <f t="shared" si="14"/>
        <v>0</v>
      </c>
      <c r="AE59" s="140">
        <f t="shared" si="14"/>
        <v>0</v>
      </c>
      <c r="AF59" s="140">
        <f t="shared" si="14"/>
        <v>0</v>
      </c>
      <c r="AG59" s="140">
        <f t="shared" si="14"/>
        <v>0</v>
      </c>
      <c r="AH59" s="140">
        <f t="shared" si="14"/>
        <v>0</v>
      </c>
      <c r="AI59" s="140">
        <f t="shared" si="14"/>
        <v>0</v>
      </c>
      <c r="AJ59" s="140">
        <f t="shared" si="14"/>
        <v>0</v>
      </c>
      <c r="AK59" s="140">
        <f t="shared" si="14"/>
        <v>0</v>
      </c>
      <c r="AL59" s="140">
        <f t="shared" si="14"/>
        <v>0</v>
      </c>
      <c r="AM59" s="140">
        <f t="shared" si="14"/>
        <v>0</v>
      </c>
      <c r="AN59" s="140">
        <f t="shared" si="14"/>
        <v>0</v>
      </c>
      <c r="AO59" s="140">
        <f t="shared" si="14"/>
        <v>0</v>
      </c>
      <c r="AP59" s="140">
        <f t="shared" si="14"/>
        <v>0</v>
      </c>
      <c r="AQ59" s="140">
        <f t="shared" si="14"/>
        <v>0</v>
      </c>
      <c r="AR59" s="140">
        <f t="shared" si="14"/>
        <v>0</v>
      </c>
      <c r="AS59" s="140">
        <f t="shared" si="14"/>
        <v>0</v>
      </c>
      <c r="AT59" s="140">
        <f t="shared" si="14"/>
        <v>0</v>
      </c>
      <c r="AU59" s="140">
        <f t="shared" si="14"/>
        <v>0</v>
      </c>
      <c r="AV59" s="140">
        <f t="shared" si="14"/>
        <v>0</v>
      </c>
      <c r="AW59" s="140">
        <f t="shared" si="14"/>
        <v>0</v>
      </c>
      <c r="AX59" s="140">
        <f t="shared" si="14"/>
        <v>0</v>
      </c>
      <c r="AY59" s="140">
        <f t="shared" si="14"/>
        <v>0</v>
      </c>
      <c r="AZ59" s="140">
        <f t="shared" si="14"/>
        <v>0</v>
      </c>
      <c r="BA59" s="140">
        <f t="shared" si="14"/>
        <v>0</v>
      </c>
      <c r="BB59" s="140">
        <f t="shared" si="14"/>
        <v>0</v>
      </c>
      <c r="BC59" s="140">
        <f t="shared" si="14"/>
        <v>0</v>
      </c>
      <c r="BD59" s="140">
        <f t="shared" si="14"/>
        <v>0</v>
      </c>
      <c r="BE59" s="140">
        <f t="shared" si="14"/>
        <v>0</v>
      </c>
      <c r="BF59" s="140">
        <f t="shared" si="14"/>
        <v>0</v>
      </c>
      <c r="BG59" s="140">
        <f t="shared" si="14"/>
        <v>0</v>
      </c>
      <c r="BH59" s="140">
        <f t="shared" si="14"/>
        <v>0</v>
      </c>
      <c r="BI59" s="140">
        <f t="shared" si="14"/>
        <v>0</v>
      </c>
      <c r="BJ59" s="140">
        <f t="shared" si="14"/>
        <v>0</v>
      </c>
      <c r="BK59" s="140">
        <f t="shared" si="14"/>
        <v>0</v>
      </c>
      <c r="BL59" s="140">
        <f t="shared" si="14"/>
        <v>0</v>
      </c>
    </row>
    <row r="61" spans="1:64" x14ac:dyDescent="0.15">
      <c r="B61" s="155"/>
      <c r="C61" s="155" t="s">
        <v>194</v>
      </c>
      <c r="E61" s="299">
        <f>SUM(E62:E64)</f>
        <v>0.69665982601026355</v>
      </c>
      <c r="F61" s="299">
        <f t="shared" ref="F61:BL61" si="15">SUM(F62:F64)</f>
        <v>4.8615289521942211E-2</v>
      </c>
      <c r="G61" s="299">
        <f t="shared" si="15"/>
        <v>4.4541970889126495E-2</v>
      </c>
      <c r="H61" s="299">
        <f t="shared" si="15"/>
        <v>1.3951206114394283E-2</v>
      </c>
      <c r="I61" s="299">
        <f t="shared" si="15"/>
        <v>1.2769669737161052E-2</v>
      </c>
      <c r="J61" s="299">
        <f t="shared" si="15"/>
        <v>1.16207505905573E-2</v>
      </c>
      <c r="K61" s="299">
        <f t="shared" si="15"/>
        <v>1.0524058013344313E-2</v>
      </c>
      <c r="L61" s="299">
        <f t="shared" si="15"/>
        <v>9.4422692759661975E-3</v>
      </c>
      <c r="M61" s="299">
        <f t="shared" si="15"/>
        <v>8.3718275415169945E-3</v>
      </c>
      <c r="N61" s="299">
        <f t="shared" si="15"/>
        <v>7.3102610260302979E-3</v>
      </c>
      <c r="O61" s="299">
        <f t="shared" si="15"/>
        <v>6.2575651585480598E-3</v>
      </c>
      <c r="P61" s="299">
        <f t="shared" si="15"/>
        <v>5.212978861264028E-3</v>
      </c>
      <c r="Q61" s="299">
        <f t="shared" si="15"/>
        <v>4.1751769545507944E-3</v>
      </c>
      <c r="R61" s="299">
        <f t="shared" si="15"/>
        <v>3.1421864855670856E-3</v>
      </c>
      <c r="S61" s="299">
        <f t="shared" si="15"/>
        <v>0</v>
      </c>
      <c r="T61" s="299">
        <f t="shared" si="15"/>
        <v>0</v>
      </c>
      <c r="U61" s="299">
        <f t="shared" si="15"/>
        <v>0</v>
      </c>
      <c r="V61" s="299">
        <f t="shared" si="15"/>
        <v>0</v>
      </c>
      <c r="W61" s="299">
        <f t="shared" si="15"/>
        <v>0</v>
      </c>
      <c r="X61" s="299">
        <f t="shared" si="15"/>
        <v>0</v>
      </c>
      <c r="Y61" s="299">
        <f t="shared" si="15"/>
        <v>0</v>
      </c>
      <c r="Z61" s="299">
        <f t="shared" si="15"/>
        <v>0</v>
      </c>
      <c r="AA61" s="299">
        <f t="shared" si="15"/>
        <v>0</v>
      </c>
      <c r="AB61" s="299">
        <f t="shared" si="15"/>
        <v>0</v>
      </c>
      <c r="AC61" s="299">
        <f t="shared" si="15"/>
        <v>0</v>
      </c>
      <c r="AD61" s="299">
        <f t="shared" si="15"/>
        <v>0</v>
      </c>
      <c r="AE61" s="299">
        <f t="shared" si="15"/>
        <v>0</v>
      </c>
      <c r="AF61" s="299">
        <f t="shared" si="15"/>
        <v>0</v>
      </c>
      <c r="AG61" s="299">
        <f t="shared" si="15"/>
        <v>0</v>
      </c>
      <c r="AH61" s="299">
        <f t="shared" si="15"/>
        <v>0</v>
      </c>
      <c r="AI61" s="299">
        <f t="shared" si="15"/>
        <v>0</v>
      </c>
      <c r="AJ61" s="299">
        <f t="shared" si="15"/>
        <v>0</v>
      </c>
      <c r="AK61" s="299">
        <f t="shared" si="15"/>
        <v>0</v>
      </c>
      <c r="AL61" s="299">
        <f t="shared" si="15"/>
        <v>0</v>
      </c>
      <c r="AM61" s="299">
        <f t="shared" si="15"/>
        <v>0</v>
      </c>
      <c r="AN61" s="299">
        <f t="shared" si="15"/>
        <v>0</v>
      </c>
      <c r="AO61" s="299">
        <f t="shared" si="15"/>
        <v>0</v>
      </c>
      <c r="AP61" s="299">
        <f t="shared" si="15"/>
        <v>0</v>
      </c>
      <c r="AQ61" s="299">
        <f t="shared" si="15"/>
        <v>0</v>
      </c>
      <c r="AR61" s="299">
        <f t="shared" si="15"/>
        <v>0</v>
      </c>
      <c r="AS61" s="299">
        <f t="shared" si="15"/>
        <v>0</v>
      </c>
      <c r="AT61" s="299">
        <f t="shared" si="15"/>
        <v>0</v>
      </c>
      <c r="AU61" s="299">
        <f t="shared" si="15"/>
        <v>0</v>
      </c>
      <c r="AV61" s="299">
        <f t="shared" si="15"/>
        <v>0</v>
      </c>
      <c r="AW61" s="299">
        <f t="shared" si="15"/>
        <v>0</v>
      </c>
      <c r="AX61" s="299">
        <f t="shared" si="15"/>
        <v>0</v>
      </c>
      <c r="AY61" s="299">
        <f t="shared" si="15"/>
        <v>0</v>
      </c>
      <c r="AZ61" s="299">
        <f t="shared" si="15"/>
        <v>0</v>
      </c>
      <c r="BA61" s="299">
        <f t="shared" si="15"/>
        <v>0</v>
      </c>
      <c r="BB61" s="299">
        <f t="shared" si="15"/>
        <v>0</v>
      </c>
      <c r="BC61" s="299">
        <f t="shared" si="15"/>
        <v>0</v>
      </c>
      <c r="BD61" s="299">
        <f t="shared" si="15"/>
        <v>0</v>
      </c>
      <c r="BE61" s="299">
        <f t="shared" si="15"/>
        <v>0</v>
      </c>
      <c r="BF61" s="299">
        <f t="shared" si="15"/>
        <v>0</v>
      </c>
      <c r="BG61" s="299">
        <f t="shared" si="15"/>
        <v>0</v>
      </c>
      <c r="BH61" s="299">
        <f t="shared" si="15"/>
        <v>0</v>
      </c>
      <c r="BI61" s="299">
        <f t="shared" si="15"/>
        <v>0</v>
      </c>
      <c r="BJ61" s="299">
        <f t="shared" si="15"/>
        <v>0</v>
      </c>
      <c r="BK61" s="299">
        <f t="shared" si="15"/>
        <v>0</v>
      </c>
      <c r="BL61" s="299">
        <f t="shared" si="15"/>
        <v>0</v>
      </c>
    </row>
    <row r="62" spans="1:64" x14ac:dyDescent="0.15">
      <c r="C62" s="173" t="s">
        <v>210</v>
      </c>
      <c r="E62" s="140">
        <f t="shared" ref="E62:BL62" si="16">-E18*E14</f>
        <v>7.2225175115120277E-2</v>
      </c>
      <c r="F62" s="140">
        <f t="shared" si="16"/>
        <v>4.8615289521942211E-2</v>
      </c>
      <c r="G62" s="140">
        <f t="shared" si="16"/>
        <v>4.4541970889126495E-2</v>
      </c>
      <c r="H62" s="140">
        <f t="shared" si="16"/>
        <v>1.3951206114394283E-2</v>
      </c>
      <c r="I62" s="140">
        <f t="shared" si="16"/>
        <v>1.2769669737161052E-2</v>
      </c>
      <c r="J62" s="140">
        <f t="shared" si="16"/>
        <v>1.16207505905573E-2</v>
      </c>
      <c r="K62" s="140">
        <f t="shared" si="16"/>
        <v>1.0524058013344313E-2</v>
      </c>
      <c r="L62" s="140">
        <f t="shared" si="16"/>
        <v>9.4422692759661975E-3</v>
      </c>
      <c r="M62" s="140">
        <f t="shared" si="16"/>
        <v>8.3718275415169945E-3</v>
      </c>
      <c r="N62" s="140">
        <f t="shared" si="16"/>
        <v>7.3102610260302979E-3</v>
      </c>
      <c r="O62" s="140">
        <f t="shared" si="16"/>
        <v>6.2575651585480598E-3</v>
      </c>
      <c r="P62" s="140">
        <f t="shared" si="16"/>
        <v>5.212978861264028E-3</v>
      </c>
      <c r="Q62" s="140">
        <f t="shared" si="16"/>
        <v>4.1751769545507944E-3</v>
      </c>
      <c r="R62" s="140">
        <f t="shared" si="16"/>
        <v>3.1421864855670856E-3</v>
      </c>
      <c r="S62" s="140">
        <f t="shared" si="16"/>
        <v>0</v>
      </c>
      <c r="T62" s="140">
        <f t="shared" si="16"/>
        <v>0</v>
      </c>
      <c r="U62" s="140">
        <f t="shared" si="16"/>
        <v>0</v>
      </c>
      <c r="V62" s="140">
        <f t="shared" si="16"/>
        <v>0</v>
      </c>
      <c r="W62" s="140">
        <f t="shared" si="16"/>
        <v>0</v>
      </c>
      <c r="X62" s="140">
        <f t="shared" si="16"/>
        <v>0</v>
      </c>
      <c r="Y62" s="140">
        <f t="shared" si="16"/>
        <v>0</v>
      </c>
      <c r="Z62" s="140">
        <f t="shared" si="16"/>
        <v>0</v>
      </c>
      <c r="AA62" s="140">
        <f t="shared" si="16"/>
        <v>0</v>
      </c>
      <c r="AB62" s="140">
        <f t="shared" si="16"/>
        <v>0</v>
      </c>
      <c r="AC62" s="140">
        <f t="shared" si="16"/>
        <v>0</v>
      </c>
      <c r="AD62" s="140">
        <f t="shared" si="16"/>
        <v>0</v>
      </c>
      <c r="AE62" s="140">
        <f t="shared" si="16"/>
        <v>0</v>
      </c>
      <c r="AF62" s="140">
        <f t="shared" si="16"/>
        <v>0</v>
      </c>
      <c r="AG62" s="140">
        <f t="shared" si="16"/>
        <v>0</v>
      </c>
      <c r="AH62" s="140">
        <f t="shared" si="16"/>
        <v>0</v>
      </c>
      <c r="AI62" s="140">
        <f t="shared" si="16"/>
        <v>0</v>
      </c>
      <c r="AJ62" s="140">
        <f t="shared" si="16"/>
        <v>0</v>
      </c>
      <c r="AK62" s="140">
        <f t="shared" si="16"/>
        <v>0</v>
      </c>
      <c r="AL62" s="140">
        <f t="shared" si="16"/>
        <v>0</v>
      </c>
      <c r="AM62" s="140">
        <f t="shared" si="16"/>
        <v>0</v>
      </c>
      <c r="AN62" s="140">
        <f t="shared" si="16"/>
        <v>0</v>
      </c>
      <c r="AO62" s="140">
        <f t="shared" si="16"/>
        <v>0</v>
      </c>
      <c r="AP62" s="140">
        <f t="shared" si="16"/>
        <v>0</v>
      </c>
      <c r="AQ62" s="140">
        <f t="shared" si="16"/>
        <v>0</v>
      </c>
      <c r="AR62" s="140">
        <f t="shared" si="16"/>
        <v>0</v>
      </c>
      <c r="AS62" s="140">
        <f t="shared" si="16"/>
        <v>0</v>
      </c>
      <c r="AT62" s="140">
        <f t="shared" si="16"/>
        <v>0</v>
      </c>
      <c r="AU62" s="140">
        <f t="shared" si="16"/>
        <v>0</v>
      </c>
      <c r="AV62" s="140">
        <f t="shared" si="16"/>
        <v>0</v>
      </c>
      <c r="AW62" s="140">
        <f t="shared" si="16"/>
        <v>0</v>
      </c>
      <c r="AX62" s="140">
        <f t="shared" si="16"/>
        <v>0</v>
      </c>
      <c r="AY62" s="140">
        <f t="shared" si="16"/>
        <v>0</v>
      </c>
      <c r="AZ62" s="140">
        <f t="shared" si="16"/>
        <v>0</v>
      </c>
      <c r="BA62" s="140">
        <f t="shared" si="16"/>
        <v>0</v>
      </c>
      <c r="BB62" s="140">
        <f t="shared" si="16"/>
        <v>0</v>
      </c>
      <c r="BC62" s="140">
        <f t="shared" si="16"/>
        <v>0</v>
      </c>
      <c r="BD62" s="140">
        <f t="shared" si="16"/>
        <v>0</v>
      </c>
      <c r="BE62" s="140">
        <f t="shared" si="16"/>
        <v>0</v>
      </c>
      <c r="BF62" s="140">
        <f t="shared" si="16"/>
        <v>0</v>
      </c>
      <c r="BG62" s="140">
        <f t="shared" si="16"/>
        <v>0</v>
      </c>
      <c r="BH62" s="140">
        <f t="shared" si="16"/>
        <v>0</v>
      </c>
      <c r="BI62" s="140">
        <f t="shared" si="16"/>
        <v>0</v>
      </c>
      <c r="BJ62" s="140">
        <f t="shared" si="16"/>
        <v>0</v>
      </c>
      <c r="BK62" s="140">
        <f t="shared" si="16"/>
        <v>0</v>
      </c>
      <c r="BL62" s="140">
        <f t="shared" si="16"/>
        <v>0</v>
      </c>
    </row>
    <row r="63" spans="1:64" x14ac:dyDescent="0.15">
      <c r="A63" s="155"/>
      <c r="C63" s="173" t="s">
        <v>394</v>
      </c>
      <c r="E63" s="140">
        <f>Leadsheet!E10*Leadsheet!E33*Leadsheet!E35*Leadsheet!E36+Leadsheet!E10/(1+Leadsheet!E34*Leadsheet!E35)*Leadsheet!E34*Leadsheet!E35*Leadsheet!E36</f>
        <v>0.62443465089514327</v>
      </c>
    </row>
    <row r="64" spans="1:64" x14ac:dyDescent="0.15">
      <c r="C64" s="84" t="s">
        <v>86</v>
      </c>
      <c r="E64" s="140">
        <f>SUM(E65:E66)</f>
        <v>0</v>
      </c>
      <c r="F64" s="140">
        <f t="shared" ref="F64:BL64" si="17">SUM(F65:F66)</f>
        <v>0</v>
      </c>
      <c r="G64" s="140">
        <f t="shared" si="17"/>
        <v>0</v>
      </c>
      <c r="H64" s="140">
        <f t="shared" si="17"/>
        <v>0</v>
      </c>
      <c r="I64" s="140">
        <f t="shared" si="17"/>
        <v>0</v>
      </c>
      <c r="J64" s="140">
        <f t="shared" si="17"/>
        <v>0</v>
      </c>
      <c r="K64" s="140">
        <f t="shared" si="17"/>
        <v>0</v>
      </c>
      <c r="L64" s="140">
        <f t="shared" si="17"/>
        <v>0</v>
      </c>
      <c r="M64" s="140">
        <f t="shared" si="17"/>
        <v>0</v>
      </c>
      <c r="N64" s="140">
        <f t="shared" si="17"/>
        <v>0</v>
      </c>
      <c r="O64" s="140">
        <f t="shared" si="17"/>
        <v>0</v>
      </c>
      <c r="P64" s="140">
        <f t="shared" si="17"/>
        <v>0</v>
      </c>
      <c r="Q64" s="140">
        <f t="shared" si="17"/>
        <v>0</v>
      </c>
      <c r="R64" s="140">
        <f t="shared" si="17"/>
        <v>0</v>
      </c>
      <c r="S64" s="140">
        <f t="shared" si="17"/>
        <v>0</v>
      </c>
      <c r="T64" s="140">
        <f t="shared" si="17"/>
        <v>0</v>
      </c>
      <c r="U64" s="140">
        <f t="shared" si="17"/>
        <v>0</v>
      </c>
      <c r="V64" s="140">
        <f t="shared" si="17"/>
        <v>0</v>
      </c>
      <c r="W64" s="140">
        <f t="shared" si="17"/>
        <v>0</v>
      </c>
      <c r="X64" s="140">
        <f t="shared" si="17"/>
        <v>0</v>
      </c>
      <c r="Y64" s="140">
        <f t="shared" si="17"/>
        <v>0</v>
      </c>
      <c r="Z64" s="140">
        <f t="shared" si="17"/>
        <v>0</v>
      </c>
      <c r="AA64" s="140">
        <f t="shared" si="17"/>
        <v>0</v>
      </c>
      <c r="AB64" s="140">
        <f t="shared" si="17"/>
        <v>0</v>
      </c>
      <c r="AC64" s="140">
        <f t="shared" si="17"/>
        <v>0</v>
      </c>
      <c r="AD64" s="140">
        <f t="shared" si="17"/>
        <v>0</v>
      </c>
      <c r="AE64" s="140">
        <f t="shared" si="17"/>
        <v>0</v>
      </c>
      <c r="AF64" s="140">
        <f t="shared" si="17"/>
        <v>0</v>
      </c>
      <c r="AG64" s="140">
        <f t="shared" si="17"/>
        <v>0</v>
      </c>
      <c r="AH64" s="140">
        <f t="shared" si="17"/>
        <v>0</v>
      </c>
      <c r="AI64" s="140">
        <f t="shared" si="17"/>
        <v>0</v>
      </c>
      <c r="AJ64" s="140">
        <f t="shared" si="17"/>
        <v>0</v>
      </c>
      <c r="AK64" s="140">
        <f t="shared" si="17"/>
        <v>0</v>
      </c>
      <c r="AL64" s="140">
        <f t="shared" si="17"/>
        <v>0</v>
      </c>
      <c r="AM64" s="140">
        <f t="shared" si="17"/>
        <v>0</v>
      </c>
      <c r="AN64" s="140">
        <f t="shared" si="17"/>
        <v>0</v>
      </c>
      <c r="AO64" s="140">
        <f t="shared" si="17"/>
        <v>0</v>
      </c>
      <c r="AP64" s="140">
        <f t="shared" si="17"/>
        <v>0</v>
      </c>
      <c r="AQ64" s="140">
        <f t="shared" si="17"/>
        <v>0</v>
      </c>
      <c r="AR64" s="140">
        <f t="shared" si="17"/>
        <v>0</v>
      </c>
      <c r="AS64" s="140">
        <f t="shared" si="17"/>
        <v>0</v>
      </c>
      <c r="AT64" s="140">
        <f t="shared" si="17"/>
        <v>0</v>
      </c>
      <c r="AU64" s="140">
        <f t="shared" si="17"/>
        <v>0</v>
      </c>
      <c r="AV64" s="140">
        <f t="shared" si="17"/>
        <v>0</v>
      </c>
      <c r="AW64" s="140">
        <f t="shared" si="17"/>
        <v>0</v>
      </c>
      <c r="AX64" s="140">
        <f t="shared" si="17"/>
        <v>0</v>
      </c>
      <c r="AY64" s="140">
        <f t="shared" si="17"/>
        <v>0</v>
      </c>
      <c r="AZ64" s="140">
        <f t="shared" si="17"/>
        <v>0</v>
      </c>
      <c r="BA64" s="140">
        <f t="shared" si="17"/>
        <v>0</v>
      </c>
      <c r="BB64" s="140">
        <f t="shared" si="17"/>
        <v>0</v>
      </c>
      <c r="BC64" s="140">
        <f t="shared" si="17"/>
        <v>0</v>
      </c>
      <c r="BD64" s="140">
        <f t="shared" si="17"/>
        <v>0</v>
      </c>
      <c r="BE64" s="140">
        <f t="shared" si="17"/>
        <v>0</v>
      </c>
      <c r="BF64" s="140">
        <f t="shared" si="17"/>
        <v>0</v>
      </c>
      <c r="BG64" s="140">
        <f t="shared" si="17"/>
        <v>0</v>
      </c>
      <c r="BH64" s="140">
        <f t="shared" si="17"/>
        <v>0</v>
      </c>
      <c r="BI64" s="140">
        <f t="shared" si="17"/>
        <v>0</v>
      </c>
      <c r="BJ64" s="140">
        <f t="shared" si="17"/>
        <v>0</v>
      </c>
      <c r="BK64" s="140">
        <f t="shared" si="17"/>
        <v>0</v>
      </c>
      <c r="BL64" s="140">
        <f t="shared" si="17"/>
        <v>0</v>
      </c>
    </row>
    <row r="65" spans="2:64" x14ac:dyDescent="0.15">
      <c r="C65" s="180" t="s">
        <v>213</v>
      </c>
      <c r="E65" s="140">
        <f>Leadsheet!E10*Leadsheet!E39+Leadsheet!E38</f>
        <v>0</v>
      </c>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row>
    <row r="66" spans="2:64" x14ac:dyDescent="0.15">
      <c r="C66" s="180" t="s">
        <v>216</v>
      </c>
      <c r="E66" s="140">
        <f>IF(E5&gt;$D$6,0,$D$17*Leadsheet!$E$40*D16*((D27*(1-Leadsheet!$D$91)+D28*Leadsheet!$E$117)/D45))</f>
        <v>0</v>
      </c>
      <c r="F66" s="140">
        <f>IF(F5&gt;$D$6,0,$D$17*Leadsheet!$E$40*E16*((E27*(1-Leadsheet!$D$91)+E28*Leadsheet!$E$117)/E45))</f>
        <v>0</v>
      </c>
      <c r="G66" s="140">
        <f>IF(G5&gt;$D$6,0,$D$17*Leadsheet!$E$40*F16*((F27*(1-Leadsheet!$D$91)+F28*Leadsheet!$E$117)/F45))</f>
        <v>0</v>
      </c>
      <c r="H66" s="140">
        <f>IF(H5&gt;$D$6,0,$D$17*Leadsheet!$E$40*G16*((G27*(1-Leadsheet!$D$91)+G28*Leadsheet!$E$117)/G45))</f>
        <v>0</v>
      </c>
      <c r="I66" s="140">
        <f>IF(I5&gt;$D$6,0,$D$17*Leadsheet!$E$40*H16*((H27*(1-Leadsheet!$D$91)+H28*Leadsheet!$E$117)/H45))</f>
        <v>0</v>
      </c>
      <c r="J66" s="140">
        <f>IF(J5&gt;$D$6,0,$D$17*Leadsheet!$E$40*I16*((I27*(1-Leadsheet!$D$91)+I28*Leadsheet!$E$117)/I45))</f>
        <v>0</v>
      </c>
      <c r="K66" s="140">
        <f>IF(K5&gt;$D$6,0,$D$17*Leadsheet!$E$40*J16*((J27*(1-Leadsheet!$D$91)+J28*Leadsheet!$E$117)/J45))</f>
        <v>0</v>
      </c>
      <c r="L66" s="140">
        <f>IF(L5&gt;$D$6,0,$D$17*Leadsheet!$E$40*K16*((K27*(1-Leadsheet!$D$91)+K28*Leadsheet!$E$117)/K45))</f>
        <v>0</v>
      </c>
      <c r="M66" s="140">
        <f>IF(M5&gt;$D$6,0,$D$17*Leadsheet!$E$40*L16*((L27*(1-Leadsheet!$D$91)+L28*Leadsheet!$E$117)/L45))</f>
        <v>0</v>
      </c>
      <c r="N66" s="140">
        <f>IF(N5&gt;$D$6,0,$D$17*Leadsheet!$E$40*M16*((M27*(1-Leadsheet!$D$91)+M28*Leadsheet!$E$117)/M45))</f>
        <v>0</v>
      </c>
      <c r="O66" s="140">
        <f>IF(O5&gt;$D$6,0,$D$17*Leadsheet!$E$40*N16*((N27*(1-Leadsheet!$D$91)+N28*Leadsheet!$E$117)/N45))</f>
        <v>0</v>
      </c>
      <c r="P66" s="140">
        <f>IF(P5&gt;$D$6,0,$D$17*Leadsheet!$E$40*O16*((O27*(1-Leadsheet!$D$91)+O28*Leadsheet!$E$117)/O45))</f>
        <v>0</v>
      </c>
      <c r="Q66" s="140">
        <f>IF(Q5&gt;$D$6,0,$D$17*Leadsheet!$E$40*P16*((P27*(1-Leadsheet!$D$91)+P28*Leadsheet!$E$117)/P45))</f>
        <v>0</v>
      </c>
      <c r="R66" s="140">
        <f>IF(R5&gt;$D$6,0,$D$17*Leadsheet!$E$40*Q16*((Q27*(1-Leadsheet!$D$91)+Q28*Leadsheet!$E$117)/Q45))</f>
        <v>0</v>
      </c>
      <c r="S66" s="140">
        <f>IF(S5&gt;$D$6,0,$D$17*Leadsheet!$E$40*R16*((R27*(1-Leadsheet!$D$91)+R28*Leadsheet!$E$117)/R45))</f>
        <v>0</v>
      </c>
      <c r="T66" s="140">
        <f>IF(T5&gt;$D$6,0,$D$17*Leadsheet!$E$40*S16*((S27*(1-Leadsheet!$D$91)+S28*Leadsheet!$E$117)/S45))</f>
        <v>0</v>
      </c>
      <c r="U66" s="140">
        <f>IF(U5&gt;$D$6,0,$D$17*Leadsheet!$E$40*T16*((T27*(1-Leadsheet!$D$91)+T28*Leadsheet!$E$117)/T45))</f>
        <v>0</v>
      </c>
      <c r="V66" s="140">
        <f>IF(V5&gt;$D$6,0,$D$17*Leadsheet!$E$40*U16*((U27*(1-Leadsheet!$D$91)+U28*Leadsheet!$E$117)/U45))</f>
        <v>0</v>
      </c>
      <c r="W66" s="140">
        <f>IF(W5&gt;$D$6,0,$D$17*Leadsheet!$E$40*V16*((V27*(1-Leadsheet!$D$91)+V28*Leadsheet!$E$117)/V45))</f>
        <v>0</v>
      </c>
      <c r="X66" s="140">
        <f>IF(X5&gt;$D$6,0,$D$17*Leadsheet!$E$40*W16*((W27*(1-Leadsheet!$D$91)+W28*Leadsheet!$E$117)/W45))</f>
        <v>0</v>
      </c>
      <c r="Y66" s="140">
        <f>IF(Y5&gt;$D$6,0,$D$17*Leadsheet!$E$40*X16*((X27*(1-Leadsheet!$D$91)+X28*Leadsheet!$E$117)/X45))</f>
        <v>0</v>
      </c>
      <c r="Z66" s="140">
        <f>IF(Z5&gt;$D$6,0,$D$17*Leadsheet!$E$40*Y16*((Y27*(1-Leadsheet!$D$91)+Y28*Leadsheet!$E$117)/Y45))</f>
        <v>0</v>
      </c>
      <c r="AA66" s="140">
        <f>IF(AA5&gt;$D$6,0,$D$17*Leadsheet!$E$40*Z16*((Z27*(1-Leadsheet!$D$91)+Z28*Leadsheet!$E$117)/Z45))</f>
        <v>0</v>
      </c>
      <c r="AB66" s="140">
        <f>IF(AB5&gt;$D$6,0,$D$17*Leadsheet!$E$40*AA16*((AA27*(1-Leadsheet!$D$91)+AA28*Leadsheet!$E$117)/AA45))</f>
        <v>0</v>
      </c>
      <c r="AC66" s="140">
        <f>IF(AC5&gt;$D$6,0,$D$17*Leadsheet!$E$40*AB16*((AB27*(1-Leadsheet!$D$91)+AB28*Leadsheet!$E$117)/AB45))</f>
        <v>0</v>
      </c>
      <c r="AD66" s="140">
        <f>IF(AD5&gt;$D$6,0,$D$17*Leadsheet!$E$40*AC16*((AC27*(1-Leadsheet!$D$91)+AC28*Leadsheet!$E$117)/AC45))</f>
        <v>0</v>
      </c>
      <c r="AE66" s="140">
        <f>IF(AE5&gt;$D$6,0,$D$17*Leadsheet!$E$40*AD16*((AD27*(1-Leadsheet!$D$91)+AD28*Leadsheet!$E$117)/AD45))</f>
        <v>0</v>
      </c>
      <c r="AF66" s="140">
        <f>IF(AF5&gt;$D$6,0,$D$17*Leadsheet!$E$40*AE16*((AE27*(1-Leadsheet!$D$91)+AE28*Leadsheet!$E$117)/AE45))</f>
        <v>0</v>
      </c>
      <c r="AG66" s="140">
        <f>IF(AG5&gt;$D$6,0,$D$17*Leadsheet!$E$40*AF16*((AF27*(1-Leadsheet!$D$91)+AF28*Leadsheet!$E$117)/AF45))</f>
        <v>0</v>
      </c>
      <c r="AH66" s="140">
        <f>IF(AH5&gt;$D$6,0,$D$17*Leadsheet!$E$40*AG16*((AG27*(1-Leadsheet!$D$91)+AG28*Leadsheet!$E$117)/AG45))</f>
        <v>0</v>
      </c>
      <c r="AI66" s="140">
        <f>IF(AI5&gt;$D$6,0,$D$17*Leadsheet!$E$40*AH16*((AH27*(1-Leadsheet!$D$91)+AH28*Leadsheet!$E$117)/AH45))</f>
        <v>0</v>
      </c>
      <c r="AJ66" s="140">
        <f>IF(AJ5&gt;$D$6,0,$D$17*Leadsheet!$E$40*AI16*((AI27*(1-Leadsheet!$D$91)+AI28*Leadsheet!$E$117)/AI45))</f>
        <v>0</v>
      </c>
      <c r="AK66" s="140">
        <f>IF(AK5&gt;$D$6,0,$D$17*Leadsheet!$E$40*AJ16*((AJ27*(1-Leadsheet!$D$91)+AJ28*Leadsheet!$E$117)/AJ45))</f>
        <v>0</v>
      </c>
      <c r="AL66" s="140">
        <f>IF(AL5&gt;$D$6,0,$D$17*Leadsheet!$E$40*AK16*((AK27*(1-Leadsheet!$D$91)+AK28*Leadsheet!$E$117)/AK45))</f>
        <v>0</v>
      </c>
      <c r="AM66" s="140">
        <f>IF(AM5&gt;$D$6,0,$D$17*Leadsheet!$E$40*AL16*((AL27*(1-Leadsheet!$D$91)+AL28*Leadsheet!$E$117)/AL45))</f>
        <v>0</v>
      </c>
      <c r="AN66" s="140">
        <f>IF(AN5&gt;$D$6,0,$D$17*Leadsheet!$E$40*AM16*((AM27*(1-Leadsheet!$D$91)+AM28*Leadsheet!$E$117)/AM45))</f>
        <v>0</v>
      </c>
      <c r="AO66" s="140">
        <f>IF(AO5&gt;$D$6,0,$D$17*Leadsheet!$E$40*AN16*((AN27*(1-Leadsheet!$D$91)+AN28*Leadsheet!$E$117)/AN45))</f>
        <v>0</v>
      </c>
      <c r="AP66" s="140">
        <f>IF(AP5&gt;$D$6,0,$D$17*Leadsheet!$E$40*AO16*((AO27*(1-Leadsheet!$D$91)+AO28*Leadsheet!$E$117)/AO45))</f>
        <v>0</v>
      </c>
      <c r="AQ66" s="140">
        <f>IF(AQ5&gt;$D$6,0,$D$17*Leadsheet!$E$40*AP16*((AP27*(1-Leadsheet!$D$91)+AP28*Leadsheet!$E$117)/AP45))</f>
        <v>0</v>
      </c>
      <c r="AR66" s="140">
        <f>IF(AR5&gt;$D$6,0,$D$17*Leadsheet!$E$40*AQ16*((AQ27*(1-Leadsheet!$D$91)+AQ28*Leadsheet!$E$117)/AQ45))</f>
        <v>0</v>
      </c>
      <c r="AS66" s="140">
        <f>IF(AS5&gt;$D$6,0,$D$17*Leadsheet!$E$40*AR16*((AR27*(1-Leadsheet!$D$91)+AR28*Leadsheet!$E$117)/AR45))</f>
        <v>0</v>
      </c>
      <c r="AT66" s="140">
        <f>IF(AT5&gt;$D$6,0,$D$17*Leadsheet!$E$40*AS16*((AS27*(1-Leadsheet!$D$91)+AS28*Leadsheet!$E$117)/AS45))</f>
        <v>0</v>
      </c>
      <c r="AU66" s="140">
        <f>IF(AU5&gt;$D$6,0,$D$17*Leadsheet!$E$40*AT16*((AT27*(1-Leadsheet!$D$91)+AT28*Leadsheet!$E$117)/AT45))</f>
        <v>0</v>
      </c>
      <c r="AV66" s="140">
        <f>IF(AV5&gt;$D$6,0,$D$17*Leadsheet!$E$40*AU16*((AU27*(1-Leadsheet!$D$91)+AU28*Leadsheet!$E$117)/AU45))</f>
        <v>0</v>
      </c>
      <c r="AW66" s="140">
        <f>IF(AW5&gt;$D$6,0,$D$17*Leadsheet!$E$40*AV16*((AV27*(1-Leadsheet!$D$91)+AV28*Leadsheet!$E$117)/AV45))</f>
        <v>0</v>
      </c>
      <c r="AX66" s="140">
        <f>IF(AX5&gt;$D$6,0,$D$17*Leadsheet!$E$40*AW16*((AW27*(1-Leadsheet!$D$91)+AW28*Leadsheet!$E$117)/AW45))</f>
        <v>0</v>
      </c>
      <c r="AY66" s="140">
        <f>IF(AY5&gt;$D$6,0,$D$17*Leadsheet!$E$40*AX16*((AX27*(1-Leadsheet!$D$91)+AX28*Leadsheet!$E$117)/AX45))</f>
        <v>0</v>
      </c>
      <c r="AZ66" s="140">
        <f>IF(AZ5&gt;$D$6,0,$D$17*Leadsheet!$E$40*AY16*((AY27*(1-Leadsheet!$D$91)+AY28*Leadsheet!$E$117)/AY45))</f>
        <v>0</v>
      </c>
      <c r="BA66" s="140">
        <f>IF(BA5&gt;$D$6,0,$D$17*Leadsheet!$E$40*AZ16*((AZ27*(1-Leadsheet!$D$91)+AZ28*Leadsheet!$E$117)/AZ45))</f>
        <v>0</v>
      </c>
      <c r="BB66" s="140">
        <f>IF(BB5&gt;$D$6,0,$D$17*Leadsheet!$E$40*BA16*((BA27*(1-Leadsheet!$D$91)+BA28*Leadsheet!$E$117)/BA45))</f>
        <v>0</v>
      </c>
      <c r="BC66" s="140">
        <f>IF(BC5&gt;$D$6,0,$D$17*Leadsheet!$E$40*BB16*((BB27*(1-Leadsheet!$D$91)+BB28*Leadsheet!$E$117)/BB45))</f>
        <v>0</v>
      </c>
      <c r="BD66" s="140">
        <f>IF(BD5&gt;$D$6,0,$D$17*Leadsheet!$E$40*BC16*((BC27*(1-Leadsheet!$D$91)+BC28*Leadsheet!$E$117)/BC45))</f>
        <v>0</v>
      </c>
      <c r="BE66" s="140">
        <f>IF(BE5&gt;$D$6,0,$D$17*Leadsheet!$E$40*BD16*((BD27*(1-Leadsheet!$D$91)+BD28*Leadsheet!$E$117)/BD45))</f>
        <v>0</v>
      </c>
      <c r="BF66" s="140">
        <f>IF(BF5&gt;$D$6,0,$D$17*Leadsheet!$E$40*BE16*((BE27*(1-Leadsheet!$D$91)+BE28*Leadsheet!$E$117)/BE45))</f>
        <v>0</v>
      </c>
      <c r="BG66" s="140">
        <f>IF(BG5&gt;$D$6,0,$D$17*Leadsheet!$E$40*BF16*((BF27*(1-Leadsheet!$D$91)+BF28*Leadsheet!$E$117)/BF45))</f>
        <v>0</v>
      </c>
      <c r="BH66" s="140">
        <f>IF(BH5&gt;$D$6,0,$D$17*Leadsheet!$E$40*BG16*((BG27*(1-Leadsheet!$D$91)+BG28*Leadsheet!$E$117)/BG45))</f>
        <v>0</v>
      </c>
      <c r="BI66" s="140">
        <f>IF(BI5&gt;$D$6,0,$D$17*Leadsheet!$E$40*BH16*((BH27*(1-Leadsheet!$D$91)+BH28*Leadsheet!$E$117)/BH45))</f>
        <v>0</v>
      </c>
      <c r="BJ66" s="140">
        <f>IF(BJ5&gt;$D$6,0,$D$17*Leadsheet!$E$40*BI16*((BI27*(1-Leadsheet!$D$91)+BI28*Leadsheet!$E$117)/BI45))</f>
        <v>0</v>
      </c>
      <c r="BK66" s="140">
        <f>IF(BK5&gt;$D$6,0,$D$17*Leadsheet!$E$40*BJ16*((BJ27*(1-Leadsheet!$D$91)+BJ28*Leadsheet!$E$117)/BJ45))</f>
        <v>0</v>
      </c>
      <c r="BL66" s="140">
        <f>IF(BL5&gt;$D$6,0,$D$17*Leadsheet!$E$40*BK16*((BK27*(1-Leadsheet!$D$91)+BK28*Leadsheet!$E$117)/BK45))</f>
        <v>0</v>
      </c>
    </row>
    <row r="67" spans="2:64" x14ac:dyDescent="0.15">
      <c r="C67" s="181"/>
      <c r="E67" s="14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row>
    <row r="68" spans="2:64" x14ac:dyDescent="0.15">
      <c r="B68" s="301" t="s">
        <v>395</v>
      </c>
      <c r="C68" s="302"/>
      <c r="D68" s="302"/>
      <c r="E68" s="303" cm="1">
        <f t="array" ref="E68">IF(E5=$D$7,_xlfn.IFS(Leadsheet!$G$4="IFRS",0,Leadsheet!$G$5="DPD180+",(E180-E145)*(1+Leadsheet!$E$115),Leadsheet!$G$5="DPD360+",(E165-E145)*(1+Leadsheet!$E$115)),0)</f>
        <v>0</v>
      </c>
      <c r="F68" s="303" cm="1">
        <f t="array" ref="F68">IF(F5=$D$7,_xlfn.IFS(Leadsheet!$G$4="IFRS",0,Leadsheet!$G$5="DPD180+",(F180-F145)*(1+Leadsheet!$E$115),Leadsheet!$G$5="DPD360+",(F165-F145)*(1+Leadsheet!$E$115)),0)</f>
        <v>0</v>
      </c>
      <c r="G68" s="303" cm="1">
        <f t="array" ref="G68">IF(G5=$D$7,_xlfn.IFS(Leadsheet!$G$4="IFRS",0,Leadsheet!$G$5="DPD180+",(G180-G145)*(1+Leadsheet!$E$115),Leadsheet!$G$5="DPD360+",(G165-G145)*(1+Leadsheet!$E$115)),0)</f>
        <v>0</v>
      </c>
      <c r="H68" s="303" cm="1">
        <f t="array" ref="H68">IF(H5=$D$7,_xlfn.IFS(Leadsheet!$G$4="IFRS",0,Leadsheet!$G$5="DPD180+",(H180-H145)*(1+Leadsheet!$E$115),Leadsheet!$G$5="DPD360+",(H165-H145)*(1+Leadsheet!$E$115)),0)</f>
        <v>0</v>
      </c>
      <c r="I68" s="303" cm="1">
        <f t="array" ref="I68">IF(I5=$D$7,_xlfn.IFS(Leadsheet!$G$4="IFRS",0,Leadsheet!$G$5="DPD180+",(I180-I145)*(1+Leadsheet!$E$115),Leadsheet!$G$5="DPD360+",(I165-I145)*(1+Leadsheet!$E$115)),0)</f>
        <v>0</v>
      </c>
      <c r="J68" s="303" cm="1">
        <f t="array" ref="J68">IF(J5=$D$7,_xlfn.IFS(Leadsheet!$G$4="IFRS",0,Leadsheet!$G$5="DPD180+",(J180-J145)*(1+Leadsheet!$E$115),Leadsheet!$G$5="DPD360+",(J165-J145)*(1+Leadsheet!$E$115)),0)</f>
        <v>0</v>
      </c>
      <c r="K68" s="303" cm="1">
        <f t="array" ref="K68">IF(K5=$D$7,_xlfn.IFS(Leadsheet!$G$4="IFRS",0,Leadsheet!$G$5="DPD180+",(K180-K145)*(1+Leadsheet!$E$115),Leadsheet!$G$5="DPD360+",(K165-K145)*(1+Leadsheet!$E$115)),0)</f>
        <v>0</v>
      </c>
      <c r="L68" s="303" cm="1">
        <f t="array" ref="L68">IF(L5=$D$7,_xlfn.IFS(Leadsheet!$G$4="IFRS",0,Leadsheet!$G$5="DPD180+",(L180-L145)*(1+Leadsheet!$E$115),Leadsheet!$G$5="DPD360+",(L165-L145)*(1+Leadsheet!$E$115)),0)</f>
        <v>0</v>
      </c>
      <c r="M68" s="303" cm="1">
        <f t="array" ref="M68">IF(M5=$D$7,_xlfn.IFS(Leadsheet!$G$4="IFRS",0,Leadsheet!$G$5="DPD180+",(M180-M145)*(1+Leadsheet!$E$115),Leadsheet!$G$5="DPD360+",(M165-M145)*(1+Leadsheet!$E$115)),0)</f>
        <v>0</v>
      </c>
      <c r="N68" s="303" cm="1">
        <f t="array" ref="N68">IF(N5=$D$7,_xlfn.IFS(Leadsheet!$G$4="IFRS",0,Leadsheet!$G$5="DPD180+",(N180-N145)*(1+Leadsheet!$E$115),Leadsheet!$G$5="DPD360+",(N165-N145)*(1+Leadsheet!$E$115)),0)</f>
        <v>0</v>
      </c>
      <c r="O68" s="303" cm="1">
        <f t="array" ref="O68">IF(O5=$D$7,_xlfn.IFS(Leadsheet!$G$4="IFRS",0,Leadsheet!$G$5="DPD180+",(O180-O145)*(1+Leadsheet!$E$115),Leadsheet!$G$5="DPD360+",(O165-O145)*(1+Leadsheet!$E$115)),0)</f>
        <v>0</v>
      </c>
      <c r="P68" s="303" cm="1">
        <f t="array" ref="P68">IF(P5=$D$7,_xlfn.IFS(Leadsheet!$G$4="IFRS",0,Leadsheet!$G$5="DPD180+",(P180-P145)*(1+Leadsheet!$E$115),Leadsheet!$G$5="DPD360+",(P165-P145)*(1+Leadsheet!$E$115)),0)</f>
        <v>0</v>
      </c>
      <c r="Q68" s="303" cm="1">
        <f t="array" ref="Q68">IF(Q5=$D$7,_xlfn.IFS(Leadsheet!$G$4="IFRS",0,Leadsheet!$G$5="DPD180+",(Q180-Q145)*(1+Leadsheet!$E$115),Leadsheet!$G$5="DPD360+",(Q165-Q145)*(1+Leadsheet!$E$115)),0)</f>
        <v>0</v>
      </c>
      <c r="R68" s="303" cm="1">
        <f t="array" ref="R68">IF(R5=$D$7,_xlfn.IFS(Leadsheet!$G$4="IFRS",0,Leadsheet!$G$5="DPD180+",(R180-R145)*(1+Leadsheet!$E$115),Leadsheet!$G$5="DPD360+",(R165-R145)*(1+Leadsheet!$E$115)),0)</f>
        <v>0</v>
      </c>
      <c r="S68" s="303" cm="1">
        <f t="array" ref="S68">IF(S5=$D$7,_xlfn.IFS(Leadsheet!$G$4="IFRS",0,Leadsheet!$G$5="DPD180+",(S180-S145)*(1+Leadsheet!$E$115),Leadsheet!$G$5="DPD360+",(S165-S145)*(1+Leadsheet!$E$115)),0)</f>
        <v>0</v>
      </c>
      <c r="T68" s="303" cm="1">
        <f t="array" ref="T68">IF(T5=$D$7,_xlfn.IFS(Leadsheet!$G$4="IFRS",0,Leadsheet!$G$5="DPD180+",(T180-T145)*(1+Leadsheet!$E$115),Leadsheet!$G$5="DPD360+",(T165-T145)*(1+Leadsheet!$E$115)),0)</f>
        <v>0</v>
      </c>
      <c r="U68" s="303" cm="1">
        <f t="array" ref="U68">IF(U5=$D$7,_xlfn.IFS(Leadsheet!$G$4="IFRS",0,Leadsheet!$G$5="DPD180+",(U180-U145)*(1+Leadsheet!$E$115),Leadsheet!$G$5="DPD360+",(U165-U145)*(1+Leadsheet!$E$115)),0)</f>
        <v>0</v>
      </c>
      <c r="V68" s="303" cm="1">
        <f t="array" ref="V68">IF(V5=$D$7,_xlfn.IFS(Leadsheet!$G$4="IFRS",0,Leadsheet!$G$5="DPD180+",(V180-V145)*(1+Leadsheet!$E$115),Leadsheet!$G$5="DPD360+",(V165-V145)*(1+Leadsheet!$E$115)),0)</f>
        <v>0</v>
      </c>
      <c r="W68" s="303" cm="1">
        <f t="array" ref="W68">IF(W5=$D$7,_xlfn.IFS(Leadsheet!$G$4="IFRS",0,Leadsheet!$G$5="DPD180+",(W180-W145)*(1+Leadsheet!$E$115),Leadsheet!$G$5="DPD360+",(W165-W145)*(1+Leadsheet!$E$115)),0)</f>
        <v>0</v>
      </c>
      <c r="X68" s="303" cm="1">
        <f t="array" ref="X68">IF(X5=$D$7,_xlfn.IFS(Leadsheet!$G$4="IFRS",0,Leadsheet!$G$5="DPD180+",(X180-X145)*(1+Leadsheet!$E$115),Leadsheet!$G$5="DPD360+",(X165-X145)*(1+Leadsheet!$E$115)),0)</f>
        <v>0</v>
      </c>
      <c r="Y68" s="303" cm="1">
        <f t="array" ref="Y68">IF(Y5=$D$7,_xlfn.IFS(Leadsheet!$G$4="IFRS",0,Leadsheet!$G$5="DPD180+",(Y180-Y145)*(1+Leadsheet!$E$115),Leadsheet!$G$5="DPD360+",(Y165-Y145)*(1+Leadsheet!$E$115)),0)</f>
        <v>0</v>
      </c>
      <c r="Z68" s="303" cm="1">
        <f t="array" ref="Z68">IF(Z5=$D$7,_xlfn.IFS(Leadsheet!$G$4="IFRS",0,Leadsheet!$G$5="DPD180+",(Z180-Z145)*(1+Leadsheet!$E$115),Leadsheet!$G$5="DPD360+",(Z165-Z145)*(1+Leadsheet!$E$115)),0)</f>
        <v>0</v>
      </c>
      <c r="AA68" s="303" cm="1">
        <f t="array" ref="AA68">IF(AA5=$D$7,_xlfn.IFS(Leadsheet!$G$4="IFRS",0,Leadsheet!$G$5="DPD180+",(AA180-AA145)*(1+Leadsheet!$E$115),Leadsheet!$G$5="DPD360+",(AA165-AA145)*(1+Leadsheet!$E$115)),0)</f>
        <v>0</v>
      </c>
      <c r="AB68" s="303" cm="1">
        <f t="array" ref="AB68">IF(AB5=$D$7,_xlfn.IFS(Leadsheet!$G$4="IFRS",0,Leadsheet!$G$5="DPD180+",(AB180-AB145)*(1+Leadsheet!$E$115),Leadsheet!$G$5="DPD360+",(AB165-AB145)*(1+Leadsheet!$E$115)),0)</f>
        <v>0</v>
      </c>
      <c r="AC68" s="303" cm="1">
        <f t="array" ref="AC68">IF(AC5=$D$7,_xlfn.IFS(Leadsheet!$G$4="IFRS",0,Leadsheet!$G$5="DPD180+",(AC180-AC145)*(1+Leadsheet!$E$115),Leadsheet!$G$5="DPD360+",(AC165-AC145)*(1+Leadsheet!$E$115)),0)</f>
        <v>0</v>
      </c>
      <c r="AD68" s="303" cm="1">
        <f t="array" ref="AD68">IF(AD5=$D$7,_xlfn.IFS(Leadsheet!$G$4="IFRS",0,Leadsheet!$G$5="DPD180+",(AD180-AD145)*(1+Leadsheet!$E$115),Leadsheet!$G$5="DPD360+",(AD165-AD145)*(1+Leadsheet!$E$115)),0)</f>
        <v>0</v>
      </c>
      <c r="AE68" s="303" cm="1">
        <f t="array" ref="AE68">IF(AE5=$D$7,_xlfn.IFS(Leadsheet!$G$4="IFRS",0,Leadsheet!$G$5="DPD180+",(AE180-AE145)*(1+Leadsheet!$E$115),Leadsheet!$G$5="DPD360+",(AE165-AE145)*(1+Leadsheet!$E$115)),0)</f>
        <v>0</v>
      </c>
      <c r="AF68" s="303" cm="1">
        <f t="array" ref="AF68">IF(AF5=$D$7,_xlfn.IFS(Leadsheet!$G$4="IFRS",0,Leadsheet!$G$5="DPD180+",(AF180-AF145)*(1+Leadsheet!$E$115),Leadsheet!$G$5="DPD360+",(AF165-AF145)*(1+Leadsheet!$E$115)),0)</f>
        <v>0</v>
      </c>
      <c r="AG68" s="303" cm="1">
        <f t="array" ref="AG68">IF(AG5=$D$7,_xlfn.IFS(Leadsheet!$G$4="IFRS",0,Leadsheet!$G$5="DPD180+",(AG180-AG145)*(1+Leadsheet!$E$115),Leadsheet!$G$5="DPD360+",(AG165-AG145)*(1+Leadsheet!$E$115)),0)</f>
        <v>0</v>
      </c>
      <c r="AH68" s="303" cm="1">
        <f t="array" ref="AH68">IF(AH5=$D$7,_xlfn.IFS(Leadsheet!$G$4="IFRS",0,Leadsheet!$G$5="DPD180+",(AH180-AH145)*(1+Leadsheet!$E$115),Leadsheet!$G$5="DPD360+",(AH165-AH145)*(1+Leadsheet!$E$115)),0)</f>
        <v>0</v>
      </c>
      <c r="AI68" s="303" cm="1">
        <f t="array" ref="AI68">IF(AI5=$D$7,_xlfn.IFS(Leadsheet!$G$4="IFRS",0,Leadsheet!$G$5="DPD180+",(AI180-AI145)*(1+Leadsheet!$E$115),Leadsheet!$G$5="DPD360+",(AI165-AI145)*(1+Leadsheet!$E$115)),0)</f>
        <v>0</v>
      </c>
      <c r="AJ68" s="303" cm="1">
        <f t="array" ref="AJ68">IF(AJ5=$D$7,_xlfn.IFS(Leadsheet!$G$4="IFRS",0,Leadsheet!$G$5="DPD180+",(AJ180-AJ145)*(1+Leadsheet!$E$115),Leadsheet!$G$5="DPD360+",(AJ165-AJ145)*(1+Leadsheet!$E$115)),0)</f>
        <v>0</v>
      </c>
      <c r="AK68" s="303" cm="1">
        <f t="array" ref="AK68">IF(AK5=$D$7,_xlfn.IFS(Leadsheet!$G$4="IFRS",0,Leadsheet!$G$5="DPD180+",(AK180-AK145)*(1+Leadsheet!$E$115),Leadsheet!$G$5="DPD360+",(AK165-AK145)*(1+Leadsheet!$E$115)),0)</f>
        <v>0</v>
      </c>
      <c r="AL68" s="303" cm="1">
        <f t="array" ref="AL68">IF(AL5=$D$7,_xlfn.IFS(Leadsheet!$G$4="IFRS",0,Leadsheet!$G$5="DPD180+",(AL180-AL145)*(1+Leadsheet!$E$115),Leadsheet!$G$5="DPD360+",(AL165-AL145)*(1+Leadsheet!$E$115)),0)</f>
        <v>0</v>
      </c>
      <c r="AM68" s="303" cm="1">
        <f t="array" ref="AM68">IF(AM5=$D$7,_xlfn.IFS(Leadsheet!$G$4="IFRS",0,Leadsheet!$G$5="DPD180+",(AM180-AM145)*(1+Leadsheet!$E$115),Leadsheet!$G$5="DPD360+",(AM165-AM145)*(1+Leadsheet!$E$115)),0)</f>
        <v>0</v>
      </c>
      <c r="AN68" s="303" cm="1">
        <f t="array" ref="AN68">IF(AN5=$D$7,_xlfn.IFS(Leadsheet!$G$4="IFRS",0,Leadsheet!$G$5="DPD180+",(AN180-AN145)*(1+Leadsheet!$E$115),Leadsheet!$G$5="DPD360+",(AN165-AN145)*(1+Leadsheet!$E$115)),0)</f>
        <v>0</v>
      </c>
      <c r="AO68" s="303" cm="1">
        <f t="array" ref="AO68">IF(AO5=$D$7,_xlfn.IFS(Leadsheet!$G$4="IFRS",0,Leadsheet!$G$5="DPD180+",(AO180-AO145)*(1+Leadsheet!$E$115),Leadsheet!$G$5="DPD360+",(AO165-AO145)*(1+Leadsheet!$E$115)),0)</f>
        <v>0</v>
      </c>
      <c r="AP68" s="303" cm="1">
        <f t="array" ref="AP68">IF(AP5=$D$7,_xlfn.IFS(Leadsheet!$G$4="IFRS",0,Leadsheet!$G$5="DPD180+",(AP180-AP145)*(1+Leadsheet!$E$115),Leadsheet!$G$5="DPD360+",(AP165-AP145)*(1+Leadsheet!$E$115)),0)</f>
        <v>0</v>
      </c>
      <c r="AQ68" s="303" cm="1">
        <f t="array" ref="AQ68">IF(AQ5=$D$7,_xlfn.IFS(Leadsheet!$G$4="IFRS",0,Leadsheet!$G$5="DPD180+",(AQ180-AQ145)*(1+Leadsheet!$E$115),Leadsheet!$G$5="DPD360+",(AQ165-AQ145)*(1+Leadsheet!$E$115)),0)</f>
        <v>0</v>
      </c>
      <c r="AR68" s="303" cm="1">
        <f t="array" ref="AR68">IF(AR5=$D$7,_xlfn.IFS(Leadsheet!$G$4="IFRS",0,Leadsheet!$G$5="DPD180+",(AR180-AR145)*(1+Leadsheet!$E$115),Leadsheet!$G$5="DPD360+",(AR165-AR145)*(1+Leadsheet!$E$115)),0)</f>
        <v>0</v>
      </c>
      <c r="AS68" s="303" cm="1">
        <f t="array" ref="AS68">IF(AS5=$D$7,_xlfn.IFS(Leadsheet!$G$4="IFRS",0,Leadsheet!$G$5="DPD180+",(AS180-AS145)*(1+Leadsheet!$E$115),Leadsheet!$G$5="DPD360+",(AS165-AS145)*(1+Leadsheet!$E$115)),0)</f>
        <v>0</v>
      </c>
      <c r="AT68" s="303" cm="1">
        <f t="array" ref="AT68">IF(AT5=$D$7,_xlfn.IFS(Leadsheet!$G$4="IFRS",0,Leadsheet!$G$5="DPD180+",(AT180-AT145)*(1+Leadsheet!$E$115),Leadsheet!$G$5="DPD360+",(AT165-AT145)*(1+Leadsheet!$E$115)),0)</f>
        <v>0</v>
      </c>
      <c r="AU68" s="303" cm="1">
        <f t="array" ref="AU68">IF(AU5=$D$7,_xlfn.IFS(Leadsheet!$G$4="IFRS",0,Leadsheet!$G$5="DPD180+",(AU180-AU145)*(1+Leadsheet!$E$115),Leadsheet!$G$5="DPD360+",(AU165-AU145)*(1+Leadsheet!$E$115)),0)</f>
        <v>0</v>
      </c>
      <c r="AV68" s="303" cm="1">
        <f t="array" ref="AV68">IF(AV5=$D$7,_xlfn.IFS(Leadsheet!$G$4="IFRS",0,Leadsheet!$G$5="DPD180+",(AV180-AV145)*(1+Leadsheet!$E$115),Leadsheet!$G$5="DPD360+",(AV165-AV145)*(1+Leadsheet!$E$115)),0)</f>
        <v>0</v>
      </c>
      <c r="AW68" s="303" cm="1">
        <f t="array" ref="AW68">IF(AW5=$D$7,_xlfn.IFS(Leadsheet!$G$4="IFRS",0,Leadsheet!$G$5="DPD180+",(AW180-AW145)*(1+Leadsheet!$E$115),Leadsheet!$G$5="DPD360+",(AW165-AW145)*(1+Leadsheet!$E$115)),0)</f>
        <v>0</v>
      </c>
      <c r="AX68" s="303" cm="1">
        <f t="array" ref="AX68">IF(AX5=$D$7,_xlfn.IFS(Leadsheet!$G$4="IFRS",0,Leadsheet!$G$5="DPD180+",(AX180-AX145)*(1+Leadsheet!$E$115),Leadsheet!$G$5="DPD360+",(AX165-AX145)*(1+Leadsheet!$E$115)),0)</f>
        <v>0</v>
      </c>
      <c r="AY68" s="303" cm="1">
        <f t="array" ref="AY68">IF(AY5=$D$7,_xlfn.IFS(Leadsheet!$G$4="IFRS",0,Leadsheet!$G$5="DPD180+",(AY180-AY145)*(1+Leadsheet!$E$115),Leadsheet!$G$5="DPD360+",(AY165-AY145)*(1+Leadsheet!$E$115)),0)</f>
        <v>0</v>
      </c>
      <c r="AZ68" s="303" cm="1">
        <f t="array" ref="AZ68">IF(AZ5=$D$7,_xlfn.IFS(Leadsheet!$G$4="IFRS",0,Leadsheet!$G$5="DPD180+",(AZ180-AZ145)*(1+Leadsheet!$E$115),Leadsheet!$G$5="DPD360+",(AZ165-AZ145)*(1+Leadsheet!$E$115)),0)</f>
        <v>0</v>
      </c>
      <c r="BA68" s="303" cm="1">
        <f t="array" ref="BA68">IF(BA5=$D$7,_xlfn.IFS(Leadsheet!$G$4="IFRS",0,Leadsheet!$G$5="DPD180+",(BA180-BA145)*(1+Leadsheet!$E$115),Leadsheet!$G$5="DPD360+",(BA165-BA145)*(1+Leadsheet!$E$115)),0)</f>
        <v>0</v>
      </c>
      <c r="BB68" s="303" cm="1">
        <f t="array" ref="BB68">IF(BB5=$D$7,_xlfn.IFS(Leadsheet!$G$4="IFRS",0,Leadsheet!$G$5="DPD180+",(BB180-BB145)*(1+Leadsheet!$E$115),Leadsheet!$G$5="DPD360+",(BB165-BB145)*(1+Leadsheet!$E$115)),0)</f>
        <v>0</v>
      </c>
      <c r="BC68" s="303" cm="1">
        <f t="array" ref="BC68">IF(BC5=$D$7,_xlfn.IFS(Leadsheet!$G$4="IFRS",0,Leadsheet!$G$5="DPD180+",(BC180-BC145)*(1+Leadsheet!$E$115),Leadsheet!$G$5="DPD360+",(BC165-BC145)*(1+Leadsheet!$E$115)),0)</f>
        <v>0</v>
      </c>
      <c r="BD68" s="303" cm="1">
        <f t="array" ref="BD68">IF(BD5=$D$7,_xlfn.IFS(Leadsheet!$G$4="IFRS",0,Leadsheet!$G$5="DPD180+",(BD180-BD145)*(1+Leadsheet!$E$115),Leadsheet!$G$5="DPD360+",(BD165-BD145)*(1+Leadsheet!$E$115)),0)</f>
        <v>0</v>
      </c>
      <c r="BE68" s="303" cm="1">
        <f t="array" ref="BE68">IF(BE5=$D$7,_xlfn.IFS(Leadsheet!$G$4="IFRS",0,Leadsheet!$G$5="DPD180+",(BE180-BE145)*(1+Leadsheet!$E$115),Leadsheet!$G$5="DPD360+",(BE165-BE145)*(1+Leadsheet!$E$115)),0)</f>
        <v>0</v>
      </c>
      <c r="BF68" s="303" cm="1">
        <f t="array" ref="BF68">IF(BF5=$D$7,_xlfn.IFS(Leadsheet!$G$4="IFRS",0,Leadsheet!$G$5="DPD180+",(BF180-BF145)*(1+Leadsheet!$E$115),Leadsheet!$G$5="DPD360+",(BF165-BF145)*(1+Leadsheet!$E$115)),0)</f>
        <v>0</v>
      </c>
      <c r="BG68" s="303" cm="1">
        <f t="array" ref="BG68">IF(BG5=$D$7,_xlfn.IFS(Leadsheet!$G$4="IFRS",0,Leadsheet!$G$5="DPD180+",(BG180-BG145)*(1+Leadsheet!$E$115),Leadsheet!$G$5="DPD360+",(BG165-BG145)*(1+Leadsheet!$E$115)),0)</f>
        <v>0</v>
      </c>
      <c r="BH68" s="303" cm="1">
        <f t="array" ref="BH68">IF(BH5=$D$7,_xlfn.IFS(Leadsheet!$G$4="IFRS",0,Leadsheet!$G$5="DPD180+",(BH180-BH145)*(1+Leadsheet!$E$115),Leadsheet!$G$5="DPD360+",(BH165-BH145)*(1+Leadsheet!$E$115)),0)</f>
        <v>0</v>
      </c>
      <c r="BI68" s="303" cm="1">
        <f t="array" ref="BI68">IF(BI5=$D$7,_xlfn.IFS(Leadsheet!$G$4="IFRS",0,Leadsheet!$G$5="DPD180+",(BI180-BI145)*(1+Leadsheet!$E$115),Leadsheet!$G$5="DPD360+",(BI165-BI145)*(1+Leadsheet!$E$115)),0)</f>
        <v>0</v>
      </c>
      <c r="BJ68" s="303" cm="1">
        <f t="array" ref="BJ68">IF(BJ5=$D$7,_xlfn.IFS(Leadsheet!$G$4="IFRS",0,Leadsheet!$G$5="DPD180+",(BJ180-BJ145)*(1+Leadsheet!$E$115),Leadsheet!$G$5="DPD360+",(BJ165-BJ145)*(1+Leadsheet!$E$115)),0)</f>
        <v>0</v>
      </c>
      <c r="BK68" s="303" cm="1">
        <f t="array" ref="BK68">IF(BK5=$D$7,_xlfn.IFS(Leadsheet!$G$4="IFRS",0,Leadsheet!$G$5="DPD180+",(BK180-BK145)*(1+Leadsheet!$E$115),Leadsheet!$G$5="DPD360+",(BK165-BK145)*(1+Leadsheet!$E$115)),0)</f>
        <v>0</v>
      </c>
      <c r="BL68" s="303" cm="1">
        <f t="array" ref="BL68">IF(BL5=$D$7,_xlfn.IFS(Leadsheet!$G$4="IFRS",0,Leadsheet!$G$5="DPD180+",(BL180-BL145)*(1+Leadsheet!$E$115),Leadsheet!$G$5="DPD360+",(BL165-BL145)*(1+Leadsheet!$E$115)),0)</f>
        <v>0</v>
      </c>
    </row>
    <row r="69" spans="2:64" x14ac:dyDescent="0.15">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c r="BJ69" s="140"/>
      <c r="BK69" s="140"/>
      <c r="BL69" s="140"/>
    </row>
    <row r="71" spans="2:64" x14ac:dyDescent="0.15">
      <c r="B71" s="155" t="s">
        <v>396</v>
      </c>
      <c r="E71" s="299">
        <f t="shared" ref="E71:BL71" si="18">E72+E85+E88+E95+E99</f>
        <v>-0.37152128988781435</v>
      </c>
      <c r="F71" s="299">
        <f t="shared" si="18"/>
        <v>-8.0782430794731977E-3</v>
      </c>
      <c r="G71" s="299">
        <f t="shared" si="18"/>
        <v>-7.5481330971843711E-3</v>
      </c>
      <c r="H71" s="299">
        <f t="shared" si="18"/>
        <v>-7.0472539378973595E-3</v>
      </c>
      <c r="I71" s="299">
        <f t="shared" si="18"/>
        <v>-6.8263747786103477E-3</v>
      </c>
      <c r="J71" s="299">
        <f t="shared" si="18"/>
        <v>-6.605495619323336E-3</v>
      </c>
      <c r="K71" s="299">
        <f t="shared" si="18"/>
        <v>-6.3846164600363233E-3</v>
      </c>
      <c r="L71" s="299">
        <f t="shared" si="18"/>
        <v>-6.1637373007493125E-3</v>
      </c>
      <c r="M71" s="299">
        <f t="shared" si="18"/>
        <v>-5.9428581414623007E-3</v>
      </c>
      <c r="N71" s="299">
        <f t="shared" si="18"/>
        <v>-5.721978982175289E-3</v>
      </c>
      <c r="O71" s="299">
        <f t="shared" si="18"/>
        <v>-5.5010998228882772E-3</v>
      </c>
      <c r="P71" s="299">
        <f t="shared" si="18"/>
        <v>-5.4482206636012644E-3</v>
      </c>
      <c r="Q71" s="299">
        <f t="shared" si="18"/>
        <v>-5.2203415043142526E-3</v>
      </c>
      <c r="R71" s="299">
        <f t="shared" si="18"/>
        <v>-4.9924623450272407E-3</v>
      </c>
      <c r="S71" s="299">
        <f t="shared" si="18"/>
        <v>-4.7854623450272402E-3</v>
      </c>
      <c r="T71" s="299">
        <f t="shared" si="18"/>
        <v>-4.7854623450272402E-3</v>
      </c>
      <c r="U71" s="299">
        <f t="shared" si="18"/>
        <v>-1.3307237598248706E-3</v>
      </c>
      <c r="V71" s="299">
        <f t="shared" si="18"/>
        <v>-1.3259260762308542E-3</v>
      </c>
      <c r="W71" s="299">
        <f t="shared" si="18"/>
        <v>-1.3232052820764187E-3</v>
      </c>
      <c r="X71" s="299">
        <f t="shared" si="18"/>
        <v>-1.3217120812217954E-3</v>
      </c>
      <c r="Y71" s="299">
        <f t="shared" si="18"/>
        <v>-1.3210157281871512E-3</v>
      </c>
      <c r="Z71" s="299">
        <f t="shared" si="18"/>
        <v>-1.320844555115221E-3</v>
      </c>
      <c r="AA71" s="299">
        <f t="shared" si="18"/>
        <v>0</v>
      </c>
      <c r="AB71" s="299">
        <f t="shared" si="18"/>
        <v>0</v>
      </c>
      <c r="AC71" s="299">
        <f t="shared" si="18"/>
        <v>0</v>
      </c>
      <c r="AD71" s="299">
        <f t="shared" si="18"/>
        <v>0</v>
      </c>
      <c r="AE71" s="299">
        <f t="shared" si="18"/>
        <v>0</v>
      </c>
      <c r="AF71" s="299">
        <f t="shared" si="18"/>
        <v>0</v>
      </c>
      <c r="AG71" s="299">
        <f t="shared" si="18"/>
        <v>0</v>
      </c>
      <c r="AH71" s="299">
        <f t="shared" si="18"/>
        <v>0</v>
      </c>
      <c r="AI71" s="299">
        <f t="shared" si="18"/>
        <v>0</v>
      </c>
      <c r="AJ71" s="299">
        <f t="shared" si="18"/>
        <v>0</v>
      </c>
      <c r="AK71" s="299">
        <f t="shared" si="18"/>
        <v>0</v>
      </c>
      <c r="AL71" s="299">
        <f t="shared" si="18"/>
        <v>0</v>
      </c>
      <c r="AM71" s="299">
        <f t="shared" si="18"/>
        <v>0</v>
      </c>
      <c r="AN71" s="299">
        <f t="shared" si="18"/>
        <v>0</v>
      </c>
      <c r="AO71" s="299">
        <f t="shared" si="18"/>
        <v>0</v>
      </c>
      <c r="AP71" s="299">
        <f t="shared" si="18"/>
        <v>0</v>
      </c>
      <c r="AQ71" s="299">
        <f t="shared" si="18"/>
        <v>0</v>
      </c>
      <c r="AR71" s="299">
        <f t="shared" si="18"/>
        <v>0</v>
      </c>
      <c r="AS71" s="299">
        <f t="shared" si="18"/>
        <v>0</v>
      </c>
      <c r="AT71" s="299">
        <f t="shared" si="18"/>
        <v>0</v>
      </c>
      <c r="AU71" s="299">
        <f t="shared" si="18"/>
        <v>0</v>
      </c>
      <c r="AV71" s="299">
        <f t="shared" si="18"/>
        <v>0</v>
      </c>
      <c r="AW71" s="299">
        <f t="shared" si="18"/>
        <v>0</v>
      </c>
      <c r="AX71" s="299">
        <f t="shared" si="18"/>
        <v>0</v>
      </c>
      <c r="AY71" s="299">
        <f t="shared" si="18"/>
        <v>0</v>
      </c>
      <c r="AZ71" s="299">
        <f t="shared" si="18"/>
        <v>0</v>
      </c>
      <c r="BA71" s="299">
        <f t="shared" si="18"/>
        <v>0</v>
      </c>
      <c r="BB71" s="299">
        <f t="shared" si="18"/>
        <v>0</v>
      </c>
      <c r="BC71" s="299">
        <f t="shared" si="18"/>
        <v>0</v>
      </c>
      <c r="BD71" s="299">
        <f t="shared" si="18"/>
        <v>0</v>
      </c>
      <c r="BE71" s="299">
        <f t="shared" si="18"/>
        <v>0</v>
      </c>
      <c r="BF71" s="299">
        <f t="shared" si="18"/>
        <v>0</v>
      </c>
      <c r="BG71" s="299">
        <f t="shared" si="18"/>
        <v>0</v>
      </c>
      <c r="BH71" s="299">
        <f t="shared" si="18"/>
        <v>0</v>
      </c>
      <c r="BI71" s="299">
        <f t="shared" si="18"/>
        <v>0</v>
      </c>
      <c r="BJ71" s="299">
        <f t="shared" si="18"/>
        <v>0</v>
      </c>
      <c r="BK71" s="299">
        <f t="shared" si="18"/>
        <v>0</v>
      </c>
      <c r="BL71" s="299">
        <f t="shared" si="18"/>
        <v>0</v>
      </c>
    </row>
    <row r="72" spans="2:64" x14ac:dyDescent="0.15">
      <c r="B72" s="155" t="s">
        <v>94</v>
      </c>
      <c r="C72" s="155"/>
      <c r="D72" s="155"/>
      <c r="E72" s="281">
        <f>E73+E74</f>
        <v>-0.29675107376283849</v>
      </c>
      <c r="F72" s="281">
        <f t="shared" ref="F72:BL72" si="19">F73+F74</f>
        <v>0</v>
      </c>
      <c r="G72" s="281">
        <f t="shared" si="19"/>
        <v>0</v>
      </c>
      <c r="H72" s="281">
        <f t="shared" si="19"/>
        <v>0</v>
      </c>
      <c r="I72" s="281">
        <f t="shared" si="19"/>
        <v>0</v>
      </c>
      <c r="J72" s="281">
        <f t="shared" si="19"/>
        <v>0</v>
      </c>
      <c r="K72" s="281">
        <f t="shared" si="19"/>
        <v>0</v>
      </c>
      <c r="L72" s="281">
        <f t="shared" si="19"/>
        <v>0</v>
      </c>
      <c r="M72" s="281">
        <f t="shared" si="19"/>
        <v>0</v>
      </c>
      <c r="N72" s="281">
        <f t="shared" si="19"/>
        <v>0</v>
      </c>
      <c r="O72" s="281">
        <f t="shared" si="19"/>
        <v>0</v>
      </c>
      <c r="P72" s="281">
        <f t="shared" si="19"/>
        <v>0</v>
      </c>
      <c r="Q72" s="281">
        <f t="shared" si="19"/>
        <v>0</v>
      </c>
      <c r="R72" s="281">
        <f t="shared" si="19"/>
        <v>0</v>
      </c>
      <c r="S72" s="281">
        <f t="shared" si="19"/>
        <v>0</v>
      </c>
      <c r="T72" s="281">
        <f t="shared" si="19"/>
        <v>0</v>
      </c>
      <c r="U72" s="281">
        <f t="shared" si="19"/>
        <v>0</v>
      </c>
      <c r="V72" s="281">
        <f t="shared" si="19"/>
        <v>0</v>
      </c>
      <c r="W72" s="281">
        <f t="shared" si="19"/>
        <v>0</v>
      </c>
      <c r="X72" s="281">
        <f t="shared" si="19"/>
        <v>0</v>
      </c>
      <c r="Y72" s="281">
        <f t="shared" si="19"/>
        <v>0</v>
      </c>
      <c r="Z72" s="281">
        <f t="shared" si="19"/>
        <v>0</v>
      </c>
      <c r="AA72" s="281">
        <f t="shared" si="19"/>
        <v>0</v>
      </c>
      <c r="AB72" s="281">
        <f t="shared" si="19"/>
        <v>0</v>
      </c>
      <c r="AC72" s="281">
        <f t="shared" si="19"/>
        <v>0</v>
      </c>
      <c r="AD72" s="281">
        <f t="shared" si="19"/>
        <v>0</v>
      </c>
      <c r="AE72" s="281">
        <f t="shared" si="19"/>
        <v>0</v>
      </c>
      <c r="AF72" s="281">
        <f t="shared" si="19"/>
        <v>0</v>
      </c>
      <c r="AG72" s="281">
        <f t="shared" si="19"/>
        <v>0</v>
      </c>
      <c r="AH72" s="281">
        <f t="shared" si="19"/>
        <v>0</v>
      </c>
      <c r="AI72" s="281">
        <f t="shared" si="19"/>
        <v>0</v>
      </c>
      <c r="AJ72" s="281">
        <f t="shared" si="19"/>
        <v>0</v>
      </c>
      <c r="AK72" s="281">
        <f t="shared" si="19"/>
        <v>0</v>
      </c>
      <c r="AL72" s="281">
        <f t="shared" si="19"/>
        <v>0</v>
      </c>
      <c r="AM72" s="281">
        <f t="shared" si="19"/>
        <v>0</v>
      </c>
      <c r="AN72" s="281">
        <f t="shared" si="19"/>
        <v>0</v>
      </c>
      <c r="AO72" s="281">
        <f t="shared" si="19"/>
        <v>0</v>
      </c>
      <c r="AP72" s="281">
        <f t="shared" si="19"/>
        <v>0</v>
      </c>
      <c r="AQ72" s="281">
        <f t="shared" si="19"/>
        <v>0</v>
      </c>
      <c r="AR72" s="281">
        <f t="shared" si="19"/>
        <v>0</v>
      </c>
      <c r="AS72" s="281">
        <f t="shared" si="19"/>
        <v>0</v>
      </c>
      <c r="AT72" s="281">
        <f t="shared" si="19"/>
        <v>0</v>
      </c>
      <c r="AU72" s="281">
        <f t="shared" si="19"/>
        <v>0</v>
      </c>
      <c r="AV72" s="281">
        <f t="shared" si="19"/>
        <v>0</v>
      </c>
      <c r="AW72" s="281">
        <f t="shared" si="19"/>
        <v>0</v>
      </c>
      <c r="AX72" s="281">
        <f t="shared" si="19"/>
        <v>0</v>
      </c>
      <c r="AY72" s="281">
        <f t="shared" si="19"/>
        <v>0</v>
      </c>
      <c r="AZ72" s="281">
        <f t="shared" si="19"/>
        <v>0</v>
      </c>
      <c r="BA72" s="281">
        <f t="shared" si="19"/>
        <v>0</v>
      </c>
      <c r="BB72" s="281">
        <f t="shared" si="19"/>
        <v>0</v>
      </c>
      <c r="BC72" s="281">
        <f t="shared" si="19"/>
        <v>0</v>
      </c>
      <c r="BD72" s="281">
        <f t="shared" si="19"/>
        <v>0</v>
      </c>
      <c r="BE72" s="281">
        <f t="shared" si="19"/>
        <v>0</v>
      </c>
      <c r="BF72" s="281">
        <f t="shared" si="19"/>
        <v>0</v>
      </c>
      <c r="BG72" s="281">
        <f t="shared" si="19"/>
        <v>0</v>
      </c>
      <c r="BH72" s="281">
        <f t="shared" si="19"/>
        <v>0</v>
      </c>
      <c r="BI72" s="281">
        <f t="shared" si="19"/>
        <v>0</v>
      </c>
      <c r="BJ72" s="281">
        <f t="shared" si="19"/>
        <v>0</v>
      </c>
      <c r="BK72" s="281">
        <f t="shared" si="19"/>
        <v>0</v>
      </c>
      <c r="BL72" s="281">
        <f t="shared" si="19"/>
        <v>0</v>
      </c>
    </row>
    <row r="73" spans="2:64" s="163" customFormat="1" x14ac:dyDescent="0.15">
      <c r="C73" s="84" t="s">
        <v>397</v>
      </c>
      <c r="E73" s="140">
        <f>-Leadsheet!E56-Leadsheet!E57*Leadsheet!E10</f>
        <v>-0.29675107376283849</v>
      </c>
    </row>
    <row r="74" spans="2:64" x14ac:dyDescent="0.15">
      <c r="C74" s="155" t="s">
        <v>398</v>
      </c>
      <c r="E74" s="281">
        <f t="shared" ref="E74:BL74" si="20">SUM(E75:E82)</f>
        <v>0</v>
      </c>
      <c r="F74" s="281">
        <f t="shared" si="20"/>
        <v>0</v>
      </c>
      <c r="G74" s="281">
        <f t="shared" si="20"/>
        <v>0</v>
      </c>
      <c r="H74" s="281">
        <f t="shared" si="20"/>
        <v>0</v>
      </c>
      <c r="I74" s="281">
        <f t="shared" si="20"/>
        <v>0</v>
      </c>
      <c r="J74" s="281">
        <f t="shared" si="20"/>
        <v>0</v>
      </c>
      <c r="K74" s="281">
        <f t="shared" si="20"/>
        <v>0</v>
      </c>
      <c r="L74" s="281">
        <f t="shared" si="20"/>
        <v>0</v>
      </c>
      <c r="M74" s="281">
        <f t="shared" si="20"/>
        <v>0</v>
      </c>
      <c r="N74" s="281">
        <f t="shared" si="20"/>
        <v>0</v>
      </c>
      <c r="O74" s="281">
        <f t="shared" si="20"/>
        <v>0</v>
      </c>
      <c r="P74" s="281">
        <f t="shared" si="20"/>
        <v>0</v>
      </c>
      <c r="Q74" s="281">
        <f t="shared" si="20"/>
        <v>0</v>
      </c>
      <c r="R74" s="281">
        <f t="shared" si="20"/>
        <v>0</v>
      </c>
      <c r="S74" s="281">
        <f t="shared" si="20"/>
        <v>0</v>
      </c>
      <c r="T74" s="281">
        <f t="shared" si="20"/>
        <v>0</v>
      </c>
      <c r="U74" s="281">
        <f t="shared" si="20"/>
        <v>0</v>
      </c>
      <c r="V74" s="281">
        <f t="shared" si="20"/>
        <v>0</v>
      </c>
      <c r="W74" s="281">
        <f t="shared" si="20"/>
        <v>0</v>
      </c>
      <c r="X74" s="281">
        <f t="shared" si="20"/>
        <v>0</v>
      </c>
      <c r="Y74" s="281">
        <f t="shared" si="20"/>
        <v>0</v>
      </c>
      <c r="Z74" s="281">
        <f t="shared" si="20"/>
        <v>0</v>
      </c>
      <c r="AA74" s="281">
        <f t="shared" si="20"/>
        <v>0</v>
      </c>
      <c r="AB74" s="281">
        <f t="shared" si="20"/>
        <v>0</v>
      </c>
      <c r="AC74" s="281">
        <f t="shared" si="20"/>
        <v>0</v>
      </c>
      <c r="AD74" s="281">
        <f t="shared" si="20"/>
        <v>0</v>
      </c>
      <c r="AE74" s="281">
        <f t="shared" si="20"/>
        <v>0</v>
      </c>
      <c r="AF74" s="281">
        <f t="shared" si="20"/>
        <v>0</v>
      </c>
      <c r="AG74" s="281">
        <f t="shared" si="20"/>
        <v>0</v>
      </c>
      <c r="AH74" s="281">
        <f t="shared" si="20"/>
        <v>0</v>
      </c>
      <c r="AI74" s="281">
        <f t="shared" si="20"/>
        <v>0</v>
      </c>
      <c r="AJ74" s="281">
        <f t="shared" si="20"/>
        <v>0</v>
      </c>
      <c r="AK74" s="281">
        <f t="shared" si="20"/>
        <v>0</v>
      </c>
      <c r="AL74" s="281">
        <f t="shared" si="20"/>
        <v>0</v>
      </c>
      <c r="AM74" s="281">
        <f t="shared" si="20"/>
        <v>0</v>
      </c>
      <c r="AN74" s="281">
        <f t="shared" si="20"/>
        <v>0</v>
      </c>
      <c r="AO74" s="281">
        <f t="shared" si="20"/>
        <v>0</v>
      </c>
      <c r="AP74" s="281">
        <f t="shared" si="20"/>
        <v>0</v>
      </c>
      <c r="AQ74" s="281">
        <f t="shared" si="20"/>
        <v>0</v>
      </c>
      <c r="AR74" s="281">
        <f t="shared" si="20"/>
        <v>0</v>
      </c>
      <c r="AS74" s="281">
        <f t="shared" si="20"/>
        <v>0</v>
      </c>
      <c r="AT74" s="281">
        <f t="shared" si="20"/>
        <v>0</v>
      </c>
      <c r="AU74" s="281">
        <f t="shared" si="20"/>
        <v>0</v>
      </c>
      <c r="AV74" s="281">
        <f t="shared" si="20"/>
        <v>0</v>
      </c>
      <c r="AW74" s="281">
        <f t="shared" si="20"/>
        <v>0</v>
      </c>
      <c r="AX74" s="281">
        <f t="shared" si="20"/>
        <v>0</v>
      </c>
      <c r="AY74" s="281">
        <f t="shared" si="20"/>
        <v>0</v>
      </c>
      <c r="AZ74" s="281">
        <f t="shared" si="20"/>
        <v>0</v>
      </c>
      <c r="BA74" s="281">
        <f t="shared" si="20"/>
        <v>0</v>
      </c>
      <c r="BB74" s="281">
        <f t="shared" si="20"/>
        <v>0</v>
      </c>
      <c r="BC74" s="281">
        <f t="shared" si="20"/>
        <v>0</v>
      </c>
      <c r="BD74" s="281">
        <f t="shared" si="20"/>
        <v>0</v>
      </c>
      <c r="BE74" s="281">
        <f t="shared" si="20"/>
        <v>0</v>
      </c>
      <c r="BF74" s="281">
        <f t="shared" si="20"/>
        <v>0</v>
      </c>
      <c r="BG74" s="281">
        <f t="shared" si="20"/>
        <v>0</v>
      </c>
      <c r="BH74" s="281">
        <f t="shared" si="20"/>
        <v>0</v>
      </c>
      <c r="BI74" s="281">
        <f t="shared" si="20"/>
        <v>0</v>
      </c>
      <c r="BJ74" s="281">
        <f t="shared" si="20"/>
        <v>0</v>
      </c>
      <c r="BK74" s="281">
        <f t="shared" si="20"/>
        <v>0</v>
      </c>
      <c r="BL74" s="281">
        <f t="shared" si="20"/>
        <v>0</v>
      </c>
    </row>
    <row r="75" spans="2:64" x14ac:dyDescent="0.15">
      <c r="C75" s="161" t="s">
        <v>101</v>
      </c>
      <c r="E75" s="140">
        <f>-SUM(E58:E58)*Leadsheet!$E$50</f>
        <v>0</v>
      </c>
      <c r="F75" s="140">
        <f>-SUM(F58:F58)*Leadsheet!$E$50</f>
        <v>0</v>
      </c>
      <c r="G75" s="140">
        <f>-SUM(G58:G58)*Leadsheet!$E$50</f>
        <v>0</v>
      </c>
      <c r="H75" s="140">
        <f>-SUM(H58:H58)*Leadsheet!$E$50</f>
        <v>0</v>
      </c>
      <c r="I75" s="140">
        <f>-SUM(I58:I58)*Leadsheet!$E$50</f>
        <v>0</v>
      </c>
      <c r="J75" s="140">
        <f>-SUM(J58:J58)*Leadsheet!$E$50</f>
        <v>0</v>
      </c>
      <c r="K75" s="140">
        <f>-SUM(K58:K58)*Leadsheet!$E$50</f>
        <v>0</v>
      </c>
      <c r="L75" s="140">
        <f>-SUM(L58:L58)*Leadsheet!$E$50</f>
        <v>0</v>
      </c>
      <c r="M75" s="140">
        <f>-SUM(M58:M58)*Leadsheet!$E$50</f>
        <v>0</v>
      </c>
      <c r="N75" s="140">
        <f>-SUM(N58:N58)*Leadsheet!$E$50</f>
        <v>0</v>
      </c>
      <c r="O75" s="140">
        <f>-SUM(O58:O58)*Leadsheet!$E$50</f>
        <v>0</v>
      </c>
      <c r="P75" s="140">
        <f>-SUM(P58:P58)*Leadsheet!$E$50</f>
        <v>0</v>
      </c>
      <c r="Q75" s="140">
        <f>-SUM(Q58:Q58)*Leadsheet!$E$50</f>
        <v>0</v>
      </c>
      <c r="R75" s="140">
        <f>-SUM(R58:R58)*Leadsheet!$E$50</f>
        <v>0</v>
      </c>
      <c r="S75" s="140">
        <f>-SUM(S58:S58)*Leadsheet!$E$50</f>
        <v>0</v>
      </c>
      <c r="T75" s="140">
        <f>-SUM(T58:T58)*Leadsheet!$E$50</f>
        <v>0</v>
      </c>
      <c r="U75" s="140">
        <f>-SUM(U58:U58)*Leadsheet!$E$50</f>
        <v>0</v>
      </c>
      <c r="V75" s="140">
        <f>-SUM(V58:V58)*Leadsheet!$E$50</f>
        <v>0</v>
      </c>
      <c r="W75" s="140">
        <f>-SUM(W58:W58)*Leadsheet!$E$50</f>
        <v>0</v>
      </c>
      <c r="X75" s="140">
        <f>-SUM(X58:X58)*Leadsheet!$E$50</f>
        <v>0</v>
      </c>
      <c r="Y75" s="140">
        <f>-SUM(Y58:Y58)*Leadsheet!$E$50</f>
        <v>0</v>
      </c>
      <c r="Z75" s="140">
        <f>-SUM(Z58:Z58)*Leadsheet!$E$50</f>
        <v>0</v>
      </c>
      <c r="AA75" s="140">
        <f>-SUM(AA58:AA58)*Leadsheet!$E$50</f>
        <v>0</v>
      </c>
      <c r="AB75" s="140">
        <f>-SUM(AB58:AB58)*Leadsheet!$E$50</f>
        <v>0</v>
      </c>
      <c r="AC75" s="140">
        <f>-SUM(AC58:AC58)*Leadsheet!$E$50</f>
        <v>0</v>
      </c>
      <c r="AD75" s="140">
        <f>-SUM(AD58:AD58)*Leadsheet!$E$50</f>
        <v>0</v>
      </c>
      <c r="AE75" s="140">
        <f>-SUM(AE58:AE58)*Leadsheet!$E$50</f>
        <v>0</v>
      </c>
      <c r="AF75" s="140">
        <f>-SUM(AF58:AF58)*Leadsheet!$E$50</f>
        <v>0</v>
      </c>
      <c r="AG75" s="140">
        <f>-SUM(AG58:AG58)*Leadsheet!$E$50</f>
        <v>0</v>
      </c>
      <c r="AH75" s="140">
        <f>-SUM(AH58:AH58)*Leadsheet!$E$50</f>
        <v>0</v>
      </c>
      <c r="AI75" s="140">
        <f>-SUM(AI58:AI58)*Leadsheet!$E$50</f>
        <v>0</v>
      </c>
      <c r="AJ75" s="140">
        <f>-SUM(AJ58:AJ58)*Leadsheet!$E$50</f>
        <v>0</v>
      </c>
      <c r="AK75" s="140">
        <f>-SUM(AK58:AK58)*Leadsheet!$E$50</f>
        <v>0</v>
      </c>
      <c r="AL75" s="140">
        <f>-SUM(AL58:AL58)*Leadsheet!$E$50</f>
        <v>0</v>
      </c>
      <c r="AM75" s="140">
        <f>-SUM(AM58:AM58)*Leadsheet!$E$50</f>
        <v>0</v>
      </c>
      <c r="AN75" s="140">
        <f>-SUM(AN58:AN58)*Leadsheet!$E$50</f>
        <v>0</v>
      </c>
      <c r="AO75" s="140">
        <f>-SUM(AO58:AO58)*Leadsheet!$E$50</f>
        <v>0</v>
      </c>
      <c r="AP75" s="140">
        <f>-SUM(AP58:AP58)*Leadsheet!$E$50</f>
        <v>0</v>
      </c>
      <c r="AQ75" s="140">
        <f>-SUM(AQ58:AQ58)*Leadsheet!$E$50</f>
        <v>0</v>
      </c>
      <c r="AR75" s="140">
        <f>-SUM(AR58:AR58)*Leadsheet!$E$50</f>
        <v>0</v>
      </c>
      <c r="AS75" s="140">
        <f>-SUM(AS58:AS58)*Leadsheet!$E$50</f>
        <v>0</v>
      </c>
      <c r="AT75" s="140">
        <f>-SUM(AT58:AT58)*Leadsheet!$E$50</f>
        <v>0</v>
      </c>
      <c r="AU75" s="140">
        <f>-SUM(AU58:AU58)*Leadsheet!$E$50</f>
        <v>0</v>
      </c>
      <c r="AV75" s="140">
        <f>-SUM(AV58:AV58)*Leadsheet!$E$50</f>
        <v>0</v>
      </c>
      <c r="AW75" s="140">
        <f>-SUM(AW58:AW58)*Leadsheet!$E$50</f>
        <v>0</v>
      </c>
      <c r="AX75" s="140">
        <f>-SUM(AX58:AX58)*Leadsheet!$E$50</f>
        <v>0</v>
      </c>
      <c r="AY75" s="140">
        <f>-SUM(AY58:AY58)*Leadsheet!$E$50</f>
        <v>0</v>
      </c>
      <c r="AZ75" s="140">
        <f>-SUM(AZ58:AZ58)*Leadsheet!$E$50</f>
        <v>0</v>
      </c>
      <c r="BA75" s="140">
        <f>-SUM(BA58:BA58)*Leadsheet!$E$50</f>
        <v>0</v>
      </c>
      <c r="BB75" s="140">
        <f>-SUM(BB58:BB58)*Leadsheet!$E$50</f>
        <v>0</v>
      </c>
      <c r="BC75" s="140">
        <f>-SUM(BC58:BC58)*Leadsheet!$E$50</f>
        <v>0</v>
      </c>
      <c r="BD75" s="140">
        <f>-SUM(BD58:BD58)*Leadsheet!$E$50</f>
        <v>0</v>
      </c>
      <c r="BE75" s="140">
        <f>-SUM(BE58:BE58)*Leadsheet!$E$50</f>
        <v>0</v>
      </c>
      <c r="BF75" s="140">
        <f>-SUM(BF58:BF58)*Leadsheet!$E$50</f>
        <v>0</v>
      </c>
      <c r="BG75" s="140">
        <f>-SUM(BG58:BG58)*Leadsheet!$E$50</f>
        <v>0</v>
      </c>
      <c r="BH75" s="140">
        <f>-SUM(BH58:BH58)*Leadsheet!$E$50</f>
        <v>0</v>
      </c>
      <c r="BI75" s="140">
        <f>-SUM(BI58:BI58)*Leadsheet!$E$50</f>
        <v>0</v>
      </c>
      <c r="BJ75" s="140">
        <f>-SUM(BJ58:BJ58)*Leadsheet!$E$50</f>
        <v>0</v>
      </c>
      <c r="BK75" s="140">
        <f>-SUM(BK58:BK58)*Leadsheet!$E$50</f>
        <v>0</v>
      </c>
      <c r="BL75" s="140">
        <f>-SUM(BL58:BL58)*Leadsheet!$E$50</f>
        <v>0</v>
      </c>
    </row>
    <row r="76" spans="2:64" x14ac:dyDescent="0.15">
      <c r="C76" s="161" t="s">
        <v>103</v>
      </c>
      <c r="E76" s="140">
        <f>-E59*Leadsheet!$E$51</f>
        <v>0</v>
      </c>
      <c r="F76" s="140">
        <f>-F59*Leadsheet!$E$51</f>
        <v>0</v>
      </c>
      <c r="G76" s="140">
        <f>-G59*Leadsheet!$E$51</f>
        <v>0</v>
      </c>
      <c r="H76" s="140">
        <f>-H59*Leadsheet!$E$51</f>
        <v>0</v>
      </c>
      <c r="I76" s="140">
        <f>-I59*Leadsheet!$E$51</f>
        <v>0</v>
      </c>
      <c r="J76" s="140">
        <f>-J59*Leadsheet!$E$51</f>
        <v>0</v>
      </c>
      <c r="K76" s="140">
        <f>-K59*Leadsheet!$E$51</f>
        <v>0</v>
      </c>
      <c r="L76" s="140">
        <f>-L59*Leadsheet!$E$51</f>
        <v>0</v>
      </c>
      <c r="M76" s="140">
        <f>-M59*Leadsheet!$E$51</f>
        <v>0</v>
      </c>
      <c r="N76" s="140">
        <f>-N59*Leadsheet!$E$51</f>
        <v>0</v>
      </c>
      <c r="O76" s="140">
        <f>-O59*Leadsheet!$E$51</f>
        <v>0</v>
      </c>
      <c r="P76" s="140">
        <f>-P59*Leadsheet!$E$51</f>
        <v>0</v>
      </c>
      <c r="Q76" s="140">
        <f>-Q59*Leadsheet!$E$51</f>
        <v>0</v>
      </c>
      <c r="R76" s="140">
        <f>-R59*Leadsheet!$E$51</f>
        <v>0</v>
      </c>
      <c r="S76" s="140">
        <f>-S59*Leadsheet!$E$51</f>
        <v>0</v>
      </c>
      <c r="T76" s="140">
        <f>-T59*Leadsheet!$E$51</f>
        <v>0</v>
      </c>
      <c r="U76" s="140">
        <f>-U59*Leadsheet!$E$51</f>
        <v>0</v>
      </c>
      <c r="V76" s="140">
        <f>-V59*Leadsheet!$E$51</f>
        <v>0</v>
      </c>
      <c r="W76" s="140">
        <f>-W59*Leadsheet!$E$51</f>
        <v>0</v>
      </c>
      <c r="X76" s="140">
        <f>-X59*Leadsheet!$E$51</f>
        <v>0</v>
      </c>
      <c r="Y76" s="140">
        <f>-Y59*Leadsheet!$E$51</f>
        <v>0</v>
      </c>
      <c r="Z76" s="140">
        <f>-Z59*Leadsheet!$E$51</f>
        <v>0</v>
      </c>
      <c r="AA76" s="140">
        <f>-AA59*Leadsheet!$E$51</f>
        <v>0</v>
      </c>
      <c r="AB76" s="140">
        <f>-AB59*Leadsheet!$E$51</f>
        <v>0</v>
      </c>
      <c r="AC76" s="140">
        <f>-AC59*Leadsheet!$E$51</f>
        <v>0</v>
      </c>
      <c r="AD76" s="140">
        <f>-AD59*Leadsheet!$E$51</f>
        <v>0</v>
      </c>
      <c r="AE76" s="140">
        <f>-AE59*Leadsheet!$E$51</f>
        <v>0</v>
      </c>
      <c r="AF76" s="140">
        <f>-AF59*Leadsheet!$E$51</f>
        <v>0</v>
      </c>
      <c r="AG76" s="140">
        <f>-AG59*Leadsheet!$E$51</f>
        <v>0</v>
      </c>
      <c r="AH76" s="140">
        <f>-AH59*Leadsheet!$E$51</f>
        <v>0</v>
      </c>
      <c r="AI76" s="140">
        <f>-AI59*Leadsheet!$E$51</f>
        <v>0</v>
      </c>
      <c r="AJ76" s="140">
        <f>-AJ59*Leadsheet!$E$51</f>
        <v>0</v>
      </c>
      <c r="AK76" s="140">
        <f>-AK59*Leadsheet!$E$51</f>
        <v>0</v>
      </c>
      <c r="AL76" s="140">
        <f>-AL59*Leadsheet!$E$51</f>
        <v>0</v>
      </c>
      <c r="AM76" s="140">
        <f>-AM59*Leadsheet!$E$51</f>
        <v>0</v>
      </c>
      <c r="AN76" s="140">
        <f>-AN59*Leadsheet!$E$51</f>
        <v>0</v>
      </c>
      <c r="AO76" s="140">
        <f>-AO59*Leadsheet!$E$51</f>
        <v>0</v>
      </c>
      <c r="AP76" s="140">
        <f>-AP59*Leadsheet!$E$51</f>
        <v>0</v>
      </c>
      <c r="AQ76" s="140">
        <f>-AQ59*Leadsheet!$E$51</f>
        <v>0</v>
      </c>
      <c r="AR76" s="140">
        <f>-AR59*Leadsheet!$E$51</f>
        <v>0</v>
      </c>
      <c r="AS76" s="140">
        <f>-AS59*Leadsheet!$E$51</f>
        <v>0</v>
      </c>
      <c r="AT76" s="140">
        <f>-AT59*Leadsheet!$E$51</f>
        <v>0</v>
      </c>
      <c r="AU76" s="140">
        <f>-AU59*Leadsheet!$E$51</f>
        <v>0</v>
      </c>
      <c r="AV76" s="140">
        <f>-AV59*Leadsheet!$E$51</f>
        <v>0</v>
      </c>
      <c r="AW76" s="140">
        <f>-AW59*Leadsheet!$E$51</f>
        <v>0</v>
      </c>
      <c r="AX76" s="140">
        <f>-AX59*Leadsheet!$E$51</f>
        <v>0</v>
      </c>
      <c r="AY76" s="140">
        <f>-AY59*Leadsheet!$E$51</f>
        <v>0</v>
      </c>
      <c r="AZ76" s="140">
        <f>-AZ59*Leadsheet!$E$51</f>
        <v>0</v>
      </c>
      <c r="BA76" s="140">
        <f>-BA59*Leadsheet!$E$51</f>
        <v>0</v>
      </c>
      <c r="BB76" s="140">
        <f>-BB59*Leadsheet!$E$51</f>
        <v>0</v>
      </c>
      <c r="BC76" s="140">
        <f>-BC59*Leadsheet!$E$51</f>
        <v>0</v>
      </c>
      <c r="BD76" s="140">
        <f>-BD59*Leadsheet!$E$51</f>
        <v>0</v>
      </c>
      <c r="BE76" s="140">
        <f>-BE59*Leadsheet!$E$51</f>
        <v>0</v>
      </c>
      <c r="BF76" s="140">
        <f>-BF59*Leadsheet!$E$51</f>
        <v>0</v>
      </c>
      <c r="BG76" s="140">
        <f>-BG59*Leadsheet!$E$51</f>
        <v>0</v>
      </c>
      <c r="BH76" s="140">
        <f>-BH59*Leadsheet!$E$51</f>
        <v>0</v>
      </c>
      <c r="BI76" s="140">
        <f>-BI59*Leadsheet!$E$51</f>
        <v>0</v>
      </c>
      <c r="BJ76" s="140">
        <f>-BJ59*Leadsheet!$E$51</f>
        <v>0</v>
      </c>
      <c r="BK76" s="140">
        <f>-BK59*Leadsheet!$E$51</f>
        <v>0</v>
      </c>
      <c r="BL76" s="140">
        <f>-BL59*Leadsheet!$E$51</f>
        <v>0</v>
      </c>
    </row>
    <row r="77" spans="2:64" x14ac:dyDescent="0.15">
      <c r="C77" s="161" t="s">
        <v>105</v>
      </c>
      <c r="E77" s="140">
        <f>-E61*Leadsheet!$E$52</f>
        <v>0</v>
      </c>
      <c r="F77" s="140">
        <f>-F61*Leadsheet!$E$52</f>
        <v>0</v>
      </c>
      <c r="G77" s="140">
        <f>-G61*Leadsheet!$E$52</f>
        <v>0</v>
      </c>
      <c r="H77" s="140">
        <f>-H61*Leadsheet!$E$52</f>
        <v>0</v>
      </c>
      <c r="I77" s="140">
        <f>-I61*Leadsheet!$E$52</f>
        <v>0</v>
      </c>
      <c r="J77" s="140">
        <f>-J61*Leadsheet!$E$52</f>
        <v>0</v>
      </c>
      <c r="K77" s="140">
        <f>-K61*Leadsheet!$E$52</f>
        <v>0</v>
      </c>
      <c r="L77" s="140">
        <f>-L61*Leadsheet!$E$52</f>
        <v>0</v>
      </c>
      <c r="M77" s="140">
        <f>-M61*Leadsheet!$E$52</f>
        <v>0</v>
      </c>
      <c r="N77" s="140">
        <f>-N61*Leadsheet!$E$52</f>
        <v>0</v>
      </c>
      <c r="O77" s="140">
        <f>-O61*Leadsheet!$E$52</f>
        <v>0</v>
      </c>
      <c r="P77" s="140">
        <f>-P61*Leadsheet!$E$52</f>
        <v>0</v>
      </c>
      <c r="Q77" s="140">
        <f>-Q61*Leadsheet!$E$52</f>
        <v>0</v>
      </c>
      <c r="R77" s="140">
        <f>-R61*Leadsheet!$E$52</f>
        <v>0</v>
      </c>
      <c r="S77" s="140">
        <f>-S61*Leadsheet!$E$52</f>
        <v>0</v>
      </c>
      <c r="T77" s="140">
        <f>-T61*Leadsheet!$E$52</f>
        <v>0</v>
      </c>
      <c r="U77" s="140">
        <f>-U61*Leadsheet!$E$52</f>
        <v>0</v>
      </c>
      <c r="V77" s="140">
        <f>-V61*Leadsheet!$E$52</f>
        <v>0</v>
      </c>
      <c r="W77" s="140">
        <f>-W61*Leadsheet!$E$52</f>
        <v>0</v>
      </c>
      <c r="X77" s="140">
        <f>-X61*Leadsheet!$E$52</f>
        <v>0</v>
      </c>
      <c r="Y77" s="140">
        <f>-Y61*Leadsheet!$E$52</f>
        <v>0</v>
      </c>
      <c r="Z77" s="140">
        <f>-Z61*Leadsheet!$E$52</f>
        <v>0</v>
      </c>
      <c r="AA77" s="140">
        <f>-AA61*Leadsheet!$E$52</f>
        <v>0</v>
      </c>
      <c r="AB77" s="140">
        <f>-AB61*Leadsheet!$E$52</f>
        <v>0</v>
      </c>
      <c r="AC77" s="140">
        <f>-AC61*Leadsheet!$E$52</f>
        <v>0</v>
      </c>
      <c r="AD77" s="140">
        <f>-AD61*Leadsheet!$E$52</f>
        <v>0</v>
      </c>
      <c r="AE77" s="140">
        <f>-AE61*Leadsheet!$E$52</f>
        <v>0</v>
      </c>
      <c r="AF77" s="140">
        <f>-AF61*Leadsheet!$E$52</f>
        <v>0</v>
      </c>
      <c r="AG77" s="140">
        <f>-AG61*Leadsheet!$E$52</f>
        <v>0</v>
      </c>
      <c r="AH77" s="140">
        <f>-AH61*Leadsheet!$E$52</f>
        <v>0</v>
      </c>
      <c r="AI77" s="140">
        <f>-AI61*Leadsheet!$E$52</f>
        <v>0</v>
      </c>
      <c r="AJ77" s="140">
        <f>-AJ61*Leadsheet!$E$52</f>
        <v>0</v>
      </c>
      <c r="AK77" s="140">
        <f>-AK61*Leadsheet!$E$52</f>
        <v>0</v>
      </c>
      <c r="AL77" s="140">
        <f>-AL61*Leadsheet!$E$52</f>
        <v>0</v>
      </c>
      <c r="AM77" s="140">
        <f>-AM61*Leadsheet!$E$52</f>
        <v>0</v>
      </c>
      <c r="AN77" s="140">
        <f>-AN61*Leadsheet!$E$52</f>
        <v>0</v>
      </c>
      <c r="AO77" s="140">
        <f>-AO61*Leadsheet!$E$52</f>
        <v>0</v>
      </c>
      <c r="AP77" s="140">
        <f>-AP61*Leadsheet!$E$52</f>
        <v>0</v>
      </c>
      <c r="AQ77" s="140">
        <f>-AQ61*Leadsheet!$E$52</f>
        <v>0</v>
      </c>
      <c r="AR77" s="140">
        <f>-AR61*Leadsheet!$E$52</f>
        <v>0</v>
      </c>
      <c r="AS77" s="140">
        <f>-AS61*Leadsheet!$E$52</f>
        <v>0</v>
      </c>
      <c r="AT77" s="140">
        <f>-AT61*Leadsheet!$E$52</f>
        <v>0</v>
      </c>
      <c r="AU77" s="140">
        <f>-AU61*Leadsheet!$E$52</f>
        <v>0</v>
      </c>
      <c r="AV77" s="140">
        <f>-AV61*Leadsheet!$E$52</f>
        <v>0</v>
      </c>
      <c r="AW77" s="140">
        <f>-AW61*Leadsheet!$E$52</f>
        <v>0</v>
      </c>
      <c r="AX77" s="140">
        <f>-AX61*Leadsheet!$E$52</f>
        <v>0</v>
      </c>
      <c r="AY77" s="140">
        <f>-AY61*Leadsheet!$E$52</f>
        <v>0</v>
      </c>
      <c r="AZ77" s="140">
        <f>-AZ61*Leadsheet!$E$52</f>
        <v>0</v>
      </c>
      <c r="BA77" s="140">
        <f>-BA61*Leadsheet!$E$52</f>
        <v>0</v>
      </c>
      <c r="BB77" s="140">
        <f>-BB61*Leadsheet!$E$52</f>
        <v>0</v>
      </c>
      <c r="BC77" s="140">
        <f>-BC61*Leadsheet!$E$52</f>
        <v>0</v>
      </c>
      <c r="BD77" s="140">
        <f>-BD61*Leadsheet!$E$52</f>
        <v>0</v>
      </c>
      <c r="BE77" s="140">
        <f>-BE61*Leadsheet!$E$52</f>
        <v>0</v>
      </c>
      <c r="BF77" s="140">
        <f>-BF61*Leadsheet!$E$52</f>
        <v>0</v>
      </c>
      <c r="BG77" s="140">
        <f>-BG61*Leadsheet!$E$52</f>
        <v>0</v>
      </c>
      <c r="BH77" s="140">
        <f>-BH61*Leadsheet!$E$52</f>
        <v>0</v>
      </c>
      <c r="BI77" s="140">
        <f>-BI61*Leadsheet!$E$52</f>
        <v>0</v>
      </c>
      <c r="BJ77" s="140">
        <f>-BJ61*Leadsheet!$E$52</f>
        <v>0</v>
      </c>
      <c r="BK77" s="140">
        <f>-BK61*Leadsheet!$E$52</f>
        <v>0</v>
      </c>
      <c r="BL77" s="140">
        <f>-BL61*Leadsheet!$E$52</f>
        <v>0</v>
      </c>
    </row>
    <row r="78" spans="2:64" x14ac:dyDescent="0.15">
      <c r="C78" s="161" t="s">
        <v>107</v>
      </c>
      <c r="E78" s="140">
        <f>IF(E5&gt;$D$7,0,Leadsheet!$E$53*(E31-SUM(D31:D39)+SUM(E32:E40)))</f>
        <v>0</v>
      </c>
      <c r="F78" s="140">
        <f>IF(F5&gt;$D$7,0,Leadsheet!$E$53*(F31-SUM(E31:E39)+SUM(F32:F40)))</f>
        <v>0</v>
      </c>
      <c r="G78" s="140">
        <f>IF(G5&gt;$D$7,0,Leadsheet!$E$53*(G31-SUM(F31:F39)+SUM(G32:G40)))</f>
        <v>0</v>
      </c>
      <c r="H78" s="140">
        <f>IF(H5&gt;$D$7,0,Leadsheet!$E$53*(H31-SUM(G31:G39)+SUM(H32:H40)))</f>
        <v>0</v>
      </c>
      <c r="I78" s="140">
        <f>IF(I5&gt;$D$7,0,Leadsheet!$E$53*(I31-SUM(H31:H39)+SUM(I32:I40)))</f>
        <v>0</v>
      </c>
      <c r="J78" s="140">
        <f>IF(J5&gt;$D$7,0,Leadsheet!$E$53*(J31-SUM(I31:I39)+SUM(J32:J40)))</f>
        <v>0</v>
      </c>
      <c r="K78" s="140">
        <f>IF(K5&gt;$D$7,0,Leadsheet!$E$53*(K31-SUM(J31:J39)+SUM(K32:K40)))</f>
        <v>0</v>
      </c>
      <c r="L78" s="140">
        <f>IF(L5&gt;$D$7,0,Leadsheet!$E$53*(L31-SUM(K31:K39)+SUM(L32:L40)))</f>
        <v>0</v>
      </c>
      <c r="M78" s="140">
        <f>IF(M5&gt;$D$7,0,Leadsheet!$E$53*(M31-SUM(L31:L39)+SUM(M32:M40)))</f>
        <v>0</v>
      </c>
      <c r="N78" s="140">
        <f>IF(N5&gt;$D$7,0,Leadsheet!$E$53*(N31-SUM(M31:M39)+SUM(N32:N40)))</f>
        <v>0</v>
      </c>
      <c r="O78" s="140">
        <f>IF(O5&gt;$D$7,0,Leadsheet!$E$53*(O31-SUM(N31:N39)+SUM(O32:O40)))</f>
        <v>0</v>
      </c>
      <c r="P78" s="140">
        <f>IF(P5&gt;$D$7,0,Leadsheet!$E$53*(P31-SUM(O31:O39)+SUM(P32:P40)))</f>
        <v>0</v>
      </c>
      <c r="Q78" s="140">
        <f>IF(Q5&gt;$D$7,0,Leadsheet!$E$53*(Q31-SUM(P31:P39)+SUM(Q32:Q40)))</f>
        <v>0</v>
      </c>
      <c r="R78" s="140">
        <f>IF(R5&gt;$D$7,0,Leadsheet!$E$53*(R31-SUM(Q31:Q39)+SUM(R32:R40)))</f>
        <v>0</v>
      </c>
      <c r="S78" s="140">
        <f>IF(S5&gt;$D$7,0,Leadsheet!$E$53*(S31-SUM(R31:R39)+SUM(S32:S40)))</f>
        <v>0</v>
      </c>
      <c r="T78" s="140">
        <f>IF(T5&gt;$D$7,0,Leadsheet!$E$53*(T31-SUM(S31:S39)+SUM(T32:T40)))</f>
        <v>0</v>
      </c>
      <c r="U78" s="140">
        <f>IF(U5&gt;$D$7,0,Leadsheet!$E$53*(U31-SUM(T31:T39)+SUM(U32:U40)))</f>
        <v>0</v>
      </c>
      <c r="V78" s="140">
        <f>IF(V5&gt;$D$7,0,Leadsheet!$E$53*(V31-SUM(U31:U39)+SUM(V32:V40)))</f>
        <v>0</v>
      </c>
      <c r="W78" s="140">
        <f>IF(W5&gt;$D$7,0,Leadsheet!$E$53*(W31-SUM(V31:V39)+SUM(W32:W40)))</f>
        <v>0</v>
      </c>
      <c r="X78" s="140">
        <f>IF(X5&gt;$D$7,0,Leadsheet!$E$53*(X31-SUM(W31:W39)+SUM(X32:X40)))</f>
        <v>0</v>
      </c>
      <c r="Y78" s="140">
        <f>IF(Y5&gt;$D$7,0,Leadsheet!$E$53*(Y31-SUM(X31:X39)+SUM(Y32:Y40)))</f>
        <v>0</v>
      </c>
      <c r="Z78" s="140">
        <f>IF(Z5&gt;$D$7,0,Leadsheet!$E$53*(Z31-SUM(Y31:Y39)+SUM(Z32:Z40)))</f>
        <v>0</v>
      </c>
      <c r="AA78" s="140">
        <f>IF(AA5&gt;$D$7,0,Leadsheet!$E$53*(AA31-SUM(Z31:Z39)+SUM(AA32:AA40)))</f>
        <v>0</v>
      </c>
      <c r="AB78" s="140">
        <f>IF(AB5&gt;$D$7,0,Leadsheet!$E$53*(AB31-SUM(AA31:AA39)+SUM(AB32:AB40)))</f>
        <v>0</v>
      </c>
      <c r="AC78" s="140">
        <f>IF(AC5&gt;$D$7,0,Leadsheet!$E$53*(AC31-SUM(AB31:AB39)+SUM(AC32:AC40)))</f>
        <v>0</v>
      </c>
      <c r="AD78" s="140">
        <f>IF(AD5&gt;$D$7,0,Leadsheet!$E$53*(AD31-SUM(AC31:AC39)+SUM(AD32:AD40)))</f>
        <v>0</v>
      </c>
      <c r="AE78" s="140">
        <f>IF(AE5&gt;$D$7,0,Leadsheet!$E$53*(AE31-SUM(AD31:AD39)+SUM(AE32:AE40)))</f>
        <v>0</v>
      </c>
      <c r="AF78" s="140">
        <f>IF(AF5&gt;$D$7,0,Leadsheet!$E$53*(AF31-SUM(AE31:AE39)+SUM(AF32:AF40)))</f>
        <v>0</v>
      </c>
      <c r="AG78" s="140">
        <f>IF(AG5&gt;$D$7,0,Leadsheet!$E$53*(AG31-SUM(AF31:AF39)+SUM(AG32:AG40)))</f>
        <v>0</v>
      </c>
      <c r="AH78" s="140">
        <f>IF(AH5&gt;$D$7,0,Leadsheet!$E$53*(AH31-SUM(AG31:AG39)+SUM(AH32:AH40)))</f>
        <v>0</v>
      </c>
      <c r="AI78" s="140">
        <f>IF(AI5&gt;$D$7,0,Leadsheet!$E$53*(AI31-SUM(AH31:AH39)+SUM(AI32:AI40)))</f>
        <v>0</v>
      </c>
      <c r="AJ78" s="140">
        <f>IF(AJ5&gt;$D$7,0,Leadsheet!$E$53*(AJ31-SUM(AI31:AI39)+SUM(AJ32:AJ40)))</f>
        <v>0</v>
      </c>
      <c r="AK78" s="140">
        <f>IF(AK5&gt;$D$7,0,Leadsheet!$E$53*(AK31-SUM(AJ31:AJ39)+SUM(AK32:AK40)))</f>
        <v>0</v>
      </c>
      <c r="AL78" s="140">
        <f>IF(AL5&gt;$D$7,0,Leadsheet!$E$53*(AL31-SUM(AK31:AK39)+SUM(AL32:AL40)))</f>
        <v>0</v>
      </c>
      <c r="AM78" s="140">
        <f>IF(AM5&gt;$D$7,0,Leadsheet!$E$53*(AM31-SUM(AL31:AL39)+SUM(AM32:AM40)))</f>
        <v>0</v>
      </c>
      <c r="AN78" s="140">
        <f>IF(AN5&gt;$D$7,0,Leadsheet!$E$53*(AN31-SUM(AM31:AM39)+SUM(AN32:AN40)))</f>
        <v>0</v>
      </c>
      <c r="AO78" s="140">
        <f>IF(AO5&gt;$D$7,0,Leadsheet!$E$53*(AO31-SUM(AN31:AN39)+SUM(AO32:AO40)))</f>
        <v>0</v>
      </c>
      <c r="AP78" s="140">
        <f>IF(AP5&gt;$D$7,0,Leadsheet!$E$53*(AP31-SUM(AO31:AO39)+SUM(AP32:AP40)))</f>
        <v>0</v>
      </c>
      <c r="AQ78" s="140">
        <f>IF(AQ5&gt;$D$7,0,Leadsheet!$E$53*(AQ31-SUM(AP31:AP39)+SUM(AQ32:AQ40)))</f>
        <v>0</v>
      </c>
      <c r="AR78" s="140">
        <f>IF(AR5&gt;$D$7,0,Leadsheet!$E$53*(AR31-SUM(AQ31:AQ39)+SUM(AR32:AR40)))</f>
        <v>0</v>
      </c>
      <c r="AS78" s="140">
        <f>IF(AS5&gt;$D$7,0,Leadsheet!$E$53*(AS31-SUM(AR31:AR39)+SUM(AS32:AS40)))</f>
        <v>0</v>
      </c>
      <c r="AT78" s="140">
        <f>IF(AT5&gt;$D$7,0,Leadsheet!$E$53*(AT31-SUM(AS31:AS39)+SUM(AT32:AT40)))</f>
        <v>0</v>
      </c>
      <c r="AU78" s="140">
        <f>IF(AU5&gt;$D$7,0,Leadsheet!$E$53*(AU31-SUM(AT31:AT39)+SUM(AU32:AU40)))</f>
        <v>0</v>
      </c>
      <c r="AV78" s="140">
        <f>IF(AV5&gt;$D$7,0,Leadsheet!$E$53*(AV31-SUM(AU31:AU39)+SUM(AV32:AV40)))</f>
        <v>0</v>
      </c>
      <c r="AW78" s="140">
        <f>IF(AW5&gt;$D$7,0,Leadsheet!$E$53*(AW31-SUM(AV31:AV39)+SUM(AW32:AW40)))</f>
        <v>0</v>
      </c>
      <c r="AX78" s="140">
        <f>IF(AX5&gt;$D$7,0,Leadsheet!$E$53*(AX31-SUM(AW31:AW39)+SUM(AX32:AX40)))</f>
        <v>0</v>
      </c>
      <c r="AY78" s="140">
        <f>IF(AY5&gt;$D$7,0,Leadsheet!$E$53*(AY31-SUM(AX31:AX39)+SUM(AY32:AY40)))</f>
        <v>0</v>
      </c>
      <c r="AZ78" s="140">
        <f>IF(AZ5&gt;$D$7,0,Leadsheet!$E$53*(AZ31-SUM(AY31:AY39)+SUM(AZ32:AZ40)))</f>
        <v>0</v>
      </c>
      <c r="BA78" s="140">
        <f>IF(BA5&gt;$D$7,0,Leadsheet!$E$53*(BA31-SUM(AZ31:AZ39)+SUM(BA32:BA40)))</f>
        <v>0</v>
      </c>
      <c r="BB78" s="140">
        <f>IF(BB5&gt;$D$7,0,Leadsheet!$E$53*(BB31-SUM(BA31:BA39)+SUM(BB32:BB40)))</f>
        <v>0</v>
      </c>
      <c r="BC78" s="140">
        <f>IF(BC5&gt;$D$7,0,Leadsheet!$E$53*(BC31-SUM(BB31:BB39)+SUM(BC32:BC40)))</f>
        <v>0</v>
      </c>
      <c r="BD78" s="140">
        <f>IF(BD5&gt;$D$7,0,Leadsheet!$E$53*(BD31-SUM(BC31:BC39)+SUM(BD32:BD40)))</f>
        <v>0</v>
      </c>
      <c r="BE78" s="140">
        <f>IF(BE5&gt;$D$7,0,Leadsheet!$E$53*(BE31-SUM(BD31:BD39)+SUM(BE32:BE40)))</f>
        <v>0</v>
      </c>
      <c r="BF78" s="140">
        <f>IF(BF5&gt;$D$7,0,Leadsheet!$E$53*(BF31-SUM(BE31:BE39)+SUM(BF32:BF40)))</f>
        <v>0</v>
      </c>
      <c r="BG78" s="140">
        <f>IF(BG5&gt;$D$7,0,Leadsheet!$E$53*(BG31-SUM(BF31:BF39)+SUM(BG32:BG40)))</f>
        <v>0</v>
      </c>
      <c r="BH78" s="140">
        <f>IF(BH5&gt;$D$7,0,Leadsheet!$E$53*(BH31-SUM(BG31:BG39)+SUM(BH32:BH40)))</f>
        <v>0</v>
      </c>
      <c r="BI78" s="140">
        <f>IF(BI5&gt;$D$7,0,Leadsheet!$E$53*(BI31-SUM(BH31:BH39)+SUM(BI32:BI40)))</f>
        <v>0</v>
      </c>
      <c r="BJ78" s="140">
        <f>IF(BJ5&gt;$D$7,0,Leadsheet!$E$53*(BJ31-SUM(BI31:BI39)+SUM(BJ32:BJ40)))</f>
        <v>0</v>
      </c>
      <c r="BK78" s="140">
        <f>IF(BK5&gt;$D$7,0,Leadsheet!$E$53*(BK31-SUM(BJ31:BJ39)+SUM(BK32:BK40)))</f>
        <v>0</v>
      </c>
      <c r="BL78" s="140">
        <f>IF(BL5&gt;$D$7,0,Leadsheet!$E$53*(BL31-SUM(BK31:BK39)+SUM(BL32:BL40)))</f>
        <v>0</v>
      </c>
    </row>
    <row r="79" spans="2:64" x14ac:dyDescent="0.15">
      <c r="C79" s="161" t="s">
        <v>109</v>
      </c>
      <c r="E79" s="140">
        <f>IF(E5&gt;$D$7,0,Leadsheet!$E$54*(E34-SUM(D34:D39)+SUM(E35:E40)))</f>
        <v>0</v>
      </c>
      <c r="F79" s="140">
        <f>IF(F5&gt;$D$7,0,Leadsheet!$E$54*(F34-SUM(E34:E39)+SUM(F35:F40)))</f>
        <v>0</v>
      </c>
      <c r="G79" s="140">
        <f>IF(G5&gt;$D$7,0,Leadsheet!$E$54*(G34-SUM(F34:F39)+SUM(G35:G40)))</f>
        <v>0</v>
      </c>
      <c r="H79" s="140">
        <f>IF(H5&gt;$D$7,0,Leadsheet!$E$54*(H34-SUM(G34:G39)+SUM(H35:H40)))</f>
        <v>0</v>
      </c>
      <c r="I79" s="140">
        <f>IF(I5&gt;$D$7,0,Leadsheet!$E$54*(I34-SUM(H34:H39)+SUM(I35:I40)))</f>
        <v>0</v>
      </c>
      <c r="J79" s="140">
        <f>IF(J5&gt;$D$7,0,Leadsheet!$E$54*(J34-SUM(I34:I39)+SUM(J35:J40)))</f>
        <v>0</v>
      </c>
      <c r="K79" s="140">
        <f>IF(K5&gt;$D$7,0,Leadsheet!$E$54*(K34-SUM(J34:J39)+SUM(K35:K40)))</f>
        <v>0</v>
      </c>
      <c r="L79" s="140">
        <f>IF(L5&gt;$D$7,0,Leadsheet!$E$54*(L34-SUM(K34:K39)+SUM(L35:L40)))</f>
        <v>0</v>
      </c>
      <c r="M79" s="140">
        <f>IF(M5&gt;$D$7,0,Leadsheet!$E$54*(M34-SUM(L34:L39)+SUM(M35:M40)))</f>
        <v>0</v>
      </c>
      <c r="N79" s="140">
        <f>IF(N5&gt;$D$7,0,Leadsheet!$E$54*(N34-SUM(M34:M39)+SUM(N35:N40)))</f>
        <v>0</v>
      </c>
      <c r="O79" s="140">
        <f>IF(O5&gt;$D$7,0,Leadsheet!$E$54*(O34-SUM(N34:N39)+SUM(O35:O40)))</f>
        <v>0</v>
      </c>
      <c r="P79" s="140">
        <f>IF(P5&gt;$D$7,0,Leadsheet!$E$54*(P34-SUM(O34:O39)+SUM(P35:P40)))</f>
        <v>0</v>
      </c>
      <c r="Q79" s="140">
        <f>IF(Q5&gt;$D$7,0,Leadsheet!$E$54*(Q34-SUM(P34:P39)+SUM(Q35:Q40)))</f>
        <v>0</v>
      </c>
      <c r="R79" s="140">
        <f>IF(R5&gt;$D$7,0,Leadsheet!$E$54*(R34-SUM(Q34:Q39)+SUM(R35:R40)))</f>
        <v>0</v>
      </c>
      <c r="S79" s="140">
        <f>IF(S5&gt;$D$7,0,Leadsheet!$E$54*(S34-SUM(R34:R39)+SUM(S35:S40)))</f>
        <v>0</v>
      </c>
      <c r="T79" s="140">
        <f>IF(T5&gt;$D$7,0,Leadsheet!$E$54*(T34-SUM(S34:S39)+SUM(T35:T40)))</f>
        <v>0</v>
      </c>
      <c r="U79" s="140">
        <f>IF(U5&gt;$D$7,0,Leadsheet!$E$54*(U34-SUM(T34:T39)+SUM(U35:U40)))</f>
        <v>0</v>
      </c>
      <c r="V79" s="140">
        <f>IF(V5&gt;$D$7,0,Leadsheet!$E$54*(V34-SUM(U34:U39)+SUM(V35:V40)))</f>
        <v>0</v>
      </c>
      <c r="W79" s="140">
        <f>IF(W5&gt;$D$7,0,Leadsheet!$E$54*(W34-SUM(V34:V39)+SUM(W35:W40)))</f>
        <v>0</v>
      </c>
      <c r="X79" s="140">
        <f>IF(X5&gt;$D$7,0,Leadsheet!$E$54*(X34-SUM(W34:W39)+SUM(X35:X40)))</f>
        <v>0</v>
      </c>
      <c r="Y79" s="140">
        <f>IF(Y5&gt;$D$7,0,Leadsheet!$E$54*(Y34-SUM(X34:X39)+SUM(Y35:Y40)))</f>
        <v>0</v>
      </c>
      <c r="Z79" s="140">
        <f>IF(Z5&gt;$D$7,0,Leadsheet!$E$54*(Z34-SUM(Y34:Y39)+SUM(Z35:Z40)))</f>
        <v>0</v>
      </c>
      <c r="AA79" s="140">
        <f>IF(AA5&gt;$D$7,0,Leadsheet!$E$54*(AA34-SUM(Z34:Z39)+SUM(AA35:AA40)))</f>
        <v>0</v>
      </c>
      <c r="AB79" s="140">
        <f>IF(AB5&gt;$D$7,0,Leadsheet!$E$54*(AB34-SUM(AA34:AA39)+SUM(AB35:AB40)))</f>
        <v>0</v>
      </c>
      <c r="AC79" s="140">
        <f>IF(AC5&gt;$D$7,0,Leadsheet!$E$54*(AC34-SUM(AB34:AB39)+SUM(AC35:AC40)))</f>
        <v>0</v>
      </c>
      <c r="AD79" s="140">
        <f>IF(AD5&gt;$D$7,0,Leadsheet!$E$54*(AD34-SUM(AC34:AC39)+SUM(AD35:AD40)))</f>
        <v>0</v>
      </c>
      <c r="AE79" s="140">
        <f>IF(AE5&gt;$D$7,0,Leadsheet!$E$54*(AE34-SUM(AD34:AD39)+SUM(AE35:AE40)))</f>
        <v>0</v>
      </c>
      <c r="AF79" s="140">
        <f>IF(AF5&gt;$D$7,0,Leadsheet!$E$54*(AF34-SUM(AE34:AE39)+SUM(AF35:AF40)))</f>
        <v>0</v>
      </c>
      <c r="AG79" s="140">
        <f>IF(AG5&gt;$D$7,0,Leadsheet!$E$54*(AG34-SUM(AF34:AF39)+SUM(AG35:AG40)))</f>
        <v>0</v>
      </c>
      <c r="AH79" s="140">
        <f>IF(AH5&gt;$D$7,0,Leadsheet!$E$54*(AH34-SUM(AG34:AG39)+SUM(AH35:AH40)))</f>
        <v>0</v>
      </c>
      <c r="AI79" s="140">
        <f>IF(AI5&gt;$D$7,0,Leadsheet!$E$54*(AI34-SUM(AH34:AH39)+SUM(AI35:AI40)))</f>
        <v>0</v>
      </c>
      <c r="AJ79" s="140">
        <f>IF(AJ5&gt;$D$7,0,Leadsheet!$E$54*(AJ34-SUM(AI34:AI39)+SUM(AJ35:AJ40)))</f>
        <v>0</v>
      </c>
      <c r="AK79" s="140">
        <f>IF(AK5&gt;$D$7,0,Leadsheet!$E$54*(AK34-SUM(AJ34:AJ39)+SUM(AK35:AK40)))</f>
        <v>0</v>
      </c>
      <c r="AL79" s="140">
        <f>IF(AL5&gt;$D$7,0,Leadsheet!$E$54*(AL34-SUM(AK34:AK39)+SUM(AL35:AL40)))</f>
        <v>0</v>
      </c>
      <c r="AM79" s="140">
        <f>IF(AM5&gt;$D$7,0,Leadsheet!$E$54*(AM34-SUM(AL34:AL39)+SUM(AM35:AM40)))</f>
        <v>0</v>
      </c>
      <c r="AN79" s="140">
        <f>IF(AN5&gt;$D$7,0,Leadsheet!$E$54*(AN34-SUM(AM34:AM39)+SUM(AN35:AN40)))</f>
        <v>0</v>
      </c>
      <c r="AO79" s="140">
        <f>IF(AO5&gt;$D$7,0,Leadsheet!$E$54*(AO34-SUM(AN34:AN39)+SUM(AO35:AO40)))</f>
        <v>0</v>
      </c>
      <c r="AP79" s="140">
        <f>IF(AP5&gt;$D$7,0,Leadsheet!$E$54*(AP34-SUM(AO34:AO39)+SUM(AP35:AP40)))</f>
        <v>0</v>
      </c>
      <c r="AQ79" s="140">
        <f>IF(AQ5&gt;$D$7,0,Leadsheet!$E$54*(AQ34-SUM(AP34:AP39)+SUM(AQ35:AQ40)))</f>
        <v>0</v>
      </c>
      <c r="AR79" s="140">
        <f>IF(AR5&gt;$D$7,0,Leadsheet!$E$54*(AR34-SUM(AQ34:AQ39)+SUM(AR35:AR40)))</f>
        <v>0</v>
      </c>
      <c r="AS79" s="140">
        <f>IF(AS5&gt;$D$7,0,Leadsheet!$E$54*(AS34-SUM(AR34:AR39)+SUM(AS35:AS40)))</f>
        <v>0</v>
      </c>
      <c r="AT79" s="140">
        <f>IF(AT5&gt;$D$7,0,Leadsheet!$E$54*(AT34-SUM(AS34:AS39)+SUM(AT35:AT40)))</f>
        <v>0</v>
      </c>
      <c r="AU79" s="140">
        <f>IF(AU5&gt;$D$7,0,Leadsheet!$E$54*(AU34-SUM(AT34:AT39)+SUM(AU35:AU40)))</f>
        <v>0</v>
      </c>
      <c r="AV79" s="140">
        <f>IF(AV5&gt;$D$7,0,Leadsheet!$E$54*(AV34-SUM(AU34:AU39)+SUM(AV35:AV40)))</f>
        <v>0</v>
      </c>
      <c r="AW79" s="140">
        <f>IF(AW5&gt;$D$7,0,Leadsheet!$E$54*(AW34-SUM(AV34:AV39)+SUM(AW35:AW40)))</f>
        <v>0</v>
      </c>
      <c r="AX79" s="140">
        <f>IF(AX5&gt;$D$7,0,Leadsheet!$E$54*(AX34-SUM(AW34:AW39)+SUM(AX35:AX40)))</f>
        <v>0</v>
      </c>
      <c r="AY79" s="140">
        <f>IF(AY5&gt;$D$7,0,Leadsheet!$E$54*(AY34-SUM(AX34:AX39)+SUM(AY35:AY40)))</f>
        <v>0</v>
      </c>
      <c r="AZ79" s="140">
        <f>IF(AZ5&gt;$D$7,0,Leadsheet!$E$54*(AZ34-SUM(AY34:AY39)+SUM(AZ35:AZ40)))</f>
        <v>0</v>
      </c>
      <c r="BA79" s="140">
        <f>IF(BA5&gt;$D$7,0,Leadsheet!$E$54*(BA34-SUM(AZ34:AZ39)+SUM(BA35:BA40)))</f>
        <v>0</v>
      </c>
      <c r="BB79" s="140">
        <f>IF(BB5&gt;$D$7,0,Leadsheet!$E$54*(BB34-SUM(BA34:BA39)+SUM(BB35:BB40)))</f>
        <v>0</v>
      </c>
      <c r="BC79" s="140">
        <f>IF(BC5&gt;$D$7,0,Leadsheet!$E$54*(BC34-SUM(BB34:BB39)+SUM(BC35:BC40)))</f>
        <v>0</v>
      </c>
      <c r="BD79" s="140">
        <f>IF(BD5&gt;$D$7,0,Leadsheet!$E$54*(BD34-SUM(BC34:BC39)+SUM(BD35:BD40)))</f>
        <v>0</v>
      </c>
      <c r="BE79" s="140">
        <f>IF(BE5&gt;$D$7,0,Leadsheet!$E$54*(BE34-SUM(BD34:BD39)+SUM(BE35:BE40)))</f>
        <v>0</v>
      </c>
      <c r="BF79" s="140">
        <f>IF(BF5&gt;$D$7,0,Leadsheet!$E$54*(BF34-SUM(BE34:BE39)+SUM(BF35:BF40)))</f>
        <v>0</v>
      </c>
      <c r="BG79" s="140">
        <f>IF(BG5&gt;$D$7,0,Leadsheet!$E$54*(BG34-SUM(BF34:BF39)+SUM(BG35:BG40)))</f>
        <v>0</v>
      </c>
      <c r="BH79" s="140">
        <f>IF(BH5&gt;$D$7,0,Leadsheet!$E$54*(BH34-SUM(BG34:BG39)+SUM(BH35:BH40)))</f>
        <v>0</v>
      </c>
      <c r="BI79" s="140">
        <f>IF(BI5&gt;$D$7,0,Leadsheet!$E$54*(BI34-SUM(BH34:BH39)+SUM(BI35:BI40)))</f>
        <v>0</v>
      </c>
      <c r="BJ79" s="140">
        <f>IF(BJ5&gt;$D$7,0,Leadsheet!$E$54*(BJ34-SUM(BI34:BI39)+SUM(BJ35:BJ40)))</f>
        <v>0</v>
      </c>
      <c r="BK79" s="140">
        <f>IF(BK5&gt;$D$7,0,Leadsheet!$E$54*(BK34-SUM(BJ34:BJ39)+SUM(BK35:BK40)))</f>
        <v>0</v>
      </c>
      <c r="BL79" s="140">
        <f>IF(BL5&gt;$D$7,0,Leadsheet!$E$54*(BL34-SUM(BK34:BK39)+SUM(BL35:BL40)))</f>
        <v>0</v>
      </c>
    </row>
    <row r="80" spans="2:64" x14ac:dyDescent="0.15">
      <c r="C80" s="161" t="s">
        <v>399</v>
      </c>
      <c r="E80" s="140"/>
      <c r="F80" s="140"/>
      <c r="G80" s="140">
        <f>IF(SUM(SAP_Speadsheet!E78:BL79)&gt;(SAP_Speadsheet!E84*Leadsheet!E53+SAP_Speadsheet!E84*Leadsheet!E54),-Leadsheet!E10*Leadsheet!E55,-SUM(SAP_Speadsheet!E78:BL79))</f>
        <v>0</v>
      </c>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0"/>
      <c r="BK80" s="140"/>
      <c r="BL80" s="140"/>
    </row>
    <row r="81" spans="2:64" x14ac:dyDescent="0.15">
      <c r="C81" s="304" t="s">
        <v>400</v>
      </c>
      <c r="E81" s="140">
        <f>IF(E5&gt;$D$7,0,Leadsheet!$E$47*(-(E57+E61)+E31-SUM(D31:D39)+SUM(E32:E40)))</f>
        <v>0</v>
      </c>
      <c r="F81" s="140">
        <f>IF(F5&gt;$D$7,0,Leadsheet!$E$47*(-(F57+F61)+F31-SUM(E31:E39)+SUM(F32:F40)))</f>
        <v>0</v>
      </c>
      <c r="G81" s="140">
        <f>IF(G5&gt;$D$7,0,Leadsheet!$E$47*(-(G57+G61)+G31-SUM(F31:F39)+SUM(G32:G40)))</f>
        <v>0</v>
      </c>
      <c r="H81" s="140">
        <f>IF(H5&gt;$D$7,0,Leadsheet!$E$47*(-(H57+H61)+H31-SUM(G31:G39)+SUM(H32:H40)))</f>
        <v>0</v>
      </c>
      <c r="I81" s="140">
        <f>IF(I5&gt;$D$7,0,Leadsheet!$E$47*(-(I57+I61)+I31-SUM(H31:H39)+SUM(I32:I40)))</f>
        <v>0</v>
      </c>
      <c r="J81" s="140">
        <f>IF(J5&gt;$D$7,0,Leadsheet!$E$47*(-(J57+J61)+J31-SUM(I31:I39)+SUM(J32:J40)))</f>
        <v>0</v>
      </c>
      <c r="K81" s="140">
        <f>IF(K5&gt;$D$7,0,Leadsheet!$E$47*(-(K57+K61)+K31-SUM(J31:J39)+SUM(K32:K40)))</f>
        <v>0</v>
      </c>
      <c r="L81" s="140">
        <f>IF(L5&gt;$D$7,0,Leadsheet!$E$47*(-(L57+L61)+L31-SUM(K31:K39)+SUM(L32:L40)))</f>
        <v>0</v>
      </c>
      <c r="M81" s="140">
        <f>IF(M5&gt;$D$7,0,Leadsheet!$E$47*(-(M57+M61)+M31-SUM(L31:L39)+SUM(M32:M40)))</f>
        <v>0</v>
      </c>
      <c r="N81" s="140">
        <f>IF(N5&gt;$D$7,0,Leadsheet!$E$47*(-(N57+N61)+N31-SUM(M31:M39)+SUM(N32:N40)))</f>
        <v>0</v>
      </c>
      <c r="O81" s="140">
        <f>IF(O5&gt;$D$7,0,Leadsheet!$E$47*(-(O57+O61)+O31-SUM(N31:N39)+SUM(O32:O40)))</f>
        <v>0</v>
      </c>
      <c r="P81" s="140">
        <f>IF(P5&gt;$D$7,0,Leadsheet!$E$47*(-(P57+P61)+P31-SUM(O31:O39)+SUM(P32:P40)))</f>
        <v>0</v>
      </c>
      <c r="Q81" s="140">
        <f>IF(Q5&gt;$D$7,0,Leadsheet!$E$47*(-(Q57+Q61)+Q31-SUM(P31:P39)+SUM(Q32:Q40)))</f>
        <v>0</v>
      </c>
      <c r="R81" s="140">
        <f>IF(R5&gt;$D$7,0,Leadsheet!$E$47*(-(R57+R61)+R31-SUM(Q31:Q39)+SUM(R32:R40)))</f>
        <v>0</v>
      </c>
      <c r="S81" s="140">
        <f>IF(S5&gt;$D$7,0,Leadsheet!$E$47*(-(S57+S61)+S31-SUM(R31:R39)+SUM(S32:S40)))</f>
        <v>0</v>
      </c>
      <c r="T81" s="140">
        <f>IF(T5&gt;$D$7,0,Leadsheet!$E$47*(-(T57+T61)+T31-SUM(S31:S39)+SUM(T32:T40)))</f>
        <v>0</v>
      </c>
      <c r="U81" s="140">
        <f>IF(U5&gt;$D$7,0,Leadsheet!$E$47*(-(U57+U61)+U31-SUM(T31:T39)+SUM(U32:U40)))</f>
        <v>0</v>
      </c>
      <c r="V81" s="140">
        <f>IF(V5&gt;$D$7,0,Leadsheet!$E$47*(-(V57+V61)+V31-SUM(U31:U39)+SUM(V32:V40)))</f>
        <v>0</v>
      </c>
      <c r="W81" s="140">
        <f>IF(W5&gt;$D$7,0,Leadsheet!$E$47*(-(W57+W61)+W31-SUM(V31:V39)+SUM(W32:W40)))</f>
        <v>0</v>
      </c>
      <c r="X81" s="140">
        <f>IF(X5&gt;$D$7,0,Leadsheet!$E$47*(-(X57+X61)+X31-SUM(W31:W39)+SUM(X32:X40)))</f>
        <v>0</v>
      </c>
      <c r="Y81" s="140">
        <f>IF(Y5&gt;$D$7,0,Leadsheet!$E$47*(-(Y57+Y61)+Y31-SUM(X31:X39)+SUM(Y32:Y40)))</f>
        <v>0</v>
      </c>
      <c r="Z81" s="140">
        <f>IF(Z5&gt;$D$7,0,Leadsheet!$E$47*(-(Z57+Z61)+Z31-SUM(Y31:Y39)+SUM(Z32:Z40)))</f>
        <v>0</v>
      </c>
      <c r="AA81" s="140">
        <f>IF(AA5&gt;$D$7,0,Leadsheet!$E$47*(-(AA57+AA61)+AA31-SUM(Z31:Z39)+SUM(AA32:AA40)))</f>
        <v>0</v>
      </c>
      <c r="AB81" s="140">
        <f>IF(AB5&gt;$D$7,0,Leadsheet!$E$47*(-(AB57+AB61)+AB31-SUM(AA31:AA39)+SUM(AB32:AB40)))</f>
        <v>0</v>
      </c>
      <c r="AC81" s="140">
        <f>IF(AC5&gt;$D$7,0,Leadsheet!$E$47*(-(AC57+AC61)+AC31-SUM(AB31:AB39)+SUM(AC32:AC40)))</f>
        <v>0</v>
      </c>
      <c r="AD81" s="140">
        <f>IF(AD5&gt;$D$7,0,Leadsheet!$E$47*(-(AD57+AD61)+AD31-SUM(AC31:AC39)+SUM(AD32:AD40)))</f>
        <v>0</v>
      </c>
      <c r="AE81" s="140">
        <f>IF(AE5&gt;$D$7,0,Leadsheet!$E$47*(-(AE57+AE61)+AE31-SUM(AD31:AD39)+SUM(AE32:AE40)))</f>
        <v>0</v>
      </c>
      <c r="AF81" s="140">
        <f>IF(AF5&gt;$D$7,0,Leadsheet!$E$47*(-(AF57+AF61)+AF31-SUM(AE31:AE39)+SUM(AF32:AF40)))</f>
        <v>0</v>
      </c>
      <c r="AG81" s="140">
        <f>IF(AG5&gt;$D$7,0,Leadsheet!$E$47*(-(AG57+AG61)+AG31-SUM(AF31:AF39)+SUM(AG32:AG40)))</f>
        <v>0</v>
      </c>
      <c r="AH81" s="140">
        <f>IF(AH5&gt;$D$7,0,Leadsheet!$E$47*(-(AH57+AH61)+AH31-SUM(AG31:AG39)+SUM(AH32:AH40)))</f>
        <v>0</v>
      </c>
      <c r="AI81" s="140">
        <f>IF(AI5&gt;$D$7,0,Leadsheet!$E$47*(-(AI57+AI61)+AI31-SUM(AH31:AH39)+SUM(AI32:AI40)))</f>
        <v>0</v>
      </c>
      <c r="AJ81" s="140">
        <f>IF(AJ5&gt;$D$7,0,Leadsheet!$E$47*(-(AJ57+AJ61)+AJ31-SUM(AI31:AI39)+SUM(AJ32:AJ40)))</f>
        <v>0</v>
      </c>
      <c r="AK81" s="140">
        <f>IF(AK5&gt;$D$7,0,Leadsheet!$E$47*(-(AK57+AK61)+AK31-SUM(AJ31:AJ39)+SUM(AK32:AK40)))</f>
        <v>0</v>
      </c>
      <c r="AL81" s="140">
        <f>IF(AL5&gt;$D$7,0,Leadsheet!$E$47*(-(AL57+AL61)+AL31-SUM(AK31:AK39)+SUM(AL32:AL40)))</f>
        <v>0</v>
      </c>
      <c r="AM81" s="140">
        <f>IF(AM5&gt;$D$7,0,Leadsheet!$E$47*(-(AM57+AM61)+AM31-SUM(AL31:AL39)+SUM(AM32:AM40)))</f>
        <v>0</v>
      </c>
      <c r="AN81" s="140">
        <f>IF(AN5&gt;$D$7,0,Leadsheet!$E$47*(-(AN57+AN61)+AN31-SUM(AM31:AM39)+SUM(AN32:AN40)))</f>
        <v>0</v>
      </c>
      <c r="AO81" s="140">
        <f>IF(AO5&gt;$D$7,0,Leadsheet!$E$47*(-(AO57+AO61)+AO31-SUM(AN31:AN39)+SUM(AO32:AO40)))</f>
        <v>0</v>
      </c>
      <c r="AP81" s="140">
        <f>IF(AP5&gt;$D$7,0,Leadsheet!$E$47*(-(AP57+AP61)+AP31-SUM(AO31:AO39)+SUM(AP32:AP40)))</f>
        <v>0</v>
      </c>
      <c r="AQ81" s="140">
        <f>IF(AQ5&gt;$D$7,0,Leadsheet!$E$47*(-(AQ57+AQ61)+AQ31-SUM(AP31:AP39)+SUM(AQ32:AQ40)))</f>
        <v>0</v>
      </c>
      <c r="AR81" s="140">
        <f>IF(AR5&gt;$D$7,0,Leadsheet!$E$47*(-(AR57+AR61)+AR31-SUM(AQ31:AQ39)+SUM(AR32:AR40)))</f>
        <v>0</v>
      </c>
      <c r="AS81" s="140">
        <f>IF(AS5&gt;$D$7,0,Leadsheet!$E$47*(-(AS57+AS61)+AS31-SUM(AR31:AR39)+SUM(AS32:AS40)))</f>
        <v>0</v>
      </c>
      <c r="AT81" s="140">
        <f>IF(AT5&gt;$D$7,0,Leadsheet!$E$47*(-(AT57+AT61)+AT31-SUM(AS31:AS39)+SUM(AT32:AT40)))</f>
        <v>0</v>
      </c>
      <c r="AU81" s="140">
        <f>IF(AU5&gt;$D$7,0,Leadsheet!$E$47*(-(AU57+AU61)+AU31-SUM(AT31:AT39)+SUM(AU32:AU40)))</f>
        <v>0</v>
      </c>
      <c r="AV81" s="140">
        <f>IF(AV5&gt;$D$7,0,Leadsheet!$E$47*(-(AV57+AV61)+AV31-SUM(AU31:AU39)+SUM(AV32:AV40)))</f>
        <v>0</v>
      </c>
      <c r="AW81" s="140">
        <f>IF(AW5&gt;$D$7,0,Leadsheet!$E$47*(-(AW57+AW61)+AW31-SUM(AV31:AV39)+SUM(AW32:AW40)))</f>
        <v>0</v>
      </c>
      <c r="AX81" s="140">
        <f>IF(AX5&gt;$D$7,0,Leadsheet!$E$47*(-(AX57+AX61)+AX31-SUM(AW31:AW39)+SUM(AX32:AX40)))</f>
        <v>0</v>
      </c>
      <c r="AY81" s="140">
        <f>IF(AY5&gt;$D$7,0,Leadsheet!$E$47*(-(AY57+AY61)+AY31-SUM(AX31:AX39)+SUM(AY32:AY40)))</f>
        <v>0</v>
      </c>
      <c r="AZ81" s="140">
        <f>IF(AZ5&gt;$D$7,0,Leadsheet!$E$47*(-(AZ57+AZ61)+AZ31-SUM(AY31:AY39)+SUM(AZ32:AZ40)))</f>
        <v>0</v>
      </c>
      <c r="BA81" s="140">
        <f>IF(BA5&gt;$D$7,0,Leadsheet!$E$47*(-(BA57+BA61)+BA31-SUM(AZ31:AZ39)+SUM(BA32:BA40)))</f>
        <v>0</v>
      </c>
      <c r="BB81" s="140">
        <f>IF(BB5&gt;$D$7,0,Leadsheet!$E$47*(-(BB57+BB61)+BB31-SUM(BA31:BA39)+SUM(BB32:BB40)))</f>
        <v>0</v>
      </c>
      <c r="BC81" s="140">
        <f>IF(BC5&gt;$D$7,0,Leadsheet!$E$47*(-(BC57+BC61)+BC31-SUM(BB31:BB39)+SUM(BC32:BC40)))</f>
        <v>0</v>
      </c>
      <c r="BD81" s="140">
        <f>IF(BD5&gt;$D$7,0,Leadsheet!$E$47*(-(BD57+BD61)+BD31-SUM(BC31:BC39)+SUM(BD32:BD40)))</f>
        <v>0</v>
      </c>
      <c r="BE81" s="140">
        <f>IF(BE5&gt;$D$7,0,Leadsheet!$E$47*(-(BE57+BE61)+BE31-SUM(BD31:BD39)+SUM(BE32:BE40)))</f>
        <v>0</v>
      </c>
      <c r="BF81" s="140">
        <f>IF(BF5&gt;$D$7,0,Leadsheet!$E$47*(-(BF57+BF61)+BF31-SUM(BE31:BE39)+SUM(BF32:BF40)))</f>
        <v>0</v>
      </c>
      <c r="BG81" s="140">
        <f>IF(BG5&gt;$D$7,0,Leadsheet!$E$47*(-(BG57+BG61)+BG31-SUM(BF31:BF39)+SUM(BG32:BG40)))</f>
        <v>0</v>
      </c>
      <c r="BH81" s="140">
        <f>IF(BH5&gt;$D$7,0,Leadsheet!$E$47*(-(BH57+BH61)+BH31-SUM(BG31:BG39)+SUM(BH32:BH40)))</f>
        <v>0</v>
      </c>
      <c r="BI81" s="140">
        <f>IF(BI5&gt;$D$7,0,Leadsheet!$E$47*(-(BI57+BI61)+BI31-SUM(BH31:BH39)+SUM(BI32:BI40)))</f>
        <v>0</v>
      </c>
      <c r="BJ81" s="140">
        <f>IF(BJ5&gt;$D$7,0,Leadsheet!$E$47*(-(BJ57+BJ61)+BJ31-SUM(BI31:BI39)+SUM(BJ32:BJ40)))</f>
        <v>0</v>
      </c>
      <c r="BK81" s="140">
        <f>IF(BK5&gt;$D$7,0,Leadsheet!$E$47*(-(BK57+BK61)+BK31-SUM(BJ31:BJ39)+SUM(BK32:BK40)))</f>
        <v>0</v>
      </c>
      <c r="BL81" s="140">
        <f>IF(BL5&gt;$D$7,0,Leadsheet!$E$47*(-(BL57+BL61)+BL31-SUM(BK31:BK39)+SUM(BL32:BL40)))</f>
        <v>0</v>
      </c>
    </row>
    <row r="82" spans="2:64" x14ac:dyDescent="0.15">
      <c r="C82" s="304" t="s">
        <v>401</v>
      </c>
      <c r="E82" s="140">
        <f>IF(E5&gt;$D$7,0,Leadsheet!$E$48*(-(E57+E61)+E34-SUM(D34:D39)+SUM(E35:E40)))</f>
        <v>0</v>
      </c>
      <c r="F82" s="140">
        <f>IF(F5&gt;$D$7,0,Leadsheet!$E$48*(-(F57+F61)+F34-SUM(E34:E39)+SUM(F35:F40)))</f>
        <v>0</v>
      </c>
      <c r="G82" s="140">
        <f>IF(G5&gt;$D$7,0,Leadsheet!$E$48*(-(G57+G61)+G34-SUM(F34:F39)+SUM(G35:G40)))</f>
        <v>0</v>
      </c>
      <c r="H82" s="140">
        <f>IF(H5&gt;$D$7,0,Leadsheet!$E$48*(-(H57+H61)+H34-SUM(G34:G39)+SUM(H35:H40)))</f>
        <v>0</v>
      </c>
      <c r="I82" s="140">
        <f>IF(I5&gt;$D$7,0,Leadsheet!$E$48*(-(I57+I61)+I34-SUM(H34:H39)+SUM(I35:I40)))</f>
        <v>0</v>
      </c>
      <c r="J82" s="140">
        <f>IF(J5&gt;$D$7,0,Leadsheet!$E$48*(-(J57+J61)+J34-SUM(I34:I39)+SUM(J35:J40)))</f>
        <v>0</v>
      </c>
      <c r="K82" s="140">
        <f>IF(K5&gt;$D$7,0,Leadsheet!$E$48*(-(K57+K61)+K34-SUM(J34:J39)+SUM(K35:K40)))</f>
        <v>0</v>
      </c>
      <c r="L82" s="140">
        <f>IF(L5&gt;$D$7,0,Leadsheet!$E$48*(-(L57+L61)+L34-SUM(K34:K39)+SUM(L35:L40)))</f>
        <v>0</v>
      </c>
      <c r="M82" s="140">
        <f>IF(M5&gt;$D$7,0,Leadsheet!$E$48*(-(M57+M61)+M34-SUM(L34:L39)+SUM(M35:M40)))</f>
        <v>0</v>
      </c>
      <c r="N82" s="140">
        <f>IF(N5&gt;$D$7,0,Leadsheet!$E$48*(-(N57+N61)+N34-SUM(M34:M39)+SUM(N35:N40)))</f>
        <v>0</v>
      </c>
      <c r="O82" s="140">
        <f>IF(O5&gt;$D$7,0,Leadsheet!$E$48*(-(O57+O61)+O34-SUM(N34:N39)+SUM(O35:O40)))</f>
        <v>0</v>
      </c>
      <c r="P82" s="140">
        <f>IF(P5&gt;$D$7,0,Leadsheet!$E$48*(-(P57+P61)+P34-SUM(O34:O39)+SUM(P35:P40)))</f>
        <v>0</v>
      </c>
      <c r="Q82" s="140">
        <f>IF(Q5&gt;$D$7,0,Leadsheet!$E$48*(-(Q57+Q61)+Q34-SUM(P34:P39)+SUM(Q35:Q40)))</f>
        <v>0</v>
      </c>
      <c r="R82" s="140">
        <f>IF(R5&gt;$D$7,0,Leadsheet!$E$48*(-(R57+R61)+R34-SUM(Q34:Q39)+SUM(R35:R40)))</f>
        <v>0</v>
      </c>
      <c r="S82" s="140">
        <f>IF(S5&gt;$D$7,0,Leadsheet!$E$48*(-(S57+S61)+S34-SUM(R34:R39)+SUM(S35:S40)))</f>
        <v>0</v>
      </c>
      <c r="T82" s="140">
        <f>IF(T5&gt;$D$7,0,Leadsheet!$E$48*(-(T57+T61)+T34-SUM(S34:S39)+SUM(T35:T40)))</f>
        <v>0</v>
      </c>
      <c r="U82" s="140">
        <f>IF(U5&gt;$D$7,0,Leadsheet!$E$48*(-(U57+U61)+U34-SUM(T34:T39)+SUM(U35:U40)))</f>
        <v>0</v>
      </c>
      <c r="V82" s="140">
        <f>IF(V5&gt;$D$7,0,Leadsheet!$E$48*(-(V57+V61)+V34-SUM(U34:U39)+SUM(V35:V40)))</f>
        <v>0</v>
      </c>
      <c r="W82" s="140">
        <f>IF(W5&gt;$D$7,0,Leadsheet!$E$48*(-(W57+W61)+W34-SUM(V34:V39)+SUM(W35:W40)))</f>
        <v>0</v>
      </c>
      <c r="X82" s="140">
        <f>IF(X5&gt;$D$7,0,Leadsheet!$E$48*(-(X57+X61)+X34-SUM(W34:W39)+SUM(X35:X40)))</f>
        <v>0</v>
      </c>
      <c r="Y82" s="140">
        <f>IF(Y5&gt;$D$7,0,Leadsheet!$E$48*(-(Y57+Y61)+Y34-SUM(X34:X39)+SUM(Y35:Y40)))</f>
        <v>0</v>
      </c>
      <c r="Z82" s="140">
        <f>IF(Z5&gt;$D$7,0,Leadsheet!$E$48*(-(Z57+Z61)+Z34-SUM(Y34:Y39)+SUM(Z35:Z40)))</f>
        <v>0</v>
      </c>
      <c r="AA82" s="140">
        <f>IF(AA5&gt;$D$7,0,Leadsheet!$E$48*(-(AA57+AA61)+AA34-SUM(Z34:Z39)+SUM(AA35:AA40)))</f>
        <v>0</v>
      </c>
      <c r="AB82" s="140">
        <f>IF(AB5&gt;$D$7,0,Leadsheet!$E$48*(-(AB57+AB61)+AB34-SUM(AA34:AA39)+SUM(AB35:AB40)))</f>
        <v>0</v>
      </c>
      <c r="AC82" s="140">
        <f>IF(AC5&gt;$D$7,0,Leadsheet!$E$48*(-(AC57+AC61)+AC34-SUM(AB34:AB39)+SUM(AC35:AC40)))</f>
        <v>0</v>
      </c>
      <c r="AD82" s="140">
        <f>IF(AD5&gt;$D$7,0,Leadsheet!$E$48*(-(AD57+AD61)+AD34-SUM(AC34:AC39)+SUM(AD35:AD40)))</f>
        <v>0</v>
      </c>
      <c r="AE82" s="140">
        <f>IF(AE5&gt;$D$7,0,Leadsheet!$E$48*(-(AE57+AE61)+AE34-SUM(AD34:AD39)+SUM(AE35:AE40)))</f>
        <v>0</v>
      </c>
      <c r="AF82" s="140">
        <f>IF(AF5&gt;$D$7,0,Leadsheet!$E$48*(-(AF57+AF61)+AF34-SUM(AE34:AE39)+SUM(AF35:AF40)))</f>
        <v>0</v>
      </c>
      <c r="AG82" s="140">
        <f>IF(AG5&gt;$D$7,0,Leadsheet!$E$48*(-(AG57+AG61)+AG34-SUM(AF34:AF39)+SUM(AG35:AG40)))</f>
        <v>0</v>
      </c>
      <c r="AH82" s="140">
        <f>IF(AH5&gt;$D$7,0,Leadsheet!$E$48*(-(AH57+AH61)+AH34-SUM(AG34:AG39)+SUM(AH35:AH40)))</f>
        <v>0</v>
      </c>
      <c r="AI82" s="140">
        <f>IF(AI5&gt;$D$7,0,Leadsheet!$E$48*(-(AI57+AI61)+AI34-SUM(AH34:AH39)+SUM(AI35:AI40)))</f>
        <v>0</v>
      </c>
      <c r="AJ82" s="140">
        <f>IF(AJ5&gt;$D$7,0,Leadsheet!$E$48*(-(AJ57+AJ61)+AJ34-SUM(AI34:AI39)+SUM(AJ35:AJ40)))</f>
        <v>0</v>
      </c>
      <c r="AK82" s="140">
        <f>IF(AK5&gt;$D$7,0,Leadsheet!$E$48*(-(AK57+AK61)+AK34-SUM(AJ34:AJ39)+SUM(AK35:AK40)))</f>
        <v>0</v>
      </c>
      <c r="AL82" s="140">
        <f>IF(AL5&gt;$D$7,0,Leadsheet!$E$48*(-(AL57+AL61)+AL34-SUM(AK34:AK39)+SUM(AL35:AL40)))</f>
        <v>0</v>
      </c>
      <c r="AM82" s="140">
        <f>IF(AM5&gt;$D$7,0,Leadsheet!$E$48*(-(AM57+AM61)+AM34-SUM(AL34:AL39)+SUM(AM35:AM40)))</f>
        <v>0</v>
      </c>
      <c r="AN82" s="140">
        <f>IF(AN5&gt;$D$7,0,Leadsheet!$E$48*(-(AN57+AN61)+AN34-SUM(AM34:AM39)+SUM(AN35:AN40)))</f>
        <v>0</v>
      </c>
      <c r="AO82" s="140">
        <f>IF(AO5&gt;$D$7,0,Leadsheet!$E$48*(-(AO57+AO61)+AO34-SUM(AN34:AN39)+SUM(AO35:AO40)))</f>
        <v>0</v>
      </c>
      <c r="AP82" s="140">
        <f>IF(AP5&gt;$D$7,0,Leadsheet!$E$48*(-(AP57+AP61)+AP34-SUM(AO34:AO39)+SUM(AP35:AP40)))</f>
        <v>0</v>
      </c>
      <c r="AQ82" s="140">
        <f>IF(AQ5&gt;$D$7,0,Leadsheet!$E$48*(-(AQ57+AQ61)+AQ34-SUM(AP34:AP39)+SUM(AQ35:AQ40)))</f>
        <v>0</v>
      </c>
      <c r="AR82" s="140">
        <f>IF(AR5&gt;$D$7,0,Leadsheet!$E$48*(-(AR57+AR61)+AR34-SUM(AQ34:AQ39)+SUM(AR35:AR40)))</f>
        <v>0</v>
      </c>
      <c r="AS82" s="140">
        <f>IF(AS5&gt;$D$7,0,Leadsheet!$E$48*(-(AS57+AS61)+AS34-SUM(AR34:AR39)+SUM(AS35:AS40)))</f>
        <v>0</v>
      </c>
      <c r="AT82" s="140">
        <f>IF(AT5&gt;$D$7,0,Leadsheet!$E$48*(-(AT57+AT61)+AT34-SUM(AS34:AS39)+SUM(AT35:AT40)))</f>
        <v>0</v>
      </c>
      <c r="AU82" s="140">
        <f>IF(AU5&gt;$D$7,0,Leadsheet!$E$48*(-(AU57+AU61)+AU34-SUM(AT34:AT39)+SUM(AU35:AU40)))</f>
        <v>0</v>
      </c>
      <c r="AV82" s="140">
        <f>IF(AV5&gt;$D$7,0,Leadsheet!$E$48*(-(AV57+AV61)+AV34-SUM(AU34:AU39)+SUM(AV35:AV40)))</f>
        <v>0</v>
      </c>
      <c r="AW82" s="140">
        <f>IF(AW5&gt;$D$7,0,Leadsheet!$E$48*(-(AW57+AW61)+AW34-SUM(AV34:AV39)+SUM(AW35:AW40)))</f>
        <v>0</v>
      </c>
      <c r="AX82" s="140">
        <f>IF(AX5&gt;$D$7,0,Leadsheet!$E$48*(-(AX57+AX61)+AX34-SUM(AW34:AW39)+SUM(AX35:AX40)))</f>
        <v>0</v>
      </c>
      <c r="AY82" s="140">
        <f>IF(AY5&gt;$D$7,0,Leadsheet!$E$48*(-(AY57+AY61)+AY34-SUM(AX34:AX39)+SUM(AY35:AY40)))</f>
        <v>0</v>
      </c>
      <c r="AZ82" s="140">
        <f>IF(AZ5&gt;$D$7,0,Leadsheet!$E$48*(-(AZ57+AZ61)+AZ34-SUM(AY34:AY39)+SUM(AZ35:AZ40)))</f>
        <v>0</v>
      </c>
      <c r="BA82" s="140">
        <f>IF(BA5&gt;$D$7,0,Leadsheet!$E$48*(-(BA57+BA61)+BA34-SUM(AZ34:AZ39)+SUM(BA35:BA40)))</f>
        <v>0</v>
      </c>
      <c r="BB82" s="140">
        <f>IF(BB5&gt;$D$7,0,Leadsheet!$E$48*(-(BB57+BB61)+BB34-SUM(BA34:BA39)+SUM(BB35:BB40)))</f>
        <v>0</v>
      </c>
      <c r="BC82" s="140">
        <f>IF(BC5&gt;$D$7,0,Leadsheet!$E$48*(-(BC57+BC61)+BC34-SUM(BB34:BB39)+SUM(BC35:BC40)))</f>
        <v>0</v>
      </c>
      <c r="BD82" s="140">
        <f>IF(BD5&gt;$D$7,0,Leadsheet!$E$48*(-(BD57+BD61)+BD34-SUM(BC34:BC39)+SUM(BD35:BD40)))</f>
        <v>0</v>
      </c>
      <c r="BE82" s="140">
        <f>IF(BE5&gt;$D$7,0,Leadsheet!$E$48*(-(BE57+BE61)+BE34-SUM(BD34:BD39)+SUM(BE35:BE40)))</f>
        <v>0</v>
      </c>
      <c r="BF82" s="140">
        <f>IF(BF5&gt;$D$7,0,Leadsheet!$E$48*(-(BF57+BF61)+BF34-SUM(BE34:BE39)+SUM(BF35:BF40)))</f>
        <v>0</v>
      </c>
      <c r="BG82" s="140">
        <f>IF(BG5&gt;$D$7,0,Leadsheet!$E$48*(-(BG57+BG61)+BG34-SUM(BF34:BF39)+SUM(BG35:BG40)))</f>
        <v>0</v>
      </c>
      <c r="BH82" s="140">
        <f>IF(BH5&gt;$D$7,0,Leadsheet!$E$48*(-(BH57+BH61)+BH34-SUM(BG34:BG39)+SUM(BH35:BH40)))</f>
        <v>0</v>
      </c>
      <c r="BI82" s="140">
        <f>IF(BI5&gt;$D$7,0,Leadsheet!$E$48*(-(BI57+BI61)+BI34-SUM(BH34:BH39)+SUM(BI35:BI40)))</f>
        <v>0</v>
      </c>
      <c r="BJ82" s="140">
        <f>IF(BJ5&gt;$D$7,0,Leadsheet!$E$48*(-(BJ57+BJ61)+BJ34-SUM(BI34:BI39)+SUM(BJ35:BJ40)))</f>
        <v>0</v>
      </c>
      <c r="BK82" s="140">
        <f>IF(BK5&gt;$D$7,0,Leadsheet!$E$48*(-(BK57+BK61)+BK34-SUM(BJ34:BJ39)+SUM(BK35:BK40)))</f>
        <v>0</v>
      </c>
      <c r="BL82" s="140">
        <f>IF(BL5&gt;$D$7,0,Leadsheet!$E$48*(-(BL57+BL61)+BL34-SUM(BK34:BK39)+SUM(BL35:BL40)))</f>
        <v>0</v>
      </c>
    </row>
    <row r="83" spans="2:64" x14ac:dyDescent="0.15">
      <c r="C83" s="304"/>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row>
    <row r="84" spans="2:64" x14ac:dyDescent="0.15">
      <c r="C84" s="304"/>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c r="BJ84" s="140"/>
      <c r="BK84" s="140"/>
      <c r="BL84" s="140"/>
    </row>
    <row r="85" spans="2:64" x14ac:dyDescent="0.15">
      <c r="B85" s="155" t="s">
        <v>221</v>
      </c>
      <c r="C85" s="304"/>
      <c r="E85" s="281">
        <f>E86+E67</f>
        <v>0</v>
      </c>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c r="BJ85" s="140"/>
      <c r="BK85" s="140"/>
      <c r="BL85" s="140"/>
    </row>
    <row r="86" spans="2:64" x14ac:dyDescent="0.15">
      <c r="C86" s="84" t="s">
        <v>402</v>
      </c>
      <c r="E86" s="140">
        <f>-Leadsheet!E61</f>
        <v>0</v>
      </c>
    </row>
    <row r="88" spans="2:64" x14ac:dyDescent="0.15">
      <c r="B88" s="170" t="s">
        <v>200</v>
      </c>
      <c r="C88" s="155"/>
      <c r="D88" s="155"/>
      <c r="E88" s="281">
        <f>E89+E90+E91</f>
        <v>-6.6001863063213803E-2</v>
      </c>
      <c r="F88" s="305"/>
      <c r="G88" s="305"/>
      <c r="H88" s="305"/>
      <c r="I88" s="305"/>
      <c r="J88" s="305"/>
      <c r="K88" s="305"/>
      <c r="L88" s="305"/>
      <c r="M88" s="305"/>
      <c r="N88" s="305"/>
      <c r="O88" s="305"/>
      <c r="P88" s="305"/>
      <c r="Q88" s="305"/>
      <c r="R88" s="305"/>
      <c r="S88" s="305"/>
      <c r="T88" s="305"/>
      <c r="U88" s="305"/>
      <c r="V88" s="305"/>
      <c r="W88" s="305"/>
      <c r="X88" s="305"/>
      <c r="Y88" s="305"/>
      <c r="Z88" s="305"/>
      <c r="AA88" s="305"/>
      <c r="AB88" s="305"/>
      <c r="AC88" s="305"/>
      <c r="AD88" s="305"/>
      <c r="AE88" s="305"/>
      <c r="AF88" s="305"/>
      <c r="AG88" s="305"/>
      <c r="AH88" s="305"/>
      <c r="AI88" s="305"/>
      <c r="AJ88" s="305"/>
      <c r="AK88" s="305"/>
      <c r="AL88" s="305"/>
      <c r="AM88" s="305"/>
      <c r="AN88" s="305"/>
      <c r="AO88" s="305"/>
      <c r="AP88" s="305"/>
      <c r="AQ88" s="305"/>
      <c r="AR88" s="305"/>
      <c r="AS88" s="305"/>
      <c r="AT88" s="305"/>
      <c r="AU88" s="305"/>
      <c r="AV88" s="305"/>
      <c r="AW88" s="305"/>
      <c r="AX88" s="305"/>
      <c r="AY88" s="305"/>
      <c r="AZ88" s="305"/>
      <c r="BA88" s="305"/>
      <c r="BB88" s="305"/>
      <c r="BC88" s="305"/>
    </row>
    <row r="89" spans="2:64" x14ac:dyDescent="0.15">
      <c r="C89" s="84" t="s">
        <v>403</v>
      </c>
      <c r="E89" s="140">
        <f>-Leadsheet!E63/Leadsheet!E66/Leadsheet!E67-Leadsheet!E64</f>
        <v>-6.3721030613151694E-2</v>
      </c>
    </row>
    <row r="90" spans="2:64" x14ac:dyDescent="0.15">
      <c r="C90" s="84" t="s">
        <v>123</v>
      </c>
      <c r="E90" s="140">
        <f>-Leadsheet!E65</f>
        <v>-2.2808324500621074E-3</v>
      </c>
    </row>
    <row r="91" spans="2:64" x14ac:dyDescent="0.15">
      <c r="C91" s="84" t="s">
        <v>121</v>
      </c>
      <c r="E91" s="140">
        <f>-Leadsheet!E64</f>
        <v>0</v>
      </c>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row>
    <row r="92" spans="2:64" x14ac:dyDescent="0.15">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row>
    <row r="93" spans="2:64" x14ac:dyDescent="0.15">
      <c r="C93" s="306" t="s">
        <v>404</v>
      </c>
      <c r="D93" s="306"/>
      <c r="E93" s="307">
        <v>1</v>
      </c>
      <c r="F93" s="307">
        <f>IF(F$5&gt;$D$7,0,IF(F$5&lt;12,1,(1+Leadsheet!$E$43)^(ROUNDDOWN(F$5/12,0))))</f>
        <v>1</v>
      </c>
      <c r="G93" s="307">
        <f>IF(G$5&gt;$D$7,0,IF(G$5&lt;12,1,(1+Leadsheet!$E$43)^(ROUNDDOWN(G$5/12,0))))</f>
        <v>1</v>
      </c>
      <c r="H93" s="307">
        <f>IF(H$5&gt;$D$7,0,IF(H$5&lt;12,1,(1+Leadsheet!$E$43)^(ROUNDDOWN(H$5/12,0))))</f>
        <v>1</v>
      </c>
      <c r="I93" s="307">
        <f>IF(I$5&gt;$D$7,0,IF(I$5&lt;12,1,(1+Leadsheet!$E$43)^(ROUNDDOWN(I$5/12,0))))</f>
        <v>1</v>
      </c>
      <c r="J93" s="307">
        <f>IF(J$5&gt;$D$7,0,IF(J$5&lt;12,1,(1+Leadsheet!$E$43)^(ROUNDDOWN(J$5/12,0))))</f>
        <v>1</v>
      </c>
      <c r="K93" s="307">
        <f>IF(K$5&gt;$D$7,0,IF(K$5&lt;12,1,(1+Leadsheet!$E$43)^(ROUNDDOWN(K$5/12,0))))</f>
        <v>1</v>
      </c>
      <c r="L93" s="307">
        <f>IF(L$5&gt;$D$7,0,IF(L$5&lt;12,1,(1+Leadsheet!$E$43)^(ROUNDDOWN(L$5/12,0))))</f>
        <v>1</v>
      </c>
      <c r="M93" s="307">
        <f>IF(M$5&gt;$D$7,0,IF(M$5&lt;12,1,(1+Leadsheet!$E$43)^(ROUNDDOWN(M$5/12,0))))</f>
        <v>1</v>
      </c>
      <c r="N93" s="307">
        <f>IF(N$5&gt;$D$7,0,IF(N$5&lt;12,1,(1+Leadsheet!$E$43)^(ROUNDDOWN(N$5/12,0))))</f>
        <v>1</v>
      </c>
      <c r="O93" s="307">
        <f>IF(O$5&gt;$D$7,0,IF(O$5&lt;12,1,(1+Leadsheet!$E$43)^(ROUNDDOWN(O$5/12,0))))</f>
        <v>1</v>
      </c>
      <c r="P93" s="307">
        <f>IF(P$5&gt;$D$7,0,IF(P$5&lt;12,1,(1+Leadsheet!$E$43)^(ROUNDDOWN(P$5/12,0))))</f>
        <v>1.0349999999999999</v>
      </c>
      <c r="Q93" s="307">
        <f>IF(Q$5&gt;$D$7,0,IF(Q$5&lt;12,1,(1+Leadsheet!$E$43)^(ROUNDDOWN(Q$5/12,0))))</f>
        <v>1.0349999999999999</v>
      </c>
      <c r="R93" s="307">
        <f>IF(R$5&gt;$D$7,0,IF(R$5&lt;12,1,(1+Leadsheet!$E$43)^(ROUNDDOWN(R$5/12,0))))</f>
        <v>1.0349999999999999</v>
      </c>
      <c r="S93" s="307">
        <f>IF(S$5&gt;$D$7,0,IF(S$5&lt;12,1,(1+Leadsheet!$E$43)^(ROUNDDOWN(S$5/12,0))))</f>
        <v>1.0349999999999999</v>
      </c>
      <c r="T93" s="307">
        <f>IF(T$5&gt;$D$7,0,IF(T$5&lt;12,1,(1+Leadsheet!$E$43)^(ROUNDDOWN(T$5/12,0))))</f>
        <v>1.0349999999999999</v>
      </c>
      <c r="U93" s="307">
        <f>IF(U$5&gt;$D$7,0,IF(U$5&lt;12,1,(1+Leadsheet!$E$43)^(ROUNDDOWN(U$5/12,0))))</f>
        <v>1.0349999999999999</v>
      </c>
      <c r="V93" s="307">
        <f>IF(V$5&gt;$D$7,0,IF(V$5&lt;12,1,(1+Leadsheet!$E$43)^(ROUNDDOWN(V$5/12,0))))</f>
        <v>1.0349999999999999</v>
      </c>
      <c r="W93" s="307">
        <f>IF(W$5&gt;$D$7,0,IF(W$5&lt;12,1,(1+Leadsheet!$E$43)^(ROUNDDOWN(W$5/12,0))))</f>
        <v>1.0349999999999999</v>
      </c>
      <c r="X93" s="307">
        <f>IF(X$5&gt;$D$7,0,IF(X$5&lt;12,1,(1+Leadsheet!$E$43)^(ROUNDDOWN(X$5/12,0))))</f>
        <v>1.0349999999999999</v>
      </c>
      <c r="Y93" s="307">
        <f>IF(Y$5&gt;$D$7,0,IF(Y$5&lt;12,1,(1+Leadsheet!$E$43)^(ROUNDDOWN(Y$5/12,0))))</f>
        <v>1.0349999999999999</v>
      </c>
      <c r="Z93" s="307">
        <f>IF(Z$5&gt;$D$7,0,IF(Z$5&lt;12,1,(1+Leadsheet!$E$43)^(ROUNDDOWN(Z$5/12,0))))</f>
        <v>1.0349999999999999</v>
      </c>
      <c r="AA93" s="307">
        <f>IF(AA$5&gt;$D$7,0,IF(AA$5&lt;12,1,(1+Leadsheet!$E$43)^(ROUNDDOWN(AA$5/12,0))))</f>
        <v>0</v>
      </c>
      <c r="AB93" s="307">
        <f>IF(AB$5&gt;$D$7,0,IF(AB$5&lt;12,1,(1+Leadsheet!$E$43)^(ROUNDDOWN(AB$5/12,0))))</f>
        <v>0</v>
      </c>
      <c r="AC93" s="307">
        <f>IF(AC$5&gt;$D$7,0,IF(AC$5&lt;12,1,(1+Leadsheet!$E$43)^(ROUNDDOWN(AC$5/12,0))))</f>
        <v>0</v>
      </c>
      <c r="AD93" s="307">
        <f>IF(AD$5&gt;$D$7,0,IF(AD$5&lt;12,1,(1+Leadsheet!$E$43)^(ROUNDDOWN(AD$5/12,0))))</f>
        <v>0</v>
      </c>
      <c r="AE93" s="307">
        <f>IF(AE$5&gt;$D$7,0,IF(AE$5&lt;12,1,(1+Leadsheet!$E$43)^(ROUNDDOWN(AE$5/12,0))))</f>
        <v>0</v>
      </c>
      <c r="AF93" s="307">
        <f>IF(AF$5&gt;$D$7,0,IF(AF$5&lt;12,1,(1+Leadsheet!$E$43)^(ROUNDDOWN(AF$5/12,0))))</f>
        <v>0</v>
      </c>
      <c r="AG93" s="307">
        <f>IF(AG$5&gt;$D$7,0,IF(AG$5&lt;12,1,(1+Leadsheet!$E$43)^(ROUNDDOWN(AG$5/12,0))))</f>
        <v>0</v>
      </c>
      <c r="AH93" s="307">
        <f>IF(AH$5&gt;$D$7,0,IF(AH$5&lt;12,1,(1+Leadsheet!$E$43)^(ROUNDDOWN(AH$5/12,0))))</f>
        <v>0</v>
      </c>
      <c r="AI93" s="307">
        <f>IF(AI$5&gt;$D$7,0,IF(AI$5&lt;12,1,(1+Leadsheet!$E$43)^(ROUNDDOWN(AI$5/12,0))))</f>
        <v>0</v>
      </c>
      <c r="AJ93" s="307">
        <f>IF(AJ$5&gt;$D$7,0,IF(AJ$5&lt;12,1,(1+Leadsheet!$E$43)^(ROUNDDOWN(AJ$5/12,0))))</f>
        <v>0</v>
      </c>
      <c r="AK93" s="307">
        <f>IF(AK$5&gt;$D$7,0,IF(AK$5&lt;12,1,(1+Leadsheet!$E$43)^(ROUNDDOWN(AK$5/12,0))))</f>
        <v>0</v>
      </c>
      <c r="AL93" s="307">
        <f>IF(AL$5&gt;$D$7,0,IF(AL$5&lt;12,1,(1+Leadsheet!$E$43)^(ROUNDDOWN(AL$5/12,0))))</f>
        <v>0</v>
      </c>
      <c r="AM93" s="307">
        <f>IF(AM$5&gt;$D$7,0,IF(AM$5&lt;12,1,(1+Leadsheet!$E$43)^(ROUNDDOWN(AM$5/12,0))))</f>
        <v>0</v>
      </c>
      <c r="AN93" s="307">
        <f>IF(AN$5&gt;$D$7,0,IF(AN$5&lt;12,1,(1+Leadsheet!$E$43)^(ROUNDDOWN(AN$5/12,0))))</f>
        <v>0</v>
      </c>
      <c r="AO93" s="307">
        <f>IF(AO$5&gt;$D$7,0,IF(AO$5&lt;12,1,(1+Leadsheet!$E$43)^(ROUNDDOWN(AO$5/12,0))))</f>
        <v>0</v>
      </c>
      <c r="AP93" s="307">
        <f>IF(AP$5&gt;$D$7,0,IF(AP$5&lt;12,1,(1+Leadsheet!$E$43)^(ROUNDDOWN(AP$5/12,0))))</f>
        <v>0</v>
      </c>
      <c r="AQ93" s="307">
        <f>IF(AQ$5&gt;$D$7,0,IF(AQ$5&lt;12,1,(1+Leadsheet!$E$43)^(ROUNDDOWN(AQ$5/12,0))))</f>
        <v>0</v>
      </c>
      <c r="AR93" s="307">
        <f>IF(AR$5&gt;$D$7,0,IF(AR$5&lt;12,1,(1+Leadsheet!$E$43)^(ROUNDDOWN(AR$5/12,0))))</f>
        <v>0</v>
      </c>
      <c r="AS93" s="307">
        <f>IF(AS$5&gt;$D$7,0,IF(AS$5&lt;12,1,(1+Leadsheet!$E$43)^(ROUNDDOWN(AS$5/12,0))))</f>
        <v>0</v>
      </c>
      <c r="AT93" s="307">
        <f>IF(AT$5&gt;$D$7,0,IF(AT$5&lt;12,1,(1+Leadsheet!$E$43)^(ROUNDDOWN(AT$5/12,0))))</f>
        <v>0</v>
      </c>
      <c r="AU93" s="307">
        <f>IF(AU$5&gt;$D$7,0,IF(AU$5&lt;12,1,(1+Leadsheet!$E$43)^(ROUNDDOWN(AU$5/12,0))))</f>
        <v>0</v>
      </c>
      <c r="AV93" s="307">
        <f>IF(AV$5&gt;$D$7,0,IF(AV$5&lt;12,1,(1+Leadsheet!$E$43)^(ROUNDDOWN(AV$5/12,0))))</f>
        <v>0</v>
      </c>
      <c r="AW93" s="307">
        <f>IF(AW$5&gt;$D$7,0,IF(AW$5&lt;12,1,(1+Leadsheet!$E$43)^(ROUNDDOWN(AW$5/12,0))))</f>
        <v>0</v>
      </c>
      <c r="AX93" s="307">
        <f>IF(AX$5&gt;$D$7,0,IF(AX$5&lt;12,1,(1+Leadsheet!$E$43)^(ROUNDDOWN(AX$5/12,0))))</f>
        <v>0</v>
      </c>
      <c r="AY93" s="307">
        <f>IF(AY$5&gt;$D$7,0,IF(AY$5&lt;12,1,(1+Leadsheet!$E$43)^(ROUNDDOWN(AY$5/12,0))))</f>
        <v>0</v>
      </c>
      <c r="AZ93" s="307">
        <f>IF(AZ$5&gt;$D$7,0,IF(AZ$5&lt;12,1,(1+Leadsheet!$E$43)^(ROUNDDOWN(AZ$5/12,0))))</f>
        <v>0</v>
      </c>
      <c r="BA93" s="307">
        <f>IF(BA$5&gt;$D$7,0,IF(BA$5&lt;12,1,(1+Leadsheet!$E$43)^(ROUNDDOWN(BA$5/12,0))))</f>
        <v>0</v>
      </c>
      <c r="BB93" s="307">
        <f>IF(BB$5&gt;$D$7,0,IF(BB$5&lt;12,1,(1+Leadsheet!$E$43)^(ROUNDDOWN(BB$5/12,0))))</f>
        <v>0</v>
      </c>
      <c r="BC93" s="307">
        <f>IF(BC$5&gt;$D$7,0,IF(BC$5&lt;12,1,(1+Leadsheet!$E$43)^(ROUNDDOWN(BC$5/12,0))))</f>
        <v>0</v>
      </c>
      <c r="BD93" s="307">
        <f>IF(BD$5&gt;$D$7,0,IF(BD$5&lt;12,1,(1+Leadsheet!$E$43)^(ROUNDDOWN(BD$5/12,0))))</f>
        <v>0</v>
      </c>
      <c r="BE93" s="307">
        <f>IF(BE$5&gt;$D$7,0,IF(BE$5&lt;12,1,(1+Leadsheet!$E$43)^(ROUNDDOWN(BE$5/12,0))))</f>
        <v>0</v>
      </c>
      <c r="BF93" s="307">
        <f>IF(BF$5&gt;$D$7,0,IF(BF$5&lt;12,1,(1+Leadsheet!$E$43)^(ROUNDDOWN(BF$5/12,0))))</f>
        <v>0</v>
      </c>
      <c r="BG93" s="307">
        <f>IF(BG$5&gt;$D$7,0,IF(BG$5&lt;12,1,(1+Leadsheet!$E$43)^(ROUNDDOWN(BG$5/12,0))))</f>
        <v>0</v>
      </c>
      <c r="BH93" s="307">
        <f>IF(BH$5&gt;$D$7,0,IF(BH$5&lt;12,1,(1+Leadsheet!$E$43)^(ROUNDDOWN(BH$5/12,0))))</f>
        <v>0</v>
      </c>
      <c r="BI93" s="307">
        <f>IF(BI$5&gt;$D$7,0,IF(BI$5&lt;12,1,(1+Leadsheet!$E$43)^(ROUNDDOWN(BI$5/12,0))))</f>
        <v>0</v>
      </c>
      <c r="BJ93" s="307">
        <f>IF(BJ$5&gt;$D$7,0,IF(BJ$5&lt;12,1,(1+Leadsheet!$E$43)^(ROUNDDOWN(BJ$5/12,0))))</f>
        <v>0</v>
      </c>
      <c r="BK93" s="307">
        <f>IF(BK$5&gt;$D$7,0,IF(BK$5&lt;12,1,(1+Leadsheet!$E$43)^(ROUNDDOWN(BK$5/12,0))))</f>
        <v>0</v>
      </c>
      <c r="BL93" s="307">
        <f>IF(BL$5&gt;$D$7,0,IF(BL$5&lt;12,1,(1+Leadsheet!$E$43)^(ROUNDDOWN(BL$5/12,0))))</f>
        <v>0</v>
      </c>
    </row>
    <row r="95" spans="2:64" s="155" customFormat="1" x14ac:dyDescent="0.15">
      <c r="B95" s="155" t="s">
        <v>131</v>
      </c>
      <c r="E95" s="299">
        <f>SUM(E96:E97)</f>
        <v>-8.0000000000000002E-3</v>
      </c>
      <c r="F95" s="299">
        <f t="shared" ref="F95:BL95" si="21">SUM(F96:F97)</f>
        <v>-7.3600000000000002E-3</v>
      </c>
      <c r="G95" s="299">
        <f t="shared" si="21"/>
        <v>-6.8800000000000007E-3</v>
      </c>
      <c r="H95" s="299">
        <f t="shared" si="21"/>
        <v>-6.4000000000000003E-3</v>
      </c>
      <c r="I95" s="299">
        <f t="shared" si="21"/>
        <v>-6.2000000000000006E-3</v>
      </c>
      <c r="J95" s="299">
        <f t="shared" si="21"/>
        <v>-6.0000000000000001E-3</v>
      </c>
      <c r="K95" s="299">
        <f t="shared" si="21"/>
        <v>-5.7999999999999996E-3</v>
      </c>
      <c r="L95" s="299">
        <f t="shared" si="21"/>
        <v>-5.5999999999999999E-3</v>
      </c>
      <c r="M95" s="299">
        <f t="shared" si="21"/>
        <v>-5.3999999999999994E-3</v>
      </c>
      <c r="N95" s="299">
        <f t="shared" si="21"/>
        <v>-5.1999999999999998E-3</v>
      </c>
      <c r="O95" s="299">
        <f t="shared" si="21"/>
        <v>-4.9999999999999992E-3</v>
      </c>
      <c r="P95" s="299">
        <f t="shared" si="21"/>
        <v>-4.9679999999999985E-3</v>
      </c>
      <c r="Q95" s="299">
        <f t="shared" si="21"/>
        <v>-4.7609999999999979E-3</v>
      </c>
      <c r="R95" s="299">
        <f t="shared" si="21"/>
        <v>-4.5539999999999982E-3</v>
      </c>
      <c r="S95" s="299">
        <f t="shared" si="21"/>
        <v>-4.3469999999999976E-3</v>
      </c>
      <c r="T95" s="299">
        <f t="shared" si="21"/>
        <v>-4.3469999999999976E-3</v>
      </c>
      <c r="U95" s="299">
        <f t="shared" si="21"/>
        <v>-1.3307237598248706E-3</v>
      </c>
      <c r="V95" s="299">
        <f t="shared" si="21"/>
        <v>-1.3259260762308542E-3</v>
      </c>
      <c r="W95" s="299">
        <f t="shared" si="21"/>
        <v>-1.3232052820764187E-3</v>
      </c>
      <c r="X95" s="299">
        <f t="shared" si="21"/>
        <v>-1.3217120812217954E-3</v>
      </c>
      <c r="Y95" s="299">
        <f t="shared" si="21"/>
        <v>-1.3210157281871512E-3</v>
      </c>
      <c r="Z95" s="299">
        <f t="shared" si="21"/>
        <v>-1.320844555115221E-3</v>
      </c>
      <c r="AA95" s="299">
        <f t="shared" si="21"/>
        <v>0</v>
      </c>
      <c r="AB95" s="299">
        <f t="shared" si="21"/>
        <v>0</v>
      </c>
      <c r="AC95" s="299">
        <f t="shared" si="21"/>
        <v>0</v>
      </c>
      <c r="AD95" s="299">
        <f t="shared" si="21"/>
        <v>0</v>
      </c>
      <c r="AE95" s="299">
        <f t="shared" si="21"/>
        <v>0</v>
      </c>
      <c r="AF95" s="299">
        <f t="shared" si="21"/>
        <v>0</v>
      </c>
      <c r="AG95" s="299">
        <f t="shared" si="21"/>
        <v>0</v>
      </c>
      <c r="AH95" s="299">
        <f t="shared" si="21"/>
        <v>0</v>
      </c>
      <c r="AI95" s="299">
        <f t="shared" si="21"/>
        <v>0</v>
      </c>
      <c r="AJ95" s="299">
        <f t="shared" si="21"/>
        <v>0</v>
      </c>
      <c r="AK95" s="299">
        <f t="shared" si="21"/>
        <v>0</v>
      </c>
      <c r="AL95" s="299">
        <f t="shared" si="21"/>
        <v>0</v>
      </c>
      <c r="AM95" s="299">
        <f t="shared" si="21"/>
        <v>0</v>
      </c>
      <c r="AN95" s="299">
        <f t="shared" si="21"/>
        <v>0</v>
      </c>
      <c r="AO95" s="299">
        <f t="shared" si="21"/>
        <v>0</v>
      </c>
      <c r="AP95" s="299">
        <f t="shared" si="21"/>
        <v>0</v>
      </c>
      <c r="AQ95" s="299">
        <f t="shared" si="21"/>
        <v>0</v>
      </c>
      <c r="AR95" s="299">
        <f t="shared" si="21"/>
        <v>0</v>
      </c>
      <c r="AS95" s="299">
        <f t="shared" si="21"/>
        <v>0</v>
      </c>
      <c r="AT95" s="299">
        <f t="shared" si="21"/>
        <v>0</v>
      </c>
      <c r="AU95" s="299">
        <f t="shared" si="21"/>
        <v>0</v>
      </c>
      <c r="AV95" s="299">
        <f t="shared" si="21"/>
        <v>0</v>
      </c>
      <c r="AW95" s="299">
        <f t="shared" si="21"/>
        <v>0</v>
      </c>
      <c r="AX95" s="299">
        <f t="shared" si="21"/>
        <v>0</v>
      </c>
      <c r="AY95" s="299">
        <f t="shared" si="21"/>
        <v>0</v>
      </c>
      <c r="AZ95" s="299">
        <f t="shared" si="21"/>
        <v>0</v>
      </c>
      <c r="BA95" s="299">
        <f t="shared" si="21"/>
        <v>0</v>
      </c>
      <c r="BB95" s="299">
        <f t="shared" si="21"/>
        <v>0</v>
      </c>
      <c r="BC95" s="299">
        <f t="shared" si="21"/>
        <v>0</v>
      </c>
      <c r="BD95" s="299">
        <f t="shared" si="21"/>
        <v>0</v>
      </c>
      <c r="BE95" s="299">
        <f t="shared" si="21"/>
        <v>0</v>
      </c>
      <c r="BF95" s="299">
        <f t="shared" si="21"/>
        <v>0</v>
      </c>
      <c r="BG95" s="299">
        <f t="shared" si="21"/>
        <v>0</v>
      </c>
      <c r="BH95" s="299">
        <f t="shared" si="21"/>
        <v>0</v>
      </c>
      <c r="BI95" s="299">
        <f t="shared" si="21"/>
        <v>0</v>
      </c>
      <c r="BJ95" s="299">
        <f t="shared" si="21"/>
        <v>0</v>
      </c>
      <c r="BK95" s="299">
        <f t="shared" si="21"/>
        <v>0</v>
      </c>
      <c r="BL95" s="299">
        <f t="shared" si="21"/>
        <v>0</v>
      </c>
    </row>
    <row r="96" spans="2:64" s="308" customFormat="1" x14ac:dyDescent="0.15">
      <c r="C96" s="309" t="s">
        <v>228</v>
      </c>
      <c r="E96" s="308">
        <f>-IF(E5&gt;Leadsheet!$E$12,Leadsheet!$E$71*E$93*E44/$D$44,Leadsheet!$E$71*E$93*D16)</f>
        <v>-8.0000000000000002E-3</v>
      </c>
      <c r="F96" s="308">
        <f>-IF(F5&gt;Leadsheet!$E$12,Leadsheet!$E$71*F$93*F44/$D$44,Leadsheet!$E$71*F$93*E16)</f>
        <v>-7.3600000000000002E-3</v>
      </c>
      <c r="G96" s="308">
        <f>-IF(G5&gt;Leadsheet!$E$12,Leadsheet!$E$71*G$93*G44/$D$44,Leadsheet!$E$71*G$93*F16)</f>
        <v>-6.8800000000000007E-3</v>
      </c>
      <c r="H96" s="308">
        <f>-IF(H5&gt;Leadsheet!$E$12,Leadsheet!$E$71*H$93*H44/$D$44,Leadsheet!$E$71*H$93*G16)</f>
        <v>-6.4000000000000003E-3</v>
      </c>
      <c r="I96" s="308">
        <f>-IF(I5&gt;Leadsheet!$E$12,Leadsheet!$E$71*I$93*I44/$D$44,Leadsheet!$E$71*I$93*H16)</f>
        <v>-6.2000000000000006E-3</v>
      </c>
      <c r="J96" s="308">
        <f>-IF(J5&gt;Leadsheet!$E$12,Leadsheet!$E$71*J$93*J44/$D$44,Leadsheet!$E$71*J$93*I16)</f>
        <v>-6.0000000000000001E-3</v>
      </c>
      <c r="K96" s="308">
        <f>-IF(K5&gt;Leadsheet!$E$12,Leadsheet!$E$71*K$93*K44/$D$44,Leadsheet!$E$71*K$93*J16)</f>
        <v>-5.7999999999999996E-3</v>
      </c>
      <c r="L96" s="308">
        <f>-IF(L5&gt;Leadsheet!$E$12,Leadsheet!$E$71*L$93*L44/$D$44,Leadsheet!$E$71*L$93*K16)</f>
        <v>-5.5999999999999999E-3</v>
      </c>
      <c r="M96" s="308">
        <f>-IF(M5&gt;Leadsheet!$E$12,Leadsheet!$E$71*M$93*M44/$D$44,Leadsheet!$E$71*M$93*L16)</f>
        <v>-5.3999999999999994E-3</v>
      </c>
      <c r="N96" s="308">
        <f>-IF(N5&gt;Leadsheet!$E$12,Leadsheet!$E$71*N$93*N44/$D$44,Leadsheet!$E$71*N$93*M16)</f>
        <v>-5.1999999999999998E-3</v>
      </c>
      <c r="O96" s="308">
        <f>-IF(O5&gt;Leadsheet!$E$12,Leadsheet!$E$71*O$93*O44/$D$44,Leadsheet!$E$71*O$93*N16)</f>
        <v>-4.9999999999999992E-3</v>
      </c>
      <c r="P96" s="308">
        <f>-IF(P5&gt;Leadsheet!$E$12,Leadsheet!$E$71*P$93*P44/$D$44,Leadsheet!$E$71*P$93*O16)</f>
        <v>-4.9679999999999985E-3</v>
      </c>
      <c r="Q96" s="308">
        <f>-IF(Q5&gt;Leadsheet!$E$12,Leadsheet!$E$71*Q$93*Q44/$D$44,Leadsheet!$E$71*Q$93*P16)</f>
        <v>-4.7609999999999979E-3</v>
      </c>
      <c r="R96" s="308">
        <f>-IF(R5&gt;Leadsheet!$E$12,Leadsheet!$E$71*R$93*R44/$D$44,Leadsheet!$E$71*R$93*Q16)</f>
        <v>-4.5539999999999982E-3</v>
      </c>
      <c r="S96" s="308">
        <f>-IF(S5&gt;Leadsheet!$E$12,Leadsheet!$E$71*S$93*S44/$D$44,Leadsheet!$E$71*S$93*R16)</f>
        <v>-4.3469999999999976E-3</v>
      </c>
      <c r="T96" s="308">
        <f>-IF(T5&gt;Leadsheet!$E$12,Leadsheet!$E$71*T$93*T44/$D$44,Leadsheet!$E$71*T$93*S16)</f>
        <v>-4.3469999999999976E-3</v>
      </c>
      <c r="U96" s="308">
        <f>-IF(U5&gt;Leadsheet!$E$12,Leadsheet!$E$71*U$93*U44/$D$44,Leadsheet!$E$71*U$93*T16)</f>
        <v>-1.3307237598248706E-3</v>
      </c>
      <c r="V96" s="308">
        <f>-IF(V5&gt;Leadsheet!$E$12,Leadsheet!$E$71*V$93*V44/$D$44,Leadsheet!$E$71*V$93*U16)</f>
        <v>-1.3259260762308542E-3</v>
      </c>
      <c r="W96" s="308">
        <f>-IF(W5&gt;Leadsheet!$E$12,Leadsheet!$E$71*W$93*W44/$D$44,Leadsheet!$E$71*W$93*V16)</f>
        <v>-1.3232052820764187E-3</v>
      </c>
      <c r="X96" s="308">
        <f>-IF(X5&gt;Leadsheet!$E$12,Leadsheet!$E$71*X$93*X44/$D$44,Leadsheet!$E$71*X$93*W16)</f>
        <v>-1.3217120812217954E-3</v>
      </c>
      <c r="Y96" s="308">
        <f>-IF(Y5&gt;Leadsheet!$E$12,Leadsheet!$E$71*Y$93*Y44/$D$44,Leadsheet!$E$71*Y$93*X16)</f>
        <v>-1.3210157281871512E-3</v>
      </c>
      <c r="Z96" s="308">
        <f>-IF(Z5&gt;Leadsheet!$E$12,Leadsheet!$E$71*Z$93*Z44/$D$44,Leadsheet!$E$71*Z$93*Y16)</f>
        <v>-1.320844555115221E-3</v>
      </c>
      <c r="AA96" s="308">
        <f>-IF(AA5&gt;Leadsheet!$E$12,Leadsheet!$E$71*AA$93*AA44/$D$44,Leadsheet!$E$71*AA$93*Z16)</f>
        <v>0</v>
      </c>
      <c r="AB96" s="308">
        <f>-IF(AB5&gt;Leadsheet!$E$12,Leadsheet!$E$71*AB$93*AB44/$D$44,Leadsheet!$E$71*AB$93*AA16)</f>
        <v>0</v>
      </c>
      <c r="AC96" s="308">
        <f>-IF(AC5&gt;Leadsheet!$E$12,Leadsheet!$E$71*AC$93*AC44/$D$44,Leadsheet!$E$71*AC$93*AB16)</f>
        <v>0</v>
      </c>
      <c r="AD96" s="308">
        <f>-IF(AD5&gt;Leadsheet!$E$12,Leadsheet!$E$71*AD$93*AD44/$D$44,Leadsheet!$E$71*AD$93*AC16)</f>
        <v>0</v>
      </c>
      <c r="AE96" s="308">
        <f>-IF(AE5&gt;Leadsheet!$E$12,Leadsheet!$E$71*AE$93*AE44/$D$44,Leadsheet!$E$71*AE$93*AD16)</f>
        <v>0</v>
      </c>
      <c r="AF96" s="308">
        <f>-IF(AF5&gt;Leadsheet!$E$12,Leadsheet!$E$71*AF$93*AF44/$D$44,Leadsheet!$E$71*AF$93*AE16)</f>
        <v>0</v>
      </c>
      <c r="AG96" s="308">
        <f>-IF(AG5&gt;Leadsheet!$E$12,Leadsheet!$E$71*AG$93*AG44/$D$44,Leadsheet!$E$71*AG$93*AF16)</f>
        <v>0</v>
      </c>
      <c r="AH96" s="308">
        <f>-IF(AH5&gt;Leadsheet!$E$12,Leadsheet!$E$71*AH$93*AH44/$D$44,Leadsheet!$E$71*AH$93*AG16)</f>
        <v>0</v>
      </c>
      <c r="AI96" s="308">
        <f>-IF(AI5&gt;Leadsheet!$E$12,Leadsheet!$E$71*AI$93*AI44/$D$44,Leadsheet!$E$71*AI$93*AH16)</f>
        <v>0</v>
      </c>
      <c r="AJ96" s="308">
        <f>-IF(AJ5&gt;Leadsheet!$E$12,Leadsheet!$E$71*AJ$93*AJ44/$D$44,Leadsheet!$E$71*AJ$93*AI16)</f>
        <v>0</v>
      </c>
      <c r="AK96" s="308">
        <f>-IF(AK5&gt;Leadsheet!$E$12,Leadsheet!$E$71*AK$93*AK44/$D$44,Leadsheet!$E$71*AK$93*AJ16)</f>
        <v>0</v>
      </c>
      <c r="AL96" s="308">
        <f>-IF(AL5&gt;Leadsheet!$E$12,Leadsheet!$E$71*AL$93*AL44/$D$44,Leadsheet!$E$71*AL$93*AK16)</f>
        <v>0</v>
      </c>
      <c r="AM96" s="308">
        <f>-IF(AM5&gt;Leadsheet!$E$12,Leadsheet!$E$71*AM$93*AM44/$D$44,Leadsheet!$E$71*AM$93*AL16)</f>
        <v>0</v>
      </c>
      <c r="AN96" s="308">
        <f>-IF(AN5&gt;Leadsheet!$E$12,Leadsheet!$E$71*AN$93*AN44/$D$44,Leadsheet!$E$71*AN$93*AM16)</f>
        <v>0</v>
      </c>
      <c r="AO96" s="308">
        <f>-IF(AO5&gt;Leadsheet!$E$12,Leadsheet!$E$71*AO$93*AO44/$D$44,Leadsheet!$E$71*AO$93*AN16)</f>
        <v>0</v>
      </c>
      <c r="AP96" s="308">
        <f>-IF(AP5&gt;Leadsheet!$E$12,Leadsheet!$E$71*AP$93*AP44/$D$44,Leadsheet!$E$71*AP$93*AO16)</f>
        <v>0</v>
      </c>
      <c r="AQ96" s="308">
        <f>-IF(AQ5&gt;Leadsheet!$E$12,Leadsheet!$E$71*AQ$93*AQ44/$D$44,Leadsheet!$E$71*AQ$93*AP16)</f>
        <v>0</v>
      </c>
      <c r="AR96" s="308">
        <f>-IF(AR5&gt;Leadsheet!$E$12,Leadsheet!$E$71*AR$93*AR44/$D$44,Leadsheet!$E$71*AR$93*AQ16)</f>
        <v>0</v>
      </c>
      <c r="AS96" s="308">
        <f>-IF(AS5&gt;Leadsheet!$E$12,Leadsheet!$E$71*AS$93*AS44/$D$44,Leadsheet!$E$71*AS$93*AR16)</f>
        <v>0</v>
      </c>
      <c r="AT96" s="308">
        <f>-IF(AT5&gt;Leadsheet!$E$12,Leadsheet!$E$71*AT$93*AT44/$D$44,Leadsheet!$E$71*AT$93*AS16)</f>
        <v>0</v>
      </c>
      <c r="AU96" s="308">
        <f>-IF(AU5&gt;Leadsheet!$E$12,Leadsheet!$E$71*AU$93*AU44/$D$44,Leadsheet!$E$71*AU$93*AT16)</f>
        <v>0</v>
      </c>
      <c r="AV96" s="308">
        <f>-IF(AV5&gt;Leadsheet!$E$12,Leadsheet!$E$71*AV$93*AV44/$D$44,Leadsheet!$E$71*AV$93*AU16)</f>
        <v>0</v>
      </c>
      <c r="AW96" s="308">
        <f>-IF(AW5&gt;Leadsheet!$E$12,Leadsheet!$E$71*AW$93*AW44/$D$44,Leadsheet!$E$71*AW$93*AV16)</f>
        <v>0</v>
      </c>
      <c r="AX96" s="308">
        <f>-IF(AX5&gt;Leadsheet!$E$12,Leadsheet!$E$71*AX$93*AX44/$D$44,Leadsheet!$E$71*AX$93*AW16)</f>
        <v>0</v>
      </c>
      <c r="AY96" s="308">
        <f>-IF(AY5&gt;Leadsheet!$E$12,Leadsheet!$E$71*AY$93*AY44/$D$44,Leadsheet!$E$71*AY$93*AX16)</f>
        <v>0</v>
      </c>
      <c r="AZ96" s="308">
        <f>-IF(AZ5&gt;Leadsheet!$E$12,Leadsheet!$E$71*AZ$93*AZ44/$D$44,Leadsheet!$E$71*AZ$93*AY16)</f>
        <v>0</v>
      </c>
      <c r="BA96" s="308">
        <f>-IF(BA5&gt;Leadsheet!$E$12,Leadsheet!$E$71*BA$93*BA44/$D$44,Leadsheet!$E$71*BA$93*AZ16)</f>
        <v>0</v>
      </c>
      <c r="BB96" s="308">
        <f>-IF(BB5&gt;Leadsheet!$E$12,Leadsheet!$E$71*BB$93*BB44/$D$44,Leadsheet!$E$71*BB$93*BA16)</f>
        <v>0</v>
      </c>
      <c r="BC96" s="308">
        <f>-IF(BC5&gt;Leadsheet!$E$12,Leadsheet!$E$71*BC$93*BC44/$D$44,Leadsheet!$E$71*BC$93*BB16)</f>
        <v>0</v>
      </c>
      <c r="BD96" s="308">
        <f>-IF(BD5&gt;Leadsheet!$E$12,Leadsheet!$E$71*BD$93*BD44/$D$44,Leadsheet!$E$71*BD$93*BC16)</f>
        <v>0</v>
      </c>
      <c r="BE96" s="308">
        <f>-IF(BE5&gt;Leadsheet!$E$12,Leadsheet!$E$71*BE$93*BE44/$D$44,Leadsheet!$E$71*BE$93*BD16)</f>
        <v>0</v>
      </c>
      <c r="BF96" s="308">
        <f>-IF(BF5&gt;Leadsheet!$E$12,Leadsheet!$E$71*BF$93*BF44/$D$44,Leadsheet!$E$71*BF$93*BE16)</f>
        <v>0</v>
      </c>
      <c r="BG96" s="308">
        <f>-IF(BG5&gt;Leadsheet!$E$12,Leadsheet!$E$71*BG$93*BG44/$D$44,Leadsheet!$E$71*BG$93*BF16)</f>
        <v>0</v>
      </c>
      <c r="BH96" s="308">
        <f>-IF(BH5&gt;Leadsheet!$E$12,Leadsheet!$E$71*BH$93*BH44/$D$44,Leadsheet!$E$71*BH$93*BG16)</f>
        <v>0</v>
      </c>
      <c r="BI96" s="308">
        <f>-IF(BI5&gt;Leadsheet!$E$12,Leadsheet!$E$71*BI$93*BI44/$D$44,Leadsheet!$E$71*BI$93*BH16)</f>
        <v>0</v>
      </c>
      <c r="BJ96" s="308">
        <f>-IF(BJ5&gt;Leadsheet!$E$12,Leadsheet!$E$71*BJ$93*BJ44/$D$44,Leadsheet!$E$71*BJ$93*BI16)</f>
        <v>0</v>
      </c>
      <c r="BK96" s="308">
        <f>-IF(BK5&gt;Leadsheet!$E$12,Leadsheet!$E$71*BK$93*BK44/$D$44,Leadsheet!$E$71*BK$93*BJ16)</f>
        <v>0</v>
      </c>
      <c r="BL96" s="308">
        <f>-IF(BL5&gt;Leadsheet!$E$12,Leadsheet!$E$71*BL$93*BL44/$D$44,Leadsheet!$E$71*BL$93*BK16)</f>
        <v>0</v>
      </c>
    </row>
    <row r="97" spans="1:64" x14ac:dyDescent="0.15">
      <c r="C97" s="181" t="s">
        <v>229</v>
      </c>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c r="BF97" s="140"/>
      <c r="BG97" s="140"/>
      <c r="BH97" s="140"/>
      <c r="BI97" s="140"/>
      <c r="BJ97" s="140"/>
      <c r="BK97" s="140"/>
      <c r="BL97" s="140"/>
    </row>
    <row r="98" spans="1:64" x14ac:dyDescent="0.15">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row>
    <row r="99" spans="1:64" x14ac:dyDescent="0.15">
      <c r="B99" s="155" t="s">
        <v>405</v>
      </c>
      <c r="E99" s="281">
        <f>SUM(E100:E101)</f>
        <v>-7.683530617620261E-4</v>
      </c>
      <c r="F99" s="281">
        <f t="shared" ref="F99:BL99" si="22">SUM(F100:F101)</f>
        <v>-7.1824307947319834E-4</v>
      </c>
      <c r="G99" s="281">
        <f t="shared" si="22"/>
        <v>-6.6813309718437048E-4</v>
      </c>
      <c r="H99" s="281">
        <f t="shared" si="22"/>
        <v>-6.4725393789735893E-4</v>
      </c>
      <c r="I99" s="281">
        <f t="shared" si="22"/>
        <v>-6.2637477861034727E-4</v>
      </c>
      <c r="J99" s="281">
        <f t="shared" si="22"/>
        <v>-6.0549561932333573E-4</v>
      </c>
      <c r="K99" s="281">
        <f t="shared" si="22"/>
        <v>-5.8461646003632407E-4</v>
      </c>
      <c r="L99" s="281">
        <f t="shared" si="22"/>
        <v>-5.6373730074931253E-4</v>
      </c>
      <c r="M99" s="281">
        <f t="shared" si="22"/>
        <v>-5.4285814146230087E-4</v>
      </c>
      <c r="N99" s="281">
        <f t="shared" si="22"/>
        <v>-5.2197898217528932E-4</v>
      </c>
      <c r="O99" s="281">
        <f t="shared" si="22"/>
        <v>-5.0109982288827778E-4</v>
      </c>
      <c r="P99" s="281">
        <f t="shared" si="22"/>
        <v>-4.8022066360126612E-4</v>
      </c>
      <c r="Q99" s="281">
        <f t="shared" si="22"/>
        <v>-4.5934150431425452E-4</v>
      </c>
      <c r="R99" s="281">
        <f t="shared" si="22"/>
        <v>-4.3846234502724292E-4</v>
      </c>
      <c r="S99" s="281">
        <f t="shared" si="22"/>
        <v>-4.3846234502724292E-4</v>
      </c>
      <c r="T99" s="281">
        <f t="shared" si="22"/>
        <v>-4.3846234502724292E-4</v>
      </c>
      <c r="U99" s="281">
        <f t="shared" si="22"/>
        <v>0</v>
      </c>
      <c r="V99" s="281">
        <f t="shared" si="22"/>
        <v>0</v>
      </c>
      <c r="W99" s="281">
        <f t="shared" si="22"/>
        <v>0</v>
      </c>
      <c r="X99" s="281">
        <f t="shared" si="22"/>
        <v>0</v>
      </c>
      <c r="Y99" s="281">
        <f t="shared" si="22"/>
        <v>0</v>
      </c>
      <c r="Z99" s="281">
        <f t="shared" si="22"/>
        <v>0</v>
      </c>
      <c r="AA99" s="281">
        <f t="shared" si="22"/>
        <v>0</v>
      </c>
      <c r="AB99" s="281">
        <f t="shared" si="22"/>
        <v>0</v>
      </c>
      <c r="AC99" s="281">
        <f t="shared" si="22"/>
        <v>0</v>
      </c>
      <c r="AD99" s="281">
        <f t="shared" si="22"/>
        <v>0</v>
      </c>
      <c r="AE99" s="281">
        <f t="shared" si="22"/>
        <v>0</v>
      </c>
      <c r="AF99" s="281">
        <f t="shared" si="22"/>
        <v>0</v>
      </c>
      <c r="AG99" s="281">
        <f t="shared" si="22"/>
        <v>0</v>
      </c>
      <c r="AH99" s="281">
        <f t="shared" si="22"/>
        <v>0</v>
      </c>
      <c r="AI99" s="281">
        <f t="shared" si="22"/>
        <v>0</v>
      </c>
      <c r="AJ99" s="281">
        <f t="shared" si="22"/>
        <v>0</v>
      </c>
      <c r="AK99" s="281">
        <f t="shared" si="22"/>
        <v>0</v>
      </c>
      <c r="AL99" s="281">
        <f t="shared" si="22"/>
        <v>0</v>
      </c>
      <c r="AM99" s="281">
        <f t="shared" si="22"/>
        <v>0</v>
      </c>
      <c r="AN99" s="281">
        <f t="shared" si="22"/>
        <v>0</v>
      </c>
      <c r="AO99" s="281">
        <f t="shared" si="22"/>
        <v>0</v>
      </c>
      <c r="AP99" s="281">
        <f t="shared" si="22"/>
        <v>0</v>
      </c>
      <c r="AQ99" s="281">
        <f t="shared" si="22"/>
        <v>0</v>
      </c>
      <c r="AR99" s="281">
        <f t="shared" si="22"/>
        <v>0</v>
      </c>
      <c r="AS99" s="281">
        <f t="shared" si="22"/>
        <v>0</v>
      </c>
      <c r="AT99" s="281">
        <f t="shared" si="22"/>
        <v>0</v>
      </c>
      <c r="AU99" s="281">
        <f t="shared" si="22"/>
        <v>0</v>
      </c>
      <c r="AV99" s="281">
        <f t="shared" si="22"/>
        <v>0</v>
      </c>
      <c r="AW99" s="281">
        <f t="shared" si="22"/>
        <v>0</v>
      </c>
      <c r="AX99" s="281">
        <f t="shared" si="22"/>
        <v>0</v>
      </c>
      <c r="AY99" s="281">
        <f t="shared" si="22"/>
        <v>0</v>
      </c>
      <c r="AZ99" s="281">
        <f t="shared" si="22"/>
        <v>0</v>
      </c>
      <c r="BA99" s="281">
        <f t="shared" si="22"/>
        <v>0</v>
      </c>
      <c r="BB99" s="281">
        <f t="shared" si="22"/>
        <v>0</v>
      </c>
      <c r="BC99" s="281">
        <f t="shared" si="22"/>
        <v>0</v>
      </c>
      <c r="BD99" s="281">
        <f t="shared" si="22"/>
        <v>0</v>
      </c>
      <c r="BE99" s="281">
        <f t="shared" si="22"/>
        <v>0</v>
      </c>
      <c r="BF99" s="281">
        <f t="shared" si="22"/>
        <v>0</v>
      </c>
      <c r="BG99" s="281">
        <f t="shared" si="22"/>
        <v>0</v>
      </c>
      <c r="BH99" s="281">
        <f t="shared" si="22"/>
        <v>0</v>
      </c>
      <c r="BI99" s="281">
        <f t="shared" si="22"/>
        <v>0</v>
      </c>
      <c r="BJ99" s="281">
        <f t="shared" si="22"/>
        <v>0</v>
      </c>
      <c r="BK99" s="281">
        <f t="shared" si="22"/>
        <v>0</v>
      </c>
      <c r="BL99" s="281">
        <f t="shared" si="22"/>
        <v>0</v>
      </c>
    </row>
    <row r="100" spans="1:64" x14ac:dyDescent="0.15">
      <c r="B100" s="155"/>
      <c r="C100" s="84" t="s">
        <v>406</v>
      </c>
      <c r="E100" s="140">
        <f>IF(E5&gt;Leadsheet!$E$12,0,-E16*Leadsheet!$E$78)</f>
        <v>-7.683530617620261E-4</v>
      </c>
      <c r="F100" s="140">
        <f>IF(F5&gt;Leadsheet!$E$12,0,-F16*Leadsheet!$E$78)</f>
        <v>-7.1824307947319834E-4</v>
      </c>
      <c r="G100" s="140">
        <f>IF(G5&gt;Leadsheet!$E$12,0,-G16*Leadsheet!$E$78)</f>
        <v>-6.6813309718437048E-4</v>
      </c>
      <c r="H100" s="140">
        <f>IF(H5&gt;Leadsheet!$E$12,0,-H16*Leadsheet!$E$78)</f>
        <v>-6.4725393789735893E-4</v>
      </c>
      <c r="I100" s="140">
        <f>IF(I5&gt;Leadsheet!$E$12,0,-I16*Leadsheet!$E$78)</f>
        <v>-6.2637477861034727E-4</v>
      </c>
      <c r="J100" s="140">
        <f>IF(J5&gt;Leadsheet!$E$12,0,-J16*Leadsheet!$E$78)</f>
        <v>-6.0549561932333573E-4</v>
      </c>
      <c r="K100" s="140">
        <f>IF(K5&gt;Leadsheet!$E$12,0,-K16*Leadsheet!$E$78)</f>
        <v>-5.8461646003632407E-4</v>
      </c>
      <c r="L100" s="140">
        <f>IF(L5&gt;Leadsheet!$E$12,0,-L16*Leadsheet!$E$78)</f>
        <v>-5.6373730074931253E-4</v>
      </c>
      <c r="M100" s="140">
        <f>IF(M5&gt;Leadsheet!$E$12,0,-M16*Leadsheet!$E$78)</f>
        <v>-5.4285814146230087E-4</v>
      </c>
      <c r="N100" s="140">
        <f>IF(N5&gt;Leadsheet!$E$12,0,-N16*Leadsheet!$E$78)</f>
        <v>-5.2197898217528932E-4</v>
      </c>
      <c r="O100" s="140">
        <f>IF(O5&gt;Leadsheet!$E$12,0,-O16*Leadsheet!$E$78)</f>
        <v>-5.0109982288827778E-4</v>
      </c>
      <c r="P100" s="140">
        <f>IF(P5&gt;Leadsheet!$E$12,0,-P16*Leadsheet!$E$78)</f>
        <v>-4.8022066360126612E-4</v>
      </c>
      <c r="Q100" s="140">
        <f>IF(Q5&gt;Leadsheet!$E$12,0,-Q16*Leadsheet!$E$78)</f>
        <v>-4.5934150431425452E-4</v>
      </c>
      <c r="R100" s="140">
        <f>IF(R5&gt;Leadsheet!$E$12,0,-R16*Leadsheet!$E$78)</f>
        <v>-4.3846234502724292E-4</v>
      </c>
      <c r="S100" s="140">
        <f>IF(S5&gt;Leadsheet!$E$12,0,-S16*Leadsheet!$E$78)</f>
        <v>-4.3846234502724292E-4</v>
      </c>
      <c r="T100" s="140">
        <f>IF(T5&gt;Leadsheet!$E$12,0,-T16*Leadsheet!$E$78)</f>
        <v>-4.3846234502724292E-4</v>
      </c>
      <c r="U100" s="140">
        <f>IF(U5&gt;Leadsheet!$E$12,0,-U16*Leadsheet!$E$78)</f>
        <v>0</v>
      </c>
      <c r="V100" s="140">
        <f>IF(V5&gt;Leadsheet!$E$12,0,-V16*Leadsheet!$E$78)</f>
        <v>0</v>
      </c>
      <c r="W100" s="140">
        <f>IF(W5&gt;Leadsheet!$E$12,0,-W16*Leadsheet!$E$78)</f>
        <v>0</v>
      </c>
      <c r="X100" s="140">
        <f>IF(X5&gt;Leadsheet!$E$12,0,-X16*Leadsheet!$E$78)</f>
        <v>0</v>
      </c>
      <c r="Y100" s="140">
        <f>IF(Y5&gt;Leadsheet!$E$12,0,-Y16*Leadsheet!$E$78)</f>
        <v>0</v>
      </c>
      <c r="Z100" s="140">
        <f>IF(Z5&gt;Leadsheet!$E$12,0,-Z16*Leadsheet!$E$78)</f>
        <v>0</v>
      </c>
      <c r="AA100" s="140">
        <f>IF(AA5&gt;Leadsheet!$E$12,0,-AA16*Leadsheet!$E$78)</f>
        <v>0</v>
      </c>
      <c r="AB100" s="140">
        <f>IF(AB5&gt;Leadsheet!$E$12,0,-AB16*Leadsheet!$E$78)</f>
        <v>0</v>
      </c>
      <c r="AC100" s="140">
        <f>IF(AC5&gt;Leadsheet!$E$12,0,-AC16*Leadsheet!$E$78)</f>
        <v>0</v>
      </c>
      <c r="AD100" s="140">
        <f>IF(AD5&gt;Leadsheet!$E$12,0,-AD16*Leadsheet!$E$78)</f>
        <v>0</v>
      </c>
      <c r="AE100" s="140">
        <f>IF(AE5&gt;Leadsheet!$E$12,0,-AE16*Leadsheet!$E$78)</f>
        <v>0</v>
      </c>
      <c r="AF100" s="140">
        <f>IF(AF5&gt;Leadsheet!$E$12,0,-AF16*Leadsheet!$E$78)</f>
        <v>0</v>
      </c>
      <c r="AG100" s="140">
        <f>IF(AG5&gt;Leadsheet!$E$12,0,-AG16*Leadsheet!$E$78)</f>
        <v>0</v>
      </c>
      <c r="AH100" s="140">
        <f>IF(AH5&gt;Leadsheet!$E$12,0,-AH16*Leadsheet!$E$78)</f>
        <v>0</v>
      </c>
      <c r="AI100" s="140">
        <f>IF(AI5&gt;Leadsheet!$E$12,0,-AI16*Leadsheet!$E$78)</f>
        <v>0</v>
      </c>
      <c r="AJ100" s="140">
        <f>IF(AJ5&gt;Leadsheet!$E$12,0,-AJ16*Leadsheet!$E$78)</f>
        <v>0</v>
      </c>
      <c r="AK100" s="140">
        <f>IF(AK5&gt;Leadsheet!$E$12,0,-AK16*Leadsheet!$E$78)</f>
        <v>0</v>
      </c>
      <c r="AL100" s="140">
        <f>IF(AL5&gt;Leadsheet!$E$12,0,-AL16*Leadsheet!$E$78)</f>
        <v>0</v>
      </c>
      <c r="AM100" s="140">
        <f>IF(AM5&gt;Leadsheet!$E$12,0,-AM16*Leadsheet!$E$78)</f>
        <v>0</v>
      </c>
      <c r="AN100" s="140">
        <f>IF(AN5&gt;Leadsheet!$E$12,0,-AN16*Leadsheet!$E$78)</f>
        <v>0</v>
      </c>
      <c r="AO100" s="140">
        <f>IF(AO5&gt;Leadsheet!$E$12,0,-AO16*Leadsheet!$E$78)</f>
        <v>0</v>
      </c>
      <c r="AP100" s="140">
        <f>IF(AP5&gt;Leadsheet!$E$12,0,-AP16*Leadsheet!$E$78)</f>
        <v>0</v>
      </c>
      <c r="AQ100" s="140">
        <f>IF(AQ5&gt;Leadsheet!$E$12,0,-AQ16*Leadsheet!$E$78)</f>
        <v>0</v>
      </c>
      <c r="AR100" s="140">
        <f>IF(AR5&gt;Leadsheet!$E$12,0,-AR16*Leadsheet!$E$78)</f>
        <v>0</v>
      </c>
      <c r="AS100" s="140">
        <f>IF(AS5&gt;Leadsheet!$E$12,0,-AS16*Leadsheet!$E$78)</f>
        <v>0</v>
      </c>
      <c r="AT100" s="140">
        <f>IF(AT5&gt;Leadsheet!$E$12,0,-AT16*Leadsheet!$E$78)</f>
        <v>0</v>
      </c>
      <c r="AU100" s="140">
        <f>IF(AU5&gt;Leadsheet!$E$12,0,-AU16*Leadsheet!$E$78)</f>
        <v>0</v>
      </c>
      <c r="AV100" s="140">
        <f>IF(AV5&gt;Leadsheet!$E$12,0,-AV16*Leadsheet!$E$78)</f>
        <v>0</v>
      </c>
      <c r="AW100" s="140">
        <f>IF(AW5&gt;Leadsheet!$E$12,0,-AW16*Leadsheet!$E$78)</f>
        <v>0</v>
      </c>
      <c r="AX100" s="140">
        <f>IF(AX5&gt;Leadsheet!$E$12,0,-AX16*Leadsheet!$E$78)</f>
        <v>0</v>
      </c>
      <c r="AY100" s="140">
        <f>IF(AY5&gt;Leadsheet!$E$12,0,-AY16*Leadsheet!$E$78)</f>
        <v>0</v>
      </c>
      <c r="AZ100" s="140">
        <f>IF(AZ5&gt;Leadsheet!$E$12,0,-AZ16*Leadsheet!$E$78)</f>
        <v>0</v>
      </c>
      <c r="BA100" s="140">
        <f>IF(BA5&gt;Leadsheet!$E$12,0,-BA16*Leadsheet!$E$78)</f>
        <v>0</v>
      </c>
      <c r="BB100" s="140">
        <f>IF(BB5&gt;Leadsheet!$E$12,0,-BB16*Leadsheet!$E$78)</f>
        <v>0</v>
      </c>
      <c r="BC100" s="140">
        <f>IF(BC5&gt;Leadsheet!$E$12,0,-BC16*Leadsheet!$E$78)</f>
        <v>0</v>
      </c>
      <c r="BD100" s="140">
        <f>IF(BD5&gt;Leadsheet!$E$12,0,-BD16*Leadsheet!$E$78)</f>
        <v>0</v>
      </c>
      <c r="BE100" s="140">
        <f>IF(BE5&gt;Leadsheet!$E$12,0,-BE16*Leadsheet!$E$78)</f>
        <v>0</v>
      </c>
      <c r="BF100" s="140">
        <f>IF(BF5&gt;Leadsheet!$E$12,0,-BF16*Leadsheet!$E$78)</f>
        <v>0</v>
      </c>
      <c r="BG100" s="140">
        <f>IF(BG5&gt;Leadsheet!$E$12,0,-BG16*Leadsheet!$E$78)</f>
        <v>0</v>
      </c>
      <c r="BH100" s="140">
        <f>IF(BH5&gt;Leadsheet!$E$12,0,-BH16*Leadsheet!$E$78)</f>
        <v>0</v>
      </c>
      <c r="BI100" s="140">
        <f>IF(BI5&gt;Leadsheet!$E$12,0,-BI16*Leadsheet!$E$78)</f>
        <v>0</v>
      </c>
      <c r="BJ100" s="140">
        <f>IF(BJ5&gt;Leadsheet!$E$12,0,-BJ16*Leadsheet!$E$78)</f>
        <v>0</v>
      </c>
      <c r="BK100" s="140">
        <f>IF(BK5&gt;Leadsheet!$E$12,0,-BK16*Leadsheet!$E$78)</f>
        <v>0</v>
      </c>
      <c r="BL100" s="140">
        <f>IF(BL5&gt;Leadsheet!$E$12,0,-BL16*Leadsheet!$E$78)</f>
        <v>0</v>
      </c>
    </row>
    <row r="101" spans="1:64" x14ac:dyDescent="0.15">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row>
    <row r="102" spans="1:64" x14ac:dyDescent="0.15">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row>
    <row r="103" spans="1:64" s="155" customFormat="1" x14ac:dyDescent="0.15">
      <c r="B103" s="155" t="s">
        <v>407</v>
      </c>
      <c r="E103" s="281">
        <f>SUM(E104:E107)</f>
        <v>-5.6791732395531626E-2</v>
      </c>
      <c r="F103" s="281">
        <f t="shared" ref="F103:BL103" si="23">SUM(F104:F107)</f>
        <v>-5.2248393803889098E-2</v>
      </c>
      <c r="G103" s="281">
        <f t="shared" si="23"/>
        <v>-4.8840889860157208E-2</v>
      </c>
      <c r="H103" s="281">
        <f t="shared" si="23"/>
        <v>-4.5433385916425303E-2</v>
      </c>
      <c r="I103" s="281">
        <f t="shared" si="23"/>
        <v>-4.4013592606537012E-2</v>
      </c>
      <c r="J103" s="281">
        <f t="shared" si="23"/>
        <v>-4.2593799296648721E-2</v>
      </c>
      <c r="K103" s="281">
        <f t="shared" si="23"/>
        <v>-4.117400598676043E-2</v>
      </c>
      <c r="L103" s="281">
        <f t="shared" si="23"/>
        <v>-3.9754212676872139E-2</v>
      </c>
      <c r="M103" s="281">
        <f t="shared" si="23"/>
        <v>-3.8334419366983848E-2</v>
      </c>
      <c r="N103" s="281">
        <f t="shared" si="23"/>
        <v>-3.691462605709555E-2</v>
      </c>
      <c r="O103" s="281">
        <f t="shared" si="23"/>
        <v>-3.5494832747207265E-2</v>
      </c>
      <c r="P103" s="281">
        <f t="shared" si="23"/>
        <v>-3.5267665817625131E-2</v>
      </c>
      <c r="Q103" s="281">
        <f t="shared" si="23"/>
        <v>-3.3798179741890755E-2</v>
      </c>
      <c r="R103" s="281">
        <f t="shared" si="23"/>
        <v>-3.2328693666156365E-2</v>
      </c>
      <c r="S103" s="281">
        <f t="shared" si="23"/>
        <v>-3.0859207590421989E-2</v>
      </c>
      <c r="T103" s="281">
        <f t="shared" si="23"/>
        <v>-3.0859207590421989E-2</v>
      </c>
      <c r="U103" s="281">
        <f t="shared" si="23"/>
        <v>0</v>
      </c>
      <c r="V103" s="281">
        <f t="shared" si="23"/>
        <v>0</v>
      </c>
      <c r="W103" s="281">
        <f t="shared" si="23"/>
        <v>0</v>
      </c>
      <c r="X103" s="281">
        <f t="shared" si="23"/>
        <v>0</v>
      </c>
      <c r="Y103" s="281">
        <f t="shared" si="23"/>
        <v>0</v>
      </c>
      <c r="Z103" s="281">
        <f t="shared" si="23"/>
        <v>0</v>
      </c>
      <c r="AA103" s="281">
        <f t="shared" si="23"/>
        <v>0</v>
      </c>
      <c r="AB103" s="281">
        <f t="shared" si="23"/>
        <v>0</v>
      </c>
      <c r="AC103" s="281">
        <f t="shared" si="23"/>
        <v>0</v>
      </c>
      <c r="AD103" s="281">
        <f t="shared" si="23"/>
        <v>0</v>
      </c>
      <c r="AE103" s="281">
        <f t="shared" si="23"/>
        <v>0</v>
      </c>
      <c r="AF103" s="281">
        <f t="shared" si="23"/>
        <v>0</v>
      </c>
      <c r="AG103" s="281">
        <f t="shared" si="23"/>
        <v>0</v>
      </c>
      <c r="AH103" s="281">
        <f t="shared" si="23"/>
        <v>0</v>
      </c>
      <c r="AI103" s="281">
        <f t="shared" si="23"/>
        <v>0</v>
      </c>
      <c r="AJ103" s="281">
        <f t="shared" si="23"/>
        <v>0</v>
      </c>
      <c r="AK103" s="281">
        <f t="shared" si="23"/>
        <v>0</v>
      </c>
      <c r="AL103" s="281">
        <f t="shared" si="23"/>
        <v>0</v>
      </c>
      <c r="AM103" s="281">
        <f t="shared" si="23"/>
        <v>0</v>
      </c>
      <c r="AN103" s="281">
        <f t="shared" si="23"/>
        <v>0</v>
      </c>
      <c r="AO103" s="281">
        <f t="shared" si="23"/>
        <v>0</v>
      </c>
      <c r="AP103" s="281">
        <f t="shared" si="23"/>
        <v>0</v>
      </c>
      <c r="AQ103" s="281">
        <f t="shared" si="23"/>
        <v>0</v>
      </c>
      <c r="AR103" s="281">
        <f t="shared" si="23"/>
        <v>0</v>
      </c>
      <c r="AS103" s="281">
        <f t="shared" si="23"/>
        <v>0</v>
      </c>
      <c r="AT103" s="281">
        <f t="shared" si="23"/>
        <v>0</v>
      </c>
      <c r="AU103" s="281">
        <f t="shared" si="23"/>
        <v>0</v>
      </c>
      <c r="AV103" s="281">
        <f t="shared" si="23"/>
        <v>0</v>
      </c>
      <c r="AW103" s="281">
        <f t="shared" si="23"/>
        <v>0</v>
      </c>
      <c r="AX103" s="281">
        <f t="shared" si="23"/>
        <v>0</v>
      </c>
      <c r="AY103" s="281">
        <f t="shared" si="23"/>
        <v>0</v>
      </c>
      <c r="AZ103" s="281">
        <f t="shared" si="23"/>
        <v>0</v>
      </c>
      <c r="BA103" s="281">
        <f t="shared" si="23"/>
        <v>0</v>
      </c>
      <c r="BB103" s="281">
        <f t="shared" si="23"/>
        <v>0</v>
      </c>
      <c r="BC103" s="281">
        <f t="shared" si="23"/>
        <v>0</v>
      </c>
      <c r="BD103" s="281">
        <f t="shared" si="23"/>
        <v>0</v>
      </c>
      <c r="BE103" s="281">
        <f t="shared" si="23"/>
        <v>0</v>
      </c>
      <c r="BF103" s="281">
        <f t="shared" si="23"/>
        <v>0</v>
      </c>
      <c r="BG103" s="281">
        <f t="shared" si="23"/>
        <v>0</v>
      </c>
      <c r="BH103" s="281">
        <f t="shared" si="23"/>
        <v>0</v>
      </c>
      <c r="BI103" s="281">
        <f t="shared" si="23"/>
        <v>0</v>
      </c>
      <c r="BJ103" s="281">
        <f t="shared" si="23"/>
        <v>0</v>
      </c>
      <c r="BK103" s="281">
        <f t="shared" si="23"/>
        <v>0</v>
      </c>
      <c r="BL103" s="281">
        <f t="shared" si="23"/>
        <v>0</v>
      </c>
    </row>
    <row r="104" spans="1:64" x14ac:dyDescent="0.15">
      <c r="C104" s="84" t="s">
        <v>139</v>
      </c>
      <c r="E104" s="140">
        <f>-IF(E$5&gt;Leadsheet!$E$12,0,Leadsheet!$E81*SAP_Speadsheet!E$93*D$16)</f>
        <v>-9.077282642806923E-3</v>
      </c>
      <c r="F104" s="140">
        <f>-IF(F$5&gt;Leadsheet!$E$12,0,Leadsheet!$E81*SAP_Speadsheet!F$93*E$16)</f>
        <v>-8.3511000313823691E-3</v>
      </c>
      <c r="G104" s="140">
        <f>-IF(G$5&gt;Leadsheet!$E$12,0,Leadsheet!$E81*SAP_Speadsheet!G$93*F$16)</f>
        <v>-7.806463072813955E-3</v>
      </c>
      <c r="H104" s="140">
        <f>-IF(H$5&gt;Leadsheet!$E$12,0,Leadsheet!$E81*SAP_Speadsheet!H$93*G$16)</f>
        <v>-7.2618261142455391E-3</v>
      </c>
      <c r="I104" s="140">
        <f>-IF(I$5&gt;Leadsheet!$E$12,0,Leadsheet!$E81*SAP_Speadsheet!I$93*H$16)</f>
        <v>-7.0348940481753655E-3</v>
      </c>
      <c r="J104" s="140">
        <f>-IF(J$5&gt;Leadsheet!$E$12,0,Leadsheet!$E81*SAP_Speadsheet!J$93*I$16)</f>
        <v>-6.8079619821051918E-3</v>
      </c>
      <c r="K104" s="140">
        <f>-IF(K$5&gt;Leadsheet!$E$12,0,Leadsheet!$E81*SAP_Speadsheet!K$93*J$16)</f>
        <v>-6.5810299160350191E-3</v>
      </c>
      <c r="L104" s="140">
        <f>-IF(L$5&gt;Leadsheet!$E$12,0,Leadsheet!$E81*SAP_Speadsheet!L$93*K$16)</f>
        <v>-6.3540978499648454E-3</v>
      </c>
      <c r="M104" s="140">
        <f>-IF(M$5&gt;Leadsheet!$E$12,0,Leadsheet!$E81*SAP_Speadsheet!M$93*L$16)</f>
        <v>-6.1271657838946727E-3</v>
      </c>
      <c r="N104" s="140">
        <f>-IF(N$5&gt;Leadsheet!$E$12,0,Leadsheet!$E81*SAP_Speadsheet!N$93*M$16)</f>
        <v>-5.900233717824499E-3</v>
      </c>
      <c r="O104" s="140">
        <f>-IF(O$5&gt;Leadsheet!$E$12,0,Leadsheet!$E81*SAP_Speadsheet!O$93*N$16)</f>
        <v>-5.6733016517543262E-3</v>
      </c>
      <c r="P104" s="140">
        <f>-IF(P$5&gt;Leadsheet!$E$12,0,Leadsheet!$E81*SAP_Speadsheet!P$93*O$16)</f>
        <v>-5.6369925211830979E-3</v>
      </c>
      <c r="Q104" s="140">
        <f>-IF(Q$5&gt;Leadsheet!$E$12,0,Leadsheet!$E81*SAP_Speadsheet!Q$93*P$16)</f>
        <v>-5.4021178328004689E-3</v>
      </c>
      <c r="R104" s="140">
        <f>-IF(R$5&gt;Leadsheet!$E$12,0,Leadsheet!$E81*SAP_Speadsheet!R$93*Q$16)</f>
        <v>-5.167243144417839E-3</v>
      </c>
      <c r="S104" s="140">
        <f>-IF(S$5&gt;Leadsheet!$E$12,0,Leadsheet!$E81*SAP_Speadsheet!S$93*R$16)</f>
        <v>-4.9323684560352099E-3</v>
      </c>
      <c r="T104" s="140">
        <f>-IF(T$5&gt;Leadsheet!$E$12,0,Leadsheet!$E81*SAP_Speadsheet!T$93*S$16)</f>
        <v>-4.9323684560352099E-3</v>
      </c>
      <c r="U104" s="140">
        <f>-IF(U$5&gt;Leadsheet!$E$12,0,Leadsheet!$E81*SAP_Speadsheet!U$93*T$16)</f>
        <v>0</v>
      </c>
      <c r="V104" s="140">
        <f>-IF(V$5&gt;Leadsheet!$E$12,0,Leadsheet!$E81*SAP_Speadsheet!V$93*U$16)</f>
        <v>0</v>
      </c>
      <c r="W104" s="140">
        <f>-IF(W$5&gt;Leadsheet!$E$12,0,Leadsheet!$E81*SAP_Speadsheet!W$93*V$16)</f>
        <v>0</v>
      </c>
      <c r="X104" s="140">
        <f>-IF(X$5&gt;Leadsheet!$E$12,0,Leadsheet!$E81*SAP_Speadsheet!X$93*W$16)</f>
        <v>0</v>
      </c>
      <c r="Y104" s="140">
        <f>-IF(Y$5&gt;Leadsheet!$E$12,0,Leadsheet!$E81*SAP_Speadsheet!Y$93*X$16)</f>
        <v>0</v>
      </c>
      <c r="Z104" s="140">
        <f>-IF(Z$5&gt;Leadsheet!$E$12,0,Leadsheet!$E81*SAP_Speadsheet!Z$93*Y$16)</f>
        <v>0</v>
      </c>
      <c r="AA104" s="140">
        <f>-IF(AA$5&gt;Leadsheet!$E$12,0,Leadsheet!$E81*SAP_Speadsheet!AA$93*Z$16)</f>
        <v>0</v>
      </c>
      <c r="AB104" s="140">
        <f>-IF(AB$5&gt;Leadsheet!$E$12,0,Leadsheet!$E81*SAP_Speadsheet!AB$93*AA$16)</f>
        <v>0</v>
      </c>
      <c r="AC104" s="140">
        <f>-IF(AC$5&gt;Leadsheet!$E$12,0,Leadsheet!$E81*SAP_Speadsheet!AC$93*AB$16)</f>
        <v>0</v>
      </c>
      <c r="AD104" s="140">
        <f>-IF(AD$5&gt;Leadsheet!$E$12,0,Leadsheet!$E81*SAP_Speadsheet!AD$93*AC$16)</f>
        <v>0</v>
      </c>
      <c r="AE104" s="140">
        <f>-IF(AE$5&gt;Leadsheet!$E$12,0,Leadsheet!$E81*SAP_Speadsheet!AE$93*AD$16)</f>
        <v>0</v>
      </c>
      <c r="AF104" s="140">
        <f>-IF(AF$5&gt;Leadsheet!$E$12,0,Leadsheet!$E81*SAP_Speadsheet!AF$93*AE$16)</f>
        <v>0</v>
      </c>
      <c r="AG104" s="140">
        <f>-IF(AG$5&gt;Leadsheet!$E$12,0,Leadsheet!$E81*SAP_Speadsheet!AG$93*AF$16)</f>
        <v>0</v>
      </c>
      <c r="AH104" s="140">
        <f>-IF(AH$5&gt;Leadsheet!$E$12,0,Leadsheet!$E81*SAP_Speadsheet!AH$93*AG$16)</f>
        <v>0</v>
      </c>
      <c r="AI104" s="140">
        <f>-IF(AI$5&gt;Leadsheet!$E$12,0,Leadsheet!$E81*SAP_Speadsheet!AI$93*AH$16)</f>
        <v>0</v>
      </c>
      <c r="AJ104" s="140">
        <f>-IF(AJ$5&gt;Leadsheet!$E$12,0,Leadsheet!$E81*SAP_Speadsheet!AJ$93*AI$16)</f>
        <v>0</v>
      </c>
      <c r="AK104" s="140">
        <f>-IF(AK$5&gt;Leadsheet!$E$12,0,Leadsheet!$E81*SAP_Speadsheet!AK$93*AJ$16)</f>
        <v>0</v>
      </c>
      <c r="AL104" s="140">
        <f>-IF(AL$5&gt;Leadsheet!$E$12,0,Leadsheet!$E81*SAP_Speadsheet!AL$93*AK$16)</f>
        <v>0</v>
      </c>
      <c r="AM104" s="140">
        <f>-IF(AM$5&gt;Leadsheet!$E$12,0,Leadsheet!$E81*SAP_Speadsheet!AM$93*AL$16)</f>
        <v>0</v>
      </c>
      <c r="AN104" s="140">
        <f>-IF(AN$5&gt;Leadsheet!$E$12,0,Leadsheet!$E81*SAP_Speadsheet!AN$93*AM$16)</f>
        <v>0</v>
      </c>
      <c r="AO104" s="140">
        <f>-IF(AO$5&gt;Leadsheet!$E$12,0,Leadsheet!$E81*SAP_Speadsheet!AO$93*AN$16)</f>
        <v>0</v>
      </c>
      <c r="AP104" s="140">
        <f>-IF(AP$5&gt;Leadsheet!$E$12,0,Leadsheet!$E81*SAP_Speadsheet!AP$93*AO$16)</f>
        <v>0</v>
      </c>
      <c r="AQ104" s="140">
        <f>-IF(AQ$5&gt;Leadsheet!$E$12,0,Leadsheet!$E81*SAP_Speadsheet!AQ$93*AP$16)</f>
        <v>0</v>
      </c>
      <c r="AR104" s="140">
        <f>-IF(AR$5&gt;Leadsheet!$E$12,0,Leadsheet!$E81*SAP_Speadsheet!AR$93*AQ$16)</f>
        <v>0</v>
      </c>
      <c r="AS104" s="140">
        <f>-IF(AS$5&gt;Leadsheet!$E$12,0,Leadsheet!$E81*SAP_Speadsheet!AS$93*AR$16)</f>
        <v>0</v>
      </c>
      <c r="AT104" s="140">
        <f>-IF(AT$5&gt;Leadsheet!$E$12,0,Leadsheet!$E81*SAP_Speadsheet!AT$93*AS$16)</f>
        <v>0</v>
      </c>
      <c r="AU104" s="140">
        <f>-IF(AU$5&gt;Leadsheet!$E$12,0,Leadsheet!$E81*SAP_Speadsheet!AU$93*AT$16)</f>
        <v>0</v>
      </c>
      <c r="AV104" s="140">
        <f>-IF(AV$5&gt;Leadsheet!$E$12,0,Leadsheet!$E81*SAP_Speadsheet!AV$93*AU$16)</f>
        <v>0</v>
      </c>
      <c r="AW104" s="140">
        <f>-IF(AW$5&gt;Leadsheet!$E$12,0,Leadsheet!$E81*SAP_Speadsheet!AW$93*AV$16)</f>
        <v>0</v>
      </c>
      <c r="AX104" s="140">
        <f>-IF(AX$5&gt;Leadsheet!$E$12,0,Leadsheet!$E81*SAP_Speadsheet!AX$93*AW$16)</f>
        <v>0</v>
      </c>
      <c r="AY104" s="140">
        <f>-IF(AY$5&gt;Leadsheet!$E$12,0,Leadsheet!$E81*SAP_Speadsheet!AY$93*AX$16)</f>
        <v>0</v>
      </c>
      <c r="AZ104" s="140">
        <f>-IF(AZ$5&gt;Leadsheet!$E$12,0,Leadsheet!$E81*SAP_Speadsheet!AZ$93*AY$16)</f>
        <v>0</v>
      </c>
      <c r="BA104" s="140">
        <f>-IF(BA$5&gt;Leadsheet!$E$12,0,Leadsheet!$E81*SAP_Speadsheet!BA$93*AZ$16)</f>
        <v>0</v>
      </c>
      <c r="BB104" s="140">
        <f>-IF(BB$5&gt;Leadsheet!$E$12,0,Leadsheet!$E81*SAP_Speadsheet!BB$93*BA$16)</f>
        <v>0</v>
      </c>
      <c r="BC104" s="140">
        <f>-IF(BC$5&gt;Leadsheet!$E$12,0,Leadsheet!$E81*SAP_Speadsheet!BC$93*BB$16)</f>
        <v>0</v>
      </c>
      <c r="BD104" s="140">
        <f>-IF(BD$5&gt;Leadsheet!$E$12,0,Leadsheet!$E81*SAP_Speadsheet!BD$93*BC$16)</f>
        <v>0</v>
      </c>
      <c r="BE104" s="140">
        <f>-IF(BE$5&gt;Leadsheet!$E$12,0,Leadsheet!$E81*SAP_Speadsheet!BE$93*BD$16)</f>
        <v>0</v>
      </c>
      <c r="BF104" s="140">
        <f>-IF(BF$5&gt;Leadsheet!$E$12,0,Leadsheet!$E81*SAP_Speadsheet!BF$93*BE$16)</f>
        <v>0</v>
      </c>
      <c r="BG104" s="140">
        <f>-IF(BG$5&gt;Leadsheet!$E$12,0,Leadsheet!$E81*SAP_Speadsheet!BG$93*BF$16)</f>
        <v>0</v>
      </c>
      <c r="BH104" s="140">
        <f>-IF(BH$5&gt;Leadsheet!$E$12,0,Leadsheet!$E81*SAP_Speadsheet!BH$93*BG$16)</f>
        <v>0</v>
      </c>
      <c r="BI104" s="140">
        <f>-IF(BI$5&gt;Leadsheet!$E$12,0,Leadsheet!$E81*SAP_Speadsheet!BI$93*BH$16)</f>
        <v>0</v>
      </c>
      <c r="BJ104" s="140">
        <f>-IF(BJ$5&gt;Leadsheet!$E$12,0,Leadsheet!$E81*SAP_Speadsheet!BJ$93*BI$16)</f>
        <v>0</v>
      </c>
      <c r="BK104" s="140">
        <f>-IF(BK$5&gt;Leadsheet!$E$12,0,Leadsheet!$E81*SAP_Speadsheet!BK$93*BJ$16)</f>
        <v>0</v>
      </c>
      <c r="BL104" s="140">
        <f>-IF(BL$5&gt;Leadsheet!$E$12,0,Leadsheet!$E81*SAP_Speadsheet!BL$93*BK$16)</f>
        <v>0</v>
      </c>
    </row>
    <row r="105" spans="1:64" x14ac:dyDescent="0.15">
      <c r="C105" s="84" t="s">
        <v>141</v>
      </c>
      <c r="E105" s="140">
        <f>-IF(E$5&gt;Leadsheet!$E$12,0,Leadsheet!$E82*SAP_Speadsheet!E$93*D$16)</f>
        <v>-2.4318660235886368E-2</v>
      </c>
      <c r="F105" s="140">
        <f>-IF(F$5&gt;Leadsheet!$E$12,0,Leadsheet!$E82*SAP_Speadsheet!F$93*E$16)</f>
        <v>-2.237316741701546E-2</v>
      </c>
      <c r="G105" s="140">
        <f>-IF(G$5&gt;Leadsheet!$E$12,0,Leadsheet!$E82*SAP_Speadsheet!G$93*F$16)</f>
        <v>-2.0914047802862278E-2</v>
      </c>
      <c r="H105" s="140">
        <f>-IF(H$5&gt;Leadsheet!$E$12,0,Leadsheet!$E82*SAP_Speadsheet!H$93*G$16)</f>
        <v>-1.9454928188709097E-2</v>
      </c>
      <c r="I105" s="140">
        <f>-IF(I$5&gt;Leadsheet!$E$12,0,Leadsheet!$E82*SAP_Speadsheet!I$93*H$16)</f>
        <v>-1.8846961682811934E-2</v>
      </c>
      <c r="J105" s="140">
        <f>-IF(J$5&gt;Leadsheet!$E$12,0,Leadsheet!$E82*SAP_Speadsheet!J$93*I$16)</f>
        <v>-1.8238995176914775E-2</v>
      </c>
      <c r="K105" s="140">
        <f>-IF(K$5&gt;Leadsheet!$E$12,0,Leadsheet!$E82*SAP_Speadsheet!K$93*J$16)</f>
        <v>-1.7631028671017616E-2</v>
      </c>
      <c r="L105" s="140">
        <f>-IF(L$5&gt;Leadsheet!$E$12,0,Leadsheet!$E82*SAP_Speadsheet!L$93*K$16)</f>
        <v>-1.7023062165120458E-2</v>
      </c>
      <c r="M105" s="140">
        <f>-IF(M$5&gt;Leadsheet!$E$12,0,Leadsheet!$E82*SAP_Speadsheet!M$93*L$16)</f>
        <v>-1.6415095659223299E-2</v>
      </c>
      <c r="N105" s="140">
        <f>-IF(N$5&gt;Leadsheet!$E$12,0,Leadsheet!$E82*SAP_Speadsheet!N$93*M$16)</f>
        <v>-1.5807129153326136E-2</v>
      </c>
      <c r="O105" s="140">
        <f>-IF(O$5&gt;Leadsheet!$E$12,0,Leadsheet!$E82*SAP_Speadsheet!O$93*N$16)</f>
        <v>-1.5199162647428977E-2</v>
      </c>
      <c r="P105" s="140">
        <f>-IF(P$5&gt;Leadsheet!$E$12,0,Leadsheet!$E82*SAP_Speadsheet!P$93*O$16)</f>
        <v>-1.5101888006485431E-2</v>
      </c>
      <c r="Q105" s="140">
        <f>-IF(Q$5&gt;Leadsheet!$E$12,0,Leadsheet!$E82*SAP_Speadsheet!Q$93*P$16)</f>
        <v>-1.4472642672881871E-2</v>
      </c>
      <c r="R105" s="140">
        <f>-IF(R$5&gt;Leadsheet!$E$12,0,Leadsheet!$E82*SAP_Speadsheet!R$93*Q$16)</f>
        <v>-1.3843397339278311E-2</v>
      </c>
      <c r="S105" s="140">
        <f>-IF(S$5&gt;Leadsheet!$E$12,0,Leadsheet!$E82*SAP_Speadsheet!S$93*R$16)</f>
        <v>-1.321415200567475E-2</v>
      </c>
      <c r="T105" s="140">
        <f>-IF(T$5&gt;Leadsheet!$E$12,0,Leadsheet!$E82*SAP_Speadsheet!T$93*S$16)</f>
        <v>-1.321415200567475E-2</v>
      </c>
      <c r="U105" s="140">
        <f>-IF(U$5&gt;Leadsheet!$E$12,0,Leadsheet!$E82*SAP_Speadsheet!U$93*T$16)</f>
        <v>0</v>
      </c>
      <c r="V105" s="140">
        <f>-IF(V$5&gt;Leadsheet!$E$12,0,Leadsheet!$E82*SAP_Speadsheet!V$93*U$16)</f>
        <v>0</v>
      </c>
      <c r="W105" s="140">
        <f>-IF(W$5&gt;Leadsheet!$E$12,0,Leadsheet!$E82*SAP_Speadsheet!W$93*V$16)</f>
        <v>0</v>
      </c>
      <c r="X105" s="140">
        <f>-IF(X$5&gt;Leadsheet!$E$12,0,Leadsheet!$E82*SAP_Speadsheet!X$93*W$16)</f>
        <v>0</v>
      </c>
      <c r="Y105" s="140">
        <f>-IF(Y$5&gt;Leadsheet!$E$12,0,Leadsheet!$E82*SAP_Speadsheet!Y$93*X$16)</f>
        <v>0</v>
      </c>
      <c r="Z105" s="140">
        <f>-IF(Z$5&gt;Leadsheet!$E$12,0,Leadsheet!$E82*SAP_Speadsheet!Z$93*Y$16)</f>
        <v>0</v>
      </c>
      <c r="AA105" s="140">
        <f>-IF(AA$5&gt;Leadsheet!$E$12,0,Leadsheet!$E82*SAP_Speadsheet!AA$93*Z$16)</f>
        <v>0</v>
      </c>
      <c r="AB105" s="140">
        <f>-IF(AB$5&gt;Leadsheet!$E$12,0,Leadsheet!$E82*SAP_Speadsheet!AB$93*AA$16)</f>
        <v>0</v>
      </c>
      <c r="AC105" s="140">
        <f>-IF(AC$5&gt;Leadsheet!$E$12,0,Leadsheet!$E82*SAP_Speadsheet!AC$93*AB$16)</f>
        <v>0</v>
      </c>
      <c r="AD105" s="140">
        <f>-IF(AD$5&gt;Leadsheet!$E$12,0,Leadsheet!$E82*SAP_Speadsheet!AD$93*AC$16)</f>
        <v>0</v>
      </c>
      <c r="AE105" s="140">
        <f>-IF(AE$5&gt;Leadsheet!$E$12,0,Leadsheet!$E82*SAP_Speadsheet!AE$93*AD$16)</f>
        <v>0</v>
      </c>
      <c r="AF105" s="140">
        <f>-IF(AF$5&gt;Leadsheet!$E$12,0,Leadsheet!$E82*SAP_Speadsheet!AF$93*AE$16)</f>
        <v>0</v>
      </c>
      <c r="AG105" s="140">
        <f>-IF(AG$5&gt;Leadsheet!$E$12,0,Leadsheet!$E82*SAP_Speadsheet!AG$93*AF$16)</f>
        <v>0</v>
      </c>
      <c r="AH105" s="140">
        <f>-IF(AH$5&gt;Leadsheet!$E$12,0,Leadsheet!$E82*SAP_Speadsheet!AH$93*AG$16)</f>
        <v>0</v>
      </c>
      <c r="AI105" s="140">
        <f>-IF(AI$5&gt;Leadsheet!$E$12,0,Leadsheet!$E82*SAP_Speadsheet!AI$93*AH$16)</f>
        <v>0</v>
      </c>
      <c r="AJ105" s="140">
        <f>-IF(AJ$5&gt;Leadsheet!$E$12,0,Leadsheet!$E82*SAP_Speadsheet!AJ$93*AI$16)</f>
        <v>0</v>
      </c>
      <c r="AK105" s="140">
        <f>-IF(AK$5&gt;Leadsheet!$E$12,0,Leadsheet!$E82*SAP_Speadsheet!AK$93*AJ$16)</f>
        <v>0</v>
      </c>
      <c r="AL105" s="140">
        <f>-IF(AL$5&gt;Leadsheet!$E$12,0,Leadsheet!$E82*SAP_Speadsheet!AL$93*AK$16)</f>
        <v>0</v>
      </c>
      <c r="AM105" s="140">
        <f>-IF(AM$5&gt;Leadsheet!$E$12,0,Leadsheet!$E82*SAP_Speadsheet!AM$93*AL$16)</f>
        <v>0</v>
      </c>
      <c r="AN105" s="140">
        <f>-IF(AN$5&gt;Leadsheet!$E$12,0,Leadsheet!$E82*SAP_Speadsheet!AN$93*AM$16)</f>
        <v>0</v>
      </c>
      <c r="AO105" s="140">
        <f>-IF(AO$5&gt;Leadsheet!$E$12,0,Leadsheet!$E82*SAP_Speadsheet!AO$93*AN$16)</f>
        <v>0</v>
      </c>
      <c r="AP105" s="140">
        <f>-IF(AP$5&gt;Leadsheet!$E$12,0,Leadsheet!$E82*SAP_Speadsheet!AP$93*AO$16)</f>
        <v>0</v>
      </c>
      <c r="AQ105" s="140">
        <f>-IF(AQ$5&gt;Leadsheet!$E$12,0,Leadsheet!$E82*SAP_Speadsheet!AQ$93*AP$16)</f>
        <v>0</v>
      </c>
      <c r="AR105" s="140">
        <f>-IF(AR$5&gt;Leadsheet!$E$12,0,Leadsheet!$E82*SAP_Speadsheet!AR$93*AQ$16)</f>
        <v>0</v>
      </c>
      <c r="AS105" s="140">
        <f>-IF(AS$5&gt;Leadsheet!$E$12,0,Leadsheet!$E82*SAP_Speadsheet!AS$93*AR$16)</f>
        <v>0</v>
      </c>
      <c r="AT105" s="140">
        <f>-IF(AT$5&gt;Leadsheet!$E$12,0,Leadsheet!$E82*SAP_Speadsheet!AT$93*AS$16)</f>
        <v>0</v>
      </c>
      <c r="AU105" s="140">
        <f>-IF(AU$5&gt;Leadsheet!$E$12,0,Leadsheet!$E82*SAP_Speadsheet!AU$93*AT$16)</f>
        <v>0</v>
      </c>
      <c r="AV105" s="140">
        <f>-IF(AV$5&gt;Leadsheet!$E$12,0,Leadsheet!$E82*SAP_Speadsheet!AV$93*AU$16)</f>
        <v>0</v>
      </c>
      <c r="AW105" s="140">
        <f>-IF(AW$5&gt;Leadsheet!$E$12,0,Leadsheet!$E82*SAP_Speadsheet!AW$93*AV$16)</f>
        <v>0</v>
      </c>
      <c r="AX105" s="140">
        <f>-IF(AX$5&gt;Leadsheet!$E$12,0,Leadsheet!$E82*SAP_Speadsheet!AX$93*AW$16)</f>
        <v>0</v>
      </c>
      <c r="AY105" s="140">
        <f>-IF(AY$5&gt;Leadsheet!$E$12,0,Leadsheet!$E82*SAP_Speadsheet!AY$93*AX$16)</f>
        <v>0</v>
      </c>
      <c r="AZ105" s="140">
        <f>-IF(AZ$5&gt;Leadsheet!$E$12,0,Leadsheet!$E82*SAP_Speadsheet!AZ$93*AY$16)</f>
        <v>0</v>
      </c>
      <c r="BA105" s="140">
        <f>-IF(BA$5&gt;Leadsheet!$E$12,0,Leadsheet!$E82*SAP_Speadsheet!BA$93*AZ$16)</f>
        <v>0</v>
      </c>
      <c r="BB105" s="140">
        <f>-IF(BB$5&gt;Leadsheet!$E$12,0,Leadsheet!$E82*SAP_Speadsheet!BB$93*BA$16)</f>
        <v>0</v>
      </c>
      <c r="BC105" s="140">
        <f>-IF(BC$5&gt;Leadsheet!$E$12,0,Leadsheet!$E82*SAP_Speadsheet!BC$93*BB$16)</f>
        <v>0</v>
      </c>
      <c r="BD105" s="140">
        <f>-IF(BD$5&gt;Leadsheet!$E$12,0,Leadsheet!$E82*SAP_Speadsheet!BD$93*BC$16)</f>
        <v>0</v>
      </c>
      <c r="BE105" s="140">
        <f>-IF(BE$5&gt;Leadsheet!$E$12,0,Leadsheet!$E82*SAP_Speadsheet!BE$93*BD$16)</f>
        <v>0</v>
      </c>
      <c r="BF105" s="140">
        <f>-IF(BF$5&gt;Leadsheet!$E$12,0,Leadsheet!$E82*SAP_Speadsheet!BF$93*BE$16)</f>
        <v>0</v>
      </c>
      <c r="BG105" s="140">
        <f>-IF(BG$5&gt;Leadsheet!$E$12,0,Leadsheet!$E82*SAP_Speadsheet!BG$93*BF$16)</f>
        <v>0</v>
      </c>
      <c r="BH105" s="140">
        <f>-IF(BH$5&gt;Leadsheet!$E$12,0,Leadsheet!$E82*SAP_Speadsheet!BH$93*BG$16)</f>
        <v>0</v>
      </c>
      <c r="BI105" s="140">
        <f>-IF(BI$5&gt;Leadsheet!$E$12,0,Leadsheet!$E82*SAP_Speadsheet!BI$93*BH$16)</f>
        <v>0</v>
      </c>
      <c r="BJ105" s="140">
        <f>-IF(BJ$5&gt;Leadsheet!$E$12,0,Leadsheet!$E82*SAP_Speadsheet!BJ$93*BI$16)</f>
        <v>0</v>
      </c>
      <c r="BK105" s="140">
        <f>-IF(BK$5&gt;Leadsheet!$E$12,0,Leadsheet!$E82*SAP_Speadsheet!BK$93*BJ$16)</f>
        <v>0</v>
      </c>
      <c r="BL105" s="140">
        <f>-IF(BL$5&gt;Leadsheet!$E$12,0,Leadsheet!$E82*SAP_Speadsheet!BL$93*BK$16)</f>
        <v>0</v>
      </c>
    </row>
    <row r="106" spans="1:64" x14ac:dyDescent="0.15">
      <c r="C106" s="84" t="s">
        <v>143</v>
      </c>
      <c r="E106" s="140">
        <f>-IF(E$5&gt;Leadsheet!$E$12,0,Leadsheet!$E83*SAP_Speadsheet!E$93*D$16)</f>
        <v>-1.1666441173288321E-2</v>
      </c>
      <c r="F106" s="140">
        <f>-IF(F$5&gt;Leadsheet!$E$12,0,Leadsheet!$E83*SAP_Speadsheet!F$93*E$16)</f>
        <v>-1.0733125879425256E-2</v>
      </c>
      <c r="G106" s="140">
        <f>-IF(G$5&gt;Leadsheet!$E$12,0,Leadsheet!$E83*SAP_Speadsheet!G$93*F$16)</f>
        <v>-1.0033139409027957E-2</v>
      </c>
      <c r="H106" s="140">
        <f>-IF(H$5&gt;Leadsheet!$E$12,0,Leadsheet!$E83*SAP_Speadsheet!H$93*G$16)</f>
        <v>-9.3331529386306566E-3</v>
      </c>
      <c r="I106" s="140">
        <f>-IF(I$5&gt;Leadsheet!$E$12,0,Leadsheet!$E83*SAP_Speadsheet!I$93*H$16)</f>
        <v>-9.0414919092984495E-3</v>
      </c>
      <c r="J106" s="140">
        <f>-IF(J$5&gt;Leadsheet!$E$12,0,Leadsheet!$E83*SAP_Speadsheet!J$93*I$16)</f>
        <v>-8.7498308799662406E-3</v>
      </c>
      <c r="K106" s="140">
        <f>-IF(K$5&gt;Leadsheet!$E$12,0,Leadsheet!$E83*SAP_Speadsheet!K$93*J$16)</f>
        <v>-8.4581698506340317E-3</v>
      </c>
      <c r="L106" s="140">
        <f>-IF(L$5&gt;Leadsheet!$E$12,0,Leadsheet!$E83*SAP_Speadsheet!L$93*K$16)</f>
        <v>-8.1665088213018246E-3</v>
      </c>
      <c r="M106" s="140">
        <f>-IF(M$5&gt;Leadsheet!$E$12,0,Leadsheet!$E83*SAP_Speadsheet!M$93*L$16)</f>
        <v>-7.8748477919696157E-3</v>
      </c>
      <c r="N106" s="140">
        <f>-IF(N$5&gt;Leadsheet!$E$12,0,Leadsheet!$E83*SAP_Speadsheet!N$93*M$16)</f>
        <v>-7.5831867626374077E-3</v>
      </c>
      <c r="O106" s="140">
        <f>-IF(O$5&gt;Leadsheet!$E$12,0,Leadsheet!$E83*SAP_Speadsheet!O$93*N$16)</f>
        <v>-7.2915257333051996E-3</v>
      </c>
      <c r="P106" s="140">
        <f>-IF(P$5&gt;Leadsheet!$E$12,0,Leadsheet!$E83*SAP_Speadsheet!P$93*O$16)</f>
        <v>-7.2448599686120449E-3</v>
      </c>
      <c r="Q106" s="140">
        <f>-IF(Q$5&gt;Leadsheet!$E$12,0,Leadsheet!$E83*SAP_Speadsheet!Q$93*P$16)</f>
        <v>-6.9429908032532092E-3</v>
      </c>
      <c r="R106" s="140">
        <f>-IF(R$5&gt;Leadsheet!$E$12,0,Leadsheet!$E83*SAP_Speadsheet!R$93*Q$16)</f>
        <v>-6.6411216378943734E-3</v>
      </c>
      <c r="S106" s="140">
        <f>-IF(S$5&gt;Leadsheet!$E$12,0,Leadsheet!$E83*SAP_Speadsheet!S$93*R$16)</f>
        <v>-6.3392524725355386E-3</v>
      </c>
      <c r="T106" s="140">
        <f>-IF(T$5&gt;Leadsheet!$E$12,0,Leadsheet!$E83*SAP_Speadsheet!T$93*S$16)</f>
        <v>-6.3392524725355386E-3</v>
      </c>
      <c r="U106" s="140">
        <f>-IF(U$5&gt;Leadsheet!$E$12,0,Leadsheet!$E83*SAP_Speadsheet!U$93*T$16)</f>
        <v>0</v>
      </c>
      <c r="V106" s="140">
        <f>-IF(V$5&gt;Leadsheet!$E$12,0,Leadsheet!$E83*SAP_Speadsheet!V$93*U$16)</f>
        <v>0</v>
      </c>
      <c r="W106" s="140">
        <f>-IF(W$5&gt;Leadsheet!$E$12,0,Leadsheet!$E83*SAP_Speadsheet!W$93*V$16)</f>
        <v>0</v>
      </c>
      <c r="X106" s="140">
        <f>-IF(X$5&gt;Leadsheet!$E$12,0,Leadsheet!$E83*SAP_Speadsheet!X$93*W$16)</f>
        <v>0</v>
      </c>
      <c r="Y106" s="140">
        <f>-IF(Y$5&gt;Leadsheet!$E$12,0,Leadsheet!$E83*SAP_Speadsheet!Y$93*X$16)</f>
        <v>0</v>
      </c>
      <c r="Z106" s="140">
        <f>-IF(Z$5&gt;Leadsheet!$E$12,0,Leadsheet!$E83*SAP_Speadsheet!Z$93*Y$16)</f>
        <v>0</v>
      </c>
      <c r="AA106" s="140">
        <f>-IF(AA$5&gt;Leadsheet!$E$12,0,Leadsheet!$E83*SAP_Speadsheet!AA$93*Z$16)</f>
        <v>0</v>
      </c>
      <c r="AB106" s="140">
        <f>-IF(AB$5&gt;Leadsheet!$E$12,0,Leadsheet!$E83*SAP_Speadsheet!AB$93*AA$16)</f>
        <v>0</v>
      </c>
      <c r="AC106" s="140">
        <f>-IF(AC$5&gt;Leadsheet!$E$12,0,Leadsheet!$E83*SAP_Speadsheet!AC$93*AB$16)</f>
        <v>0</v>
      </c>
      <c r="AD106" s="140">
        <f>-IF(AD$5&gt;Leadsheet!$E$12,0,Leadsheet!$E83*SAP_Speadsheet!AD$93*AC$16)</f>
        <v>0</v>
      </c>
      <c r="AE106" s="140">
        <f>-IF(AE$5&gt;Leadsheet!$E$12,0,Leadsheet!$E83*SAP_Speadsheet!AE$93*AD$16)</f>
        <v>0</v>
      </c>
      <c r="AF106" s="140">
        <f>-IF(AF$5&gt;Leadsheet!$E$12,0,Leadsheet!$E83*SAP_Speadsheet!AF$93*AE$16)</f>
        <v>0</v>
      </c>
      <c r="AG106" s="140">
        <f>-IF(AG$5&gt;Leadsheet!$E$12,0,Leadsheet!$E83*SAP_Speadsheet!AG$93*AF$16)</f>
        <v>0</v>
      </c>
      <c r="AH106" s="140">
        <f>-IF(AH$5&gt;Leadsheet!$E$12,0,Leadsheet!$E83*SAP_Speadsheet!AH$93*AG$16)</f>
        <v>0</v>
      </c>
      <c r="AI106" s="140">
        <f>-IF(AI$5&gt;Leadsheet!$E$12,0,Leadsheet!$E83*SAP_Speadsheet!AI$93*AH$16)</f>
        <v>0</v>
      </c>
      <c r="AJ106" s="140">
        <f>-IF(AJ$5&gt;Leadsheet!$E$12,0,Leadsheet!$E83*SAP_Speadsheet!AJ$93*AI$16)</f>
        <v>0</v>
      </c>
      <c r="AK106" s="140">
        <f>-IF(AK$5&gt;Leadsheet!$E$12,0,Leadsheet!$E83*SAP_Speadsheet!AK$93*AJ$16)</f>
        <v>0</v>
      </c>
      <c r="AL106" s="140">
        <f>-IF(AL$5&gt;Leadsheet!$E$12,0,Leadsheet!$E83*SAP_Speadsheet!AL$93*AK$16)</f>
        <v>0</v>
      </c>
      <c r="AM106" s="140">
        <f>-IF(AM$5&gt;Leadsheet!$E$12,0,Leadsheet!$E83*SAP_Speadsheet!AM$93*AL$16)</f>
        <v>0</v>
      </c>
      <c r="AN106" s="140">
        <f>-IF(AN$5&gt;Leadsheet!$E$12,0,Leadsheet!$E83*SAP_Speadsheet!AN$93*AM$16)</f>
        <v>0</v>
      </c>
      <c r="AO106" s="140">
        <f>-IF(AO$5&gt;Leadsheet!$E$12,0,Leadsheet!$E83*SAP_Speadsheet!AO$93*AN$16)</f>
        <v>0</v>
      </c>
      <c r="AP106" s="140">
        <f>-IF(AP$5&gt;Leadsheet!$E$12,0,Leadsheet!$E83*SAP_Speadsheet!AP$93*AO$16)</f>
        <v>0</v>
      </c>
      <c r="AQ106" s="140">
        <f>-IF(AQ$5&gt;Leadsheet!$E$12,0,Leadsheet!$E83*SAP_Speadsheet!AQ$93*AP$16)</f>
        <v>0</v>
      </c>
      <c r="AR106" s="140">
        <f>-IF(AR$5&gt;Leadsheet!$E$12,0,Leadsheet!$E83*SAP_Speadsheet!AR$93*AQ$16)</f>
        <v>0</v>
      </c>
      <c r="AS106" s="140">
        <f>-IF(AS$5&gt;Leadsheet!$E$12,0,Leadsheet!$E83*SAP_Speadsheet!AS$93*AR$16)</f>
        <v>0</v>
      </c>
      <c r="AT106" s="140">
        <f>-IF(AT$5&gt;Leadsheet!$E$12,0,Leadsheet!$E83*SAP_Speadsheet!AT$93*AS$16)</f>
        <v>0</v>
      </c>
      <c r="AU106" s="140">
        <f>-IF(AU$5&gt;Leadsheet!$E$12,0,Leadsheet!$E83*SAP_Speadsheet!AU$93*AT$16)</f>
        <v>0</v>
      </c>
      <c r="AV106" s="140">
        <f>-IF(AV$5&gt;Leadsheet!$E$12,0,Leadsheet!$E83*SAP_Speadsheet!AV$93*AU$16)</f>
        <v>0</v>
      </c>
      <c r="AW106" s="140">
        <f>-IF(AW$5&gt;Leadsheet!$E$12,0,Leadsheet!$E83*SAP_Speadsheet!AW$93*AV$16)</f>
        <v>0</v>
      </c>
      <c r="AX106" s="140">
        <f>-IF(AX$5&gt;Leadsheet!$E$12,0,Leadsheet!$E83*SAP_Speadsheet!AX$93*AW$16)</f>
        <v>0</v>
      </c>
      <c r="AY106" s="140">
        <f>-IF(AY$5&gt;Leadsheet!$E$12,0,Leadsheet!$E83*SAP_Speadsheet!AY$93*AX$16)</f>
        <v>0</v>
      </c>
      <c r="AZ106" s="140">
        <f>-IF(AZ$5&gt;Leadsheet!$E$12,0,Leadsheet!$E83*SAP_Speadsheet!AZ$93*AY$16)</f>
        <v>0</v>
      </c>
      <c r="BA106" s="140">
        <f>-IF(BA$5&gt;Leadsheet!$E$12,0,Leadsheet!$E83*SAP_Speadsheet!BA$93*AZ$16)</f>
        <v>0</v>
      </c>
      <c r="BB106" s="140">
        <f>-IF(BB$5&gt;Leadsheet!$E$12,0,Leadsheet!$E83*SAP_Speadsheet!BB$93*BA$16)</f>
        <v>0</v>
      </c>
      <c r="BC106" s="140">
        <f>-IF(BC$5&gt;Leadsheet!$E$12,0,Leadsheet!$E83*SAP_Speadsheet!BC$93*BB$16)</f>
        <v>0</v>
      </c>
      <c r="BD106" s="140">
        <f>-IF(BD$5&gt;Leadsheet!$E$12,0,Leadsheet!$E83*SAP_Speadsheet!BD$93*BC$16)</f>
        <v>0</v>
      </c>
      <c r="BE106" s="140">
        <f>-IF(BE$5&gt;Leadsheet!$E$12,0,Leadsheet!$E83*SAP_Speadsheet!BE$93*BD$16)</f>
        <v>0</v>
      </c>
      <c r="BF106" s="140">
        <f>-IF(BF$5&gt;Leadsheet!$E$12,0,Leadsheet!$E83*SAP_Speadsheet!BF$93*BE$16)</f>
        <v>0</v>
      </c>
      <c r="BG106" s="140">
        <f>-IF(BG$5&gt;Leadsheet!$E$12,0,Leadsheet!$E83*SAP_Speadsheet!BG$93*BF$16)</f>
        <v>0</v>
      </c>
      <c r="BH106" s="140">
        <f>-IF(BH$5&gt;Leadsheet!$E$12,0,Leadsheet!$E83*SAP_Speadsheet!BH$93*BG$16)</f>
        <v>0</v>
      </c>
      <c r="BI106" s="140">
        <f>-IF(BI$5&gt;Leadsheet!$E$12,0,Leadsheet!$E83*SAP_Speadsheet!BI$93*BH$16)</f>
        <v>0</v>
      </c>
      <c r="BJ106" s="140">
        <f>-IF(BJ$5&gt;Leadsheet!$E$12,0,Leadsheet!$E83*SAP_Speadsheet!BJ$93*BI$16)</f>
        <v>0</v>
      </c>
      <c r="BK106" s="140">
        <f>-IF(BK$5&gt;Leadsheet!$E$12,0,Leadsheet!$E83*SAP_Speadsheet!BK$93*BJ$16)</f>
        <v>0</v>
      </c>
      <c r="BL106" s="140">
        <f>-IF(BL$5&gt;Leadsheet!$E$12,0,Leadsheet!$E83*SAP_Speadsheet!BL$93*BK$16)</f>
        <v>0</v>
      </c>
    </row>
    <row r="107" spans="1:64" x14ac:dyDescent="0.15">
      <c r="C107" s="84" t="s">
        <v>235</v>
      </c>
      <c r="E107" s="140">
        <f>-IF(E$5&gt;Leadsheet!$E$12,0,Leadsheet!$E84*SAP_Speadsheet!E$93*D$16)</f>
        <v>-1.1729348343550017E-2</v>
      </c>
      <c r="F107" s="140">
        <f>-IF(F$5&gt;Leadsheet!$E$12,0,Leadsheet!$E84*SAP_Speadsheet!F$93*E$16)</f>
        <v>-1.0791000476066017E-2</v>
      </c>
      <c r="G107" s="140">
        <f>-IF(G$5&gt;Leadsheet!$E$12,0,Leadsheet!$E84*SAP_Speadsheet!G$93*F$16)</f>
        <v>-1.0087239575453016E-2</v>
      </c>
      <c r="H107" s="140">
        <f>-IF(H$5&gt;Leadsheet!$E$12,0,Leadsheet!$E84*SAP_Speadsheet!H$93*G$16)</f>
        <v>-9.3834786748400144E-3</v>
      </c>
      <c r="I107" s="140">
        <f>-IF(I$5&gt;Leadsheet!$E$12,0,Leadsheet!$E84*SAP_Speadsheet!I$93*H$16)</f>
        <v>-9.0902449662512638E-3</v>
      </c>
      <c r="J107" s="140">
        <f>-IF(J$5&gt;Leadsheet!$E$12,0,Leadsheet!$E84*SAP_Speadsheet!J$93*I$16)</f>
        <v>-8.7970112576625133E-3</v>
      </c>
      <c r="K107" s="140">
        <f>-IF(K$5&gt;Leadsheet!$E$12,0,Leadsheet!$E84*SAP_Speadsheet!K$93*J$16)</f>
        <v>-8.5037775490737627E-3</v>
      </c>
      <c r="L107" s="140">
        <f>-IF(L$5&gt;Leadsheet!$E$12,0,Leadsheet!$E84*SAP_Speadsheet!L$93*K$16)</f>
        <v>-8.2105438404850122E-3</v>
      </c>
      <c r="M107" s="140">
        <f>-IF(M$5&gt;Leadsheet!$E$12,0,Leadsheet!$E84*SAP_Speadsheet!M$93*L$16)</f>
        <v>-7.9173101318962616E-3</v>
      </c>
      <c r="N107" s="140">
        <f>-IF(N$5&gt;Leadsheet!$E$12,0,Leadsheet!$E84*SAP_Speadsheet!N$93*M$16)</f>
        <v>-7.6240764233075102E-3</v>
      </c>
      <c r="O107" s="140">
        <f>-IF(O$5&gt;Leadsheet!$E$12,0,Leadsheet!$E84*SAP_Speadsheet!O$93*N$16)</f>
        <v>-7.3308427147187596E-3</v>
      </c>
      <c r="P107" s="140">
        <f>-IF(P$5&gt;Leadsheet!$E$12,0,Leadsheet!$E84*SAP_Speadsheet!P$93*O$16)</f>
        <v>-7.2839253213445587E-3</v>
      </c>
      <c r="Q107" s="140">
        <f>-IF(Q$5&gt;Leadsheet!$E$12,0,Leadsheet!$E84*SAP_Speadsheet!Q$93*P$16)</f>
        <v>-6.9804284329552015E-3</v>
      </c>
      <c r="R107" s="140">
        <f>-IF(R$5&gt;Leadsheet!$E$12,0,Leadsheet!$E84*SAP_Speadsheet!R$93*Q$16)</f>
        <v>-6.6769315445658443E-3</v>
      </c>
      <c r="S107" s="140">
        <f>-IF(S$5&gt;Leadsheet!$E$12,0,Leadsheet!$E84*SAP_Speadsheet!S$93*R$16)</f>
        <v>-6.373434656176488E-3</v>
      </c>
      <c r="T107" s="140">
        <f>-IF(T$5&gt;Leadsheet!$E$12,0,Leadsheet!$E84*SAP_Speadsheet!T$93*S$16)</f>
        <v>-6.373434656176488E-3</v>
      </c>
      <c r="U107" s="140">
        <f>-IF(U$5&gt;Leadsheet!$E$12,0,Leadsheet!$E84*SAP_Speadsheet!U$93*T$16)</f>
        <v>0</v>
      </c>
      <c r="V107" s="140">
        <f>-IF(V$5&gt;Leadsheet!$E$12,0,Leadsheet!$E84*SAP_Speadsheet!V$93*U$16)</f>
        <v>0</v>
      </c>
      <c r="W107" s="140">
        <f>-IF(W$5&gt;Leadsheet!$E$12,0,Leadsheet!$E84*SAP_Speadsheet!W$93*V$16)</f>
        <v>0</v>
      </c>
      <c r="X107" s="140">
        <f>-IF(X$5&gt;Leadsheet!$E$12,0,Leadsheet!$E84*SAP_Speadsheet!X$93*W$16)</f>
        <v>0</v>
      </c>
      <c r="Y107" s="140">
        <f>-IF(Y$5&gt;Leadsheet!$E$12,0,Leadsheet!$E84*SAP_Speadsheet!Y$93*X$16)</f>
        <v>0</v>
      </c>
      <c r="Z107" s="140">
        <f>-IF(Z$5&gt;Leadsheet!$E$12,0,Leadsheet!$E84*SAP_Speadsheet!Z$93*Y$16)</f>
        <v>0</v>
      </c>
      <c r="AA107" s="140">
        <f>-IF(AA$5&gt;Leadsheet!$E$12,0,Leadsheet!$E84*SAP_Speadsheet!AA$93*Z$16)</f>
        <v>0</v>
      </c>
      <c r="AB107" s="140">
        <f>-IF(AB$5&gt;Leadsheet!$E$12,0,Leadsheet!$E84*SAP_Speadsheet!AB$93*AA$16)</f>
        <v>0</v>
      </c>
      <c r="AC107" s="140">
        <f>-IF(AC$5&gt;Leadsheet!$E$12,0,Leadsheet!$E84*SAP_Speadsheet!AC$93*AB$16)</f>
        <v>0</v>
      </c>
      <c r="AD107" s="140">
        <f>-IF(AD$5&gt;Leadsheet!$E$12,0,Leadsheet!$E84*SAP_Speadsheet!AD$93*AC$16)</f>
        <v>0</v>
      </c>
      <c r="AE107" s="140">
        <f>-IF(AE$5&gt;Leadsheet!$E$12,0,Leadsheet!$E84*SAP_Speadsheet!AE$93*AD$16)</f>
        <v>0</v>
      </c>
      <c r="AF107" s="140">
        <f>-IF(AF$5&gt;Leadsheet!$E$12,0,Leadsheet!$E84*SAP_Speadsheet!AF$93*AE$16)</f>
        <v>0</v>
      </c>
      <c r="AG107" s="140">
        <f>-IF(AG$5&gt;Leadsheet!$E$12,0,Leadsheet!$E84*SAP_Speadsheet!AG$93*AF$16)</f>
        <v>0</v>
      </c>
      <c r="AH107" s="140">
        <f>-IF(AH$5&gt;Leadsheet!$E$12,0,Leadsheet!$E84*SAP_Speadsheet!AH$93*AG$16)</f>
        <v>0</v>
      </c>
      <c r="AI107" s="140">
        <f>-IF(AI$5&gt;Leadsheet!$E$12,0,Leadsheet!$E84*SAP_Speadsheet!AI$93*AH$16)</f>
        <v>0</v>
      </c>
      <c r="AJ107" s="140">
        <f>-IF(AJ$5&gt;Leadsheet!$E$12,0,Leadsheet!$E84*SAP_Speadsheet!AJ$93*AI$16)</f>
        <v>0</v>
      </c>
      <c r="AK107" s="140">
        <f>-IF(AK$5&gt;Leadsheet!$E$12,0,Leadsheet!$E84*SAP_Speadsheet!AK$93*AJ$16)</f>
        <v>0</v>
      </c>
      <c r="AL107" s="140">
        <f>-IF(AL$5&gt;Leadsheet!$E$12,0,Leadsheet!$E84*SAP_Speadsheet!AL$93*AK$16)</f>
        <v>0</v>
      </c>
      <c r="AM107" s="140">
        <f>-IF(AM$5&gt;Leadsheet!$E$12,0,Leadsheet!$E84*SAP_Speadsheet!AM$93*AL$16)</f>
        <v>0</v>
      </c>
      <c r="AN107" s="140">
        <f>-IF(AN$5&gt;Leadsheet!$E$12,0,Leadsheet!$E84*SAP_Speadsheet!AN$93*AM$16)</f>
        <v>0</v>
      </c>
      <c r="AO107" s="140">
        <f>-IF(AO$5&gt;Leadsheet!$E$12,0,Leadsheet!$E84*SAP_Speadsheet!AO$93*AN$16)</f>
        <v>0</v>
      </c>
      <c r="AP107" s="140">
        <f>-IF(AP$5&gt;Leadsheet!$E$12,0,Leadsheet!$E84*SAP_Speadsheet!AP$93*AO$16)</f>
        <v>0</v>
      </c>
      <c r="AQ107" s="140">
        <f>-IF(AQ$5&gt;Leadsheet!$E$12,0,Leadsheet!$E84*SAP_Speadsheet!AQ$93*AP$16)</f>
        <v>0</v>
      </c>
      <c r="AR107" s="140">
        <f>-IF(AR$5&gt;Leadsheet!$E$12,0,Leadsheet!$E84*SAP_Speadsheet!AR$93*AQ$16)</f>
        <v>0</v>
      </c>
      <c r="AS107" s="140">
        <f>-IF(AS$5&gt;Leadsheet!$E$12,0,Leadsheet!$E84*SAP_Speadsheet!AS$93*AR$16)</f>
        <v>0</v>
      </c>
      <c r="AT107" s="140">
        <f>-IF(AT$5&gt;Leadsheet!$E$12,0,Leadsheet!$E84*SAP_Speadsheet!AT$93*AS$16)</f>
        <v>0</v>
      </c>
      <c r="AU107" s="140">
        <f>-IF(AU$5&gt;Leadsheet!$E$12,0,Leadsheet!$E84*SAP_Speadsheet!AU$93*AT$16)</f>
        <v>0</v>
      </c>
      <c r="AV107" s="140">
        <f>-IF(AV$5&gt;Leadsheet!$E$12,0,Leadsheet!$E84*SAP_Speadsheet!AV$93*AU$16)</f>
        <v>0</v>
      </c>
      <c r="AW107" s="140">
        <f>-IF(AW$5&gt;Leadsheet!$E$12,0,Leadsheet!$E84*SAP_Speadsheet!AW$93*AV$16)</f>
        <v>0</v>
      </c>
      <c r="AX107" s="140">
        <f>-IF(AX$5&gt;Leadsheet!$E$12,0,Leadsheet!$E84*SAP_Speadsheet!AX$93*AW$16)</f>
        <v>0</v>
      </c>
      <c r="AY107" s="140">
        <f>-IF(AY$5&gt;Leadsheet!$E$12,0,Leadsheet!$E84*SAP_Speadsheet!AY$93*AX$16)</f>
        <v>0</v>
      </c>
      <c r="AZ107" s="140">
        <f>-IF(AZ$5&gt;Leadsheet!$E$12,0,Leadsheet!$E84*SAP_Speadsheet!AZ$93*AY$16)</f>
        <v>0</v>
      </c>
      <c r="BA107" s="140">
        <f>-IF(BA$5&gt;Leadsheet!$E$12,0,Leadsheet!$E84*SAP_Speadsheet!BA$93*AZ$16)</f>
        <v>0</v>
      </c>
      <c r="BB107" s="140">
        <f>-IF(BB$5&gt;Leadsheet!$E$12,0,Leadsheet!$E84*SAP_Speadsheet!BB$93*BA$16)</f>
        <v>0</v>
      </c>
      <c r="BC107" s="140">
        <f>-IF(BC$5&gt;Leadsheet!$E$12,0,Leadsheet!$E84*SAP_Speadsheet!BC$93*BB$16)</f>
        <v>0</v>
      </c>
      <c r="BD107" s="140">
        <f>-IF(BD$5&gt;Leadsheet!$E$12,0,Leadsheet!$E84*SAP_Speadsheet!BD$93*BC$16)</f>
        <v>0</v>
      </c>
      <c r="BE107" s="140">
        <f>-IF(BE$5&gt;Leadsheet!$E$12,0,Leadsheet!$E84*SAP_Speadsheet!BE$93*BD$16)</f>
        <v>0</v>
      </c>
      <c r="BF107" s="140">
        <f>-IF(BF$5&gt;Leadsheet!$E$12,0,Leadsheet!$E84*SAP_Speadsheet!BF$93*BE$16)</f>
        <v>0</v>
      </c>
      <c r="BG107" s="140">
        <f>-IF(BG$5&gt;Leadsheet!$E$12,0,Leadsheet!$E84*SAP_Speadsheet!BG$93*BF$16)</f>
        <v>0</v>
      </c>
      <c r="BH107" s="140">
        <f>-IF(BH$5&gt;Leadsheet!$E$12,0,Leadsheet!$E84*SAP_Speadsheet!BH$93*BG$16)</f>
        <v>0</v>
      </c>
      <c r="BI107" s="140">
        <f>-IF(BI$5&gt;Leadsheet!$E$12,0,Leadsheet!$E84*SAP_Speadsheet!BI$93*BH$16)</f>
        <v>0</v>
      </c>
      <c r="BJ107" s="140">
        <f>-IF(BJ$5&gt;Leadsheet!$E$12,0,Leadsheet!$E84*SAP_Speadsheet!BJ$93*BI$16)</f>
        <v>0</v>
      </c>
      <c r="BK107" s="140">
        <f>-IF(BK$5&gt;Leadsheet!$E$12,0,Leadsheet!$E84*SAP_Speadsheet!BK$93*BJ$16)</f>
        <v>0</v>
      </c>
      <c r="BL107" s="140">
        <f>-IF(BL$5&gt;Leadsheet!$E$12,0,Leadsheet!$E84*SAP_Speadsheet!BL$93*BK$16)</f>
        <v>0</v>
      </c>
    </row>
    <row r="108" spans="1:64" s="269" customFormat="1" x14ac:dyDescent="0.15">
      <c r="C108" s="163"/>
      <c r="D108" s="155"/>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c r="AA108" s="310"/>
      <c r="AB108" s="310"/>
      <c r="AC108" s="310"/>
      <c r="AD108" s="310"/>
      <c r="AE108" s="310"/>
      <c r="AF108" s="310"/>
      <c r="AG108" s="310"/>
      <c r="AH108" s="310"/>
      <c r="AI108" s="310"/>
      <c r="AJ108" s="310"/>
      <c r="AK108" s="310"/>
      <c r="AL108" s="310"/>
      <c r="AM108" s="310"/>
      <c r="AN108" s="310"/>
      <c r="AO108" s="310"/>
      <c r="AP108" s="310"/>
      <c r="AQ108" s="310"/>
      <c r="AR108" s="310"/>
      <c r="AS108" s="310"/>
      <c r="AT108" s="310"/>
      <c r="AU108" s="310"/>
      <c r="AV108" s="310"/>
      <c r="AW108" s="310"/>
      <c r="AX108" s="310"/>
      <c r="AY108" s="310"/>
      <c r="AZ108" s="310"/>
      <c r="BA108" s="310"/>
      <c r="BB108" s="310"/>
      <c r="BC108" s="310"/>
      <c r="BD108" s="310"/>
      <c r="BE108" s="310"/>
      <c r="BF108" s="310"/>
      <c r="BG108" s="310"/>
      <c r="BH108" s="310"/>
      <c r="BI108" s="310"/>
      <c r="BJ108" s="310"/>
      <c r="BK108" s="310"/>
      <c r="BL108" s="310"/>
    </row>
    <row r="109" spans="1:64" x14ac:dyDescent="0.15">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row>
    <row r="110" spans="1:64" ht="13" thickBot="1" x14ac:dyDescent="0.2">
      <c r="A110" s="155"/>
      <c r="B110" s="274" t="s">
        <v>408</v>
      </c>
      <c r="C110" s="275"/>
      <c r="D110" s="276"/>
      <c r="E110" s="277"/>
      <c r="F110" s="276"/>
      <c r="G110" s="276"/>
      <c r="H110" s="276"/>
      <c r="I110" s="276"/>
      <c r="J110" s="276"/>
      <c r="K110" s="276"/>
      <c r="L110" s="276"/>
      <c r="M110" s="276"/>
      <c r="N110" s="276"/>
      <c r="O110" s="276"/>
      <c r="P110" s="276"/>
      <c r="Q110" s="276"/>
      <c r="R110" s="276"/>
      <c r="S110" s="276"/>
      <c r="T110" s="276"/>
      <c r="U110" s="276"/>
      <c r="V110" s="276"/>
      <c r="W110" s="276"/>
      <c r="X110" s="276"/>
      <c r="Y110" s="276"/>
      <c r="Z110" s="276"/>
      <c r="AA110" s="276"/>
      <c r="AB110" s="276"/>
      <c r="AC110" s="276"/>
      <c r="AD110" s="276"/>
      <c r="AE110" s="276"/>
      <c r="AF110" s="276"/>
      <c r="AG110" s="276"/>
      <c r="AH110" s="276"/>
      <c r="AI110" s="276"/>
      <c r="AJ110" s="276"/>
      <c r="AK110" s="276"/>
      <c r="AL110" s="276"/>
      <c r="AM110" s="276"/>
      <c r="AN110" s="276"/>
      <c r="AO110" s="276"/>
      <c r="AP110" s="276"/>
      <c r="AQ110" s="276"/>
      <c r="AR110" s="276"/>
      <c r="AS110" s="276"/>
      <c r="AT110" s="276"/>
      <c r="AU110" s="276"/>
      <c r="AV110" s="276"/>
      <c r="AW110" s="276"/>
      <c r="AX110" s="276"/>
      <c r="AY110" s="276"/>
      <c r="AZ110" s="276"/>
      <c r="BA110" s="276"/>
      <c r="BB110" s="276"/>
      <c r="BC110" s="276"/>
      <c r="BD110" s="276"/>
      <c r="BE110" s="276"/>
      <c r="BF110" s="276"/>
      <c r="BG110" s="276"/>
      <c r="BH110" s="276"/>
      <c r="BI110" s="276"/>
      <c r="BJ110" s="276"/>
      <c r="BK110" s="276"/>
      <c r="BL110" s="276"/>
    </row>
    <row r="111" spans="1:64" ht="12" thickTop="1" x14ac:dyDescent="0.15">
      <c r="C111" s="301" t="s">
        <v>409</v>
      </c>
      <c r="E111" s="84" t="s">
        <v>162</v>
      </c>
      <c r="F111" s="84" t="s">
        <v>410</v>
      </c>
      <c r="G111" s="84" t="s">
        <v>411</v>
      </c>
    </row>
    <row r="112" spans="1:64" x14ac:dyDescent="0.15">
      <c r="C112" s="84" t="s">
        <v>368</v>
      </c>
      <c r="E112" s="278">
        <f>Leadsheet!F91</f>
        <v>2.4126792198891883E-2</v>
      </c>
      <c r="F112" s="278">
        <v>7.4999999999999997E-3</v>
      </c>
      <c r="G112" s="311">
        <v>7.4999999999999997E-3</v>
      </c>
    </row>
    <row r="113" spans="2:7" x14ac:dyDescent="0.15">
      <c r="C113" s="84" t="s">
        <v>370</v>
      </c>
      <c r="E113" s="278">
        <f>Leadsheet!F92</f>
        <v>0.48253584397783778</v>
      </c>
      <c r="F113" s="278">
        <v>5.7500000000000002E-2</v>
      </c>
      <c r="G113" s="311">
        <v>5.7500000000000002E-2</v>
      </c>
    </row>
    <row r="114" spans="2:7" x14ac:dyDescent="0.15">
      <c r="C114" s="84" t="s">
        <v>371</v>
      </c>
      <c r="E114" s="278">
        <f>Leadsheet!F93</f>
        <v>0.71912942470616648</v>
      </c>
      <c r="F114" s="278">
        <v>5.7500000000000002E-2</v>
      </c>
      <c r="G114" s="311">
        <v>5.7500000000000002E-2</v>
      </c>
    </row>
    <row r="115" spans="2:7" x14ac:dyDescent="0.15">
      <c r="C115" s="84" t="s">
        <v>372</v>
      </c>
      <c r="E115" s="278">
        <f>Leadsheet!F94</f>
        <v>0.79025211506172133</v>
      </c>
      <c r="F115" s="278">
        <v>5.7500000000000002E-2</v>
      </c>
      <c r="G115" s="311">
        <v>5.7500000000000002E-2</v>
      </c>
    </row>
    <row r="116" spans="2:7" x14ac:dyDescent="0.15">
      <c r="C116" s="84" t="s">
        <v>374</v>
      </c>
      <c r="E116" s="278">
        <f>Leadsheet!F95</f>
        <v>0.83009675951861484</v>
      </c>
      <c r="F116" s="278">
        <v>0.20749999999999999</v>
      </c>
      <c r="G116" s="311">
        <v>0.20749999999999999</v>
      </c>
    </row>
    <row r="117" spans="2:7" x14ac:dyDescent="0.15">
      <c r="C117" s="84" t="s">
        <v>375</v>
      </c>
      <c r="E117" s="278">
        <f>Leadsheet!F96</f>
        <v>0.86431418953366468</v>
      </c>
      <c r="F117" s="278">
        <v>0.20749999999999999</v>
      </c>
      <c r="G117" s="311">
        <v>0.20749999999999999</v>
      </c>
    </row>
    <row r="118" spans="2:7" x14ac:dyDescent="0.15">
      <c r="C118" s="84" t="s">
        <v>376</v>
      </c>
      <c r="E118" s="278">
        <f>Leadsheet!F97</f>
        <v>0.91465558035724537</v>
      </c>
      <c r="F118" s="278">
        <v>0.20749999999999999</v>
      </c>
      <c r="G118" s="311">
        <v>0.20749999999999999</v>
      </c>
    </row>
    <row r="119" spans="2:7" x14ac:dyDescent="0.15">
      <c r="C119" s="84" t="s">
        <v>378</v>
      </c>
      <c r="E119" s="278">
        <f>Leadsheet!F98</f>
        <v>0.92619405842039992</v>
      </c>
      <c r="F119" s="278">
        <v>0.50749999999999995</v>
      </c>
      <c r="G119" s="311">
        <v>0.50749999999999995</v>
      </c>
    </row>
    <row r="120" spans="2:7" x14ac:dyDescent="0.15">
      <c r="C120" s="84" t="s">
        <v>379</v>
      </c>
      <c r="E120" s="278">
        <f>Leadsheet!F99</f>
        <v>0.94984520399999994</v>
      </c>
      <c r="F120" s="278">
        <v>0.50749999999999995</v>
      </c>
      <c r="G120" s="311">
        <v>1</v>
      </c>
    </row>
    <row r="121" spans="2:7" x14ac:dyDescent="0.15">
      <c r="C121" s="84" t="s">
        <v>380</v>
      </c>
      <c r="E121" s="278">
        <f>Leadsheet!F100</f>
        <v>0.95079599999999986</v>
      </c>
      <c r="F121" s="278">
        <v>0.50749999999999995</v>
      </c>
    </row>
    <row r="122" spans="2:7" x14ac:dyDescent="0.15">
      <c r="C122" s="84" t="s">
        <v>381</v>
      </c>
      <c r="E122" s="278">
        <f>Leadsheet!F101</f>
        <v>0.95079599999999986</v>
      </c>
      <c r="F122" s="278">
        <v>0.50749999999999995</v>
      </c>
    </row>
    <row r="123" spans="2:7" x14ac:dyDescent="0.15">
      <c r="C123" s="84" t="s">
        <v>382</v>
      </c>
      <c r="E123" s="278">
        <f>Leadsheet!F102</f>
        <v>0.95079599999999986</v>
      </c>
      <c r="F123" s="278">
        <v>0.50749999999999995</v>
      </c>
    </row>
    <row r="124" spans="2:7" x14ac:dyDescent="0.15">
      <c r="C124" s="84" t="s">
        <v>383</v>
      </c>
      <c r="E124" s="278">
        <f>Leadsheet!F103</f>
        <v>0.95079599999999986</v>
      </c>
      <c r="F124" s="278">
        <v>0.50749999999999995</v>
      </c>
    </row>
    <row r="125" spans="2:7" x14ac:dyDescent="0.15">
      <c r="C125" s="84" t="s">
        <v>385</v>
      </c>
      <c r="E125" s="278">
        <f>Leadsheet!F104</f>
        <v>0.95079599999999986</v>
      </c>
      <c r="F125" s="278">
        <v>1</v>
      </c>
    </row>
    <row r="126" spans="2:7" x14ac:dyDescent="0.15">
      <c r="C126" s="84" t="s">
        <v>387</v>
      </c>
      <c r="E126" s="278">
        <f>Leadsheet!F105</f>
        <v>0.97019999999999995</v>
      </c>
      <c r="F126" s="278">
        <v>1</v>
      </c>
    </row>
    <row r="128" spans="2:7" x14ac:dyDescent="0.15">
      <c r="B128" s="155" t="s">
        <v>162</v>
      </c>
    </row>
    <row r="129" spans="3:64" s="155" customFormat="1" x14ac:dyDescent="0.15">
      <c r="C129" s="155" t="s">
        <v>412</v>
      </c>
    </row>
    <row r="130" spans="3:64" s="155" customFormat="1" x14ac:dyDescent="0.15">
      <c r="C130" s="84" t="s">
        <v>368</v>
      </c>
      <c r="E130" s="147">
        <f t="shared" ref="E130:BL134" si="24">IF(E$5&gt;$D$7,0,E27*$E112)</f>
        <v>0.29557842050972083</v>
      </c>
      <c r="F130" s="147">
        <f t="shared" si="24"/>
        <v>0.25315114802103383</v>
      </c>
      <c r="G130" s="147">
        <f t="shared" si="24"/>
        <v>0.21542262454137628</v>
      </c>
      <c r="H130" s="147">
        <f t="shared" si="24"/>
        <v>0.19101652428211691</v>
      </c>
      <c r="I130" s="147">
        <f t="shared" si="24"/>
        <v>0.16822286081611551</v>
      </c>
      <c r="J130" s="147">
        <f t="shared" si="24"/>
        <v>0.14726882125068375</v>
      </c>
      <c r="K130" s="147">
        <f t="shared" si="24"/>
        <v>0.12757453447604183</v>
      </c>
      <c r="L130" s="147">
        <f t="shared" si="24"/>
        <v>0.10907208544633573</v>
      </c>
      <c r="M130" s="147">
        <f t="shared" si="24"/>
        <v>9.1714037321239311E-2</v>
      </c>
      <c r="N130" s="147">
        <f t="shared" si="24"/>
        <v>7.5487487125657407E-2</v>
      </c>
      <c r="O130" s="147">
        <f t="shared" si="24"/>
        <v>6.0370779707007882E-2</v>
      </c>
      <c r="P130" s="147">
        <f t="shared" si="24"/>
        <v>4.6337468316982613E-2</v>
      </c>
      <c r="Q130" s="147">
        <f t="shared" si="24"/>
        <v>3.3356787370475087E-2</v>
      </c>
      <c r="R130" s="147">
        <f t="shared" si="24"/>
        <v>2.1392312047359589E-2</v>
      </c>
      <c r="S130" s="147">
        <f t="shared" si="24"/>
        <v>1.141070285671713E-2</v>
      </c>
      <c r="T130" s="147">
        <f t="shared" si="24"/>
        <v>0</v>
      </c>
      <c r="U130" s="147">
        <f t="shared" si="24"/>
        <v>0</v>
      </c>
      <c r="V130" s="147">
        <f t="shared" si="24"/>
        <v>0</v>
      </c>
      <c r="W130" s="147">
        <f t="shared" si="24"/>
        <v>0</v>
      </c>
      <c r="X130" s="147">
        <f t="shared" si="24"/>
        <v>0</v>
      </c>
      <c r="Y130" s="147">
        <f t="shared" si="24"/>
        <v>0</v>
      </c>
      <c r="Z130" s="147">
        <f t="shared" si="24"/>
        <v>0</v>
      </c>
      <c r="AA130" s="147">
        <f t="shared" si="24"/>
        <v>0</v>
      </c>
      <c r="AB130" s="147">
        <f t="shared" si="24"/>
        <v>0</v>
      </c>
      <c r="AC130" s="147">
        <f t="shared" si="24"/>
        <v>0</v>
      </c>
      <c r="AD130" s="147">
        <f t="shared" si="24"/>
        <v>0</v>
      </c>
      <c r="AE130" s="147">
        <f t="shared" si="24"/>
        <v>0</v>
      </c>
      <c r="AF130" s="147">
        <f t="shared" si="24"/>
        <v>0</v>
      </c>
      <c r="AG130" s="147">
        <f t="shared" si="24"/>
        <v>0</v>
      </c>
      <c r="AH130" s="147">
        <f t="shared" si="24"/>
        <v>0</v>
      </c>
      <c r="AI130" s="147">
        <f t="shared" si="24"/>
        <v>0</v>
      </c>
      <c r="AJ130" s="147">
        <f t="shared" si="24"/>
        <v>0</v>
      </c>
      <c r="AK130" s="147">
        <f t="shared" si="24"/>
        <v>0</v>
      </c>
      <c r="AL130" s="147">
        <f t="shared" si="24"/>
        <v>0</v>
      </c>
      <c r="AM130" s="147">
        <f t="shared" si="24"/>
        <v>0</v>
      </c>
      <c r="AN130" s="147">
        <f t="shared" si="24"/>
        <v>0</v>
      </c>
      <c r="AO130" s="147">
        <f t="shared" si="24"/>
        <v>0</v>
      </c>
      <c r="AP130" s="147">
        <f t="shared" si="24"/>
        <v>0</v>
      </c>
      <c r="AQ130" s="147">
        <f t="shared" si="24"/>
        <v>0</v>
      </c>
      <c r="AR130" s="147">
        <f t="shared" si="24"/>
        <v>0</v>
      </c>
      <c r="AS130" s="147">
        <f t="shared" si="24"/>
        <v>0</v>
      </c>
      <c r="AT130" s="147">
        <f t="shared" si="24"/>
        <v>0</v>
      </c>
      <c r="AU130" s="147">
        <f t="shared" si="24"/>
        <v>0</v>
      </c>
      <c r="AV130" s="147">
        <f t="shared" si="24"/>
        <v>0</v>
      </c>
      <c r="AW130" s="147">
        <f t="shared" si="24"/>
        <v>0</v>
      </c>
      <c r="AX130" s="147">
        <f t="shared" si="24"/>
        <v>0</v>
      </c>
      <c r="AY130" s="147">
        <f t="shared" si="24"/>
        <v>0</v>
      </c>
      <c r="AZ130" s="147">
        <f t="shared" si="24"/>
        <v>0</v>
      </c>
      <c r="BA130" s="147">
        <f t="shared" si="24"/>
        <v>0</v>
      </c>
      <c r="BB130" s="147">
        <f t="shared" si="24"/>
        <v>0</v>
      </c>
      <c r="BC130" s="147">
        <f t="shared" si="24"/>
        <v>0</v>
      </c>
      <c r="BD130" s="147">
        <f t="shared" si="24"/>
        <v>0</v>
      </c>
      <c r="BE130" s="147">
        <f t="shared" si="24"/>
        <v>0</v>
      </c>
      <c r="BF130" s="147">
        <f t="shared" si="24"/>
        <v>0</v>
      </c>
      <c r="BG130" s="147">
        <f t="shared" si="24"/>
        <v>0</v>
      </c>
      <c r="BH130" s="147">
        <f t="shared" si="24"/>
        <v>0</v>
      </c>
      <c r="BI130" s="147">
        <f t="shared" si="24"/>
        <v>0</v>
      </c>
      <c r="BJ130" s="147">
        <f t="shared" si="24"/>
        <v>0</v>
      </c>
      <c r="BK130" s="147">
        <f t="shared" si="24"/>
        <v>0</v>
      </c>
      <c r="BL130" s="147">
        <f t="shared" si="24"/>
        <v>0</v>
      </c>
    </row>
    <row r="131" spans="3:64" s="155" customFormat="1" x14ac:dyDescent="0.15">
      <c r="C131" s="84" t="s">
        <v>370</v>
      </c>
      <c r="E131" s="147">
        <f t="shared" si="24"/>
        <v>0.35798257457370214</v>
      </c>
      <c r="F131" s="147">
        <f t="shared" si="24"/>
        <v>0.29557842050972094</v>
      </c>
      <c r="G131" s="147">
        <f t="shared" si="24"/>
        <v>0.25315114802103389</v>
      </c>
      <c r="H131" s="147">
        <f t="shared" si="24"/>
        <v>0.21542262454137637</v>
      </c>
      <c r="I131" s="147">
        <f t="shared" si="24"/>
        <v>0.19101652428211696</v>
      </c>
      <c r="J131" s="147">
        <f t="shared" si="24"/>
        <v>0.16822286081611557</v>
      </c>
      <c r="K131" s="147">
        <f t="shared" si="24"/>
        <v>0.14726882125068377</v>
      </c>
      <c r="L131" s="147">
        <f t="shared" si="24"/>
        <v>0.12757453447604186</v>
      </c>
      <c r="M131" s="147">
        <f t="shared" si="24"/>
        <v>0.10907208544633576</v>
      </c>
      <c r="N131" s="147">
        <f t="shared" si="24"/>
        <v>9.1714037321239339E-2</v>
      </c>
      <c r="O131" s="147">
        <f t="shared" si="24"/>
        <v>7.5487487125657421E-2</v>
      </c>
      <c r="P131" s="147">
        <f t="shared" si="24"/>
        <v>6.0370779707007903E-2</v>
      </c>
      <c r="Q131" s="147">
        <f t="shared" si="24"/>
        <v>4.633746831698262E-2</v>
      </c>
      <c r="R131" s="147">
        <f t="shared" si="24"/>
        <v>3.3356787370475094E-2</v>
      </c>
      <c r="S131" s="147">
        <f t="shared" si="24"/>
        <v>2.1392312047359596E-2</v>
      </c>
      <c r="T131" s="147">
        <f t="shared" si="24"/>
        <v>1.1410702856717133E-2</v>
      </c>
      <c r="U131" s="147">
        <f t="shared" si="24"/>
        <v>0</v>
      </c>
      <c r="V131" s="147">
        <f t="shared" si="24"/>
        <v>0</v>
      </c>
      <c r="W131" s="147">
        <f t="shared" si="24"/>
        <v>0</v>
      </c>
      <c r="X131" s="147">
        <f t="shared" si="24"/>
        <v>0</v>
      </c>
      <c r="Y131" s="147">
        <f t="shared" si="24"/>
        <v>0</v>
      </c>
      <c r="Z131" s="147">
        <f t="shared" si="24"/>
        <v>0</v>
      </c>
      <c r="AA131" s="147">
        <f t="shared" si="24"/>
        <v>0</v>
      </c>
      <c r="AB131" s="147">
        <f t="shared" si="24"/>
        <v>0</v>
      </c>
      <c r="AC131" s="147">
        <f t="shared" si="24"/>
        <v>0</v>
      </c>
      <c r="AD131" s="147">
        <f t="shared" si="24"/>
        <v>0</v>
      </c>
      <c r="AE131" s="147">
        <f t="shared" si="24"/>
        <v>0</v>
      </c>
      <c r="AF131" s="147">
        <f t="shared" si="24"/>
        <v>0</v>
      </c>
      <c r="AG131" s="147">
        <f t="shared" si="24"/>
        <v>0</v>
      </c>
      <c r="AH131" s="147">
        <f t="shared" si="24"/>
        <v>0</v>
      </c>
      <c r="AI131" s="147">
        <f t="shared" si="24"/>
        <v>0</v>
      </c>
      <c r="AJ131" s="147">
        <f t="shared" si="24"/>
        <v>0</v>
      </c>
      <c r="AK131" s="147">
        <f t="shared" si="24"/>
        <v>0</v>
      </c>
      <c r="AL131" s="147">
        <f t="shared" si="24"/>
        <v>0</v>
      </c>
      <c r="AM131" s="147">
        <f t="shared" si="24"/>
        <v>0</v>
      </c>
      <c r="AN131" s="147">
        <f t="shared" si="24"/>
        <v>0</v>
      </c>
      <c r="AO131" s="147">
        <f t="shared" si="24"/>
        <v>0</v>
      </c>
      <c r="AP131" s="147">
        <f t="shared" si="24"/>
        <v>0</v>
      </c>
      <c r="AQ131" s="147">
        <f t="shared" si="24"/>
        <v>0</v>
      </c>
      <c r="AR131" s="147">
        <f t="shared" si="24"/>
        <v>0</v>
      </c>
      <c r="AS131" s="147">
        <f t="shared" si="24"/>
        <v>0</v>
      </c>
      <c r="AT131" s="147">
        <f t="shared" si="24"/>
        <v>0</v>
      </c>
      <c r="AU131" s="147">
        <f t="shared" si="24"/>
        <v>0</v>
      </c>
      <c r="AV131" s="147">
        <f t="shared" si="24"/>
        <v>0</v>
      </c>
      <c r="AW131" s="147">
        <f t="shared" si="24"/>
        <v>0</v>
      </c>
      <c r="AX131" s="147">
        <f t="shared" si="24"/>
        <v>0</v>
      </c>
      <c r="AY131" s="147">
        <f t="shared" si="24"/>
        <v>0</v>
      </c>
      <c r="AZ131" s="147">
        <f t="shared" si="24"/>
        <v>0</v>
      </c>
      <c r="BA131" s="147">
        <f t="shared" si="24"/>
        <v>0</v>
      </c>
      <c r="BB131" s="147">
        <f t="shared" si="24"/>
        <v>0</v>
      </c>
      <c r="BC131" s="147">
        <f t="shared" si="24"/>
        <v>0</v>
      </c>
      <c r="BD131" s="147">
        <f t="shared" si="24"/>
        <v>0</v>
      </c>
      <c r="BE131" s="147">
        <f t="shared" si="24"/>
        <v>0</v>
      </c>
      <c r="BF131" s="147">
        <f t="shared" si="24"/>
        <v>0</v>
      </c>
      <c r="BG131" s="147">
        <f t="shared" si="24"/>
        <v>0</v>
      </c>
      <c r="BH131" s="147">
        <f t="shared" si="24"/>
        <v>0</v>
      </c>
      <c r="BI131" s="147">
        <f t="shared" si="24"/>
        <v>0</v>
      </c>
      <c r="BJ131" s="147">
        <f t="shared" si="24"/>
        <v>0</v>
      </c>
      <c r="BK131" s="147">
        <f t="shared" si="24"/>
        <v>0</v>
      </c>
      <c r="BL131" s="147">
        <f t="shared" si="24"/>
        <v>0</v>
      </c>
    </row>
    <row r="132" spans="3:64" s="155" customFormat="1" x14ac:dyDescent="0.15">
      <c r="C132" s="84" t="s">
        <v>371</v>
      </c>
      <c r="E132" s="147">
        <f t="shared" si="24"/>
        <v>0</v>
      </c>
      <c r="F132" s="147">
        <f t="shared" si="24"/>
        <v>0.35798257457370208</v>
      </c>
      <c r="G132" s="147">
        <f t="shared" si="24"/>
        <v>0.29557842050972088</v>
      </c>
      <c r="H132" s="147">
        <f t="shared" si="24"/>
        <v>0.25315114802103389</v>
      </c>
      <c r="I132" s="147">
        <f t="shared" si="24"/>
        <v>0.21542262454137634</v>
      </c>
      <c r="J132" s="147">
        <f t="shared" si="24"/>
        <v>0.19101652428211693</v>
      </c>
      <c r="K132" s="147">
        <f t="shared" si="24"/>
        <v>0.16822286081611554</v>
      </c>
      <c r="L132" s="147">
        <f t="shared" si="24"/>
        <v>0.14726882125068377</v>
      </c>
      <c r="M132" s="147">
        <f t="shared" si="24"/>
        <v>0.12757453447604186</v>
      </c>
      <c r="N132" s="147">
        <f t="shared" si="24"/>
        <v>0.10907208544633576</v>
      </c>
      <c r="O132" s="147">
        <f t="shared" si="24"/>
        <v>9.1714037321239339E-2</v>
      </c>
      <c r="P132" s="147">
        <f t="shared" si="24"/>
        <v>7.5487487125657421E-2</v>
      </c>
      <c r="Q132" s="147">
        <f t="shared" si="24"/>
        <v>6.0370779707007896E-2</v>
      </c>
      <c r="R132" s="147">
        <f t="shared" si="24"/>
        <v>4.6337468316982613E-2</v>
      </c>
      <c r="S132" s="147">
        <f t="shared" si="24"/>
        <v>3.3356787370475094E-2</v>
      </c>
      <c r="T132" s="147">
        <f t="shared" si="24"/>
        <v>2.1392312047359596E-2</v>
      </c>
      <c r="U132" s="147">
        <f t="shared" si="24"/>
        <v>1.141070285671713E-2</v>
      </c>
      <c r="V132" s="147">
        <f t="shared" si="24"/>
        <v>0</v>
      </c>
      <c r="W132" s="147">
        <f t="shared" si="24"/>
        <v>0</v>
      </c>
      <c r="X132" s="147">
        <f t="shared" si="24"/>
        <v>0</v>
      </c>
      <c r="Y132" s="147">
        <f t="shared" si="24"/>
        <v>0</v>
      </c>
      <c r="Z132" s="147">
        <f t="shared" si="24"/>
        <v>0</v>
      </c>
      <c r="AA132" s="147">
        <f t="shared" si="24"/>
        <v>0</v>
      </c>
      <c r="AB132" s="147">
        <f t="shared" si="24"/>
        <v>0</v>
      </c>
      <c r="AC132" s="147">
        <f t="shared" si="24"/>
        <v>0</v>
      </c>
      <c r="AD132" s="147">
        <f t="shared" si="24"/>
        <v>0</v>
      </c>
      <c r="AE132" s="147">
        <f t="shared" si="24"/>
        <v>0</v>
      </c>
      <c r="AF132" s="147">
        <f t="shared" si="24"/>
        <v>0</v>
      </c>
      <c r="AG132" s="147">
        <f t="shared" si="24"/>
        <v>0</v>
      </c>
      <c r="AH132" s="147">
        <f t="shared" si="24"/>
        <v>0</v>
      </c>
      <c r="AI132" s="147">
        <f t="shared" si="24"/>
        <v>0</v>
      </c>
      <c r="AJ132" s="147">
        <f t="shared" si="24"/>
        <v>0</v>
      </c>
      <c r="AK132" s="147">
        <f t="shared" si="24"/>
        <v>0</v>
      </c>
      <c r="AL132" s="147">
        <f t="shared" si="24"/>
        <v>0</v>
      </c>
      <c r="AM132" s="147">
        <f t="shared" si="24"/>
        <v>0</v>
      </c>
      <c r="AN132" s="147">
        <f t="shared" si="24"/>
        <v>0</v>
      </c>
      <c r="AO132" s="147">
        <f t="shared" si="24"/>
        <v>0</v>
      </c>
      <c r="AP132" s="147">
        <f t="shared" si="24"/>
        <v>0</v>
      </c>
      <c r="AQ132" s="147">
        <f t="shared" si="24"/>
        <v>0</v>
      </c>
      <c r="AR132" s="147">
        <f t="shared" si="24"/>
        <v>0</v>
      </c>
      <c r="AS132" s="147">
        <f t="shared" si="24"/>
        <v>0</v>
      </c>
      <c r="AT132" s="147">
        <f t="shared" si="24"/>
        <v>0</v>
      </c>
      <c r="AU132" s="147">
        <f t="shared" si="24"/>
        <v>0</v>
      </c>
      <c r="AV132" s="147">
        <f t="shared" si="24"/>
        <v>0</v>
      </c>
      <c r="AW132" s="147">
        <f t="shared" si="24"/>
        <v>0</v>
      </c>
      <c r="AX132" s="147">
        <f t="shared" si="24"/>
        <v>0</v>
      </c>
      <c r="AY132" s="147">
        <f t="shared" si="24"/>
        <v>0</v>
      </c>
      <c r="AZ132" s="147">
        <f t="shared" si="24"/>
        <v>0</v>
      </c>
      <c r="BA132" s="147">
        <f t="shared" si="24"/>
        <v>0</v>
      </c>
      <c r="BB132" s="147">
        <f t="shared" si="24"/>
        <v>0</v>
      </c>
      <c r="BC132" s="147">
        <f t="shared" si="24"/>
        <v>0</v>
      </c>
      <c r="BD132" s="147">
        <f t="shared" si="24"/>
        <v>0</v>
      </c>
      <c r="BE132" s="147">
        <f t="shared" si="24"/>
        <v>0</v>
      </c>
      <c r="BF132" s="147">
        <f t="shared" si="24"/>
        <v>0</v>
      </c>
      <c r="BG132" s="147">
        <f t="shared" si="24"/>
        <v>0</v>
      </c>
      <c r="BH132" s="147">
        <f t="shared" si="24"/>
        <v>0</v>
      </c>
      <c r="BI132" s="147">
        <f t="shared" si="24"/>
        <v>0</v>
      </c>
      <c r="BJ132" s="147">
        <f t="shared" si="24"/>
        <v>0</v>
      </c>
      <c r="BK132" s="147">
        <f t="shared" si="24"/>
        <v>0</v>
      </c>
      <c r="BL132" s="147">
        <f t="shared" si="24"/>
        <v>0</v>
      </c>
    </row>
    <row r="133" spans="3:64" s="155" customFormat="1" x14ac:dyDescent="0.15">
      <c r="C133" s="84" t="s">
        <v>372</v>
      </c>
      <c r="E133" s="147">
        <f t="shared" si="24"/>
        <v>0</v>
      </c>
      <c r="F133" s="147">
        <f t="shared" si="24"/>
        <v>0</v>
      </c>
      <c r="G133" s="147">
        <f t="shared" si="24"/>
        <v>0.35798257457370208</v>
      </c>
      <c r="H133" s="147">
        <f t="shared" si="24"/>
        <v>0.29557842050972088</v>
      </c>
      <c r="I133" s="147">
        <f t="shared" si="24"/>
        <v>0.25315114802103389</v>
      </c>
      <c r="J133" s="147">
        <f t="shared" si="24"/>
        <v>0.21542262454137631</v>
      </c>
      <c r="K133" s="147">
        <f t="shared" si="24"/>
        <v>0.19101652428211693</v>
      </c>
      <c r="L133" s="147">
        <f t="shared" si="24"/>
        <v>0.16822286081611554</v>
      </c>
      <c r="M133" s="147">
        <f t="shared" si="24"/>
        <v>0.14726882125068377</v>
      </c>
      <c r="N133" s="147">
        <f t="shared" si="24"/>
        <v>0.12757453447604186</v>
      </c>
      <c r="O133" s="147">
        <f t="shared" si="24"/>
        <v>0.10907208544633576</v>
      </c>
      <c r="P133" s="147">
        <f t="shared" si="24"/>
        <v>9.1714037321239325E-2</v>
      </c>
      <c r="Q133" s="147">
        <f t="shared" si="24"/>
        <v>7.5487487125657407E-2</v>
      </c>
      <c r="R133" s="147">
        <f t="shared" si="24"/>
        <v>6.0370779707007896E-2</v>
      </c>
      <c r="S133" s="147">
        <f t="shared" si="24"/>
        <v>4.6337468316982613E-2</v>
      </c>
      <c r="T133" s="147">
        <f t="shared" si="24"/>
        <v>3.3356787370475094E-2</v>
      </c>
      <c r="U133" s="147">
        <f t="shared" si="24"/>
        <v>2.1392312047359592E-2</v>
      </c>
      <c r="V133" s="147">
        <f t="shared" si="24"/>
        <v>1.141070285671713E-2</v>
      </c>
      <c r="W133" s="147">
        <f t="shared" si="24"/>
        <v>0</v>
      </c>
      <c r="X133" s="147">
        <f t="shared" si="24"/>
        <v>0</v>
      </c>
      <c r="Y133" s="147">
        <f t="shared" si="24"/>
        <v>0</v>
      </c>
      <c r="Z133" s="147">
        <f t="shared" si="24"/>
        <v>0</v>
      </c>
      <c r="AA133" s="147">
        <f t="shared" si="24"/>
        <v>0</v>
      </c>
      <c r="AB133" s="147">
        <f t="shared" si="24"/>
        <v>0</v>
      </c>
      <c r="AC133" s="147">
        <f t="shared" si="24"/>
        <v>0</v>
      </c>
      <c r="AD133" s="147">
        <f t="shared" si="24"/>
        <v>0</v>
      </c>
      <c r="AE133" s="147">
        <f t="shared" si="24"/>
        <v>0</v>
      </c>
      <c r="AF133" s="147">
        <f t="shared" si="24"/>
        <v>0</v>
      </c>
      <c r="AG133" s="147">
        <f t="shared" si="24"/>
        <v>0</v>
      </c>
      <c r="AH133" s="147">
        <f t="shared" si="24"/>
        <v>0</v>
      </c>
      <c r="AI133" s="147">
        <f t="shared" si="24"/>
        <v>0</v>
      </c>
      <c r="AJ133" s="147">
        <f t="shared" si="24"/>
        <v>0</v>
      </c>
      <c r="AK133" s="147">
        <f t="shared" si="24"/>
        <v>0</v>
      </c>
      <c r="AL133" s="147">
        <f t="shared" si="24"/>
        <v>0</v>
      </c>
      <c r="AM133" s="147">
        <f t="shared" si="24"/>
        <v>0</v>
      </c>
      <c r="AN133" s="147">
        <f t="shared" si="24"/>
        <v>0</v>
      </c>
      <c r="AO133" s="147">
        <f t="shared" si="24"/>
        <v>0</v>
      </c>
      <c r="AP133" s="147">
        <f t="shared" si="24"/>
        <v>0</v>
      </c>
      <c r="AQ133" s="147">
        <f t="shared" si="24"/>
        <v>0</v>
      </c>
      <c r="AR133" s="147">
        <f t="shared" si="24"/>
        <v>0</v>
      </c>
      <c r="AS133" s="147">
        <f t="shared" si="24"/>
        <v>0</v>
      </c>
      <c r="AT133" s="147">
        <f t="shared" si="24"/>
        <v>0</v>
      </c>
      <c r="AU133" s="147">
        <f t="shared" si="24"/>
        <v>0</v>
      </c>
      <c r="AV133" s="147">
        <f t="shared" si="24"/>
        <v>0</v>
      </c>
      <c r="AW133" s="147">
        <f t="shared" si="24"/>
        <v>0</v>
      </c>
      <c r="AX133" s="147">
        <f t="shared" si="24"/>
        <v>0</v>
      </c>
      <c r="AY133" s="147">
        <f t="shared" si="24"/>
        <v>0</v>
      </c>
      <c r="AZ133" s="147">
        <f t="shared" si="24"/>
        <v>0</v>
      </c>
      <c r="BA133" s="147">
        <f t="shared" si="24"/>
        <v>0</v>
      </c>
      <c r="BB133" s="147">
        <f t="shared" si="24"/>
        <v>0</v>
      </c>
      <c r="BC133" s="147">
        <f t="shared" si="24"/>
        <v>0</v>
      </c>
      <c r="BD133" s="147">
        <f t="shared" si="24"/>
        <v>0</v>
      </c>
      <c r="BE133" s="147">
        <f t="shared" si="24"/>
        <v>0</v>
      </c>
      <c r="BF133" s="147">
        <f t="shared" si="24"/>
        <v>0</v>
      </c>
      <c r="BG133" s="147">
        <f t="shared" si="24"/>
        <v>0</v>
      </c>
      <c r="BH133" s="147">
        <f t="shared" si="24"/>
        <v>0</v>
      </c>
      <c r="BI133" s="147">
        <f t="shared" si="24"/>
        <v>0</v>
      </c>
      <c r="BJ133" s="147">
        <f t="shared" si="24"/>
        <v>0</v>
      </c>
      <c r="BK133" s="147">
        <f t="shared" si="24"/>
        <v>0</v>
      </c>
      <c r="BL133" s="147">
        <f t="shared" si="24"/>
        <v>0</v>
      </c>
    </row>
    <row r="134" spans="3:64" s="155" customFormat="1" x14ac:dyDescent="0.15">
      <c r="C134" s="84" t="s">
        <v>374</v>
      </c>
      <c r="E134" s="147">
        <f t="shared" si="24"/>
        <v>0</v>
      </c>
      <c r="F134" s="147">
        <f t="shared" si="24"/>
        <v>0</v>
      </c>
      <c r="G134" s="147">
        <f t="shared" si="24"/>
        <v>0</v>
      </c>
      <c r="H134" s="147">
        <f t="shared" si="24"/>
        <v>0.35798257457370208</v>
      </c>
      <c r="I134" s="147">
        <f t="shared" si="24"/>
        <v>0.29557842050972088</v>
      </c>
      <c r="J134" s="147">
        <f t="shared" si="24"/>
        <v>0.25315114802103383</v>
      </c>
      <c r="K134" s="147">
        <f t="shared" si="24"/>
        <v>0.21542262454137631</v>
      </c>
      <c r="L134" s="147">
        <f t="shared" si="24"/>
        <v>0.19101652428211693</v>
      </c>
      <c r="M134" s="147">
        <f t="shared" si="24"/>
        <v>0.16822286081611554</v>
      </c>
      <c r="N134" s="147">
        <f t="shared" si="24"/>
        <v>0.14726882125068375</v>
      </c>
      <c r="O134" s="147">
        <f t="shared" si="24"/>
        <v>0.12757453447604183</v>
      </c>
      <c r="P134" s="147">
        <f t="shared" si="24"/>
        <v>0.10907208544633575</v>
      </c>
      <c r="Q134" s="147">
        <f t="shared" si="24"/>
        <v>9.1714037321239325E-2</v>
      </c>
      <c r="R134" s="147">
        <f t="shared" si="24"/>
        <v>7.5487487125657407E-2</v>
      </c>
      <c r="S134" s="147">
        <f t="shared" si="24"/>
        <v>6.0370779707007896E-2</v>
      </c>
      <c r="T134" s="147">
        <f t="shared" ref="T134:BL142" si="25">IF(T$5&gt;$D$7,0,T31*$E116)</f>
        <v>4.6337468316982613E-2</v>
      </c>
      <c r="U134" s="147">
        <f t="shared" si="25"/>
        <v>3.3356787370475094E-2</v>
      </c>
      <c r="V134" s="147">
        <f t="shared" si="25"/>
        <v>2.1392312047359592E-2</v>
      </c>
      <c r="W134" s="147">
        <f t="shared" si="25"/>
        <v>1.141070285671713E-2</v>
      </c>
      <c r="X134" s="147">
        <f t="shared" si="25"/>
        <v>0</v>
      </c>
      <c r="Y134" s="147">
        <f t="shared" si="25"/>
        <v>0</v>
      </c>
      <c r="Z134" s="147">
        <f t="shared" si="25"/>
        <v>0</v>
      </c>
      <c r="AA134" s="147">
        <f t="shared" si="25"/>
        <v>0</v>
      </c>
      <c r="AB134" s="147">
        <f t="shared" si="25"/>
        <v>0</v>
      </c>
      <c r="AC134" s="147">
        <f t="shared" si="25"/>
        <v>0</v>
      </c>
      <c r="AD134" s="147">
        <f t="shared" si="25"/>
        <v>0</v>
      </c>
      <c r="AE134" s="147">
        <f t="shared" si="25"/>
        <v>0</v>
      </c>
      <c r="AF134" s="147">
        <f t="shared" si="25"/>
        <v>0</v>
      </c>
      <c r="AG134" s="147">
        <f t="shared" si="25"/>
        <v>0</v>
      </c>
      <c r="AH134" s="147">
        <f t="shared" si="25"/>
        <v>0</v>
      </c>
      <c r="AI134" s="147">
        <f t="shared" si="25"/>
        <v>0</v>
      </c>
      <c r="AJ134" s="147">
        <f t="shared" si="25"/>
        <v>0</v>
      </c>
      <c r="AK134" s="147">
        <f t="shared" si="25"/>
        <v>0</v>
      </c>
      <c r="AL134" s="147">
        <f t="shared" si="25"/>
        <v>0</v>
      </c>
      <c r="AM134" s="147">
        <f t="shared" si="25"/>
        <v>0</v>
      </c>
      <c r="AN134" s="147">
        <f t="shared" si="25"/>
        <v>0</v>
      </c>
      <c r="AO134" s="147">
        <f t="shared" si="25"/>
        <v>0</v>
      </c>
      <c r="AP134" s="147">
        <f t="shared" si="25"/>
        <v>0</v>
      </c>
      <c r="AQ134" s="147">
        <f t="shared" si="25"/>
        <v>0</v>
      </c>
      <c r="AR134" s="147">
        <f t="shared" si="25"/>
        <v>0</v>
      </c>
      <c r="AS134" s="147">
        <f t="shared" si="25"/>
        <v>0</v>
      </c>
      <c r="AT134" s="147">
        <f t="shared" si="25"/>
        <v>0</v>
      </c>
      <c r="AU134" s="147">
        <f t="shared" si="25"/>
        <v>0</v>
      </c>
      <c r="AV134" s="147">
        <f t="shared" si="25"/>
        <v>0</v>
      </c>
      <c r="AW134" s="147">
        <f t="shared" si="25"/>
        <v>0</v>
      </c>
      <c r="AX134" s="147">
        <f t="shared" si="25"/>
        <v>0</v>
      </c>
      <c r="AY134" s="147">
        <f t="shared" si="25"/>
        <v>0</v>
      </c>
      <c r="AZ134" s="147">
        <f t="shared" si="25"/>
        <v>0</v>
      </c>
      <c r="BA134" s="147">
        <f t="shared" si="25"/>
        <v>0</v>
      </c>
      <c r="BB134" s="147">
        <f t="shared" si="25"/>
        <v>0</v>
      </c>
      <c r="BC134" s="147">
        <f t="shared" si="25"/>
        <v>0</v>
      </c>
      <c r="BD134" s="147">
        <f t="shared" si="25"/>
        <v>0</v>
      </c>
      <c r="BE134" s="147">
        <f t="shared" si="25"/>
        <v>0</v>
      </c>
      <c r="BF134" s="147">
        <f t="shared" si="25"/>
        <v>0</v>
      </c>
      <c r="BG134" s="147">
        <f t="shared" si="25"/>
        <v>0</v>
      </c>
      <c r="BH134" s="147">
        <f t="shared" si="25"/>
        <v>0</v>
      </c>
      <c r="BI134" s="147">
        <f t="shared" si="25"/>
        <v>0</v>
      </c>
      <c r="BJ134" s="147">
        <f t="shared" si="25"/>
        <v>0</v>
      </c>
      <c r="BK134" s="147">
        <f t="shared" si="25"/>
        <v>0</v>
      </c>
      <c r="BL134" s="147">
        <f t="shared" si="25"/>
        <v>0</v>
      </c>
    </row>
    <row r="135" spans="3:64" s="155" customFormat="1" x14ac:dyDescent="0.15">
      <c r="C135" s="84" t="s">
        <v>375</v>
      </c>
      <c r="E135" s="147">
        <f t="shared" ref="E135:AJ142" si="26">IF(E$5&gt;$D$7,0,E32*$E117)</f>
        <v>0</v>
      </c>
      <c r="F135" s="147">
        <f t="shared" si="26"/>
        <v>0</v>
      </c>
      <c r="G135" s="147">
        <f t="shared" si="26"/>
        <v>0</v>
      </c>
      <c r="H135" s="147">
        <f t="shared" si="26"/>
        <v>0</v>
      </c>
      <c r="I135" s="147">
        <f t="shared" si="26"/>
        <v>0.35798257457370203</v>
      </c>
      <c r="J135" s="147">
        <f t="shared" si="26"/>
        <v>0.29557842050972083</v>
      </c>
      <c r="K135" s="147">
        <f t="shared" si="26"/>
        <v>0.25315114802103383</v>
      </c>
      <c r="L135" s="147">
        <f t="shared" si="26"/>
        <v>0.21542262454137631</v>
      </c>
      <c r="M135" s="147">
        <f t="shared" si="26"/>
        <v>0.19101652428211693</v>
      </c>
      <c r="N135" s="147">
        <f t="shared" si="26"/>
        <v>0.16822286081611554</v>
      </c>
      <c r="O135" s="147">
        <f t="shared" si="26"/>
        <v>0.14726882125068375</v>
      </c>
      <c r="P135" s="147">
        <f t="shared" si="26"/>
        <v>0.12757453447604183</v>
      </c>
      <c r="Q135" s="147">
        <f t="shared" si="26"/>
        <v>0.10907208544633575</v>
      </c>
      <c r="R135" s="147">
        <f t="shared" si="26"/>
        <v>9.1714037321239325E-2</v>
      </c>
      <c r="S135" s="147">
        <f t="shared" si="26"/>
        <v>7.5487487125657393E-2</v>
      </c>
      <c r="T135" s="147">
        <f t="shared" si="26"/>
        <v>6.0370779707007896E-2</v>
      </c>
      <c r="U135" s="147">
        <f t="shared" si="26"/>
        <v>4.6337468316982613E-2</v>
      </c>
      <c r="V135" s="147">
        <f t="shared" si="26"/>
        <v>3.3356787370475087E-2</v>
      </c>
      <c r="W135" s="147">
        <f t="shared" si="26"/>
        <v>2.1392312047359589E-2</v>
      </c>
      <c r="X135" s="147">
        <f t="shared" si="26"/>
        <v>1.141070285671713E-2</v>
      </c>
      <c r="Y135" s="147">
        <f t="shared" si="26"/>
        <v>0</v>
      </c>
      <c r="Z135" s="147">
        <f t="shared" si="26"/>
        <v>0</v>
      </c>
      <c r="AA135" s="147">
        <f t="shared" si="26"/>
        <v>0</v>
      </c>
      <c r="AB135" s="147">
        <f t="shared" si="26"/>
        <v>0</v>
      </c>
      <c r="AC135" s="147">
        <f t="shared" si="26"/>
        <v>0</v>
      </c>
      <c r="AD135" s="147">
        <f t="shared" si="26"/>
        <v>0</v>
      </c>
      <c r="AE135" s="147">
        <f t="shared" si="26"/>
        <v>0</v>
      </c>
      <c r="AF135" s="147">
        <f t="shared" si="26"/>
        <v>0</v>
      </c>
      <c r="AG135" s="147">
        <f t="shared" si="26"/>
        <v>0</v>
      </c>
      <c r="AH135" s="147">
        <f t="shared" si="26"/>
        <v>0</v>
      </c>
      <c r="AI135" s="147">
        <f t="shared" si="26"/>
        <v>0</v>
      </c>
      <c r="AJ135" s="147">
        <f t="shared" si="26"/>
        <v>0</v>
      </c>
      <c r="AK135" s="147">
        <f t="shared" si="25"/>
        <v>0</v>
      </c>
      <c r="AL135" s="147">
        <f t="shared" si="25"/>
        <v>0</v>
      </c>
      <c r="AM135" s="147">
        <f t="shared" si="25"/>
        <v>0</v>
      </c>
      <c r="AN135" s="147">
        <f t="shared" si="25"/>
        <v>0</v>
      </c>
      <c r="AO135" s="147">
        <f t="shared" si="25"/>
        <v>0</v>
      </c>
      <c r="AP135" s="147">
        <f t="shared" si="25"/>
        <v>0</v>
      </c>
      <c r="AQ135" s="147">
        <f t="shared" si="25"/>
        <v>0</v>
      </c>
      <c r="AR135" s="147">
        <f t="shared" si="25"/>
        <v>0</v>
      </c>
      <c r="AS135" s="147">
        <f t="shared" si="25"/>
        <v>0</v>
      </c>
      <c r="AT135" s="147">
        <f t="shared" si="25"/>
        <v>0</v>
      </c>
      <c r="AU135" s="147">
        <f t="shared" si="25"/>
        <v>0</v>
      </c>
      <c r="AV135" s="147">
        <f t="shared" si="25"/>
        <v>0</v>
      </c>
      <c r="AW135" s="147">
        <f t="shared" si="25"/>
        <v>0</v>
      </c>
      <c r="AX135" s="147">
        <f t="shared" si="25"/>
        <v>0</v>
      </c>
      <c r="AY135" s="147">
        <f t="shared" si="25"/>
        <v>0</v>
      </c>
      <c r="AZ135" s="147">
        <f t="shared" si="25"/>
        <v>0</v>
      </c>
      <c r="BA135" s="147">
        <f t="shared" si="25"/>
        <v>0</v>
      </c>
      <c r="BB135" s="147">
        <f t="shared" si="25"/>
        <v>0</v>
      </c>
      <c r="BC135" s="147">
        <f t="shared" si="25"/>
        <v>0</v>
      </c>
      <c r="BD135" s="147">
        <f t="shared" si="25"/>
        <v>0</v>
      </c>
      <c r="BE135" s="147">
        <f t="shared" si="25"/>
        <v>0</v>
      </c>
      <c r="BF135" s="147">
        <f t="shared" si="25"/>
        <v>0</v>
      </c>
      <c r="BG135" s="147">
        <f t="shared" si="25"/>
        <v>0</v>
      </c>
      <c r="BH135" s="147">
        <f t="shared" si="25"/>
        <v>0</v>
      </c>
      <c r="BI135" s="147">
        <f t="shared" si="25"/>
        <v>0</v>
      </c>
      <c r="BJ135" s="147">
        <f t="shared" si="25"/>
        <v>0</v>
      </c>
      <c r="BK135" s="147">
        <f t="shared" si="25"/>
        <v>0</v>
      </c>
      <c r="BL135" s="147">
        <f t="shared" si="25"/>
        <v>0</v>
      </c>
    </row>
    <row r="136" spans="3:64" s="155" customFormat="1" x14ac:dyDescent="0.15">
      <c r="C136" s="84" t="s">
        <v>376</v>
      </c>
      <c r="E136" s="147">
        <f t="shared" si="26"/>
        <v>0</v>
      </c>
      <c r="F136" s="147">
        <f t="shared" si="26"/>
        <v>0</v>
      </c>
      <c r="G136" s="147">
        <f t="shared" si="26"/>
        <v>0</v>
      </c>
      <c r="H136" s="147">
        <f t="shared" si="26"/>
        <v>0</v>
      </c>
      <c r="I136" s="147">
        <f t="shared" si="26"/>
        <v>0</v>
      </c>
      <c r="J136" s="147">
        <f t="shared" si="26"/>
        <v>0.35798257457370214</v>
      </c>
      <c r="K136" s="147">
        <f t="shared" si="26"/>
        <v>0.29557842050972088</v>
      </c>
      <c r="L136" s="147">
        <f t="shared" si="26"/>
        <v>0.25315114802103389</v>
      </c>
      <c r="M136" s="147">
        <f t="shared" si="26"/>
        <v>0.21542262454137637</v>
      </c>
      <c r="N136" s="147">
        <f t="shared" si="26"/>
        <v>0.19101652428211699</v>
      </c>
      <c r="O136" s="147">
        <f t="shared" si="26"/>
        <v>0.16822286081611557</v>
      </c>
      <c r="P136" s="147">
        <f t="shared" si="26"/>
        <v>0.1472688212506838</v>
      </c>
      <c r="Q136" s="147">
        <f t="shared" si="26"/>
        <v>0.12757453447604186</v>
      </c>
      <c r="R136" s="147">
        <f t="shared" si="26"/>
        <v>0.10907208544633577</v>
      </c>
      <c r="S136" s="147">
        <f t="shared" si="26"/>
        <v>9.1714037321239339E-2</v>
      </c>
      <c r="T136" s="147">
        <f t="shared" si="26"/>
        <v>7.5487487125657407E-2</v>
      </c>
      <c r="U136" s="147">
        <f t="shared" si="26"/>
        <v>6.037077970700791E-2</v>
      </c>
      <c r="V136" s="147">
        <f t="shared" si="26"/>
        <v>4.6337468316982627E-2</v>
      </c>
      <c r="W136" s="147">
        <f t="shared" si="26"/>
        <v>3.3356787370475094E-2</v>
      </c>
      <c r="X136" s="147">
        <f t="shared" si="26"/>
        <v>2.1392312047359596E-2</v>
      </c>
      <c r="Y136" s="147">
        <f t="shared" si="26"/>
        <v>1.1410702856717133E-2</v>
      </c>
      <c r="Z136" s="147">
        <f t="shared" si="26"/>
        <v>0</v>
      </c>
      <c r="AA136" s="147">
        <f t="shared" si="26"/>
        <v>0</v>
      </c>
      <c r="AB136" s="147">
        <f t="shared" si="26"/>
        <v>0</v>
      </c>
      <c r="AC136" s="147">
        <f t="shared" si="26"/>
        <v>0</v>
      </c>
      <c r="AD136" s="147">
        <f t="shared" si="26"/>
        <v>0</v>
      </c>
      <c r="AE136" s="147">
        <f t="shared" si="26"/>
        <v>0</v>
      </c>
      <c r="AF136" s="147">
        <f t="shared" si="26"/>
        <v>0</v>
      </c>
      <c r="AG136" s="147">
        <f t="shared" si="26"/>
        <v>0</v>
      </c>
      <c r="AH136" s="147">
        <f t="shared" si="26"/>
        <v>0</v>
      </c>
      <c r="AI136" s="147">
        <f t="shared" si="26"/>
        <v>0</v>
      </c>
      <c r="AJ136" s="147">
        <f t="shared" si="26"/>
        <v>0</v>
      </c>
      <c r="AK136" s="147">
        <f t="shared" si="25"/>
        <v>0</v>
      </c>
      <c r="AL136" s="147">
        <f t="shared" si="25"/>
        <v>0</v>
      </c>
      <c r="AM136" s="147">
        <f t="shared" si="25"/>
        <v>0</v>
      </c>
      <c r="AN136" s="147">
        <f t="shared" si="25"/>
        <v>0</v>
      </c>
      <c r="AO136" s="147">
        <f t="shared" si="25"/>
        <v>0</v>
      </c>
      <c r="AP136" s="147">
        <f t="shared" si="25"/>
        <v>0</v>
      </c>
      <c r="AQ136" s="147">
        <f t="shared" si="25"/>
        <v>0</v>
      </c>
      <c r="AR136" s="147">
        <f t="shared" si="25"/>
        <v>0</v>
      </c>
      <c r="AS136" s="147">
        <f t="shared" si="25"/>
        <v>0</v>
      </c>
      <c r="AT136" s="147">
        <f t="shared" si="25"/>
        <v>0</v>
      </c>
      <c r="AU136" s="147">
        <f t="shared" si="25"/>
        <v>0</v>
      </c>
      <c r="AV136" s="147">
        <f t="shared" si="25"/>
        <v>0</v>
      </c>
      <c r="AW136" s="147">
        <f t="shared" si="25"/>
        <v>0</v>
      </c>
      <c r="AX136" s="147">
        <f t="shared" si="25"/>
        <v>0</v>
      </c>
      <c r="AY136" s="147">
        <f t="shared" si="25"/>
        <v>0</v>
      </c>
      <c r="AZ136" s="147">
        <f t="shared" si="25"/>
        <v>0</v>
      </c>
      <c r="BA136" s="147">
        <f t="shared" si="25"/>
        <v>0</v>
      </c>
      <c r="BB136" s="147">
        <f t="shared" si="25"/>
        <v>0</v>
      </c>
      <c r="BC136" s="147">
        <f t="shared" si="25"/>
        <v>0</v>
      </c>
      <c r="BD136" s="147">
        <f t="shared" si="25"/>
        <v>0</v>
      </c>
      <c r="BE136" s="147">
        <f t="shared" si="25"/>
        <v>0</v>
      </c>
      <c r="BF136" s="147">
        <f t="shared" si="25"/>
        <v>0</v>
      </c>
      <c r="BG136" s="147">
        <f t="shared" si="25"/>
        <v>0</v>
      </c>
      <c r="BH136" s="147">
        <f t="shared" si="25"/>
        <v>0</v>
      </c>
      <c r="BI136" s="147">
        <f t="shared" si="25"/>
        <v>0</v>
      </c>
      <c r="BJ136" s="147">
        <f t="shared" si="25"/>
        <v>0</v>
      </c>
      <c r="BK136" s="147">
        <f t="shared" si="25"/>
        <v>0</v>
      </c>
      <c r="BL136" s="147">
        <f t="shared" si="25"/>
        <v>0</v>
      </c>
    </row>
    <row r="137" spans="3:64" s="155" customFormat="1" x14ac:dyDescent="0.15">
      <c r="C137" s="84" t="s">
        <v>378</v>
      </c>
      <c r="E137" s="147">
        <f t="shared" si="26"/>
        <v>0</v>
      </c>
      <c r="F137" s="147">
        <f t="shared" si="26"/>
        <v>0</v>
      </c>
      <c r="G137" s="147">
        <f t="shared" si="26"/>
        <v>0</v>
      </c>
      <c r="H137" s="147">
        <f t="shared" si="26"/>
        <v>0</v>
      </c>
      <c r="I137" s="147">
        <f t="shared" si="26"/>
        <v>0</v>
      </c>
      <c r="J137" s="147">
        <f t="shared" si="26"/>
        <v>0</v>
      </c>
      <c r="K137" s="147">
        <f t="shared" si="26"/>
        <v>0.35798257457370214</v>
      </c>
      <c r="L137" s="147">
        <f t="shared" si="26"/>
        <v>0.29557842050972083</v>
      </c>
      <c r="M137" s="147">
        <f t="shared" si="26"/>
        <v>0.25315114802103389</v>
      </c>
      <c r="N137" s="147">
        <f t="shared" si="26"/>
        <v>0.21542262454137637</v>
      </c>
      <c r="O137" s="147">
        <f t="shared" si="26"/>
        <v>0.19101652428211696</v>
      </c>
      <c r="P137" s="147">
        <f t="shared" si="26"/>
        <v>0.16822286081611557</v>
      </c>
      <c r="Q137" s="147">
        <f t="shared" si="26"/>
        <v>0.1472688212506838</v>
      </c>
      <c r="R137" s="147">
        <f t="shared" si="26"/>
        <v>0.12757453447604183</v>
      </c>
      <c r="S137" s="147">
        <f t="shared" si="26"/>
        <v>0.10907208544633577</v>
      </c>
      <c r="T137" s="147">
        <f t="shared" si="26"/>
        <v>9.1714037321239325E-2</v>
      </c>
      <c r="U137" s="147">
        <f t="shared" si="26"/>
        <v>7.5487487125657407E-2</v>
      </c>
      <c r="V137" s="147">
        <f t="shared" si="26"/>
        <v>6.0370779707007903E-2</v>
      </c>
      <c r="W137" s="147">
        <f t="shared" si="26"/>
        <v>4.633746831698262E-2</v>
      </c>
      <c r="X137" s="147">
        <f t="shared" si="26"/>
        <v>3.3356787370475087E-2</v>
      </c>
      <c r="Y137" s="147">
        <f t="shared" si="26"/>
        <v>2.1392312047359596E-2</v>
      </c>
      <c r="Z137" s="147">
        <f t="shared" si="26"/>
        <v>1.1410702856717131E-2</v>
      </c>
      <c r="AA137" s="147">
        <f t="shared" si="26"/>
        <v>0</v>
      </c>
      <c r="AB137" s="147">
        <f t="shared" si="26"/>
        <v>0</v>
      </c>
      <c r="AC137" s="147">
        <f t="shared" si="26"/>
        <v>0</v>
      </c>
      <c r="AD137" s="147">
        <f t="shared" si="26"/>
        <v>0</v>
      </c>
      <c r="AE137" s="147">
        <f t="shared" si="26"/>
        <v>0</v>
      </c>
      <c r="AF137" s="147">
        <f t="shared" si="26"/>
        <v>0</v>
      </c>
      <c r="AG137" s="147">
        <f t="shared" si="26"/>
        <v>0</v>
      </c>
      <c r="AH137" s="147">
        <f t="shared" si="26"/>
        <v>0</v>
      </c>
      <c r="AI137" s="147">
        <f t="shared" si="26"/>
        <v>0</v>
      </c>
      <c r="AJ137" s="147">
        <f t="shared" si="26"/>
        <v>0</v>
      </c>
      <c r="AK137" s="147">
        <f t="shared" si="25"/>
        <v>0</v>
      </c>
      <c r="AL137" s="147">
        <f t="shared" si="25"/>
        <v>0</v>
      </c>
      <c r="AM137" s="147">
        <f t="shared" si="25"/>
        <v>0</v>
      </c>
      <c r="AN137" s="147">
        <f t="shared" si="25"/>
        <v>0</v>
      </c>
      <c r="AO137" s="147">
        <f t="shared" si="25"/>
        <v>0</v>
      </c>
      <c r="AP137" s="147">
        <f t="shared" si="25"/>
        <v>0</v>
      </c>
      <c r="AQ137" s="147">
        <f t="shared" si="25"/>
        <v>0</v>
      </c>
      <c r="AR137" s="147">
        <f t="shared" si="25"/>
        <v>0</v>
      </c>
      <c r="AS137" s="147">
        <f t="shared" si="25"/>
        <v>0</v>
      </c>
      <c r="AT137" s="147">
        <f t="shared" si="25"/>
        <v>0</v>
      </c>
      <c r="AU137" s="147">
        <f t="shared" si="25"/>
        <v>0</v>
      </c>
      <c r="AV137" s="147">
        <f t="shared" si="25"/>
        <v>0</v>
      </c>
      <c r="AW137" s="147">
        <f t="shared" si="25"/>
        <v>0</v>
      </c>
      <c r="AX137" s="147">
        <f t="shared" si="25"/>
        <v>0</v>
      </c>
      <c r="AY137" s="147">
        <f t="shared" si="25"/>
        <v>0</v>
      </c>
      <c r="AZ137" s="147">
        <f t="shared" si="25"/>
        <v>0</v>
      </c>
      <c r="BA137" s="147">
        <f t="shared" si="25"/>
        <v>0</v>
      </c>
      <c r="BB137" s="147">
        <f t="shared" si="25"/>
        <v>0</v>
      </c>
      <c r="BC137" s="147">
        <f t="shared" si="25"/>
        <v>0</v>
      </c>
      <c r="BD137" s="147">
        <f t="shared" si="25"/>
        <v>0</v>
      </c>
      <c r="BE137" s="147">
        <f t="shared" si="25"/>
        <v>0</v>
      </c>
      <c r="BF137" s="147">
        <f t="shared" si="25"/>
        <v>0</v>
      </c>
      <c r="BG137" s="147">
        <f t="shared" si="25"/>
        <v>0</v>
      </c>
      <c r="BH137" s="147">
        <f t="shared" si="25"/>
        <v>0</v>
      </c>
      <c r="BI137" s="147">
        <f t="shared" si="25"/>
        <v>0</v>
      </c>
      <c r="BJ137" s="147">
        <f t="shared" si="25"/>
        <v>0</v>
      </c>
      <c r="BK137" s="147">
        <f t="shared" si="25"/>
        <v>0</v>
      </c>
      <c r="BL137" s="147">
        <f t="shared" si="25"/>
        <v>0</v>
      </c>
    </row>
    <row r="138" spans="3:64" s="155" customFormat="1" x14ac:dyDescent="0.15">
      <c r="C138" s="84" t="s">
        <v>379</v>
      </c>
      <c r="E138" s="147">
        <f t="shared" si="26"/>
        <v>0</v>
      </c>
      <c r="F138" s="147">
        <f t="shared" si="26"/>
        <v>0</v>
      </c>
      <c r="G138" s="147">
        <f t="shared" si="26"/>
        <v>0</v>
      </c>
      <c r="H138" s="147">
        <f t="shared" si="26"/>
        <v>0</v>
      </c>
      <c r="I138" s="147">
        <f t="shared" si="26"/>
        <v>0</v>
      </c>
      <c r="J138" s="147">
        <f t="shared" si="26"/>
        <v>0</v>
      </c>
      <c r="K138" s="147">
        <f t="shared" si="26"/>
        <v>0</v>
      </c>
      <c r="L138" s="147">
        <f t="shared" si="26"/>
        <v>0.36528834140173688</v>
      </c>
      <c r="M138" s="147">
        <f t="shared" si="26"/>
        <v>0.30161063317318454</v>
      </c>
      <c r="N138" s="147">
        <f t="shared" si="26"/>
        <v>0.25831749798064679</v>
      </c>
      <c r="O138" s="147">
        <f t="shared" si="26"/>
        <v>0.21981900463405751</v>
      </c>
      <c r="P138" s="147">
        <f t="shared" si="26"/>
        <v>0.19491482069603772</v>
      </c>
      <c r="Q138" s="147">
        <f t="shared" si="26"/>
        <v>0.17165598042460772</v>
      </c>
      <c r="R138" s="147">
        <f t="shared" si="26"/>
        <v>0.15027430739865694</v>
      </c>
      <c r="S138" s="147">
        <f t="shared" si="26"/>
        <v>0.13017809640412434</v>
      </c>
      <c r="T138" s="147">
        <f t="shared" si="26"/>
        <v>0.11129804637381202</v>
      </c>
      <c r="U138" s="147">
        <f t="shared" si="26"/>
        <v>9.3585752368611566E-2</v>
      </c>
      <c r="V138" s="147">
        <f t="shared" si="26"/>
        <v>7.7028048087405515E-2</v>
      </c>
      <c r="W138" s="147">
        <f t="shared" si="26"/>
        <v>6.1602836435722355E-2</v>
      </c>
      <c r="X138" s="147">
        <f t="shared" si="26"/>
        <v>4.7283130935696555E-2</v>
      </c>
      <c r="Y138" s="147">
        <f t="shared" si="26"/>
        <v>3.403753813313784E-2</v>
      </c>
      <c r="Z138" s="147">
        <f t="shared" si="26"/>
        <v>2.1828889844244484E-2</v>
      </c>
      <c r="AA138" s="147">
        <f t="shared" si="26"/>
        <v>0</v>
      </c>
      <c r="AB138" s="147">
        <f t="shared" si="26"/>
        <v>0</v>
      </c>
      <c r="AC138" s="147">
        <f t="shared" si="26"/>
        <v>0</v>
      </c>
      <c r="AD138" s="147">
        <f t="shared" si="26"/>
        <v>0</v>
      </c>
      <c r="AE138" s="147">
        <f t="shared" si="26"/>
        <v>0</v>
      </c>
      <c r="AF138" s="147">
        <f t="shared" si="26"/>
        <v>0</v>
      </c>
      <c r="AG138" s="147">
        <f t="shared" si="26"/>
        <v>0</v>
      </c>
      <c r="AH138" s="147">
        <f t="shared" si="26"/>
        <v>0</v>
      </c>
      <c r="AI138" s="147">
        <f t="shared" si="26"/>
        <v>0</v>
      </c>
      <c r="AJ138" s="147">
        <f t="shared" si="26"/>
        <v>0</v>
      </c>
      <c r="AK138" s="147">
        <f t="shared" si="25"/>
        <v>0</v>
      </c>
      <c r="AL138" s="147">
        <f t="shared" si="25"/>
        <v>0</v>
      </c>
      <c r="AM138" s="147">
        <f t="shared" si="25"/>
        <v>0</v>
      </c>
      <c r="AN138" s="147">
        <f t="shared" si="25"/>
        <v>0</v>
      </c>
      <c r="AO138" s="147">
        <f t="shared" si="25"/>
        <v>0</v>
      </c>
      <c r="AP138" s="147">
        <f t="shared" si="25"/>
        <v>0</v>
      </c>
      <c r="AQ138" s="147">
        <f t="shared" si="25"/>
        <v>0</v>
      </c>
      <c r="AR138" s="147">
        <f t="shared" si="25"/>
        <v>0</v>
      </c>
      <c r="AS138" s="147">
        <f t="shared" si="25"/>
        <v>0</v>
      </c>
      <c r="AT138" s="147">
        <f t="shared" si="25"/>
        <v>0</v>
      </c>
      <c r="AU138" s="147">
        <f t="shared" si="25"/>
        <v>0</v>
      </c>
      <c r="AV138" s="147">
        <f t="shared" si="25"/>
        <v>0</v>
      </c>
      <c r="AW138" s="147">
        <f t="shared" si="25"/>
        <v>0</v>
      </c>
      <c r="AX138" s="147">
        <f t="shared" si="25"/>
        <v>0</v>
      </c>
      <c r="AY138" s="147">
        <f t="shared" si="25"/>
        <v>0</v>
      </c>
      <c r="AZ138" s="147">
        <f t="shared" si="25"/>
        <v>0</v>
      </c>
      <c r="BA138" s="147">
        <f t="shared" si="25"/>
        <v>0</v>
      </c>
      <c r="BB138" s="147">
        <f t="shared" si="25"/>
        <v>0</v>
      </c>
      <c r="BC138" s="147">
        <f t="shared" si="25"/>
        <v>0</v>
      </c>
      <c r="BD138" s="147">
        <f t="shared" si="25"/>
        <v>0</v>
      </c>
      <c r="BE138" s="147">
        <f t="shared" si="25"/>
        <v>0</v>
      </c>
      <c r="BF138" s="147">
        <f t="shared" si="25"/>
        <v>0</v>
      </c>
      <c r="BG138" s="147">
        <f t="shared" si="25"/>
        <v>0</v>
      </c>
      <c r="BH138" s="147">
        <f t="shared" si="25"/>
        <v>0</v>
      </c>
      <c r="BI138" s="147">
        <f t="shared" si="25"/>
        <v>0</v>
      </c>
      <c r="BJ138" s="147">
        <f t="shared" si="25"/>
        <v>0</v>
      </c>
      <c r="BK138" s="147">
        <f t="shared" si="25"/>
        <v>0</v>
      </c>
      <c r="BL138" s="147">
        <f t="shared" si="25"/>
        <v>0</v>
      </c>
    </row>
    <row r="139" spans="3:64" s="155" customFormat="1" x14ac:dyDescent="0.15">
      <c r="C139" s="84" t="s">
        <v>380</v>
      </c>
      <c r="E139" s="147">
        <f t="shared" si="26"/>
        <v>0</v>
      </c>
      <c r="F139" s="147">
        <f t="shared" si="26"/>
        <v>0</v>
      </c>
      <c r="G139" s="147">
        <f t="shared" si="26"/>
        <v>0</v>
      </c>
      <c r="H139" s="147">
        <f t="shared" si="26"/>
        <v>0</v>
      </c>
      <c r="I139" s="147">
        <f t="shared" si="26"/>
        <v>0</v>
      </c>
      <c r="J139" s="147">
        <f t="shared" si="26"/>
        <v>0</v>
      </c>
      <c r="K139" s="147">
        <f t="shared" si="26"/>
        <v>0</v>
      </c>
      <c r="L139" s="147">
        <f t="shared" si="26"/>
        <v>0</v>
      </c>
      <c r="M139" s="147">
        <f t="shared" si="26"/>
        <v>0.36528834140173688</v>
      </c>
      <c r="N139" s="147">
        <f t="shared" si="26"/>
        <v>0.30161063317318454</v>
      </c>
      <c r="O139" s="147">
        <f t="shared" si="26"/>
        <v>0.25831749798064679</v>
      </c>
      <c r="P139" s="147">
        <f t="shared" si="26"/>
        <v>0.21981900463405749</v>
      </c>
      <c r="Q139" s="147">
        <f t="shared" si="26"/>
        <v>0.19491482069603772</v>
      </c>
      <c r="R139" s="147">
        <f t="shared" si="26"/>
        <v>0.1716559804246077</v>
      </c>
      <c r="S139" s="147">
        <f t="shared" si="26"/>
        <v>0.15027430739865694</v>
      </c>
      <c r="T139" s="147">
        <f t="shared" si="26"/>
        <v>0.13017809640412434</v>
      </c>
      <c r="U139" s="147">
        <f t="shared" si="26"/>
        <v>0.11129804637381201</v>
      </c>
      <c r="V139" s="147">
        <f t="shared" si="26"/>
        <v>9.3585752368611552E-2</v>
      </c>
      <c r="W139" s="147">
        <f t="shared" si="26"/>
        <v>7.7028048087405515E-2</v>
      </c>
      <c r="X139" s="147">
        <f t="shared" si="26"/>
        <v>6.1602836435722348E-2</v>
      </c>
      <c r="Y139" s="147">
        <f t="shared" si="26"/>
        <v>4.7283130935696548E-2</v>
      </c>
      <c r="Z139" s="147">
        <f t="shared" si="26"/>
        <v>3.403753813313784E-2</v>
      </c>
      <c r="AA139" s="147">
        <f t="shared" si="26"/>
        <v>0</v>
      </c>
      <c r="AB139" s="147">
        <f t="shared" si="26"/>
        <v>0</v>
      </c>
      <c r="AC139" s="147">
        <f t="shared" si="26"/>
        <v>0</v>
      </c>
      <c r="AD139" s="147">
        <f t="shared" si="26"/>
        <v>0</v>
      </c>
      <c r="AE139" s="147">
        <f t="shared" si="26"/>
        <v>0</v>
      </c>
      <c r="AF139" s="147">
        <f t="shared" si="26"/>
        <v>0</v>
      </c>
      <c r="AG139" s="147">
        <f t="shared" si="26"/>
        <v>0</v>
      </c>
      <c r="AH139" s="147">
        <f t="shared" si="26"/>
        <v>0</v>
      </c>
      <c r="AI139" s="147">
        <f t="shared" si="26"/>
        <v>0</v>
      </c>
      <c r="AJ139" s="147">
        <f t="shared" si="26"/>
        <v>0</v>
      </c>
      <c r="AK139" s="147">
        <f t="shared" si="25"/>
        <v>0</v>
      </c>
      <c r="AL139" s="147">
        <f t="shared" si="25"/>
        <v>0</v>
      </c>
      <c r="AM139" s="147">
        <f t="shared" si="25"/>
        <v>0</v>
      </c>
      <c r="AN139" s="147">
        <f t="shared" si="25"/>
        <v>0</v>
      </c>
      <c r="AO139" s="147">
        <f t="shared" si="25"/>
        <v>0</v>
      </c>
      <c r="AP139" s="147">
        <f t="shared" si="25"/>
        <v>0</v>
      </c>
      <c r="AQ139" s="147">
        <f t="shared" si="25"/>
        <v>0</v>
      </c>
      <c r="AR139" s="147">
        <f t="shared" si="25"/>
        <v>0</v>
      </c>
      <c r="AS139" s="147">
        <f t="shared" si="25"/>
        <v>0</v>
      </c>
      <c r="AT139" s="147">
        <f t="shared" si="25"/>
        <v>0</v>
      </c>
      <c r="AU139" s="147">
        <f t="shared" si="25"/>
        <v>0</v>
      </c>
      <c r="AV139" s="147">
        <f t="shared" si="25"/>
        <v>0</v>
      </c>
      <c r="AW139" s="147">
        <f t="shared" si="25"/>
        <v>0</v>
      </c>
      <c r="AX139" s="147">
        <f t="shared" si="25"/>
        <v>0</v>
      </c>
      <c r="AY139" s="147">
        <f t="shared" si="25"/>
        <v>0</v>
      </c>
      <c r="AZ139" s="147">
        <f t="shared" si="25"/>
        <v>0</v>
      </c>
      <c r="BA139" s="147">
        <f t="shared" si="25"/>
        <v>0</v>
      </c>
      <c r="BB139" s="147">
        <f t="shared" si="25"/>
        <v>0</v>
      </c>
      <c r="BC139" s="147">
        <f t="shared" si="25"/>
        <v>0</v>
      </c>
      <c r="BD139" s="147">
        <f t="shared" si="25"/>
        <v>0</v>
      </c>
      <c r="BE139" s="147">
        <f t="shared" si="25"/>
        <v>0</v>
      </c>
      <c r="BF139" s="147">
        <f t="shared" si="25"/>
        <v>0</v>
      </c>
      <c r="BG139" s="147">
        <f t="shared" si="25"/>
        <v>0</v>
      </c>
      <c r="BH139" s="147">
        <f t="shared" si="25"/>
        <v>0</v>
      </c>
      <c r="BI139" s="147">
        <f t="shared" si="25"/>
        <v>0</v>
      </c>
      <c r="BJ139" s="147">
        <f t="shared" si="25"/>
        <v>0</v>
      </c>
      <c r="BK139" s="147">
        <f t="shared" si="25"/>
        <v>0</v>
      </c>
      <c r="BL139" s="147">
        <f t="shared" si="25"/>
        <v>0</v>
      </c>
    </row>
    <row r="140" spans="3:64" x14ac:dyDescent="0.15">
      <c r="C140" s="84" t="s">
        <v>381</v>
      </c>
      <c r="E140" s="147">
        <f t="shared" si="26"/>
        <v>0</v>
      </c>
      <c r="F140" s="147">
        <f t="shared" si="26"/>
        <v>0</v>
      </c>
      <c r="G140" s="147">
        <f t="shared" si="26"/>
        <v>0</v>
      </c>
      <c r="H140" s="147">
        <f t="shared" si="26"/>
        <v>0</v>
      </c>
      <c r="I140" s="147">
        <f t="shared" si="26"/>
        <v>0</v>
      </c>
      <c r="J140" s="147">
        <f t="shared" si="26"/>
        <v>0</v>
      </c>
      <c r="K140" s="147">
        <f t="shared" si="26"/>
        <v>0</v>
      </c>
      <c r="L140" s="147">
        <f t="shared" si="26"/>
        <v>0</v>
      </c>
      <c r="M140" s="147">
        <f t="shared" si="26"/>
        <v>0</v>
      </c>
      <c r="N140" s="147">
        <f t="shared" si="26"/>
        <v>0.36528834140173688</v>
      </c>
      <c r="O140" s="147">
        <f t="shared" si="26"/>
        <v>0.30161063317318454</v>
      </c>
      <c r="P140" s="147">
        <f t="shared" si="26"/>
        <v>0.25831749798064679</v>
      </c>
      <c r="Q140" s="147">
        <f t="shared" si="26"/>
        <v>0.21981900463405749</v>
      </c>
      <c r="R140" s="147">
        <f t="shared" si="26"/>
        <v>0.19491482069603772</v>
      </c>
      <c r="S140" s="147">
        <f t="shared" si="26"/>
        <v>0.1716559804246077</v>
      </c>
      <c r="T140" s="147">
        <f t="shared" si="26"/>
        <v>0.15027430739865694</v>
      </c>
      <c r="U140" s="147">
        <f t="shared" si="26"/>
        <v>0.13017809640412434</v>
      </c>
      <c r="V140" s="147">
        <f t="shared" si="26"/>
        <v>0.11129804637381201</v>
      </c>
      <c r="W140" s="147">
        <f t="shared" si="26"/>
        <v>9.3585752368611552E-2</v>
      </c>
      <c r="X140" s="147">
        <f t="shared" si="26"/>
        <v>7.7028048087405515E-2</v>
      </c>
      <c r="Y140" s="147">
        <f t="shared" si="26"/>
        <v>6.1602836435722348E-2</v>
      </c>
      <c r="Z140" s="147">
        <f t="shared" si="26"/>
        <v>4.7283130935696548E-2</v>
      </c>
      <c r="AA140" s="147">
        <f t="shared" si="26"/>
        <v>0</v>
      </c>
      <c r="AB140" s="147">
        <f t="shared" si="26"/>
        <v>0</v>
      </c>
      <c r="AC140" s="147">
        <f t="shared" si="26"/>
        <v>0</v>
      </c>
      <c r="AD140" s="147">
        <f t="shared" si="26"/>
        <v>0</v>
      </c>
      <c r="AE140" s="147">
        <f t="shared" si="26"/>
        <v>0</v>
      </c>
      <c r="AF140" s="147">
        <f t="shared" si="26"/>
        <v>0</v>
      </c>
      <c r="AG140" s="147">
        <f t="shared" si="26"/>
        <v>0</v>
      </c>
      <c r="AH140" s="147">
        <f t="shared" si="26"/>
        <v>0</v>
      </c>
      <c r="AI140" s="147">
        <f t="shared" si="26"/>
        <v>0</v>
      </c>
      <c r="AJ140" s="147">
        <f t="shared" si="26"/>
        <v>0</v>
      </c>
      <c r="AK140" s="147">
        <f t="shared" si="25"/>
        <v>0</v>
      </c>
      <c r="AL140" s="147">
        <f t="shared" si="25"/>
        <v>0</v>
      </c>
      <c r="AM140" s="147">
        <f t="shared" si="25"/>
        <v>0</v>
      </c>
      <c r="AN140" s="147">
        <f t="shared" si="25"/>
        <v>0</v>
      </c>
      <c r="AO140" s="147">
        <f t="shared" si="25"/>
        <v>0</v>
      </c>
      <c r="AP140" s="147">
        <f t="shared" si="25"/>
        <v>0</v>
      </c>
      <c r="AQ140" s="147">
        <f t="shared" si="25"/>
        <v>0</v>
      </c>
      <c r="AR140" s="147">
        <f t="shared" si="25"/>
        <v>0</v>
      </c>
      <c r="AS140" s="147">
        <f t="shared" si="25"/>
        <v>0</v>
      </c>
      <c r="AT140" s="147">
        <f t="shared" si="25"/>
        <v>0</v>
      </c>
      <c r="AU140" s="147">
        <f t="shared" si="25"/>
        <v>0</v>
      </c>
      <c r="AV140" s="147">
        <f t="shared" si="25"/>
        <v>0</v>
      </c>
      <c r="AW140" s="147">
        <f t="shared" si="25"/>
        <v>0</v>
      </c>
      <c r="AX140" s="147">
        <f t="shared" si="25"/>
        <v>0</v>
      </c>
      <c r="AY140" s="147">
        <f t="shared" si="25"/>
        <v>0</v>
      </c>
      <c r="AZ140" s="147">
        <f t="shared" si="25"/>
        <v>0</v>
      </c>
      <c r="BA140" s="147">
        <f t="shared" si="25"/>
        <v>0</v>
      </c>
      <c r="BB140" s="147">
        <f t="shared" si="25"/>
        <v>0</v>
      </c>
      <c r="BC140" s="147">
        <f t="shared" si="25"/>
        <v>0</v>
      </c>
      <c r="BD140" s="147">
        <f t="shared" si="25"/>
        <v>0</v>
      </c>
      <c r="BE140" s="147">
        <f t="shared" si="25"/>
        <v>0</v>
      </c>
      <c r="BF140" s="147">
        <f t="shared" si="25"/>
        <v>0</v>
      </c>
      <c r="BG140" s="147">
        <f t="shared" si="25"/>
        <v>0</v>
      </c>
      <c r="BH140" s="147">
        <f t="shared" si="25"/>
        <v>0</v>
      </c>
      <c r="BI140" s="147">
        <f t="shared" si="25"/>
        <v>0</v>
      </c>
      <c r="BJ140" s="147">
        <f t="shared" si="25"/>
        <v>0</v>
      </c>
      <c r="BK140" s="147">
        <f t="shared" si="25"/>
        <v>0</v>
      </c>
      <c r="BL140" s="147">
        <f t="shared" si="25"/>
        <v>0</v>
      </c>
    </row>
    <row r="141" spans="3:64" x14ac:dyDescent="0.15">
      <c r="C141" s="84" t="s">
        <v>382</v>
      </c>
      <c r="E141" s="147">
        <f t="shared" si="26"/>
        <v>0</v>
      </c>
      <c r="F141" s="147">
        <f t="shared" si="26"/>
        <v>0</v>
      </c>
      <c r="G141" s="147">
        <f t="shared" si="26"/>
        <v>0</v>
      </c>
      <c r="H141" s="147">
        <f t="shared" si="26"/>
        <v>0</v>
      </c>
      <c r="I141" s="147">
        <f t="shared" si="26"/>
        <v>0</v>
      </c>
      <c r="J141" s="147">
        <f t="shared" si="26"/>
        <v>0</v>
      </c>
      <c r="K141" s="147">
        <f t="shared" si="26"/>
        <v>0</v>
      </c>
      <c r="L141" s="147">
        <f t="shared" si="26"/>
        <v>0</v>
      </c>
      <c r="M141" s="147">
        <f t="shared" si="26"/>
        <v>0</v>
      </c>
      <c r="N141" s="147">
        <f t="shared" si="26"/>
        <v>0</v>
      </c>
      <c r="O141" s="147">
        <f t="shared" si="26"/>
        <v>0.36528834140173688</v>
      </c>
      <c r="P141" s="147">
        <f t="shared" si="26"/>
        <v>0.30161063317318454</v>
      </c>
      <c r="Q141" s="147">
        <f t="shared" si="26"/>
        <v>0.25831749798064679</v>
      </c>
      <c r="R141" s="147">
        <f t="shared" si="26"/>
        <v>0.21981900463405749</v>
      </c>
      <c r="S141" s="147">
        <f t="shared" si="26"/>
        <v>0.19491482069603772</v>
      </c>
      <c r="T141" s="147">
        <f t="shared" si="26"/>
        <v>0.1716559804246077</v>
      </c>
      <c r="U141" s="147">
        <f t="shared" si="26"/>
        <v>0.15027430739865694</v>
      </c>
      <c r="V141" s="147">
        <f t="shared" si="26"/>
        <v>0.13017809640412434</v>
      </c>
      <c r="W141" s="147">
        <f t="shared" si="26"/>
        <v>0.11129804637381201</v>
      </c>
      <c r="X141" s="147">
        <f t="shared" si="26"/>
        <v>9.3585752368611552E-2</v>
      </c>
      <c r="Y141" s="147">
        <f t="shared" si="26"/>
        <v>7.7028048087405515E-2</v>
      </c>
      <c r="Z141" s="147">
        <f t="shared" si="26"/>
        <v>6.1602836435722348E-2</v>
      </c>
      <c r="AA141" s="147">
        <f t="shared" si="26"/>
        <v>0</v>
      </c>
      <c r="AB141" s="147">
        <f t="shared" si="26"/>
        <v>0</v>
      </c>
      <c r="AC141" s="147">
        <f t="shared" si="26"/>
        <v>0</v>
      </c>
      <c r="AD141" s="147">
        <f t="shared" si="26"/>
        <v>0</v>
      </c>
      <c r="AE141" s="147">
        <f t="shared" si="26"/>
        <v>0</v>
      </c>
      <c r="AF141" s="147">
        <f t="shared" si="26"/>
        <v>0</v>
      </c>
      <c r="AG141" s="147">
        <f t="shared" si="26"/>
        <v>0</v>
      </c>
      <c r="AH141" s="147">
        <f t="shared" si="26"/>
        <v>0</v>
      </c>
      <c r="AI141" s="147">
        <f t="shared" si="26"/>
        <v>0</v>
      </c>
      <c r="AJ141" s="147">
        <f t="shared" si="26"/>
        <v>0</v>
      </c>
      <c r="AK141" s="147">
        <f t="shared" si="25"/>
        <v>0</v>
      </c>
      <c r="AL141" s="147">
        <f t="shared" si="25"/>
        <v>0</v>
      </c>
      <c r="AM141" s="147">
        <f t="shared" si="25"/>
        <v>0</v>
      </c>
      <c r="AN141" s="147">
        <f t="shared" si="25"/>
        <v>0</v>
      </c>
      <c r="AO141" s="147">
        <f t="shared" si="25"/>
        <v>0</v>
      </c>
      <c r="AP141" s="147">
        <f t="shared" si="25"/>
        <v>0</v>
      </c>
      <c r="AQ141" s="147">
        <f t="shared" si="25"/>
        <v>0</v>
      </c>
      <c r="AR141" s="147">
        <f t="shared" si="25"/>
        <v>0</v>
      </c>
      <c r="AS141" s="147">
        <f t="shared" si="25"/>
        <v>0</v>
      </c>
      <c r="AT141" s="147">
        <f t="shared" si="25"/>
        <v>0</v>
      </c>
      <c r="AU141" s="147">
        <f t="shared" si="25"/>
        <v>0</v>
      </c>
      <c r="AV141" s="147">
        <f t="shared" si="25"/>
        <v>0</v>
      </c>
      <c r="AW141" s="147">
        <f t="shared" si="25"/>
        <v>0</v>
      </c>
      <c r="AX141" s="147">
        <f t="shared" si="25"/>
        <v>0</v>
      </c>
      <c r="AY141" s="147">
        <f t="shared" si="25"/>
        <v>0</v>
      </c>
      <c r="AZ141" s="147">
        <f t="shared" si="25"/>
        <v>0</v>
      </c>
      <c r="BA141" s="147">
        <f t="shared" si="25"/>
        <v>0</v>
      </c>
      <c r="BB141" s="147">
        <f t="shared" si="25"/>
        <v>0</v>
      </c>
      <c r="BC141" s="147">
        <f t="shared" si="25"/>
        <v>0</v>
      </c>
      <c r="BD141" s="147">
        <f t="shared" si="25"/>
        <v>0</v>
      </c>
      <c r="BE141" s="147">
        <f t="shared" si="25"/>
        <v>0</v>
      </c>
      <c r="BF141" s="147">
        <f t="shared" si="25"/>
        <v>0</v>
      </c>
      <c r="BG141" s="147">
        <f t="shared" si="25"/>
        <v>0</v>
      </c>
      <c r="BH141" s="147">
        <f t="shared" si="25"/>
        <v>0</v>
      </c>
      <c r="BI141" s="147">
        <f t="shared" si="25"/>
        <v>0</v>
      </c>
      <c r="BJ141" s="147">
        <f t="shared" si="25"/>
        <v>0</v>
      </c>
      <c r="BK141" s="147">
        <f t="shared" si="25"/>
        <v>0</v>
      </c>
      <c r="BL141" s="147">
        <f t="shared" si="25"/>
        <v>0</v>
      </c>
    </row>
    <row r="142" spans="3:64" x14ac:dyDescent="0.15">
      <c r="C142" s="84" t="s">
        <v>383</v>
      </c>
      <c r="E142" s="147">
        <f t="shared" si="26"/>
        <v>0</v>
      </c>
      <c r="F142" s="147">
        <f t="shared" si="26"/>
        <v>0</v>
      </c>
      <c r="G142" s="147">
        <f t="shared" si="26"/>
        <v>0</v>
      </c>
      <c r="H142" s="147">
        <f t="shared" si="26"/>
        <v>0</v>
      </c>
      <c r="I142" s="147">
        <f t="shared" si="26"/>
        <v>0</v>
      </c>
      <c r="J142" s="147">
        <f t="shared" si="26"/>
        <v>0</v>
      </c>
      <c r="K142" s="147">
        <f t="shared" si="26"/>
        <v>0</v>
      </c>
      <c r="L142" s="147">
        <f t="shared" si="26"/>
        <v>0</v>
      </c>
      <c r="M142" s="147">
        <f t="shared" si="26"/>
        <v>0</v>
      </c>
      <c r="N142" s="147">
        <f t="shared" si="26"/>
        <v>0</v>
      </c>
      <c r="O142" s="147">
        <f t="shared" si="26"/>
        <v>0</v>
      </c>
      <c r="P142" s="147">
        <f t="shared" si="26"/>
        <v>0.36528834140173688</v>
      </c>
      <c r="Q142" s="147">
        <f t="shared" si="26"/>
        <v>0.30161063317318454</v>
      </c>
      <c r="R142" s="147">
        <f t="shared" si="26"/>
        <v>0.25831749798064679</v>
      </c>
      <c r="S142" s="147">
        <f t="shared" si="26"/>
        <v>0.21981900463405749</v>
      </c>
      <c r="T142" s="147">
        <f t="shared" si="26"/>
        <v>0.19491482069603772</v>
      </c>
      <c r="U142" s="147">
        <f t="shared" si="26"/>
        <v>0.1716559804246077</v>
      </c>
      <c r="V142" s="147">
        <f t="shared" si="26"/>
        <v>0.15027430739865694</v>
      </c>
      <c r="W142" s="147">
        <f t="shared" si="26"/>
        <v>0.13017809640412434</v>
      </c>
      <c r="X142" s="147">
        <f t="shared" si="26"/>
        <v>0.11129804637381201</v>
      </c>
      <c r="Y142" s="147">
        <f t="shared" si="26"/>
        <v>9.3585752368611552E-2</v>
      </c>
      <c r="Z142" s="147">
        <f t="shared" si="26"/>
        <v>7.7028048087405515E-2</v>
      </c>
      <c r="AA142" s="147">
        <f t="shared" si="26"/>
        <v>0</v>
      </c>
      <c r="AB142" s="147">
        <f t="shared" si="26"/>
        <v>0</v>
      </c>
      <c r="AC142" s="147">
        <f t="shared" si="26"/>
        <v>0</v>
      </c>
      <c r="AD142" s="147">
        <f t="shared" si="26"/>
        <v>0</v>
      </c>
      <c r="AE142" s="147">
        <f t="shared" si="26"/>
        <v>0</v>
      </c>
      <c r="AF142" s="147">
        <f t="shared" si="26"/>
        <v>0</v>
      </c>
      <c r="AG142" s="147">
        <f t="shared" si="26"/>
        <v>0</v>
      </c>
      <c r="AH142" s="147">
        <f t="shared" si="26"/>
        <v>0</v>
      </c>
      <c r="AI142" s="147">
        <f t="shared" si="26"/>
        <v>0</v>
      </c>
      <c r="AJ142" s="147">
        <f t="shared" ref="AJ142:BO142" si="27">IF(AJ$5&gt;$D$7,0,AJ39*$E124)</f>
        <v>0</v>
      </c>
      <c r="AK142" s="147">
        <f t="shared" si="25"/>
        <v>0</v>
      </c>
      <c r="AL142" s="147">
        <f t="shared" si="25"/>
        <v>0</v>
      </c>
      <c r="AM142" s="147">
        <f t="shared" si="25"/>
        <v>0</v>
      </c>
      <c r="AN142" s="147">
        <f t="shared" si="25"/>
        <v>0</v>
      </c>
      <c r="AO142" s="147">
        <f t="shared" si="25"/>
        <v>0</v>
      </c>
      <c r="AP142" s="147">
        <f t="shared" si="25"/>
        <v>0</v>
      </c>
      <c r="AQ142" s="147">
        <f t="shared" si="25"/>
        <v>0</v>
      </c>
      <c r="AR142" s="147">
        <f t="shared" si="25"/>
        <v>0</v>
      </c>
      <c r="AS142" s="147">
        <f t="shared" si="25"/>
        <v>0</v>
      </c>
      <c r="AT142" s="147">
        <f t="shared" si="25"/>
        <v>0</v>
      </c>
      <c r="AU142" s="147">
        <f t="shared" si="25"/>
        <v>0</v>
      </c>
      <c r="AV142" s="147">
        <f t="shared" si="25"/>
        <v>0</v>
      </c>
      <c r="AW142" s="147">
        <f t="shared" si="25"/>
        <v>0</v>
      </c>
      <c r="AX142" s="147">
        <f t="shared" si="25"/>
        <v>0</v>
      </c>
      <c r="AY142" s="147">
        <f t="shared" ref="AY142:BZ142" si="28">IF(AY$5&gt;$D$7,0,AY39*$E124)</f>
        <v>0</v>
      </c>
      <c r="AZ142" s="147">
        <f t="shared" si="28"/>
        <v>0</v>
      </c>
      <c r="BA142" s="147">
        <f t="shared" si="28"/>
        <v>0</v>
      </c>
      <c r="BB142" s="147">
        <f t="shared" si="28"/>
        <v>0</v>
      </c>
      <c r="BC142" s="147">
        <f t="shared" si="28"/>
        <v>0</v>
      </c>
      <c r="BD142" s="147">
        <f t="shared" si="28"/>
        <v>0</v>
      </c>
      <c r="BE142" s="147">
        <f t="shared" si="28"/>
        <v>0</v>
      </c>
      <c r="BF142" s="147">
        <f t="shared" si="28"/>
        <v>0</v>
      </c>
      <c r="BG142" s="147">
        <f t="shared" si="28"/>
        <v>0</v>
      </c>
      <c r="BH142" s="147">
        <f t="shared" si="28"/>
        <v>0</v>
      </c>
      <c r="BI142" s="147">
        <f t="shared" si="28"/>
        <v>0</v>
      </c>
      <c r="BJ142" s="147">
        <f t="shared" si="28"/>
        <v>0</v>
      </c>
      <c r="BK142" s="147">
        <f t="shared" si="28"/>
        <v>0</v>
      </c>
      <c r="BL142" s="147">
        <f t="shared" si="28"/>
        <v>0</v>
      </c>
    </row>
    <row r="143" spans="3:64" x14ac:dyDescent="0.15">
      <c r="C143" s="84" t="s">
        <v>385</v>
      </c>
      <c r="E143" s="147">
        <f t="shared" ref="E143:BL144" si="29">IF(E$5&gt;$D$7,0,E40*$E125)</f>
        <v>0</v>
      </c>
      <c r="F143" s="147">
        <f t="shared" si="29"/>
        <v>0</v>
      </c>
      <c r="G143" s="147">
        <f t="shared" si="29"/>
        <v>0</v>
      </c>
      <c r="H143" s="147">
        <f t="shared" si="29"/>
        <v>0</v>
      </c>
      <c r="I143" s="147">
        <f t="shared" si="29"/>
        <v>0</v>
      </c>
      <c r="J143" s="147">
        <f t="shared" si="29"/>
        <v>0</v>
      </c>
      <c r="K143" s="147">
        <f t="shared" si="29"/>
        <v>0</v>
      </c>
      <c r="L143" s="147">
        <f t="shared" si="29"/>
        <v>0</v>
      </c>
      <c r="M143" s="147">
        <f t="shared" si="29"/>
        <v>0</v>
      </c>
      <c r="N143" s="147">
        <f t="shared" si="29"/>
        <v>0</v>
      </c>
      <c r="O143" s="147">
        <f t="shared" si="29"/>
        <v>0</v>
      </c>
      <c r="P143" s="147">
        <f t="shared" si="29"/>
        <v>0</v>
      </c>
      <c r="Q143" s="147">
        <f t="shared" si="29"/>
        <v>0.36528834140173688</v>
      </c>
      <c r="R143" s="147">
        <f t="shared" si="29"/>
        <v>0.30161063317318454</v>
      </c>
      <c r="S143" s="147">
        <f t="shared" si="29"/>
        <v>0.25831749798064679</v>
      </c>
      <c r="T143" s="147">
        <f t="shared" si="29"/>
        <v>0.21981900463405749</v>
      </c>
      <c r="U143" s="147">
        <f t="shared" si="29"/>
        <v>0.19491482069603772</v>
      </c>
      <c r="V143" s="147">
        <f t="shared" si="29"/>
        <v>0.1716559804246077</v>
      </c>
      <c r="W143" s="147">
        <f t="shared" si="29"/>
        <v>0.15027430739865694</v>
      </c>
      <c r="X143" s="147">
        <f t="shared" si="29"/>
        <v>0.13017809640412434</v>
      </c>
      <c r="Y143" s="147">
        <f t="shared" si="29"/>
        <v>0.11129804637381201</v>
      </c>
      <c r="Z143" s="147">
        <f t="shared" si="29"/>
        <v>9.3585752368611552E-2</v>
      </c>
      <c r="AA143" s="147">
        <f t="shared" si="29"/>
        <v>0</v>
      </c>
      <c r="AB143" s="147">
        <f t="shared" si="29"/>
        <v>0</v>
      </c>
      <c r="AC143" s="147">
        <f t="shared" si="29"/>
        <v>0</v>
      </c>
      <c r="AD143" s="147">
        <f t="shared" si="29"/>
        <v>0</v>
      </c>
      <c r="AE143" s="147">
        <f t="shared" si="29"/>
        <v>0</v>
      </c>
      <c r="AF143" s="147">
        <f t="shared" si="29"/>
        <v>0</v>
      </c>
      <c r="AG143" s="147">
        <f t="shared" si="29"/>
        <v>0</v>
      </c>
      <c r="AH143" s="147">
        <f t="shared" si="29"/>
        <v>0</v>
      </c>
      <c r="AI143" s="147">
        <f t="shared" si="29"/>
        <v>0</v>
      </c>
      <c r="AJ143" s="147">
        <f t="shared" si="29"/>
        <v>0</v>
      </c>
      <c r="AK143" s="147">
        <f t="shared" si="29"/>
        <v>0</v>
      </c>
      <c r="AL143" s="147">
        <f t="shared" si="29"/>
        <v>0</v>
      </c>
      <c r="AM143" s="147">
        <f t="shared" si="29"/>
        <v>0</v>
      </c>
      <c r="AN143" s="147">
        <f t="shared" si="29"/>
        <v>0</v>
      </c>
      <c r="AO143" s="147">
        <f t="shared" si="29"/>
        <v>0</v>
      </c>
      <c r="AP143" s="147">
        <f t="shared" si="29"/>
        <v>0</v>
      </c>
      <c r="AQ143" s="147">
        <f t="shared" si="29"/>
        <v>0</v>
      </c>
      <c r="AR143" s="147">
        <f t="shared" si="29"/>
        <v>0</v>
      </c>
      <c r="AS143" s="147">
        <f t="shared" si="29"/>
        <v>0</v>
      </c>
      <c r="AT143" s="147">
        <f t="shared" si="29"/>
        <v>0</v>
      </c>
      <c r="AU143" s="147">
        <f t="shared" si="29"/>
        <v>0</v>
      </c>
      <c r="AV143" s="147">
        <f t="shared" si="29"/>
        <v>0</v>
      </c>
      <c r="AW143" s="147">
        <f t="shared" si="29"/>
        <v>0</v>
      </c>
      <c r="AX143" s="147">
        <f t="shared" si="29"/>
        <v>0</v>
      </c>
      <c r="AY143" s="147">
        <f t="shared" si="29"/>
        <v>0</v>
      </c>
      <c r="AZ143" s="147">
        <f t="shared" si="29"/>
        <v>0</v>
      </c>
      <c r="BA143" s="147">
        <f t="shared" si="29"/>
        <v>0</v>
      </c>
      <c r="BB143" s="147">
        <f t="shared" si="29"/>
        <v>0</v>
      </c>
      <c r="BC143" s="147">
        <f t="shared" si="29"/>
        <v>0</v>
      </c>
      <c r="BD143" s="147">
        <f t="shared" si="29"/>
        <v>0</v>
      </c>
      <c r="BE143" s="147">
        <f t="shared" si="29"/>
        <v>0</v>
      </c>
      <c r="BF143" s="147">
        <f t="shared" si="29"/>
        <v>0</v>
      </c>
      <c r="BG143" s="147">
        <f t="shared" si="29"/>
        <v>0</v>
      </c>
      <c r="BH143" s="147">
        <f t="shared" si="29"/>
        <v>0</v>
      </c>
      <c r="BI143" s="147">
        <f t="shared" si="29"/>
        <v>0</v>
      </c>
      <c r="BJ143" s="147">
        <f t="shared" si="29"/>
        <v>0</v>
      </c>
      <c r="BK143" s="147">
        <f t="shared" si="29"/>
        <v>0</v>
      </c>
      <c r="BL143" s="147">
        <f t="shared" si="29"/>
        <v>0</v>
      </c>
    </row>
    <row r="144" spans="3:64" x14ac:dyDescent="0.15">
      <c r="C144" s="84" t="s">
        <v>387</v>
      </c>
      <c r="E144" s="147">
        <f t="shared" si="29"/>
        <v>0</v>
      </c>
      <c r="F144" s="147">
        <f t="shared" si="29"/>
        <v>0</v>
      </c>
      <c r="G144" s="147">
        <f t="shared" si="29"/>
        <v>0</v>
      </c>
      <c r="H144" s="147">
        <f t="shared" si="29"/>
        <v>0</v>
      </c>
      <c r="I144" s="147">
        <f t="shared" si="29"/>
        <v>0</v>
      </c>
      <c r="J144" s="147">
        <f t="shared" si="29"/>
        <v>0</v>
      </c>
      <c r="K144" s="147">
        <f t="shared" si="29"/>
        <v>0</v>
      </c>
      <c r="L144" s="147">
        <f t="shared" si="29"/>
        <v>0</v>
      </c>
      <c r="M144" s="147">
        <f t="shared" si="29"/>
        <v>0</v>
      </c>
      <c r="N144" s="147">
        <f t="shared" si="29"/>
        <v>0</v>
      </c>
      <c r="O144" s="147">
        <f t="shared" si="29"/>
        <v>0</v>
      </c>
      <c r="P144" s="147">
        <f t="shared" si="29"/>
        <v>0</v>
      </c>
      <c r="Q144" s="147">
        <f t="shared" si="29"/>
        <v>0</v>
      </c>
      <c r="R144" s="147">
        <f t="shared" si="29"/>
        <v>0.37274320551197643</v>
      </c>
      <c r="S144" s="147">
        <f t="shared" si="29"/>
        <v>0.6805091577295117</v>
      </c>
      <c r="T144" s="147">
        <f t="shared" si="29"/>
        <v>0.94409844138323296</v>
      </c>
      <c r="U144" s="147">
        <f t="shared" si="29"/>
        <v>1.1684035481526795</v>
      </c>
      <c r="V144" s="147">
        <f t="shared" si="29"/>
        <v>1.36729622233231</v>
      </c>
      <c r="W144" s="147">
        <f t="shared" si="29"/>
        <v>1.5424553860308892</v>
      </c>
      <c r="X144" s="147">
        <f t="shared" si="29"/>
        <v>1.6957965160295188</v>
      </c>
      <c r="Y144" s="147">
        <f>IF(Y$5&gt;$D$7,0,Y41*$E126)</f>
        <v>1.8286313082786252</v>
      </c>
      <c r="Z144" s="147">
        <f t="shared" si="29"/>
        <v>1.9422007433539437</v>
      </c>
      <c r="AA144" s="147">
        <f t="shared" si="29"/>
        <v>0</v>
      </c>
      <c r="AB144" s="147">
        <f t="shared" si="29"/>
        <v>0</v>
      </c>
      <c r="AC144" s="147">
        <f t="shared" si="29"/>
        <v>0</v>
      </c>
      <c r="AD144" s="147">
        <f t="shared" si="29"/>
        <v>0</v>
      </c>
      <c r="AE144" s="147">
        <f t="shared" si="29"/>
        <v>0</v>
      </c>
      <c r="AF144" s="147">
        <f t="shared" si="29"/>
        <v>0</v>
      </c>
      <c r="AG144" s="147">
        <f t="shared" si="29"/>
        <v>0</v>
      </c>
      <c r="AH144" s="147">
        <f t="shared" si="29"/>
        <v>0</v>
      </c>
      <c r="AI144" s="147">
        <f t="shared" si="29"/>
        <v>0</v>
      </c>
      <c r="AJ144" s="147">
        <f t="shared" si="29"/>
        <v>0</v>
      </c>
      <c r="AK144" s="147">
        <f t="shared" si="29"/>
        <v>0</v>
      </c>
      <c r="AL144" s="147">
        <f t="shared" si="29"/>
        <v>0</v>
      </c>
      <c r="AM144" s="147">
        <f t="shared" si="29"/>
        <v>0</v>
      </c>
      <c r="AN144" s="147">
        <f t="shared" si="29"/>
        <v>0</v>
      </c>
      <c r="AO144" s="147">
        <f t="shared" si="29"/>
        <v>0</v>
      </c>
      <c r="AP144" s="147">
        <f t="shared" si="29"/>
        <v>0</v>
      </c>
      <c r="AQ144" s="147">
        <f t="shared" si="29"/>
        <v>0</v>
      </c>
      <c r="AR144" s="147">
        <f t="shared" si="29"/>
        <v>0</v>
      </c>
      <c r="AS144" s="147">
        <f t="shared" si="29"/>
        <v>0</v>
      </c>
      <c r="AT144" s="147">
        <f t="shared" si="29"/>
        <v>0</v>
      </c>
      <c r="AU144" s="147">
        <f t="shared" si="29"/>
        <v>0</v>
      </c>
      <c r="AV144" s="147">
        <f t="shared" si="29"/>
        <v>0</v>
      </c>
      <c r="AW144" s="147">
        <f t="shared" si="29"/>
        <v>0</v>
      </c>
      <c r="AX144" s="147">
        <f t="shared" si="29"/>
        <v>0</v>
      </c>
      <c r="AY144" s="147">
        <f t="shared" si="29"/>
        <v>0</v>
      </c>
      <c r="AZ144" s="147">
        <f t="shared" si="29"/>
        <v>0</v>
      </c>
      <c r="BA144" s="147">
        <f t="shared" si="29"/>
        <v>0</v>
      </c>
      <c r="BB144" s="147">
        <f t="shared" si="29"/>
        <v>0</v>
      </c>
      <c r="BC144" s="147">
        <f t="shared" si="29"/>
        <v>0</v>
      </c>
      <c r="BD144" s="147">
        <f t="shared" si="29"/>
        <v>0</v>
      </c>
      <c r="BE144" s="147">
        <f t="shared" si="29"/>
        <v>0</v>
      </c>
      <c r="BF144" s="147">
        <f t="shared" si="29"/>
        <v>0</v>
      </c>
      <c r="BG144" s="147">
        <f t="shared" si="29"/>
        <v>0</v>
      </c>
      <c r="BH144" s="147">
        <f t="shared" si="29"/>
        <v>0</v>
      </c>
      <c r="BI144" s="147">
        <f t="shared" si="29"/>
        <v>0</v>
      </c>
      <c r="BJ144" s="147">
        <f t="shared" si="29"/>
        <v>0</v>
      </c>
      <c r="BK144" s="147">
        <f t="shared" si="29"/>
        <v>0</v>
      </c>
      <c r="BL144" s="147">
        <f t="shared" si="29"/>
        <v>0</v>
      </c>
    </row>
    <row r="145" spans="2:64" x14ac:dyDescent="0.15">
      <c r="C145" s="84" t="s">
        <v>413</v>
      </c>
      <c r="E145" s="140">
        <f>IF(E$5&gt;$D$7,0,SUM(E130:E144))</f>
        <v>0.65356099508342291</v>
      </c>
      <c r="F145" s="140">
        <f t="shared" ref="F145:BL145" si="30">IF(F$5&gt;$D$7,0,SUM(F130:F144))</f>
        <v>0.9067121431044568</v>
      </c>
      <c r="G145" s="140">
        <f t="shared" si="30"/>
        <v>1.1221347676458331</v>
      </c>
      <c r="H145" s="140">
        <f t="shared" si="30"/>
        <v>1.3131512919279502</v>
      </c>
      <c r="I145" s="140">
        <f t="shared" si="30"/>
        <v>1.4813741527440656</v>
      </c>
      <c r="J145" s="140">
        <f t="shared" si="30"/>
        <v>1.6286429739947494</v>
      </c>
      <c r="K145" s="140">
        <f t="shared" si="30"/>
        <v>1.7562175084707914</v>
      </c>
      <c r="L145" s="140">
        <f t="shared" si="30"/>
        <v>1.8725953607451615</v>
      </c>
      <c r="M145" s="140">
        <f t="shared" si="30"/>
        <v>1.9703416107298648</v>
      </c>
      <c r="N145" s="140">
        <f t="shared" si="30"/>
        <v>2.0509954478151351</v>
      </c>
      <c r="O145" s="140">
        <f t="shared" si="30"/>
        <v>2.1157626076148244</v>
      </c>
      <c r="P145" s="140">
        <f t="shared" si="30"/>
        <v>2.1659983723457277</v>
      </c>
      <c r="Q145" s="140">
        <f t="shared" si="30"/>
        <v>2.2027882793246949</v>
      </c>
      <c r="R145" s="140">
        <f t="shared" si="30"/>
        <v>2.2346409416302673</v>
      </c>
      <c r="S145" s="140">
        <f t="shared" si="30"/>
        <v>2.2548105254594177</v>
      </c>
      <c r="T145" s="140">
        <f t="shared" si="30"/>
        <v>2.2623082720599683</v>
      </c>
      <c r="U145" s="140">
        <f t="shared" si="30"/>
        <v>2.2686660892427293</v>
      </c>
      <c r="V145" s="140">
        <f t="shared" si="30"/>
        <v>2.2741845036880703</v>
      </c>
      <c r="W145" s="140">
        <f t="shared" si="30"/>
        <v>2.2789197436907562</v>
      </c>
      <c r="X145" s="140">
        <f t="shared" si="30"/>
        <v>2.2829322289094431</v>
      </c>
      <c r="Y145" s="140">
        <f t="shared" si="30"/>
        <v>2.2862696755170875</v>
      </c>
      <c r="Z145" s="140">
        <f t="shared" si="30"/>
        <v>2.288977642015479</v>
      </c>
      <c r="AA145" s="140">
        <f t="shared" si="30"/>
        <v>0</v>
      </c>
      <c r="AB145" s="140">
        <f t="shared" si="30"/>
        <v>0</v>
      </c>
      <c r="AC145" s="140">
        <f t="shared" si="30"/>
        <v>0</v>
      </c>
      <c r="AD145" s="140">
        <f t="shared" si="30"/>
        <v>0</v>
      </c>
      <c r="AE145" s="140">
        <f t="shared" si="30"/>
        <v>0</v>
      </c>
      <c r="AF145" s="140">
        <f t="shared" si="30"/>
        <v>0</v>
      </c>
      <c r="AG145" s="140">
        <f t="shared" si="30"/>
        <v>0</v>
      </c>
      <c r="AH145" s="140">
        <f t="shared" si="30"/>
        <v>0</v>
      </c>
      <c r="AI145" s="140">
        <f t="shared" si="30"/>
        <v>0</v>
      </c>
      <c r="AJ145" s="140">
        <f t="shared" si="30"/>
        <v>0</v>
      </c>
      <c r="AK145" s="140">
        <f t="shared" si="30"/>
        <v>0</v>
      </c>
      <c r="AL145" s="140">
        <f t="shared" si="30"/>
        <v>0</v>
      </c>
      <c r="AM145" s="140">
        <f t="shared" si="30"/>
        <v>0</v>
      </c>
      <c r="AN145" s="140">
        <f t="shared" si="30"/>
        <v>0</v>
      </c>
      <c r="AO145" s="140">
        <f t="shared" si="30"/>
        <v>0</v>
      </c>
      <c r="AP145" s="140">
        <f t="shared" si="30"/>
        <v>0</v>
      </c>
      <c r="AQ145" s="140">
        <f t="shared" si="30"/>
        <v>0</v>
      </c>
      <c r="AR145" s="140">
        <f t="shared" si="30"/>
        <v>0</v>
      </c>
      <c r="AS145" s="140">
        <f t="shared" si="30"/>
        <v>0</v>
      </c>
      <c r="AT145" s="140">
        <f t="shared" si="30"/>
        <v>0</v>
      </c>
      <c r="AU145" s="140">
        <f t="shared" si="30"/>
        <v>0</v>
      </c>
      <c r="AV145" s="140">
        <f t="shared" si="30"/>
        <v>0</v>
      </c>
      <c r="AW145" s="140">
        <f t="shared" si="30"/>
        <v>0</v>
      </c>
      <c r="AX145" s="140">
        <f t="shared" si="30"/>
        <v>0</v>
      </c>
      <c r="AY145" s="140">
        <f t="shared" si="30"/>
        <v>0</v>
      </c>
      <c r="AZ145" s="140">
        <f t="shared" si="30"/>
        <v>0</v>
      </c>
      <c r="BA145" s="140">
        <f t="shared" si="30"/>
        <v>0</v>
      </c>
      <c r="BB145" s="140">
        <f t="shared" si="30"/>
        <v>0</v>
      </c>
      <c r="BC145" s="140">
        <f t="shared" si="30"/>
        <v>0</v>
      </c>
      <c r="BD145" s="140">
        <f t="shared" si="30"/>
        <v>0</v>
      </c>
      <c r="BE145" s="140">
        <f t="shared" si="30"/>
        <v>0</v>
      </c>
      <c r="BF145" s="140">
        <f t="shared" si="30"/>
        <v>0</v>
      </c>
      <c r="BG145" s="140">
        <f t="shared" si="30"/>
        <v>0</v>
      </c>
      <c r="BH145" s="140">
        <f t="shared" si="30"/>
        <v>0</v>
      </c>
      <c r="BI145" s="140">
        <f t="shared" si="30"/>
        <v>0</v>
      </c>
      <c r="BJ145" s="140">
        <f t="shared" si="30"/>
        <v>0</v>
      </c>
      <c r="BK145" s="140">
        <f t="shared" si="30"/>
        <v>0</v>
      </c>
      <c r="BL145" s="140">
        <f t="shared" si="30"/>
        <v>0</v>
      </c>
    </row>
    <row r="146" spans="2:64" s="155" customFormat="1" x14ac:dyDescent="0.15">
      <c r="C146" s="155" t="s">
        <v>412</v>
      </c>
      <c r="E146" s="299">
        <f t="shared" ref="E146:BL146" si="31">-IF(E5&gt;$D$7,0,E145-D145)</f>
        <v>-0.65356099508342291</v>
      </c>
      <c r="F146" s="299">
        <f t="shared" si="31"/>
        <v>-0.25315114802103389</v>
      </c>
      <c r="G146" s="299">
        <f t="shared" si="31"/>
        <v>-0.21542262454137628</v>
      </c>
      <c r="H146" s="299">
        <f t="shared" si="31"/>
        <v>-0.19101652428211713</v>
      </c>
      <c r="I146" s="299">
        <f t="shared" si="31"/>
        <v>-0.16822286081611537</v>
      </c>
      <c r="J146" s="299">
        <f t="shared" si="31"/>
        <v>-0.14726882125068386</v>
      </c>
      <c r="K146" s="299">
        <f t="shared" si="31"/>
        <v>-0.12757453447604195</v>
      </c>
      <c r="L146" s="299">
        <f t="shared" si="31"/>
        <v>-0.11637785227437014</v>
      </c>
      <c r="M146" s="299">
        <f t="shared" si="31"/>
        <v>-9.7746249984703271E-2</v>
      </c>
      <c r="N146" s="299">
        <f t="shared" si="31"/>
        <v>-8.0653837085270297E-2</v>
      </c>
      <c r="O146" s="299">
        <f t="shared" si="31"/>
        <v>-6.4767159799689278E-2</v>
      </c>
      <c r="P146" s="299">
        <f t="shared" si="31"/>
        <v>-5.0235764730903298E-2</v>
      </c>
      <c r="Q146" s="299">
        <f t="shared" si="31"/>
        <v>-3.6789906978967224E-2</v>
      </c>
      <c r="R146" s="299">
        <f t="shared" si="31"/>
        <v>-3.1852662305572377E-2</v>
      </c>
      <c r="S146" s="299">
        <f t="shared" si="31"/>
        <v>-2.0169583829150461E-2</v>
      </c>
      <c r="T146" s="299">
        <f t="shared" si="31"/>
        <v>-7.4977466005505811E-3</v>
      </c>
      <c r="U146" s="299">
        <f t="shared" si="31"/>
        <v>-6.3578171827609609E-3</v>
      </c>
      <c r="V146" s="299">
        <f t="shared" si="31"/>
        <v>-5.5184144453410688E-3</v>
      </c>
      <c r="W146" s="299">
        <f t="shared" si="31"/>
        <v>-4.735240002685881E-3</v>
      </c>
      <c r="X146" s="299">
        <f t="shared" si="31"/>
        <v>-4.012485218686912E-3</v>
      </c>
      <c r="Y146" s="299">
        <f t="shared" si="31"/>
        <v>-3.3374466076443454E-3</v>
      </c>
      <c r="Z146" s="299">
        <f t="shared" si="31"/>
        <v>-2.7079664983915563E-3</v>
      </c>
      <c r="AA146" s="299">
        <f t="shared" si="31"/>
        <v>0</v>
      </c>
      <c r="AB146" s="299">
        <f t="shared" si="31"/>
        <v>0</v>
      </c>
      <c r="AC146" s="299">
        <f t="shared" si="31"/>
        <v>0</v>
      </c>
      <c r="AD146" s="299">
        <f t="shared" si="31"/>
        <v>0</v>
      </c>
      <c r="AE146" s="299">
        <f t="shared" si="31"/>
        <v>0</v>
      </c>
      <c r="AF146" s="299">
        <f t="shared" si="31"/>
        <v>0</v>
      </c>
      <c r="AG146" s="299">
        <f t="shared" si="31"/>
        <v>0</v>
      </c>
      <c r="AH146" s="299">
        <f t="shared" si="31"/>
        <v>0</v>
      </c>
      <c r="AI146" s="299">
        <f t="shared" si="31"/>
        <v>0</v>
      </c>
      <c r="AJ146" s="299">
        <f t="shared" si="31"/>
        <v>0</v>
      </c>
      <c r="AK146" s="299">
        <f t="shared" si="31"/>
        <v>0</v>
      </c>
      <c r="AL146" s="299">
        <f t="shared" si="31"/>
        <v>0</v>
      </c>
      <c r="AM146" s="299">
        <f t="shared" si="31"/>
        <v>0</v>
      </c>
      <c r="AN146" s="299">
        <f t="shared" si="31"/>
        <v>0</v>
      </c>
      <c r="AO146" s="299">
        <f t="shared" si="31"/>
        <v>0</v>
      </c>
      <c r="AP146" s="299">
        <f t="shared" si="31"/>
        <v>0</v>
      </c>
      <c r="AQ146" s="299">
        <f t="shared" si="31"/>
        <v>0</v>
      </c>
      <c r="AR146" s="299">
        <f t="shared" si="31"/>
        <v>0</v>
      </c>
      <c r="AS146" s="299">
        <f t="shared" si="31"/>
        <v>0</v>
      </c>
      <c r="AT146" s="299">
        <f t="shared" si="31"/>
        <v>0</v>
      </c>
      <c r="AU146" s="299">
        <f t="shared" si="31"/>
        <v>0</v>
      </c>
      <c r="AV146" s="299">
        <f t="shared" si="31"/>
        <v>0</v>
      </c>
      <c r="AW146" s="299">
        <f t="shared" si="31"/>
        <v>0</v>
      </c>
      <c r="AX146" s="299">
        <f t="shared" si="31"/>
        <v>0</v>
      </c>
      <c r="AY146" s="299">
        <f t="shared" si="31"/>
        <v>0</v>
      </c>
      <c r="AZ146" s="299">
        <f t="shared" si="31"/>
        <v>0</v>
      </c>
      <c r="BA146" s="299">
        <f t="shared" si="31"/>
        <v>0</v>
      </c>
      <c r="BB146" s="299">
        <f t="shared" si="31"/>
        <v>0</v>
      </c>
      <c r="BC146" s="299">
        <f t="shared" si="31"/>
        <v>0</v>
      </c>
      <c r="BD146" s="299">
        <f t="shared" si="31"/>
        <v>0</v>
      </c>
      <c r="BE146" s="299">
        <f t="shared" si="31"/>
        <v>0</v>
      </c>
      <c r="BF146" s="299">
        <f t="shared" si="31"/>
        <v>0</v>
      </c>
      <c r="BG146" s="299">
        <f t="shared" si="31"/>
        <v>0</v>
      </c>
      <c r="BH146" s="299">
        <f t="shared" si="31"/>
        <v>0</v>
      </c>
      <c r="BI146" s="299">
        <f t="shared" si="31"/>
        <v>0</v>
      </c>
      <c r="BJ146" s="299">
        <f t="shared" si="31"/>
        <v>0</v>
      </c>
      <c r="BK146" s="299">
        <f t="shared" si="31"/>
        <v>0</v>
      </c>
      <c r="BL146" s="299">
        <f t="shared" si="31"/>
        <v>0</v>
      </c>
    </row>
    <row r="148" spans="2:64" x14ac:dyDescent="0.15">
      <c r="B148" s="155" t="s">
        <v>414</v>
      </c>
      <c r="Y148" s="84" t="s">
        <v>415</v>
      </c>
    </row>
    <row r="149" spans="2:64" s="155" customFormat="1" x14ac:dyDescent="0.15">
      <c r="C149" s="155" t="s">
        <v>412</v>
      </c>
    </row>
    <row r="150" spans="2:64" s="155" customFormat="1" x14ac:dyDescent="0.15">
      <c r="C150" s="84" t="s">
        <v>368</v>
      </c>
      <c r="E150" s="147">
        <f t="shared" ref="E150:BL154" si="32">IF(E$5&gt;$D$7,0,E27*$F112)</f>
        <v>9.1882838611455492E-2</v>
      </c>
      <c r="F150" s="147">
        <f t="shared" si="32"/>
        <v>7.8693992740773711E-2</v>
      </c>
      <c r="G150" s="147">
        <f t="shared" si="32"/>
        <v>6.6965789349092503E-2</v>
      </c>
      <c r="H150" s="147">
        <f t="shared" si="32"/>
        <v>5.9378964277798839E-2</v>
      </c>
      <c r="I150" s="147">
        <f t="shared" si="32"/>
        <v>5.22933776575078E-2</v>
      </c>
      <c r="J150" s="147">
        <f t="shared" si="32"/>
        <v>4.5779652358047714E-2</v>
      </c>
      <c r="K150" s="147">
        <f t="shared" si="32"/>
        <v>3.9657530959057996E-2</v>
      </c>
      <c r="L150" s="147">
        <f t="shared" si="32"/>
        <v>3.3905901543143796E-2</v>
      </c>
      <c r="M150" s="147">
        <f t="shared" si="32"/>
        <v>2.8510018001518131E-2</v>
      </c>
      <c r="N150" s="147">
        <f t="shared" si="32"/>
        <v>2.3465869344555197E-2</v>
      </c>
      <c r="O150" s="147">
        <f t="shared" si="32"/>
        <v>1.8766723900550477E-2</v>
      </c>
      <c r="P150" s="147">
        <f t="shared" si="32"/>
        <v>1.4404360493200223E-2</v>
      </c>
      <c r="Q150" s="147">
        <f t="shared" si="32"/>
        <v>1.036921540237137E-2</v>
      </c>
      <c r="R150" s="147">
        <f t="shared" si="32"/>
        <v>6.6499656909452661E-3</v>
      </c>
      <c r="S150" s="147">
        <f t="shared" si="32"/>
        <v>3.5471052562598467E-3</v>
      </c>
      <c r="T150" s="147">
        <f t="shared" si="32"/>
        <v>0</v>
      </c>
      <c r="U150" s="147">
        <f t="shared" si="32"/>
        <v>0</v>
      </c>
      <c r="V150" s="147">
        <f t="shared" si="32"/>
        <v>0</v>
      </c>
      <c r="W150" s="147">
        <f t="shared" si="32"/>
        <v>0</v>
      </c>
      <c r="X150" s="147">
        <f t="shared" si="32"/>
        <v>0</v>
      </c>
      <c r="Y150" s="147">
        <f t="shared" si="32"/>
        <v>0</v>
      </c>
      <c r="Z150" s="147">
        <f t="shared" si="32"/>
        <v>0</v>
      </c>
      <c r="AA150" s="147">
        <f t="shared" si="32"/>
        <v>0</v>
      </c>
      <c r="AB150" s="147">
        <f t="shared" si="32"/>
        <v>0</v>
      </c>
      <c r="AC150" s="147">
        <f t="shared" si="32"/>
        <v>0</v>
      </c>
      <c r="AD150" s="147">
        <f t="shared" si="32"/>
        <v>0</v>
      </c>
      <c r="AE150" s="147">
        <f t="shared" si="32"/>
        <v>0</v>
      </c>
      <c r="AF150" s="147">
        <f t="shared" si="32"/>
        <v>0</v>
      </c>
      <c r="AG150" s="147">
        <f t="shared" si="32"/>
        <v>0</v>
      </c>
      <c r="AH150" s="147">
        <f t="shared" si="32"/>
        <v>0</v>
      </c>
      <c r="AI150" s="147">
        <f t="shared" si="32"/>
        <v>0</v>
      </c>
      <c r="AJ150" s="147">
        <f t="shared" si="32"/>
        <v>0</v>
      </c>
      <c r="AK150" s="147">
        <f t="shared" si="32"/>
        <v>0</v>
      </c>
      <c r="AL150" s="147">
        <f t="shared" si="32"/>
        <v>0</v>
      </c>
      <c r="AM150" s="147">
        <f t="shared" si="32"/>
        <v>0</v>
      </c>
      <c r="AN150" s="147">
        <f t="shared" si="32"/>
        <v>0</v>
      </c>
      <c r="AO150" s="147">
        <f t="shared" si="32"/>
        <v>0</v>
      </c>
      <c r="AP150" s="147">
        <f t="shared" si="32"/>
        <v>0</v>
      </c>
      <c r="AQ150" s="147">
        <f t="shared" si="32"/>
        <v>0</v>
      </c>
      <c r="AR150" s="147">
        <f t="shared" si="32"/>
        <v>0</v>
      </c>
      <c r="AS150" s="147">
        <f t="shared" si="32"/>
        <v>0</v>
      </c>
      <c r="AT150" s="147">
        <f t="shared" si="32"/>
        <v>0</v>
      </c>
      <c r="AU150" s="147">
        <f t="shared" si="32"/>
        <v>0</v>
      </c>
      <c r="AV150" s="147">
        <f t="shared" si="32"/>
        <v>0</v>
      </c>
      <c r="AW150" s="147">
        <f t="shared" si="32"/>
        <v>0</v>
      </c>
      <c r="AX150" s="147">
        <f t="shared" si="32"/>
        <v>0</v>
      </c>
      <c r="AY150" s="147">
        <f t="shared" si="32"/>
        <v>0</v>
      </c>
      <c r="AZ150" s="147">
        <f t="shared" si="32"/>
        <v>0</v>
      </c>
      <c r="BA150" s="147">
        <f t="shared" si="32"/>
        <v>0</v>
      </c>
      <c r="BB150" s="147">
        <f t="shared" si="32"/>
        <v>0</v>
      </c>
      <c r="BC150" s="147">
        <f t="shared" si="32"/>
        <v>0</v>
      </c>
      <c r="BD150" s="147">
        <f t="shared" si="32"/>
        <v>0</v>
      </c>
      <c r="BE150" s="147">
        <f t="shared" si="32"/>
        <v>0</v>
      </c>
      <c r="BF150" s="147">
        <f t="shared" si="32"/>
        <v>0</v>
      </c>
      <c r="BG150" s="147">
        <f t="shared" si="32"/>
        <v>0</v>
      </c>
      <c r="BH150" s="147">
        <f t="shared" si="32"/>
        <v>0</v>
      </c>
      <c r="BI150" s="147">
        <f t="shared" si="32"/>
        <v>0</v>
      </c>
      <c r="BJ150" s="147">
        <f t="shared" si="32"/>
        <v>0</v>
      </c>
      <c r="BK150" s="147">
        <f t="shared" si="32"/>
        <v>0</v>
      </c>
      <c r="BL150" s="147">
        <f t="shared" si="32"/>
        <v>0</v>
      </c>
    </row>
    <row r="151" spans="2:64" s="155" customFormat="1" x14ac:dyDescent="0.15">
      <c r="C151" s="84" t="s">
        <v>370</v>
      </c>
      <c r="E151" s="147">
        <f t="shared" si="32"/>
        <v>4.2657966853408037E-2</v>
      </c>
      <c r="F151" s="147">
        <f t="shared" si="32"/>
        <v>3.5221754801057943E-2</v>
      </c>
      <c r="G151" s="147">
        <f t="shared" si="32"/>
        <v>3.0166030550629927E-2</v>
      </c>
      <c r="H151" s="147">
        <f t="shared" si="32"/>
        <v>2.5670219250485463E-2</v>
      </c>
      <c r="I151" s="147">
        <f t="shared" si="32"/>
        <v>2.2761936306489556E-2</v>
      </c>
      <c r="J151" s="147">
        <f t="shared" si="32"/>
        <v>2.0045794768711326E-2</v>
      </c>
      <c r="K151" s="147">
        <f t="shared" si="32"/>
        <v>1.7548866737251628E-2</v>
      </c>
      <c r="L151" s="147">
        <f t="shared" si="32"/>
        <v>1.5202053534305565E-2</v>
      </c>
      <c r="M151" s="147">
        <f t="shared" si="32"/>
        <v>1.2997262258205123E-2</v>
      </c>
      <c r="N151" s="147">
        <f t="shared" si="32"/>
        <v>1.0928840233915285E-2</v>
      </c>
      <c r="O151" s="147">
        <f t="shared" si="32"/>
        <v>8.9952499154128257E-3</v>
      </c>
      <c r="P151" s="147">
        <f t="shared" si="32"/>
        <v>7.1939108285443507E-3</v>
      </c>
      <c r="Q151" s="147">
        <f t="shared" si="32"/>
        <v>5.521671522393419E-3</v>
      </c>
      <c r="R151" s="147">
        <f t="shared" si="32"/>
        <v>3.9748659042423591E-3</v>
      </c>
      <c r="S151" s="147">
        <f t="shared" si="32"/>
        <v>2.5491535148623522E-3</v>
      </c>
      <c r="T151" s="147">
        <f t="shared" si="32"/>
        <v>1.3597236815662747E-3</v>
      </c>
      <c r="U151" s="147">
        <f t="shared" si="32"/>
        <v>0</v>
      </c>
      <c r="V151" s="147">
        <f t="shared" si="32"/>
        <v>0</v>
      </c>
      <c r="W151" s="147">
        <f t="shared" si="32"/>
        <v>0</v>
      </c>
      <c r="X151" s="147">
        <f t="shared" si="32"/>
        <v>0</v>
      </c>
      <c r="Y151" s="147">
        <f t="shared" si="32"/>
        <v>0</v>
      </c>
      <c r="Z151" s="147">
        <f t="shared" si="32"/>
        <v>0</v>
      </c>
      <c r="AA151" s="147">
        <f t="shared" si="32"/>
        <v>0</v>
      </c>
      <c r="AB151" s="147">
        <f t="shared" si="32"/>
        <v>0</v>
      </c>
      <c r="AC151" s="147">
        <f t="shared" si="32"/>
        <v>0</v>
      </c>
      <c r="AD151" s="147">
        <f t="shared" si="32"/>
        <v>0</v>
      </c>
      <c r="AE151" s="147">
        <f t="shared" si="32"/>
        <v>0</v>
      </c>
      <c r="AF151" s="147">
        <f t="shared" si="32"/>
        <v>0</v>
      </c>
      <c r="AG151" s="147">
        <f t="shared" si="32"/>
        <v>0</v>
      </c>
      <c r="AH151" s="147">
        <f t="shared" si="32"/>
        <v>0</v>
      </c>
      <c r="AI151" s="147">
        <f t="shared" si="32"/>
        <v>0</v>
      </c>
      <c r="AJ151" s="147">
        <f t="shared" si="32"/>
        <v>0</v>
      </c>
      <c r="AK151" s="147">
        <f t="shared" si="32"/>
        <v>0</v>
      </c>
      <c r="AL151" s="147">
        <f t="shared" si="32"/>
        <v>0</v>
      </c>
      <c r="AM151" s="147">
        <f t="shared" si="32"/>
        <v>0</v>
      </c>
      <c r="AN151" s="147">
        <f t="shared" si="32"/>
        <v>0</v>
      </c>
      <c r="AO151" s="147">
        <f t="shared" si="32"/>
        <v>0</v>
      </c>
      <c r="AP151" s="147">
        <f t="shared" si="32"/>
        <v>0</v>
      </c>
      <c r="AQ151" s="147">
        <f t="shared" si="32"/>
        <v>0</v>
      </c>
      <c r="AR151" s="147">
        <f t="shared" si="32"/>
        <v>0</v>
      </c>
      <c r="AS151" s="147">
        <f t="shared" si="32"/>
        <v>0</v>
      </c>
      <c r="AT151" s="147">
        <f t="shared" si="32"/>
        <v>0</v>
      </c>
      <c r="AU151" s="147">
        <f t="shared" si="32"/>
        <v>0</v>
      </c>
      <c r="AV151" s="147">
        <f t="shared" si="32"/>
        <v>0</v>
      </c>
      <c r="AW151" s="147">
        <f t="shared" si="32"/>
        <v>0</v>
      </c>
      <c r="AX151" s="147">
        <f t="shared" si="32"/>
        <v>0</v>
      </c>
      <c r="AY151" s="147">
        <f t="shared" si="32"/>
        <v>0</v>
      </c>
      <c r="AZ151" s="147">
        <f t="shared" si="32"/>
        <v>0</v>
      </c>
      <c r="BA151" s="147">
        <f t="shared" si="32"/>
        <v>0</v>
      </c>
      <c r="BB151" s="147">
        <f t="shared" si="32"/>
        <v>0</v>
      </c>
      <c r="BC151" s="147">
        <f t="shared" si="32"/>
        <v>0</v>
      </c>
      <c r="BD151" s="147">
        <f t="shared" si="32"/>
        <v>0</v>
      </c>
      <c r="BE151" s="147">
        <f t="shared" si="32"/>
        <v>0</v>
      </c>
      <c r="BF151" s="147">
        <f t="shared" si="32"/>
        <v>0</v>
      </c>
      <c r="BG151" s="147">
        <f t="shared" si="32"/>
        <v>0</v>
      </c>
      <c r="BH151" s="147">
        <f t="shared" si="32"/>
        <v>0</v>
      </c>
      <c r="BI151" s="147">
        <f t="shared" si="32"/>
        <v>0</v>
      </c>
      <c r="BJ151" s="147">
        <f t="shared" si="32"/>
        <v>0</v>
      </c>
      <c r="BK151" s="147">
        <f t="shared" si="32"/>
        <v>0</v>
      </c>
      <c r="BL151" s="147">
        <f t="shared" si="32"/>
        <v>0</v>
      </c>
    </row>
    <row r="152" spans="2:64" s="155" customFormat="1" x14ac:dyDescent="0.15">
      <c r="C152" s="84" t="s">
        <v>371</v>
      </c>
      <c r="E152" s="147">
        <f t="shared" si="32"/>
        <v>0</v>
      </c>
      <c r="F152" s="147">
        <f t="shared" si="32"/>
        <v>2.8623495758636791E-2</v>
      </c>
      <c r="G152" s="147">
        <f t="shared" si="32"/>
        <v>2.3633797471509881E-2</v>
      </c>
      <c r="H152" s="147">
        <f t="shared" si="32"/>
        <v>2.0241406499472682E-2</v>
      </c>
      <c r="I152" s="147">
        <f t="shared" si="32"/>
        <v>1.7224717117075749E-2</v>
      </c>
      <c r="J152" s="147">
        <f t="shared" si="32"/>
        <v>1.5273259261654494E-2</v>
      </c>
      <c r="K152" s="147">
        <f t="shared" si="32"/>
        <v>1.34507282898053E-2</v>
      </c>
      <c r="L152" s="147">
        <f t="shared" si="32"/>
        <v>1.1775289580695842E-2</v>
      </c>
      <c r="M152" s="147">
        <f t="shared" si="32"/>
        <v>1.0200577921519035E-2</v>
      </c>
      <c r="N152" s="147">
        <f t="shared" si="32"/>
        <v>8.7211629752556395E-3</v>
      </c>
      <c r="O152" s="147">
        <f t="shared" si="32"/>
        <v>7.3332517969571572E-3</v>
      </c>
      <c r="P152" s="147">
        <f t="shared" si="32"/>
        <v>6.035812693242007E-3</v>
      </c>
      <c r="Q152" s="147">
        <f t="shared" si="32"/>
        <v>4.8271141659532602E-3</v>
      </c>
      <c r="R152" s="147">
        <f t="shared" si="32"/>
        <v>3.7050415915259841E-3</v>
      </c>
      <c r="S152" s="147">
        <f t="shared" si="32"/>
        <v>2.6671350217466233E-3</v>
      </c>
      <c r="T152" s="147">
        <f t="shared" si="32"/>
        <v>1.7104820084726385E-3</v>
      </c>
      <c r="U152" s="147">
        <f t="shared" si="32"/>
        <v>9.1237459033097039E-4</v>
      </c>
      <c r="V152" s="147">
        <f t="shared" si="32"/>
        <v>0</v>
      </c>
      <c r="W152" s="147">
        <f t="shared" si="32"/>
        <v>0</v>
      </c>
      <c r="X152" s="147">
        <f t="shared" si="32"/>
        <v>0</v>
      </c>
      <c r="Y152" s="147">
        <f t="shared" si="32"/>
        <v>0</v>
      </c>
      <c r="Z152" s="147">
        <f t="shared" si="32"/>
        <v>0</v>
      </c>
      <c r="AA152" s="147">
        <f t="shared" si="32"/>
        <v>0</v>
      </c>
      <c r="AB152" s="147">
        <f t="shared" si="32"/>
        <v>0</v>
      </c>
      <c r="AC152" s="147">
        <f t="shared" si="32"/>
        <v>0</v>
      </c>
      <c r="AD152" s="147">
        <f t="shared" si="32"/>
        <v>0</v>
      </c>
      <c r="AE152" s="147">
        <f t="shared" si="32"/>
        <v>0</v>
      </c>
      <c r="AF152" s="147">
        <f t="shared" si="32"/>
        <v>0</v>
      </c>
      <c r="AG152" s="147">
        <f t="shared" si="32"/>
        <v>0</v>
      </c>
      <c r="AH152" s="147">
        <f t="shared" si="32"/>
        <v>0</v>
      </c>
      <c r="AI152" s="147">
        <f t="shared" si="32"/>
        <v>0</v>
      </c>
      <c r="AJ152" s="147">
        <f t="shared" si="32"/>
        <v>0</v>
      </c>
      <c r="AK152" s="147">
        <f t="shared" si="32"/>
        <v>0</v>
      </c>
      <c r="AL152" s="147">
        <f t="shared" si="32"/>
        <v>0</v>
      </c>
      <c r="AM152" s="147">
        <f t="shared" si="32"/>
        <v>0</v>
      </c>
      <c r="AN152" s="147">
        <f t="shared" si="32"/>
        <v>0</v>
      </c>
      <c r="AO152" s="147">
        <f t="shared" si="32"/>
        <v>0</v>
      </c>
      <c r="AP152" s="147">
        <f t="shared" si="32"/>
        <v>0</v>
      </c>
      <c r="AQ152" s="147">
        <f t="shared" si="32"/>
        <v>0</v>
      </c>
      <c r="AR152" s="147">
        <f t="shared" si="32"/>
        <v>0</v>
      </c>
      <c r="AS152" s="147">
        <f t="shared" si="32"/>
        <v>0</v>
      </c>
      <c r="AT152" s="147">
        <f t="shared" si="32"/>
        <v>0</v>
      </c>
      <c r="AU152" s="147">
        <f t="shared" si="32"/>
        <v>0</v>
      </c>
      <c r="AV152" s="147">
        <f t="shared" si="32"/>
        <v>0</v>
      </c>
      <c r="AW152" s="147">
        <f t="shared" si="32"/>
        <v>0</v>
      </c>
      <c r="AX152" s="147">
        <f t="shared" si="32"/>
        <v>0</v>
      </c>
      <c r="AY152" s="147">
        <f t="shared" si="32"/>
        <v>0</v>
      </c>
      <c r="AZ152" s="147">
        <f t="shared" si="32"/>
        <v>0</v>
      </c>
      <c r="BA152" s="147">
        <f t="shared" si="32"/>
        <v>0</v>
      </c>
      <c r="BB152" s="147">
        <f t="shared" si="32"/>
        <v>0</v>
      </c>
      <c r="BC152" s="147">
        <f t="shared" si="32"/>
        <v>0</v>
      </c>
      <c r="BD152" s="147">
        <f t="shared" si="32"/>
        <v>0</v>
      </c>
      <c r="BE152" s="147">
        <f t="shared" si="32"/>
        <v>0</v>
      </c>
      <c r="BF152" s="147">
        <f t="shared" si="32"/>
        <v>0</v>
      </c>
      <c r="BG152" s="147">
        <f t="shared" si="32"/>
        <v>0</v>
      </c>
      <c r="BH152" s="147">
        <f t="shared" si="32"/>
        <v>0</v>
      </c>
      <c r="BI152" s="147">
        <f t="shared" si="32"/>
        <v>0</v>
      </c>
      <c r="BJ152" s="147">
        <f t="shared" si="32"/>
        <v>0</v>
      </c>
      <c r="BK152" s="147">
        <f t="shared" si="32"/>
        <v>0</v>
      </c>
      <c r="BL152" s="147">
        <f t="shared" si="32"/>
        <v>0</v>
      </c>
    </row>
    <row r="153" spans="2:64" s="155" customFormat="1" x14ac:dyDescent="0.15">
      <c r="C153" s="84" t="s">
        <v>372</v>
      </c>
      <c r="E153" s="147">
        <f t="shared" si="32"/>
        <v>0</v>
      </c>
      <c r="F153" s="147">
        <f t="shared" si="32"/>
        <v>0</v>
      </c>
      <c r="G153" s="147">
        <f t="shared" si="32"/>
        <v>2.6047381140359479E-2</v>
      </c>
      <c r="H153" s="147">
        <f t="shared" si="32"/>
        <v>2.1506755699073992E-2</v>
      </c>
      <c r="I153" s="147">
        <f t="shared" si="32"/>
        <v>1.8419679914520141E-2</v>
      </c>
      <c r="J153" s="147">
        <f t="shared" si="32"/>
        <v>1.5674492576538929E-2</v>
      </c>
      <c r="K153" s="147">
        <f t="shared" si="32"/>
        <v>1.389866592810559E-2</v>
      </c>
      <c r="L153" s="147">
        <f t="shared" si="32"/>
        <v>1.2240162743722825E-2</v>
      </c>
      <c r="M153" s="147">
        <f t="shared" si="32"/>
        <v>1.0715513518433218E-2</v>
      </c>
      <c r="N153" s="147">
        <f t="shared" si="32"/>
        <v>9.282525908582322E-3</v>
      </c>
      <c r="O153" s="147">
        <f t="shared" si="32"/>
        <v>7.936258307482633E-3</v>
      </c>
      <c r="P153" s="147">
        <f t="shared" si="32"/>
        <v>6.673259135231013E-3</v>
      </c>
      <c r="Q153" s="147">
        <f t="shared" si="32"/>
        <v>5.4925895508502257E-3</v>
      </c>
      <c r="R153" s="147">
        <f t="shared" si="32"/>
        <v>4.392673891017467E-3</v>
      </c>
      <c r="S153" s="147">
        <f t="shared" si="32"/>
        <v>3.3715878482886456E-3</v>
      </c>
      <c r="T153" s="147">
        <f t="shared" si="32"/>
        <v>2.4270928697894272E-3</v>
      </c>
      <c r="U153" s="147">
        <f t="shared" si="32"/>
        <v>1.5565386277101012E-3</v>
      </c>
      <c r="V153" s="147">
        <f t="shared" si="32"/>
        <v>8.3026087720118309E-4</v>
      </c>
      <c r="W153" s="147">
        <f t="shared" si="32"/>
        <v>0</v>
      </c>
      <c r="X153" s="147">
        <f t="shared" si="32"/>
        <v>0</v>
      </c>
      <c r="Y153" s="147">
        <f t="shared" si="32"/>
        <v>0</v>
      </c>
      <c r="Z153" s="147">
        <f t="shared" si="32"/>
        <v>0</v>
      </c>
      <c r="AA153" s="147">
        <f t="shared" si="32"/>
        <v>0</v>
      </c>
      <c r="AB153" s="147">
        <f t="shared" si="32"/>
        <v>0</v>
      </c>
      <c r="AC153" s="147">
        <f t="shared" si="32"/>
        <v>0</v>
      </c>
      <c r="AD153" s="147">
        <f t="shared" si="32"/>
        <v>0</v>
      </c>
      <c r="AE153" s="147">
        <f t="shared" si="32"/>
        <v>0</v>
      </c>
      <c r="AF153" s="147">
        <f t="shared" si="32"/>
        <v>0</v>
      </c>
      <c r="AG153" s="147">
        <f t="shared" si="32"/>
        <v>0</v>
      </c>
      <c r="AH153" s="147">
        <f t="shared" si="32"/>
        <v>0</v>
      </c>
      <c r="AI153" s="147">
        <f t="shared" si="32"/>
        <v>0</v>
      </c>
      <c r="AJ153" s="147">
        <f t="shared" si="32"/>
        <v>0</v>
      </c>
      <c r="AK153" s="147">
        <f t="shared" si="32"/>
        <v>0</v>
      </c>
      <c r="AL153" s="147">
        <f t="shared" si="32"/>
        <v>0</v>
      </c>
      <c r="AM153" s="147">
        <f t="shared" si="32"/>
        <v>0</v>
      </c>
      <c r="AN153" s="147">
        <f t="shared" si="32"/>
        <v>0</v>
      </c>
      <c r="AO153" s="147">
        <f t="shared" si="32"/>
        <v>0</v>
      </c>
      <c r="AP153" s="147">
        <f t="shared" si="32"/>
        <v>0</v>
      </c>
      <c r="AQ153" s="147">
        <f t="shared" si="32"/>
        <v>0</v>
      </c>
      <c r="AR153" s="147">
        <f t="shared" si="32"/>
        <v>0</v>
      </c>
      <c r="AS153" s="147">
        <f t="shared" si="32"/>
        <v>0</v>
      </c>
      <c r="AT153" s="147">
        <f t="shared" si="32"/>
        <v>0</v>
      </c>
      <c r="AU153" s="147">
        <f t="shared" si="32"/>
        <v>0</v>
      </c>
      <c r="AV153" s="147">
        <f t="shared" si="32"/>
        <v>0</v>
      </c>
      <c r="AW153" s="147">
        <f t="shared" si="32"/>
        <v>0</v>
      </c>
      <c r="AX153" s="147">
        <f t="shared" si="32"/>
        <v>0</v>
      </c>
      <c r="AY153" s="147">
        <f t="shared" si="32"/>
        <v>0</v>
      </c>
      <c r="AZ153" s="147">
        <f t="shared" si="32"/>
        <v>0</v>
      </c>
      <c r="BA153" s="147">
        <f t="shared" si="32"/>
        <v>0</v>
      </c>
      <c r="BB153" s="147">
        <f t="shared" si="32"/>
        <v>0</v>
      </c>
      <c r="BC153" s="147">
        <f t="shared" si="32"/>
        <v>0</v>
      </c>
      <c r="BD153" s="147">
        <f t="shared" si="32"/>
        <v>0</v>
      </c>
      <c r="BE153" s="147">
        <f t="shared" si="32"/>
        <v>0</v>
      </c>
      <c r="BF153" s="147">
        <f t="shared" si="32"/>
        <v>0</v>
      </c>
      <c r="BG153" s="147">
        <f t="shared" si="32"/>
        <v>0</v>
      </c>
      <c r="BH153" s="147">
        <f t="shared" si="32"/>
        <v>0</v>
      </c>
      <c r="BI153" s="147">
        <f t="shared" si="32"/>
        <v>0</v>
      </c>
      <c r="BJ153" s="147">
        <f t="shared" si="32"/>
        <v>0</v>
      </c>
      <c r="BK153" s="147">
        <f t="shared" si="32"/>
        <v>0</v>
      </c>
      <c r="BL153" s="147">
        <f t="shared" si="32"/>
        <v>0</v>
      </c>
    </row>
    <row r="154" spans="2:64" s="155" customFormat="1" x14ac:dyDescent="0.15">
      <c r="C154" s="84" t="s">
        <v>374</v>
      </c>
      <c r="E154" s="147">
        <f t="shared" si="32"/>
        <v>0</v>
      </c>
      <c r="F154" s="147">
        <f t="shared" si="32"/>
        <v>0</v>
      </c>
      <c r="G154" s="147">
        <f t="shared" si="32"/>
        <v>0</v>
      </c>
      <c r="H154" s="147">
        <f t="shared" si="32"/>
        <v>8.9485211660288888E-2</v>
      </c>
      <c r="I154" s="147">
        <f t="shared" si="32"/>
        <v>7.3885991666001322E-2</v>
      </c>
      <c r="J154" s="147">
        <f t="shared" si="32"/>
        <v>6.3280409918509709E-2</v>
      </c>
      <c r="K154" s="147">
        <f t="shared" si="32"/>
        <v>5.3849378496860868E-2</v>
      </c>
      <c r="L154" s="147">
        <f t="shared" si="32"/>
        <v>4.7748564651095268E-2</v>
      </c>
      <c r="M154" s="147">
        <f t="shared" si="32"/>
        <v>4.2050813015565333E-2</v>
      </c>
      <c r="N154" s="147">
        <f t="shared" si="32"/>
        <v>3.6812913746631259E-2</v>
      </c>
      <c r="O154" s="147">
        <f t="shared" si="32"/>
        <v>3.1889915964893073E-2</v>
      </c>
      <c r="P154" s="147">
        <f t="shared" si="32"/>
        <v>2.7264842888002065E-2</v>
      </c>
      <c r="Q154" s="147">
        <f t="shared" si="32"/>
        <v>2.2925836688235376E-2</v>
      </c>
      <c r="R154" s="147">
        <f t="shared" si="32"/>
        <v>1.8869671997825278E-2</v>
      </c>
      <c r="S154" s="147">
        <f t="shared" si="32"/>
        <v>1.5090935659679831E-2</v>
      </c>
      <c r="T154" s="147">
        <f t="shared" ref="T154:BL162" si="33">IF(T$5&gt;$D$7,0,T31*$F116)</f>
        <v>1.1583016757407635E-2</v>
      </c>
      <c r="U154" s="147">
        <f t="shared" si="33"/>
        <v>8.3382247912731026E-3</v>
      </c>
      <c r="V154" s="147">
        <f t="shared" si="33"/>
        <v>5.3474546177017974E-3</v>
      </c>
      <c r="W154" s="147">
        <f t="shared" si="33"/>
        <v>2.8523431944751597E-3</v>
      </c>
      <c r="X154" s="147">
        <f t="shared" si="33"/>
        <v>0</v>
      </c>
      <c r="Y154" s="147">
        <f t="shared" si="33"/>
        <v>0</v>
      </c>
      <c r="Z154" s="147">
        <f t="shared" si="33"/>
        <v>0</v>
      </c>
      <c r="AA154" s="147">
        <f t="shared" si="33"/>
        <v>0</v>
      </c>
      <c r="AB154" s="147">
        <f t="shared" si="33"/>
        <v>0</v>
      </c>
      <c r="AC154" s="147">
        <f t="shared" si="33"/>
        <v>0</v>
      </c>
      <c r="AD154" s="147">
        <f t="shared" si="33"/>
        <v>0</v>
      </c>
      <c r="AE154" s="147">
        <f t="shared" si="33"/>
        <v>0</v>
      </c>
      <c r="AF154" s="147">
        <f t="shared" si="33"/>
        <v>0</v>
      </c>
      <c r="AG154" s="147">
        <f t="shared" si="33"/>
        <v>0</v>
      </c>
      <c r="AH154" s="147">
        <f t="shared" si="33"/>
        <v>0</v>
      </c>
      <c r="AI154" s="147">
        <f t="shared" si="33"/>
        <v>0</v>
      </c>
      <c r="AJ154" s="147">
        <f t="shared" si="33"/>
        <v>0</v>
      </c>
      <c r="AK154" s="147">
        <f t="shared" si="33"/>
        <v>0</v>
      </c>
      <c r="AL154" s="147">
        <f t="shared" si="33"/>
        <v>0</v>
      </c>
      <c r="AM154" s="147">
        <f t="shared" si="33"/>
        <v>0</v>
      </c>
      <c r="AN154" s="147">
        <f t="shared" si="33"/>
        <v>0</v>
      </c>
      <c r="AO154" s="147">
        <f t="shared" si="33"/>
        <v>0</v>
      </c>
      <c r="AP154" s="147">
        <f t="shared" si="33"/>
        <v>0</v>
      </c>
      <c r="AQ154" s="147">
        <f t="shared" si="33"/>
        <v>0</v>
      </c>
      <c r="AR154" s="147">
        <f t="shared" si="33"/>
        <v>0</v>
      </c>
      <c r="AS154" s="147">
        <f t="shared" si="33"/>
        <v>0</v>
      </c>
      <c r="AT154" s="147">
        <f t="shared" si="33"/>
        <v>0</v>
      </c>
      <c r="AU154" s="147">
        <f t="shared" si="33"/>
        <v>0</v>
      </c>
      <c r="AV154" s="147">
        <f t="shared" si="33"/>
        <v>0</v>
      </c>
      <c r="AW154" s="147">
        <f t="shared" si="33"/>
        <v>0</v>
      </c>
      <c r="AX154" s="147">
        <f t="shared" si="33"/>
        <v>0</v>
      </c>
      <c r="AY154" s="147">
        <f t="shared" si="33"/>
        <v>0</v>
      </c>
      <c r="AZ154" s="147">
        <f t="shared" si="33"/>
        <v>0</v>
      </c>
      <c r="BA154" s="147">
        <f t="shared" si="33"/>
        <v>0</v>
      </c>
      <c r="BB154" s="147">
        <f t="shared" si="33"/>
        <v>0</v>
      </c>
      <c r="BC154" s="147">
        <f t="shared" si="33"/>
        <v>0</v>
      </c>
      <c r="BD154" s="147">
        <f t="shared" si="33"/>
        <v>0</v>
      </c>
      <c r="BE154" s="147">
        <f t="shared" si="33"/>
        <v>0</v>
      </c>
      <c r="BF154" s="147">
        <f t="shared" si="33"/>
        <v>0</v>
      </c>
      <c r="BG154" s="147">
        <f t="shared" si="33"/>
        <v>0</v>
      </c>
      <c r="BH154" s="147">
        <f t="shared" si="33"/>
        <v>0</v>
      </c>
      <c r="BI154" s="147">
        <f t="shared" si="33"/>
        <v>0</v>
      </c>
      <c r="BJ154" s="147">
        <f t="shared" si="33"/>
        <v>0</v>
      </c>
      <c r="BK154" s="147">
        <f t="shared" si="33"/>
        <v>0</v>
      </c>
      <c r="BL154" s="147">
        <f t="shared" si="33"/>
        <v>0</v>
      </c>
    </row>
    <row r="155" spans="2:64" s="155" customFormat="1" x14ac:dyDescent="0.15">
      <c r="C155" s="84" t="s">
        <v>375</v>
      </c>
      <c r="E155" s="147">
        <f t="shared" ref="E155:AJ162" si="34">IF(E$5&gt;$D$7,0,E32*$F117)</f>
        <v>0</v>
      </c>
      <c r="F155" s="147">
        <f t="shared" si="34"/>
        <v>0</v>
      </c>
      <c r="G155" s="147">
        <f t="shared" si="34"/>
        <v>0</v>
      </c>
      <c r="H155" s="147">
        <f t="shared" si="34"/>
        <v>0</v>
      </c>
      <c r="I155" s="147">
        <f t="shared" si="34"/>
        <v>8.594257172165741E-2</v>
      </c>
      <c r="J155" s="147">
        <f t="shared" si="34"/>
        <v>7.0960910972500235E-2</v>
      </c>
      <c r="K155" s="147">
        <f t="shared" si="34"/>
        <v>6.0775194773449379E-2</v>
      </c>
      <c r="L155" s="147">
        <f t="shared" si="34"/>
        <v>5.1717529497523687E-2</v>
      </c>
      <c r="M155" s="147">
        <f t="shared" si="34"/>
        <v>4.5858241445653668E-2</v>
      </c>
      <c r="N155" s="147">
        <f t="shared" si="34"/>
        <v>4.0386058729612449E-2</v>
      </c>
      <c r="O155" s="147">
        <f t="shared" si="34"/>
        <v>3.5355523233980932E-2</v>
      </c>
      <c r="P155" s="147">
        <f t="shared" si="34"/>
        <v>3.0627422555750621E-2</v>
      </c>
      <c r="Q155" s="147">
        <f t="shared" si="34"/>
        <v>2.6185452008286324E-2</v>
      </c>
      <c r="R155" s="147">
        <f t="shared" si="34"/>
        <v>2.2018223204717989E-2</v>
      </c>
      <c r="S155" s="147">
        <f t="shared" si="34"/>
        <v>1.812263846671907E-2</v>
      </c>
      <c r="T155" s="147">
        <f t="shared" si="34"/>
        <v>1.4493498939272266E-2</v>
      </c>
      <c r="U155" s="147">
        <f t="shared" si="34"/>
        <v>1.1124455426286149E-2</v>
      </c>
      <c r="V155" s="147">
        <f t="shared" si="34"/>
        <v>8.0081218880694895E-3</v>
      </c>
      <c r="W155" s="147">
        <f t="shared" si="34"/>
        <v>5.1357536455835561E-3</v>
      </c>
      <c r="X155" s="147">
        <f t="shared" si="34"/>
        <v>2.7394214643708362E-3</v>
      </c>
      <c r="Y155" s="147">
        <f t="shared" si="34"/>
        <v>0</v>
      </c>
      <c r="Z155" s="147">
        <f t="shared" si="34"/>
        <v>0</v>
      </c>
      <c r="AA155" s="147">
        <f t="shared" si="34"/>
        <v>0</v>
      </c>
      <c r="AB155" s="147">
        <f t="shared" si="34"/>
        <v>0</v>
      </c>
      <c r="AC155" s="147">
        <f t="shared" si="34"/>
        <v>0</v>
      </c>
      <c r="AD155" s="147">
        <f t="shared" si="34"/>
        <v>0</v>
      </c>
      <c r="AE155" s="147">
        <f t="shared" si="34"/>
        <v>0</v>
      </c>
      <c r="AF155" s="147">
        <f t="shared" si="34"/>
        <v>0</v>
      </c>
      <c r="AG155" s="147">
        <f t="shared" si="34"/>
        <v>0</v>
      </c>
      <c r="AH155" s="147">
        <f t="shared" si="34"/>
        <v>0</v>
      </c>
      <c r="AI155" s="147">
        <f t="shared" si="34"/>
        <v>0</v>
      </c>
      <c r="AJ155" s="147">
        <f t="shared" si="34"/>
        <v>0</v>
      </c>
      <c r="AK155" s="147">
        <f t="shared" si="33"/>
        <v>0</v>
      </c>
      <c r="AL155" s="147">
        <f t="shared" si="33"/>
        <v>0</v>
      </c>
      <c r="AM155" s="147">
        <f t="shared" si="33"/>
        <v>0</v>
      </c>
      <c r="AN155" s="147">
        <f t="shared" si="33"/>
        <v>0</v>
      </c>
      <c r="AO155" s="147">
        <f t="shared" si="33"/>
        <v>0</v>
      </c>
      <c r="AP155" s="147">
        <f t="shared" si="33"/>
        <v>0</v>
      </c>
      <c r="AQ155" s="147">
        <f t="shared" si="33"/>
        <v>0</v>
      </c>
      <c r="AR155" s="147">
        <f t="shared" si="33"/>
        <v>0</v>
      </c>
      <c r="AS155" s="147">
        <f t="shared" si="33"/>
        <v>0</v>
      </c>
      <c r="AT155" s="147">
        <f t="shared" si="33"/>
        <v>0</v>
      </c>
      <c r="AU155" s="147">
        <f t="shared" si="33"/>
        <v>0</v>
      </c>
      <c r="AV155" s="147">
        <f t="shared" si="33"/>
        <v>0</v>
      </c>
      <c r="AW155" s="147">
        <f t="shared" si="33"/>
        <v>0</v>
      </c>
      <c r="AX155" s="147">
        <f t="shared" si="33"/>
        <v>0</v>
      </c>
      <c r="AY155" s="147">
        <f t="shared" si="33"/>
        <v>0</v>
      </c>
      <c r="AZ155" s="147">
        <f t="shared" si="33"/>
        <v>0</v>
      </c>
      <c r="BA155" s="147">
        <f t="shared" si="33"/>
        <v>0</v>
      </c>
      <c r="BB155" s="147">
        <f t="shared" si="33"/>
        <v>0</v>
      </c>
      <c r="BC155" s="147">
        <f t="shared" si="33"/>
        <v>0</v>
      </c>
      <c r="BD155" s="147">
        <f t="shared" si="33"/>
        <v>0</v>
      </c>
      <c r="BE155" s="147">
        <f t="shared" si="33"/>
        <v>0</v>
      </c>
      <c r="BF155" s="147">
        <f t="shared" si="33"/>
        <v>0</v>
      </c>
      <c r="BG155" s="147">
        <f t="shared" si="33"/>
        <v>0</v>
      </c>
      <c r="BH155" s="147">
        <f t="shared" si="33"/>
        <v>0</v>
      </c>
      <c r="BI155" s="147">
        <f t="shared" si="33"/>
        <v>0</v>
      </c>
      <c r="BJ155" s="147">
        <f t="shared" si="33"/>
        <v>0</v>
      </c>
      <c r="BK155" s="147">
        <f t="shared" si="33"/>
        <v>0</v>
      </c>
      <c r="BL155" s="147">
        <f t="shared" si="33"/>
        <v>0</v>
      </c>
    </row>
    <row r="156" spans="2:64" s="155" customFormat="1" x14ac:dyDescent="0.15">
      <c r="C156" s="84" t="s">
        <v>376</v>
      </c>
      <c r="E156" s="147">
        <f t="shared" si="34"/>
        <v>0</v>
      </c>
      <c r="F156" s="147">
        <f t="shared" si="34"/>
        <v>0</v>
      </c>
      <c r="G156" s="147">
        <f t="shared" si="34"/>
        <v>0</v>
      </c>
      <c r="H156" s="147">
        <f t="shared" si="34"/>
        <v>0</v>
      </c>
      <c r="I156" s="147">
        <f t="shared" si="34"/>
        <v>0</v>
      </c>
      <c r="J156" s="147">
        <f t="shared" si="34"/>
        <v>8.1212410244116628E-2</v>
      </c>
      <c r="K156" s="147">
        <f t="shared" si="34"/>
        <v>6.7055319590147669E-2</v>
      </c>
      <c r="L156" s="147">
        <f t="shared" si="34"/>
        <v>5.7430211264712178E-2</v>
      </c>
      <c r="M156" s="147">
        <f t="shared" si="34"/>
        <v>4.8871067484086886E-2</v>
      </c>
      <c r="N156" s="147">
        <f t="shared" si="34"/>
        <v>4.3334266624228443E-2</v>
      </c>
      <c r="O156" s="147">
        <f t="shared" si="34"/>
        <v>3.8163265352527918E-2</v>
      </c>
      <c r="P156" s="147">
        <f t="shared" si="34"/>
        <v>3.3409603642916015E-2</v>
      </c>
      <c r="Q156" s="147">
        <f t="shared" si="34"/>
        <v>2.894173115244034E-2</v>
      </c>
      <c r="R156" s="147">
        <f t="shared" si="34"/>
        <v>2.47442405820942E-2</v>
      </c>
      <c r="S156" s="147">
        <f t="shared" si="34"/>
        <v>2.0806370346228231E-2</v>
      </c>
      <c r="T156" s="147">
        <f t="shared" si="34"/>
        <v>1.712519325848973E-2</v>
      </c>
      <c r="U156" s="147">
        <f t="shared" si="34"/>
        <v>1.369579660172344E-2</v>
      </c>
      <c r="V156" s="147">
        <f t="shared" si="34"/>
        <v>1.0512180630897662E-2</v>
      </c>
      <c r="W156" s="147">
        <f t="shared" si="34"/>
        <v>7.5673658238330273E-3</v>
      </c>
      <c r="X156" s="147">
        <f t="shared" si="34"/>
        <v>4.8530887966521481E-3</v>
      </c>
      <c r="Y156" s="147">
        <f t="shared" si="34"/>
        <v>2.5886474577064542E-3</v>
      </c>
      <c r="Z156" s="147">
        <f t="shared" si="34"/>
        <v>0</v>
      </c>
      <c r="AA156" s="147">
        <f t="shared" si="34"/>
        <v>0</v>
      </c>
      <c r="AB156" s="147">
        <f t="shared" si="34"/>
        <v>0</v>
      </c>
      <c r="AC156" s="147">
        <f t="shared" si="34"/>
        <v>0</v>
      </c>
      <c r="AD156" s="147">
        <f t="shared" si="34"/>
        <v>0</v>
      </c>
      <c r="AE156" s="147">
        <f t="shared" si="34"/>
        <v>0</v>
      </c>
      <c r="AF156" s="147">
        <f t="shared" si="34"/>
        <v>0</v>
      </c>
      <c r="AG156" s="147">
        <f t="shared" si="34"/>
        <v>0</v>
      </c>
      <c r="AH156" s="147">
        <f t="shared" si="34"/>
        <v>0</v>
      </c>
      <c r="AI156" s="147">
        <f t="shared" si="34"/>
        <v>0</v>
      </c>
      <c r="AJ156" s="147">
        <f t="shared" si="34"/>
        <v>0</v>
      </c>
      <c r="AK156" s="147">
        <f t="shared" si="33"/>
        <v>0</v>
      </c>
      <c r="AL156" s="147">
        <f t="shared" si="33"/>
        <v>0</v>
      </c>
      <c r="AM156" s="147">
        <f t="shared" si="33"/>
        <v>0</v>
      </c>
      <c r="AN156" s="147">
        <f t="shared" si="33"/>
        <v>0</v>
      </c>
      <c r="AO156" s="147">
        <f t="shared" si="33"/>
        <v>0</v>
      </c>
      <c r="AP156" s="147">
        <f t="shared" si="33"/>
        <v>0</v>
      </c>
      <c r="AQ156" s="147">
        <f t="shared" si="33"/>
        <v>0</v>
      </c>
      <c r="AR156" s="147">
        <f t="shared" si="33"/>
        <v>0</v>
      </c>
      <c r="AS156" s="147">
        <f t="shared" si="33"/>
        <v>0</v>
      </c>
      <c r="AT156" s="147">
        <f t="shared" si="33"/>
        <v>0</v>
      </c>
      <c r="AU156" s="147">
        <f t="shared" si="33"/>
        <v>0</v>
      </c>
      <c r="AV156" s="147">
        <f t="shared" si="33"/>
        <v>0</v>
      </c>
      <c r="AW156" s="147">
        <f t="shared" si="33"/>
        <v>0</v>
      </c>
      <c r="AX156" s="147">
        <f t="shared" si="33"/>
        <v>0</v>
      </c>
      <c r="AY156" s="147">
        <f t="shared" si="33"/>
        <v>0</v>
      </c>
      <c r="AZ156" s="147">
        <f t="shared" si="33"/>
        <v>0</v>
      </c>
      <c r="BA156" s="147">
        <f t="shared" si="33"/>
        <v>0</v>
      </c>
      <c r="BB156" s="147">
        <f t="shared" si="33"/>
        <v>0</v>
      </c>
      <c r="BC156" s="147">
        <f t="shared" si="33"/>
        <v>0</v>
      </c>
      <c r="BD156" s="147">
        <f t="shared" si="33"/>
        <v>0</v>
      </c>
      <c r="BE156" s="147">
        <f t="shared" si="33"/>
        <v>0</v>
      </c>
      <c r="BF156" s="147">
        <f t="shared" si="33"/>
        <v>0</v>
      </c>
      <c r="BG156" s="147">
        <f t="shared" si="33"/>
        <v>0</v>
      </c>
      <c r="BH156" s="147">
        <f t="shared" si="33"/>
        <v>0</v>
      </c>
      <c r="BI156" s="147">
        <f t="shared" si="33"/>
        <v>0</v>
      </c>
      <c r="BJ156" s="147">
        <f t="shared" si="33"/>
        <v>0</v>
      </c>
      <c r="BK156" s="147">
        <f t="shared" si="33"/>
        <v>0</v>
      </c>
      <c r="BL156" s="147">
        <f t="shared" si="33"/>
        <v>0</v>
      </c>
    </row>
    <row r="157" spans="2:64" s="155" customFormat="1" x14ac:dyDescent="0.15">
      <c r="C157" s="84" t="s">
        <v>378</v>
      </c>
      <c r="E157" s="147">
        <f t="shared" si="34"/>
        <v>0</v>
      </c>
      <c r="F157" s="147">
        <f t="shared" si="34"/>
        <v>0</v>
      </c>
      <c r="G157" s="147">
        <f t="shared" si="34"/>
        <v>0</v>
      </c>
      <c r="H157" s="147">
        <f t="shared" si="34"/>
        <v>0</v>
      </c>
      <c r="I157" s="147">
        <f t="shared" si="34"/>
        <v>0</v>
      </c>
      <c r="J157" s="147">
        <f t="shared" si="34"/>
        <v>0</v>
      </c>
      <c r="K157" s="147">
        <f t="shared" si="34"/>
        <v>0.19615344640193202</v>
      </c>
      <c r="L157" s="147">
        <f t="shared" si="34"/>
        <v>0.161959631510177</v>
      </c>
      <c r="M157" s="147">
        <f t="shared" si="34"/>
        <v>0.13871197558725881</v>
      </c>
      <c r="N157" s="147">
        <f t="shared" si="34"/>
        <v>0.11803895842433154</v>
      </c>
      <c r="O157" s="147">
        <f t="shared" si="34"/>
        <v>0.10466584749907004</v>
      </c>
      <c r="P157" s="147">
        <f t="shared" si="34"/>
        <v>9.2176257327519745E-2</v>
      </c>
      <c r="Q157" s="147">
        <f t="shared" si="34"/>
        <v>8.0694673114387425E-2</v>
      </c>
      <c r="R157" s="147">
        <f t="shared" si="34"/>
        <v>6.9903359515186891E-2</v>
      </c>
      <c r="S157" s="147">
        <f t="shared" si="34"/>
        <v>5.9765103069674579E-2</v>
      </c>
      <c r="T157" s="147">
        <f t="shared" si="34"/>
        <v>5.0253911172686676E-2</v>
      </c>
      <c r="U157" s="147">
        <f t="shared" si="34"/>
        <v>4.1362713750947265E-2</v>
      </c>
      <c r="V157" s="147">
        <f t="shared" si="34"/>
        <v>3.3079645051447552E-2</v>
      </c>
      <c r="W157" s="147">
        <f t="shared" si="34"/>
        <v>2.5390213807865557E-2</v>
      </c>
      <c r="X157" s="147">
        <f t="shared" si="34"/>
        <v>1.8277562284719624E-2</v>
      </c>
      <c r="Y157" s="147">
        <f t="shared" si="34"/>
        <v>1.1721731817790584E-2</v>
      </c>
      <c r="Z157" s="147">
        <f t="shared" si="34"/>
        <v>6.2523956476898887E-3</v>
      </c>
      <c r="AA157" s="147">
        <f t="shared" si="34"/>
        <v>0</v>
      </c>
      <c r="AB157" s="147">
        <f t="shared" si="34"/>
        <v>0</v>
      </c>
      <c r="AC157" s="147">
        <f t="shared" si="34"/>
        <v>0</v>
      </c>
      <c r="AD157" s="147">
        <f t="shared" si="34"/>
        <v>0</v>
      </c>
      <c r="AE157" s="147">
        <f t="shared" si="34"/>
        <v>0</v>
      </c>
      <c r="AF157" s="147">
        <f t="shared" si="34"/>
        <v>0</v>
      </c>
      <c r="AG157" s="147">
        <f t="shared" si="34"/>
        <v>0</v>
      </c>
      <c r="AH157" s="147">
        <f t="shared" si="34"/>
        <v>0</v>
      </c>
      <c r="AI157" s="147">
        <f t="shared" si="34"/>
        <v>0</v>
      </c>
      <c r="AJ157" s="147">
        <f t="shared" si="34"/>
        <v>0</v>
      </c>
      <c r="AK157" s="147">
        <f t="shared" si="33"/>
        <v>0</v>
      </c>
      <c r="AL157" s="147">
        <f t="shared" si="33"/>
        <v>0</v>
      </c>
      <c r="AM157" s="147">
        <f t="shared" si="33"/>
        <v>0</v>
      </c>
      <c r="AN157" s="147">
        <f t="shared" si="33"/>
        <v>0</v>
      </c>
      <c r="AO157" s="147">
        <f t="shared" si="33"/>
        <v>0</v>
      </c>
      <c r="AP157" s="147">
        <f t="shared" si="33"/>
        <v>0</v>
      </c>
      <c r="AQ157" s="147">
        <f t="shared" si="33"/>
        <v>0</v>
      </c>
      <c r="AR157" s="147">
        <f t="shared" si="33"/>
        <v>0</v>
      </c>
      <c r="AS157" s="147">
        <f t="shared" si="33"/>
        <v>0</v>
      </c>
      <c r="AT157" s="147">
        <f t="shared" si="33"/>
        <v>0</v>
      </c>
      <c r="AU157" s="147">
        <f t="shared" si="33"/>
        <v>0</v>
      </c>
      <c r="AV157" s="147">
        <f t="shared" si="33"/>
        <v>0</v>
      </c>
      <c r="AW157" s="147">
        <f t="shared" si="33"/>
        <v>0</v>
      </c>
      <c r="AX157" s="147">
        <f t="shared" si="33"/>
        <v>0</v>
      </c>
      <c r="AY157" s="147">
        <f t="shared" si="33"/>
        <v>0</v>
      </c>
      <c r="AZ157" s="147">
        <f t="shared" si="33"/>
        <v>0</v>
      </c>
      <c r="BA157" s="147">
        <f t="shared" si="33"/>
        <v>0</v>
      </c>
      <c r="BB157" s="147">
        <f t="shared" si="33"/>
        <v>0</v>
      </c>
      <c r="BC157" s="147">
        <f t="shared" si="33"/>
        <v>0</v>
      </c>
      <c r="BD157" s="147">
        <f t="shared" si="33"/>
        <v>0</v>
      </c>
      <c r="BE157" s="147">
        <f t="shared" si="33"/>
        <v>0</v>
      </c>
      <c r="BF157" s="147">
        <f t="shared" si="33"/>
        <v>0</v>
      </c>
      <c r="BG157" s="147">
        <f t="shared" si="33"/>
        <v>0</v>
      </c>
      <c r="BH157" s="147">
        <f t="shared" si="33"/>
        <v>0</v>
      </c>
      <c r="BI157" s="147">
        <f t="shared" si="33"/>
        <v>0</v>
      </c>
      <c r="BJ157" s="147">
        <f t="shared" si="33"/>
        <v>0</v>
      </c>
      <c r="BK157" s="147">
        <f t="shared" si="33"/>
        <v>0</v>
      </c>
      <c r="BL157" s="147">
        <f t="shared" si="33"/>
        <v>0</v>
      </c>
    </row>
    <row r="158" spans="2:64" s="155" customFormat="1" x14ac:dyDescent="0.15">
      <c r="C158" s="84" t="s">
        <v>379</v>
      </c>
      <c r="E158" s="147">
        <f t="shared" si="34"/>
        <v>0</v>
      </c>
      <c r="F158" s="147">
        <f t="shared" si="34"/>
        <v>0</v>
      </c>
      <c r="G158" s="147">
        <f t="shared" si="34"/>
        <v>0</v>
      </c>
      <c r="H158" s="147">
        <f t="shared" si="34"/>
        <v>0</v>
      </c>
      <c r="I158" s="147">
        <f t="shared" si="34"/>
        <v>0</v>
      </c>
      <c r="J158" s="147">
        <f t="shared" si="34"/>
        <v>0</v>
      </c>
      <c r="K158" s="147">
        <f t="shared" si="34"/>
        <v>0</v>
      </c>
      <c r="L158" s="147">
        <f t="shared" si="34"/>
        <v>0.19517267916992237</v>
      </c>
      <c r="M158" s="147">
        <f t="shared" si="34"/>
        <v>0.16114983335262612</v>
      </c>
      <c r="N158" s="147">
        <f t="shared" si="34"/>
        <v>0.13801841570932252</v>
      </c>
      <c r="O158" s="147">
        <f t="shared" si="34"/>
        <v>0.11744876363220988</v>
      </c>
      <c r="P158" s="147">
        <f t="shared" si="34"/>
        <v>0.1041425182615747</v>
      </c>
      <c r="Q158" s="147">
        <f t="shared" si="34"/>
        <v>9.1715376040882146E-2</v>
      </c>
      <c r="R158" s="147">
        <f t="shared" si="34"/>
        <v>8.0291199748815489E-2</v>
      </c>
      <c r="S158" s="147">
        <f t="shared" si="34"/>
        <v>6.9553842717610961E-2</v>
      </c>
      <c r="T158" s="147">
        <f t="shared" si="34"/>
        <v>5.9466277554326208E-2</v>
      </c>
      <c r="U158" s="147">
        <f t="shared" si="34"/>
        <v>5.0002641616823246E-2</v>
      </c>
      <c r="V158" s="147">
        <f t="shared" si="34"/>
        <v>4.1155900182192527E-2</v>
      </c>
      <c r="W158" s="147">
        <f t="shared" si="34"/>
        <v>3.2914246826190319E-2</v>
      </c>
      <c r="X158" s="147">
        <f t="shared" si="34"/>
        <v>2.5263262738826231E-2</v>
      </c>
      <c r="Y158" s="147">
        <f t="shared" si="34"/>
        <v>1.8186174473296023E-2</v>
      </c>
      <c r="Z158" s="147">
        <f t="shared" si="34"/>
        <v>1.1663123158701631E-2</v>
      </c>
      <c r="AA158" s="147">
        <f t="shared" si="34"/>
        <v>0</v>
      </c>
      <c r="AB158" s="147">
        <f t="shared" si="34"/>
        <v>0</v>
      </c>
      <c r="AC158" s="147">
        <f t="shared" si="34"/>
        <v>0</v>
      </c>
      <c r="AD158" s="147">
        <f t="shared" si="34"/>
        <v>0</v>
      </c>
      <c r="AE158" s="147">
        <f t="shared" si="34"/>
        <v>0</v>
      </c>
      <c r="AF158" s="147">
        <f t="shared" si="34"/>
        <v>0</v>
      </c>
      <c r="AG158" s="147">
        <f t="shared" si="34"/>
        <v>0</v>
      </c>
      <c r="AH158" s="147">
        <f t="shared" si="34"/>
        <v>0</v>
      </c>
      <c r="AI158" s="147">
        <f t="shared" si="34"/>
        <v>0</v>
      </c>
      <c r="AJ158" s="147">
        <f t="shared" si="34"/>
        <v>0</v>
      </c>
      <c r="AK158" s="147">
        <f t="shared" si="33"/>
        <v>0</v>
      </c>
      <c r="AL158" s="147">
        <f t="shared" si="33"/>
        <v>0</v>
      </c>
      <c r="AM158" s="147">
        <f t="shared" si="33"/>
        <v>0</v>
      </c>
      <c r="AN158" s="147">
        <f t="shared" si="33"/>
        <v>0</v>
      </c>
      <c r="AO158" s="147">
        <f t="shared" si="33"/>
        <v>0</v>
      </c>
      <c r="AP158" s="147">
        <f t="shared" si="33"/>
        <v>0</v>
      </c>
      <c r="AQ158" s="147">
        <f t="shared" si="33"/>
        <v>0</v>
      </c>
      <c r="AR158" s="147">
        <f t="shared" si="33"/>
        <v>0</v>
      </c>
      <c r="AS158" s="147">
        <f t="shared" si="33"/>
        <v>0</v>
      </c>
      <c r="AT158" s="147">
        <f t="shared" si="33"/>
        <v>0</v>
      </c>
      <c r="AU158" s="147">
        <f t="shared" si="33"/>
        <v>0</v>
      </c>
      <c r="AV158" s="147">
        <f t="shared" si="33"/>
        <v>0</v>
      </c>
      <c r="AW158" s="147">
        <f t="shared" si="33"/>
        <v>0</v>
      </c>
      <c r="AX158" s="147">
        <f t="shared" si="33"/>
        <v>0</v>
      </c>
      <c r="AY158" s="147">
        <f t="shared" si="33"/>
        <v>0</v>
      </c>
      <c r="AZ158" s="147">
        <f t="shared" si="33"/>
        <v>0</v>
      </c>
      <c r="BA158" s="147">
        <f t="shared" si="33"/>
        <v>0</v>
      </c>
      <c r="BB158" s="147">
        <f t="shared" si="33"/>
        <v>0</v>
      </c>
      <c r="BC158" s="147">
        <f t="shared" si="33"/>
        <v>0</v>
      </c>
      <c r="BD158" s="147">
        <f t="shared" si="33"/>
        <v>0</v>
      </c>
      <c r="BE158" s="147">
        <f t="shared" si="33"/>
        <v>0</v>
      </c>
      <c r="BF158" s="147">
        <f t="shared" si="33"/>
        <v>0</v>
      </c>
      <c r="BG158" s="147">
        <f t="shared" si="33"/>
        <v>0</v>
      </c>
      <c r="BH158" s="147">
        <f t="shared" si="33"/>
        <v>0</v>
      </c>
      <c r="BI158" s="147">
        <f t="shared" si="33"/>
        <v>0</v>
      </c>
      <c r="BJ158" s="147">
        <f t="shared" si="33"/>
        <v>0</v>
      </c>
      <c r="BK158" s="147">
        <f t="shared" si="33"/>
        <v>0</v>
      </c>
      <c r="BL158" s="147">
        <f t="shared" si="33"/>
        <v>0</v>
      </c>
    </row>
    <row r="159" spans="2:64" s="155" customFormat="1" x14ac:dyDescent="0.15">
      <c r="C159" s="84" t="s">
        <v>380</v>
      </c>
      <c r="E159" s="147">
        <f t="shared" si="34"/>
        <v>0</v>
      </c>
      <c r="F159" s="147">
        <f t="shared" si="34"/>
        <v>0</v>
      </c>
      <c r="G159" s="147">
        <f t="shared" si="34"/>
        <v>0</v>
      </c>
      <c r="H159" s="147">
        <f t="shared" si="34"/>
        <v>0</v>
      </c>
      <c r="I159" s="147">
        <f t="shared" si="34"/>
        <v>0</v>
      </c>
      <c r="J159" s="147">
        <f t="shared" si="34"/>
        <v>0</v>
      </c>
      <c r="K159" s="147">
        <f t="shared" si="34"/>
        <v>0</v>
      </c>
      <c r="L159" s="147">
        <f t="shared" si="34"/>
        <v>0</v>
      </c>
      <c r="M159" s="147">
        <f t="shared" si="34"/>
        <v>0.19497750649075246</v>
      </c>
      <c r="N159" s="147">
        <f t="shared" si="34"/>
        <v>0.16098868351927348</v>
      </c>
      <c r="O159" s="147">
        <f t="shared" si="34"/>
        <v>0.1378803972936132</v>
      </c>
      <c r="P159" s="147">
        <f t="shared" si="34"/>
        <v>0.11733131486857767</v>
      </c>
      <c r="Q159" s="147">
        <f t="shared" si="34"/>
        <v>0.10403837574331312</v>
      </c>
      <c r="R159" s="147">
        <f t="shared" si="34"/>
        <v>9.1623660664841247E-2</v>
      </c>
      <c r="S159" s="147">
        <f t="shared" si="34"/>
        <v>8.0210908549066678E-2</v>
      </c>
      <c r="T159" s="147">
        <f t="shared" si="34"/>
        <v>6.9484288874893357E-2</v>
      </c>
      <c r="U159" s="147">
        <f t="shared" si="34"/>
        <v>5.940681127677188E-2</v>
      </c>
      <c r="V159" s="147">
        <f t="shared" si="34"/>
        <v>4.9952638975206423E-2</v>
      </c>
      <c r="W159" s="147">
        <f t="shared" si="34"/>
        <v>4.111474428201034E-2</v>
      </c>
      <c r="X159" s="147">
        <f t="shared" si="34"/>
        <v>3.2881332579364125E-2</v>
      </c>
      <c r="Y159" s="147">
        <f t="shared" si="34"/>
        <v>2.5237999476087403E-2</v>
      </c>
      <c r="Z159" s="147">
        <f t="shared" si="34"/>
        <v>1.8167988298822726E-2</v>
      </c>
      <c r="AA159" s="147">
        <f t="shared" si="34"/>
        <v>0</v>
      </c>
      <c r="AB159" s="147">
        <f t="shared" si="34"/>
        <v>0</v>
      </c>
      <c r="AC159" s="147">
        <f t="shared" si="34"/>
        <v>0</v>
      </c>
      <c r="AD159" s="147">
        <f t="shared" si="34"/>
        <v>0</v>
      </c>
      <c r="AE159" s="147">
        <f t="shared" si="34"/>
        <v>0</v>
      </c>
      <c r="AF159" s="147">
        <f t="shared" si="34"/>
        <v>0</v>
      </c>
      <c r="AG159" s="147">
        <f t="shared" si="34"/>
        <v>0</v>
      </c>
      <c r="AH159" s="147">
        <f t="shared" si="34"/>
        <v>0</v>
      </c>
      <c r="AI159" s="147">
        <f t="shared" si="34"/>
        <v>0</v>
      </c>
      <c r="AJ159" s="147">
        <f t="shared" si="34"/>
        <v>0</v>
      </c>
      <c r="AK159" s="147">
        <f t="shared" si="33"/>
        <v>0</v>
      </c>
      <c r="AL159" s="147">
        <f t="shared" si="33"/>
        <v>0</v>
      </c>
      <c r="AM159" s="147">
        <f t="shared" si="33"/>
        <v>0</v>
      </c>
      <c r="AN159" s="147">
        <f t="shared" si="33"/>
        <v>0</v>
      </c>
      <c r="AO159" s="147">
        <f t="shared" si="33"/>
        <v>0</v>
      </c>
      <c r="AP159" s="147">
        <f t="shared" si="33"/>
        <v>0</v>
      </c>
      <c r="AQ159" s="147">
        <f t="shared" si="33"/>
        <v>0</v>
      </c>
      <c r="AR159" s="147">
        <f t="shared" si="33"/>
        <v>0</v>
      </c>
      <c r="AS159" s="147">
        <f t="shared" si="33"/>
        <v>0</v>
      </c>
      <c r="AT159" s="147">
        <f t="shared" si="33"/>
        <v>0</v>
      </c>
      <c r="AU159" s="147">
        <f t="shared" si="33"/>
        <v>0</v>
      </c>
      <c r="AV159" s="147">
        <f t="shared" si="33"/>
        <v>0</v>
      </c>
      <c r="AW159" s="147">
        <f t="shared" si="33"/>
        <v>0</v>
      </c>
      <c r="AX159" s="147">
        <f t="shared" si="33"/>
        <v>0</v>
      </c>
      <c r="AY159" s="147">
        <f t="shared" si="33"/>
        <v>0</v>
      </c>
      <c r="AZ159" s="147">
        <f t="shared" si="33"/>
        <v>0</v>
      </c>
      <c r="BA159" s="147">
        <f t="shared" si="33"/>
        <v>0</v>
      </c>
      <c r="BB159" s="147">
        <f t="shared" si="33"/>
        <v>0</v>
      </c>
      <c r="BC159" s="147">
        <f t="shared" si="33"/>
        <v>0</v>
      </c>
      <c r="BD159" s="147">
        <f t="shared" si="33"/>
        <v>0</v>
      </c>
      <c r="BE159" s="147">
        <f t="shared" si="33"/>
        <v>0</v>
      </c>
      <c r="BF159" s="147">
        <f t="shared" si="33"/>
        <v>0</v>
      </c>
      <c r="BG159" s="147">
        <f t="shared" si="33"/>
        <v>0</v>
      </c>
      <c r="BH159" s="147">
        <f t="shared" si="33"/>
        <v>0</v>
      </c>
      <c r="BI159" s="147">
        <f t="shared" si="33"/>
        <v>0</v>
      </c>
      <c r="BJ159" s="147">
        <f t="shared" si="33"/>
        <v>0</v>
      </c>
      <c r="BK159" s="147">
        <f t="shared" si="33"/>
        <v>0</v>
      </c>
      <c r="BL159" s="147">
        <f t="shared" si="33"/>
        <v>0</v>
      </c>
    </row>
    <row r="160" spans="2:64" x14ac:dyDescent="0.15">
      <c r="C160" s="84" t="s">
        <v>381</v>
      </c>
      <c r="E160" s="147">
        <f t="shared" si="34"/>
        <v>0</v>
      </c>
      <c r="F160" s="147">
        <f t="shared" si="34"/>
        <v>0</v>
      </c>
      <c r="G160" s="147">
        <f t="shared" si="34"/>
        <v>0</v>
      </c>
      <c r="H160" s="147">
        <f t="shared" si="34"/>
        <v>0</v>
      </c>
      <c r="I160" s="147">
        <f t="shared" si="34"/>
        <v>0</v>
      </c>
      <c r="J160" s="147">
        <f t="shared" si="34"/>
        <v>0</v>
      </c>
      <c r="K160" s="147">
        <f t="shared" si="34"/>
        <v>0</v>
      </c>
      <c r="L160" s="147">
        <f t="shared" si="34"/>
        <v>0</v>
      </c>
      <c r="M160" s="147">
        <f t="shared" si="34"/>
        <v>0</v>
      </c>
      <c r="N160" s="147">
        <f t="shared" si="34"/>
        <v>0.19497750649075246</v>
      </c>
      <c r="O160" s="147">
        <f t="shared" si="34"/>
        <v>0.16098868351927348</v>
      </c>
      <c r="P160" s="147">
        <f t="shared" si="34"/>
        <v>0.1378803972936132</v>
      </c>
      <c r="Q160" s="147">
        <f t="shared" si="34"/>
        <v>0.11733131486857767</v>
      </c>
      <c r="R160" s="147">
        <f t="shared" si="34"/>
        <v>0.10403837574331312</v>
      </c>
      <c r="S160" s="147">
        <f t="shared" si="34"/>
        <v>9.1623660664841247E-2</v>
      </c>
      <c r="T160" s="147">
        <f t="shared" si="34"/>
        <v>8.0210908549066678E-2</v>
      </c>
      <c r="U160" s="147">
        <f t="shared" si="34"/>
        <v>6.9484288874893357E-2</v>
      </c>
      <c r="V160" s="147">
        <f t="shared" si="34"/>
        <v>5.940681127677188E-2</v>
      </c>
      <c r="W160" s="147">
        <f t="shared" si="34"/>
        <v>4.9952638975206423E-2</v>
      </c>
      <c r="X160" s="147">
        <f t="shared" si="34"/>
        <v>4.111474428201034E-2</v>
      </c>
      <c r="Y160" s="147">
        <f t="shared" si="34"/>
        <v>3.2881332579364125E-2</v>
      </c>
      <c r="Z160" s="147">
        <f t="shared" si="34"/>
        <v>2.5237999476087403E-2</v>
      </c>
      <c r="AA160" s="147">
        <f t="shared" si="34"/>
        <v>0</v>
      </c>
      <c r="AB160" s="147">
        <f t="shared" si="34"/>
        <v>0</v>
      </c>
      <c r="AC160" s="147">
        <f t="shared" si="34"/>
        <v>0</v>
      </c>
      <c r="AD160" s="147">
        <f t="shared" si="34"/>
        <v>0</v>
      </c>
      <c r="AE160" s="147">
        <f t="shared" si="34"/>
        <v>0</v>
      </c>
      <c r="AF160" s="147">
        <f t="shared" si="34"/>
        <v>0</v>
      </c>
      <c r="AG160" s="147">
        <f t="shared" si="34"/>
        <v>0</v>
      </c>
      <c r="AH160" s="147">
        <f t="shared" si="34"/>
        <v>0</v>
      </c>
      <c r="AI160" s="147">
        <f t="shared" si="34"/>
        <v>0</v>
      </c>
      <c r="AJ160" s="147">
        <f t="shared" si="34"/>
        <v>0</v>
      </c>
      <c r="AK160" s="147">
        <f t="shared" si="33"/>
        <v>0</v>
      </c>
      <c r="AL160" s="147">
        <f t="shared" si="33"/>
        <v>0</v>
      </c>
      <c r="AM160" s="147">
        <f t="shared" si="33"/>
        <v>0</v>
      </c>
      <c r="AN160" s="147">
        <f t="shared" si="33"/>
        <v>0</v>
      </c>
      <c r="AO160" s="147">
        <f t="shared" si="33"/>
        <v>0</v>
      </c>
      <c r="AP160" s="147">
        <f t="shared" si="33"/>
        <v>0</v>
      </c>
      <c r="AQ160" s="147">
        <f t="shared" si="33"/>
        <v>0</v>
      </c>
      <c r="AR160" s="147">
        <f t="shared" si="33"/>
        <v>0</v>
      </c>
      <c r="AS160" s="147">
        <f t="shared" si="33"/>
        <v>0</v>
      </c>
      <c r="AT160" s="147">
        <f t="shared" si="33"/>
        <v>0</v>
      </c>
      <c r="AU160" s="147">
        <f t="shared" si="33"/>
        <v>0</v>
      </c>
      <c r="AV160" s="147">
        <f t="shared" si="33"/>
        <v>0</v>
      </c>
      <c r="AW160" s="147">
        <f t="shared" si="33"/>
        <v>0</v>
      </c>
      <c r="AX160" s="147">
        <f t="shared" si="33"/>
        <v>0</v>
      </c>
      <c r="AY160" s="147">
        <f t="shared" si="33"/>
        <v>0</v>
      </c>
      <c r="AZ160" s="147">
        <f t="shared" si="33"/>
        <v>0</v>
      </c>
      <c r="BA160" s="147">
        <f t="shared" si="33"/>
        <v>0</v>
      </c>
      <c r="BB160" s="147">
        <f t="shared" si="33"/>
        <v>0</v>
      </c>
      <c r="BC160" s="147">
        <f t="shared" si="33"/>
        <v>0</v>
      </c>
      <c r="BD160" s="147">
        <f t="shared" si="33"/>
        <v>0</v>
      </c>
      <c r="BE160" s="147">
        <f t="shared" si="33"/>
        <v>0</v>
      </c>
      <c r="BF160" s="147">
        <f t="shared" si="33"/>
        <v>0</v>
      </c>
      <c r="BG160" s="147">
        <f t="shared" si="33"/>
        <v>0</v>
      </c>
      <c r="BH160" s="147">
        <f t="shared" si="33"/>
        <v>0</v>
      </c>
      <c r="BI160" s="147">
        <f t="shared" si="33"/>
        <v>0</v>
      </c>
      <c r="BJ160" s="147">
        <f t="shared" si="33"/>
        <v>0</v>
      </c>
      <c r="BK160" s="147">
        <f t="shared" si="33"/>
        <v>0</v>
      </c>
      <c r="BL160" s="147">
        <f t="shared" si="33"/>
        <v>0</v>
      </c>
    </row>
    <row r="161" spans="2:64" x14ac:dyDescent="0.15">
      <c r="C161" s="84" t="s">
        <v>382</v>
      </c>
      <c r="E161" s="147">
        <f t="shared" si="34"/>
        <v>0</v>
      </c>
      <c r="F161" s="147">
        <f t="shared" si="34"/>
        <v>0</v>
      </c>
      <c r="G161" s="147">
        <f t="shared" si="34"/>
        <v>0</v>
      </c>
      <c r="H161" s="147">
        <f t="shared" si="34"/>
        <v>0</v>
      </c>
      <c r="I161" s="147">
        <f t="shared" si="34"/>
        <v>0</v>
      </c>
      <c r="J161" s="147">
        <f t="shared" si="34"/>
        <v>0</v>
      </c>
      <c r="K161" s="147">
        <f t="shared" si="34"/>
        <v>0</v>
      </c>
      <c r="L161" s="147">
        <f t="shared" si="34"/>
        <v>0</v>
      </c>
      <c r="M161" s="147">
        <f t="shared" si="34"/>
        <v>0</v>
      </c>
      <c r="N161" s="147">
        <f t="shared" si="34"/>
        <v>0</v>
      </c>
      <c r="O161" s="147">
        <f t="shared" si="34"/>
        <v>0.19497750649075246</v>
      </c>
      <c r="P161" s="147">
        <f t="shared" si="34"/>
        <v>0.16098868351927348</v>
      </c>
      <c r="Q161" s="147">
        <f t="shared" si="34"/>
        <v>0.1378803972936132</v>
      </c>
      <c r="R161" s="147">
        <f t="shared" si="34"/>
        <v>0.11733131486857767</v>
      </c>
      <c r="S161" s="147">
        <f t="shared" si="34"/>
        <v>0.10403837574331312</v>
      </c>
      <c r="T161" s="147">
        <f t="shared" si="34"/>
        <v>9.1623660664841247E-2</v>
      </c>
      <c r="U161" s="147">
        <f t="shared" si="34"/>
        <v>8.0210908549066678E-2</v>
      </c>
      <c r="V161" s="147">
        <f t="shared" si="34"/>
        <v>6.9484288874893357E-2</v>
      </c>
      <c r="W161" s="147">
        <f t="shared" si="34"/>
        <v>5.940681127677188E-2</v>
      </c>
      <c r="X161" s="147">
        <f t="shared" si="34"/>
        <v>4.9952638975206423E-2</v>
      </c>
      <c r="Y161" s="147">
        <f t="shared" si="34"/>
        <v>4.111474428201034E-2</v>
      </c>
      <c r="Z161" s="147">
        <f t="shared" si="34"/>
        <v>3.2881332579364125E-2</v>
      </c>
      <c r="AA161" s="147">
        <f t="shared" si="34"/>
        <v>0</v>
      </c>
      <c r="AB161" s="147">
        <f t="shared" si="34"/>
        <v>0</v>
      </c>
      <c r="AC161" s="147">
        <f t="shared" si="34"/>
        <v>0</v>
      </c>
      <c r="AD161" s="147">
        <f t="shared" si="34"/>
        <v>0</v>
      </c>
      <c r="AE161" s="147">
        <f t="shared" si="34"/>
        <v>0</v>
      </c>
      <c r="AF161" s="147">
        <f t="shared" si="34"/>
        <v>0</v>
      </c>
      <c r="AG161" s="147">
        <f t="shared" si="34"/>
        <v>0</v>
      </c>
      <c r="AH161" s="147">
        <f t="shared" si="34"/>
        <v>0</v>
      </c>
      <c r="AI161" s="147">
        <f t="shared" si="34"/>
        <v>0</v>
      </c>
      <c r="AJ161" s="147">
        <f t="shared" si="34"/>
        <v>0</v>
      </c>
      <c r="AK161" s="147">
        <f t="shared" si="33"/>
        <v>0</v>
      </c>
      <c r="AL161" s="147">
        <f t="shared" si="33"/>
        <v>0</v>
      </c>
      <c r="AM161" s="147">
        <f t="shared" si="33"/>
        <v>0</v>
      </c>
      <c r="AN161" s="147">
        <f t="shared" si="33"/>
        <v>0</v>
      </c>
      <c r="AO161" s="147">
        <f t="shared" si="33"/>
        <v>0</v>
      </c>
      <c r="AP161" s="147">
        <f t="shared" si="33"/>
        <v>0</v>
      </c>
      <c r="AQ161" s="147">
        <f t="shared" si="33"/>
        <v>0</v>
      </c>
      <c r="AR161" s="147">
        <f t="shared" si="33"/>
        <v>0</v>
      </c>
      <c r="AS161" s="147">
        <f t="shared" si="33"/>
        <v>0</v>
      </c>
      <c r="AT161" s="147">
        <f t="shared" si="33"/>
        <v>0</v>
      </c>
      <c r="AU161" s="147">
        <f t="shared" si="33"/>
        <v>0</v>
      </c>
      <c r="AV161" s="147">
        <f t="shared" si="33"/>
        <v>0</v>
      </c>
      <c r="AW161" s="147">
        <f t="shared" si="33"/>
        <v>0</v>
      </c>
      <c r="AX161" s="147">
        <f t="shared" si="33"/>
        <v>0</v>
      </c>
      <c r="AY161" s="147">
        <f t="shared" si="33"/>
        <v>0</v>
      </c>
      <c r="AZ161" s="147">
        <f t="shared" si="33"/>
        <v>0</v>
      </c>
      <c r="BA161" s="147">
        <f t="shared" si="33"/>
        <v>0</v>
      </c>
      <c r="BB161" s="147">
        <f t="shared" si="33"/>
        <v>0</v>
      </c>
      <c r="BC161" s="147">
        <f t="shared" si="33"/>
        <v>0</v>
      </c>
      <c r="BD161" s="147">
        <f t="shared" si="33"/>
        <v>0</v>
      </c>
      <c r="BE161" s="147">
        <f t="shared" si="33"/>
        <v>0</v>
      </c>
      <c r="BF161" s="147">
        <f t="shared" si="33"/>
        <v>0</v>
      </c>
      <c r="BG161" s="147">
        <f t="shared" si="33"/>
        <v>0</v>
      </c>
      <c r="BH161" s="147">
        <f t="shared" si="33"/>
        <v>0</v>
      </c>
      <c r="BI161" s="147">
        <f t="shared" si="33"/>
        <v>0</v>
      </c>
      <c r="BJ161" s="147">
        <f t="shared" si="33"/>
        <v>0</v>
      </c>
      <c r="BK161" s="147">
        <f t="shared" si="33"/>
        <v>0</v>
      </c>
      <c r="BL161" s="147">
        <f t="shared" si="33"/>
        <v>0</v>
      </c>
    </row>
    <row r="162" spans="2:64" x14ac:dyDescent="0.15">
      <c r="C162" s="84" t="s">
        <v>383</v>
      </c>
      <c r="E162" s="147">
        <f t="shared" si="34"/>
        <v>0</v>
      </c>
      <c r="F162" s="147">
        <f t="shared" si="34"/>
        <v>0</v>
      </c>
      <c r="G162" s="147">
        <f t="shared" si="34"/>
        <v>0</v>
      </c>
      <c r="H162" s="147">
        <f t="shared" si="34"/>
        <v>0</v>
      </c>
      <c r="I162" s="147">
        <f t="shared" si="34"/>
        <v>0</v>
      </c>
      <c r="J162" s="147">
        <f t="shared" si="34"/>
        <v>0</v>
      </c>
      <c r="K162" s="147">
        <f t="shared" si="34"/>
        <v>0</v>
      </c>
      <c r="L162" s="147">
        <f t="shared" si="34"/>
        <v>0</v>
      </c>
      <c r="M162" s="147">
        <f t="shared" si="34"/>
        <v>0</v>
      </c>
      <c r="N162" s="147">
        <f t="shared" si="34"/>
        <v>0</v>
      </c>
      <c r="O162" s="147">
        <f t="shared" si="34"/>
        <v>0</v>
      </c>
      <c r="P162" s="147">
        <f t="shared" si="34"/>
        <v>0.19497750649075246</v>
      </c>
      <c r="Q162" s="147">
        <f t="shared" si="34"/>
        <v>0.16098868351927348</v>
      </c>
      <c r="R162" s="147">
        <f t="shared" si="34"/>
        <v>0.1378803972936132</v>
      </c>
      <c r="S162" s="147">
        <f t="shared" si="34"/>
        <v>0.11733131486857767</v>
      </c>
      <c r="T162" s="147">
        <f t="shared" si="34"/>
        <v>0.10403837574331312</v>
      </c>
      <c r="U162" s="147">
        <f t="shared" si="34"/>
        <v>9.1623660664841247E-2</v>
      </c>
      <c r="V162" s="147">
        <f t="shared" si="34"/>
        <v>8.0210908549066678E-2</v>
      </c>
      <c r="W162" s="147">
        <f t="shared" si="34"/>
        <v>6.9484288874893357E-2</v>
      </c>
      <c r="X162" s="147">
        <f t="shared" si="34"/>
        <v>5.940681127677188E-2</v>
      </c>
      <c r="Y162" s="147">
        <f t="shared" si="34"/>
        <v>4.9952638975206423E-2</v>
      </c>
      <c r="Z162" s="147">
        <f t="shared" si="34"/>
        <v>4.111474428201034E-2</v>
      </c>
      <c r="AA162" s="147">
        <f t="shared" si="34"/>
        <v>0</v>
      </c>
      <c r="AB162" s="147">
        <f t="shared" si="34"/>
        <v>0</v>
      </c>
      <c r="AC162" s="147">
        <f t="shared" si="34"/>
        <v>0</v>
      </c>
      <c r="AD162" s="147">
        <f t="shared" si="34"/>
        <v>0</v>
      </c>
      <c r="AE162" s="147">
        <f t="shared" si="34"/>
        <v>0</v>
      </c>
      <c r="AF162" s="147">
        <f t="shared" si="34"/>
        <v>0</v>
      </c>
      <c r="AG162" s="147">
        <f t="shared" si="34"/>
        <v>0</v>
      </c>
      <c r="AH162" s="147">
        <f t="shared" si="34"/>
        <v>0</v>
      </c>
      <c r="AI162" s="147">
        <f t="shared" si="34"/>
        <v>0</v>
      </c>
      <c r="AJ162" s="147">
        <f t="shared" ref="AJ162:BO162" si="35">IF(AJ$5&gt;$D$7,0,AJ39*$F124)</f>
        <v>0</v>
      </c>
      <c r="AK162" s="147">
        <f t="shared" si="33"/>
        <v>0</v>
      </c>
      <c r="AL162" s="147">
        <f t="shared" si="33"/>
        <v>0</v>
      </c>
      <c r="AM162" s="147">
        <f t="shared" si="33"/>
        <v>0</v>
      </c>
      <c r="AN162" s="147">
        <f t="shared" si="33"/>
        <v>0</v>
      </c>
      <c r="AO162" s="147">
        <f t="shared" si="33"/>
        <v>0</v>
      </c>
      <c r="AP162" s="147">
        <f t="shared" si="33"/>
        <v>0</v>
      </c>
      <c r="AQ162" s="147">
        <f t="shared" si="33"/>
        <v>0</v>
      </c>
      <c r="AR162" s="147">
        <f t="shared" si="33"/>
        <v>0</v>
      </c>
      <c r="AS162" s="147">
        <f t="shared" si="33"/>
        <v>0</v>
      </c>
      <c r="AT162" s="147">
        <f t="shared" si="33"/>
        <v>0</v>
      </c>
      <c r="AU162" s="147">
        <f t="shared" si="33"/>
        <v>0</v>
      </c>
      <c r="AV162" s="147">
        <f t="shared" si="33"/>
        <v>0</v>
      </c>
      <c r="AW162" s="147">
        <f t="shared" si="33"/>
        <v>0</v>
      </c>
      <c r="AX162" s="147">
        <f t="shared" si="33"/>
        <v>0</v>
      </c>
      <c r="AY162" s="147">
        <f t="shared" ref="AY162:BZ162" si="36">IF(AY$5&gt;$D$7,0,AY39*$F124)</f>
        <v>0</v>
      </c>
      <c r="AZ162" s="147">
        <f t="shared" si="36"/>
        <v>0</v>
      </c>
      <c r="BA162" s="147">
        <f t="shared" si="36"/>
        <v>0</v>
      </c>
      <c r="BB162" s="147">
        <f t="shared" si="36"/>
        <v>0</v>
      </c>
      <c r="BC162" s="147">
        <f t="shared" si="36"/>
        <v>0</v>
      </c>
      <c r="BD162" s="147">
        <f t="shared" si="36"/>
        <v>0</v>
      </c>
      <c r="BE162" s="147">
        <f t="shared" si="36"/>
        <v>0</v>
      </c>
      <c r="BF162" s="147">
        <f t="shared" si="36"/>
        <v>0</v>
      </c>
      <c r="BG162" s="147">
        <f t="shared" si="36"/>
        <v>0</v>
      </c>
      <c r="BH162" s="147">
        <f t="shared" si="36"/>
        <v>0</v>
      </c>
      <c r="BI162" s="147">
        <f t="shared" si="36"/>
        <v>0</v>
      </c>
      <c r="BJ162" s="147">
        <f t="shared" si="36"/>
        <v>0</v>
      </c>
      <c r="BK162" s="147">
        <f t="shared" si="36"/>
        <v>0</v>
      </c>
      <c r="BL162" s="147">
        <f t="shared" si="36"/>
        <v>0</v>
      </c>
    </row>
    <row r="163" spans="2:64" x14ac:dyDescent="0.15">
      <c r="C163" s="84" t="s">
        <v>385</v>
      </c>
      <c r="E163" s="147">
        <f t="shared" ref="E163:BL164" si="37">IF(E$5&gt;$D$7,0,E40*$F125)</f>
        <v>0</v>
      </c>
      <c r="F163" s="147">
        <f t="shared" si="37"/>
        <v>0</v>
      </c>
      <c r="G163" s="147">
        <f t="shared" si="37"/>
        <v>0</v>
      </c>
      <c r="H163" s="147">
        <f t="shared" si="37"/>
        <v>0</v>
      </c>
      <c r="I163" s="147">
        <f t="shared" si="37"/>
        <v>0</v>
      </c>
      <c r="J163" s="147">
        <f t="shared" si="37"/>
        <v>0</v>
      </c>
      <c r="K163" s="147">
        <f t="shared" si="37"/>
        <v>0</v>
      </c>
      <c r="L163" s="147">
        <f t="shared" si="37"/>
        <v>0</v>
      </c>
      <c r="M163" s="147">
        <f t="shared" si="37"/>
        <v>0</v>
      </c>
      <c r="N163" s="147">
        <f t="shared" si="37"/>
        <v>0</v>
      </c>
      <c r="O163" s="147">
        <f t="shared" si="37"/>
        <v>0</v>
      </c>
      <c r="P163" s="147">
        <f t="shared" si="37"/>
        <v>0</v>
      </c>
      <c r="Q163" s="147">
        <f t="shared" si="37"/>
        <v>0.38419213101626104</v>
      </c>
      <c r="R163" s="147">
        <f t="shared" si="37"/>
        <v>0.31721908082615469</v>
      </c>
      <c r="S163" s="147">
        <f t="shared" si="37"/>
        <v>0.27168551190859747</v>
      </c>
      <c r="T163" s="147">
        <f t="shared" si="37"/>
        <v>0.23119470910064568</v>
      </c>
      <c r="U163" s="147">
        <f t="shared" si="37"/>
        <v>0.20500172560258745</v>
      </c>
      <c r="V163" s="147">
        <f t="shared" si="37"/>
        <v>0.18053923283712564</v>
      </c>
      <c r="W163" s="147">
        <f t="shared" si="37"/>
        <v>0.15805105132821021</v>
      </c>
      <c r="X163" s="147">
        <f t="shared" si="37"/>
        <v>0.13691485492589825</v>
      </c>
      <c r="Y163" s="147">
        <f t="shared" si="37"/>
        <v>0.11705775621038796</v>
      </c>
      <c r="Z163" s="147">
        <f t="shared" si="37"/>
        <v>9.8428845271342713E-2</v>
      </c>
      <c r="AA163" s="147">
        <f t="shared" si="37"/>
        <v>0</v>
      </c>
      <c r="AB163" s="147">
        <f t="shared" si="37"/>
        <v>0</v>
      </c>
      <c r="AC163" s="147">
        <f t="shared" si="37"/>
        <v>0</v>
      </c>
      <c r="AD163" s="147">
        <f t="shared" si="37"/>
        <v>0</v>
      </c>
      <c r="AE163" s="147">
        <f t="shared" si="37"/>
        <v>0</v>
      </c>
      <c r="AF163" s="147">
        <f t="shared" si="37"/>
        <v>0</v>
      </c>
      <c r="AG163" s="147">
        <f t="shared" si="37"/>
        <v>0</v>
      </c>
      <c r="AH163" s="147">
        <f t="shared" si="37"/>
        <v>0</v>
      </c>
      <c r="AI163" s="147">
        <f t="shared" si="37"/>
        <v>0</v>
      </c>
      <c r="AJ163" s="147">
        <f t="shared" si="37"/>
        <v>0</v>
      </c>
      <c r="AK163" s="147">
        <f t="shared" si="37"/>
        <v>0</v>
      </c>
      <c r="AL163" s="147">
        <f t="shared" si="37"/>
        <v>0</v>
      </c>
      <c r="AM163" s="147">
        <f t="shared" si="37"/>
        <v>0</v>
      </c>
      <c r="AN163" s="147">
        <f t="shared" si="37"/>
        <v>0</v>
      </c>
      <c r="AO163" s="147">
        <f t="shared" si="37"/>
        <v>0</v>
      </c>
      <c r="AP163" s="147">
        <f t="shared" si="37"/>
        <v>0</v>
      </c>
      <c r="AQ163" s="147">
        <f t="shared" si="37"/>
        <v>0</v>
      </c>
      <c r="AR163" s="147">
        <f t="shared" si="37"/>
        <v>0</v>
      </c>
      <c r="AS163" s="147">
        <f t="shared" si="37"/>
        <v>0</v>
      </c>
      <c r="AT163" s="147">
        <f t="shared" si="37"/>
        <v>0</v>
      </c>
      <c r="AU163" s="147">
        <f t="shared" si="37"/>
        <v>0</v>
      </c>
      <c r="AV163" s="147">
        <f t="shared" si="37"/>
        <v>0</v>
      </c>
      <c r="AW163" s="147">
        <f t="shared" si="37"/>
        <v>0</v>
      </c>
      <c r="AX163" s="147">
        <f t="shared" si="37"/>
        <v>0</v>
      </c>
      <c r="AY163" s="147">
        <f t="shared" si="37"/>
        <v>0</v>
      </c>
      <c r="AZ163" s="147">
        <f t="shared" si="37"/>
        <v>0</v>
      </c>
      <c r="BA163" s="147">
        <f t="shared" si="37"/>
        <v>0</v>
      </c>
      <c r="BB163" s="147">
        <f t="shared" si="37"/>
        <v>0</v>
      </c>
      <c r="BC163" s="147">
        <f t="shared" si="37"/>
        <v>0</v>
      </c>
      <c r="BD163" s="147">
        <f t="shared" si="37"/>
        <v>0</v>
      </c>
      <c r="BE163" s="147">
        <f t="shared" si="37"/>
        <v>0</v>
      </c>
      <c r="BF163" s="147">
        <f t="shared" si="37"/>
        <v>0</v>
      </c>
      <c r="BG163" s="147">
        <f t="shared" si="37"/>
        <v>0</v>
      </c>
      <c r="BH163" s="147">
        <f t="shared" si="37"/>
        <v>0</v>
      </c>
      <c r="BI163" s="147">
        <f t="shared" si="37"/>
        <v>0</v>
      </c>
      <c r="BJ163" s="147">
        <f t="shared" si="37"/>
        <v>0</v>
      </c>
      <c r="BK163" s="147">
        <f t="shared" si="37"/>
        <v>0</v>
      </c>
      <c r="BL163" s="147">
        <f t="shared" si="37"/>
        <v>0</v>
      </c>
    </row>
    <row r="164" spans="2:64" x14ac:dyDescent="0.15">
      <c r="C164" s="84" t="s">
        <v>387</v>
      </c>
      <c r="E164" s="147">
        <f t="shared" si="37"/>
        <v>0</v>
      </c>
      <c r="F164" s="147">
        <f t="shared" si="37"/>
        <v>0</v>
      </c>
      <c r="G164" s="147">
        <f t="shared" si="37"/>
        <v>0</v>
      </c>
      <c r="H164" s="147">
        <f t="shared" si="37"/>
        <v>0</v>
      </c>
      <c r="I164" s="147">
        <f t="shared" si="37"/>
        <v>0</v>
      </c>
      <c r="J164" s="147">
        <f t="shared" si="37"/>
        <v>0</v>
      </c>
      <c r="K164" s="147">
        <f t="shared" si="37"/>
        <v>0</v>
      </c>
      <c r="L164" s="147">
        <f t="shared" si="37"/>
        <v>0</v>
      </c>
      <c r="M164" s="147">
        <f t="shared" si="37"/>
        <v>0</v>
      </c>
      <c r="N164" s="147">
        <f t="shared" si="37"/>
        <v>0</v>
      </c>
      <c r="O164" s="147">
        <f t="shared" si="37"/>
        <v>0</v>
      </c>
      <c r="P164" s="147">
        <f t="shared" si="37"/>
        <v>0</v>
      </c>
      <c r="Q164" s="147">
        <f t="shared" si="37"/>
        <v>0</v>
      </c>
      <c r="R164" s="147">
        <f t="shared" si="37"/>
        <v>0.38419213101626104</v>
      </c>
      <c r="S164" s="147">
        <f t="shared" si="37"/>
        <v>0.70141121184241573</v>
      </c>
      <c r="T164" s="147">
        <f t="shared" si="37"/>
        <v>0.97309672375101319</v>
      </c>
      <c r="U164" s="147">
        <f t="shared" si="37"/>
        <v>1.204291432851659</v>
      </c>
      <c r="V164" s="147">
        <f t="shared" si="37"/>
        <v>1.4092931584542465</v>
      </c>
      <c r="W164" s="147">
        <f t="shared" si="37"/>
        <v>1.5898323912913721</v>
      </c>
      <c r="X164" s="147">
        <f t="shared" si="37"/>
        <v>1.7478834426195824</v>
      </c>
      <c r="Y164" s="147">
        <f t="shared" si="37"/>
        <v>1.8847982975454807</v>
      </c>
      <c r="Z164" s="147">
        <f t="shared" si="37"/>
        <v>2.0018560537558687</v>
      </c>
      <c r="AA164" s="147">
        <f t="shared" si="37"/>
        <v>0</v>
      </c>
      <c r="AB164" s="147">
        <f t="shared" si="37"/>
        <v>0</v>
      </c>
      <c r="AC164" s="147">
        <f t="shared" si="37"/>
        <v>0</v>
      </c>
      <c r="AD164" s="147">
        <f t="shared" si="37"/>
        <v>0</v>
      </c>
      <c r="AE164" s="147">
        <f t="shared" si="37"/>
        <v>0</v>
      </c>
      <c r="AF164" s="147">
        <f t="shared" si="37"/>
        <v>0</v>
      </c>
      <c r="AG164" s="147">
        <f t="shared" si="37"/>
        <v>0</v>
      </c>
      <c r="AH164" s="147">
        <f t="shared" si="37"/>
        <v>0</v>
      </c>
      <c r="AI164" s="147">
        <f t="shared" si="37"/>
        <v>0</v>
      </c>
      <c r="AJ164" s="147">
        <f t="shared" si="37"/>
        <v>0</v>
      </c>
      <c r="AK164" s="147">
        <f t="shared" si="37"/>
        <v>0</v>
      </c>
      <c r="AL164" s="147">
        <f t="shared" si="37"/>
        <v>0</v>
      </c>
      <c r="AM164" s="147">
        <f t="shared" si="37"/>
        <v>0</v>
      </c>
      <c r="AN164" s="147">
        <f t="shared" si="37"/>
        <v>0</v>
      </c>
      <c r="AO164" s="147">
        <f t="shared" si="37"/>
        <v>0</v>
      </c>
      <c r="AP164" s="147">
        <f t="shared" si="37"/>
        <v>0</v>
      </c>
      <c r="AQ164" s="147">
        <f t="shared" si="37"/>
        <v>0</v>
      </c>
      <c r="AR164" s="147">
        <f t="shared" si="37"/>
        <v>0</v>
      </c>
      <c r="AS164" s="147">
        <f t="shared" si="37"/>
        <v>0</v>
      </c>
      <c r="AT164" s="147">
        <f t="shared" si="37"/>
        <v>0</v>
      </c>
      <c r="AU164" s="147">
        <f t="shared" si="37"/>
        <v>0</v>
      </c>
      <c r="AV164" s="147">
        <f t="shared" si="37"/>
        <v>0</v>
      </c>
      <c r="AW164" s="147">
        <f t="shared" si="37"/>
        <v>0</v>
      </c>
      <c r="AX164" s="147">
        <f t="shared" si="37"/>
        <v>0</v>
      </c>
      <c r="AY164" s="147">
        <f t="shared" si="37"/>
        <v>0</v>
      </c>
      <c r="AZ164" s="147">
        <f t="shared" si="37"/>
        <v>0</v>
      </c>
      <c r="BA164" s="147">
        <f t="shared" si="37"/>
        <v>0</v>
      </c>
      <c r="BB164" s="147">
        <f t="shared" si="37"/>
        <v>0</v>
      </c>
      <c r="BC164" s="147">
        <f t="shared" si="37"/>
        <v>0</v>
      </c>
      <c r="BD164" s="147">
        <f t="shared" si="37"/>
        <v>0</v>
      </c>
      <c r="BE164" s="147">
        <f t="shared" si="37"/>
        <v>0</v>
      </c>
      <c r="BF164" s="147">
        <f t="shared" si="37"/>
        <v>0</v>
      </c>
      <c r="BG164" s="147">
        <f t="shared" si="37"/>
        <v>0</v>
      </c>
      <c r="BH164" s="147">
        <f t="shared" si="37"/>
        <v>0</v>
      </c>
      <c r="BI164" s="147">
        <f t="shared" si="37"/>
        <v>0</v>
      </c>
      <c r="BJ164" s="147">
        <f t="shared" si="37"/>
        <v>0</v>
      </c>
      <c r="BK164" s="147">
        <f t="shared" si="37"/>
        <v>0</v>
      </c>
      <c r="BL164" s="147">
        <f t="shared" si="37"/>
        <v>0</v>
      </c>
    </row>
    <row r="165" spans="2:64" x14ac:dyDescent="0.15">
      <c r="C165" s="84" t="s">
        <v>413</v>
      </c>
      <c r="E165" s="140">
        <f t="shared" ref="E165:BL165" si="38">IF(E$5&gt;$D$7,0,IF(E$5=$D$7,E44,SUM(E150:E164)))</f>
        <v>0.13454080546486352</v>
      </c>
      <c r="F165" s="140">
        <f t="shared" si="38"/>
        <v>0.14253924330046844</v>
      </c>
      <c r="G165" s="140">
        <f t="shared" si="38"/>
        <v>0.1468129985115918</v>
      </c>
      <c r="H165" s="140">
        <f t="shared" si="38"/>
        <v>0.21628255738711985</v>
      </c>
      <c r="I165" s="140">
        <f t="shared" si="38"/>
        <v>0.270528274383252</v>
      </c>
      <c r="J165" s="140">
        <f t="shared" si="38"/>
        <v>0.31222693010007907</v>
      </c>
      <c r="K165" s="140">
        <f t="shared" si="38"/>
        <v>0.4623891311766104</v>
      </c>
      <c r="L165" s="140">
        <f t="shared" si="38"/>
        <v>0.58715202349529849</v>
      </c>
      <c r="M165" s="140">
        <f t="shared" si="38"/>
        <v>0.69404280907561877</v>
      </c>
      <c r="N165" s="140">
        <f t="shared" si="38"/>
        <v>0.78495520170646049</v>
      </c>
      <c r="O165" s="140">
        <f t="shared" si="38"/>
        <v>0.86440138690672397</v>
      </c>
      <c r="P165" s="140">
        <f t="shared" si="38"/>
        <v>0.93310588999819744</v>
      </c>
      <c r="Q165" s="140">
        <f t="shared" si="38"/>
        <v>1.1811045620868383</v>
      </c>
      <c r="R165" s="140">
        <f t="shared" si="38"/>
        <v>1.386834202539132</v>
      </c>
      <c r="S165" s="140">
        <f t="shared" si="38"/>
        <v>1.5617748554778821</v>
      </c>
      <c r="T165" s="140">
        <f t="shared" si="38"/>
        <v>1.7080678629257842</v>
      </c>
      <c r="U165" s="140">
        <f t="shared" si="38"/>
        <v>1.8370115732249139</v>
      </c>
      <c r="V165" s="140">
        <f t="shared" si="38"/>
        <v>1.9478206022148208</v>
      </c>
      <c r="W165" s="140">
        <f t="shared" si="38"/>
        <v>2.0417018493264121</v>
      </c>
      <c r="X165" s="140">
        <f t="shared" si="38"/>
        <v>2.1192871599434024</v>
      </c>
      <c r="Y165" s="140">
        <f t="shared" si="38"/>
        <v>2.1835393228173299</v>
      </c>
      <c r="Z165" s="140">
        <f t="shared" si="38"/>
        <v>2.3669205314265733</v>
      </c>
      <c r="AA165" s="140">
        <f t="shared" si="38"/>
        <v>0</v>
      </c>
      <c r="AB165" s="140">
        <f t="shared" si="38"/>
        <v>0</v>
      </c>
      <c r="AC165" s="140">
        <f t="shared" si="38"/>
        <v>0</v>
      </c>
      <c r="AD165" s="140">
        <f t="shared" si="38"/>
        <v>0</v>
      </c>
      <c r="AE165" s="140">
        <f t="shared" si="38"/>
        <v>0</v>
      </c>
      <c r="AF165" s="140">
        <f t="shared" si="38"/>
        <v>0</v>
      </c>
      <c r="AG165" s="140">
        <f t="shared" si="38"/>
        <v>0</v>
      </c>
      <c r="AH165" s="140">
        <f t="shared" si="38"/>
        <v>0</v>
      </c>
      <c r="AI165" s="140">
        <f t="shared" si="38"/>
        <v>0</v>
      </c>
      <c r="AJ165" s="140">
        <f t="shared" si="38"/>
        <v>0</v>
      </c>
      <c r="AK165" s="140">
        <f t="shared" si="38"/>
        <v>0</v>
      </c>
      <c r="AL165" s="140">
        <f t="shared" si="38"/>
        <v>0</v>
      </c>
      <c r="AM165" s="140">
        <f t="shared" si="38"/>
        <v>0</v>
      </c>
      <c r="AN165" s="140">
        <f t="shared" si="38"/>
        <v>0</v>
      </c>
      <c r="AO165" s="140">
        <f t="shared" si="38"/>
        <v>0</v>
      </c>
      <c r="AP165" s="140">
        <f t="shared" si="38"/>
        <v>0</v>
      </c>
      <c r="AQ165" s="140">
        <f t="shared" si="38"/>
        <v>0</v>
      </c>
      <c r="AR165" s="140">
        <f t="shared" si="38"/>
        <v>0</v>
      </c>
      <c r="AS165" s="140">
        <f t="shared" si="38"/>
        <v>0</v>
      </c>
      <c r="AT165" s="140">
        <f t="shared" si="38"/>
        <v>0</v>
      </c>
      <c r="AU165" s="140">
        <f t="shared" si="38"/>
        <v>0</v>
      </c>
      <c r="AV165" s="140">
        <f t="shared" si="38"/>
        <v>0</v>
      </c>
      <c r="AW165" s="140">
        <f t="shared" si="38"/>
        <v>0</v>
      </c>
      <c r="AX165" s="140">
        <f t="shared" si="38"/>
        <v>0</v>
      </c>
      <c r="AY165" s="140">
        <f t="shared" si="38"/>
        <v>0</v>
      </c>
      <c r="AZ165" s="140">
        <f t="shared" si="38"/>
        <v>0</v>
      </c>
      <c r="BA165" s="140">
        <f t="shared" si="38"/>
        <v>0</v>
      </c>
      <c r="BB165" s="140">
        <f t="shared" si="38"/>
        <v>0</v>
      </c>
      <c r="BC165" s="140">
        <f t="shared" si="38"/>
        <v>0</v>
      </c>
      <c r="BD165" s="140">
        <f t="shared" si="38"/>
        <v>0</v>
      </c>
      <c r="BE165" s="140">
        <f t="shared" si="38"/>
        <v>0</v>
      </c>
      <c r="BF165" s="140">
        <f t="shared" si="38"/>
        <v>0</v>
      </c>
      <c r="BG165" s="140">
        <f t="shared" si="38"/>
        <v>0</v>
      </c>
      <c r="BH165" s="140">
        <f t="shared" si="38"/>
        <v>0</v>
      </c>
      <c r="BI165" s="140">
        <f t="shared" si="38"/>
        <v>0</v>
      </c>
      <c r="BJ165" s="140">
        <f t="shared" si="38"/>
        <v>0</v>
      </c>
      <c r="BK165" s="140">
        <f t="shared" si="38"/>
        <v>0</v>
      </c>
      <c r="BL165" s="140">
        <f t="shared" si="38"/>
        <v>0</v>
      </c>
    </row>
    <row r="166" spans="2:64" x14ac:dyDescent="0.15">
      <c r="C166" s="155" t="s">
        <v>412</v>
      </c>
      <c r="D166" s="299"/>
      <c r="E166" s="299">
        <f t="shared" ref="E166:BL166" si="39">-IF(E$5&gt;$D$7,0,E165-D165)</f>
        <v>-0.13454080546486352</v>
      </c>
      <c r="F166" s="299">
        <f t="shared" si="39"/>
        <v>-7.9984378356049157E-3</v>
      </c>
      <c r="G166" s="299">
        <f t="shared" si="39"/>
        <v>-4.273755211123359E-3</v>
      </c>
      <c r="H166" s="299">
        <f t="shared" si="39"/>
        <v>-6.9469558875528054E-2</v>
      </c>
      <c r="I166" s="299">
        <f t="shared" si="39"/>
        <v>-5.4245716996132148E-2</v>
      </c>
      <c r="J166" s="299">
        <f t="shared" si="39"/>
        <v>-4.1698655716827071E-2</v>
      </c>
      <c r="K166" s="299">
        <f t="shared" si="39"/>
        <v>-0.15016220107653133</v>
      </c>
      <c r="L166" s="299">
        <f t="shared" si="39"/>
        <v>-0.12476289231868809</v>
      </c>
      <c r="M166" s="299">
        <f t="shared" si="39"/>
        <v>-0.10689078558032028</v>
      </c>
      <c r="N166" s="299">
        <f t="shared" si="39"/>
        <v>-9.0912392630841721E-2</v>
      </c>
      <c r="O166" s="299">
        <f t="shared" si="39"/>
        <v>-7.9446185200263475E-2</v>
      </c>
      <c r="P166" s="299">
        <f t="shared" si="39"/>
        <v>-6.8704503091473468E-2</v>
      </c>
      <c r="Q166" s="299">
        <f t="shared" si="39"/>
        <v>-0.2479986720886409</v>
      </c>
      <c r="R166" s="299">
        <f t="shared" si="39"/>
        <v>-0.20572964045229369</v>
      </c>
      <c r="S166" s="299">
        <f t="shared" si="39"/>
        <v>-0.17494065293875005</v>
      </c>
      <c r="T166" s="299">
        <f t="shared" si="39"/>
        <v>-0.14629300744790208</v>
      </c>
      <c r="U166" s="299">
        <f t="shared" si="39"/>
        <v>-0.12894371029912977</v>
      </c>
      <c r="V166" s="299">
        <f t="shared" si="39"/>
        <v>-0.11080902898990685</v>
      </c>
      <c r="W166" s="299">
        <f t="shared" si="39"/>
        <v>-9.3881247111591293E-2</v>
      </c>
      <c r="X166" s="299">
        <f t="shared" si="39"/>
        <v>-7.7585310616990366E-2</v>
      </c>
      <c r="Y166" s="299">
        <f t="shared" si="39"/>
        <v>-6.4252162873927432E-2</v>
      </c>
      <c r="Z166" s="299">
        <f t="shared" si="39"/>
        <v>-0.18338120860924345</v>
      </c>
      <c r="AA166" s="299">
        <f t="shared" si="39"/>
        <v>0</v>
      </c>
      <c r="AB166" s="299">
        <f t="shared" si="39"/>
        <v>0</v>
      </c>
      <c r="AC166" s="299">
        <f t="shared" si="39"/>
        <v>0</v>
      </c>
      <c r="AD166" s="299">
        <f t="shared" si="39"/>
        <v>0</v>
      </c>
      <c r="AE166" s="299">
        <f t="shared" si="39"/>
        <v>0</v>
      </c>
      <c r="AF166" s="299">
        <f t="shared" si="39"/>
        <v>0</v>
      </c>
      <c r="AG166" s="299">
        <f t="shared" si="39"/>
        <v>0</v>
      </c>
      <c r="AH166" s="299">
        <f t="shared" si="39"/>
        <v>0</v>
      </c>
      <c r="AI166" s="299">
        <f t="shared" si="39"/>
        <v>0</v>
      </c>
      <c r="AJ166" s="299">
        <f t="shared" si="39"/>
        <v>0</v>
      </c>
      <c r="AK166" s="299">
        <f t="shared" si="39"/>
        <v>0</v>
      </c>
      <c r="AL166" s="299">
        <f t="shared" si="39"/>
        <v>0</v>
      </c>
      <c r="AM166" s="299">
        <f t="shared" si="39"/>
        <v>0</v>
      </c>
      <c r="AN166" s="299">
        <f t="shared" si="39"/>
        <v>0</v>
      </c>
      <c r="AO166" s="299">
        <f t="shared" si="39"/>
        <v>0</v>
      </c>
      <c r="AP166" s="299">
        <f t="shared" si="39"/>
        <v>0</v>
      </c>
      <c r="AQ166" s="299">
        <f t="shared" si="39"/>
        <v>0</v>
      </c>
      <c r="AR166" s="299">
        <f t="shared" si="39"/>
        <v>0</v>
      </c>
      <c r="AS166" s="299">
        <f t="shared" si="39"/>
        <v>0</v>
      </c>
      <c r="AT166" s="299">
        <f t="shared" si="39"/>
        <v>0</v>
      </c>
      <c r="AU166" s="299">
        <f t="shared" si="39"/>
        <v>0</v>
      </c>
      <c r="AV166" s="299">
        <f t="shared" si="39"/>
        <v>0</v>
      </c>
      <c r="AW166" s="299">
        <f t="shared" si="39"/>
        <v>0</v>
      </c>
      <c r="AX166" s="299">
        <f t="shared" si="39"/>
        <v>0</v>
      </c>
      <c r="AY166" s="299">
        <f t="shared" si="39"/>
        <v>0</v>
      </c>
      <c r="AZ166" s="299">
        <f t="shared" si="39"/>
        <v>0</v>
      </c>
      <c r="BA166" s="299">
        <f t="shared" si="39"/>
        <v>0</v>
      </c>
      <c r="BB166" s="299">
        <f t="shared" si="39"/>
        <v>0</v>
      </c>
      <c r="BC166" s="299">
        <f t="shared" si="39"/>
        <v>0</v>
      </c>
      <c r="BD166" s="299">
        <f t="shared" si="39"/>
        <v>0</v>
      </c>
      <c r="BE166" s="299">
        <f t="shared" si="39"/>
        <v>0</v>
      </c>
      <c r="BF166" s="299">
        <f t="shared" si="39"/>
        <v>0</v>
      </c>
      <c r="BG166" s="299">
        <f t="shared" si="39"/>
        <v>0</v>
      </c>
      <c r="BH166" s="299">
        <f t="shared" si="39"/>
        <v>0</v>
      </c>
      <c r="BI166" s="299">
        <f t="shared" si="39"/>
        <v>0</v>
      </c>
      <c r="BJ166" s="299">
        <f t="shared" si="39"/>
        <v>0</v>
      </c>
      <c r="BK166" s="299">
        <f t="shared" si="39"/>
        <v>0</v>
      </c>
      <c r="BL166" s="299">
        <f t="shared" si="39"/>
        <v>0</v>
      </c>
    </row>
    <row r="168" spans="2:64" x14ac:dyDescent="0.15">
      <c r="B168" s="155" t="s">
        <v>416</v>
      </c>
      <c r="Y168" s="84" t="s">
        <v>415</v>
      </c>
    </row>
    <row r="169" spans="2:64" s="155" customFormat="1" x14ac:dyDescent="0.15">
      <c r="C169" s="155" t="s">
        <v>412</v>
      </c>
    </row>
    <row r="170" spans="2:64" s="155" customFormat="1" x14ac:dyDescent="0.15">
      <c r="C170" s="84" t="s">
        <v>368</v>
      </c>
      <c r="E170" s="147">
        <f t="shared" ref="E170:BL174" si="40">IF(E$5&gt;$D$7,0,E27*$G112)</f>
        <v>9.1882838611455492E-2</v>
      </c>
      <c r="F170" s="147">
        <f t="shared" si="40"/>
        <v>7.8693992740773711E-2</v>
      </c>
      <c r="G170" s="147">
        <f t="shared" si="40"/>
        <v>6.6965789349092503E-2</v>
      </c>
      <c r="H170" s="147">
        <f t="shared" si="40"/>
        <v>5.9378964277798839E-2</v>
      </c>
      <c r="I170" s="147">
        <f t="shared" si="40"/>
        <v>5.22933776575078E-2</v>
      </c>
      <c r="J170" s="147">
        <f t="shared" si="40"/>
        <v>4.5779652358047714E-2</v>
      </c>
      <c r="K170" s="147">
        <f t="shared" si="40"/>
        <v>3.9657530959057996E-2</v>
      </c>
      <c r="L170" s="147">
        <f t="shared" si="40"/>
        <v>3.3905901543143796E-2</v>
      </c>
      <c r="M170" s="147">
        <f t="shared" si="40"/>
        <v>2.8510018001518131E-2</v>
      </c>
      <c r="N170" s="147">
        <f t="shared" si="40"/>
        <v>2.3465869344555197E-2</v>
      </c>
      <c r="O170" s="147">
        <f t="shared" si="40"/>
        <v>1.8766723900550477E-2</v>
      </c>
      <c r="P170" s="147">
        <f t="shared" si="40"/>
        <v>1.4404360493200223E-2</v>
      </c>
      <c r="Q170" s="147">
        <f t="shared" si="40"/>
        <v>1.036921540237137E-2</v>
      </c>
      <c r="R170" s="147">
        <f t="shared" si="40"/>
        <v>6.6499656909452661E-3</v>
      </c>
      <c r="S170" s="147">
        <f t="shared" si="40"/>
        <v>3.5471052562598467E-3</v>
      </c>
      <c r="T170" s="147">
        <f t="shared" si="40"/>
        <v>0</v>
      </c>
      <c r="U170" s="147">
        <f t="shared" si="40"/>
        <v>0</v>
      </c>
      <c r="V170" s="147">
        <f t="shared" si="40"/>
        <v>0</v>
      </c>
      <c r="W170" s="147">
        <f t="shared" si="40"/>
        <v>0</v>
      </c>
      <c r="X170" s="147">
        <f t="shared" si="40"/>
        <v>0</v>
      </c>
      <c r="Y170" s="147">
        <f t="shared" si="40"/>
        <v>0</v>
      </c>
      <c r="Z170" s="147">
        <f t="shared" si="40"/>
        <v>0</v>
      </c>
      <c r="AA170" s="147">
        <f t="shared" si="40"/>
        <v>0</v>
      </c>
      <c r="AB170" s="147">
        <f t="shared" si="40"/>
        <v>0</v>
      </c>
      <c r="AC170" s="147">
        <f t="shared" si="40"/>
        <v>0</v>
      </c>
      <c r="AD170" s="147">
        <f t="shared" si="40"/>
        <v>0</v>
      </c>
      <c r="AE170" s="147">
        <f t="shared" si="40"/>
        <v>0</v>
      </c>
      <c r="AF170" s="147">
        <f t="shared" si="40"/>
        <v>0</v>
      </c>
      <c r="AG170" s="147">
        <f t="shared" si="40"/>
        <v>0</v>
      </c>
      <c r="AH170" s="147">
        <f t="shared" si="40"/>
        <v>0</v>
      </c>
      <c r="AI170" s="147">
        <f t="shared" si="40"/>
        <v>0</v>
      </c>
      <c r="AJ170" s="147">
        <f t="shared" si="40"/>
        <v>0</v>
      </c>
      <c r="AK170" s="147">
        <f t="shared" si="40"/>
        <v>0</v>
      </c>
      <c r="AL170" s="147">
        <f t="shared" si="40"/>
        <v>0</v>
      </c>
      <c r="AM170" s="147">
        <f t="shared" si="40"/>
        <v>0</v>
      </c>
      <c r="AN170" s="147">
        <f t="shared" si="40"/>
        <v>0</v>
      </c>
      <c r="AO170" s="147">
        <f t="shared" si="40"/>
        <v>0</v>
      </c>
      <c r="AP170" s="147">
        <f t="shared" si="40"/>
        <v>0</v>
      </c>
      <c r="AQ170" s="147">
        <f t="shared" si="40"/>
        <v>0</v>
      </c>
      <c r="AR170" s="147">
        <f t="shared" si="40"/>
        <v>0</v>
      </c>
      <c r="AS170" s="147">
        <f t="shared" si="40"/>
        <v>0</v>
      </c>
      <c r="AT170" s="147">
        <f t="shared" si="40"/>
        <v>0</v>
      </c>
      <c r="AU170" s="147">
        <f t="shared" si="40"/>
        <v>0</v>
      </c>
      <c r="AV170" s="147">
        <f t="shared" si="40"/>
        <v>0</v>
      </c>
      <c r="AW170" s="147">
        <f t="shared" si="40"/>
        <v>0</v>
      </c>
      <c r="AX170" s="147">
        <f t="shared" si="40"/>
        <v>0</v>
      </c>
      <c r="AY170" s="147">
        <f t="shared" si="40"/>
        <v>0</v>
      </c>
      <c r="AZ170" s="147">
        <f t="shared" si="40"/>
        <v>0</v>
      </c>
      <c r="BA170" s="147">
        <f t="shared" si="40"/>
        <v>0</v>
      </c>
      <c r="BB170" s="147">
        <f t="shared" si="40"/>
        <v>0</v>
      </c>
      <c r="BC170" s="147">
        <f t="shared" si="40"/>
        <v>0</v>
      </c>
      <c r="BD170" s="147">
        <f t="shared" si="40"/>
        <v>0</v>
      </c>
      <c r="BE170" s="147">
        <f t="shared" si="40"/>
        <v>0</v>
      </c>
      <c r="BF170" s="147">
        <f t="shared" si="40"/>
        <v>0</v>
      </c>
      <c r="BG170" s="147">
        <f t="shared" si="40"/>
        <v>0</v>
      </c>
      <c r="BH170" s="147">
        <f t="shared" si="40"/>
        <v>0</v>
      </c>
      <c r="BI170" s="147">
        <f t="shared" si="40"/>
        <v>0</v>
      </c>
      <c r="BJ170" s="147">
        <f t="shared" si="40"/>
        <v>0</v>
      </c>
      <c r="BK170" s="147">
        <f t="shared" si="40"/>
        <v>0</v>
      </c>
      <c r="BL170" s="147">
        <f t="shared" si="40"/>
        <v>0</v>
      </c>
    </row>
    <row r="171" spans="2:64" s="155" customFormat="1" x14ac:dyDescent="0.15">
      <c r="C171" s="84" t="s">
        <v>370</v>
      </c>
      <c r="E171" s="147">
        <f t="shared" si="40"/>
        <v>4.2657966853408037E-2</v>
      </c>
      <c r="F171" s="147">
        <f t="shared" si="40"/>
        <v>3.5221754801057943E-2</v>
      </c>
      <c r="G171" s="147">
        <f t="shared" si="40"/>
        <v>3.0166030550629927E-2</v>
      </c>
      <c r="H171" s="147">
        <f t="shared" si="40"/>
        <v>2.5670219250485463E-2</v>
      </c>
      <c r="I171" s="147">
        <f t="shared" si="40"/>
        <v>2.2761936306489556E-2</v>
      </c>
      <c r="J171" s="147">
        <f t="shared" si="40"/>
        <v>2.0045794768711326E-2</v>
      </c>
      <c r="K171" s="147">
        <f t="shared" si="40"/>
        <v>1.7548866737251628E-2</v>
      </c>
      <c r="L171" s="147">
        <f t="shared" si="40"/>
        <v>1.5202053534305565E-2</v>
      </c>
      <c r="M171" s="147">
        <f t="shared" si="40"/>
        <v>1.2997262258205123E-2</v>
      </c>
      <c r="N171" s="147">
        <f t="shared" si="40"/>
        <v>1.0928840233915285E-2</v>
      </c>
      <c r="O171" s="147">
        <f t="shared" si="40"/>
        <v>8.9952499154128257E-3</v>
      </c>
      <c r="P171" s="147">
        <f t="shared" si="40"/>
        <v>7.1939108285443507E-3</v>
      </c>
      <c r="Q171" s="147">
        <f t="shared" si="40"/>
        <v>5.521671522393419E-3</v>
      </c>
      <c r="R171" s="147">
        <f t="shared" si="40"/>
        <v>3.9748659042423591E-3</v>
      </c>
      <c r="S171" s="147">
        <f t="shared" si="40"/>
        <v>2.5491535148623522E-3</v>
      </c>
      <c r="T171" s="147">
        <f t="shared" si="40"/>
        <v>1.3597236815662747E-3</v>
      </c>
      <c r="U171" s="147">
        <f t="shared" si="40"/>
        <v>0</v>
      </c>
      <c r="V171" s="147">
        <f t="shared" si="40"/>
        <v>0</v>
      </c>
      <c r="W171" s="147">
        <f t="shared" si="40"/>
        <v>0</v>
      </c>
      <c r="X171" s="147">
        <f t="shared" si="40"/>
        <v>0</v>
      </c>
      <c r="Y171" s="147">
        <f t="shared" si="40"/>
        <v>0</v>
      </c>
      <c r="Z171" s="147">
        <f t="shared" si="40"/>
        <v>0</v>
      </c>
      <c r="AA171" s="147">
        <f t="shared" si="40"/>
        <v>0</v>
      </c>
      <c r="AB171" s="147">
        <f t="shared" si="40"/>
        <v>0</v>
      </c>
      <c r="AC171" s="147">
        <f t="shared" si="40"/>
        <v>0</v>
      </c>
      <c r="AD171" s="147">
        <f t="shared" si="40"/>
        <v>0</v>
      </c>
      <c r="AE171" s="147">
        <f t="shared" si="40"/>
        <v>0</v>
      </c>
      <c r="AF171" s="147">
        <f t="shared" si="40"/>
        <v>0</v>
      </c>
      <c r="AG171" s="147">
        <f t="shared" si="40"/>
        <v>0</v>
      </c>
      <c r="AH171" s="147">
        <f t="shared" si="40"/>
        <v>0</v>
      </c>
      <c r="AI171" s="147">
        <f t="shared" si="40"/>
        <v>0</v>
      </c>
      <c r="AJ171" s="147">
        <f t="shared" si="40"/>
        <v>0</v>
      </c>
      <c r="AK171" s="147">
        <f t="shared" si="40"/>
        <v>0</v>
      </c>
      <c r="AL171" s="147">
        <f t="shared" si="40"/>
        <v>0</v>
      </c>
      <c r="AM171" s="147">
        <f t="shared" si="40"/>
        <v>0</v>
      </c>
      <c r="AN171" s="147">
        <f t="shared" si="40"/>
        <v>0</v>
      </c>
      <c r="AO171" s="147">
        <f t="shared" si="40"/>
        <v>0</v>
      </c>
      <c r="AP171" s="147">
        <f t="shared" si="40"/>
        <v>0</v>
      </c>
      <c r="AQ171" s="147">
        <f t="shared" si="40"/>
        <v>0</v>
      </c>
      <c r="AR171" s="147">
        <f t="shared" si="40"/>
        <v>0</v>
      </c>
      <c r="AS171" s="147">
        <f t="shared" si="40"/>
        <v>0</v>
      </c>
      <c r="AT171" s="147">
        <f t="shared" si="40"/>
        <v>0</v>
      </c>
      <c r="AU171" s="147">
        <f t="shared" si="40"/>
        <v>0</v>
      </c>
      <c r="AV171" s="147">
        <f t="shared" si="40"/>
        <v>0</v>
      </c>
      <c r="AW171" s="147">
        <f t="shared" si="40"/>
        <v>0</v>
      </c>
      <c r="AX171" s="147">
        <f t="shared" si="40"/>
        <v>0</v>
      </c>
      <c r="AY171" s="147">
        <f t="shared" si="40"/>
        <v>0</v>
      </c>
      <c r="AZ171" s="147">
        <f t="shared" si="40"/>
        <v>0</v>
      </c>
      <c r="BA171" s="147">
        <f t="shared" si="40"/>
        <v>0</v>
      </c>
      <c r="BB171" s="147">
        <f t="shared" si="40"/>
        <v>0</v>
      </c>
      <c r="BC171" s="147">
        <f t="shared" si="40"/>
        <v>0</v>
      </c>
      <c r="BD171" s="147">
        <f t="shared" si="40"/>
        <v>0</v>
      </c>
      <c r="BE171" s="147">
        <f t="shared" si="40"/>
        <v>0</v>
      </c>
      <c r="BF171" s="147">
        <f t="shared" si="40"/>
        <v>0</v>
      </c>
      <c r="BG171" s="147">
        <f t="shared" si="40"/>
        <v>0</v>
      </c>
      <c r="BH171" s="147">
        <f t="shared" si="40"/>
        <v>0</v>
      </c>
      <c r="BI171" s="147">
        <f t="shared" si="40"/>
        <v>0</v>
      </c>
      <c r="BJ171" s="147">
        <f t="shared" si="40"/>
        <v>0</v>
      </c>
      <c r="BK171" s="147">
        <f t="shared" si="40"/>
        <v>0</v>
      </c>
      <c r="BL171" s="147">
        <f t="shared" si="40"/>
        <v>0</v>
      </c>
    </row>
    <row r="172" spans="2:64" s="155" customFormat="1" x14ac:dyDescent="0.15">
      <c r="C172" s="84" t="s">
        <v>371</v>
      </c>
      <c r="E172" s="147">
        <f t="shared" si="40"/>
        <v>0</v>
      </c>
      <c r="F172" s="147">
        <f t="shared" si="40"/>
        <v>2.8623495758636791E-2</v>
      </c>
      <c r="G172" s="147">
        <f t="shared" si="40"/>
        <v>2.3633797471509881E-2</v>
      </c>
      <c r="H172" s="147">
        <f t="shared" si="40"/>
        <v>2.0241406499472682E-2</v>
      </c>
      <c r="I172" s="147">
        <f t="shared" si="40"/>
        <v>1.7224717117075749E-2</v>
      </c>
      <c r="J172" s="147">
        <f t="shared" si="40"/>
        <v>1.5273259261654494E-2</v>
      </c>
      <c r="K172" s="147">
        <f t="shared" si="40"/>
        <v>1.34507282898053E-2</v>
      </c>
      <c r="L172" s="147">
        <f t="shared" si="40"/>
        <v>1.1775289580695842E-2</v>
      </c>
      <c r="M172" s="147">
        <f t="shared" si="40"/>
        <v>1.0200577921519035E-2</v>
      </c>
      <c r="N172" s="147">
        <f t="shared" si="40"/>
        <v>8.7211629752556395E-3</v>
      </c>
      <c r="O172" s="147">
        <f t="shared" si="40"/>
        <v>7.3332517969571572E-3</v>
      </c>
      <c r="P172" s="147">
        <f t="shared" si="40"/>
        <v>6.035812693242007E-3</v>
      </c>
      <c r="Q172" s="147">
        <f t="shared" si="40"/>
        <v>4.8271141659532602E-3</v>
      </c>
      <c r="R172" s="147">
        <f t="shared" si="40"/>
        <v>3.7050415915259841E-3</v>
      </c>
      <c r="S172" s="147">
        <f t="shared" si="40"/>
        <v>2.6671350217466233E-3</v>
      </c>
      <c r="T172" s="147">
        <f t="shared" si="40"/>
        <v>1.7104820084726385E-3</v>
      </c>
      <c r="U172" s="147">
        <f t="shared" si="40"/>
        <v>9.1237459033097039E-4</v>
      </c>
      <c r="V172" s="147">
        <f t="shared" si="40"/>
        <v>0</v>
      </c>
      <c r="W172" s="147">
        <f t="shared" si="40"/>
        <v>0</v>
      </c>
      <c r="X172" s="147">
        <f t="shared" si="40"/>
        <v>0</v>
      </c>
      <c r="Y172" s="147">
        <f t="shared" si="40"/>
        <v>0</v>
      </c>
      <c r="Z172" s="147">
        <f t="shared" si="40"/>
        <v>0</v>
      </c>
      <c r="AA172" s="147">
        <f t="shared" si="40"/>
        <v>0</v>
      </c>
      <c r="AB172" s="147">
        <f t="shared" si="40"/>
        <v>0</v>
      </c>
      <c r="AC172" s="147">
        <f t="shared" si="40"/>
        <v>0</v>
      </c>
      <c r="AD172" s="147">
        <f t="shared" si="40"/>
        <v>0</v>
      </c>
      <c r="AE172" s="147">
        <f t="shared" si="40"/>
        <v>0</v>
      </c>
      <c r="AF172" s="147">
        <f t="shared" si="40"/>
        <v>0</v>
      </c>
      <c r="AG172" s="147">
        <f t="shared" si="40"/>
        <v>0</v>
      </c>
      <c r="AH172" s="147">
        <f t="shared" si="40"/>
        <v>0</v>
      </c>
      <c r="AI172" s="147">
        <f t="shared" si="40"/>
        <v>0</v>
      </c>
      <c r="AJ172" s="147">
        <f t="shared" si="40"/>
        <v>0</v>
      </c>
      <c r="AK172" s="147">
        <f t="shared" si="40"/>
        <v>0</v>
      </c>
      <c r="AL172" s="147">
        <f t="shared" si="40"/>
        <v>0</v>
      </c>
      <c r="AM172" s="147">
        <f t="shared" si="40"/>
        <v>0</v>
      </c>
      <c r="AN172" s="147">
        <f t="shared" si="40"/>
        <v>0</v>
      </c>
      <c r="AO172" s="147">
        <f t="shared" si="40"/>
        <v>0</v>
      </c>
      <c r="AP172" s="147">
        <f t="shared" si="40"/>
        <v>0</v>
      </c>
      <c r="AQ172" s="147">
        <f t="shared" si="40"/>
        <v>0</v>
      </c>
      <c r="AR172" s="147">
        <f t="shared" si="40"/>
        <v>0</v>
      </c>
      <c r="AS172" s="147">
        <f t="shared" si="40"/>
        <v>0</v>
      </c>
      <c r="AT172" s="147">
        <f t="shared" si="40"/>
        <v>0</v>
      </c>
      <c r="AU172" s="147">
        <f t="shared" si="40"/>
        <v>0</v>
      </c>
      <c r="AV172" s="147">
        <f t="shared" si="40"/>
        <v>0</v>
      </c>
      <c r="AW172" s="147">
        <f t="shared" si="40"/>
        <v>0</v>
      </c>
      <c r="AX172" s="147">
        <f t="shared" si="40"/>
        <v>0</v>
      </c>
      <c r="AY172" s="147">
        <f t="shared" si="40"/>
        <v>0</v>
      </c>
      <c r="AZ172" s="147">
        <f t="shared" si="40"/>
        <v>0</v>
      </c>
      <c r="BA172" s="147">
        <f t="shared" si="40"/>
        <v>0</v>
      </c>
      <c r="BB172" s="147">
        <f t="shared" si="40"/>
        <v>0</v>
      </c>
      <c r="BC172" s="147">
        <f t="shared" si="40"/>
        <v>0</v>
      </c>
      <c r="BD172" s="147">
        <f t="shared" si="40"/>
        <v>0</v>
      </c>
      <c r="BE172" s="147">
        <f t="shared" si="40"/>
        <v>0</v>
      </c>
      <c r="BF172" s="147">
        <f t="shared" si="40"/>
        <v>0</v>
      </c>
      <c r="BG172" s="147">
        <f t="shared" si="40"/>
        <v>0</v>
      </c>
      <c r="BH172" s="147">
        <f t="shared" si="40"/>
        <v>0</v>
      </c>
      <c r="BI172" s="147">
        <f t="shared" si="40"/>
        <v>0</v>
      </c>
      <c r="BJ172" s="147">
        <f t="shared" si="40"/>
        <v>0</v>
      </c>
      <c r="BK172" s="147">
        <f t="shared" si="40"/>
        <v>0</v>
      </c>
      <c r="BL172" s="147">
        <f t="shared" si="40"/>
        <v>0</v>
      </c>
    </row>
    <row r="173" spans="2:64" s="155" customFormat="1" x14ac:dyDescent="0.15">
      <c r="C173" s="84" t="s">
        <v>372</v>
      </c>
      <c r="E173" s="147">
        <f t="shared" si="40"/>
        <v>0</v>
      </c>
      <c r="F173" s="147">
        <f t="shared" si="40"/>
        <v>0</v>
      </c>
      <c r="G173" s="147">
        <f t="shared" si="40"/>
        <v>2.6047381140359479E-2</v>
      </c>
      <c r="H173" s="147">
        <f t="shared" si="40"/>
        <v>2.1506755699073992E-2</v>
      </c>
      <c r="I173" s="147">
        <f t="shared" si="40"/>
        <v>1.8419679914520141E-2</v>
      </c>
      <c r="J173" s="147">
        <f t="shared" si="40"/>
        <v>1.5674492576538929E-2</v>
      </c>
      <c r="K173" s="147">
        <f t="shared" si="40"/>
        <v>1.389866592810559E-2</v>
      </c>
      <c r="L173" s="147">
        <f t="shared" si="40"/>
        <v>1.2240162743722825E-2</v>
      </c>
      <c r="M173" s="147">
        <f t="shared" si="40"/>
        <v>1.0715513518433218E-2</v>
      </c>
      <c r="N173" s="147">
        <f t="shared" si="40"/>
        <v>9.282525908582322E-3</v>
      </c>
      <c r="O173" s="147">
        <f t="shared" si="40"/>
        <v>7.936258307482633E-3</v>
      </c>
      <c r="P173" s="147">
        <f t="shared" si="40"/>
        <v>6.673259135231013E-3</v>
      </c>
      <c r="Q173" s="147">
        <f t="shared" si="40"/>
        <v>5.4925895508502257E-3</v>
      </c>
      <c r="R173" s="147">
        <f t="shared" si="40"/>
        <v>4.392673891017467E-3</v>
      </c>
      <c r="S173" s="147">
        <f t="shared" si="40"/>
        <v>3.3715878482886456E-3</v>
      </c>
      <c r="T173" s="147">
        <f t="shared" si="40"/>
        <v>2.4270928697894272E-3</v>
      </c>
      <c r="U173" s="147">
        <f t="shared" si="40"/>
        <v>1.5565386277101012E-3</v>
      </c>
      <c r="V173" s="147">
        <f t="shared" si="40"/>
        <v>8.3026087720118309E-4</v>
      </c>
      <c r="W173" s="147">
        <f t="shared" si="40"/>
        <v>0</v>
      </c>
      <c r="X173" s="147">
        <f t="shared" si="40"/>
        <v>0</v>
      </c>
      <c r="Y173" s="147">
        <f t="shared" si="40"/>
        <v>0</v>
      </c>
      <c r="Z173" s="147">
        <f t="shared" si="40"/>
        <v>0</v>
      </c>
      <c r="AA173" s="147">
        <f t="shared" si="40"/>
        <v>0</v>
      </c>
      <c r="AB173" s="147">
        <f t="shared" si="40"/>
        <v>0</v>
      </c>
      <c r="AC173" s="147">
        <f t="shared" si="40"/>
        <v>0</v>
      </c>
      <c r="AD173" s="147">
        <f t="shared" si="40"/>
        <v>0</v>
      </c>
      <c r="AE173" s="147">
        <f t="shared" si="40"/>
        <v>0</v>
      </c>
      <c r="AF173" s="147">
        <f t="shared" si="40"/>
        <v>0</v>
      </c>
      <c r="AG173" s="147">
        <f t="shared" si="40"/>
        <v>0</v>
      </c>
      <c r="AH173" s="147">
        <f t="shared" si="40"/>
        <v>0</v>
      </c>
      <c r="AI173" s="147">
        <f t="shared" si="40"/>
        <v>0</v>
      </c>
      <c r="AJ173" s="147">
        <f t="shared" si="40"/>
        <v>0</v>
      </c>
      <c r="AK173" s="147">
        <f t="shared" si="40"/>
        <v>0</v>
      </c>
      <c r="AL173" s="147">
        <f t="shared" si="40"/>
        <v>0</v>
      </c>
      <c r="AM173" s="147">
        <f t="shared" si="40"/>
        <v>0</v>
      </c>
      <c r="AN173" s="147">
        <f t="shared" si="40"/>
        <v>0</v>
      </c>
      <c r="AO173" s="147">
        <f t="shared" si="40"/>
        <v>0</v>
      </c>
      <c r="AP173" s="147">
        <f t="shared" si="40"/>
        <v>0</v>
      </c>
      <c r="AQ173" s="147">
        <f t="shared" si="40"/>
        <v>0</v>
      </c>
      <c r="AR173" s="147">
        <f t="shared" si="40"/>
        <v>0</v>
      </c>
      <c r="AS173" s="147">
        <f t="shared" si="40"/>
        <v>0</v>
      </c>
      <c r="AT173" s="147">
        <f t="shared" si="40"/>
        <v>0</v>
      </c>
      <c r="AU173" s="147">
        <f t="shared" si="40"/>
        <v>0</v>
      </c>
      <c r="AV173" s="147">
        <f t="shared" si="40"/>
        <v>0</v>
      </c>
      <c r="AW173" s="147">
        <f t="shared" si="40"/>
        <v>0</v>
      </c>
      <c r="AX173" s="147">
        <f t="shared" si="40"/>
        <v>0</v>
      </c>
      <c r="AY173" s="147">
        <f t="shared" si="40"/>
        <v>0</v>
      </c>
      <c r="AZ173" s="147">
        <f t="shared" si="40"/>
        <v>0</v>
      </c>
      <c r="BA173" s="147">
        <f t="shared" si="40"/>
        <v>0</v>
      </c>
      <c r="BB173" s="147">
        <f t="shared" si="40"/>
        <v>0</v>
      </c>
      <c r="BC173" s="147">
        <f t="shared" si="40"/>
        <v>0</v>
      </c>
      <c r="BD173" s="147">
        <f t="shared" si="40"/>
        <v>0</v>
      </c>
      <c r="BE173" s="147">
        <f t="shared" si="40"/>
        <v>0</v>
      </c>
      <c r="BF173" s="147">
        <f t="shared" si="40"/>
        <v>0</v>
      </c>
      <c r="BG173" s="147">
        <f t="shared" si="40"/>
        <v>0</v>
      </c>
      <c r="BH173" s="147">
        <f t="shared" si="40"/>
        <v>0</v>
      </c>
      <c r="BI173" s="147">
        <f t="shared" si="40"/>
        <v>0</v>
      </c>
      <c r="BJ173" s="147">
        <f t="shared" si="40"/>
        <v>0</v>
      </c>
      <c r="BK173" s="147">
        <f t="shared" si="40"/>
        <v>0</v>
      </c>
      <c r="BL173" s="147">
        <f t="shared" si="40"/>
        <v>0</v>
      </c>
    </row>
    <row r="174" spans="2:64" s="155" customFormat="1" x14ac:dyDescent="0.15">
      <c r="C174" s="84" t="s">
        <v>374</v>
      </c>
      <c r="E174" s="147">
        <f t="shared" si="40"/>
        <v>0</v>
      </c>
      <c r="F174" s="147">
        <f t="shared" si="40"/>
        <v>0</v>
      </c>
      <c r="G174" s="147">
        <f t="shared" si="40"/>
        <v>0</v>
      </c>
      <c r="H174" s="147">
        <f t="shared" si="40"/>
        <v>8.9485211660288888E-2</v>
      </c>
      <c r="I174" s="147">
        <f t="shared" si="40"/>
        <v>7.3885991666001322E-2</v>
      </c>
      <c r="J174" s="147">
        <f t="shared" si="40"/>
        <v>6.3280409918509709E-2</v>
      </c>
      <c r="K174" s="147">
        <f t="shared" si="40"/>
        <v>5.3849378496860868E-2</v>
      </c>
      <c r="L174" s="147">
        <f t="shared" si="40"/>
        <v>4.7748564651095268E-2</v>
      </c>
      <c r="M174" s="147">
        <f t="shared" si="40"/>
        <v>4.2050813015565333E-2</v>
      </c>
      <c r="N174" s="147">
        <f t="shared" si="40"/>
        <v>3.6812913746631259E-2</v>
      </c>
      <c r="O174" s="147">
        <f t="shared" si="40"/>
        <v>3.1889915964893073E-2</v>
      </c>
      <c r="P174" s="147">
        <f t="shared" si="40"/>
        <v>2.7264842888002065E-2</v>
      </c>
      <c r="Q174" s="147">
        <f t="shared" si="40"/>
        <v>2.2925836688235376E-2</v>
      </c>
      <c r="R174" s="147">
        <f t="shared" si="40"/>
        <v>1.8869671997825278E-2</v>
      </c>
      <c r="S174" s="147">
        <f t="shared" si="40"/>
        <v>1.5090935659679831E-2</v>
      </c>
      <c r="T174" s="147">
        <f t="shared" ref="T174:BL178" si="41">IF(T$5&gt;$D$7,0,T31*$G116)</f>
        <v>1.1583016757407635E-2</v>
      </c>
      <c r="U174" s="147">
        <f t="shared" si="41"/>
        <v>8.3382247912731026E-3</v>
      </c>
      <c r="V174" s="147">
        <f t="shared" si="41"/>
        <v>5.3474546177017974E-3</v>
      </c>
      <c r="W174" s="147">
        <f t="shared" si="41"/>
        <v>2.8523431944751597E-3</v>
      </c>
      <c r="X174" s="147">
        <f t="shared" si="41"/>
        <v>0</v>
      </c>
      <c r="Y174" s="147">
        <f t="shared" si="41"/>
        <v>0</v>
      </c>
      <c r="Z174" s="147">
        <f t="shared" si="41"/>
        <v>0</v>
      </c>
      <c r="AA174" s="147">
        <f t="shared" si="41"/>
        <v>0</v>
      </c>
      <c r="AB174" s="147">
        <f t="shared" si="41"/>
        <v>0</v>
      </c>
      <c r="AC174" s="147">
        <f t="shared" si="41"/>
        <v>0</v>
      </c>
      <c r="AD174" s="147">
        <f t="shared" si="41"/>
        <v>0</v>
      </c>
      <c r="AE174" s="147">
        <f t="shared" si="41"/>
        <v>0</v>
      </c>
      <c r="AF174" s="147">
        <f t="shared" si="41"/>
        <v>0</v>
      </c>
      <c r="AG174" s="147">
        <f t="shared" si="41"/>
        <v>0</v>
      </c>
      <c r="AH174" s="147">
        <f t="shared" si="41"/>
        <v>0</v>
      </c>
      <c r="AI174" s="147">
        <f t="shared" si="41"/>
        <v>0</v>
      </c>
      <c r="AJ174" s="147">
        <f t="shared" si="41"/>
        <v>0</v>
      </c>
      <c r="AK174" s="147">
        <f t="shared" si="41"/>
        <v>0</v>
      </c>
      <c r="AL174" s="147">
        <f t="shared" si="41"/>
        <v>0</v>
      </c>
      <c r="AM174" s="147">
        <f t="shared" si="41"/>
        <v>0</v>
      </c>
      <c r="AN174" s="147">
        <f t="shared" si="41"/>
        <v>0</v>
      </c>
      <c r="AO174" s="147">
        <f t="shared" si="41"/>
        <v>0</v>
      </c>
      <c r="AP174" s="147">
        <f t="shared" si="41"/>
        <v>0</v>
      </c>
      <c r="AQ174" s="147">
        <f t="shared" si="41"/>
        <v>0</v>
      </c>
      <c r="AR174" s="147">
        <f t="shared" si="41"/>
        <v>0</v>
      </c>
      <c r="AS174" s="147">
        <f t="shared" si="41"/>
        <v>0</v>
      </c>
      <c r="AT174" s="147">
        <f t="shared" si="41"/>
        <v>0</v>
      </c>
      <c r="AU174" s="147">
        <f t="shared" si="41"/>
        <v>0</v>
      </c>
      <c r="AV174" s="147">
        <f t="shared" si="41"/>
        <v>0</v>
      </c>
      <c r="AW174" s="147">
        <f t="shared" si="41"/>
        <v>0</v>
      </c>
      <c r="AX174" s="147">
        <f t="shared" si="41"/>
        <v>0</v>
      </c>
      <c r="AY174" s="147">
        <f t="shared" si="41"/>
        <v>0</v>
      </c>
      <c r="AZ174" s="147">
        <f t="shared" si="41"/>
        <v>0</v>
      </c>
      <c r="BA174" s="147">
        <f t="shared" si="41"/>
        <v>0</v>
      </c>
      <c r="BB174" s="147">
        <f t="shared" si="41"/>
        <v>0</v>
      </c>
      <c r="BC174" s="147">
        <f t="shared" si="41"/>
        <v>0</v>
      </c>
      <c r="BD174" s="147">
        <f t="shared" si="41"/>
        <v>0</v>
      </c>
      <c r="BE174" s="147">
        <f t="shared" si="41"/>
        <v>0</v>
      </c>
      <c r="BF174" s="147">
        <f t="shared" si="41"/>
        <v>0</v>
      </c>
      <c r="BG174" s="147">
        <f t="shared" si="41"/>
        <v>0</v>
      </c>
      <c r="BH174" s="147">
        <f t="shared" si="41"/>
        <v>0</v>
      </c>
      <c r="BI174" s="147">
        <f t="shared" si="41"/>
        <v>0</v>
      </c>
      <c r="BJ174" s="147">
        <f t="shared" si="41"/>
        <v>0</v>
      </c>
      <c r="BK174" s="147">
        <f t="shared" si="41"/>
        <v>0</v>
      </c>
      <c r="BL174" s="147">
        <f t="shared" si="41"/>
        <v>0</v>
      </c>
    </row>
    <row r="175" spans="2:64" s="155" customFormat="1" x14ac:dyDescent="0.15">
      <c r="C175" s="84" t="s">
        <v>375</v>
      </c>
      <c r="E175" s="147">
        <f t="shared" ref="E175:AJ178" si="42">IF(E$5&gt;$D$7,0,E32*$G117)</f>
        <v>0</v>
      </c>
      <c r="F175" s="147">
        <f t="shared" si="42"/>
        <v>0</v>
      </c>
      <c r="G175" s="147">
        <f t="shared" si="42"/>
        <v>0</v>
      </c>
      <c r="H175" s="147">
        <f t="shared" si="42"/>
        <v>0</v>
      </c>
      <c r="I175" s="147">
        <f t="shared" si="42"/>
        <v>8.594257172165741E-2</v>
      </c>
      <c r="J175" s="147">
        <f t="shared" si="42"/>
        <v>7.0960910972500235E-2</v>
      </c>
      <c r="K175" s="147">
        <f t="shared" si="42"/>
        <v>6.0775194773449379E-2</v>
      </c>
      <c r="L175" s="147">
        <f t="shared" si="42"/>
        <v>5.1717529497523687E-2</v>
      </c>
      <c r="M175" s="147">
        <f t="shared" si="42"/>
        <v>4.5858241445653668E-2</v>
      </c>
      <c r="N175" s="147">
        <f t="shared" si="42"/>
        <v>4.0386058729612449E-2</v>
      </c>
      <c r="O175" s="147">
        <f t="shared" si="42"/>
        <v>3.5355523233980932E-2</v>
      </c>
      <c r="P175" s="147">
        <f t="shared" si="42"/>
        <v>3.0627422555750621E-2</v>
      </c>
      <c r="Q175" s="147">
        <f t="shared" si="42"/>
        <v>2.6185452008286324E-2</v>
      </c>
      <c r="R175" s="147">
        <f t="shared" si="42"/>
        <v>2.2018223204717989E-2</v>
      </c>
      <c r="S175" s="147">
        <f t="shared" si="42"/>
        <v>1.812263846671907E-2</v>
      </c>
      <c r="T175" s="147">
        <f t="shared" si="42"/>
        <v>1.4493498939272266E-2</v>
      </c>
      <c r="U175" s="147">
        <f t="shared" si="42"/>
        <v>1.1124455426286149E-2</v>
      </c>
      <c r="V175" s="147">
        <f t="shared" si="42"/>
        <v>8.0081218880694895E-3</v>
      </c>
      <c r="W175" s="147">
        <f t="shared" si="42"/>
        <v>5.1357536455835561E-3</v>
      </c>
      <c r="X175" s="147">
        <f t="shared" si="42"/>
        <v>2.7394214643708362E-3</v>
      </c>
      <c r="Y175" s="147">
        <f t="shared" si="42"/>
        <v>0</v>
      </c>
      <c r="Z175" s="147">
        <f t="shared" si="42"/>
        <v>0</v>
      </c>
      <c r="AA175" s="147">
        <f t="shared" si="42"/>
        <v>0</v>
      </c>
      <c r="AB175" s="147">
        <f t="shared" si="42"/>
        <v>0</v>
      </c>
      <c r="AC175" s="147">
        <f t="shared" si="42"/>
        <v>0</v>
      </c>
      <c r="AD175" s="147">
        <f t="shared" si="42"/>
        <v>0</v>
      </c>
      <c r="AE175" s="147">
        <f t="shared" si="42"/>
        <v>0</v>
      </c>
      <c r="AF175" s="147">
        <f t="shared" si="42"/>
        <v>0</v>
      </c>
      <c r="AG175" s="147">
        <f t="shared" si="42"/>
        <v>0</v>
      </c>
      <c r="AH175" s="147">
        <f t="shared" si="42"/>
        <v>0</v>
      </c>
      <c r="AI175" s="147">
        <f t="shared" si="42"/>
        <v>0</v>
      </c>
      <c r="AJ175" s="147">
        <f t="shared" si="42"/>
        <v>0</v>
      </c>
      <c r="AK175" s="147">
        <f t="shared" si="41"/>
        <v>0</v>
      </c>
      <c r="AL175" s="147">
        <f t="shared" si="41"/>
        <v>0</v>
      </c>
      <c r="AM175" s="147">
        <f t="shared" si="41"/>
        <v>0</v>
      </c>
      <c r="AN175" s="147">
        <f t="shared" si="41"/>
        <v>0</v>
      </c>
      <c r="AO175" s="147">
        <f t="shared" si="41"/>
        <v>0</v>
      </c>
      <c r="AP175" s="147">
        <f t="shared" si="41"/>
        <v>0</v>
      </c>
      <c r="AQ175" s="147">
        <f t="shared" si="41"/>
        <v>0</v>
      </c>
      <c r="AR175" s="147">
        <f t="shared" si="41"/>
        <v>0</v>
      </c>
      <c r="AS175" s="147">
        <f t="shared" si="41"/>
        <v>0</v>
      </c>
      <c r="AT175" s="147">
        <f t="shared" si="41"/>
        <v>0</v>
      </c>
      <c r="AU175" s="147">
        <f t="shared" si="41"/>
        <v>0</v>
      </c>
      <c r="AV175" s="147">
        <f t="shared" si="41"/>
        <v>0</v>
      </c>
      <c r="AW175" s="147">
        <f t="shared" si="41"/>
        <v>0</v>
      </c>
      <c r="AX175" s="147">
        <f t="shared" si="41"/>
        <v>0</v>
      </c>
      <c r="AY175" s="147">
        <f t="shared" si="41"/>
        <v>0</v>
      </c>
      <c r="AZ175" s="147">
        <f t="shared" si="41"/>
        <v>0</v>
      </c>
      <c r="BA175" s="147">
        <f t="shared" si="41"/>
        <v>0</v>
      </c>
      <c r="BB175" s="147">
        <f t="shared" si="41"/>
        <v>0</v>
      </c>
      <c r="BC175" s="147">
        <f t="shared" si="41"/>
        <v>0</v>
      </c>
      <c r="BD175" s="147">
        <f t="shared" si="41"/>
        <v>0</v>
      </c>
      <c r="BE175" s="147">
        <f t="shared" si="41"/>
        <v>0</v>
      </c>
      <c r="BF175" s="147">
        <f t="shared" si="41"/>
        <v>0</v>
      </c>
      <c r="BG175" s="147">
        <f t="shared" si="41"/>
        <v>0</v>
      </c>
      <c r="BH175" s="147">
        <f t="shared" si="41"/>
        <v>0</v>
      </c>
      <c r="BI175" s="147">
        <f t="shared" si="41"/>
        <v>0</v>
      </c>
      <c r="BJ175" s="147">
        <f t="shared" si="41"/>
        <v>0</v>
      </c>
      <c r="BK175" s="147">
        <f t="shared" si="41"/>
        <v>0</v>
      </c>
      <c r="BL175" s="147">
        <f t="shared" si="41"/>
        <v>0</v>
      </c>
    </row>
    <row r="176" spans="2:64" s="155" customFormat="1" x14ac:dyDescent="0.15">
      <c r="C176" s="84" t="s">
        <v>376</v>
      </c>
      <c r="E176" s="147">
        <f t="shared" si="42"/>
        <v>0</v>
      </c>
      <c r="F176" s="147">
        <f t="shared" si="42"/>
        <v>0</v>
      </c>
      <c r="G176" s="147">
        <f t="shared" si="42"/>
        <v>0</v>
      </c>
      <c r="H176" s="147">
        <f t="shared" si="42"/>
        <v>0</v>
      </c>
      <c r="I176" s="147">
        <f t="shared" si="42"/>
        <v>0</v>
      </c>
      <c r="J176" s="147">
        <f t="shared" si="42"/>
        <v>8.1212410244116628E-2</v>
      </c>
      <c r="K176" s="147">
        <f t="shared" si="42"/>
        <v>6.7055319590147669E-2</v>
      </c>
      <c r="L176" s="147">
        <f t="shared" si="42"/>
        <v>5.7430211264712178E-2</v>
      </c>
      <c r="M176" s="147">
        <f t="shared" si="42"/>
        <v>4.8871067484086886E-2</v>
      </c>
      <c r="N176" s="147">
        <f t="shared" si="42"/>
        <v>4.3334266624228443E-2</v>
      </c>
      <c r="O176" s="147">
        <f t="shared" si="42"/>
        <v>3.8163265352527918E-2</v>
      </c>
      <c r="P176" s="147">
        <f t="shared" si="42"/>
        <v>3.3409603642916015E-2</v>
      </c>
      <c r="Q176" s="147">
        <f t="shared" si="42"/>
        <v>2.894173115244034E-2</v>
      </c>
      <c r="R176" s="147">
        <f t="shared" si="42"/>
        <v>2.47442405820942E-2</v>
      </c>
      <c r="S176" s="147">
        <f t="shared" si="42"/>
        <v>2.0806370346228231E-2</v>
      </c>
      <c r="T176" s="147">
        <f t="shared" si="42"/>
        <v>1.712519325848973E-2</v>
      </c>
      <c r="U176" s="147">
        <f t="shared" si="42"/>
        <v>1.369579660172344E-2</v>
      </c>
      <c r="V176" s="147">
        <f t="shared" si="42"/>
        <v>1.0512180630897662E-2</v>
      </c>
      <c r="W176" s="147">
        <f t="shared" si="42"/>
        <v>7.5673658238330273E-3</v>
      </c>
      <c r="X176" s="147">
        <f t="shared" si="42"/>
        <v>4.8530887966521481E-3</v>
      </c>
      <c r="Y176" s="147">
        <f t="shared" si="42"/>
        <v>2.5886474577064542E-3</v>
      </c>
      <c r="Z176" s="147">
        <f t="shared" si="42"/>
        <v>0</v>
      </c>
      <c r="AA176" s="147">
        <f t="shared" si="42"/>
        <v>0</v>
      </c>
      <c r="AB176" s="147">
        <f t="shared" si="42"/>
        <v>0</v>
      </c>
      <c r="AC176" s="147">
        <f t="shared" si="42"/>
        <v>0</v>
      </c>
      <c r="AD176" s="147">
        <f t="shared" si="42"/>
        <v>0</v>
      </c>
      <c r="AE176" s="147">
        <f t="shared" si="42"/>
        <v>0</v>
      </c>
      <c r="AF176" s="147">
        <f t="shared" si="42"/>
        <v>0</v>
      </c>
      <c r="AG176" s="147">
        <f t="shared" si="42"/>
        <v>0</v>
      </c>
      <c r="AH176" s="147">
        <f t="shared" si="42"/>
        <v>0</v>
      </c>
      <c r="AI176" s="147">
        <f t="shared" si="42"/>
        <v>0</v>
      </c>
      <c r="AJ176" s="147">
        <f t="shared" si="42"/>
        <v>0</v>
      </c>
      <c r="AK176" s="147">
        <f t="shared" si="41"/>
        <v>0</v>
      </c>
      <c r="AL176" s="147">
        <f t="shared" si="41"/>
        <v>0</v>
      </c>
      <c r="AM176" s="147">
        <f t="shared" si="41"/>
        <v>0</v>
      </c>
      <c r="AN176" s="147">
        <f t="shared" si="41"/>
        <v>0</v>
      </c>
      <c r="AO176" s="147">
        <f t="shared" si="41"/>
        <v>0</v>
      </c>
      <c r="AP176" s="147">
        <f t="shared" si="41"/>
        <v>0</v>
      </c>
      <c r="AQ176" s="147">
        <f t="shared" si="41"/>
        <v>0</v>
      </c>
      <c r="AR176" s="147">
        <f t="shared" si="41"/>
        <v>0</v>
      </c>
      <c r="AS176" s="147">
        <f t="shared" si="41"/>
        <v>0</v>
      </c>
      <c r="AT176" s="147">
        <f t="shared" si="41"/>
        <v>0</v>
      </c>
      <c r="AU176" s="147">
        <f t="shared" si="41"/>
        <v>0</v>
      </c>
      <c r="AV176" s="147">
        <f t="shared" si="41"/>
        <v>0</v>
      </c>
      <c r="AW176" s="147">
        <f t="shared" si="41"/>
        <v>0</v>
      </c>
      <c r="AX176" s="147">
        <f t="shared" si="41"/>
        <v>0</v>
      </c>
      <c r="AY176" s="147">
        <f t="shared" si="41"/>
        <v>0</v>
      </c>
      <c r="AZ176" s="147">
        <f t="shared" si="41"/>
        <v>0</v>
      </c>
      <c r="BA176" s="147">
        <f t="shared" si="41"/>
        <v>0</v>
      </c>
      <c r="BB176" s="147">
        <f t="shared" si="41"/>
        <v>0</v>
      </c>
      <c r="BC176" s="147">
        <f t="shared" si="41"/>
        <v>0</v>
      </c>
      <c r="BD176" s="147">
        <f t="shared" si="41"/>
        <v>0</v>
      </c>
      <c r="BE176" s="147">
        <f t="shared" si="41"/>
        <v>0</v>
      </c>
      <c r="BF176" s="147">
        <f t="shared" si="41"/>
        <v>0</v>
      </c>
      <c r="BG176" s="147">
        <f t="shared" si="41"/>
        <v>0</v>
      </c>
      <c r="BH176" s="147">
        <f t="shared" si="41"/>
        <v>0</v>
      </c>
      <c r="BI176" s="147">
        <f t="shared" si="41"/>
        <v>0</v>
      </c>
      <c r="BJ176" s="147">
        <f t="shared" si="41"/>
        <v>0</v>
      </c>
      <c r="BK176" s="147">
        <f t="shared" si="41"/>
        <v>0</v>
      </c>
      <c r="BL176" s="147">
        <f t="shared" si="41"/>
        <v>0</v>
      </c>
    </row>
    <row r="177" spans="1:64" s="155" customFormat="1" x14ac:dyDescent="0.15">
      <c r="C177" s="84" t="s">
        <v>378</v>
      </c>
      <c r="E177" s="147">
        <f t="shared" si="42"/>
        <v>0</v>
      </c>
      <c r="F177" s="147">
        <f t="shared" si="42"/>
        <v>0</v>
      </c>
      <c r="G177" s="147">
        <f t="shared" si="42"/>
        <v>0</v>
      </c>
      <c r="H177" s="147">
        <f t="shared" si="42"/>
        <v>0</v>
      </c>
      <c r="I177" s="147">
        <f t="shared" si="42"/>
        <v>0</v>
      </c>
      <c r="J177" s="147">
        <f t="shared" si="42"/>
        <v>0</v>
      </c>
      <c r="K177" s="147">
        <f t="shared" si="42"/>
        <v>0.19615344640193202</v>
      </c>
      <c r="L177" s="147">
        <f t="shared" si="42"/>
        <v>0.161959631510177</v>
      </c>
      <c r="M177" s="147">
        <f t="shared" si="42"/>
        <v>0.13871197558725881</v>
      </c>
      <c r="N177" s="147">
        <f t="shared" si="42"/>
        <v>0.11803895842433154</v>
      </c>
      <c r="O177" s="147">
        <f t="shared" si="42"/>
        <v>0.10466584749907004</v>
      </c>
      <c r="P177" s="147">
        <f t="shared" si="42"/>
        <v>9.2176257327519745E-2</v>
      </c>
      <c r="Q177" s="147">
        <f t="shared" si="42"/>
        <v>8.0694673114387425E-2</v>
      </c>
      <c r="R177" s="147">
        <f t="shared" si="42"/>
        <v>6.9903359515186891E-2</v>
      </c>
      <c r="S177" s="147">
        <f t="shared" si="42"/>
        <v>5.9765103069674579E-2</v>
      </c>
      <c r="T177" s="147">
        <f t="shared" si="42"/>
        <v>5.0253911172686676E-2</v>
      </c>
      <c r="U177" s="147">
        <f t="shared" si="42"/>
        <v>4.1362713750947265E-2</v>
      </c>
      <c r="V177" s="147">
        <f t="shared" si="42"/>
        <v>3.3079645051447552E-2</v>
      </c>
      <c r="W177" s="147">
        <f t="shared" si="42"/>
        <v>2.5390213807865557E-2</v>
      </c>
      <c r="X177" s="147">
        <f t="shared" si="42"/>
        <v>1.8277562284719624E-2</v>
      </c>
      <c r="Y177" s="147">
        <f t="shared" si="42"/>
        <v>1.1721731817790584E-2</v>
      </c>
      <c r="Z177" s="147">
        <f t="shared" si="42"/>
        <v>6.2523956476898887E-3</v>
      </c>
      <c r="AA177" s="147">
        <f t="shared" si="42"/>
        <v>0</v>
      </c>
      <c r="AB177" s="147">
        <f t="shared" si="42"/>
        <v>0</v>
      </c>
      <c r="AC177" s="147">
        <f t="shared" si="42"/>
        <v>0</v>
      </c>
      <c r="AD177" s="147">
        <f t="shared" si="42"/>
        <v>0</v>
      </c>
      <c r="AE177" s="147">
        <f t="shared" si="42"/>
        <v>0</v>
      </c>
      <c r="AF177" s="147">
        <f t="shared" si="42"/>
        <v>0</v>
      </c>
      <c r="AG177" s="147">
        <f t="shared" si="42"/>
        <v>0</v>
      </c>
      <c r="AH177" s="147">
        <f t="shared" si="42"/>
        <v>0</v>
      </c>
      <c r="AI177" s="147">
        <f t="shared" si="42"/>
        <v>0</v>
      </c>
      <c r="AJ177" s="147">
        <f t="shared" si="42"/>
        <v>0</v>
      </c>
      <c r="AK177" s="147">
        <f t="shared" si="41"/>
        <v>0</v>
      </c>
      <c r="AL177" s="147">
        <f t="shared" si="41"/>
        <v>0</v>
      </c>
      <c r="AM177" s="147">
        <f t="shared" si="41"/>
        <v>0</v>
      </c>
      <c r="AN177" s="147">
        <f t="shared" si="41"/>
        <v>0</v>
      </c>
      <c r="AO177" s="147">
        <f t="shared" si="41"/>
        <v>0</v>
      </c>
      <c r="AP177" s="147">
        <f t="shared" si="41"/>
        <v>0</v>
      </c>
      <c r="AQ177" s="147">
        <f t="shared" si="41"/>
        <v>0</v>
      </c>
      <c r="AR177" s="147">
        <f t="shared" si="41"/>
        <v>0</v>
      </c>
      <c r="AS177" s="147">
        <f t="shared" si="41"/>
        <v>0</v>
      </c>
      <c r="AT177" s="147">
        <f t="shared" si="41"/>
        <v>0</v>
      </c>
      <c r="AU177" s="147">
        <f t="shared" si="41"/>
        <v>0</v>
      </c>
      <c r="AV177" s="147">
        <f t="shared" si="41"/>
        <v>0</v>
      </c>
      <c r="AW177" s="147">
        <f t="shared" si="41"/>
        <v>0</v>
      </c>
      <c r="AX177" s="147">
        <f t="shared" si="41"/>
        <v>0</v>
      </c>
      <c r="AY177" s="147">
        <f t="shared" si="41"/>
        <v>0</v>
      </c>
      <c r="AZ177" s="147">
        <f t="shared" si="41"/>
        <v>0</v>
      </c>
      <c r="BA177" s="147">
        <f t="shared" si="41"/>
        <v>0</v>
      </c>
      <c r="BB177" s="147">
        <f t="shared" si="41"/>
        <v>0</v>
      </c>
      <c r="BC177" s="147">
        <f t="shared" si="41"/>
        <v>0</v>
      </c>
      <c r="BD177" s="147">
        <f t="shared" si="41"/>
        <v>0</v>
      </c>
      <c r="BE177" s="147">
        <f t="shared" si="41"/>
        <v>0</v>
      </c>
      <c r="BF177" s="147">
        <f t="shared" si="41"/>
        <v>0</v>
      </c>
      <c r="BG177" s="147">
        <f t="shared" si="41"/>
        <v>0</v>
      </c>
      <c r="BH177" s="147">
        <f t="shared" si="41"/>
        <v>0</v>
      </c>
      <c r="BI177" s="147">
        <f t="shared" si="41"/>
        <v>0</v>
      </c>
      <c r="BJ177" s="147">
        <f t="shared" si="41"/>
        <v>0</v>
      </c>
      <c r="BK177" s="147">
        <f t="shared" si="41"/>
        <v>0</v>
      </c>
      <c r="BL177" s="147">
        <f t="shared" si="41"/>
        <v>0</v>
      </c>
    </row>
    <row r="178" spans="1:64" s="155" customFormat="1" x14ac:dyDescent="0.15">
      <c r="C178" s="84" t="s">
        <v>379</v>
      </c>
      <c r="E178" s="147">
        <f t="shared" si="42"/>
        <v>0</v>
      </c>
      <c r="F178" s="147">
        <f t="shared" si="42"/>
        <v>0</v>
      </c>
      <c r="G178" s="147">
        <f t="shared" si="42"/>
        <v>0</v>
      </c>
      <c r="H178" s="147">
        <f t="shared" si="42"/>
        <v>0</v>
      </c>
      <c r="I178" s="147">
        <f t="shared" si="42"/>
        <v>0</v>
      </c>
      <c r="J178" s="147">
        <f t="shared" si="42"/>
        <v>0</v>
      </c>
      <c r="K178" s="147">
        <f t="shared" si="42"/>
        <v>0</v>
      </c>
      <c r="L178" s="147">
        <f t="shared" si="42"/>
        <v>0.384576707723985</v>
      </c>
      <c r="M178" s="147">
        <f t="shared" si="42"/>
        <v>0.31753661744359829</v>
      </c>
      <c r="N178" s="147">
        <f t="shared" si="42"/>
        <v>0.27195746937797544</v>
      </c>
      <c r="O178" s="147">
        <f t="shared" si="42"/>
        <v>0.23142613523588157</v>
      </c>
      <c r="P178" s="147">
        <f t="shared" si="42"/>
        <v>0.20520693253512257</v>
      </c>
      <c r="Q178" s="147">
        <f t="shared" si="42"/>
        <v>0.18071995278991557</v>
      </c>
      <c r="R178" s="147">
        <f t="shared" si="42"/>
        <v>0.158209260588799</v>
      </c>
      <c r="S178" s="147">
        <f t="shared" si="42"/>
        <v>0.13705190683273097</v>
      </c>
      <c r="T178" s="147">
        <f t="shared" si="42"/>
        <v>0.11717493114152948</v>
      </c>
      <c r="U178" s="147">
        <f t="shared" si="42"/>
        <v>9.8527372643986699E-2</v>
      </c>
      <c r="V178" s="147">
        <f t="shared" si="42"/>
        <v>8.1095369817128143E-2</v>
      </c>
      <c r="W178" s="147">
        <f t="shared" si="42"/>
        <v>6.4855658770818364E-2</v>
      </c>
      <c r="X178" s="147">
        <f t="shared" si="42"/>
        <v>4.9779828056800458E-2</v>
      </c>
      <c r="Y178" s="147">
        <f t="shared" si="42"/>
        <v>3.5834826548366554E-2</v>
      </c>
      <c r="Z178" s="147">
        <f t="shared" si="42"/>
        <v>2.2981523465421934E-2</v>
      </c>
      <c r="AA178" s="147">
        <f t="shared" si="42"/>
        <v>0</v>
      </c>
      <c r="AB178" s="147">
        <f t="shared" si="42"/>
        <v>0</v>
      </c>
      <c r="AC178" s="147">
        <f t="shared" si="42"/>
        <v>0</v>
      </c>
      <c r="AD178" s="147">
        <f t="shared" si="42"/>
        <v>0</v>
      </c>
      <c r="AE178" s="147">
        <f t="shared" si="42"/>
        <v>0</v>
      </c>
      <c r="AF178" s="147">
        <f t="shared" si="42"/>
        <v>0</v>
      </c>
      <c r="AG178" s="147">
        <f t="shared" si="42"/>
        <v>0</v>
      </c>
      <c r="AH178" s="147">
        <f t="shared" si="42"/>
        <v>0</v>
      </c>
      <c r="AI178" s="147">
        <f t="shared" si="42"/>
        <v>0</v>
      </c>
      <c r="AJ178" s="147">
        <f t="shared" si="42"/>
        <v>0</v>
      </c>
      <c r="AK178" s="147">
        <f t="shared" si="41"/>
        <v>0</v>
      </c>
      <c r="AL178" s="147">
        <f t="shared" si="41"/>
        <v>0</v>
      </c>
      <c r="AM178" s="147">
        <f t="shared" si="41"/>
        <v>0</v>
      </c>
      <c r="AN178" s="147">
        <f t="shared" si="41"/>
        <v>0</v>
      </c>
      <c r="AO178" s="147">
        <f t="shared" si="41"/>
        <v>0</v>
      </c>
      <c r="AP178" s="147">
        <f t="shared" si="41"/>
        <v>0</v>
      </c>
      <c r="AQ178" s="147">
        <f t="shared" si="41"/>
        <v>0</v>
      </c>
      <c r="AR178" s="147">
        <f t="shared" si="41"/>
        <v>0</v>
      </c>
      <c r="AS178" s="147">
        <f t="shared" si="41"/>
        <v>0</v>
      </c>
      <c r="AT178" s="147">
        <f t="shared" si="41"/>
        <v>0</v>
      </c>
      <c r="AU178" s="147">
        <f t="shared" si="41"/>
        <v>0</v>
      </c>
      <c r="AV178" s="147">
        <f t="shared" si="41"/>
        <v>0</v>
      </c>
      <c r="AW178" s="147">
        <f t="shared" si="41"/>
        <v>0</v>
      </c>
      <c r="AX178" s="147">
        <f t="shared" si="41"/>
        <v>0</v>
      </c>
      <c r="AY178" s="147">
        <f t="shared" si="41"/>
        <v>0</v>
      </c>
      <c r="AZ178" s="147">
        <f t="shared" si="41"/>
        <v>0</v>
      </c>
      <c r="BA178" s="147">
        <f t="shared" si="41"/>
        <v>0</v>
      </c>
      <c r="BB178" s="147">
        <f t="shared" si="41"/>
        <v>0</v>
      </c>
      <c r="BC178" s="147">
        <f t="shared" si="41"/>
        <v>0</v>
      </c>
      <c r="BD178" s="147">
        <f t="shared" si="41"/>
        <v>0</v>
      </c>
      <c r="BE178" s="147">
        <f t="shared" si="41"/>
        <v>0</v>
      </c>
      <c r="BF178" s="147">
        <f t="shared" si="41"/>
        <v>0</v>
      </c>
      <c r="BG178" s="147">
        <f t="shared" si="41"/>
        <v>0</v>
      </c>
      <c r="BH178" s="147">
        <f t="shared" si="41"/>
        <v>0</v>
      </c>
      <c r="BI178" s="147">
        <f t="shared" si="41"/>
        <v>0</v>
      </c>
      <c r="BJ178" s="147">
        <f t="shared" si="41"/>
        <v>0</v>
      </c>
      <c r="BK178" s="147">
        <f t="shared" si="41"/>
        <v>0</v>
      </c>
      <c r="BL178" s="147">
        <f t="shared" si="41"/>
        <v>0</v>
      </c>
    </row>
    <row r="179" spans="1:64" s="155" customFormat="1" x14ac:dyDescent="0.15">
      <c r="C179" s="84" t="s">
        <v>417</v>
      </c>
      <c r="E179" s="147">
        <f t="shared" ref="E179:BL179" si="43">IF(E5&gt;$D$7,0,D179+D178)</f>
        <v>0</v>
      </c>
      <c r="F179" s="147">
        <f t="shared" si="43"/>
        <v>0</v>
      </c>
      <c r="G179" s="147">
        <f t="shared" si="43"/>
        <v>0</v>
      </c>
      <c r="H179" s="147">
        <f t="shared" si="43"/>
        <v>0</v>
      </c>
      <c r="I179" s="147">
        <f t="shared" si="43"/>
        <v>0</v>
      </c>
      <c r="J179" s="147">
        <f t="shared" si="43"/>
        <v>0</v>
      </c>
      <c r="K179" s="147">
        <f t="shared" si="43"/>
        <v>0</v>
      </c>
      <c r="L179" s="147">
        <f t="shared" si="43"/>
        <v>0</v>
      </c>
      <c r="M179" s="147">
        <f t="shared" si="43"/>
        <v>0.384576707723985</v>
      </c>
      <c r="N179" s="147">
        <f t="shared" si="43"/>
        <v>0.70211332516758329</v>
      </c>
      <c r="O179" s="147">
        <f t="shared" si="43"/>
        <v>0.97407079454555867</v>
      </c>
      <c r="P179" s="147">
        <f t="shared" si="43"/>
        <v>1.2054969297814402</v>
      </c>
      <c r="Q179" s="147">
        <f t="shared" si="43"/>
        <v>1.4107038623165629</v>
      </c>
      <c r="R179" s="147">
        <f t="shared" si="43"/>
        <v>1.5914238151064783</v>
      </c>
      <c r="S179" s="147">
        <f t="shared" si="43"/>
        <v>1.7496330756952774</v>
      </c>
      <c r="T179" s="147">
        <f t="shared" si="43"/>
        <v>1.8866849825280083</v>
      </c>
      <c r="U179" s="147">
        <f t="shared" si="43"/>
        <v>2.0038599136695376</v>
      </c>
      <c r="V179" s="147">
        <f t="shared" si="43"/>
        <v>2.1023872863135242</v>
      </c>
      <c r="W179" s="147">
        <f t="shared" si="43"/>
        <v>2.1834826561306522</v>
      </c>
      <c r="X179" s="147">
        <f t="shared" si="43"/>
        <v>2.2483383149014706</v>
      </c>
      <c r="Y179" s="147">
        <f t="shared" si="43"/>
        <v>2.2981181429582711</v>
      </c>
      <c r="Z179" s="147">
        <f t="shared" si="43"/>
        <v>2.3339529695066377</v>
      </c>
      <c r="AA179" s="147">
        <f t="shared" si="43"/>
        <v>0</v>
      </c>
      <c r="AB179" s="147">
        <f t="shared" si="43"/>
        <v>0</v>
      </c>
      <c r="AC179" s="147">
        <f t="shared" si="43"/>
        <v>0</v>
      </c>
      <c r="AD179" s="147">
        <f t="shared" si="43"/>
        <v>0</v>
      </c>
      <c r="AE179" s="147">
        <f t="shared" si="43"/>
        <v>0</v>
      </c>
      <c r="AF179" s="147">
        <f t="shared" si="43"/>
        <v>0</v>
      </c>
      <c r="AG179" s="147">
        <f t="shared" si="43"/>
        <v>0</v>
      </c>
      <c r="AH179" s="147">
        <f t="shared" si="43"/>
        <v>0</v>
      </c>
      <c r="AI179" s="147">
        <f t="shared" si="43"/>
        <v>0</v>
      </c>
      <c r="AJ179" s="147">
        <f t="shared" si="43"/>
        <v>0</v>
      </c>
      <c r="AK179" s="147">
        <f t="shared" si="43"/>
        <v>0</v>
      </c>
      <c r="AL179" s="147">
        <f t="shared" si="43"/>
        <v>0</v>
      </c>
      <c r="AM179" s="147">
        <f t="shared" si="43"/>
        <v>0</v>
      </c>
      <c r="AN179" s="147">
        <f t="shared" si="43"/>
        <v>0</v>
      </c>
      <c r="AO179" s="147">
        <f t="shared" si="43"/>
        <v>0</v>
      </c>
      <c r="AP179" s="147">
        <f t="shared" si="43"/>
        <v>0</v>
      </c>
      <c r="AQ179" s="147">
        <f t="shared" si="43"/>
        <v>0</v>
      </c>
      <c r="AR179" s="147">
        <f t="shared" si="43"/>
        <v>0</v>
      </c>
      <c r="AS179" s="147">
        <f t="shared" si="43"/>
        <v>0</v>
      </c>
      <c r="AT179" s="147">
        <f t="shared" si="43"/>
        <v>0</v>
      </c>
      <c r="AU179" s="147">
        <f t="shared" si="43"/>
        <v>0</v>
      </c>
      <c r="AV179" s="147">
        <f t="shared" si="43"/>
        <v>0</v>
      </c>
      <c r="AW179" s="147">
        <f t="shared" si="43"/>
        <v>0</v>
      </c>
      <c r="AX179" s="147">
        <f t="shared" si="43"/>
        <v>0</v>
      </c>
      <c r="AY179" s="147">
        <f t="shared" si="43"/>
        <v>0</v>
      </c>
      <c r="AZ179" s="147">
        <f t="shared" si="43"/>
        <v>0</v>
      </c>
      <c r="BA179" s="147">
        <f t="shared" si="43"/>
        <v>0</v>
      </c>
      <c r="BB179" s="147">
        <f t="shared" si="43"/>
        <v>0</v>
      </c>
      <c r="BC179" s="147">
        <f t="shared" si="43"/>
        <v>0</v>
      </c>
      <c r="BD179" s="147">
        <f t="shared" si="43"/>
        <v>0</v>
      </c>
      <c r="BE179" s="147">
        <f t="shared" si="43"/>
        <v>0</v>
      </c>
      <c r="BF179" s="147">
        <f t="shared" si="43"/>
        <v>0</v>
      </c>
      <c r="BG179" s="147">
        <f t="shared" si="43"/>
        <v>0</v>
      </c>
      <c r="BH179" s="147">
        <f t="shared" si="43"/>
        <v>0</v>
      </c>
      <c r="BI179" s="147">
        <f t="shared" si="43"/>
        <v>0</v>
      </c>
      <c r="BJ179" s="147">
        <f t="shared" si="43"/>
        <v>0</v>
      </c>
      <c r="BK179" s="147">
        <f t="shared" si="43"/>
        <v>0</v>
      </c>
      <c r="BL179" s="147">
        <f t="shared" si="43"/>
        <v>0</v>
      </c>
    </row>
    <row r="180" spans="1:64" x14ac:dyDescent="0.15">
      <c r="C180" s="84" t="s">
        <v>413</v>
      </c>
      <c r="E180" s="140">
        <f t="shared" ref="E180:BL180" si="44">IF(E$5&gt;$D$7,0,IF(E$5=$D$7,E44,SUM(E170:E179)))</f>
        <v>0.13454080546486352</v>
      </c>
      <c r="F180" s="140">
        <f t="shared" si="44"/>
        <v>0.14253924330046844</v>
      </c>
      <c r="G180" s="140">
        <f t="shared" si="44"/>
        <v>0.1468129985115918</v>
      </c>
      <c r="H180" s="140">
        <f t="shared" si="44"/>
        <v>0.21628255738711985</v>
      </c>
      <c r="I180" s="140">
        <f t="shared" si="44"/>
        <v>0.270528274383252</v>
      </c>
      <c r="J180" s="140">
        <f t="shared" si="44"/>
        <v>0.31222693010007907</v>
      </c>
      <c r="K180" s="140">
        <f t="shared" si="44"/>
        <v>0.4623891311766104</v>
      </c>
      <c r="L180" s="140">
        <f t="shared" si="44"/>
        <v>0.77655605204936118</v>
      </c>
      <c r="M180" s="140">
        <f t="shared" si="44"/>
        <v>1.0400287943998237</v>
      </c>
      <c r="N180" s="140">
        <f t="shared" si="44"/>
        <v>1.2650413905326707</v>
      </c>
      <c r="O180" s="140">
        <f t="shared" si="44"/>
        <v>1.4586029657523154</v>
      </c>
      <c r="P180" s="140">
        <f t="shared" si="44"/>
        <v>1.6284893318809688</v>
      </c>
      <c r="Q180" s="140">
        <f t="shared" si="44"/>
        <v>1.7763820987113963</v>
      </c>
      <c r="R180" s="140">
        <f t="shared" si="44"/>
        <v>1.9038911180728328</v>
      </c>
      <c r="S180" s="140">
        <f t="shared" si="44"/>
        <v>2.0126050117114676</v>
      </c>
      <c r="T180" s="140">
        <f t="shared" si="44"/>
        <v>2.1028128323572224</v>
      </c>
      <c r="U180" s="140">
        <f t="shared" si="44"/>
        <v>2.1793773901017954</v>
      </c>
      <c r="V180" s="140">
        <f t="shared" si="44"/>
        <v>2.2412603191959701</v>
      </c>
      <c r="W180" s="140">
        <f t="shared" si="44"/>
        <v>2.2892839913732277</v>
      </c>
      <c r="X180" s="140">
        <f t="shared" si="44"/>
        <v>2.3239882155040137</v>
      </c>
      <c r="Y180" s="140">
        <f t="shared" si="44"/>
        <v>2.3482633487821345</v>
      </c>
      <c r="Z180" s="140">
        <f t="shared" si="44"/>
        <v>2.3669205314265733</v>
      </c>
      <c r="AA180" s="140">
        <f t="shared" si="44"/>
        <v>0</v>
      </c>
      <c r="AB180" s="140">
        <f t="shared" si="44"/>
        <v>0</v>
      </c>
      <c r="AC180" s="140">
        <f t="shared" si="44"/>
        <v>0</v>
      </c>
      <c r="AD180" s="140">
        <f t="shared" si="44"/>
        <v>0</v>
      </c>
      <c r="AE180" s="140">
        <f t="shared" si="44"/>
        <v>0</v>
      </c>
      <c r="AF180" s="140">
        <f t="shared" si="44"/>
        <v>0</v>
      </c>
      <c r="AG180" s="140">
        <f t="shared" si="44"/>
        <v>0</v>
      </c>
      <c r="AH180" s="140">
        <f t="shared" si="44"/>
        <v>0</v>
      </c>
      <c r="AI180" s="140">
        <f t="shared" si="44"/>
        <v>0</v>
      </c>
      <c r="AJ180" s="140">
        <f t="shared" si="44"/>
        <v>0</v>
      </c>
      <c r="AK180" s="140">
        <f t="shared" si="44"/>
        <v>0</v>
      </c>
      <c r="AL180" s="140">
        <f t="shared" si="44"/>
        <v>0</v>
      </c>
      <c r="AM180" s="140">
        <f t="shared" si="44"/>
        <v>0</v>
      </c>
      <c r="AN180" s="140">
        <f t="shared" si="44"/>
        <v>0</v>
      </c>
      <c r="AO180" s="140">
        <f t="shared" si="44"/>
        <v>0</v>
      </c>
      <c r="AP180" s="140">
        <f t="shared" si="44"/>
        <v>0</v>
      </c>
      <c r="AQ180" s="140">
        <f t="shared" si="44"/>
        <v>0</v>
      </c>
      <c r="AR180" s="140">
        <f t="shared" si="44"/>
        <v>0</v>
      </c>
      <c r="AS180" s="140">
        <f t="shared" si="44"/>
        <v>0</v>
      </c>
      <c r="AT180" s="140">
        <f t="shared" si="44"/>
        <v>0</v>
      </c>
      <c r="AU180" s="140">
        <f t="shared" si="44"/>
        <v>0</v>
      </c>
      <c r="AV180" s="140">
        <f t="shared" si="44"/>
        <v>0</v>
      </c>
      <c r="AW180" s="140">
        <f t="shared" si="44"/>
        <v>0</v>
      </c>
      <c r="AX180" s="140">
        <f t="shared" si="44"/>
        <v>0</v>
      </c>
      <c r="AY180" s="140">
        <f t="shared" si="44"/>
        <v>0</v>
      </c>
      <c r="AZ180" s="140">
        <f t="shared" si="44"/>
        <v>0</v>
      </c>
      <c r="BA180" s="140">
        <f t="shared" si="44"/>
        <v>0</v>
      </c>
      <c r="BB180" s="140">
        <f t="shared" si="44"/>
        <v>0</v>
      </c>
      <c r="BC180" s="140">
        <f t="shared" si="44"/>
        <v>0</v>
      </c>
      <c r="BD180" s="140">
        <f t="shared" si="44"/>
        <v>0</v>
      </c>
      <c r="BE180" s="140">
        <f t="shared" si="44"/>
        <v>0</v>
      </c>
      <c r="BF180" s="140">
        <f t="shared" si="44"/>
        <v>0</v>
      </c>
      <c r="BG180" s="140">
        <f t="shared" si="44"/>
        <v>0</v>
      </c>
      <c r="BH180" s="140">
        <f t="shared" si="44"/>
        <v>0</v>
      </c>
      <c r="BI180" s="140">
        <f t="shared" si="44"/>
        <v>0</v>
      </c>
      <c r="BJ180" s="140">
        <f t="shared" si="44"/>
        <v>0</v>
      </c>
      <c r="BK180" s="140">
        <f t="shared" si="44"/>
        <v>0</v>
      </c>
      <c r="BL180" s="140">
        <f t="shared" si="44"/>
        <v>0</v>
      </c>
    </row>
    <row r="181" spans="1:64" x14ac:dyDescent="0.15">
      <c r="C181" s="155" t="s">
        <v>412</v>
      </c>
      <c r="D181" s="299"/>
      <c r="E181" s="299">
        <f t="shared" ref="E181:BL181" si="45">-IF(E$5&gt;$D$7,0,E180-D180)</f>
        <v>-0.13454080546486352</v>
      </c>
      <c r="F181" s="299">
        <f t="shared" si="45"/>
        <v>-7.9984378356049157E-3</v>
      </c>
      <c r="G181" s="299">
        <f t="shared" si="45"/>
        <v>-4.273755211123359E-3</v>
      </c>
      <c r="H181" s="299">
        <f t="shared" si="45"/>
        <v>-6.9469558875528054E-2</v>
      </c>
      <c r="I181" s="299">
        <f t="shared" si="45"/>
        <v>-5.4245716996132148E-2</v>
      </c>
      <c r="J181" s="299">
        <f t="shared" si="45"/>
        <v>-4.1698655716827071E-2</v>
      </c>
      <c r="K181" s="299">
        <f t="shared" si="45"/>
        <v>-0.15016220107653133</v>
      </c>
      <c r="L181" s="299">
        <f t="shared" si="45"/>
        <v>-0.31416692087275078</v>
      </c>
      <c r="M181" s="299">
        <f t="shared" si="45"/>
        <v>-0.26347274235046247</v>
      </c>
      <c r="N181" s="299">
        <f t="shared" si="45"/>
        <v>-0.22501259613284708</v>
      </c>
      <c r="O181" s="299">
        <f t="shared" si="45"/>
        <v>-0.19356157521964468</v>
      </c>
      <c r="P181" s="299">
        <f t="shared" si="45"/>
        <v>-0.16988636612865338</v>
      </c>
      <c r="Q181" s="299">
        <f t="shared" si="45"/>
        <v>-0.14789276683042751</v>
      </c>
      <c r="R181" s="299">
        <f t="shared" si="45"/>
        <v>-0.12750901936143655</v>
      </c>
      <c r="S181" s="299">
        <f t="shared" si="45"/>
        <v>-0.10871389363863471</v>
      </c>
      <c r="T181" s="299">
        <f t="shared" si="45"/>
        <v>-9.0207820645754833E-2</v>
      </c>
      <c r="U181" s="299">
        <f t="shared" si="45"/>
        <v>-7.6564557744573047E-2</v>
      </c>
      <c r="V181" s="299">
        <f t="shared" si="45"/>
        <v>-6.1882929094174699E-2</v>
      </c>
      <c r="W181" s="299">
        <f t="shared" si="45"/>
        <v>-4.8023672177257559E-2</v>
      </c>
      <c r="X181" s="299">
        <f t="shared" si="45"/>
        <v>-3.4704224130785999E-2</v>
      </c>
      <c r="Y181" s="299">
        <f t="shared" si="45"/>
        <v>-2.4275133278120808E-2</v>
      </c>
      <c r="Z181" s="299">
        <f t="shared" si="45"/>
        <v>-1.865718264443883E-2</v>
      </c>
      <c r="AA181" s="299">
        <f t="shared" si="45"/>
        <v>0</v>
      </c>
      <c r="AB181" s="299">
        <f t="shared" si="45"/>
        <v>0</v>
      </c>
      <c r="AC181" s="299">
        <f t="shared" si="45"/>
        <v>0</v>
      </c>
      <c r="AD181" s="299">
        <f t="shared" si="45"/>
        <v>0</v>
      </c>
      <c r="AE181" s="299">
        <f t="shared" si="45"/>
        <v>0</v>
      </c>
      <c r="AF181" s="299">
        <f t="shared" si="45"/>
        <v>0</v>
      </c>
      <c r="AG181" s="299">
        <f t="shared" si="45"/>
        <v>0</v>
      </c>
      <c r="AH181" s="299">
        <f t="shared" si="45"/>
        <v>0</v>
      </c>
      <c r="AI181" s="299">
        <f t="shared" si="45"/>
        <v>0</v>
      </c>
      <c r="AJ181" s="299">
        <f t="shared" si="45"/>
        <v>0</v>
      </c>
      <c r="AK181" s="299">
        <f t="shared" si="45"/>
        <v>0</v>
      </c>
      <c r="AL181" s="299">
        <f t="shared" si="45"/>
        <v>0</v>
      </c>
      <c r="AM181" s="299">
        <f t="shared" si="45"/>
        <v>0</v>
      </c>
      <c r="AN181" s="299">
        <f t="shared" si="45"/>
        <v>0</v>
      </c>
      <c r="AO181" s="299">
        <f t="shared" si="45"/>
        <v>0</v>
      </c>
      <c r="AP181" s="299">
        <f t="shared" si="45"/>
        <v>0</v>
      </c>
      <c r="AQ181" s="299">
        <f t="shared" si="45"/>
        <v>0</v>
      </c>
      <c r="AR181" s="299">
        <f t="shared" si="45"/>
        <v>0</v>
      </c>
      <c r="AS181" s="299">
        <f t="shared" si="45"/>
        <v>0</v>
      </c>
      <c r="AT181" s="299">
        <f t="shared" si="45"/>
        <v>0</v>
      </c>
      <c r="AU181" s="299">
        <f t="shared" si="45"/>
        <v>0</v>
      </c>
      <c r="AV181" s="299">
        <f t="shared" si="45"/>
        <v>0</v>
      </c>
      <c r="AW181" s="299">
        <f t="shared" si="45"/>
        <v>0</v>
      </c>
      <c r="AX181" s="299">
        <f t="shared" si="45"/>
        <v>0</v>
      </c>
      <c r="AY181" s="299">
        <f t="shared" si="45"/>
        <v>0</v>
      </c>
      <c r="AZ181" s="299">
        <f t="shared" si="45"/>
        <v>0</v>
      </c>
      <c r="BA181" s="299">
        <f t="shared" si="45"/>
        <v>0</v>
      </c>
      <c r="BB181" s="299">
        <f t="shared" si="45"/>
        <v>0</v>
      </c>
      <c r="BC181" s="299">
        <f t="shared" si="45"/>
        <v>0</v>
      </c>
      <c r="BD181" s="299">
        <f t="shared" si="45"/>
        <v>0</v>
      </c>
      <c r="BE181" s="299">
        <f t="shared" si="45"/>
        <v>0</v>
      </c>
      <c r="BF181" s="299">
        <f t="shared" si="45"/>
        <v>0</v>
      </c>
      <c r="BG181" s="299">
        <f t="shared" si="45"/>
        <v>0</v>
      </c>
      <c r="BH181" s="299">
        <f t="shared" si="45"/>
        <v>0</v>
      </c>
      <c r="BI181" s="299">
        <f t="shared" si="45"/>
        <v>0</v>
      </c>
      <c r="BJ181" s="299">
        <f t="shared" si="45"/>
        <v>0</v>
      </c>
      <c r="BK181" s="299">
        <f t="shared" si="45"/>
        <v>0</v>
      </c>
      <c r="BL181" s="299">
        <f t="shared" si="45"/>
        <v>0</v>
      </c>
    </row>
    <row r="183" spans="1:64" x14ac:dyDescent="0.15">
      <c r="B183" s="155" t="s">
        <v>412</v>
      </c>
      <c r="C183" s="155"/>
      <c r="D183" s="147"/>
      <c r="E183" s="299" cm="1">
        <f t="array" ref="E183">_xlfn.IFS(Leadsheet!$G$4="IFRS",SAP_Speadsheet!E146,AND(Leadsheet!$G$4="VAS",Leadsheet!$G$5="DPD360+"),SAP_Speadsheet!E166,AND(Leadsheet!$G$4="VAS",Leadsheet!$G$5="DPD180+"),SAP_Speadsheet!E181)</f>
        <v>-0.65356099508342291</v>
      </c>
      <c r="F183" s="299" cm="1">
        <f t="array" ref="F183">_xlfn.IFS(Leadsheet!$G$4="IFRS",SAP_Speadsheet!F146,AND(Leadsheet!$G$4="VAS",Leadsheet!$G$5="DPD360+"),SAP_Speadsheet!F166,AND(Leadsheet!$G$4="VAS",Leadsheet!$G$5="DPD180+"),SAP_Speadsheet!F181)</f>
        <v>-0.25315114802103389</v>
      </c>
      <c r="G183" s="299" cm="1">
        <f t="array" ref="G183">_xlfn.IFS(Leadsheet!$G$4="IFRS",SAP_Speadsheet!G146,AND(Leadsheet!$G$4="VAS",Leadsheet!$G$5="DPD360+"),SAP_Speadsheet!G166,AND(Leadsheet!$G$4="VAS",Leadsheet!$G$5="DPD180+"),SAP_Speadsheet!G181)</f>
        <v>-0.21542262454137628</v>
      </c>
      <c r="H183" s="299" cm="1">
        <f t="array" ref="H183">_xlfn.IFS(Leadsheet!$G$4="IFRS",SAP_Speadsheet!H146,AND(Leadsheet!$G$4="VAS",Leadsheet!$G$5="DPD360+"),SAP_Speadsheet!H166,AND(Leadsheet!$G$4="VAS",Leadsheet!$G$5="DPD180+"),SAP_Speadsheet!H181)</f>
        <v>-0.19101652428211713</v>
      </c>
      <c r="I183" s="299" cm="1">
        <f t="array" ref="I183">_xlfn.IFS(Leadsheet!$G$4="IFRS",SAP_Speadsheet!I146,AND(Leadsheet!$G$4="VAS",Leadsheet!$G$5="DPD360+"),SAP_Speadsheet!I166,AND(Leadsheet!$G$4="VAS",Leadsheet!$G$5="DPD180+"),SAP_Speadsheet!I181)</f>
        <v>-0.16822286081611537</v>
      </c>
      <c r="J183" s="299" cm="1">
        <f t="array" ref="J183">_xlfn.IFS(Leadsheet!$G$4="IFRS",SAP_Speadsheet!J146,AND(Leadsheet!$G$4="VAS",Leadsheet!$G$5="DPD360+"),SAP_Speadsheet!J166,AND(Leadsheet!$G$4="VAS",Leadsheet!$G$5="DPD180+"),SAP_Speadsheet!J181)</f>
        <v>-0.14726882125068386</v>
      </c>
      <c r="K183" s="299" cm="1">
        <f t="array" ref="K183">_xlfn.IFS(Leadsheet!$G$4="IFRS",SAP_Speadsheet!K146,AND(Leadsheet!$G$4="VAS",Leadsheet!$G$5="DPD360+"),SAP_Speadsheet!K166,AND(Leadsheet!$G$4="VAS",Leadsheet!$G$5="DPD180+"),SAP_Speadsheet!K181)</f>
        <v>-0.12757453447604195</v>
      </c>
      <c r="L183" s="299" cm="1">
        <f t="array" ref="L183">_xlfn.IFS(Leadsheet!$G$4="IFRS",SAP_Speadsheet!L146,AND(Leadsheet!$G$4="VAS",Leadsheet!$G$5="DPD360+"),SAP_Speadsheet!L166,AND(Leadsheet!$G$4="VAS",Leadsheet!$G$5="DPD180+"),SAP_Speadsheet!L181)</f>
        <v>-0.11637785227437014</v>
      </c>
      <c r="M183" s="299" cm="1">
        <f t="array" ref="M183">_xlfn.IFS(Leadsheet!$G$4="IFRS",SAP_Speadsheet!M146,AND(Leadsheet!$G$4="VAS",Leadsheet!$G$5="DPD360+"),SAP_Speadsheet!M166,AND(Leadsheet!$G$4="VAS",Leadsheet!$G$5="DPD180+"),SAP_Speadsheet!M181)</f>
        <v>-9.7746249984703271E-2</v>
      </c>
      <c r="N183" s="299" cm="1">
        <f t="array" ref="N183">_xlfn.IFS(Leadsheet!$G$4="IFRS",SAP_Speadsheet!N146,AND(Leadsheet!$G$4="VAS",Leadsheet!$G$5="DPD360+"),SAP_Speadsheet!N166,AND(Leadsheet!$G$4="VAS",Leadsheet!$G$5="DPD180+"),SAP_Speadsheet!N181)</f>
        <v>-8.0653837085270297E-2</v>
      </c>
      <c r="O183" s="299" cm="1">
        <f t="array" ref="O183">_xlfn.IFS(Leadsheet!$G$4="IFRS",SAP_Speadsheet!O146,AND(Leadsheet!$G$4="VAS",Leadsheet!$G$5="DPD360+"),SAP_Speadsheet!O166,AND(Leadsheet!$G$4="VAS",Leadsheet!$G$5="DPD180+"),SAP_Speadsheet!O181)</f>
        <v>-6.4767159799689278E-2</v>
      </c>
      <c r="P183" s="299" cm="1">
        <f t="array" ref="P183">_xlfn.IFS(Leadsheet!$G$4="IFRS",SAP_Speadsheet!P146,AND(Leadsheet!$G$4="VAS",Leadsheet!$G$5="DPD360+"),SAP_Speadsheet!P166,AND(Leadsheet!$G$4="VAS",Leadsheet!$G$5="DPD180+"),SAP_Speadsheet!P181)</f>
        <v>-5.0235764730903298E-2</v>
      </c>
      <c r="Q183" s="299" cm="1">
        <f t="array" ref="Q183">_xlfn.IFS(Leadsheet!$G$4="IFRS",SAP_Speadsheet!Q146,AND(Leadsheet!$G$4="VAS",Leadsheet!$G$5="DPD360+"),SAP_Speadsheet!Q166,AND(Leadsheet!$G$4="VAS",Leadsheet!$G$5="DPD180+"),SAP_Speadsheet!Q181)</f>
        <v>-3.6789906978967224E-2</v>
      </c>
      <c r="R183" s="299" cm="1">
        <f t="array" ref="R183">_xlfn.IFS(Leadsheet!$G$4="IFRS",SAP_Speadsheet!R146,AND(Leadsheet!$G$4="VAS",Leadsheet!$G$5="DPD360+"),SAP_Speadsheet!R166,AND(Leadsheet!$G$4="VAS",Leadsheet!$G$5="DPD180+"),SAP_Speadsheet!R181)</f>
        <v>-3.1852662305572377E-2</v>
      </c>
      <c r="S183" s="299" cm="1">
        <f t="array" ref="S183">_xlfn.IFS(Leadsheet!$G$4="IFRS",SAP_Speadsheet!S146,AND(Leadsheet!$G$4="VAS",Leadsheet!$G$5="DPD360+"),SAP_Speadsheet!S166,AND(Leadsheet!$G$4="VAS",Leadsheet!$G$5="DPD180+"),SAP_Speadsheet!S181)</f>
        <v>-2.0169583829150461E-2</v>
      </c>
      <c r="T183" s="299" cm="1">
        <f t="array" ref="T183">_xlfn.IFS(Leadsheet!$G$4="IFRS",SAP_Speadsheet!T146,AND(Leadsheet!$G$4="VAS",Leadsheet!$G$5="DPD360+"),SAP_Speadsheet!T166,AND(Leadsheet!$G$4="VAS",Leadsheet!$G$5="DPD180+"),SAP_Speadsheet!T181)</f>
        <v>-7.4977466005505811E-3</v>
      </c>
      <c r="U183" s="299" cm="1">
        <f t="array" ref="U183">_xlfn.IFS(Leadsheet!$G$4="IFRS",SAP_Speadsheet!U146,AND(Leadsheet!$G$4="VAS",Leadsheet!$G$5="DPD360+"),SAP_Speadsheet!U166,AND(Leadsheet!$G$4="VAS",Leadsheet!$G$5="DPD180+"),SAP_Speadsheet!U181)</f>
        <v>-6.3578171827609609E-3</v>
      </c>
      <c r="V183" s="299" cm="1">
        <f t="array" ref="V183">_xlfn.IFS(Leadsheet!$G$4="IFRS",SAP_Speadsheet!V146,AND(Leadsheet!$G$4="VAS",Leadsheet!$G$5="DPD360+"),SAP_Speadsheet!V166,AND(Leadsheet!$G$4="VAS",Leadsheet!$G$5="DPD180+"),SAP_Speadsheet!V181)</f>
        <v>-5.5184144453410688E-3</v>
      </c>
      <c r="W183" s="299" cm="1">
        <f t="array" ref="W183">_xlfn.IFS(Leadsheet!$G$4="IFRS",SAP_Speadsheet!W146,AND(Leadsheet!$G$4="VAS",Leadsheet!$G$5="DPD360+"),SAP_Speadsheet!W166,AND(Leadsheet!$G$4="VAS",Leadsheet!$G$5="DPD180+"),SAP_Speadsheet!W181)</f>
        <v>-4.735240002685881E-3</v>
      </c>
      <c r="X183" s="299" cm="1">
        <f t="array" ref="X183">_xlfn.IFS(Leadsheet!$G$4="IFRS",SAP_Speadsheet!X146,AND(Leadsheet!$G$4="VAS",Leadsheet!$G$5="DPD360+"),SAP_Speadsheet!X166,AND(Leadsheet!$G$4="VAS",Leadsheet!$G$5="DPD180+"),SAP_Speadsheet!X181)</f>
        <v>-4.012485218686912E-3</v>
      </c>
      <c r="Y183" s="299" cm="1">
        <f t="array" ref="Y183">_xlfn.IFS(Leadsheet!$G$4="IFRS",SAP_Speadsheet!Y146,AND(Leadsheet!$G$4="VAS",Leadsheet!$G$5="DPD360+"),SAP_Speadsheet!Y166,AND(Leadsheet!$G$4="VAS",Leadsheet!$G$5="DPD180+"),SAP_Speadsheet!Y181)</f>
        <v>-3.3374466076443454E-3</v>
      </c>
      <c r="Z183" s="299" cm="1">
        <f t="array" ref="Z183">_xlfn.IFS(Leadsheet!$G$4="IFRS",SAP_Speadsheet!Z146,AND(Leadsheet!$G$4="VAS",Leadsheet!$G$5="DPD360+"),SAP_Speadsheet!Z166,AND(Leadsheet!$G$4="VAS",Leadsheet!$G$5="DPD180+"),SAP_Speadsheet!Z181)</f>
        <v>-2.7079664983915563E-3</v>
      </c>
      <c r="AA183" s="299" cm="1">
        <f t="array" ref="AA183">_xlfn.IFS(Leadsheet!$G$4="IFRS",SAP_Speadsheet!AA146,AND(Leadsheet!$G$4="VAS",Leadsheet!$G$5="DPD360+"),SAP_Speadsheet!AA166,AND(Leadsheet!$G$4="VAS",Leadsheet!$G$5="DPD180+"),SAP_Speadsheet!AA181)</f>
        <v>0</v>
      </c>
      <c r="AB183" s="299" cm="1">
        <f t="array" ref="AB183">_xlfn.IFS(Leadsheet!$G$4="IFRS",SAP_Speadsheet!AB146,AND(Leadsheet!$G$4="VAS",Leadsheet!$G$5="DPD360+"),SAP_Speadsheet!AB166,AND(Leadsheet!$G$4="VAS",Leadsheet!$G$5="DPD180+"),SAP_Speadsheet!AB181)</f>
        <v>0</v>
      </c>
      <c r="AC183" s="299" cm="1">
        <f t="array" ref="AC183">_xlfn.IFS(Leadsheet!$G$4="IFRS",SAP_Speadsheet!AC146,AND(Leadsheet!$G$4="VAS",Leadsheet!$G$5="DPD360+"),SAP_Speadsheet!AC166,AND(Leadsheet!$G$4="VAS",Leadsheet!$G$5="DPD180+"),SAP_Speadsheet!AC181)</f>
        <v>0</v>
      </c>
      <c r="AD183" s="299" cm="1">
        <f t="array" ref="AD183">_xlfn.IFS(Leadsheet!$G$4="IFRS",SAP_Speadsheet!AD146,AND(Leadsheet!$G$4="VAS",Leadsheet!$G$5="DPD360+"),SAP_Speadsheet!AD166,AND(Leadsheet!$G$4="VAS",Leadsheet!$G$5="DPD180+"),SAP_Speadsheet!AD181)</f>
        <v>0</v>
      </c>
      <c r="AE183" s="299" cm="1">
        <f t="array" ref="AE183">_xlfn.IFS(Leadsheet!$G$4="IFRS",SAP_Speadsheet!AE146,AND(Leadsheet!$G$4="VAS",Leadsheet!$G$5="DPD360+"),SAP_Speadsheet!AE166,AND(Leadsheet!$G$4="VAS",Leadsheet!$G$5="DPD180+"),SAP_Speadsheet!AE181)</f>
        <v>0</v>
      </c>
      <c r="AF183" s="299" cm="1">
        <f t="array" ref="AF183">_xlfn.IFS(Leadsheet!$G$4="IFRS",SAP_Speadsheet!AF146,AND(Leadsheet!$G$4="VAS",Leadsheet!$G$5="DPD360+"),SAP_Speadsheet!AF166,AND(Leadsheet!$G$4="VAS",Leadsheet!$G$5="DPD180+"),SAP_Speadsheet!AF181)</f>
        <v>0</v>
      </c>
      <c r="AG183" s="299" cm="1">
        <f t="array" ref="AG183">_xlfn.IFS(Leadsheet!$G$4="IFRS",SAP_Speadsheet!AG146,AND(Leadsheet!$G$4="VAS",Leadsheet!$G$5="DPD360+"),SAP_Speadsheet!AG166,AND(Leadsheet!$G$4="VAS",Leadsheet!$G$5="DPD180+"),SAP_Speadsheet!AG181)</f>
        <v>0</v>
      </c>
      <c r="AH183" s="299" cm="1">
        <f t="array" ref="AH183">_xlfn.IFS(Leadsheet!$G$4="IFRS",SAP_Speadsheet!AH146,AND(Leadsheet!$G$4="VAS",Leadsheet!$G$5="DPD360+"),SAP_Speadsheet!AH166,AND(Leadsheet!$G$4="VAS",Leadsheet!$G$5="DPD180+"),SAP_Speadsheet!AH181)</f>
        <v>0</v>
      </c>
      <c r="AI183" s="299" cm="1">
        <f t="array" ref="AI183">_xlfn.IFS(Leadsheet!$G$4="IFRS",SAP_Speadsheet!AI146,AND(Leadsheet!$G$4="VAS",Leadsheet!$G$5="DPD360+"),SAP_Speadsheet!AI166,AND(Leadsheet!$G$4="VAS",Leadsheet!$G$5="DPD180+"),SAP_Speadsheet!AI181)</f>
        <v>0</v>
      </c>
      <c r="AJ183" s="299" cm="1">
        <f t="array" ref="AJ183">_xlfn.IFS(Leadsheet!$G$4="IFRS",SAP_Speadsheet!AJ146,AND(Leadsheet!$G$4="VAS",Leadsheet!$G$5="DPD360+"),SAP_Speadsheet!AJ166,AND(Leadsheet!$G$4="VAS",Leadsheet!$G$5="DPD180+"),SAP_Speadsheet!AJ181)</f>
        <v>0</v>
      </c>
      <c r="AK183" s="299" cm="1">
        <f t="array" ref="AK183">_xlfn.IFS(Leadsheet!$G$4="IFRS",SAP_Speadsheet!AK146,AND(Leadsheet!$G$4="VAS",Leadsheet!$G$5="DPD360+"),SAP_Speadsheet!AK166,AND(Leadsheet!$G$4="VAS",Leadsheet!$G$5="DPD180+"),SAP_Speadsheet!AK181)</f>
        <v>0</v>
      </c>
      <c r="AL183" s="299" cm="1">
        <f t="array" ref="AL183">_xlfn.IFS(Leadsheet!$G$4="IFRS",SAP_Speadsheet!AL146,AND(Leadsheet!$G$4="VAS",Leadsheet!$G$5="DPD360+"),SAP_Speadsheet!AL166,AND(Leadsheet!$G$4="VAS",Leadsheet!$G$5="DPD180+"),SAP_Speadsheet!AL181)</f>
        <v>0</v>
      </c>
      <c r="AM183" s="299" cm="1">
        <f t="array" ref="AM183">_xlfn.IFS(Leadsheet!$G$4="IFRS",SAP_Speadsheet!AM146,AND(Leadsheet!$G$4="VAS",Leadsheet!$G$5="DPD360+"),SAP_Speadsheet!AM166,AND(Leadsheet!$G$4="VAS",Leadsheet!$G$5="DPD180+"),SAP_Speadsheet!AM181)</f>
        <v>0</v>
      </c>
      <c r="AN183" s="299" cm="1">
        <f t="array" ref="AN183">_xlfn.IFS(Leadsheet!$G$4="IFRS",SAP_Speadsheet!AN146,AND(Leadsheet!$G$4="VAS",Leadsheet!$G$5="DPD360+"),SAP_Speadsheet!AN166,AND(Leadsheet!$G$4="VAS",Leadsheet!$G$5="DPD180+"),SAP_Speadsheet!AN181)</f>
        <v>0</v>
      </c>
      <c r="AO183" s="299" cm="1">
        <f t="array" ref="AO183">_xlfn.IFS(Leadsheet!$G$4="IFRS",SAP_Speadsheet!AO146,AND(Leadsheet!$G$4="VAS",Leadsheet!$G$5="DPD360+"),SAP_Speadsheet!AO166,AND(Leadsheet!$G$4="VAS",Leadsheet!$G$5="DPD180+"),SAP_Speadsheet!AO181)</f>
        <v>0</v>
      </c>
      <c r="AP183" s="299" cm="1">
        <f t="array" ref="AP183">_xlfn.IFS(Leadsheet!$G$4="IFRS",SAP_Speadsheet!AP146,AND(Leadsheet!$G$4="VAS",Leadsheet!$G$5="DPD360+"),SAP_Speadsheet!AP166,AND(Leadsheet!$G$4="VAS",Leadsheet!$G$5="DPD180+"),SAP_Speadsheet!AP181)</f>
        <v>0</v>
      </c>
      <c r="AQ183" s="299" cm="1">
        <f t="array" ref="AQ183">_xlfn.IFS(Leadsheet!$G$4="IFRS",SAP_Speadsheet!AQ146,AND(Leadsheet!$G$4="VAS",Leadsheet!$G$5="DPD360+"),SAP_Speadsheet!AQ166,AND(Leadsheet!$G$4="VAS",Leadsheet!$G$5="DPD180+"),SAP_Speadsheet!AQ181)</f>
        <v>0</v>
      </c>
      <c r="AR183" s="299" cm="1">
        <f t="array" ref="AR183">_xlfn.IFS(Leadsheet!$G$4="IFRS",SAP_Speadsheet!AR146,AND(Leadsheet!$G$4="VAS",Leadsheet!$G$5="DPD360+"),SAP_Speadsheet!AR166,AND(Leadsheet!$G$4="VAS",Leadsheet!$G$5="DPD180+"),SAP_Speadsheet!AR181)</f>
        <v>0</v>
      </c>
      <c r="AS183" s="299" cm="1">
        <f t="array" ref="AS183">_xlfn.IFS(Leadsheet!$G$4="IFRS",SAP_Speadsheet!AS146,AND(Leadsheet!$G$4="VAS",Leadsheet!$G$5="DPD360+"),SAP_Speadsheet!AS166,AND(Leadsheet!$G$4="VAS",Leadsheet!$G$5="DPD180+"),SAP_Speadsheet!AS181)</f>
        <v>0</v>
      </c>
      <c r="AT183" s="299" cm="1">
        <f t="array" ref="AT183">_xlfn.IFS(Leadsheet!$G$4="IFRS",SAP_Speadsheet!AT146,AND(Leadsheet!$G$4="VAS",Leadsheet!$G$5="DPD360+"),SAP_Speadsheet!AT166,AND(Leadsheet!$G$4="VAS",Leadsheet!$G$5="DPD180+"),SAP_Speadsheet!AT181)</f>
        <v>0</v>
      </c>
      <c r="AU183" s="299" cm="1">
        <f t="array" ref="AU183">_xlfn.IFS(Leadsheet!$G$4="IFRS",SAP_Speadsheet!AU146,AND(Leadsheet!$G$4="VAS",Leadsheet!$G$5="DPD360+"),SAP_Speadsheet!AU166,AND(Leadsheet!$G$4="VAS",Leadsheet!$G$5="DPD180+"),SAP_Speadsheet!AU181)</f>
        <v>0</v>
      </c>
      <c r="AV183" s="299" cm="1">
        <f t="array" ref="AV183">_xlfn.IFS(Leadsheet!$G$4="IFRS",SAP_Speadsheet!AV146,AND(Leadsheet!$G$4="VAS",Leadsheet!$G$5="DPD360+"),SAP_Speadsheet!AV166,AND(Leadsheet!$G$4="VAS",Leadsheet!$G$5="DPD180+"),SAP_Speadsheet!AV181)</f>
        <v>0</v>
      </c>
      <c r="AW183" s="299" cm="1">
        <f t="array" ref="AW183">_xlfn.IFS(Leadsheet!$G$4="IFRS",SAP_Speadsheet!AW146,AND(Leadsheet!$G$4="VAS",Leadsheet!$G$5="DPD360+"),SAP_Speadsheet!AW166,AND(Leadsheet!$G$4="VAS",Leadsheet!$G$5="DPD180+"),SAP_Speadsheet!AW181)</f>
        <v>0</v>
      </c>
      <c r="AX183" s="299" cm="1">
        <f t="array" ref="AX183">_xlfn.IFS(Leadsheet!$G$4="IFRS",SAP_Speadsheet!AX146,AND(Leadsheet!$G$4="VAS",Leadsheet!$G$5="DPD360+"),SAP_Speadsheet!AX166,AND(Leadsheet!$G$4="VAS",Leadsheet!$G$5="DPD180+"),SAP_Speadsheet!AX181)</f>
        <v>0</v>
      </c>
      <c r="AY183" s="299" cm="1">
        <f t="array" ref="AY183">_xlfn.IFS(Leadsheet!$G$4="IFRS",SAP_Speadsheet!AY146,AND(Leadsheet!$G$4="VAS",Leadsheet!$G$5="DPD360+"),SAP_Speadsheet!AY166,AND(Leadsheet!$G$4="VAS",Leadsheet!$G$5="DPD180+"),SAP_Speadsheet!AY181)</f>
        <v>0</v>
      </c>
      <c r="AZ183" s="299" cm="1">
        <f t="array" ref="AZ183">_xlfn.IFS(Leadsheet!$G$4="IFRS",SAP_Speadsheet!AZ146,AND(Leadsheet!$G$4="VAS",Leadsheet!$G$5="DPD360+"),SAP_Speadsheet!AZ166,AND(Leadsheet!$G$4="VAS",Leadsheet!$G$5="DPD180+"),SAP_Speadsheet!AZ181)</f>
        <v>0</v>
      </c>
      <c r="BA183" s="299" cm="1">
        <f t="array" ref="BA183">_xlfn.IFS(Leadsheet!$G$4="IFRS",SAP_Speadsheet!BA146,AND(Leadsheet!$G$4="VAS",Leadsheet!$G$5="DPD360+"),SAP_Speadsheet!BA166,AND(Leadsheet!$G$4="VAS",Leadsheet!$G$5="DPD180+"),SAP_Speadsheet!BA181)</f>
        <v>0</v>
      </c>
      <c r="BB183" s="299" cm="1">
        <f t="array" ref="BB183">_xlfn.IFS(Leadsheet!$G$4="IFRS",SAP_Speadsheet!BB146,AND(Leadsheet!$G$4="VAS",Leadsheet!$G$5="DPD360+"),SAP_Speadsheet!BB166,AND(Leadsheet!$G$4="VAS",Leadsheet!$G$5="DPD180+"),SAP_Speadsheet!BB181)</f>
        <v>0</v>
      </c>
      <c r="BC183" s="299" cm="1">
        <f t="array" ref="BC183">_xlfn.IFS(Leadsheet!$G$4="IFRS",SAP_Speadsheet!BC146,AND(Leadsheet!$G$4="VAS",Leadsheet!$G$5="DPD360+"),SAP_Speadsheet!BC166,AND(Leadsheet!$G$4="VAS",Leadsheet!$G$5="DPD180+"),SAP_Speadsheet!BC181)</f>
        <v>0</v>
      </c>
      <c r="BD183" s="299" cm="1">
        <f t="array" ref="BD183">_xlfn.IFS(Leadsheet!$G$4="IFRS",SAP_Speadsheet!BD146,AND(Leadsheet!$G$4="VAS",Leadsheet!$G$5="DPD360+"),SAP_Speadsheet!BD166,AND(Leadsheet!$G$4="VAS",Leadsheet!$G$5="DPD180+"),SAP_Speadsheet!BD181)</f>
        <v>0</v>
      </c>
      <c r="BE183" s="299" cm="1">
        <f t="array" ref="BE183">_xlfn.IFS(Leadsheet!$G$4="IFRS",SAP_Speadsheet!BE146,AND(Leadsheet!$G$4="VAS",Leadsheet!$G$5="DPD360+"),SAP_Speadsheet!BE166,AND(Leadsheet!$G$4="VAS",Leadsheet!$G$5="DPD180+"),SAP_Speadsheet!BE181)</f>
        <v>0</v>
      </c>
      <c r="BF183" s="299" cm="1">
        <f t="array" ref="BF183">_xlfn.IFS(Leadsheet!$G$4="IFRS",SAP_Speadsheet!BF146,AND(Leadsheet!$G$4="VAS",Leadsheet!$G$5="DPD360+"),SAP_Speadsheet!BF166,AND(Leadsheet!$G$4="VAS",Leadsheet!$G$5="DPD180+"),SAP_Speadsheet!BF181)</f>
        <v>0</v>
      </c>
      <c r="BG183" s="299" cm="1">
        <f t="array" ref="BG183">_xlfn.IFS(Leadsheet!$G$4="IFRS",SAP_Speadsheet!BG146,AND(Leadsheet!$G$4="VAS",Leadsheet!$G$5="DPD360+"),SAP_Speadsheet!BG166,AND(Leadsheet!$G$4="VAS",Leadsheet!$G$5="DPD180+"),SAP_Speadsheet!BG181)</f>
        <v>0</v>
      </c>
      <c r="BH183" s="299" cm="1">
        <f t="array" ref="BH183">_xlfn.IFS(Leadsheet!$G$4="IFRS",SAP_Speadsheet!BH146,AND(Leadsheet!$G$4="VAS",Leadsheet!$G$5="DPD360+"),SAP_Speadsheet!BH166,AND(Leadsheet!$G$4="VAS",Leadsheet!$G$5="DPD180+"),SAP_Speadsheet!BH181)</f>
        <v>0</v>
      </c>
      <c r="BI183" s="299" cm="1">
        <f t="array" ref="BI183">_xlfn.IFS(Leadsheet!$G$4="IFRS",SAP_Speadsheet!BI146,AND(Leadsheet!$G$4="VAS",Leadsheet!$G$5="DPD360+"),SAP_Speadsheet!BI166,AND(Leadsheet!$G$4="VAS",Leadsheet!$G$5="DPD180+"),SAP_Speadsheet!BI181)</f>
        <v>0</v>
      </c>
      <c r="BJ183" s="299" cm="1">
        <f t="array" ref="BJ183">_xlfn.IFS(Leadsheet!$G$4="IFRS",SAP_Speadsheet!BJ146,AND(Leadsheet!$G$4="VAS",Leadsheet!$G$5="DPD360+"),SAP_Speadsheet!BJ166,AND(Leadsheet!$G$4="VAS",Leadsheet!$G$5="DPD180+"),SAP_Speadsheet!BJ181)</f>
        <v>0</v>
      </c>
      <c r="BK183" s="299" cm="1">
        <f t="array" ref="BK183">_xlfn.IFS(Leadsheet!$G$4="IFRS",SAP_Speadsheet!BK146,AND(Leadsheet!$G$4="VAS",Leadsheet!$G$5="DPD360+"),SAP_Speadsheet!BK166,AND(Leadsheet!$G$4="VAS",Leadsheet!$G$5="DPD180+"),SAP_Speadsheet!BK181)</f>
        <v>0</v>
      </c>
      <c r="BL183" s="299" cm="1">
        <f t="array" ref="BL183">_xlfn.IFS(Leadsheet!$G$4="IFRS",SAP_Speadsheet!BL146,AND(Leadsheet!$G$4="VAS",Leadsheet!$G$5="DPD360+"),SAP_Speadsheet!BL166,AND(Leadsheet!$G$4="VAS",Leadsheet!$G$5="DPD180+"),SAP_Speadsheet!BL181)</f>
        <v>0</v>
      </c>
    </row>
    <row r="185" spans="1:64" ht="13" thickBot="1" x14ac:dyDescent="0.2">
      <c r="A185" s="155"/>
      <c r="B185" s="274" t="s">
        <v>418</v>
      </c>
      <c r="C185" s="275"/>
      <c r="D185" s="276"/>
      <c r="E185" s="277"/>
      <c r="F185" s="276"/>
      <c r="G185" s="276"/>
      <c r="H185" s="276"/>
      <c r="I185" s="276"/>
      <c r="J185" s="276"/>
      <c r="K185" s="276"/>
      <c r="L185" s="276"/>
      <c r="M185" s="276"/>
      <c r="N185" s="276"/>
      <c r="O185" s="276"/>
      <c r="P185" s="276"/>
      <c r="Q185" s="276"/>
      <c r="R185" s="276"/>
      <c r="S185" s="276"/>
      <c r="T185" s="276"/>
      <c r="U185" s="276"/>
      <c r="V185" s="276"/>
      <c r="W185" s="276"/>
      <c r="X185" s="276"/>
      <c r="Y185" s="276"/>
      <c r="Z185" s="276"/>
      <c r="AA185" s="276"/>
      <c r="AB185" s="276"/>
      <c r="AC185" s="276"/>
      <c r="AD185" s="276"/>
      <c r="AE185" s="276"/>
      <c r="AF185" s="276"/>
      <c r="AG185" s="276"/>
      <c r="AH185" s="276"/>
      <c r="AI185" s="276"/>
      <c r="AJ185" s="276"/>
      <c r="AK185" s="276"/>
      <c r="AL185" s="276"/>
      <c r="AM185" s="276"/>
      <c r="AN185" s="276"/>
      <c r="AO185" s="276"/>
      <c r="AP185" s="276"/>
      <c r="AQ185" s="276"/>
      <c r="AR185" s="276"/>
      <c r="AS185" s="276"/>
      <c r="AT185" s="276"/>
      <c r="AU185" s="276"/>
      <c r="AV185" s="276"/>
      <c r="AW185" s="276"/>
      <c r="AX185" s="276"/>
      <c r="AY185" s="276"/>
      <c r="AZ185" s="276"/>
      <c r="BA185" s="276"/>
      <c r="BB185" s="276"/>
      <c r="BC185" s="276"/>
      <c r="BD185" s="276"/>
      <c r="BE185" s="276"/>
      <c r="BF185" s="276"/>
      <c r="BG185" s="276"/>
      <c r="BH185" s="276"/>
      <c r="BI185" s="276"/>
      <c r="BJ185" s="276"/>
      <c r="BK185" s="276"/>
      <c r="BL185" s="276"/>
    </row>
    <row r="186" spans="1:64" ht="12" thickTop="1" x14ac:dyDescent="0.15"/>
    <row r="187" spans="1:64" x14ac:dyDescent="0.15">
      <c r="C187" s="84" t="s">
        <v>419</v>
      </c>
      <c r="D187" s="147"/>
      <c r="E187" s="147">
        <f t="shared" ref="E187:BL187" si="46">E55+E71</f>
        <v>0.77133270423023226</v>
      </c>
      <c r="F187" s="147">
        <f t="shared" si="46"/>
        <v>0.41317684474496852</v>
      </c>
      <c r="G187" s="147">
        <f t="shared" si="46"/>
        <v>0.35322525214514744</v>
      </c>
      <c r="H187" s="147">
        <f t="shared" si="46"/>
        <v>0.27239380585360451</v>
      </c>
      <c r="I187" s="147">
        <f t="shared" si="46"/>
        <v>0.23899864914284727</v>
      </c>
      <c r="J187" s="147">
        <f t="shared" si="46"/>
        <v>0.20816821521789347</v>
      </c>
      <c r="K187" s="147">
        <f t="shared" si="46"/>
        <v>0.17996829044129684</v>
      </c>
      <c r="L187" s="147">
        <f t="shared" si="46"/>
        <v>0.15469914347601599</v>
      </c>
      <c r="M187" s="147">
        <f t="shared" si="46"/>
        <v>0.13203402034944919</v>
      </c>
      <c r="N187" s="147">
        <f t="shared" si="46"/>
        <v>0.11057177623705425</v>
      </c>
      <c r="O187" s="147">
        <f t="shared" si="46"/>
        <v>9.0374665010048066E-2</v>
      </c>
      <c r="P187" s="147">
        <f t="shared" si="46"/>
        <v>7.1301135939658103E-2</v>
      </c>
      <c r="Q187" s="147">
        <f t="shared" si="46"/>
        <v>5.370316102047723E-2</v>
      </c>
      <c r="R187" s="147">
        <f t="shared" si="46"/>
        <v>3.7370652237094092E-2</v>
      </c>
      <c r="S187" s="147">
        <f t="shared" si="46"/>
        <v>1.9998669549271375E-2</v>
      </c>
      <c r="T187" s="147">
        <f t="shared" si="46"/>
        <v>8.3960687957067848E-3</v>
      </c>
      <c r="U187" s="147">
        <f t="shared" si="46"/>
        <v>-3.1555513858044634E-3</v>
      </c>
      <c r="V187" s="147">
        <f t="shared" si="46"/>
        <v>-2.8024931407295279E-3</v>
      </c>
      <c r="W187" s="147">
        <f t="shared" si="46"/>
        <v>-2.3087689937880971E-3</v>
      </c>
      <c r="X187" s="147">
        <f t="shared" si="46"/>
        <v>-1.9309829875453432E-3</v>
      </c>
      <c r="Y187" s="147">
        <f t="shared" si="46"/>
        <v>-1.654563728690021E-3</v>
      </c>
      <c r="Z187" s="147">
        <f t="shared" si="46"/>
        <v>-1.430526177105187E-3</v>
      </c>
      <c r="AA187" s="147">
        <f t="shared" si="46"/>
        <v>0</v>
      </c>
      <c r="AB187" s="147">
        <f t="shared" si="46"/>
        <v>0</v>
      </c>
      <c r="AC187" s="147">
        <f t="shared" si="46"/>
        <v>0</v>
      </c>
      <c r="AD187" s="147">
        <f t="shared" si="46"/>
        <v>0</v>
      </c>
      <c r="AE187" s="147">
        <f t="shared" si="46"/>
        <v>0</v>
      </c>
      <c r="AF187" s="147">
        <f t="shared" si="46"/>
        <v>0</v>
      </c>
      <c r="AG187" s="147">
        <f t="shared" si="46"/>
        <v>0</v>
      </c>
      <c r="AH187" s="147">
        <f t="shared" si="46"/>
        <v>0</v>
      </c>
      <c r="AI187" s="147">
        <f t="shared" si="46"/>
        <v>0</v>
      </c>
      <c r="AJ187" s="147">
        <f t="shared" si="46"/>
        <v>0</v>
      </c>
      <c r="AK187" s="147">
        <f t="shared" si="46"/>
        <v>0</v>
      </c>
      <c r="AL187" s="147">
        <f t="shared" si="46"/>
        <v>0</v>
      </c>
      <c r="AM187" s="147">
        <f t="shared" si="46"/>
        <v>0</v>
      </c>
      <c r="AN187" s="147">
        <f t="shared" si="46"/>
        <v>0</v>
      </c>
      <c r="AO187" s="147">
        <f t="shared" si="46"/>
        <v>0</v>
      </c>
      <c r="AP187" s="147">
        <f t="shared" si="46"/>
        <v>0</v>
      </c>
      <c r="AQ187" s="147">
        <f t="shared" si="46"/>
        <v>0</v>
      </c>
      <c r="AR187" s="147">
        <f t="shared" si="46"/>
        <v>0</v>
      </c>
      <c r="AS187" s="147">
        <f t="shared" si="46"/>
        <v>0</v>
      </c>
      <c r="AT187" s="147">
        <f t="shared" si="46"/>
        <v>0</v>
      </c>
      <c r="AU187" s="147">
        <f t="shared" si="46"/>
        <v>0</v>
      </c>
      <c r="AV187" s="147">
        <f t="shared" si="46"/>
        <v>0</v>
      </c>
      <c r="AW187" s="147">
        <f t="shared" si="46"/>
        <v>0</v>
      </c>
      <c r="AX187" s="147">
        <f t="shared" si="46"/>
        <v>0</v>
      </c>
      <c r="AY187" s="147">
        <f t="shared" si="46"/>
        <v>0</v>
      </c>
      <c r="AZ187" s="147">
        <f t="shared" si="46"/>
        <v>0</v>
      </c>
      <c r="BA187" s="147">
        <f t="shared" si="46"/>
        <v>0</v>
      </c>
      <c r="BB187" s="147">
        <f t="shared" si="46"/>
        <v>0</v>
      </c>
      <c r="BC187" s="147">
        <f t="shared" si="46"/>
        <v>0</v>
      </c>
      <c r="BD187" s="147">
        <f t="shared" si="46"/>
        <v>0</v>
      </c>
      <c r="BE187" s="147">
        <f t="shared" si="46"/>
        <v>0</v>
      </c>
      <c r="BF187" s="147">
        <f t="shared" si="46"/>
        <v>0</v>
      </c>
      <c r="BG187" s="147">
        <f t="shared" si="46"/>
        <v>0</v>
      </c>
      <c r="BH187" s="147">
        <f t="shared" si="46"/>
        <v>0</v>
      </c>
      <c r="BI187" s="147">
        <f t="shared" si="46"/>
        <v>0</v>
      </c>
      <c r="BJ187" s="147">
        <f t="shared" si="46"/>
        <v>0</v>
      </c>
      <c r="BK187" s="147">
        <f t="shared" si="46"/>
        <v>0</v>
      </c>
      <c r="BL187" s="147">
        <f t="shared" si="46"/>
        <v>0</v>
      </c>
    </row>
    <row r="188" spans="1:64" x14ac:dyDescent="0.15">
      <c r="C188" s="84" t="s">
        <v>420</v>
      </c>
      <c r="D188" s="147"/>
      <c r="E188" s="147">
        <f t="shared" ref="E188:BL188" si="47">E55+E71+E183</f>
        <v>0.11777170914680934</v>
      </c>
      <c r="F188" s="147">
        <f t="shared" si="47"/>
        <v>0.16002569672393463</v>
      </c>
      <c r="G188" s="147">
        <f t="shared" si="47"/>
        <v>0.13780262760377116</v>
      </c>
      <c r="H188" s="147">
        <f t="shared" si="47"/>
        <v>8.1377281571487381E-2</v>
      </c>
      <c r="I188" s="147">
        <f t="shared" si="47"/>
        <v>7.0775788326731898E-2</v>
      </c>
      <c r="J188" s="147">
        <f t="shared" si="47"/>
        <v>6.0899393967209614E-2</v>
      </c>
      <c r="K188" s="147">
        <f t="shared" si="47"/>
        <v>5.239375596525489E-2</v>
      </c>
      <c r="L188" s="147">
        <f t="shared" si="47"/>
        <v>3.8321291201645846E-2</v>
      </c>
      <c r="M188" s="147">
        <f t="shared" si="47"/>
        <v>3.4287770364745923E-2</v>
      </c>
      <c r="N188" s="147">
        <f t="shared" si="47"/>
        <v>2.9917939151783951E-2</v>
      </c>
      <c r="O188" s="147">
        <f t="shared" si="47"/>
        <v>2.5607505210358789E-2</v>
      </c>
      <c r="P188" s="147">
        <f t="shared" si="47"/>
        <v>2.1065371208754805E-2</v>
      </c>
      <c r="Q188" s="147">
        <f t="shared" si="47"/>
        <v>1.6913254041510006E-2</v>
      </c>
      <c r="R188" s="147">
        <f t="shared" si="47"/>
        <v>5.5179899315217149E-3</v>
      </c>
      <c r="S188" s="147">
        <f t="shared" si="47"/>
        <v>-1.7091427987908636E-4</v>
      </c>
      <c r="T188" s="147">
        <f t="shared" si="47"/>
        <v>8.9832219515620371E-4</v>
      </c>
      <c r="U188" s="147">
        <f t="shared" si="47"/>
        <v>-9.5133685685654251E-3</v>
      </c>
      <c r="V188" s="147">
        <f t="shared" si="47"/>
        <v>-8.3209075860705972E-3</v>
      </c>
      <c r="W188" s="147">
        <f t="shared" si="47"/>
        <v>-7.044008996473978E-3</v>
      </c>
      <c r="X188" s="147">
        <f t="shared" si="47"/>
        <v>-5.9434682062322556E-3</v>
      </c>
      <c r="Y188" s="147">
        <f t="shared" si="47"/>
        <v>-4.9920103363343665E-3</v>
      </c>
      <c r="Z188" s="147">
        <f t="shared" si="47"/>
        <v>-4.1384926754967433E-3</v>
      </c>
      <c r="AA188" s="147">
        <f t="shared" si="47"/>
        <v>0</v>
      </c>
      <c r="AB188" s="147">
        <f t="shared" si="47"/>
        <v>0</v>
      </c>
      <c r="AC188" s="147">
        <f t="shared" si="47"/>
        <v>0</v>
      </c>
      <c r="AD188" s="147">
        <f t="shared" si="47"/>
        <v>0</v>
      </c>
      <c r="AE188" s="147">
        <f t="shared" si="47"/>
        <v>0</v>
      </c>
      <c r="AF188" s="147">
        <f t="shared" si="47"/>
        <v>0</v>
      </c>
      <c r="AG188" s="147">
        <f t="shared" si="47"/>
        <v>0</v>
      </c>
      <c r="AH188" s="147">
        <f t="shared" si="47"/>
        <v>0</v>
      </c>
      <c r="AI188" s="147">
        <f t="shared" si="47"/>
        <v>0</v>
      </c>
      <c r="AJ188" s="147">
        <f t="shared" si="47"/>
        <v>0</v>
      </c>
      <c r="AK188" s="147">
        <f t="shared" si="47"/>
        <v>0</v>
      </c>
      <c r="AL188" s="147">
        <f t="shared" si="47"/>
        <v>0</v>
      </c>
      <c r="AM188" s="147">
        <f t="shared" si="47"/>
        <v>0</v>
      </c>
      <c r="AN188" s="147">
        <f t="shared" si="47"/>
        <v>0</v>
      </c>
      <c r="AO188" s="147">
        <f t="shared" si="47"/>
        <v>0</v>
      </c>
      <c r="AP188" s="147">
        <f t="shared" si="47"/>
        <v>0</v>
      </c>
      <c r="AQ188" s="147">
        <f t="shared" si="47"/>
        <v>0</v>
      </c>
      <c r="AR188" s="147">
        <f t="shared" si="47"/>
        <v>0</v>
      </c>
      <c r="AS188" s="147">
        <f t="shared" si="47"/>
        <v>0</v>
      </c>
      <c r="AT188" s="147">
        <f t="shared" si="47"/>
        <v>0</v>
      </c>
      <c r="AU188" s="147">
        <f t="shared" si="47"/>
        <v>0</v>
      </c>
      <c r="AV188" s="147">
        <f t="shared" si="47"/>
        <v>0</v>
      </c>
      <c r="AW188" s="147">
        <f t="shared" si="47"/>
        <v>0</v>
      </c>
      <c r="AX188" s="147">
        <f t="shared" si="47"/>
        <v>0</v>
      </c>
      <c r="AY188" s="147">
        <f t="shared" si="47"/>
        <v>0</v>
      </c>
      <c r="AZ188" s="147">
        <f t="shared" si="47"/>
        <v>0</v>
      </c>
      <c r="BA188" s="147">
        <f t="shared" si="47"/>
        <v>0</v>
      </c>
      <c r="BB188" s="147">
        <f t="shared" si="47"/>
        <v>0</v>
      </c>
      <c r="BC188" s="147">
        <f t="shared" si="47"/>
        <v>0</v>
      </c>
      <c r="BD188" s="147">
        <f t="shared" si="47"/>
        <v>0</v>
      </c>
      <c r="BE188" s="147">
        <f t="shared" si="47"/>
        <v>0</v>
      </c>
      <c r="BF188" s="147">
        <f t="shared" si="47"/>
        <v>0</v>
      </c>
      <c r="BG188" s="147">
        <f t="shared" si="47"/>
        <v>0</v>
      </c>
      <c r="BH188" s="147">
        <f t="shared" si="47"/>
        <v>0</v>
      </c>
      <c r="BI188" s="147">
        <f t="shared" si="47"/>
        <v>0</v>
      </c>
      <c r="BJ188" s="147">
        <f t="shared" si="47"/>
        <v>0</v>
      </c>
      <c r="BK188" s="147">
        <f t="shared" si="47"/>
        <v>0</v>
      </c>
      <c r="BL188" s="147">
        <f t="shared" si="47"/>
        <v>0</v>
      </c>
    </row>
    <row r="189" spans="1:64" s="155" customFormat="1" x14ac:dyDescent="0.15">
      <c r="C189" s="155" t="s">
        <v>203</v>
      </c>
      <c r="D189" s="299"/>
      <c r="E189" s="299">
        <f t="shared" ref="E189:BL189" si="48">E55+E71+E103+E183</f>
        <v>6.0979976751277754E-2</v>
      </c>
      <c r="F189" s="299">
        <f t="shared" si="48"/>
        <v>0.1077773029200455</v>
      </c>
      <c r="G189" s="299">
        <f t="shared" si="48"/>
        <v>8.8961737743613933E-2</v>
      </c>
      <c r="H189" s="299">
        <f t="shared" si="48"/>
        <v>3.5943895655062064E-2</v>
      </c>
      <c r="I189" s="299">
        <f t="shared" si="48"/>
        <v>2.6762195720194892E-2</v>
      </c>
      <c r="J189" s="299">
        <f t="shared" si="48"/>
        <v>1.8305594670560893E-2</v>
      </c>
      <c r="K189" s="299">
        <f t="shared" si="48"/>
        <v>1.1219749978494453E-2</v>
      </c>
      <c r="L189" s="299">
        <f t="shared" si="48"/>
        <v>-1.4329214752262925E-3</v>
      </c>
      <c r="M189" s="299">
        <f t="shared" si="48"/>
        <v>-4.0466490022379176E-3</v>
      </c>
      <c r="N189" s="299">
        <f t="shared" si="48"/>
        <v>-6.9966869053116054E-3</v>
      </c>
      <c r="O189" s="299">
        <f t="shared" si="48"/>
        <v>-9.8873275368484767E-3</v>
      </c>
      <c r="P189" s="299">
        <f t="shared" si="48"/>
        <v>-1.4202294608870326E-2</v>
      </c>
      <c r="Q189" s="299">
        <f t="shared" si="48"/>
        <v>-1.6884925700380748E-2</v>
      </c>
      <c r="R189" s="299">
        <f t="shared" si="48"/>
        <v>-2.681070373463465E-2</v>
      </c>
      <c r="S189" s="299">
        <f t="shared" si="48"/>
        <v>-3.1030121870301075E-2</v>
      </c>
      <c r="T189" s="299">
        <f t="shared" si="48"/>
        <v>-2.9960885395265785E-2</v>
      </c>
      <c r="U189" s="299">
        <f t="shared" si="48"/>
        <v>-9.5133685685654251E-3</v>
      </c>
      <c r="V189" s="299">
        <f t="shared" si="48"/>
        <v>-8.3209075860705972E-3</v>
      </c>
      <c r="W189" s="299">
        <f t="shared" si="48"/>
        <v>-7.044008996473978E-3</v>
      </c>
      <c r="X189" s="299">
        <f t="shared" si="48"/>
        <v>-5.9434682062322556E-3</v>
      </c>
      <c r="Y189" s="299">
        <f t="shared" si="48"/>
        <v>-4.9920103363343665E-3</v>
      </c>
      <c r="Z189" s="299">
        <f t="shared" si="48"/>
        <v>-4.1384926754967433E-3</v>
      </c>
      <c r="AA189" s="299">
        <f t="shared" si="48"/>
        <v>0</v>
      </c>
      <c r="AB189" s="299">
        <f t="shared" si="48"/>
        <v>0</v>
      </c>
      <c r="AC189" s="299">
        <f t="shared" si="48"/>
        <v>0</v>
      </c>
      <c r="AD189" s="299">
        <f t="shared" si="48"/>
        <v>0</v>
      </c>
      <c r="AE189" s="299">
        <f t="shared" si="48"/>
        <v>0</v>
      </c>
      <c r="AF189" s="299">
        <f t="shared" si="48"/>
        <v>0</v>
      </c>
      <c r="AG189" s="299">
        <f t="shared" si="48"/>
        <v>0</v>
      </c>
      <c r="AH189" s="299">
        <f t="shared" si="48"/>
        <v>0</v>
      </c>
      <c r="AI189" s="299">
        <f t="shared" si="48"/>
        <v>0</v>
      </c>
      <c r="AJ189" s="299">
        <f t="shared" si="48"/>
        <v>0</v>
      </c>
      <c r="AK189" s="299">
        <f t="shared" si="48"/>
        <v>0</v>
      </c>
      <c r="AL189" s="299">
        <f t="shared" si="48"/>
        <v>0</v>
      </c>
      <c r="AM189" s="299">
        <f t="shared" si="48"/>
        <v>0</v>
      </c>
      <c r="AN189" s="299">
        <f t="shared" si="48"/>
        <v>0</v>
      </c>
      <c r="AO189" s="299">
        <f t="shared" si="48"/>
        <v>0</v>
      </c>
      <c r="AP189" s="299">
        <f t="shared" si="48"/>
        <v>0</v>
      </c>
      <c r="AQ189" s="299">
        <f t="shared" si="48"/>
        <v>0</v>
      </c>
      <c r="AR189" s="299">
        <f t="shared" si="48"/>
        <v>0</v>
      </c>
      <c r="AS189" s="299">
        <f t="shared" si="48"/>
        <v>0</v>
      </c>
      <c r="AT189" s="299">
        <f t="shared" si="48"/>
        <v>0</v>
      </c>
      <c r="AU189" s="299">
        <f t="shared" si="48"/>
        <v>0</v>
      </c>
      <c r="AV189" s="299">
        <f t="shared" si="48"/>
        <v>0</v>
      </c>
      <c r="AW189" s="299">
        <f t="shared" si="48"/>
        <v>0</v>
      </c>
      <c r="AX189" s="299">
        <f t="shared" si="48"/>
        <v>0</v>
      </c>
      <c r="AY189" s="299">
        <f t="shared" si="48"/>
        <v>0</v>
      </c>
      <c r="AZ189" s="299">
        <f t="shared" si="48"/>
        <v>0</v>
      </c>
      <c r="BA189" s="299">
        <f t="shared" si="48"/>
        <v>0</v>
      </c>
      <c r="BB189" s="299">
        <f t="shared" si="48"/>
        <v>0</v>
      </c>
      <c r="BC189" s="299">
        <f t="shared" si="48"/>
        <v>0</v>
      </c>
      <c r="BD189" s="299">
        <f t="shared" si="48"/>
        <v>0</v>
      </c>
      <c r="BE189" s="299">
        <f t="shared" si="48"/>
        <v>0</v>
      </c>
      <c r="BF189" s="299">
        <f t="shared" si="48"/>
        <v>0</v>
      </c>
      <c r="BG189" s="299">
        <f t="shared" si="48"/>
        <v>0</v>
      </c>
      <c r="BH189" s="299">
        <f t="shared" si="48"/>
        <v>0</v>
      </c>
      <c r="BI189" s="299">
        <f t="shared" si="48"/>
        <v>0</v>
      </c>
      <c r="BJ189" s="299">
        <f t="shared" si="48"/>
        <v>0</v>
      </c>
      <c r="BK189" s="299">
        <f t="shared" si="48"/>
        <v>0</v>
      </c>
      <c r="BL189" s="299">
        <f t="shared" si="48"/>
        <v>0</v>
      </c>
    </row>
    <row r="190" spans="1:64" x14ac:dyDescent="0.15">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row>
    <row r="191" spans="1:64" x14ac:dyDescent="0.15">
      <c r="D191" s="278"/>
      <c r="F191" s="312"/>
      <c r="G191" s="312"/>
      <c r="H191" s="312"/>
      <c r="I191" s="312"/>
      <c r="J191" s="312"/>
      <c r="K191" s="312"/>
      <c r="L191" s="312"/>
      <c r="M191" s="312"/>
      <c r="N191" s="312"/>
      <c r="O191" s="312"/>
      <c r="P191" s="312"/>
      <c r="Q191" s="312"/>
      <c r="R191" s="312"/>
      <c r="S191" s="312"/>
      <c r="T191" s="312"/>
      <c r="U191" s="312"/>
      <c r="V191" s="312"/>
      <c r="W191" s="312"/>
      <c r="X191" s="312"/>
      <c r="Y191" s="312"/>
      <c r="Z191" s="312"/>
      <c r="AA191" s="312"/>
      <c r="AB191" s="312"/>
      <c r="AC191" s="312"/>
      <c r="AD191" s="312"/>
      <c r="AE191" s="312"/>
      <c r="AF191" s="312"/>
      <c r="AG191" s="312"/>
      <c r="AH191" s="312"/>
      <c r="AI191" s="312"/>
      <c r="AJ191" s="312"/>
      <c r="AK191" s="312"/>
      <c r="AL191" s="312"/>
      <c r="AM191" s="312"/>
      <c r="AN191" s="312"/>
      <c r="AO191" s="312"/>
      <c r="AP191" s="312"/>
      <c r="AQ191" s="312"/>
      <c r="AR191" s="312"/>
      <c r="AS191" s="312"/>
      <c r="AT191" s="312"/>
      <c r="AU191" s="312"/>
      <c r="AV191" s="312"/>
      <c r="AW191" s="312"/>
      <c r="AX191" s="312"/>
      <c r="AY191" s="312"/>
      <c r="AZ191" s="312"/>
      <c r="BA191" s="312"/>
      <c r="BB191" s="312"/>
      <c r="BC191" s="312"/>
      <c r="BD191" s="312"/>
      <c r="BE191" s="312"/>
      <c r="BF191" s="312"/>
      <c r="BG191" s="312"/>
      <c r="BH191" s="312"/>
      <c r="BI191" s="312"/>
      <c r="BJ191" s="312"/>
      <c r="BK191" s="312"/>
      <c r="BL191" s="312"/>
    </row>
    <row r="192" spans="1:64" x14ac:dyDescent="0.15">
      <c r="F192" s="312"/>
      <c r="G192" s="312"/>
      <c r="H192" s="312"/>
      <c r="I192" s="312"/>
      <c r="J192" s="312"/>
      <c r="K192" s="312"/>
      <c r="L192" s="312"/>
      <c r="M192" s="312"/>
      <c r="N192" s="312"/>
      <c r="O192" s="312"/>
      <c r="P192" s="312"/>
      <c r="Q192" s="312"/>
      <c r="R192" s="312"/>
      <c r="S192" s="312"/>
      <c r="T192" s="312"/>
      <c r="U192" s="312"/>
      <c r="V192" s="312"/>
      <c r="W192" s="312"/>
      <c r="X192" s="312"/>
      <c r="Y192" s="312"/>
      <c r="Z192" s="312"/>
      <c r="AA192" s="312"/>
      <c r="AB192" s="312"/>
      <c r="AC192" s="312"/>
      <c r="AD192" s="312"/>
      <c r="AE192" s="312"/>
      <c r="AF192" s="312"/>
      <c r="AG192" s="312"/>
      <c r="AH192" s="312"/>
      <c r="AI192" s="312"/>
      <c r="AJ192" s="312"/>
      <c r="AK192" s="312"/>
      <c r="AL192" s="312"/>
      <c r="AM192" s="312"/>
      <c r="AN192" s="312"/>
      <c r="AO192" s="312"/>
      <c r="AP192" s="312"/>
      <c r="AQ192" s="312"/>
      <c r="AR192" s="312"/>
      <c r="AS192" s="312"/>
      <c r="AT192" s="312"/>
      <c r="AU192" s="312"/>
      <c r="AV192" s="312"/>
      <c r="AW192" s="312"/>
      <c r="AX192" s="312"/>
      <c r="AY192" s="312"/>
      <c r="AZ192" s="312"/>
      <c r="BA192" s="312"/>
      <c r="BB192" s="312"/>
      <c r="BC192" s="312"/>
      <c r="BD192" s="312"/>
      <c r="BE192" s="312"/>
      <c r="BF192" s="312"/>
      <c r="BG192" s="312"/>
      <c r="BH192" s="312"/>
      <c r="BI192" s="312"/>
      <c r="BJ192" s="312"/>
      <c r="BK192" s="312"/>
      <c r="BL192" s="312"/>
    </row>
    <row r="193" spans="3:64" hidden="1" x14ac:dyDescent="0.15">
      <c r="C193" s="84" t="s">
        <v>421</v>
      </c>
      <c r="D193" s="140"/>
      <c r="E193" s="140">
        <f t="shared" ref="E193:BF193" si="49">D197</f>
        <v>0</v>
      </c>
      <c r="F193" s="140" t="e">
        <f t="shared" si="49"/>
        <v>#REF!</v>
      </c>
      <c r="G193" s="140" t="e">
        <f t="shared" si="49"/>
        <v>#REF!</v>
      </c>
      <c r="H193" s="140" t="e">
        <f t="shared" si="49"/>
        <v>#REF!</v>
      </c>
      <c r="I193" s="140" t="e">
        <f t="shared" si="49"/>
        <v>#REF!</v>
      </c>
      <c r="J193" s="140" t="e">
        <f t="shared" si="49"/>
        <v>#REF!</v>
      </c>
      <c r="K193" s="140" t="e">
        <f t="shared" si="49"/>
        <v>#REF!</v>
      </c>
      <c r="L193" s="140" t="e">
        <f t="shared" si="49"/>
        <v>#REF!</v>
      </c>
      <c r="M193" s="140" t="e">
        <f t="shared" si="49"/>
        <v>#REF!</v>
      </c>
      <c r="N193" s="140" t="e">
        <f t="shared" si="49"/>
        <v>#REF!</v>
      </c>
      <c r="O193" s="140" t="e">
        <f t="shared" si="49"/>
        <v>#REF!</v>
      </c>
      <c r="P193" s="140" t="e">
        <f t="shared" si="49"/>
        <v>#REF!</v>
      </c>
      <c r="Q193" s="140" t="e">
        <f t="shared" si="49"/>
        <v>#REF!</v>
      </c>
      <c r="R193" s="140" t="e">
        <f t="shared" si="49"/>
        <v>#REF!</v>
      </c>
      <c r="S193" s="140" t="e">
        <f t="shared" si="49"/>
        <v>#REF!</v>
      </c>
      <c r="T193" s="140" t="e">
        <f t="shared" si="49"/>
        <v>#REF!</v>
      </c>
      <c r="U193" s="140" t="e">
        <f t="shared" si="49"/>
        <v>#REF!</v>
      </c>
      <c r="V193" s="140" t="e">
        <f t="shared" si="49"/>
        <v>#REF!</v>
      </c>
      <c r="W193" s="140" t="e">
        <f t="shared" si="49"/>
        <v>#REF!</v>
      </c>
      <c r="X193" s="140" t="e">
        <f t="shared" si="49"/>
        <v>#REF!</v>
      </c>
      <c r="Y193" s="140" t="e">
        <f t="shared" si="49"/>
        <v>#REF!</v>
      </c>
      <c r="Z193" s="140" t="e">
        <f t="shared" si="49"/>
        <v>#REF!</v>
      </c>
      <c r="AA193" s="140" t="e">
        <f t="shared" si="49"/>
        <v>#REF!</v>
      </c>
      <c r="AB193" s="140">
        <f t="shared" si="49"/>
        <v>0</v>
      </c>
      <c r="AC193" s="140">
        <f t="shared" si="49"/>
        <v>0</v>
      </c>
      <c r="AD193" s="140">
        <f t="shared" si="49"/>
        <v>0</v>
      </c>
      <c r="AE193" s="140">
        <f t="shared" si="49"/>
        <v>0</v>
      </c>
      <c r="AF193" s="140">
        <f t="shared" si="49"/>
        <v>0</v>
      </c>
      <c r="AG193" s="140">
        <f t="shared" si="49"/>
        <v>0</v>
      </c>
      <c r="AH193" s="140">
        <f t="shared" si="49"/>
        <v>0</v>
      </c>
      <c r="AI193" s="140">
        <f t="shared" si="49"/>
        <v>0</v>
      </c>
      <c r="AJ193" s="140">
        <f t="shared" si="49"/>
        <v>0</v>
      </c>
      <c r="AK193" s="140">
        <f t="shared" si="49"/>
        <v>0</v>
      </c>
      <c r="AL193" s="140">
        <f t="shared" si="49"/>
        <v>0</v>
      </c>
      <c r="AM193" s="140">
        <f t="shared" si="49"/>
        <v>0</v>
      </c>
      <c r="AN193" s="140">
        <f t="shared" si="49"/>
        <v>0</v>
      </c>
      <c r="AO193" s="140">
        <f t="shared" si="49"/>
        <v>0</v>
      </c>
      <c r="AP193" s="140">
        <f t="shared" si="49"/>
        <v>0</v>
      </c>
      <c r="AQ193" s="140">
        <f t="shared" si="49"/>
        <v>0</v>
      </c>
      <c r="AR193" s="140">
        <f t="shared" si="49"/>
        <v>0</v>
      </c>
      <c r="AS193" s="140">
        <f t="shared" si="49"/>
        <v>0</v>
      </c>
      <c r="AT193" s="140">
        <f t="shared" si="49"/>
        <v>0</v>
      </c>
      <c r="AU193" s="140">
        <f t="shared" si="49"/>
        <v>0</v>
      </c>
      <c r="AV193" s="140">
        <f t="shared" si="49"/>
        <v>0</v>
      </c>
      <c r="AW193" s="140">
        <f t="shared" si="49"/>
        <v>0</v>
      </c>
      <c r="AX193" s="140">
        <f t="shared" si="49"/>
        <v>0</v>
      </c>
      <c r="AY193" s="140">
        <f t="shared" si="49"/>
        <v>0</v>
      </c>
      <c r="AZ193" s="140">
        <f t="shared" si="49"/>
        <v>0</v>
      </c>
      <c r="BA193" s="140">
        <f t="shared" si="49"/>
        <v>0</v>
      </c>
      <c r="BB193" s="140">
        <f t="shared" si="49"/>
        <v>0</v>
      </c>
      <c r="BC193" s="140">
        <f t="shared" si="49"/>
        <v>0</v>
      </c>
      <c r="BD193" s="140">
        <f t="shared" si="49"/>
        <v>0</v>
      </c>
      <c r="BE193" s="140">
        <f t="shared" si="49"/>
        <v>0</v>
      </c>
      <c r="BF193" s="140">
        <f t="shared" si="49"/>
        <v>0</v>
      </c>
      <c r="BG193" s="140"/>
      <c r="BH193" s="140"/>
      <c r="BI193" s="140"/>
      <c r="BJ193" s="140"/>
      <c r="BK193" s="140"/>
      <c r="BL193" s="140"/>
    </row>
    <row r="194" spans="3:64" hidden="1" x14ac:dyDescent="0.15">
      <c r="C194" s="84" t="s">
        <v>422</v>
      </c>
      <c r="D194" s="140"/>
      <c r="E194" s="140" t="e">
        <f>-#REF!</f>
        <v>#REF!</v>
      </c>
      <c r="F194" s="140" t="e">
        <f>-#REF!</f>
        <v>#REF!</v>
      </c>
      <c r="G194" s="140" t="e">
        <f>-#REF!</f>
        <v>#REF!</v>
      </c>
      <c r="H194" s="140" t="e">
        <f>-#REF!</f>
        <v>#REF!</v>
      </c>
      <c r="I194" s="140" t="e">
        <f>-#REF!</f>
        <v>#REF!</v>
      </c>
      <c r="J194" s="140" t="e">
        <f>-#REF!</f>
        <v>#REF!</v>
      </c>
      <c r="K194" s="140" t="e">
        <f>-#REF!</f>
        <v>#REF!</v>
      </c>
      <c r="L194" s="140" t="e">
        <f>-#REF!</f>
        <v>#REF!</v>
      </c>
      <c r="M194" s="140" t="e">
        <f>-#REF!</f>
        <v>#REF!</v>
      </c>
      <c r="N194" s="140" t="e">
        <f>-#REF!</f>
        <v>#REF!</v>
      </c>
      <c r="O194" s="140" t="e">
        <f>-#REF!</f>
        <v>#REF!</v>
      </c>
      <c r="P194" s="140" t="e">
        <f>-#REF!</f>
        <v>#REF!</v>
      </c>
      <c r="Q194" s="140" t="e">
        <f>-#REF!</f>
        <v>#REF!</v>
      </c>
      <c r="R194" s="140" t="e">
        <f>-#REF!</f>
        <v>#REF!</v>
      </c>
      <c r="S194" s="140" t="e">
        <f>-#REF!</f>
        <v>#REF!</v>
      </c>
      <c r="T194" s="140" t="e">
        <f>-#REF!</f>
        <v>#REF!</v>
      </c>
      <c r="U194" s="140" t="e">
        <f>-#REF!</f>
        <v>#REF!</v>
      </c>
      <c r="V194" s="140" t="e">
        <f>-#REF!</f>
        <v>#REF!</v>
      </c>
      <c r="W194" s="140" t="e">
        <f>-#REF!</f>
        <v>#REF!</v>
      </c>
      <c r="X194" s="140" t="e">
        <f>-#REF!</f>
        <v>#REF!</v>
      </c>
      <c r="Y194" s="140" t="e">
        <f>-#REF!</f>
        <v>#REF!</v>
      </c>
      <c r="Z194" s="140" t="e">
        <f>-#REF!</f>
        <v>#REF!</v>
      </c>
      <c r="AA194" s="140" t="e">
        <f>-#REF!</f>
        <v>#REF!</v>
      </c>
      <c r="AB194" s="140" t="e">
        <f>-#REF!</f>
        <v>#REF!</v>
      </c>
      <c r="AC194" s="140" t="e">
        <f>-#REF!</f>
        <v>#REF!</v>
      </c>
      <c r="AD194" s="140" t="e">
        <f>-#REF!</f>
        <v>#REF!</v>
      </c>
      <c r="AE194" s="140" t="e">
        <f>-#REF!</f>
        <v>#REF!</v>
      </c>
      <c r="AF194" s="140" t="e">
        <f>-#REF!</f>
        <v>#REF!</v>
      </c>
      <c r="AG194" s="140" t="e">
        <f>-#REF!</f>
        <v>#REF!</v>
      </c>
      <c r="AH194" s="140" t="e">
        <f>-#REF!</f>
        <v>#REF!</v>
      </c>
      <c r="AI194" s="140" t="e">
        <f>-#REF!</f>
        <v>#REF!</v>
      </c>
      <c r="AJ194" s="140" t="e">
        <f>-#REF!</f>
        <v>#REF!</v>
      </c>
      <c r="AK194" s="140" t="e">
        <f>-#REF!</f>
        <v>#REF!</v>
      </c>
      <c r="AL194" s="140" t="e">
        <f>-#REF!</f>
        <v>#REF!</v>
      </c>
      <c r="AM194" s="140" t="e">
        <f>-#REF!</f>
        <v>#REF!</v>
      </c>
      <c r="AN194" s="140" t="e">
        <f>-#REF!</f>
        <v>#REF!</v>
      </c>
      <c r="AO194" s="140" t="e">
        <f>-#REF!</f>
        <v>#REF!</v>
      </c>
      <c r="AP194" s="140" t="e">
        <f>-#REF!</f>
        <v>#REF!</v>
      </c>
      <c r="AQ194" s="140" t="e">
        <f>-#REF!</f>
        <v>#REF!</v>
      </c>
      <c r="AR194" s="140" t="e">
        <f>-#REF!</f>
        <v>#REF!</v>
      </c>
      <c r="AS194" s="140" t="e">
        <f>-#REF!</f>
        <v>#REF!</v>
      </c>
      <c r="AT194" s="140" t="e">
        <f>-#REF!</f>
        <v>#REF!</v>
      </c>
      <c r="AU194" s="140" t="e">
        <f>-#REF!</f>
        <v>#REF!</v>
      </c>
      <c r="AV194" s="140" t="e">
        <f>-#REF!</f>
        <v>#REF!</v>
      </c>
      <c r="AW194" s="140" t="e">
        <f>-#REF!</f>
        <v>#REF!</v>
      </c>
      <c r="AX194" s="140" t="e">
        <f>-#REF!</f>
        <v>#REF!</v>
      </c>
      <c r="AY194" s="140" t="e">
        <f>-#REF!</f>
        <v>#REF!</v>
      </c>
      <c r="AZ194" s="140" t="e">
        <f>-#REF!</f>
        <v>#REF!</v>
      </c>
      <c r="BA194" s="140" t="e">
        <f>-#REF!</f>
        <v>#REF!</v>
      </c>
      <c r="BB194" s="140" t="e">
        <f>-#REF!</f>
        <v>#REF!</v>
      </c>
      <c r="BC194" s="140" t="e">
        <f>-#REF!</f>
        <v>#REF!</v>
      </c>
      <c r="BD194" s="140" t="e">
        <f>-#REF!</f>
        <v>#REF!</v>
      </c>
      <c r="BE194" s="140" t="e">
        <f>-#REF!</f>
        <v>#REF!</v>
      </c>
      <c r="BF194" s="140" t="e">
        <f>-#REF!</f>
        <v>#REF!</v>
      </c>
      <c r="BG194" s="140"/>
      <c r="BH194" s="140"/>
      <c r="BI194" s="140"/>
      <c r="BJ194" s="140"/>
      <c r="BK194" s="140"/>
      <c r="BL194" s="140"/>
    </row>
    <row r="195" spans="3:64" hidden="1" x14ac:dyDescent="0.15">
      <c r="C195" s="84" t="s">
        <v>423</v>
      </c>
      <c r="D195" s="140"/>
      <c r="E195" s="140">
        <f>IFERROR((#REF!/#REF!)*E193,0)</f>
        <v>0</v>
      </c>
      <c r="F195" s="140">
        <f>IFERROR((#REF!/#REF!)*F193,0)</f>
        <v>0</v>
      </c>
      <c r="G195" s="140">
        <f>IFERROR((#REF!/#REF!)*G193,0)</f>
        <v>0</v>
      </c>
      <c r="H195" s="140">
        <f>IFERROR((#REF!/#REF!)*H193,0)</f>
        <v>0</v>
      </c>
      <c r="I195" s="140">
        <f>IFERROR((#REF!/#REF!)*I193,0)</f>
        <v>0</v>
      </c>
      <c r="J195" s="140">
        <f>IFERROR((#REF!/#REF!)*J193,0)</f>
        <v>0</v>
      </c>
      <c r="K195" s="140">
        <f>IFERROR((#REF!/#REF!)*K193,0)</f>
        <v>0</v>
      </c>
      <c r="L195" s="140">
        <f>IFERROR((#REF!/#REF!)*L193,0)</f>
        <v>0</v>
      </c>
      <c r="M195" s="140">
        <f>IFERROR((#REF!/#REF!)*M193,0)</f>
        <v>0</v>
      </c>
      <c r="N195" s="140">
        <f>IFERROR((#REF!/#REF!)*N193,0)</f>
        <v>0</v>
      </c>
      <c r="O195" s="140">
        <f>IFERROR((#REF!/#REF!)*O193,0)</f>
        <v>0</v>
      </c>
      <c r="P195" s="140">
        <f>IFERROR((#REF!/#REF!)*P193,0)</f>
        <v>0</v>
      </c>
      <c r="Q195" s="140">
        <f>IFERROR((#REF!/#REF!)*Q193,0)</f>
        <v>0</v>
      </c>
      <c r="R195" s="140">
        <f>IFERROR((#REF!/#REF!)*R193,0)</f>
        <v>0</v>
      </c>
      <c r="S195" s="140">
        <f>IFERROR((#REF!/#REF!)*S193,0)</f>
        <v>0</v>
      </c>
      <c r="T195" s="140">
        <f>IFERROR((#REF!/#REF!)*T193,0)</f>
        <v>0</v>
      </c>
      <c r="U195" s="140">
        <f>IFERROR((#REF!/#REF!)*U193,0)</f>
        <v>0</v>
      </c>
      <c r="V195" s="140">
        <f>IFERROR((#REF!/#REF!)*V193,0)</f>
        <v>0</v>
      </c>
      <c r="W195" s="140">
        <f>IFERROR((#REF!/#REF!)*W193,0)</f>
        <v>0</v>
      </c>
      <c r="X195" s="140">
        <f>IFERROR((#REF!/#REF!)*X193,0)</f>
        <v>0</v>
      </c>
      <c r="Y195" s="140">
        <f>IFERROR((#REF!/#REF!)*Y193,0)</f>
        <v>0</v>
      </c>
      <c r="Z195" s="140">
        <f>IFERROR((#REF!/#REF!)*Z193,0)</f>
        <v>0</v>
      </c>
      <c r="AA195" s="140">
        <f>IFERROR((#REF!/#REF!)*AA193,0)</f>
        <v>0</v>
      </c>
      <c r="AB195" s="140">
        <f>IFERROR((#REF!/#REF!)*AB193,0)</f>
        <v>0</v>
      </c>
      <c r="AC195" s="140">
        <f>IFERROR((#REF!/#REF!)*AC193,0)</f>
        <v>0</v>
      </c>
      <c r="AD195" s="140">
        <f>IFERROR((#REF!/#REF!)*AD193,0)</f>
        <v>0</v>
      </c>
      <c r="AE195" s="140">
        <f>IFERROR((#REF!/#REF!)*AE193,0)</f>
        <v>0</v>
      </c>
      <c r="AF195" s="140">
        <f>IFERROR((#REF!/#REF!)*AF193,0)</f>
        <v>0</v>
      </c>
      <c r="AG195" s="140">
        <f>IFERROR((#REF!/#REF!)*AG193,0)</f>
        <v>0</v>
      </c>
      <c r="AH195" s="140">
        <f>IFERROR((#REF!/#REF!)*AH193,0)</f>
        <v>0</v>
      </c>
      <c r="AI195" s="140">
        <f>IFERROR((#REF!/#REF!)*AI193,0)</f>
        <v>0</v>
      </c>
      <c r="AJ195" s="140">
        <f>IFERROR((#REF!/#REF!)*AJ193,0)</f>
        <v>0</v>
      </c>
      <c r="AK195" s="140">
        <f>IFERROR((#REF!/#REF!)*AK193,0)</f>
        <v>0</v>
      </c>
      <c r="AL195" s="140">
        <f>IFERROR((#REF!/#REF!)*AL193,0)</f>
        <v>0</v>
      </c>
      <c r="AM195" s="140">
        <f>IFERROR((#REF!/#REF!)*AM193,0)</f>
        <v>0</v>
      </c>
      <c r="AN195" s="140">
        <f>IFERROR((#REF!/#REF!)*AN193,0)</f>
        <v>0</v>
      </c>
      <c r="AO195" s="140">
        <f>IFERROR((#REF!/#REF!)*AO193,0)</f>
        <v>0</v>
      </c>
      <c r="AP195" s="140">
        <f>IFERROR((#REF!/#REF!)*AP193,0)</f>
        <v>0</v>
      </c>
      <c r="AQ195" s="140">
        <f>IFERROR((#REF!/#REF!)*AQ193,0)</f>
        <v>0</v>
      </c>
      <c r="AR195" s="140">
        <f>IFERROR((#REF!/#REF!)*AR193,0)</f>
        <v>0</v>
      </c>
      <c r="AS195" s="140">
        <f>IFERROR((#REF!/#REF!)*AS193,0)</f>
        <v>0</v>
      </c>
      <c r="AT195" s="140">
        <f>IFERROR((#REF!/#REF!)*AT193,0)</f>
        <v>0</v>
      </c>
      <c r="AU195" s="140">
        <f>IFERROR((#REF!/#REF!)*AU193,0)</f>
        <v>0</v>
      </c>
      <c r="AV195" s="140">
        <f>IFERROR((#REF!/#REF!)*AV193,0)</f>
        <v>0</v>
      </c>
      <c r="AW195" s="140">
        <f>IFERROR((#REF!/#REF!)*AW193,0)</f>
        <v>0</v>
      </c>
      <c r="AX195" s="140">
        <f>IFERROR((#REF!/#REF!)*AX193,0)</f>
        <v>0</v>
      </c>
      <c r="AY195" s="140">
        <f>IFERROR((#REF!/#REF!)*AY193,0)</f>
        <v>0</v>
      </c>
      <c r="AZ195" s="140">
        <f>IFERROR((#REF!/#REF!)*AZ193,0)</f>
        <v>0</v>
      </c>
      <c r="BA195" s="140">
        <f>IFERROR((#REF!/#REF!)*BA193,0)</f>
        <v>0</v>
      </c>
      <c r="BB195" s="140">
        <f>IFERROR((#REF!/#REF!)*BB193,0)</f>
        <v>0</v>
      </c>
      <c r="BC195" s="140">
        <f>IFERROR((#REF!/#REF!)*BC193,0)</f>
        <v>0</v>
      </c>
      <c r="BD195" s="140">
        <f>IFERROR((#REF!/#REF!)*BD193,0)</f>
        <v>0</v>
      </c>
      <c r="BE195" s="140">
        <f>IFERROR((#REF!/#REF!)*BE193,0)</f>
        <v>0</v>
      </c>
      <c r="BF195" s="140">
        <f>IFERROR((#REF!/#REF!)*BF193,0)</f>
        <v>0</v>
      </c>
      <c r="BG195" s="140"/>
      <c r="BH195" s="140"/>
      <c r="BI195" s="140"/>
      <c r="BJ195" s="140"/>
      <c r="BK195" s="140"/>
      <c r="BL195" s="140"/>
    </row>
    <row r="196" spans="3:64" hidden="1" x14ac:dyDescent="0.15">
      <c r="C196" s="84" t="s">
        <v>424</v>
      </c>
      <c r="D196" s="140"/>
      <c r="E196" s="140">
        <f>IFERROR((#REF!/#REF!)*E193,0)</f>
        <v>0</v>
      </c>
      <c r="F196" s="140">
        <f>IFERROR((#REF!/#REF!)*F193,0)</f>
        <v>0</v>
      </c>
      <c r="G196" s="140">
        <f>IFERROR((#REF!/#REF!)*G193,0)</f>
        <v>0</v>
      </c>
      <c r="H196" s="140">
        <f>IFERROR((#REF!/#REF!)*H193,0)</f>
        <v>0</v>
      </c>
      <c r="I196" s="140">
        <f>IFERROR((#REF!/#REF!)*I193,0)</f>
        <v>0</v>
      </c>
      <c r="J196" s="140">
        <f>IFERROR((#REF!/#REF!)*J193,0)</f>
        <v>0</v>
      </c>
      <c r="K196" s="140">
        <f>IFERROR((#REF!/#REF!)*K193,0)</f>
        <v>0</v>
      </c>
      <c r="L196" s="140">
        <f>IFERROR((#REF!/#REF!)*L193,0)</f>
        <v>0</v>
      </c>
      <c r="M196" s="140">
        <f>IFERROR((#REF!/#REF!)*M193,0)</f>
        <v>0</v>
      </c>
      <c r="N196" s="140">
        <f>IFERROR((#REF!/#REF!)*N193,0)</f>
        <v>0</v>
      </c>
      <c r="O196" s="140">
        <f>IFERROR((#REF!/#REF!)*O193,0)</f>
        <v>0</v>
      </c>
      <c r="P196" s="140">
        <f>IFERROR((#REF!/#REF!)*P193,0)</f>
        <v>0</v>
      </c>
      <c r="Q196" s="140">
        <f>IFERROR((#REF!/#REF!)*Q193,0)</f>
        <v>0</v>
      </c>
      <c r="R196" s="140">
        <f>IFERROR((#REF!/#REF!)*R193,0)</f>
        <v>0</v>
      </c>
      <c r="S196" s="140">
        <f>IFERROR((#REF!/#REF!)*S193,0)</f>
        <v>0</v>
      </c>
      <c r="T196" s="140">
        <f>IFERROR((#REF!/#REF!)*T193,0)</f>
        <v>0</v>
      </c>
      <c r="U196" s="140">
        <f>IFERROR((#REF!/#REF!)*U193,0)</f>
        <v>0</v>
      </c>
      <c r="V196" s="140">
        <f>IFERROR((#REF!/#REF!)*V193,0)</f>
        <v>0</v>
      </c>
      <c r="W196" s="140">
        <f>IFERROR((#REF!/#REF!)*W193,0)</f>
        <v>0</v>
      </c>
      <c r="X196" s="140">
        <f>IFERROR((#REF!/#REF!)*X193,0)</f>
        <v>0</v>
      </c>
      <c r="Y196" s="140">
        <f>IFERROR((#REF!/#REF!)*Y193,0)</f>
        <v>0</v>
      </c>
      <c r="Z196" s="140">
        <f>IFERROR((#REF!/#REF!)*Z193,0)</f>
        <v>0</v>
      </c>
      <c r="AA196" s="140">
        <f>IFERROR((#REF!/#REF!)*AA193,0)</f>
        <v>0</v>
      </c>
      <c r="AB196" s="140">
        <f>IFERROR((#REF!/#REF!)*AB193,0)</f>
        <v>0</v>
      </c>
      <c r="AC196" s="140">
        <f>IFERROR((#REF!/#REF!)*AC193,0)</f>
        <v>0</v>
      </c>
      <c r="AD196" s="140">
        <f>IFERROR((#REF!/#REF!)*AD193,0)</f>
        <v>0</v>
      </c>
      <c r="AE196" s="140">
        <f>IFERROR((#REF!/#REF!)*AE193,0)</f>
        <v>0</v>
      </c>
      <c r="AF196" s="140">
        <f>IFERROR((#REF!/#REF!)*AF193,0)</f>
        <v>0</v>
      </c>
      <c r="AG196" s="140">
        <f>IFERROR((#REF!/#REF!)*AG193,0)</f>
        <v>0</v>
      </c>
      <c r="AH196" s="140">
        <f>IFERROR((#REF!/#REF!)*AH193,0)</f>
        <v>0</v>
      </c>
      <c r="AI196" s="140">
        <f>IFERROR((#REF!/#REF!)*AI193,0)</f>
        <v>0</v>
      </c>
      <c r="AJ196" s="140">
        <f>IFERROR((#REF!/#REF!)*AJ193,0)</f>
        <v>0</v>
      </c>
      <c r="AK196" s="140">
        <f>IFERROR((#REF!/#REF!)*AK193,0)</f>
        <v>0</v>
      </c>
      <c r="AL196" s="140">
        <f>IFERROR((#REF!/#REF!)*AL193,0)</f>
        <v>0</v>
      </c>
      <c r="AM196" s="140">
        <f>IFERROR((#REF!/#REF!)*AM193,0)</f>
        <v>0</v>
      </c>
      <c r="AN196" s="140">
        <f>IFERROR((#REF!/#REF!)*AN193,0)</f>
        <v>0</v>
      </c>
      <c r="AO196" s="140">
        <f>IFERROR((#REF!/#REF!)*AO193,0)</f>
        <v>0</v>
      </c>
      <c r="AP196" s="140">
        <f>IFERROR((#REF!/#REF!)*AP193,0)</f>
        <v>0</v>
      </c>
      <c r="AQ196" s="140">
        <f>IFERROR((#REF!/#REF!)*AQ193,0)</f>
        <v>0</v>
      </c>
      <c r="AR196" s="140">
        <f>IFERROR((#REF!/#REF!)*AR193,0)</f>
        <v>0</v>
      </c>
      <c r="AS196" s="140">
        <f>IFERROR((#REF!/#REF!)*AS193,0)</f>
        <v>0</v>
      </c>
      <c r="AT196" s="140">
        <f>IFERROR((#REF!/#REF!)*AT193,0)</f>
        <v>0</v>
      </c>
      <c r="AU196" s="140">
        <f>IFERROR((#REF!/#REF!)*AU193,0)</f>
        <v>0</v>
      </c>
      <c r="AV196" s="140">
        <f>IFERROR((#REF!/#REF!)*AV193,0)</f>
        <v>0</v>
      </c>
      <c r="AW196" s="140">
        <f>IFERROR((#REF!/#REF!)*AW193,0)</f>
        <v>0</v>
      </c>
      <c r="AX196" s="140">
        <f>IFERROR((#REF!/#REF!)*AX193,0)</f>
        <v>0</v>
      </c>
      <c r="AY196" s="140">
        <f>IFERROR((#REF!/#REF!)*AY193,0)</f>
        <v>0</v>
      </c>
      <c r="AZ196" s="140">
        <f>IFERROR((#REF!/#REF!)*AZ193,0)</f>
        <v>0</v>
      </c>
      <c r="BA196" s="140">
        <f>IFERROR((#REF!/#REF!)*BA193,0)</f>
        <v>0</v>
      </c>
      <c r="BB196" s="140">
        <f>IFERROR((#REF!/#REF!)*BB193,0)</f>
        <v>0</v>
      </c>
      <c r="BC196" s="140">
        <f>IFERROR((#REF!/#REF!)*BC193,0)</f>
        <v>0</v>
      </c>
      <c r="BD196" s="140">
        <f>IFERROR((#REF!/#REF!)*BD193,0)</f>
        <v>0</v>
      </c>
      <c r="BE196" s="140">
        <f>IFERROR((#REF!/#REF!)*BE193,0)</f>
        <v>0</v>
      </c>
      <c r="BF196" s="140">
        <f>IFERROR((#REF!/#REF!)*BF193,0)</f>
        <v>0</v>
      </c>
      <c r="BG196" s="140"/>
      <c r="BH196" s="140"/>
      <c r="BI196" s="140"/>
      <c r="BJ196" s="140"/>
      <c r="BK196" s="140"/>
      <c r="BL196" s="140"/>
    </row>
    <row r="197" spans="3:64" hidden="1" x14ac:dyDescent="0.15">
      <c r="C197" s="84" t="s">
        <v>425</v>
      </c>
      <c r="D197" s="140"/>
      <c r="E197" s="140" t="e">
        <f>IF(E5&gt;Leadsheet!$E$14,0,SUM(E193:E196))</f>
        <v>#REF!</v>
      </c>
      <c r="F197" s="140" t="e">
        <f>IF(F5&gt;Leadsheet!$E$14,0,SUM(F193:F196))</f>
        <v>#REF!</v>
      </c>
      <c r="G197" s="140" t="e">
        <f>IF(G5&gt;Leadsheet!$E$14,0,SUM(G193:G196))</f>
        <v>#REF!</v>
      </c>
      <c r="H197" s="140" t="e">
        <f>IF(H5&gt;Leadsheet!$E$14,0,SUM(H193:H196))</f>
        <v>#REF!</v>
      </c>
      <c r="I197" s="140" t="e">
        <f>IF(I5&gt;Leadsheet!$E$14,0,SUM(I193:I196))</f>
        <v>#REF!</v>
      </c>
      <c r="J197" s="140" t="e">
        <f>IF(J5&gt;Leadsheet!$E$14,0,SUM(J193:J196))</f>
        <v>#REF!</v>
      </c>
      <c r="K197" s="140" t="e">
        <f>IF(K5&gt;Leadsheet!$E$14,0,SUM(K193:K196))</f>
        <v>#REF!</v>
      </c>
      <c r="L197" s="140" t="e">
        <f>IF(L5&gt;Leadsheet!$E$14,0,SUM(L193:L196))</f>
        <v>#REF!</v>
      </c>
      <c r="M197" s="140" t="e">
        <f>IF(M5&gt;Leadsheet!$E$14,0,SUM(M193:M196))</f>
        <v>#REF!</v>
      </c>
      <c r="N197" s="140" t="e">
        <f>IF(N5&gt;Leadsheet!$E$14,0,SUM(N193:N196))</f>
        <v>#REF!</v>
      </c>
      <c r="O197" s="140" t="e">
        <f>IF(O5&gt;Leadsheet!$E$14,0,SUM(O193:O196))</f>
        <v>#REF!</v>
      </c>
      <c r="P197" s="140" t="e">
        <f>IF(P5&gt;Leadsheet!$E$14,0,SUM(P193:P196))</f>
        <v>#REF!</v>
      </c>
      <c r="Q197" s="140" t="e">
        <f>IF(Q5&gt;Leadsheet!$E$14,0,SUM(Q193:Q196))</f>
        <v>#REF!</v>
      </c>
      <c r="R197" s="140" t="e">
        <f>IF(R5&gt;Leadsheet!$E$14,0,SUM(R193:R196))</f>
        <v>#REF!</v>
      </c>
      <c r="S197" s="140" t="e">
        <f>IF(S5&gt;Leadsheet!$E$14,0,SUM(S193:S196))</f>
        <v>#REF!</v>
      </c>
      <c r="T197" s="140" t="e">
        <f>IF(T5&gt;Leadsheet!$E$14,0,SUM(T193:T196))</f>
        <v>#REF!</v>
      </c>
      <c r="U197" s="140" t="e">
        <f>IF(U5&gt;Leadsheet!$E$14,0,SUM(U193:U196))</f>
        <v>#REF!</v>
      </c>
      <c r="V197" s="140" t="e">
        <f>IF(V5&gt;Leadsheet!$E$14,0,SUM(V193:V196))</f>
        <v>#REF!</v>
      </c>
      <c r="W197" s="140" t="e">
        <f>IF(W5&gt;Leadsheet!$E$14,0,SUM(W193:W196))</f>
        <v>#REF!</v>
      </c>
      <c r="X197" s="140" t="e">
        <f>IF(X5&gt;Leadsheet!$E$14,0,SUM(X193:X196))</f>
        <v>#REF!</v>
      </c>
      <c r="Y197" s="140" t="e">
        <f>IF(Y5&gt;Leadsheet!$E$14,0,SUM(Y193:Y196))</f>
        <v>#REF!</v>
      </c>
      <c r="Z197" s="140" t="e">
        <f>IF(Z5&gt;Leadsheet!$E$14,0,SUM(Z193:Z196))</f>
        <v>#REF!</v>
      </c>
      <c r="AA197" s="140">
        <f>IF(AA5&gt;Leadsheet!$E$14,0,SUM(AA193:AA196))</f>
        <v>0</v>
      </c>
      <c r="AB197" s="140">
        <f>IF(AB5&gt;Leadsheet!$E$14,0,SUM(AB193:AB196))</f>
        <v>0</v>
      </c>
      <c r="AC197" s="140">
        <f>IF(AC5&gt;Leadsheet!$E$14,0,SUM(AC193:AC196))</f>
        <v>0</v>
      </c>
      <c r="AD197" s="140">
        <f>IF(AD5&gt;Leadsheet!$E$14,0,SUM(AD193:AD196))</f>
        <v>0</v>
      </c>
      <c r="AE197" s="140">
        <f>IF(AE5&gt;Leadsheet!$E$14,0,SUM(AE193:AE196))</f>
        <v>0</v>
      </c>
      <c r="AF197" s="140">
        <f>IF(AF5&gt;Leadsheet!$E$14,0,SUM(AF193:AF196))</f>
        <v>0</v>
      </c>
      <c r="AG197" s="140">
        <f>IF(AG5&gt;Leadsheet!$E$14,0,SUM(AG193:AG196))</f>
        <v>0</v>
      </c>
      <c r="AH197" s="140">
        <f>IF(AH5&gt;Leadsheet!$E$14,0,SUM(AH193:AH196))</f>
        <v>0</v>
      </c>
      <c r="AI197" s="140">
        <f>IF(AI5&gt;Leadsheet!$E$14,0,SUM(AI193:AI196))</f>
        <v>0</v>
      </c>
      <c r="AJ197" s="140">
        <f>IF(AJ5&gt;Leadsheet!$E$14,0,SUM(AJ193:AJ196))</f>
        <v>0</v>
      </c>
      <c r="AK197" s="140">
        <f>IF(AK5&gt;Leadsheet!$E$14,0,SUM(AK193:AK196))</f>
        <v>0</v>
      </c>
      <c r="AL197" s="140">
        <f>IF(AL5&gt;Leadsheet!$E$14,0,SUM(AL193:AL196))</f>
        <v>0</v>
      </c>
      <c r="AM197" s="140">
        <f>IF(AM5&gt;Leadsheet!$E$14,0,SUM(AM193:AM196))</f>
        <v>0</v>
      </c>
      <c r="AN197" s="140">
        <f>IF(AN5&gt;Leadsheet!$E$14,0,SUM(AN193:AN196))</f>
        <v>0</v>
      </c>
      <c r="AO197" s="140">
        <f>IF(AO5&gt;Leadsheet!$E$14,0,SUM(AO193:AO196))</f>
        <v>0</v>
      </c>
      <c r="AP197" s="140">
        <f>IF(AP5&gt;Leadsheet!$E$14,0,SUM(AP193:AP196))</f>
        <v>0</v>
      </c>
      <c r="AQ197" s="140">
        <f>IF(AQ5&gt;Leadsheet!$E$14,0,SUM(AQ193:AQ196))</f>
        <v>0</v>
      </c>
      <c r="AR197" s="140">
        <f>IF(AR5&gt;Leadsheet!$E$14,0,SUM(AR193:AR196))</f>
        <v>0</v>
      </c>
      <c r="AS197" s="140">
        <f>IF(AS5&gt;Leadsheet!$E$14,0,SUM(AS193:AS196))</f>
        <v>0</v>
      </c>
      <c r="AT197" s="140">
        <f>IF(AT5&gt;Leadsheet!$E$14,0,SUM(AT193:AT196))</f>
        <v>0</v>
      </c>
      <c r="AU197" s="140">
        <f>IF(AU5&gt;Leadsheet!$E$14,0,SUM(AU193:AU196))</f>
        <v>0</v>
      </c>
      <c r="AV197" s="140">
        <f>IF(AV5&gt;Leadsheet!$E$14,0,SUM(AV193:AV196))</f>
        <v>0</v>
      </c>
      <c r="AW197" s="140">
        <f>IF(AW5&gt;Leadsheet!$E$14,0,SUM(AW193:AW196))</f>
        <v>0</v>
      </c>
      <c r="AX197" s="140">
        <f>IF(AX5&gt;Leadsheet!$E$14,0,SUM(AX193:AX196))</f>
        <v>0</v>
      </c>
      <c r="AY197" s="140">
        <f>IF(AY5&gt;Leadsheet!$E$14,0,SUM(AY193:AY196))</f>
        <v>0</v>
      </c>
      <c r="AZ197" s="140">
        <f>IF(AZ5&gt;Leadsheet!$E$14,0,SUM(AZ193:AZ196))</f>
        <v>0</v>
      </c>
      <c r="BA197" s="140">
        <f>IF(BA5&gt;Leadsheet!$E$14,0,SUM(BA193:BA196))</f>
        <v>0</v>
      </c>
      <c r="BB197" s="140">
        <f>IF(BB5&gt;Leadsheet!$E$14,0,SUM(BB193:BB196))</f>
        <v>0</v>
      </c>
      <c r="BC197" s="140">
        <f>IF(BC5&gt;Leadsheet!$E$14,0,SUM(BC193:BC196))</f>
        <v>0</v>
      </c>
      <c r="BD197" s="140">
        <f>IF(BD5&gt;Leadsheet!$E$14,0,SUM(BD193:BD196))</f>
        <v>0</v>
      </c>
      <c r="BE197" s="140">
        <f>IF(BE5&gt;Leadsheet!$E$14,0,SUM(BE193:BE196))</f>
        <v>0</v>
      </c>
      <c r="BF197" s="140">
        <f>IF(BF5&gt;Leadsheet!$E$14,0,SUM(BF193:BF196))</f>
        <v>0</v>
      </c>
      <c r="BG197" s="140"/>
      <c r="BH197" s="140"/>
      <c r="BI197" s="140"/>
      <c r="BJ197" s="140"/>
      <c r="BK197" s="140"/>
      <c r="BL197" s="140"/>
    </row>
    <row r="198" spans="3:64" hidden="1" x14ac:dyDescent="0.15"/>
    <row r="199" spans="3:64" hidden="1" x14ac:dyDescent="0.15"/>
    <row r="200" spans="3:64" hidden="1" x14ac:dyDescent="0.15">
      <c r="C200" s="155" t="s">
        <v>426</v>
      </c>
    </row>
    <row r="201" spans="3:64" hidden="1" x14ac:dyDescent="0.15">
      <c r="C201" s="313" t="s">
        <v>427</v>
      </c>
      <c r="E201" s="147" t="e">
        <f>+#REF!</f>
        <v>#REF!</v>
      </c>
      <c r="F201" s="147" t="e">
        <f>+#REF!</f>
        <v>#REF!</v>
      </c>
      <c r="G201" s="147" t="e">
        <f>+#REF!</f>
        <v>#REF!</v>
      </c>
      <c r="H201" s="147" t="e">
        <f>+#REF!</f>
        <v>#REF!</v>
      </c>
      <c r="I201" s="147" t="e">
        <f>+#REF!</f>
        <v>#REF!</v>
      </c>
      <c r="J201" s="147" t="e">
        <f>+#REF!</f>
        <v>#REF!</v>
      </c>
      <c r="K201" s="147" t="e">
        <f>+#REF!</f>
        <v>#REF!</v>
      </c>
      <c r="L201" s="147" t="e">
        <f>+#REF!</f>
        <v>#REF!</v>
      </c>
      <c r="M201" s="147" t="e">
        <f>+#REF!</f>
        <v>#REF!</v>
      </c>
      <c r="N201" s="147" t="e">
        <f>+#REF!</f>
        <v>#REF!</v>
      </c>
      <c r="O201" s="147" t="e">
        <f>+#REF!</f>
        <v>#REF!</v>
      </c>
      <c r="P201" s="147" t="e">
        <f>+#REF!</f>
        <v>#REF!</v>
      </c>
      <c r="Q201" s="147" t="e">
        <f>+#REF!</f>
        <v>#REF!</v>
      </c>
      <c r="R201" s="147" t="e">
        <f>+#REF!</f>
        <v>#REF!</v>
      </c>
      <c r="S201" s="147" t="e">
        <f>+#REF!</f>
        <v>#REF!</v>
      </c>
      <c r="T201" s="147" t="e">
        <f>+#REF!</f>
        <v>#REF!</v>
      </c>
      <c r="U201" s="147" t="e">
        <f>+#REF!</f>
        <v>#REF!</v>
      </c>
      <c r="V201" s="147" t="e">
        <f>+#REF!</f>
        <v>#REF!</v>
      </c>
      <c r="W201" s="147" t="e">
        <f>+#REF!</f>
        <v>#REF!</v>
      </c>
      <c r="X201" s="147" t="e">
        <f>+#REF!</f>
        <v>#REF!</v>
      </c>
      <c r="Y201" s="147" t="e">
        <f>+#REF!</f>
        <v>#REF!</v>
      </c>
      <c r="Z201" s="147" t="e">
        <f>+#REF!</f>
        <v>#REF!</v>
      </c>
      <c r="AA201" s="147" t="e">
        <f>+#REF!</f>
        <v>#REF!</v>
      </c>
      <c r="AB201" s="147" t="e">
        <f>+#REF!</f>
        <v>#REF!</v>
      </c>
      <c r="AC201" s="147" t="e">
        <f>+#REF!</f>
        <v>#REF!</v>
      </c>
      <c r="AD201" s="147" t="e">
        <f>+#REF!</f>
        <v>#REF!</v>
      </c>
      <c r="AE201" s="147" t="e">
        <f>+#REF!</f>
        <v>#REF!</v>
      </c>
      <c r="AF201" s="147" t="e">
        <f>+#REF!</f>
        <v>#REF!</v>
      </c>
      <c r="AG201" s="147" t="e">
        <f>+#REF!</f>
        <v>#REF!</v>
      </c>
      <c r="AH201" s="147" t="e">
        <f>+#REF!</f>
        <v>#REF!</v>
      </c>
      <c r="AI201" s="147" t="e">
        <f>+#REF!</f>
        <v>#REF!</v>
      </c>
      <c r="AJ201" s="147" t="e">
        <f>+#REF!</f>
        <v>#REF!</v>
      </c>
      <c r="AK201" s="147" t="e">
        <f>+#REF!</f>
        <v>#REF!</v>
      </c>
      <c r="AL201" s="147" t="e">
        <f>+#REF!</f>
        <v>#REF!</v>
      </c>
      <c r="AM201" s="147" t="e">
        <f>+#REF!</f>
        <v>#REF!</v>
      </c>
      <c r="AN201" s="147" t="e">
        <f>+#REF!</f>
        <v>#REF!</v>
      </c>
      <c r="AO201" s="147" t="e">
        <f>+#REF!</f>
        <v>#REF!</v>
      </c>
      <c r="AP201" s="147" t="e">
        <f>+#REF!</f>
        <v>#REF!</v>
      </c>
      <c r="AQ201" s="147" t="e">
        <f>+#REF!</f>
        <v>#REF!</v>
      </c>
      <c r="AR201" s="147" t="e">
        <f>+#REF!</f>
        <v>#REF!</v>
      </c>
      <c r="AS201" s="147" t="e">
        <f>+#REF!</f>
        <v>#REF!</v>
      </c>
      <c r="AT201" s="147" t="e">
        <f>+#REF!</f>
        <v>#REF!</v>
      </c>
      <c r="AU201" s="147" t="e">
        <f>+#REF!</f>
        <v>#REF!</v>
      </c>
      <c r="AV201" s="147" t="e">
        <f>+#REF!</f>
        <v>#REF!</v>
      </c>
      <c r="AW201" s="147" t="e">
        <f>+#REF!</f>
        <v>#REF!</v>
      </c>
      <c r="AX201" s="147" t="e">
        <f>+#REF!</f>
        <v>#REF!</v>
      </c>
      <c r="AY201" s="147" t="e">
        <f>+#REF!</f>
        <v>#REF!</v>
      </c>
      <c r="AZ201" s="147" t="e">
        <f>+#REF!</f>
        <v>#REF!</v>
      </c>
      <c r="BA201" s="147" t="e">
        <f>+#REF!</f>
        <v>#REF!</v>
      </c>
      <c r="BB201" s="147" t="e">
        <f>+#REF!</f>
        <v>#REF!</v>
      </c>
      <c r="BC201" s="147" t="e">
        <f>+#REF!</f>
        <v>#REF!</v>
      </c>
      <c r="BD201" s="147" t="e">
        <f>+#REF!</f>
        <v>#REF!</v>
      </c>
      <c r="BE201" s="147" t="e">
        <f>+#REF!</f>
        <v>#REF!</v>
      </c>
      <c r="BF201" s="147" t="e">
        <f>+#REF!</f>
        <v>#REF!</v>
      </c>
      <c r="BG201" s="147"/>
      <c r="BH201" s="147"/>
      <c r="BI201" s="147"/>
      <c r="BJ201" s="147"/>
      <c r="BK201" s="147"/>
      <c r="BL201" s="147"/>
    </row>
    <row r="202" spans="3:64" hidden="1" x14ac:dyDescent="0.15">
      <c r="C202" s="313" t="s">
        <v>428</v>
      </c>
      <c r="E202" s="140" t="e">
        <f>-D27*(E$13+#REF!*(1+#REF!))</f>
        <v>#REF!</v>
      </c>
      <c r="F202" s="140" t="e">
        <f>-#REF!*(F$13+#REF!*(1+#REF!))</f>
        <v>#REF!</v>
      </c>
      <c r="G202" s="140" t="e">
        <f>-#REF!*(G$13+#REF!*(1+#REF!))</f>
        <v>#REF!</v>
      </c>
      <c r="H202" s="140" t="e">
        <f>-#REF!*(H$13+#REF!*(1+#REF!))</f>
        <v>#REF!</v>
      </c>
      <c r="I202" s="140" t="e">
        <f>-#REF!*(I$13+#REF!*(1+#REF!))</f>
        <v>#REF!</v>
      </c>
      <c r="J202" s="140" t="e">
        <f>-#REF!*(J$13+#REF!*(1+#REF!))</f>
        <v>#REF!</v>
      </c>
      <c r="K202" s="140" t="e">
        <f>-#REF!*(K$13+#REF!*(1+#REF!))</f>
        <v>#REF!</v>
      </c>
      <c r="L202" s="140" t="e">
        <f>-#REF!*(L$13+#REF!*(1+#REF!))</f>
        <v>#REF!</v>
      </c>
      <c r="M202" s="140" t="e">
        <f>-#REF!*(M$13+#REF!*(1+#REF!))</f>
        <v>#REF!</v>
      </c>
      <c r="N202" s="140" t="e">
        <f>-#REF!*(N$13+#REF!*(1+#REF!))</f>
        <v>#REF!</v>
      </c>
      <c r="O202" s="140" t="e">
        <f>-#REF!*(O$13+#REF!*(1+#REF!))</f>
        <v>#REF!</v>
      </c>
      <c r="P202" s="140" t="e">
        <f>-#REF!*(P$13+#REF!*(1+#REF!))</f>
        <v>#REF!</v>
      </c>
      <c r="Q202" s="140" t="e">
        <f>-#REF!*(Q$13+#REF!*(1+#REF!))</f>
        <v>#REF!</v>
      </c>
      <c r="R202" s="140" t="e">
        <f>-#REF!*(R$13+#REF!*(1+#REF!))</f>
        <v>#REF!</v>
      </c>
      <c r="S202" s="140" t="e">
        <f>-#REF!*(S$13+#REF!*(1+#REF!))</f>
        <v>#REF!</v>
      </c>
      <c r="T202" s="140" t="e">
        <f>-#REF!*(T$13+#REF!*(1+#REF!))</f>
        <v>#REF!</v>
      </c>
      <c r="U202" s="140" t="e">
        <f>-#REF!*(U$13+#REF!*(1+#REF!))</f>
        <v>#REF!</v>
      </c>
      <c r="V202" s="140" t="e">
        <f>-#REF!*(V$13+#REF!*(1+#REF!))</f>
        <v>#REF!</v>
      </c>
      <c r="W202" s="140" t="e">
        <f>-#REF!*(W$13+#REF!*(1+#REF!))</f>
        <v>#REF!</v>
      </c>
      <c r="X202" s="140" t="e">
        <f>-#REF!*(X$13+#REF!*(1+#REF!))</f>
        <v>#REF!</v>
      </c>
      <c r="Y202" s="140" t="e">
        <f>-#REF!*(Y$13+#REF!*(1+#REF!))</f>
        <v>#REF!</v>
      </c>
      <c r="Z202" s="140" t="e">
        <f>-#REF!*(Z$13+#REF!*(1+#REF!))</f>
        <v>#REF!</v>
      </c>
      <c r="AA202" s="140" t="e">
        <f>-#REF!*(AA$13+#REF!*(1+#REF!))</f>
        <v>#REF!</v>
      </c>
      <c r="AB202" s="140" t="e">
        <f>-#REF!*(AB$13+#REF!*(1+#REF!))</f>
        <v>#REF!</v>
      </c>
      <c r="AC202" s="140" t="e">
        <f>-#REF!*(AC$13+#REF!*(1+#REF!))</f>
        <v>#REF!</v>
      </c>
      <c r="AD202" s="140" t="e">
        <f>-#REF!*(AD$13+#REF!*(1+#REF!))</f>
        <v>#REF!</v>
      </c>
      <c r="AE202" s="140" t="e">
        <f>-#REF!*(AE$13+#REF!*(1+#REF!))</f>
        <v>#REF!</v>
      </c>
      <c r="AF202" s="140" t="e">
        <f>-#REF!*(AF$13+#REF!*(1+#REF!))</f>
        <v>#REF!</v>
      </c>
      <c r="AG202" s="140" t="e">
        <f>-#REF!*(AG$13+#REF!*(1+#REF!))</f>
        <v>#REF!</v>
      </c>
      <c r="AH202" s="140" t="e">
        <f>-#REF!*(AH$13+#REF!*(1+#REF!))</f>
        <v>#REF!</v>
      </c>
      <c r="AI202" s="140" t="e">
        <f>-#REF!*(AI$13+#REF!*(1+#REF!))</f>
        <v>#REF!</v>
      </c>
      <c r="AJ202" s="140" t="e">
        <f>-#REF!*(AJ$13+#REF!*(1+#REF!))</f>
        <v>#REF!</v>
      </c>
      <c r="AK202" s="140" t="e">
        <f>-#REF!*(AK$13+#REF!*(1+#REF!))</f>
        <v>#REF!</v>
      </c>
      <c r="AL202" s="140" t="e">
        <f>-#REF!*(AL$13+#REF!*(1+#REF!))</f>
        <v>#REF!</v>
      </c>
      <c r="AM202" s="140" t="e">
        <f>-#REF!*(AM$13+#REF!*(1+#REF!))</f>
        <v>#REF!</v>
      </c>
      <c r="AN202" s="140" t="e">
        <f>-#REF!*(AN$13+#REF!*(1+#REF!))</f>
        <v>#REF!</v>
      </c>
      <c r="AO202" s="140" t="e">
        <f>-#REF!*(AO$13+#REF!*(1+#REF!))</f>
        <v>#REF!</v>
      </c>
      <c r="AP202" s="140" t="e">
        <f>-#REF!*(AP$13+#REF!*(1+#REF!))</f>
        <v>#REF!</v>
      </c>
      <c r="AQ202" s="140" t="e">
        <f>-#REF!*(AQ$13+#REF!*(1+#REF!))</f>
        <v>#REF!</v>
      </c>
      <c r="AR202" s="140" t="e">
        <f>-#REF!*(AR$13+#REF!*(1+#REF!))</f>
        <v>#REF!</v>
      </c>
      <c r="AS202" s="140" t="e">
        <f>-#REF!*(AS$13+#REF!*(1+#REF!))</f>
        <v>#REF!</v>
      </c>
      <c r="AT202" s="140" t="e">
        <f>-#REF!*(AT$13+#REF!*(1+#REF!))</f>
        <v>#REF!</v>
      </c>
      <c r="AU202" s="140" t="e">
        <f>-#REF!*(AU$13+#REF!*(1+#REF!))</f>
        <v>#REF!</v>
      </c>
      <c r="AV202" s="140" t="e">
        <f>-#REF!*(AV$13+#REF!*(1+#REF!))</f>
        <v>#REF!</v>
      </c>
      <c r="AW202" s="140" t="e">
        <f>-#REF!*(AW$13+#REF!*(1+#REF!))</f>
        <v>#REF!</v>
      </c>
      <c r="AX202" s="140" t="e">
        <f>-#REF!*(AX$13+#REF!*(1+#REF!))</f>
        <v>#REF!</v>
      </c>
      <c r="AY202" s="140" t="e">
        <f>-#REF!*(AY$13+#REF!*(1+#REF!))</f>
        <v>#REF!</v>
      </c>
      <c r="AZ202" s="140" t="e">
        <f>-#REF!*(AZ$13+#REF!*(1+#REF!))</f>
        <v>#REF!</v>
      </c>
      <c r="BA202" s="140" t="e">
        <f>-#REF!*(BA$13+#REF!*(1+#REF!))</f>
        <v>#REF!</v>
      </c>
      <c r="BB202" s="140" t="e">
        <f>-#REF!*(BB$13+#REF!*(1+#REF!))</f>
        <v>#REF!</v>
      </c>
      <c r="BC202" s="140" t="e">
        <f>-#REF!*(BC$13+#REF!*(1+#REF!))</f>
        <v>#REF!</v>
      </c>
      <c r="BD202" s="140" t="e">
        <f>-#REF!*(BD$13+#REF!*(1+#REF!))</f>
        <v>#REF!</v>
      </c>
      <c r="BE202" s="140" t="e">
        <f>-#REF!*(BE$13+#REF!*(1+#REF!))</f>
        <v>#REF!</v>
      </c>
      <c r="BF202" s="140" t="e">
        <f>-#REF!*(BF$13+#REF!*(1+#REF!))</f>
        <v>#REF!</v>
      </c>
      <c r="BG202" s="140"/>
      <c r="BH202" s="140"/>
      <c r="BI202" s="140"/>
      <c r="BJ202" s="140"/>
      <c r="BK202" s="140"/>
      <c r="BL202" s="140"/>
    </row>
    <row r="203" spans="3:64" hidden="1" x14ac:dyDescent="0.15">
      <c r="C203" s="313" t="s">
        <v>429</v>
      </c>
      <c r="E203" s="140" t="e">
        <v>#REF!</v>
      </c>
      <c r="F203" s="140" t="e">
        <v>#REF!</v>
      </c>
      <c r="G203" s="140" t="e">
        <v>#REF!</v>
      </c>
      <c r="H203" s="140" t="e">
        <v>#REF!</v>
      </c>
      <c r="I203" s="140" t="e">
        <v>#REF!</v>
      </c>
      <c r="J203" s="140" t="e">
        <v>#REF!</v>
      </c>
      <c r="K203" s="140" t="e">
        <v>#REF!</v>
      </c>
      <c r="L203" s="140" t="e">
        <v>#REF!</v>
      </c>
      <c r="M203" s="140" t="e">
        <v>#REF!</v>
      </c>
      <c r="N203" s="140" t="e">
        <v>#REF!</v>
      </c>
      <c r="O203" s="140" t="e">
        <v>#REF!</v>
      </c>
      <c r="P203" s="140" t="e">
        <v>#REF!</v>
      </c>
      <c r="Q203" s="140" t="e">
        <v>#REF!</v>
      </c>
      <c r="R203" s="140" t="e">
        <v>#REF!</v>
      </c>
      <c r="S203" s="140" t="e">
        <v>#REF!</v>
      </c>
      <c r="T203" s="140" t="e">
        <v>#REF!</v>
      </c>
      <c r="U203" s="140" t="e">
        <v>#REF!</v>
      </c>
      <c r="V203" s="140" t="e">
        <v>#REF!</v>
      </c>
      <c r="W203" s="140" t="e">
        <v>#REF!</v>
      </c>
      <c r="X203" s="140" t="e">
        <v>#REF!</v>
      </c>
      <c r="Y203" s="140" t="e">
        <v>#REF!</v>
      </c>
      <c r="Z203" s="140" t="e">
        <v>#REF!</v>
      </c>
      <c r="AA203" s="140" t="e">
        <v>#REF!</v>
      </c>
      <c r="AB203" s="140" t="e">
        <v>#REF!</v>
      </c>
      <c r="AC203" s="140" t="e">
        <v>#REF!</v>
      </c>
      <c r="AD203" s="140" t="e">
        <v>#REF!</v>
      </c>
      <c r="AE203" s="140" t="e">
        <v>#REF!</v>
      </c>
      <c r="AF203" s="140" t="e">
        <v>#REF!</v>
      </c>
      <c r="AG203" s="140" t="e">
        <v>#REF!</v>
      </c>
      <c r="AH203" s="140" t="e">
        <v>#REF!</v>
      </c>
      <c r="AI203" s="140" t="e">
        <v>#REF!</v>
      </c>
      <c r="AJ203" s="140" t="e">
        <v>#REF!</v>
      </c>
      <c r="AK203" s="140" t="e">
        <v>#REF!</v>
      </c>
      <c r="AL203" s="140" t="e">
        <v>#REF!</v>
      </c>
      <c r="AM203" s="140" t="e">
        <v>#REF!</v>
      </c>
      <c r="AN203" s="140" t="e">
        <v>#REF!</v>
      </c>
      <c r="AO203" s="140" t="e">
        <v>#REF!</v>
      </c>
      <c r="AP203" s="140" t="e">
        <v>#REF!</v>
      </c>
      <c r="AQ203" s="140" t="e">
        <v>#REF!</v>
      </c>
      <c r="AR203" s="140" t="e">
        <v>#REF!</v>
      </c>
      <c r="AS203" s="140" t="e">
        <v>#REF!</v>
      </c>
      <c r="AT203" s="140" t="e">
        <v>#REF!</v>
      </c>
      <c r="AU203" s="140" t="e">
        <v>#REF!</v>
      </c>
      <c r="AV203" s="140" t="e">
        <v>#REF!</v>
      </c>
      <c r="AW203" s="140" t="e">
        <v>#REF!</v>
      </c>
      <c r="AX203" s="140" t="e">
        <v>#REF!</v>
      </c>
      <c r="AY203" s="140" t="e">
        <v>#REF!</v>
      </c>
      <c r="AZ203" s="140" t="e">
        <v>#REF!</v>
      </c>
      <c r="BA203" s="140" t="e">
        <v>#REF!</v>
      </c>
      <c r="BB203" s="140" t="e">
        <v>#REF!</v>
      </c>
      <c r="BC203" s="140" t="e">
        <v>#REF!</v>
      </c>
      <c r="BD203" s="140" t="e">
        <v>#REF!</v>
      </c>
      <c r="BE203" s="140" t="e">
        <v>#REF!</v>
      </c>
      <c r="BF203" s="140" t="e">
        <v>#REF!</v>
      </c>
      <c r="BG203" s="140"/>
      <c r="BH203" s="140"/>
      <c r="BI203" s="140"/>
      <c r="BJ203" s="140"/>
      <c r="BK203" s="140"/>
      <c r="BL203" s="140"/>
    </row>
    <row r="204" spans="3:64" hidden="1" x14ac:dyDescent="0.15">
      <c r="C204" s="313" t="s">
        <v>430</v>
      </c>
      <c r="E204" s="140" t="e">
        <v>#REF!</v>
      </c>
      <c r="F204" s="140" t="e">
        <v>#REF!</v>
      </c>
      <c r="G204" s="140" t="e">
        <v>#REF!</v>
      </c>
      <c r="H204" s="140" t="e">
        <v>#REF!</v>
      </c>
      <c r="I204" s="140" t="e">
        <v>#REF!</v>
      </c>
      <c r="J204" s="140" t="e">
        <v>#REF!</v>
      </c>
      <c r="K204" s="140" t="e">
        <v>#REF!</v>
      </c>
      <c r="L204" s="140" t="e">
        <v>#REF!</v>
      </c>
      <c r="M204" s="140" t="e">
        <v>#REF!</v>
      </c>
      <c r="N204" s="140" t="e">
        <v>#REF!</v>
      </c>
      <c r="O204" s="140" t="e">
        <v>#REF!</v>
      </c>
      <c r="P204" s="140" t="e">
        <v>#REF!</v>
      </c>
      <c r="Q204" s="140" t="e">
        <v>#REF!</v>
      </c>
      <c r="R204" s="140" t="e">
        <v>#REF!</v>
      </c>
      <c r="S204" s="140" t="e">
        <v>#REF!</v>
      </c>
      <c r="T204" s="140" t="e">
        <v>#REF!</v>
      </c>
      <c r="U204" s="140" t="e">
        <v>#REF!</v>
      </c>
      <c r="V204" s="140" t="e">
        <v>#REF!</v>
      </c>
      <c r="W204" s="140" t="e">
        <v>#REF!</v>
      </c>
      <c r="X204" s="140" t="e">
        <v>#REF!</v>
      </c>
      <c r="Y204" s="140" t="e">
        <v>#REF!</v>
      </c>
      <c r="Z204" s="140" t="e">
        <v>#REF!</v>
      </c>
      <c r="AA204" s="140" t="e">
        <v>#REF!</v>
      </c>
      <c r="AB204" s="140" t="e">
        <v>#REF!</v>
      </c>
      <c r="AC204" s="140" t="e">
        <v>#REF!</v>
      </c>
      <c r="AD204" s="140" t="e">
        <v>#REF!</v>
      </c>
      <c r="AE204" s="140" t="e">
        <v>#REF!</v>
      </c>
      <c r="AF204" s="140" t="e">
        <v>#REF!</v>
      </c>
      <c r="AG204" s="140" t="e">
        <v>#REF!</v>
      </c>
      <c r="AH204" s="140" t="e">
        <v>#REF!</v>
      </c>
      <c r="AI204" s="140" t="e">
        <v>#REF!</v>
      </c>
      <c r="AJ204" s="140" t="e">
        <v>#REF!</v>
      </c>
      <c r="AK204" s="140" t="e">
        <v>#REF!</v>
      </c>
      <c r="AL204" s="140" t="e">
        <v>#REF!</v>
      </c>
      <c r="AM204" s="140" t="e">
        <v>#REF!</v>
      </c>
      <c r="AN204" s="140" t="e">
        <v>#REF!</v>
      </c>
      <c r="AO204" s="140" t="e">
        <v>#REF!</v>
      </c>
      <c r="AP204" s="140" t="e">
        <v>#REF!</v>
      </c>
      <c r="AQ204" s="140" t="e">
        <v>#REF!</v>
      </c>
      <c r="AR204" s="140" t="e">
        <v>#REF!</v>
      </c>
      <c r="AS204" s="140" t="e">
        <v>#REF!</v>
      </c>
      <c r="AT204" s="140" t="e">
        <v>#REF!</v>
      </c>
      <c r="AU204" s="140" t="e">
        <v>#REF!</v>
      </c>
      <c r="AV204" s="140" t="e">
        <v>#REF!</v>
      </c>
      <c r="AW204" s="140" t="e">
        <v>#REF!</v>
      </c>
      <c r="AX204" s="140" t="e">
        <v>#REF!</v>
      </c>
      <c r="AY204" s="140" t="e">
        <v>#REF!</v>
      </c>
      <c r="AZ204" s="140" t="e">
        <v>#REF!</v>
      </c>
      <c r="BA204" s="140" t="e">
        <v>#REF!</v>
      </c>
      <c r="BB204" s="140" t="e">
        <v>#REF!</v>
      </c>
      <c r="BC204" s="140" t="e">
        <v>#REF!</v>
      </c>
      <c r="BD204" s="140" t="e">
        <v>#REF!</v>
      </c>
      <c r="BE204" s="140" t="e">
        <v>#REF!</v>
      </c>
      <c r="BF204" s="140" t="e">
        <v>#REF!</v>
      </c>
      <c r="BG204" s="140"/>
      <c r="BH204" s="140"/>
      <c r="BI204" s="140"/>
      <c r="BJ204" s="140"/>
      <c r="BK204" s="140"/>
      <c r="BL204" s="140"/>
    </row>
    <row r="205" spans="3:64" hidden="1" x14ac:dyDescent="0.15">
      <c r="C205" s="313" t="s">
        <v>431</v>
      </c>
      <c r="E205" s="140" t="e">
        <f t="shared" ref="E205:BF205" si="50">SUM(E201:E204)</f>
        <v>#REF!</v>
      </c>
      <c r="F205" s="140" t="e">
        <f t="shared" si="50"/>
        <v>#REF!</v>
      </c>
      <c r="G205" s="140" t="e">
        <f t="shared" si="50"/>
        <v>#REF!</v>
      </c>
      <c r="H205" s="140" t="e">
        <f t="shared" si="50"/>
        <v>#REF!</v>
      </c>
      <c r="I205" s="140" t="e">
        <f t="shared" si="50"/>
        <v>#REF!</v>
      </c>
      <c r="J205" s="140" t="e">
        <f t="shared" si="50"/>
        <v>#REF!</v>
      </c>
      <c r="K205" s="140" t="e">
        <f t="shared" si="50"/>
        <v>#REF!</v>
      </c>
      <c r="L205" s="140" t="e">
        <f t="shared" si="50"/>
        <v>#REF!</v>
      </c>
      <c r="M205" s="140" t="e">
        <f t="shared" si="50"/>
        <v>#REF!</v>
      </c>
      <c r="N205" s="140" t="e">
        <f t="shared" si="50"/>
        <v>#REF!</v>
      </c>
      <c r="O205" s="140" t="e">
        <f t="shared" si="50"/>
        <v>#REF!</v>
      </c>
      <c r="P205" s="140" t="e">
        <f t="shared" si="50"/>
        <v>#REF!</v>
      </c>
      <c r="Q205" s="140" t="e">
        <f t="shared" si="50"/>
        <v>#REF!</v>
      </c>
      <c r="R205" s="140" t="e">
        <f t="shared" si="50"/>
        <v>#REF!</v>
      </c>
      <c r="S205" s="140" t="e">
        <f t="shared" si="50"/>
        <v>#REF!</v>
      </c>
      <c r="T205" s="140" t="e">
        <f t="shared" si="50"/>
        <v>#REF!</v>
      </c>
      <c r="U205" s="140" t="e">
        <f t="shared" si="50"/>
        <v>#REF!</v>
      </c>
      <c r="V205" s="140" t="e">
        <f t="shared" si="50"/>
        <v>#REF!</v>
      </c>
      <c r="W205" s="140" t="e">
        <f t="shared" si="50"/>
        <v>#REF!</v>
      </c>
      <c r="X205" s="140" t="e">
        <f t="shared" si="50"/>
        <v>#REF!</v>
      </c>
      <c r="Y205" s="140" t="e">
        <f t="shared" si="50"/>
        <v>#REF!</v>
      </c>
      <c r="Z205" s="140" t="e">
        <f t="shared" si="50"/>
        <v>#REF!</v>
      </c>
      <c r="AA205" s="140" t="e">
        <f t="shared" si="50"/>
        <v>#REF!</v>
      </c>
      <c r="AB205" s="140" t="e">
        <f t="shared" si="50"/>
        <v>#REF!</v>
      </c>
      <c r="AC205" s="140" t="e">
        <f t="shared" si="50"/>
        <v>#REF!</v>
      </c>
      <c r="AD205" s="140" t="e">
        <f t="shared" si="50"/>
        <v>#REF!</v>
      </c>
      <c r="AE205" s="140" t="e">
        <f t="shared" si="50"/>
        <v>#REF!</v>
      </c>
      <c r="AF205" s="140" t="e">
        <f t="shared" si="50"/>
        <v>#REF!</v>
      </c>
      <c r="AG205" s="140" t="e">
        <f t="shared" si="50"/>
        <v>#REF!</v>
      </c>
      <c r="AH205" s="140" t="e">
        <f t="shared" si="50"/>
        <v>#REF!</v>
      </c>
      <c r="AI205" s="140" t="e">
        <f t="shared" si="50"/>
        <v>#REF!</v>
      </c>
      <c r="AJ205" s="140" t="e">
        <f t="shared" si="50"/>
        <v>#REF!</v>
      </c>
      <c r="AK205" s="140" t="e">
        <f t="shared" si="50"/>
        <v>#REF!</v>
      </c>
      <c r="AL205" s="140" t="e">
        <f t="shared" si="50"/>
        <v>#REF!</v>
      </c>
      <c r="AM205" s="140" t="e">
        <f t="shared" si="50"/>
        <v>#REF!</v>
      </c>
      <c r="AN205" s="140" t="e">
        <f t="shared" si="50"/>
        <v>#REF!</v>
      </c>
      <c r="AO205" s="140" t="e">
        <f t="shared" si="50"/>
        <v>#REF!</v>
      </c>
      <c r="AP205" s="140" t="e">
        <f t="shared" si="50"/>
        <v>#REF!</v>
      </c>
      <c r="AQ205" s="140" t="e">
        <f t="shared" si="50"/>
        <v>#REF!</v>
      </c>
      <c r="AR205" s="140" t="e">
        <f t="shared" si="50"/>
        <v>#REF!</v>
      </c>
      <c r="AS205" s="140" t="e">
        <f t="shared" si="50"/>
        <v>#REF!</v>
      </c>
      <c r="AT205" s="140" t="e">
        <f t="shared" si="50"/>
        <v>#REF!</v>
      </c>
      <c r="AU205" s="140" t="e">
        <f t="shared" si="50"/>
        <v>#REF!</v>
      </c>
      <c r="AV205" s="140" t="e">
        <f t="shared" si="50"/>
        <v>#REF!</v>
      </c>
      <c r="AW205" s="140" t="e">
        <f t="shared" si="50"/>
        <v>#REF!</v>
      </c>
      <c r="AX205" s="140" t="e">
        <f t="shared" si="50"/>
        <v>#REF!</v>
      </c>
      <c r="AY205" s="140" t="e">
        <f t="shared" si="50"/>
        <v>#REF!</v>
      </c>
      <c r="AZ205" s="140" t="e">
        <f t="shared" si="50"/>
        <v>#REF!</v>
      </c>
      <c r="BA205" s="140" t="e">
        <f t="shared" si="50"/>
        <v>#REF!</v>
      </c>
      <c r="BB205" s="140" t="e">
        <f t="shared" si="50"/>
        <v>#REF!</v>
      </c>
      <c r="BC205" s="140" t="e">
        <f t="shared" si="50"/>
        <v>#REF!</v>
      </c>
      <c r="BD205" s="140" t="e">
        <f t="shared" si="50"/>
        <v>#REF!</v>
      </c>
      <c r="BE205" s="140" t="e">
        <f t="shared" si="50"/>
        <v>#REF!</v>
      </c>
      <c r="BF205" s="140" t="e">
        <f t="shared" si="50"/>
        <v>#REF!</v>
      </c>
      <c r="BG205" s="140"/>
      <c r="BH205" s="140"/>
      <c r="BI205" s="140"/>
      <c r="BJ205" s="140"/>
      <c r="BK205" s="140"/>
      <c r="BL205" s="140"/>
    </row>
    <row r="206" spans="3:64" hidden="1" x14ac:dyDescent="0.15"/>
    <row r="207" spans="3:64" hidden="1" x14ac:dyDescent="0.15"/>
    <row r="208" spans="3:64" hidden="1" x14ac:dyDescent="0.15">
      <c r="C208" s="155" t="s">
        <v>432</v>
      </c>
    </row>
    <row r="209" spans="3:64" hidden="1" x14ac:dyDescent="0.15">
      <c r="C209" s="313" t="s">
        <v>427</v>
      </c>
      <c r="E209" s="147">
        <f>+SUM(D28:D30)</f>
        <v>0</v>
      </c>
      <c r="F209" s="147">
        <f t="shared" ref="F209:BF209" si="51">+SUM(E43:E48)</f>
        <v>26.985845665202326</v>
      </c>
      <c r="G209" s="147">
        <f t="shared" si="51"/>
        <v>24.205769098166723</v>
      </c>
      <c r="H209" s="147">
        <f t="shared" si="51"/>
        <v>21.634838058163773</v>
      </c>
      <c r="I209" s="147">
        <f t="shared" si="51"/>
        <v>20.041885719111146</v>
      </c>
      <c r="J209" s="147">
        <f t="shared" si="51"/>
        <v>18.516941620131185</v>
      </c>
      <c r="K209" s="147">
        <f t="shared" si="51"/>
        <v>17.058258341883167</v>
      </c>
      <c r="L209" s="147">
        <f t="shared" si="51"/>
        <v>15.661170236438936</v>
      </c>
      <c r="M209" s="147">
        <f t="shared" si="51"/>
        <v>14.267611281638892</v>
      </c>
      <c r="N209" s="147">
        <f t="shared" si="51"/>
        <v>12.934272274818438</v>
      </c>
      <c r="O209" s="147">
        <f t="shared" si="51"/>
        <v>11.657967521942348</v>
      </c>
      <c r="P209" s="147">
        <f t="shared" si="51"/>
        <v>10.437245634498021</v>
      </c>
      <c r="Q209" s="147">
        <f t="shared" si="51"/>
        <v>9.2677575282265909</v>
      </c>
      <c r="R209" s="147">
        <f t="shared" si="51"/>
        <v>8.146203446801227</v>
      </c>
      <c r="S209" s="147">
        <f t="shared" si="51"/>
        <v>7.0674854136574998</v>
      </c>
      <c r="T209" s="147">
        <f t="shared" si="51"/>
        <v>6.1173952197846644</v>
      </c>
      <c r="U209" s="147">
        <f t="shared" si="51"/>
        <v>4.9771139576157628</v>
      </c>
      <c r="V209" s="147">
        <f t="shared" si="51"/>
        <v>4.8884448030166041</v>
      </c>
      <c r="W209" s="147">
        <f t="shared" si="51"/>
        <v>4.8339738784667929</v>
      </c>
      <c r="X209" s="147">
        <f t="shared" si="51"/>
        <v>4.795017146426102</v>
      </c>
      <c r="Y209" s="147">
        <f t="shared" si="51"/>
        <v>4.7676051095846725</v>
      </c>
      <c r="Z209" s="147">
        <f t="shared" si="51"/>
        <v>4.7494815782231461</v>
      </c>
      <c r="AA209" s="147">
        <f t="shared" si="51"/>
        <v>4.7338410628531467</v>
      </c>
      <c r="AB209" s="147">
        <f t="shared" si="51"/>
        <v>0</v>
      </c>
      <c r="AC209" s="147">
        <f t="shared" si="51"/>
        <v>0</v>
      </c>
      <c r="AD209" s="147">
        <f t="shared" si="51"/>
        <v>0</v>
      </c>
      <c r="AE209" s="147">
        <f t="shared" si="51"/>
        <v>0</v>
      </c>
      <c r="AF209" s="147">
        <f t="shared" si="51"/>
        <v>0</v>
      </c>
      <c r="AG209" s="147">
        <f t="shared" si="51"/>
        <v>0</v>
      </c>
      <c r="AH209" s="147">
        <f t="shared" si="51"/>
        <v>0</v>
      </c>
      <c r="AI209" s="147">
        <f t="shared" si="51"/>
        <v>0</v>
      </c>
      <c r="AJ209" s="147">
        <f t="shared" si="51"/>
        <v>0</v>
      </c>
      <c r="AK209" s="147">
        <f t="shared" si="51"/>
        <v>0</v>
      </c>
      <c r="AL209" s="147">
        <f t="shared" si="51"/>
        <v>0</v>
      </c>
      <c r="AM209" s="147">
        <f t="shared" si="51"/>
        <v>0</v>
      </c>
      <c r="AN209" s="147">
        <f t="shared" si="51"/>
        <v>0</v>
      </c>
      <c r="AO209" s="147">
        <f t="shared" si="51"/>
        <v>0</v>
      </c>
      <c r="AP209" s="147">
        <f t="shared" si="51"/>
        <v>0</v>
      </c>
      <c r="AQ209" s="147">
        <f t="shared" si="51"/>
        <v>0</v>
      </c>
      <c r="AR209" s="147">
        <f t="shared" si="51"/>
        <v>0</v>
      </c>
      <c r="AS209" s="147">
        <f t="shared" si="51"/>
        <v>0</v>
      </c>
      <c r="AT209" s="147">
        <f t="shared" si="51"/>
        <v>0</v>
      </c>
      <c r="AU209" s="147">
        <f t="shared" si="51"/>
        <v>0</v>
      </c>
      <c r="AV209" s="147">
        <f t="shared" si="51"/>
        <v>0</v>
      </c>
      <c r="AW209" s="147">
        <f t="shared" si="51"/>
        <v>0</v>
      </c>
      <c r="AX209" s="147">
        <f t="shared" si="51"/>
        <v>0</v>
      </c>
      <c r="AY209" s="147">
        <f t="shared" si="51"/>
        <v>0</v>
      </c>
      <c r="AZ209" s="147">
        <f t="shared" si="51"/>
        <v>0</v>
      </c>
      <c r="BA209" s="147">
        <f t="shared" si="51"/>
        <v>0</v>
      </c>
      <c r="BB209" s="147">
        <f t="shared" si="51"/>
        <v>0</v>
      </c>
      <c r="BC209" s="147">
        <f t="shared" si="51"/>
        <v>0</v>
      </c>
      <c r="BD209" s="147">
        <f t="shared" si="51"/>
        <v>0</v>
      </c>
      <c r="BE209" s="147">
        <f t="shared" si="51"/>
        <v>0</v>
      </c>
      <c r="BF209" s="147">
        <f t="shared" si="51"/>
        <v>0</v>
      </c>
      <c r="BG209" s="147"/>
      <c r="BH209" s="147"/>
      <c r="BI209" s="147"/>
      <c r="BJ209" s="147"/>
      <c r="BK209" s="147"/>
      <c r="BL209" s="147"/>
    </row>
    <row r="210" spans="3:64" hidden="1" x14ac:dyDescent="0.15">
      <c r="C210" s="313" t="s">
        <v>428</v>
      </c>
      <c r="E210" s="140" t="e">
        <v>#REF!</v>
      </c>
      <c r="F210" s="140" t="e">
        <v>#REF!</v>
      </c>
      <c r="G210" s="140" t="e">
        <v>#REF!</v>
      </c>
      <c r="H210" s="140" t="e">
        <v>#REF!</v>
      </c>
      <c r="I210" s="140" t="e">
        <v>#REF!</v>
      </c>
      <c r="J210" s="140" t="e">
        <v>#REF!</v>
      </c>
      <c r="K210" s="140" t="e">
        <v>#REF!</v>
      </c>
      <c r="L210" s="140" t="e">
        <v>#REF!</v>
      </c>
      <c r="M210" s="140" t="e">
        <v>#REF!</v>
      </c>
      <c r="N210" s="140" t="e">
        <v>#REF!</v>
      </c>
      <c r="O210" s="140" t="e">
        <v>#REF!</v>
      </c>
      <c r="P210" s="140" t="e">
        <v>#REF!</v>
      </c>
      <c r="Q210" s="140" t="e">
        <v>#REF!</v>
      </c>
      <c r="R210" s="140" t="e">
        <v>#REF!</v>
      </c>
      <c r="S210" s="140" t="e">
        <v>#REF!</v>
      </c>
      <c r="T210" s="140" t="e">
        <v>#REF!</v>
      </c>
      <c r="U210" s="140" t="e">
        <v>#REF!</v>
      </c>
      <c r="V210" s="140" t="e">
        <v>#REF!</v>
      </c>
      <c r="W210" s="140" t="e">
        <v>#REF!</v>
      </c>
      <c r="X210" s="140" t="e">
        <v>#REF!</v>
      </c>
      <c r="Y210" s="140" t="e">
        <v>#REF!</v>
      </c>
      <c r="Z210" s="140" t="e">
        <v>#REF!</v>
      </c>
      <c r="AA210" s="140" t="e">
        <v>#REF!</v>
      </c>
      <c r="AB210" s="140" t="e">
        <v>#REF!</v>
      </c>
      <c r="AC210" s="140" t="e">
        <v>#REF!</v>
      </c>
      <c r="AD210" s="140" t="e">
        <v>#REF!</v>
      </c>
      <c r="AE210" s="140" t="e">
        <v>#REF!</v>
      </c>
      <c r="AF210" s="140" t="e">
        <v>#REF!</v>
      </c>
      <c r="AG210" s="140" t="e">
        <v>#REF!</v>
      </c>
      <c r="AH210" s="140" t="e">
        <v>#REF!</v>
      </c>
      <c r="AI210" s="140" t="e">
        <v>#REF!</v>
      </c>
      <c r="AJ210" s="140" t="e">
        <v>#REF!</v>
      </c>
      <c r="AK210" s="140" t="e">
        <v>#REF!</v>
      </c>
      <c r="AL210" s="140" t="e">
        <v>#REF!</v>
      </c>
      <c r="AM210" s="140" t="e">
        <v>#REF!</v>
      </c>
      <c r="AN210" s="140" t="e">
        <v>#REF!</v>
      </c>
      <c r="AO210" s="140" t="e">
        <v>#REF!</v>
      </c>
      <c r="AP210" s="140" t="e">
        <v>#REF!</v>
      </c>
      <c r="AQ210" s="140" t="e">
        <v>#REF!</v>
      </c>
      <c r="AR210" s="140" t="e">
        <v>#REF!</v>
      </c>
      <c r="AS210" s="140" t="e">
        <v>#REF!</v>
      </c>
      <c r="AT210" s="140" t="e">
        <v>#REF!</v>
      </c>
      <c r="AU210" s="140" t="e">
        <v>#REF!</v>
      </c>
      <c r="AV210" s="140" t="e">
        <v>#REF!</v>
      </c>
      <c r="AW210" s="140" t="e">
        <v>#REF!</v>
      </c>
      <c r="AX210" s="140" t="e">
        <v>#REF!</v>
      </c>
      <c r="AY210" s="140" t="e">
        <v>#REF!</v>
      </c>
      <c r="AZ210" s="140" t="e">
        <v>#REF!</v>
      </c>
      <c r="BA210" s="140" t="e">
        <v>#REF!</v>
      </c>
      <c r="BB210" s="140" t="e">
        <v>#REF!</v>
      </c>
      <c r="BC210" s="140" t="e">
        <v>#REF!</v>
      </c>
      <c r="BD210" s="140" t="e">
        <v>#REF!</v>
      </c>
      <c r="BE210" s="140" t="e">
        <v>#REF!</v>
      </c>
      <c r="BF210" s="140" t="e">
        <v>#REF!</v>
      </c>
      <c r="BG210" s="140"/>
      <c r="BH210" s="140"/>
      <c r="BI210" s="140"/>
      <c r="BJ210" s="140"/>
      <c r="BK210" s="140"/>
      <c r="BL210" s="140"/>
    </row>
    <row r="211" spans="3:64" hidden="1" x14ac:dyDescent="0.15">
      <c r="C211" s="313" t="s">
        <v>429</v>
      </c>
      <c r="E211" s="140" t="e">
        <v>#REF!</v>
      </c>
      <c r="F211" s="140" t="e">
        <v>#REF!</v>
      </c>
      <c r="G211" s="140" t="e">
        <v>#REF!</v>
      </c>
      <c r="H211" s="140" t="e">
        <v>#REF!</v>
      </c>
      <c r="I211" s="140" t="e">
        <v>#REF!</v>
      </c>
      <c r="J211" s="140" t="e">
        <v>#REF!</v>
      </c>
      <c r="K211" s="140" t="e">
        <v>#REF!</v>
      </c>
      <c r="L211" s="140" t="e">
        <v>#REF!</v>
      </c>
      <c r="M211" s="140" t="e">
        <v>#REF!</v>
      </c>
      <c r="N211" s="140" t="e">
        <v>#REF!</v>
      </c>
      <c r="O211" s="140" t="e">
        <v>#REF!</v>
      </c>
      <c r="P211" s="140" t="e">
        <v>#REF!</v>
      </c>
      <c r="Q211" s="140" t="e">
        <v>#REF!</v>
      </c>
      <c r="R211" s="140" t="e">
        <v>#REF!</v>
      </c>
      <c r="S211" s="140" t="e">
        <v>#REF!</v>
      </c>
      <c r="T211" s="140" t="e">
        <v>#REF!</v>
      </c>
      <c r="U211" s="140" t="e">
        <v>#REF!</v>
      </c>
      <c r="V211" s="140" t="e">
        <v>#REF!</v>
      </c>
      <c r="W211" s="140" t="e">
        <v>#REF!</v>
      </c>
      <c r="X211" s="140" t="e">
        <v>#REF!</v>
      </c>
      <c r="Y211" s="140" t="e">
        <v>#REF!</v>
      </c>
      <c r="Z211" s="140" t="e">
        <v>#REF!</v>
      </c>
      <c r="AA211" s="140" t="e">
        <v>#REF!</v>
      </c>
      <c r="AB211" s="140" t="e">
        <v>#REF!</v>
      </c>
      <c r="AC211" s="140" t="e">
        <v>#REF!</v>
      </c>
      <c r="AD211" s="140" t="e">
        <v>#REF!</v>
      </c>
      <c r="AE211" s="140" t="e">
        <v>#REF!</v>
      </c>
      <c r="AF211" s="140" t="e">
        <v>#REF!</v>
      </c>
      <c r="AG211" s="140" t="e">
        <v>#REF!</v>
      </c>
      <c r="AH211" s="140" t="e">
        <v>#REF!</v>
      </c>
      <c r="AI211" s="140" t="e">
        <v>#REF!</v>
      </c>
      <c r="AJ211" s="140" t="e">
        <v>#REF!</v>
      </c>
      <c r="AK211" s="140" t="e">
        <v>#REF!</v>
      </c>
      <c r="AL211" s="140" t="e">
        <v>#REF!</v>
      </c>
      <c r="AM211" s="140" t="e">
        <v>#REF!</v>
      </c>
      <c r="AN211" s="140" t="e">
        <v>#REF!</v>
      </c>
      <c r="AO211" s="140" t="e">
        <v>#REF!</v>
      </c>
      <c r="AP211" s="140" t="e">
        <v>#REF!</v>
      </c>
      <c r="AQ211" s="140" t="e">
        <v>#REF!</v>
      </c>
      <c r="AR211" s="140" t="e">
        <v>#REF!</v>
      </c>
      <c r="AS211" s="140" t="e">
        <v>#REF!</v>
      </c>
      <c r="AT211" s="140" t="e">
        <v>#REF!</v>
      </c>
      <c r="AU211" s="140" t="e">
        <v>#REF!</v>
      </c>
      <c r="AV211" s="140" t="e">
        <v>#REF!</v>
      </c>
      <c r="AW211" s="140" t="e">
        <v>#REF!</v>
      </c>
      <c r="AX211" s="140" t="e">
        <v>#REF!</v>
      </c>
      <c r="AY211" s="140" t="e">
        <v>#REF!</v>
      </c>
      <c r="AZ211" s="140" t="e">
        <v>#REF!</v>
      </c>
      <c r="BA211" s="140" t="e">
        <v>#REF!</v>
      </c>
      <c r="BB211" s="140" t="e">
        <v>#REF!</v>
      </c>
      <c r="BC211" s="140" t="e">
        <v>#REF!</v>
      </c>
      <c r="BD211" s="140" t="e">
        <v>#REF!</v>
      </c>
      <c r="BE211" s="140" t="e">
        <v>#REF!</v>
      </c>
      <c r="BF211" s="140" t="e">
        <v>#REF!</v>
      </c>
      <c r="BG211" s="140"/>
      <c r="BH211" s="140"/>
      <c r="BI211" s="140"/>
      <c r="BJ211" s="140"/>
      <c r="BK211" s="140"/>
      <c r="BL211" s="140"/>
    </row>
    <row r="212" spans="3:64" hidden="1" x14ac:dyDescent="0.15">
      <c r="C212" s="313" t="s">
        <v>430</v>
      </c>
      <c r="E212" s="140" t="e">
        <v>#REF!</v>
      </c>
      <c r="F212" s="140" t="e">
        <v>#REF!</v>
      </c>
      <c r="G212" s="140" t="e">
        <v>#REF!</v>
      </c>
      <c r="H212" s="140" t="e">
        <v>#REF!</v>
      </c>
      <c r="I212" s="140" t="e">
        <v>#REF!</v>
      </c>
      <c r="J212" s="140" t="e">
        <v>#REF!</v>
      </c>
      <c r="K212" s="140" t="e">
        <v>#REF!</v>
      </c>
      <c r="L212" s="140" t="e">
        <v>#REF!</v>
      </c>
      <c r="M212" s="140" t="e">
        <v>#REF!</v>
      </c>
      <c r="N212" s="140" t="e">
        <v>#REF!</v>
      </c>
      <c r="O212" s="140" t="e">
        <v>#REF!</v>
      </c>
      <c r="P212" s="140" t="e">
        <v>#REF!</v>
      </c>
      <c r="Q212" s="140" t="e">
        <v>#REF!</v>
      </c>
      <c r="R212" s="140" t="e">
        <v>#REF!</v>
      </c>
      <c r="S212" s="140" t="e">
        <v>#REF!</v>
      </c>
      <c r="T212" s="140" t="e">
        <v>#REF!</v>
      </c>
      <c r="U212" s="140" t="e">
        <v>#REF!</v>
      </c>
      <c r="V212" s="140" t="e">
        <v>#REF!</v>
      </c>
      <c r="W212" s="140" t="e">
        <v>#REF!</v>
      </c>
      <c r="X212" s="140" t="e">
        <v>#REF!</v>
      </c>
      <c r="Y212" s="140" t="e">
        <v>#REF!</v>
      </c>
      <c r="Z212" s="140" t="e">
        <v>#REF!</v>
      </c>
      <c r="AA212" s="140" t="e">
        <v>#REF!</v>
      </c>
      <c r="AB212" s="140" t="e">
        <v>#REF!</v>
      </c>
      <c r="AC212" s="140" t="e">
        <v>#REF!</v>
      </c>
      <c r="AD212" s="140" t="e">
        <v>#REF!</v>
      </c>
      <c r="AE212" s="140" t="e">
        <v>#REF!</v>
      </c>
      <c r="AF212" s="140" t="e">
        <v>#REF!</v>
      </c>
      <c r="AG212" s="140" t="e">
        <v>#REF!</v>
      </c>
      <c r="AH212" s="140" t="e">
        <v>#REF!</v>
      </c>
      <c r="AI212" s="140" t="e">
        <v>#REF!</v>
      </c>
      <c r="AJ212" s="140" t="e">
        <v>#REF!</v>
      </c>
      <c r="AK212" s="140" t="e">
        <v>#REF!</v>
      </c>
      <c r="AL212" s="140" t="e">
        <v>#REF!</v>
      </c>
      <c r="AM212" s="140" t="e">
        <v>#REF!</v>
      </c>
      <c r="AN212" s="140" t="e">
        <v>#REF!</v>
      </c>
      <c r="AO212" s="140" t="e">
        <v>#REF!</v>
      </c>
      <c r="AP212" s="140" t="e">
        <v>#REF!</v>
      </c>
      <c r="AQ212" s="140" t="e">
        <v>#REF!</v>
      </c>
      <c r="AR212" s="140" t="e">
        <v>#REF!</v>
      </c>
      <c r="AS212" s="140" t="e">
        <v>#REF!</v>
      </c>
      <c r="AT212" s="140" t="e">
        <v>#REF!</v>
      </c>
      <c r="AU212" s="140" t="e">
        <v>#REF!</v>
      </c>
      <c r="AV212" s="140" t="e">
        <v>#REF!</v>
      </c>
      <c r="AW212" s="140" t="e">
        <v>#REF!</v>
      </c>
      <c r="AX212" s="140" t="e">
        <v>#REF!</v>
      </c>
      <c r="AY212" s="140" t="e">
        <v>#REF!</v>
      </c>
      <c r="AZ212" s="140" t="e">
        <v>#REF!</v>
      </c>
      <c r="BA212" s="140" t="e">
        <v>#REF!</v>
      </c>
      <c r="BB212" s="140" t="e">
        <v>#REF!</v>
      </c>
      <c r="BC212" s="140" t="e">
        <v>#REF!</v>
      </c>
      <c r="BD212" s="140" t="e">
        <v>#REF!</v>
      </c>
      <c r="BE212" s="140" t="e">
        <v>#REF!</v>
      </c>
      <c r="BF212" s="140" t="e">
        <v>#REF!</v>
      </c>
      <c r="BG212" s="140"/>
      <c r="BH212" s="140"/>
      <c r="BI212" s="140"/>
      <c r="BJ212" s="140"/>
      <c r="BK212" s="140"/>
      <c r="BL212" s="140"/>
    </row>
    <row r="213" spans="3:64" hidden="1" x14ac:dyDescent="0.15">
      <c r="C213" s="313" t="s">
        <v>431</v>
      </c>
      <c r="E213" s="140" t="e">
        <f t="shared" ref="E213:BF213" si="52">SUM(E209:E212)</f>
        <v>#REF!</v>
      </c>
      <c r="F213" s="140" t="e">
        <f t="shared" si="52"/>
        <v>#REF!</v>
      </c>
      <c r="G213" s="140" t="e">
        <f t="shared" si="52"/>
        <v>#REF!</v>
      </c>
      <c r="H213" s="140" t="e">
        <f t="shared" si="52"/>
        <v>#REF!</v>
      </c>
      <c r="I213" s="140" t="e">
        <f t="shared" si="52"/>
        <v>#REF!</v>
      </c>
      <c r="J213" s="140" t="e">
        <f t="shared" si="52"/>
        <v>#REF!</v>
      </c>
      <c r="K213" s="140" t="e">
        <f t="shared" si="52"/>
        <v>#REF!</v>
      </c>
      <c r="L213" s="140" t="e">
        <f t="shared" si="52"/>
        <v>#REF!</v>
      </c>
      <c r="M213" s="140" t="e">
        <f t="shared" si="52"/>
        <v>#REF!</v>
      </c>
      <c r="N213" s="140" t="e">
        <f t="shared" si="52"/>
        <v>#REF!</v>
      </c>
      <c r="O213" s="140" t="e">
        <f t="shared" si="52"/>
        <v>#REF!</v>
      </c>
      <c r="P213" s="140" t="e">
        <f t="shared" si="52"/>
        <v>#REF!</v>
      </c>
      <c r="Q213" s="140" t="e">
        <f t="shared" si="52"/>
        <v>#REF!</v>
      </c>
      <c r="R213" s="140" t="e">
        <f t="shared" si="52"/>
        <v>#REF!</v>
      </c>
      <c r="S213" s="140" t="e">
        <f t="shared" si="52"/>
        <v>#REF!</v>
      </c>
      <c r="T213" s="140" t="e">
        <f t="shared" si="52"/>
        <v>#REF!</v>
      </c>
      <c r="U213" s="140" t="e">
        <f t="shared" si="52"/>
        <v>#REF!</v>
      </c>
      <c r="V213" s="140" t="e">
        <f t="shared" si="52"/>
        <v>#REF!</v>
      </c>
      <c r="W213" s="140" t="e">
        <f t="shared" si="52"/>
        <v>#REF!</v>
      </c>
      <c r="X213" s="140" t="e">
        <f t="shared" si="52"/>
        <v>#REF!</v>
      </c>
      <c r="Y213" s="140" t="e">
        <f t="shared" si="52"/>
        <v>#REF!</v>
      </c>
      <c r="Z213" s="140" t="e">
        <f t="shared" si="52"/>
        <v>#REF!</v>
      </c>
      <c r="AA213" s="140" t="e">
        <f t="shared" si="52"/>
        <v>#REF!</v>
      </c>
      <c r="AB213" s="140" t="e">
        <f t="shared" si="52"/>
        <v>#REF!</v>
      </c>
      <c r="AC213" s="140" t="e">
        <f t="shared" si="52"/>
        <v>#REF!</v>
      </c>
      <c r="AD213" s="140" t="e">
        <f t="shared" si="52"/>
        <v>#REF!</v>
      </c>
      <c r="AE213" s="140" t="e">
        <f t="shared" si="52"/>
        <v>#REF!</v>
      </c>
      <c r="AF213" s="140" t="e">
        <f t="shared" si="52"/>
        <v>#REF!</v>
      </c>
      <c r="AG213" s="140" t="e">
        <f t="shared" si="52"/>
        <v>#REF!</v>
      </c>
      <c r="AH213" s="140" t="e">
        <f t="shared" si="52"/>
        <v>#REF!</v>
      </c>
      <c r="AI213" s="140" t="e">
        <f t="shared" si="52"/>
        <v>#REF!</v>
      </c>
      <c r="AJ213" s="140" t="e">
        <f t="shared" si="52"/>
        <v>#REF!</v>
      </c>
      <c r="AK213" s="140" t="e">
        <f t="shared" si="52"/>
        <v>#REF!</v>
      </c>
      <c r="AL213" s="140" t="e">
        <f t="shared" si="52"/>
        <v>#REF!</v>
      </c>
      <c r="AM213" s="140" t="e">
        <f t="shared" si="52"/>
        <v>#REF!</v>
      </c>
      <c r="AN213" s="140" t="e">
        <f t="shared" si="52"/>
        <v>#REF!</v>
      </c>
      <c r="AO213" s="140" t="e">
        <f t="shared" si="52"/>
        <v>#REF!</v>
      </c>
      <c r="AP213" s="140" t="e">
        <f t="shared" si="52"/>
        <v>#REF!</v>
      </c>
      <c r="AQ213" s="140" t="e">
        <f t="shared" si="52"/>
        <v>#REF!</v>
      </c>
      <c r="AR213" s="140" t="e">
        <f t="shared" si="52"/>
        <v>#REF!</v>
      </c>
      <c r="AS213" s="140" t="e">
        <f t="shared" si="52"/>
        <v>#REF!</v>
      </c>
      <c r="AT213" s="140" t="e">
        <f t="shared" si="52"/>
        <v>#REF!</v>
      </c>
      <c r="AU213" s="140" t="e">
        <f t="shared" si="52"/>
        <v>#REF!</v>
      </c>
      <c r="AV213" s="140" t="e">
        <f t="shared" si="52"/>
        <v>#REF!</v>
      </c>
      <c r="AW213" s="140" t="e">
        <f t="shared" si="52"/>
        <v>#REF!</v>
      </c>
      <c r="AX213" s="140" t="e">
        <f t="shared" si="52"/>
        <v>#REF!</v>
      </c>
      <c r="AY213" s="140" t="e">
        <f t="shared" si="52"/>
        <v>#REF!</v>
      </c>
      <c r="AZ213" s="140" t="e">
        <f t="shared" si="52"/>
        <v>#REF!</v>
      </c>
      <c r="BA213" s="140" t="e">
        <f t="shared" si="52"/>
        <v>#REF!</v>
      </c>
      <c r="BB213" s="140" t="e">
        <f t="shared" si="52"/>
        <v>#REF!</v>
      </c>
      <c r="BC213" s="140" t="e">
        <f t="shared" si="52"/>
        <v>#REF!</v>
      </c>
      <c r="BD213" s="140" t="e">
        <f t="shared" si="52"/>
        <v>#REF!</v>
      </c>
      <c r="BE213" s="140" t="e">
        <f t="shared" si="52"/>
        <v>#REF!</v>
      </c>
      <c r="BF213" s="140" t="e">
        <f t="shared" si="52"/>
        <v>#REF!</v>
      </c>
      <c r="BG213" s="140"/>
      <c r="BH213" s="140"/>
      <c r="BI213" s="140"/>
      <c r="BJ213" s="140"/>
      <c r="BK213" s="140"/>
      <c r="BL213" s="140"/>
    </row>
    <row r="214" spans="3:64" hidden="1" x14ac:dyDescent="0.15">
      <c r="C214" s="313" t="s">
        <v>433</v>
      </c>
      <c r="E214" s="147" t="e">
        <f>E213+E205-#REF!</f>
        <v>#REF!</v>
      </c>
      <c r="F214" s="147" t="e">
        <f>F213+F205-#REF!</f>
        <v>#REF!</v>
      </c>
      <c r="G214" s="147" t="e">
        <f>G213+G205-#REF!</f>
        <v>#REF!</v>
      </c>
      <c r="H214" s="147" t="e">
        <f>H213+H205-#REF!</f>
        <v>#REF!</v>
      </c>
      <c r="I214" s="147" t="e">
        <f>I213+I205-#REF!</f>
        <v>#REF!</v>
      </c>
      <c r="J214" s="147" t="e">
        <f>J213+J205-#REF!</f>
        <v>#REF!</v>
      </c>
      <c r="K214" s="147" t="e">
        <f>K213+K205-#REF!</f>
        <v>#REF!</v>
      </c>
      <c r="L214" s="147" t="e">
        <f>L213+L205-#REF!</f>
        <v>#REF!</v>
      </c>
      <c r="M214" s="147" t="e">
        <f>M213+M205-#REF!</f>
        <v>#REF!</v>
      </c>
      <c r="N214" s="147" t="e">
        <f>N213+N205-#REF!</f>
        <v>#REF!</v>
      </c>
      <c r="O214" s="147" t="e">
        <f>O213+O205-#REF!</f>
        <v>#REF!</v>
      </c>
      <c r="P214" s="147" t="e">
        <f>P213+P205-#REF!</f>
        <v>#REF!</v>
      </c>
      <c r="Q214" s="147" t="e">
        <f>Q213+Q205-#REF!</f>
        <v>#REF!</v>
      </c>
      <c r="R214" s="147" t="e">
        <f>R213+R205-#REF!</f>
        <v>#REF!</v>
      </c>
      <c r="S214" s="147" t="e">
        <f>S213+S205-#REF!</f>
        <v>#REF!</v>
      </c>
      <c r="T214" s="147" t="e">
        <f>T213+T205-#REF!</f>
        <v>#REF!</v>
      </c>
      <c r="U214" s="147" t="e">
        <f>U213+U205-#REF!</f>
        <v>#REF!</v>
      </c>
      <c r="V214" s="147" t="e">
        <f>V213+V205-#REF!</f>
        <v>#REF!</v>
      </c>
      <c r="W214" s="147" t="e">
        <f>W213+W205-#REF!</f>
        <v>#REF!</v>
      </c>
      <c r="X214" s="147" t="e">
        <f>X213+X205-#REF!</f>
        <v>#REF!</v>
      </c>
      <c r="Y214" s="147" t="e">
        <f>Y213+Y205-#REF!</f>
        <v>#REF!</v>
      </c>
      <c r="Z214" s="147" t="e">
        <f>Z213+Z205-#REF!</f>
        <v>#REF!</v>
      </c>
      <c r="AA214" s="147" t="e">
        <f>AA213+AA205-#REF!</f>
        <v>#REF!</v>
      </c>
      <c r="AB214" s="147" t="e">
        <f>AB213+AB205-#REF!</f>
        <v>#REF!</v>
      </c>
      <c r="AC214" s="147" t="e">
        <f>AC213+AC205-#REF!</f>
        <v>#REF!</v>
      </c>
      <c r="AD214" s="147" t="e">
        <f>AD213+AD205-#REF!</f>
        <v>#REF!</v>
      </c>
      <c r="AE214" s="147" t="e">
        <f>AE213+AE205-#REF!</f>
        <v>#REF!</v>
      </c>
      <c r="AF214" s="147" t="e">
        <f>AF213+AF205-#REF!</f>
        <v>#REF!</v>
      </c>
      <c r="AG214" s="147" t="e">
        <f>AG213+AG205-#REF!</f>
        <v>#REF!</v>
      </c>
      <c r="AH214" s="147" t="e">
        <f>AH213+AH205-#REF!</f>
        <v>#REF!</v>
      </c>
      <c r="AI214" s="147" t="e">
        <f>AI213+AI205-#REF!</f>
        <v>#REF!</v>
      </c>
      <c r="AJ214" s="147" t="e">
        <f>AJ213+AJ205-#REF!</f>
        <v>#REF!</v>
      </c>
      <c r="AK214" s="147" t="e">
        <f>AK213+AK205-#REF!</f>
        <v>#REF!</v>
      </c>
      <c r="AL214" s="147" t="e">
        <f>AL213+AL205-#REF!</f>
        <v>#REF!</v>
      </c>
      <c r="AM214" s="147" t="e">
        <f>AM213+AM205-#REF!</f>
        <v>#REF!</v>
      </c>
      <c r="AN214" s="147" t="e">
        <f>AN213+AN205-#REF!</f>
        <v>#REF!</v>
      </c>
      <c r="AO214" s="147" t="e">
        <f>AO213+AO205-#REF!</f>
        <v>#REF!</v>
      </c>
      <c r="AP214" s="147" t="e">
        <f>AP213+AP205-#REF!</f>
        <v>#REF!</v>
      </c>
      <c r="AQ214" s="147" t="e">
        <f>AQ213+AQ205-#REF!</f>
        <v>#REF!</v>
      </c>
      <c r="AR214" s="147" t="e">
        <f>AR213+AR205-#REF!</f>
        <v>#REF!</v>
      </c>
      <c r="AS214" s="147" t="e">
        <f>AS213+AS205-#REF!</f>
        <v>#REF!</v>
      </c>
      <c r="AT214" s="147" t="e">
        <f>AT213+AT205-#REF!</f>
        <v>#REF!</v>
      </c>
      <c r="AU214" s="147" t="e">
        <f>AU213+AU205-#REF!</f>
        <v>#REF!</v>
      </c>
      <c r="AV214" s="147" t="e">
        <f>AV213+AV205-#REF!</f>
        <v>#REF!</v>
      </c>
      <c r="AW214" s="147" t="e">
        <f>AW213+AW205-#REF!</f>
        <v>#REF!</v>
      </c>
      <c r="AX214" s="147" t="e">
        <f>AX213+AX205-#REF!</f>
        <v>#REF!</v>
      </c>
      <c r="AY214" s="147" t="e">
        <f>AY213+AY205-#REF!</f>
        <v>#REF!</v>
      </c>
      <c r="AZ214" s="147" t="e">
        <f>AZ213+AZ205-#REF!</f>
        <v>#REF!</v>
      </c>
      <c r="BA214" s="147" t="e">
        <f>BA213+BA205-#REF!</f>
        <v>#REF!</v>
      </c>
      <c r="BB214" s="147" t="e">
        <f>BB213+BB205-#REF!</f>
        <v>#REF!</v>
      </c>
      <c r="BC214" s="147" t="e">
        <f>BC213+BC205-#REF!</f>
        <v>#REF!</v>
      </c>
      <c r="BD214" s="147" t="e">
        <f>BD213+BD205-#REF!</f>
        <v>#REF!</v>
      </c>
      <c r="BE214" s="147" t="e">
        <f>BE213+BE205-#REF!</f>
        <v>#REF!</v>
      </c>
      <c r="BF214" s="147" t="e">
        <f>BF213+BF205-#REF!</f>
        <v>#REF!</v>
      </c>
      <c r="BG214" s="147"/>
      <c r="BH214" s="147"/>
      <c r="BI214" s="147"/>
      <c r="BJ214" s="147"/>
      <c r="BK214" s="147"/>
      <c r="BL214" s="147"/>
    </row>
    <row r="215" spans="3:64" hidden="1" x14ac:dyDescent="0.15"/>
    <row r="216" spans="3:64" hidden="1" x14ac:dyDescent="0.15">
      <c r="C216" s="155" t="s">
        <v>426</v>
      </c>
    </row>
    <row r="217" spans="3:64" hidden="1" x14ac:dyDescent="0.15">
      <c r="C217" s="313" t="s">
        <v>434</v>
      </c>
      <c r="D217" s="140"/>
      <c r="E217" s="140">
        <f t="shared" ref="E217:BF217" si="53">D218</f>
        <v>0</v>
      </c>
      <c r="F217" s="140">
        <f t="shared" si="53"/>
        <v>0</v>
      </c>
      <c r="G217" s="140">
        <f t="shared" si="53"/>
        <v>0</v>
      </c>
      <c r="H217" s="140">
        <f t="shared" si="53"/>
        <v>0</v>
      </c>
      <c r="I217" s="140">
        <f t="shared" si="53"/>
        <v>0</v>
      </c>
      <c r="J217" s="140">
        <f t="shared" si="53"/>
        <v>0</v>
      </c>
      <c r="K217" s="140">
        <f t="shared" si="53"/>
        <v>0</v>
      </c>
      <c r="L217" s="140">
        <f t="shared" si="53"/>
        <v>0</v>
      </c>
      <c r="M217" s="140">
        <f t="shared" si="53"/>
        <v>0</v>
      </c>
      <c r="N217" s="140">
        <f t="shared" si="53"/>
        <v>0</v>
      </c>
      <c r="O217" s="140">
        <f t="shared" si="53"/>
        <v>0</v>
      </c>
      <c r="P217" s="140">
        <f t="shared" si="53"/>
        <v>0</v>
      </c>
      <c r="Q217" s="140">
        <f t="shared" si="53"/>
        <v>0</v>
      </c>
      <c r="R217" s="140">
        <f t="shared" si="53"/>
        <v>0</v>
      </c>
      <c r="S217" s="140">
        <f t="shared" si="53"/>
        <v>0</v>
      </c>
      <c r="T217" s="140">
        <f t="shared" si="53"/>
        <v>0</v>
      </c>
      <c r="U217" s="140">
        <f t="shared" si="53"/>
        <v>0</v>
      </c>
      <c r="V217" s="140">
        <f t="shared" si="53"/>
        <v>0</v>
      </c>
      <c r="W217" s="140">
        <f t="shared" si="53"/>
        <v>0</v>
      </c>
      <c r="X217" s="140">
        <f t="shared" si="53"/>
        <v>0</v>
      </c>
      <c r="Y217" s="140">
        <f t="shared" si="53"/>
        <v>0</v>
      </c>
      <c r="Z217" s="140">
        <f t="shared" si="53"/>
        <v>0</v>
      </c>
      <c r="AA217" s="140">
        <f t="shared" si="53"/>
        <v>0</v>
      </c>
      <c r="AB217" s="140">
        <f t="shared" si="53"/>
        <v>0</v>
      </c>
      <c r="AC217" s="140">
        <f t="shared" si="53"/>
        <v>0</v>
      </c>
      <c r="AD217" s="140">
        <f t="shared" si="53"/>
        <v>0</v>
      </c>
      <c r="AE217" s="140">
        <f t="shared" si="53"/>
        <v>0</v>
      </c>
      <c r="AF217" s="140">
        <f t="shared" si="53"/>
        <v>0</v>
      </c>
      <c r="AG217" s="140">
        <f t="shared" si="53"/>
        <v>0</v>
      </c>
      <c r="AH217" s="140">
        <f t="shared" si="53"/>
        <v>0</v>
      </c>
      <c r="AI217" s="140">
        <f t="shared" si="53"/>
        <v>0</v>
      </c>
      <c r="AJ217" s="140">
        <f t="shared" si="53"/>
        <v>0</v>
      </c>
      <c r="AK217" s="140">
        <f t="shared" si="53"/>
        <v>0</v>
      </c>
      <c r="AL217" s="140">
        <f t="shared" si="53"/>
        <v>0</v>
      </c>
      <c r="AM217" s="140">
        <f t="shared" si="53"/>
        <v>0</v>
      </c>
      <c r="AN217" s="140">
        <f t="shared" si="53"/>
        <v>0</v>
      </c>
      <c r="AO217" s="140">
        <f t="shared" si="53"/>
        <v>0</v>
      </c>
      <c r="AP217" s="140">
        <f t="shared" si="53"/>
        <v>0</v>
      </c>
      <c r="AQ217" s="140">
        <f t="shared" si="53"/>
        <v>0</v>
      </c>
      <c r="AR217" s="140">
        <f t="shared" si="53"/>
        <v>0</v>
      </c>
      <c r="AS217" s="140">
        <f t="shared" si="53"/>
        <v>0</v>
      </c>
      <c r="AT217" s="140">
        <f t="shared" si="53"/>
        <v>0</v>
      </c>
      <c r="AU217" s="140">
        <f t="shared" si="53"/>
        <v>0</v>
      </c>
      <c r="AV217" s="140">
        <f t="shared" si="53"/>
        <v>0</v>
      </c>
      <c r="AW217" s="140">
        <f t="shared" si="53"/>
        <v>0</v>
      </c>
      <c r="AX217" s="140">
        <f t="shared" si="53"/>
        <v>0</v>
      </c>
      <c r="AY217" s="140">
        <f t="shared" si="53"/>
        <v>0</v>
      </c>
      <c r="AZ217" s="140">
        <f t="shared" si="53"/>
        <v>0</v>
      </c>
      <c r="BA217" s="140">
        <f t="shared" si="53"/>
        <v>0</v>
      </c>
      <c r="BB217" s="140">
        <f t="shared" si="53"/>
        <v>0</v>
      </c>
      <c r="BC217" s="140">
        <f t="shared" si="53"/>
        <v>0</v>
      </c>
      <c r="BD217" s="140">
        <f t="shared" si="53"/>
        <v>0</v>
      </c>
      <c r="BE217" s="140">
        <f t="shared" si="53"/>
        <v>0</v>
      </c>
      <c r="BF217" s="140">
        <f t="shared" si="53"/>
        <v>0</v>
      </c>
      <c r="BG217" s="140"/>
      <c r="BH217" s="140"/>
      <c r="BI217" s="140"/>
      <c r="BJ217" s="140"/>
      <c r="BK217" s="140"/>
      <c r="BL217" s="140"/>
    </row>
    <row r="218" spans="3:64" hidden="1" x14ac:dyDescent="0.15">
      <c r="C218" s="313" t="s">
        <v>435</v>
      </c>
      <c r="D218" s="140"/>
      <c r="E218" s="140">
        <f>IFERROR(#REF!*E205/SUM(E205,E213),0)</f>
        <v>0</v>
      </c>
      <c r="F218" s="140">
        <f>IFERROR(#REF!*F205/SUM(F205,F213),0)</f>
        <v>0</v>
      </c>
      <c r="G218" s="140">
        <f>IFERROR(#REF!*G205/SUM(G205,G213),0)</f>
        <v>0</v>
      </c>
      <c r="H218" s="140">
        <f>IFERROR(#REF!*H205/SUM(H205,H213),0)</f>
        <v>0</v>
      </c>
      <c r="I218" s="140">
        <f>IFERROR(#REF!*I205/SUM(I205,I213),0)</f>
        <v>0</v>
      </c>
      <c r="J218" s="140">
        <f>IFERROR(#REF!*J205/SUM(J205,J213),0)</f>
        <v>0</v>
      </c>
      <c r="K218" s="140">
        <f>IFERROR(#REF!*K205/SUM(K205,K213),0)</f>
        <v>0</v>
      </c>
      <c r="L218" s="140">
        <f>IFERROR(#REF!*L205/SUM(L205,L213),0)</f>
        <v>0</v>
      </c>
      <c r="M218" s="140">
        <f>IFERROR(#REF!*M205/SUM(M205,M213),0)</f>
        <v>0</v>
      </c>
      <c r="N218" s="140">
        <f>IFERROR(#REF!*N205/SUM(N205,N213),0)</f>
        <v>0</v>
      </c>
      <c r="O218" s="140">
        <f>IFERROR(#REF!*O205/SUM(O205,O213),0)</f>
        <v>0</v>
      </c>
      <c r="P218" s="140">
        <f>IFERROR(#REF!*P205/SUM(P205,P213),0)</f>
        <v>0</v>
      </c>
      <c r="Q218" s="140">
        <f>IFERROR(#REF!*Q205/SUM(Q205,Q213),0)</f>
        <v>0</v>
      </c>
      <c r="R218" s="140">
        <f>IFERROR(#REF!*R205/SUM(R205,R213),0)</f>
        <v>0</v>
      </c>
      <c r="S218" s="140">
        <f>IFERROR(#REF!*S205/SUM(S205,S213),0)</f>
        <v>0</v>
      </c>
      <c r="T218" s="140">
        <f>IFERROR(#REF!*T205/SUM(T205,T213),0)</f>
        <v>0</v>
      </c>
      <c r="U218" s="140">
        <f>IFERROR(#REF!*U205/SUM(U205,U213),0)</f>
        <v>0</v>
      </c>
      <c r="V218" s="140">
        <f>IFERROR(#REF!*V205/SUM(V205,V213),0)</f>
        <v>0</v>
      </c>
      <c r="W218" s="140">
        <f>IFERROR(#REF!*W205/SUM(W205,W213),0)</f>
        <v>0</v>
      </c>
      <c r="X218" s="140">
        <f>IFERROR(#REF!*X205/SUM(X205,X213),0)</f>
        <v>0</v>
      </c>
      <c r="Y218" s="140">
        <f>IFERROR(#REF!*Y205/SUM(Y205,Y213),0)</f>
        <v>0</v>
      </c>
      <c r="Z218" s="140">
        <f>IFERROR(#REF!*Z205/SUM(Z205,Z213),0)</f>
        <v>0</v>
      </c>
      <c r="AA218" s="140">
        <f>IFERROR(#REF!*AA205/SUM(AA205,AA213),0)</f>
        <v>0</v>
      </c>
      <c r="AB218" s="140">
        <f>IFERROR(#REF!*AB205/SUM(AB205,AB213),0)</f>
        <v>0</v>
      </c>
      <c r="AC218" s="140">
        <f>IFERROR(#REF!*AC205/SUM(AC205,AC213),0)</f>
        <v>0</v>
      </c>
      <c r="AD218" s="140">
        <f>IFERROR(#REF!*AD205/SUM(AD205,AD213),0)</f>
        <v>0</v>
      </c>
      <c r="AE218" s="140">
        <f>IFERROR(#REF!*AE205/SUM(AE205,AE213),0)</f>
        <v>0</v>
      </c>
      <c r="AF218" s="140">
        <f>IFERROR(#REF!*AF205/SUM(AF205,AF213),0)</f>
        <v>0</v>
      </c>
      <c r="AG218" s="140">
        <f>IFERROR(#REF!*AG205/SUM(AG205,AG213),0)</f>
        <v>0</v>
      </c>
      <c r="AH218" s="140">
        <f>IFERROR(#REF!*AH205/SUM(AH205,AH213),0)</f>
        <v>0</v>
      </c>
      <c r="AI218" s="140">
        <f>IFERROR(#REF!*AI205/SUM(AI205,AI213),0)</f>
        <v>0</v>
      </c>
      <c r="AJ218" s="140">
        <f>IFERROR(#REF!*AJ205/SUM(AJ205,AJ213),0)</f>
        <v>0</v>
      </c>
      <c r="AK218" s="140">
        <f>IFERROR(#REF!*AK205/SUM(AK205,AK213),0)</f>
        <v>0</v>
      </c>
      <c r="AL218" s="140">
        <f>IFERROR(#REF!*AL205/SUM(AL205,AL213),0)</f>
        <v>0</v>
      </c>
      <c r="AM218" s="140">
        <f>IFERROR(#REF!*AM205/SUM(AM205,AM213),0)</f>
        <v>0</v>
      </c>
      <c r="AN218" s="140">
        <f>IFERROR(#REF!*AN205/SUM(AN205,AN213),0)</f>
        <v>0</v>
      </c>
      <c r="AO218" s="140">
        <f>IFERROR(#REF!*AO205/SUM(AO205,AO213),0)</f>
        <v>0</v>
      </c>
      <c r="AP218" s="140">
        <f>IFERROR(#REF!*AP205/SUM(AP205,AP213),0)</f>
        <v>0</v>
      </c>
      <c r="AQ218" s="140">
        <f>IFERROR(#REF!*AQ205/SUM(AQ205,AQ213),0)</f>
        <v>0</v>
      </c>
      <c r="AR218" s="140">
        <f>IFERROR(#REF!*AR205/SUM(AR205,AR213),0)</f>
        <v>0</v>
      </c>
      <c r="AS218" s="140">
        <f>IFERROR(#REF!*AS205/SUM(AS205,AS213),0)</f>
        <v>0</v>
      </c>
      <c r="AT218" s="140">
        <f>IFERROR(#REF!*AT205/SUM(AT205,AT213),0)</f>
        <v>0</v>
      </c>
      <c r="AU218" s="140">
        <f>IFERROR(#REF!*AU205/SUM(AU205,AU213),0)</f>
        <v>0</v>
      </c>
      <c r="AV218" s="140">
        <f>IFERROR(#REF!*AV205/SUM(AV205,AV213),0)</f>
        <v>0</v>
      </c>
      <c r="AW218" s="140">
        <f>IFERROR(#REF!*AW205/SUM(AW205,AW213),0)</f>
        <v>0</v>
      </c>
      <c r="AX218" s="140">
        <f>IFERROR(#REF!*AX205/SUM(AX205,AX213),0)</f>
        <v>0</v>
      </c>
      <c r="AY218" s="140">
        <f>IFERROR(#REF!*AY205/SUM(AY205,AY213),0)</f>
        <v>0</v>
      </c>
      <c r="AZ218" s="140">
        <f>IFERROR(#REF!*AZ205/SUM(AZ205,AZ213),0)</f>
        <v>0</v>
      </c>
      <c r="BA218" s="140">
        <f>IFERROR(#REF!*BA205/SUM(BA205,BA213),0)</f>
        <v>0</v>
      </c>
      <c r="BB218" s="140">
        <f>IFERROR(#REF!*BB205/SUM(BB205,BB213),0)</f>
        <v>0</v>
      </c>
      <c r="BC218" s="140">
        <f>IFERROR(#REF!*BC205/SUM(BC205,BC213),0)</f>
        <v>0</v>
      </c>
      <c r="BD218" s="140">
        <f>IFERROR(#REF!*BD205/SUM(BD205,BD213),0)</f>
        <v>0</v>
      </c>
      <c r="BE218" s="140">
        <f>IFERROR(#REF!*BE205/SUM(BE205,BE213),0)</f>
        <v>0</v>
      </c>
      <c r="BF218" s="140">
        <f>IFERROR(#REF!*BF205/SUM(BF205,BF213),0)</f>
        <v>0</v>
      </c>
      <c r="BG218" s="140"/>
      <c r="BH218" s="140"/>
      <c r="BI218" s="140"/>
      <c r="BJ218" s="140"/>
      <c r="BK218" s="140"/>
      <c r="BL218" s="140"/>
    </row>
    <row r="219" spans="3:64" hidden="1" x14ac:dyDescent="0.15"/>
    <row r="220" spans="3:64" hidden="1" x14ac:dyDescent="0.15">
      <c r="C220" s="155" t="s">
        <v>432</v>
      </c>
    </row>
    <row r="221" spans="3:64" hidden="1" x14ac:dyDescent="0.15">
      <c r="C221" s="313" t="s">
        <v>434</v>
      </c>
      <c r="E221" s="140">
        <f t="shared" ref="E221:BF221" si="54">D222</f>
        <v>0</v>
      </c>
      <c r="F221" s="140">
        <f t="shared" si="54"/>
        <v>0</v>
      </c>
      <c r="G221" s="140">
        <f t="shared" si="54"/>
        <v>0</v>
      </c>
      <c r="H221" s="140">
        <f t="shared" si="54"/>
        <v>0</v>
      </c>
      <c r="I221" s="140">
        <f t="shared" si="54"/>
        <v>0</v>
      </c>
      <c r="J221" s="140">
        <f t="shared" si="54"/>
        <v>0</v>
      </c>
      <c r="K221" s="140">
        <f t="shared" si="54"/>
        <v>0</v>
      </c>
      <c r="L221" s="140">
        <f t="shared" si="54"/>
        <v>0</v>
      </c>
      <c r="M221" s="140">
        <f t="shared" si="54"/>
        <v>0</v>
      </c>
      <c r="N221" s="140">
        <f t="shared" si="54"/>
        <v>0</v>
      </c>
      <c r="O221" s="140">
        <f t="shared" si="54"/>
        <v>0</v>
      </c>
      <c r="P221" s="140">
        <f t="shared" si="54"/>
        <v>0</v>
      </c>
      <c r="Q221" s="140">
        <f t="shared" si="54"/>
        <v>0</v>
      </c>
      <c r="R221" s="140">
        <f t="shared" si="54"/>
        <v>0</v>
      </c>
      <c r="S221" s="140">
        <f t="shared" si="54"/>
        <v>0</v>
      </c>
      <c r="T221" s="140">
        <f t="shared" si="54"/>
        <v>0</v>
      </c>
      <c r="U221" s="140">
        <f t="shared" si="54"/>
        <v>0</v>
      </c>
      <c r="V221" s="140">
        <f t="shared" si="54"/>
        <v>0</v>
      </c>
      <c r="W221" s="140">
        <f t="shared" si="54"/>
        <v>0</v>
      </c>
      <c r="X221" s="140">
        <f t="shared" si="54"/>
        <v>0</v>
      </c>
      <c r="Y221" s="140">
        <f t="shared" si="54"/>
        <v>0</v>
      </c>
      <c r="Z221" s="140">
        <f t="shared" si="54"/>
        <v>0</v>
      </c>
      <c r="AA221" s="140">
        <f t="shared" si="54"/>
        <v>0</v>
      </c>
      <c r="AB221" s="140">
        <f t="shared" si="54"/>
        <v>0</v>
      </c>
      <c r="AC221" s="140">
        <f t="shared" si="54"/>
        <v>0</v>
      </c>
      <c r="AD221" s="140">
        <f t="shared" si="54"/>
        <v>0</v>
      </c>
      <c r="AE221" s="140">
        <f t="shared" si="54"/>
        <v>0</v>
      </c>
      <c r="AF221" s="140">
        <f t="shared" si="54"/>
        <v>0</v>
      </c>
      <c r="AG221" s="140">
        <f t="shared" si="54"/>
        <v>0</v>
      </c>
      <c r="AH221" s="140">
        <f t="shared" si="54"/>
        <v>0</v>
      </c>
      <c r="AI221" s="140">
        <f t="shared" si="54"/>
        <v>0</v>
      </c>
      <c r="AJ221" s="140">
        <f t="shared" si="54"/>
        <v>0</v>
      </c>
      <c r="AK221" s="140">
        <f t="shared" si="54"/>
        <v>0</v>
      </c>
      <c r="AL221" s="140">
        <f t="shared" si="54"/>
        <v>0</v>
      </c>
      <c r="AM221" s="140">
        <f t="shared" si="54"/>
        <v>0</v>
      </c>
      <c r="AN221" s="140">
        <f t="shared" si="54"/>
        <v>0</v>
      </c>
      <c r="AO221" s="140">
        <f t="shared" si="54"/>
        <v>0</v>
      </c>
      <c r="AP221" s="140">
        <f t="shared" si="54"/>
        <v>0</v>
      </c>
      <c r="AQ221" s="140">
        <f t="shared" si="54"/>
        <v>0</v>
      </c>
      <c r="AR221" s="140">
        <f t="shared" si="54"/>
        <v>0</v>
      </c>
      <c r="AS221" s="140">
        <f t="shared" si="54"/>
        <v>0</v>
      </c>
      <c r="AT221" s="140">
        <f t="shared" si="54"/>
        <v>0</v>
      </c>
      <c r="AU221" s="140">
        <f t="shared" si="54"/>
        <v>0</v>
      </c>
      <c r="AV221" s="140">
        <f t="shared" si="54"/>
        <v>0</v>
      </c>
      <c r="AW221" s="140">
        <f t="shared" si="54"/>
        <v>0</v>
      </c>
      <c r="AX221" s="140">
        <f t="shared" si="54"/>
        <v>0</v>
      </c>
      <c r="AY221" s="140">
        <f t="shared" si="54"/>
        <v>0</v>
      </c>
      <c r="AZ221" s="140">
        <f t="shared" si="54"/>
        <v>0</v>
      </c>
      <c r="BA221" s="140">
        <f t="shared" si="54"/>
        <v>0</v>
      </c>
      <c r="BB221" s="140">
        <f t="shared" si="54"/>
        <v>0</v>
      </c>
      <c r="BC221" s="140">
        <f t="shared" si="54"/>
        <v>0</v>
      </c>
      <c r="BD221" s="140">
        <f t="shared" si="54"/>
        <v>0</v>
      </c>
      <c r="BE221" s="140">
        <f t="shared" si="54"/>
        <v>0</v>
      </c>
      <c r="BF221" s="140">
        <f t="shared" si="54"/>
        <v>0</v>
      </c>
      <c r="BG221" s="140"/>
      <c r="BH221" s="140"/>
      <c r="BI221" s="140"/>
      <c r="BJ221" s="140"/>
      <c r="BK221" s="140"/>
      <c r="BL221" s="140"/>
    </row>
    <row r="222" spans="3:64" hidden="1" x14ac:dyDescent="0.15">
      <c r="C222" s="313" t="s">
        <v>435</v>
      </c>
      <c r="E222" s="140">
        <f>IFERROR(#REF!*E213/SUM(E205,E213),0)</f>
        <v>0</v>
      </c>
      <c r="F222" s="140">
        <f>IFERROR(#REF!*F213/SUM(F205,F213),0)</f>
        <v>0</v>
      </c>
      <c r="G222" s="140">
        <f>IFERROR(#REF!*G213/SUM(G205,G213),0)</f>
        <v>0</v>
      </c>
      <c r="H222" s="140">
        <f>IFERROR(#REF!*H213/SUM(H205,H213),0)</f>
        <v>0</v>
      </c>
      <c r="I222" s="140">
        <f>IFERROR(#REF!*I213/SUM(I205,I213),0)</f>
        <v>0</v>
      </c>
      <c r="J222" s="140">
        <f>IFERROR(#REF!*J213/SUM(J205,J213),0)</f>
        <v>0</v>
      </c>
      <c r="K222" s="140">
        <f>IFERROR(#REF!*K213/SUM(K205,K213),0)</f>
        <v>0</v>
      </c>
      <c r="L222" s="140">
        <f>IFERROR(#REF!*L213/SUM(L205,L213),0)</f>
        <v>0</v>
      </c>
      <c r="M222" s="140">
        <f>IFERROR(#REF!*M213/SUM(M205,M213),0)</f>
        <v>0</v>
      </c>
      <c r="N222" s="140">
        <f>IFERROR(#REF!*N213/SUM(N205,N213),0)</f>
        <v>0</v>
      </c>
      <c r="O222" s="140">
        <f>IFERROR(#REF!*O213/SUM(O205,O213),0)</f>
        <v>0</v>
      </c>
      <c r="P222" s="140">
        <f>IFERROR(#REF!*P213/SUM(P205,P213),0)</f>
        <v>0</v>
      </c>
      <c r="Q222" s="140">
        <f>IFERROR(#REF!*Q213/SUM(Q205,Q213),0)</f>
        <v>0</v>
      </c>
      <c r="R222" s="140">
        <f>IFERROR(#REF!*R213/SUM(R205,R213),0)</f>
        <v>0</v>
      </c>
      <c r="S222" s="140">
        <f>IFERROR(#REF!*S213/SUM(S205,S213),0)</f>
        <v>0</v>
      </c>
      <c r="T222" s="140">
        <f>IFERROR(#REF!*T213/SUM(T205,T213),0)</f>
        <v>0</v>
      </c>
      <c r="U222" s="140">
        <f>IFERROR(#REF!*U213/SUM(U205,U213),0)</f>
        <v>0</v>
      </c>
      <c r="V222" s="140">
        <f>IFERROR(#REF!*V213/SUM(V205,V213),0)</f>
        <v>0</v>
      </c>
      <c r="W222" s="140">
        <f>IFERROR(#REF!*W213/SUM(W205,W213),0)</f>
        <v>0</v>
      </c>
      <c r="X222" s="140">
        <f>IFERROR(#REF!*X213/SUM(X205,X213),0)</f>
        <v>0</v>
      </c>
      <c r="Y222" s="140">
        <f>IFERROR(#REF!*Y213/SUM(Y205,Y213),0)</f>
        <v>0</v>
      </c>
      <c r="Z222" s="140">
        <f>IFERROR(#REF!*Z213/SUM(Z205,Z213),0)</f>
        <v>0</v>
      </c>
      <c r="AA222" s="140">
        <f>IFERROR(#REF!*AA213/SUM(AA205,AA213),0)</f>
        <v>0</v>
      </c>
      <c r="AB222" s="140">
        <f>IFERROR(#REF!*AB213/SUM(AB205,AB213),0)</f>
        <v>0</v>
      </c>
      <c r="AC222" s="140">
        <f>IFERROR(#REF!*AC213/SUM(AC205,AC213),0)</f>
        <v>0</v>
      </c>
      <c r="AD222" s="140">
        <f>IFERROR(#REF!*AD213/SUM(AD205,AD213),0)</f>
        <v>0</v>
      </c>
      <c r="AE222" s="140">
        <f>IFERROR(#REF!*AE213/SUM(AE205,AE213),0)</f>
        <v>0</v>
      </c>
      <c r="AF222" s="140">
        <f>IFERROR(#REF!*AF213/SUM(AF205,AF213),0)</f>
        <v>0</v>
      </c>
      <c r="AG222" s="140">
        <f>IFERROR(#REF!*AG213/SUM(AG205,AG213),0)</f>
        <v>0</v>
      </c>
      <c r="AH222" s="140">
        <f>IFERROR(#REF!*AH213/SUM(AH205,AH213),0)</f>
        <v>0</v>
      </c>
      <c r="AI222" s="140">
        <f>IFERROR(#REF!*AI213/SUM(AI205,AI213),0)</f>
        <v>0</v>
      </c>
      <c r="AJ222" s="140">
        <f>IFERROR(#REF!*AJ213/SUM(AJ205,AJ213),0)</f>
        <v>0</v>
      </c>
      <c r="AK222" s="140">
        <f>IFERROR(#REF!*AK213/SUM(AK205,AK213),0)</f>
        <v>0</v>
      </c>
      <c r="AL222" s="140">
        <f>IFERROR(#REF!*AL213/SUM(AL205,AL213),0)</f>
        <v>0</v>
      </c>
      <c r="AM222" s="140">
        <f>IFERROR(#REF!*AM213/SUM(AM205,AM213),0)</f>
        <v>0</v>
      </c>
      <c r="AN222" s="140">
        <f>IFERROR(#REF!*AN213/SUM(AN205,AN213),0)</f>
        <v>0</v>
      </c>
      <c r="AO222" s="140">
        <f>IFERROR(#REF!*AO213/SUM(AO205,AO213),0)</f>
        <v>0</v>
      </c>
      <c r="AP222" s="140">
        <f>IFERROR(#REF!*AP213/SUM(AP205,AP213),0)</f>
        <v>0</v>
      </c>
      <c r="AQ222" s="140">
        <f>IFERROR(#REF!*AQ213/SUM(AQ205,AQ213),0)</f>
        <v>0</v>
      </c>
      <c r="AR222" s="140">
        <f>IFERROR(#REF!*AR213/SUM(AR205,AR213),0)</f>
        <v>0</v>
      </c>
      <c r="AS222" s="140">
        <f>IFERROR(#REF!*AS213/SUM(AS205,AS213),0)</f>
        <v>0</v>
      </c>
      <c r="AT222" s="140">
        <f>IFERROR(#REF!*AT213/SUM(AT205,AT213),0)</f>
        <v>0</v>
      </c>
      <c r="AU222" s="140">
        <f>IFERROR(#REF!*AU213/SUM(AU205,AU213),0)</f>
        <v>0</v>
      </c>
      <c r="AV222" s="140">
        <f>IFERROR(#REF!*AV213/SUM(AV205,AV213),0)</f>
        <v>0</v>
      </c>
      <c r="AW222" s="140">
        <f>IFERROR(#REF!*AW213/SUM(AW205,AW213),0)</f>
        <v>0</v>
      </c>
      <c r="AX222" s="140">
        <f>IFERROR(#REF!*AX213/SUM(AX205,AX213),0)</f>
        <v>0</v>
      </c>
      <c r="AY222" s="140">
        <f>IFERROR(#REF!*AY213/SUM(AY205,AY213),0)</f>
        <v>0</v>
      </c>
      <c r="AZ222" s="140">
        <f>IFERROR(#REF!*AZ213/SUM(AZ205,AZ213),0)</f>
        <v>0</v>
      </c>
      <c r="BA222" s="140">
        <f>IFERROR(#REF!*BA213/SUM(BA205,BA213),0)</f>
        <v>0</v>
      </c>
      <c r="BB222" s="140">
        <f>IFERROR(#REF!*BB213/SUM(BB205,BB213),0)</f>
        <v>0</v>
      </c>
      <c r="BC222" s="140">
        <f>IFERROR(#REF!*BC213/SUM(BC205,BC213),0)</f>
        <v>0</v>
      </c>
      <c r="BD222" s="140">
        <f>IFERROR(#REF!*BD213/SUM(BD205,BD213),0)</f>
        <v>0</v>
      </c>
      <c r="BE222" s="140">
        <f>IFERROR(#REF!*BE213/SUM(BE205,BE213),0)</f>
        <v>0</v>
      </c>
      <c r="BF222" s="140">
        <f>IFERROR(#REF!*BF213/SUM(BF205,BF213),0)</f>
        <v>0</v>
      </c>
      <c r="BG222" s="140"/>
      <c r="BH222" s="140"/>
      <c r="BI222" s="140"/>
      <c r="BJ222" s="140"/>
      <c r="BK222" s="140"/>
      <c r="BL222" s="140"/>
    </row>
    <row r="223" spans="3:64" hidden="1" x14ac:dyDescent="0.15">
      <c r="C223" s="313" t="s">
        <v>433</v>
      </c>
      <c r="E223" s="147" t="e">
        <f>E222+E218-#REF!</f>
        <v>#REF!</v>
      </c>
      <c r="F223" s="147" t="e">
        <f>F222+F218-#REF!</f>
        <v>#REF!</v>
      </c>
      <c r="G223" s="147" t="e">
        <f>G222+G218-#REF!</f>
        <v>#REF!</v>
      </c>
      <c r="H223" s="147" t="e">
        <f>H222+H218-#REF!</f>
        <v>#REF!</v>
      </c>
      <c r="I223" s="147" t="e">
        <f>I222+I218-#REF!</f>
        <v>#REF!</v>
      </c>
      <c r="J223" s="147" t="e">
        <f>J222+J218-#REF!</f>
        <v>#REF!</v>
      </c>
      <c r="K223" s="147" t="e">
        <f>K222+K218-#REF!</f>
        <v>#REF!</v>
      </c>
      <c r="L223" s="147" t="e">
        <f>L222+L218-#REF!</f>
        <v>#REF!</v>
      </c>
      <c r="M223" s="147" t="e">
        <f>M222+M218-#REF!</f>
        <v>#REF!</v>
      </c>
      <c r="N223" s="147" t="e">
        <f>N222+N218-#REF!</f>
        <v>#REF!</v>
      </c>
      <c r="O223" s="147" t="e">
        <f>O222+O218-#REF!</f>
        <v>#REF!</v>
      </c>
      <c r="P223" s="147" t="e">
        <f>P222+P218-#REF!</f>
        <v>#REF!</v>
      </c>
      <c r="Q223" s="147" t="e">
        <f>Q222+Q218-#REF!</f>
        <v>#REF!</v>
      </c>
      <c r="R223" s="147" t="e">
        <f>R222+R218-#REF!</f>
        <v>#REF!</v>
      </c>
      <c r="S223" s="147" t="e">
        <f>S222+S218-#REF!</f>
        <v>#REF!</v>
      </c>
      <c r="T223" s="147" t="e">
        <f>T222+T218-#REF!</f>
        <v>#REF!</v>
      </c>
      <c r="U223" s="147" t="e">
        <f>U222+U218-#REF!</f>
        <v>#REF!</v>
      </c>
      <c r="V223" s="147" t="e">
        <f>V222+V218-#REF!</f>
        <v>#REF!</v>
      </c>
      <c r="W223" s="147" t="e">
        <f>W222+W218-#REF!</f>
        <v>#REF!</v>
      </c>
      <c r="X223" s="147" t="e">
        <f>X222+X218-#REF!</f>
        <v>#REF!</v>
      </c>
      <c r="Y223" s="147" t="e">
        <f>Y222+Y218-#REF!</f>
        <v>#REF!</v>
      </c>
      <c r="Z223" s="147" t="e">
        <f>Z222+Z218-#REF!</f>
        <v>#REF!</v>
      </c>
      <c r="AA223" s="147" t="e">
        <f>AA222+AA218-#REF!</f>
        <v>#REF!</v>
      </c>
      <c r="AB223" s="147" t="e">
        <f>AB222+AB218-#REF!</f>
        <v>#REF!</v>
      </c>
      <c r="AC223" s="147" t="e">
        <f>AC222+AC218-#REF!</f>
        <v>#REF!</v>
      </c>
      <c r="AD223" s="147" t="e">
        <f>AD222+AD218-#REF!</f>
        <v>#REF!</v>
      </c>
      <c r="AE223" s="147" t="e">
        <f>AE222+AE218-#REF!</f>
        <v>#REF!</v>
      </c>
      <c r="AF223" s="147" t="e">
        <f>AF222+AF218-#REF!</f>
        <v>#REF!</v>
      </c>
      <c r="AG223" s="147" t="e">
        <f>AG222+AG218-#REF!</f>
        <v>#REF!</v>
      </c>
      <c r="AH223" s="147" t="e">
        <f>AH222+AH218-#REF!</f>
        <v>#REF!</v>
      </c>
      <c r="AI223" s="147" t="e">
        <f>AI222+AI218-#REF!</f>
        <v>#REF!</v>
      </c>
      <c r="AJ223" s="147" t="e">
        <f>AJ222+AJ218-#REF!</f>
        <v>#REF!</v>
      </c>
      <c r="AK223" s="147" t="e">
        <f>AK222+AK218-#REF!</f>
        <v>#REF!</v>
      </c>
      <c r="AL223" s="147" t="e">
        <f>AL222+AL218-#REF!</f>
        <v>#REF!</v>
      </c>
      <c r="AM223" s="147" t="e">
        <f>AM222+AM218-#REF!</f>
        <v>#REF!</v>
      </c>
      <c r="AN223" s="147" t="e">
        <f>AN222+AN218-#REF!</f>
        <v>#REF!</v>
      </c>
      <c r="AO223" s="147" t="e">
        <f>AO222+AO218-#REF!</f>
        <v>#REF!</v>
      </c>
      <c r="AP223" s="147" t="e">
        <f>AP222+AP218-#REF!</f>
        <v>#REF!</v>
      </c>
      <c r="AQ223" s="147" t="e">
        <f>AQ222+AQ218-#REF!</f>
        <v>#REF!</v>
      </c>
      <c r="AR223" s="147" t="e">
        <f>AR222+AR218-#REF!</f>
        <v>#REF!</v>
      </c>
      <c r="AS223" s="147" t="e">
        <f>AS222+AS218-#REF!</f>
        <v>#REF!</v>
      </c>
      <c r="AT223" s="147" t="e">
        <f>AT222+AT218-#REF!</f>
        <v>#REF!</v>
      </c>
      <c r="AU223" s="147" t="e">
        <f>AU222+AU218-#REF!</f>
        <v>#REF!</v>
      </c>
      <c r="AV223" s="147" t="e">
        <f>AV222+AV218-#REF!</f>
        <v>#REF!</v>
      </c>
      <c r="AW223" s="147" t="e">
        <f>AW222+AW218-#REF!</f>
        <v>#REF!</v>
      </c>
      <c r="AX223" s="147" t="e">
        <f>AX222+AX218-#REF!</f>
        <v>#REF!</v>
      </c>
      <c r="AY223" s="147" t="e">
        <f>AY222+AY218-#REF!</f>
        <v>#REF!</v>
      </c>
      <c r="AZ223" s="147" t="e">
        <f>AZ222+AZ218-#REF!</f>
        <v>#REF!</v>
      </c>
      <c r="BA223" s="147" t="e">
        <f>BA222+BA218-#REF!</f>
        <v>#REF!</v>
      </c>
      <c r="BB223" s="147" t="e">
        <f>BB222+BB218-#REF!</f>
        <v>#REF!</v>
      </c>
      <c r="BC223" s="147" t="e">
        <f>BC222+BC218-#REF!</f>
        <v>#REF!</v>
      </c>
      <c r="BD223" s="147" t="e">
        <f>BD222+BD218-#REF!</f>
        <v>#REF!</v>
      </c>
      <c r="BE223" s="147" t="e">
        <f>BE222+BE218-#REF!</f>
        <v>#REF!</v>
      </c>
      <c r="BF223" s="147" t="e">
        <f>BF222+BF218-#REF!</f>
        <v>#REF!</v>
      </c>
      <c r="BG223" s="147"/>
      <c r="BH223" s="147"/>
      <c r="BI223" s="147"/>
      <c r="BJ223" s="147"/>
      <c r="BK223" s="147"/>
      <c r="BL223" s="147"/>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8D49-97B0-DD40-BD20-F43B43BCAEAD}">
  <sheetPr>
    <tabColor rgb="FFFFFF00"/>
  </sheetPr>
  <dimension ref="A1:BQ34"/>
  <sheetViews>
    <sheetView showGridLines="0" topLeftCell="A3" zoomScale="120" zoomScaleNormal="120" zoomScaleSheetLayoutView="70" workbookViewId="0">
      <selection activeCell="G124" sqref="G124"/>
    </sheetView>
  </sheetViews>
  <sheetFormatPr baseColWidth="10" defaultColWidth="10.1640625" defaultRowHeight="11" x14ac:dyDescent="0.15"/>
  <cols>
    <col min="1" max="1" width="2.5" style="282" customWidth="1"/>
    <col min="2" max="2" width="3.33203125" style="173" customWidth="1"/>
    <col min="3" max="3" width="28" style="173" customWidth="1"/>
    <col min="4" max="39" width="10.5" style="173" customWidth="1"/>
    <col min="40" max="16384" width="10.1640625" style="173"/>
  </cols>
  <sheetData>
    <row r="1" spans="1:69" ht="23" x14ac:dyDescent="0.25">
      <c r="C1" s="314" t="s">
        <v>436</v>
      </c>
      <c r="D1" s="315"/>
    </row>
    <row r="2" spans="1:69" s="67" customFormat="1" ht="14" thickBot="1" x14ac:dyDescent="0.2">
      <c r="A2" s="316"/>
      <c r="C2" s="317" t="s">
        <v>437</v>
      </c>
      <c r="D2" s="318" t="s">
        <v>438</v>
      </c>
      <c r="E2" s="318"/>
      <c r="F2" s="318"/>
      <c r="G2" s="318"/>
      <c r="H2" s="318"/>
      <c r="I2" s="318"/>
      <c r="J2" s="318"/>
      <c r="K2" s="318"/>
      <c r="L2" s="318"/>
      <c r="M2" s="318"/>
      <c r="N2" s="318"/>
      <c r="O2" s="318"/>
      <c r="P2" s="318"/>
    </row>
    <row r="3" spans="1:69" s="67" customFormat="1" ht="13" x14ac:dyDescent="0.15">
      <c r="A3" s="319"/>
      <c r="B3" s="48"/>
      <c r="P3" s="320"/>
      <c r="Q3" s="320"/>
    </row>
    <row r="4" spans="1:69" s="67" customFormat="1" ht="13" x14ac:dyDescent="0.15">
      <c r="A4" s="316"/>
      <c r="B4" s="321"/>
      <c r="C4" s="322" t="s">
        <v>439</v>
      </c>
      <c r="D4" s="323">
        <v>45658</v>
      </c>
      <c r="E4" s="324">
        <f t="shared" ref="E4:BL4" si="0">EOMONTH(D4,1)</f>
        <v>45716</v>
      </c>
      <c r="F4" s="324">
        <f t="shared" si="0"/>
        <v>45747</v>
      </c>
      <c r="G4" s="324">
        <f t="shared" si="0"/>
        <v>45777</v>
      </c>
      <c r="H4" s="324">
        <f t="shared" si="0"/>
        <v>45808</v>
      </c>
      <c r="I4" s="324">
        <f t="shared" si="0"/>
        <v>45838</v>
      </c>
      <c r="J4" s="324">
        <f t="shared" si="0"/>
        <v>45869</v>
      </c>
      <c r="K4" s="324">
        <f t="shared" si="0"/>
        <v>45900</v>
      </c>
      <c r="L4" s="324">
        <f t="shared" si="0"/>
        <v>45930</v>
      </c>
      <c r="M4" s="324">
        <f t="shared" si="0"/>
        <v>45961</v>
      </c>
      <c r="N4" s="324">
        <f t="shared" si="0"/>
        <v>45991</v>
      </c>
      <c r="O4" s="324">
        <f t="shared" si="0"/>
        <v>46022</v>
      </c>
      <c r="P4" s="324">
        <f t="shared" si="0"/>
        <v>46053</v>
      </c>
      <c r="Q4" s="324">
        <f t="shared" si="0"/>
        <v>46081</v>
      </c>
      <c r="R4" s="324">
        <f t="shared" si="0"/>
        <v>46112</v>
      </c>
      <c r="S4" s="324">
        <f t="shared" si="0"/>
        <v>46142</v>
      </c>
      <c r="T4" s="324">
        <f t="shared" si="0"/>
        <v>46173</v>
      </c>
      <c r="U4" s="324">
        <f t="shared" si="0"/>
        <v>46203</v>
      </c>
      <c r="V4" s="324">
        <f t="shared" si="0"/>
        <v>46234</v>
      </c>
      <c r="W4" s="324">
        <f t="shared" si="0"/>
        <v>46265</v>
      </c>
      <c r="X4" s="324">
        <f t="shared" si="0"/>
        <v>46295</v>
      </c>
      <c r="Y4" s="324">
        <f t="shared" si="0"/>
        <v>46326</v>
      </c>
      <c r="Z4" s="324">
        <f t="shared" si="0"/>
        <v>46356</v>
      </c>
      <c r="AA4" s="324">
        <f t="shared" si="0"/>
        <v>46387</v>
      </c>
      <c r="AB4" s="324">
        <f t="shared" si="0"/>
        <v>46418</v>
      </c>
      <c r="AC4" s="324">
        <f t="shared" si="0"/>
        <v>46446</v>
      </c>
      <c r="AD4" s="324">
        <f t="shared" si="0"/>
        <v>46477</v>
      </c>
      <c r="AE4" s="324">
        <f t="shared" si="0"/>
        <v>46507</v>
      </c>
      <c r="AF4" s="324">
        <f t="shared" si="0"/>
        <v>46538</v>
      </c>
      <c r="AG4" s="324">
        <f t="shared" si="0"/>
        <v>46568</v>
      </c>
      <c r="AH4" s="324">
        <f t="shared" si="0"/>
        <v>46599</v>
      </c>
      <c r="AI4" s="324">
        <f t="shared" si="0"/>
        <v>46630</v>
      </c>
      <c r="AJ4" s="324">
        <f t="shared" si="0"/>
        <v>46660</v>
      </c>
      <c r="AK4" s="324">
        <f t="shared" si="0"/>
        <v>46691</v>
      </c>
      <c r="AL4" s="324">
        <f t="shared" si="0"/>
        <v>46721</v>
      </c>
      <c r="AM4" s="324">
        <f t="shared" si="0"/>
        <v>46752</v>
      </c>
      <c r="AN4" s="324">
        <f t="shared" si="0"/>
        <v>46783</v>
      </c>
      <c r="AO4" s="324">
        <f t="shared" si="0"/>
        <v>46812</v>
      </c>
      <c r="AP4" s="324">
        <f t="shared" si="0"/>
        <v>46843</v>
      </c>
      <c r="AQ4" s="324">
        <f t="shared" si="0"/>
        <v>46873</v>
      </c>
      <c r="AR4" s="324">
        <f t="shared" si="0"/>
        <v>46904</v>
      </c>
      <c r="AS4" s="324">
        <f t="shared" si="0"/>
        <v>46934</v>
      </c>
      <c r="AT4" s="324">
        <f t="shared" si="0"/>
        <v>46965</v>
      </c>
      <c r="AU4" s="324">
        <f t="shared" si="0"/>
        <v>46996</v>
      </c>
      <c r="AV4" s="324">
        <f t="shared" si="0"/>
        <v>47026</v>
      </c>
      <c r="AW4" s="324">
        <f t="shared" si="0"/>
        <v>47057</v>
      </c>
      <c r="AX4" s="324">
        <f t="shared" si="0"/>
        <v>47087</v>
      </c>
      <c r="AY4" s="324">
        <f t="shared" si="0"/>
        <v>47118</v>
      </c>
      <c r="AZ4" s="324">
        <f t="shared" si="0"/>
        <v>47149</v>
      </c>
      <c r="BA4" s="324">
        <f t="shared" si="0"/>
        <v>47177</v>
      </c>
      <c r="BB4" s="324">
        <f t="shared" si="0"/>
        <v>47208</v>
      </c>
      <c r="BC4" s="324">
        <f t="shared" si="0"/>
        <v>47238</v>
      </c>
      <c r="BD4" s="324">
        <f t="shared" si="0"/>
        <v>47269</v>
      </c>
      <c r="BE4" s="324">
        <f t="shared" si="0"/>
        <v>47299</v>
      </c>
      <c r="BF4" s="324">
        <f t="shared" si="0"/>
        <v>47330</v>
      </c>
      <c r="BG4" s="324">
        <f t="shared" si="0"/>
        <v>47361</v>
      </c>
      <c r="BH4" s="324">
        <f t="shared" si="0"/>
        <v>47391</v>
      </c>
      <c r="BI4" s="324">
        <f t="shared" si="0"/>
        <v>47422</v>
      </c>
      <c r="BJ4" s="324">
        <f t="shared" si="0"/>
        <v>47452</v>
      </c>
      <c r="BK4" s="324">
        <f t="shared" si="0"/>
        <v>47483</v>
      </c>
      <c r="BL4" s="324">
        <f t="shared" si="0"/>
        <v>47514</v>
      </c>
      <c r="BM4" s="320"/>
      <c r="BN4" s="320"/>
      <c r="BO4" s="320"/>
      <c r="BP4" s="320"/>
      <c r="BQ4" s="320"/>
    </row>
    <row r="5" spans="1:69" s="70" customFormat="1" ht="13" x14ac:dyDescent="0.15">
      <c r="A5" s="325"/>
      <c r="C5" s="326" t="s">
        <v>440</v>
      </c>
      <c r="D5" s="327">
        <f t="shared" ref="D5:BL5" si="1">YEAR(D4)</f>
        <v>2025</v>
      </c>
      <c r="E5" s="327">
        <f t="shared" si="1"/>
        <v>2025</v>
      </c>
      <c r="F5" s="327">
        <f t="shared" si="1"/>
        <v>2025</v>
      </c>
      <c r="G5" s="327">
        <f t="shared" si="1"/>
        <v>2025</v>
      </c>
      <c r="H5" s="327">
        <f t="shared" si="1"/>
        <v>2025</v>
      </c>
      <c r="I5" s="327">
        <f t="shared" si="1"/>
        <v>2025</v>
      </c>
      <c r="J5" s="327">
        <f t="shared" si="1"/>
        <v>2025</v>
      </c>
      <c r="K5" s="327">
        <f t="shared" si="1"/>
        <v>2025</v>
      </c>
      <c r="L5" s="327">
        <f t="shared" si="1"/>
        <v>2025</v>
      </c>
      <c r="M5" s="327">
        <f t="shared" si="1"/>
        <v>2025</v>
      </c>
      <c r="N5" s="327">
        <f t="shared" si="1"/>
        <v>2025</v>
      </c>
      <c r="O5" s="327">
        <f t="shared" si="1"/>
        <v>2025</v>
      </c>
      <c r="P5" s="327">
        <f t="shared" si="1"/>
        <v>2026</v>
      </c>
      <c r="Q5" s="327">
        <f t="shared" si="1"/>
        <v>2026</v>
      </c>
      <c r="R5" s="327">
        <f t="shared" si="1"/>
        <v>2026</v>
      </c>
      <c r="S5" s="327">
        <f t="shared" si="1"/>
        <v>2026</v>
      </c>
      <c r="T5" s="327">
        <f t="shared" si="1"/>
        <v>2026</v>
      </c>
      <c r="U5" s="327">
        <f t="shared" si="1"/>
        <v>2026</v>
      </c>
      <c r="V5" s="327">
        <f t="shared" si="1"/>
        <v>2026</v>
      </c>
      <c r="W5" s="327">
        <f t="shared" si="1"/>
        <v>2026</v>
      </c>
      <c r="X5" s="327">
        <f t="shared" si="1"/>
        <v>2026</v>
      </c>
      <c r="Y5" s="327">
        <f t="shared" si="1"/>
        <v>2026</v>
      </c>
      <c r="Z5" s="327">
        <f t="shared" si="1"/>
        <v>2026</v>
      </c>
      <c r="AA5" s="327">
        <f t="shared" si="1"/>
        <v>2026</v>
      </c>
      <c r="AB5" s="327">
        <f t="shared" si="1"/>
        <v>2027</v>
      </c>
      <c r="AC5" s="327">
        <f t="shared" si="1"/>
        <v>2027</v>
      </c>
      <c r="AD5" s="327">
        <f t="shared" si="1"/>
        <v>2027</v>
      </c>
      <c r="AE5" s="327">
        <f t="shared" si="1"/>
        <v>2027</v>
      </c>
      <c r="AF5" s="327">
        <f t="shared" si="1"/>
        <v>2027</v>
      </c>
      <c r="AG5" s="327">
        <f t="shared" si="1"/>
        <v>2027</v>
      </c>
      <c r="AH5" s="327">
        <f t="shared" si="1"/>
        <v>2027</v>
      </c>
      <c r="AI5" s="327">
        <f t="shared" si="1"/>
        <v>2027</v>
      </c>
      <c r="AJ5" s="327">
        <f t="shared" si="1"/>
        <v>2027</v>
      </c>
      <c r="AK5" s="327">
        <f t="shared" si="1"/>
        <v>2027</v>
      </c>
      <c r="AL5" s="327">
        <f t="shared" si="1"/>
        <v>2027</v>
      </c>
      <c r="AM5" s="327">
        <f t="shared" si="1"/>
        <v>2027</v>
      </c>
      <c r="AN5" s="327">
        <f t="shared" si="1"/>
        <v>2028</v>
      </c>
      <c r="AO5" s="327">
        <f t="shared" si="1"/>
        <v>2028</v>
      </c>
      <c r="AP5" s="327">
        <f t="shared" si="1"/>
        <v>2028</v>
      </c>
      <c r="AQ5" s="327">
        <f t="shared" si="1"/>
        <v>2028</v>
      </c>
      <c r="AR5" s="327">
        <f t="shared" si="1"/>
        <v>2028</v>
      </c>
      <c r="AS5" s="327">
        <f t="shared" si="1"/>
        <v>2028</v>
      </c>
      <c r="AT5" s="327">
        <f t="shared" si="1"/>
        <v>2028</v>
      </c>
      <c r="AU5" s="327">
        <f t="shared" si="1"/>
        <v>2028</v>
      </c>
      <c r="AV5" s="327">
        <f t="shared" si="1"/>
        <v>2028</v>
      </c>
      <c r="AW5" s="327">
        <f t="shared" si="1"/>
        <v>2028</v>
      </c>
      <c r="AX5" s="327">
        <f t="shared" si="1"/>
        <v>2028</v>
      </c>
      <c r="AY5" s="327">
        <f t="shared" si="1"/>
        <v>2028</v>
      </c>
      <c r="AZ5" s="327">
        <f t="shared" si="1"/>
        <v>2029</v>
      </c>
      <c r="BA5" s="327">
        <f t="shared" si="1"/>
        <v>2029</v>
      </c>
      <c r="BB5" s="327">
        <f t="shared" si="1"/>
        <v>2029</v>
      </c>
      <c r="BC5" s="327">
        <f t="shared" si="1"/>
        <v>2029</v>
      </c>
      <c r="BD5" s="327">
        <f t="shared" si="1"/>
        <v>2029</v>
      </c>
      <c r="BE5" s="327">
        <f t="shared" si="1"/>
        <v>2029</v>
      </c>
      <c r="BF5" s="327">
        <f t="shared" si="1"/>
        <v>2029</v>
      </c>
      <c r="BG5" s="327">
        <f t="shared" si="1"/>
        <v>2029</v>
      </c>
      <c r="BH5" s="327">
        <f t="shared" si="1"/>
        <v>2029</v>
      </c>
      <c r="BI5" s="327">
        <f t="shared" si="1"/>
        <v>2029</v>
      </c>
      <c r="BJ5" s="327">
        <f t="shared" si="1"/>
        <v>2029</v>
      </c>
      <c r="BK5" s="327">
        <f t="shared" si="1"/>
        <v>2029</v>
      </c>
      <c r="BL5" s="327">
        <f t="shared" si="1"/>
        <v>2030</v>
      </c>
      <c r="BM5" s="328"/>
      <c r="BN5" s="328"/>
      <c r="BO5" s="328"/>
      <c r="BP5" s="328"/>
      <c r="BQ5" s="328"/>
    </row>
    <row r="6" spans="1:69" s="67" customFormat="1" ht="13" x14ac:dyDescent="0.15">
      <c r="A6" s="316"/>
      <c r="C6" s="67" t="s">
        <v>441</v>
      </c>
      <c r="D6" s="329"/>
      <c r="E6" s="329"/>
      <c r="F6" s="329"/>
      <c r="G6" s="329"/>
      <c r="H6" s="329"/>
      <c r="I6" s="329"/>
      <c r="J6" s="329" t="e">
        <f>DATA!#REF!/10^9</f>
        <v>#REF!</v>
      </c>
      <c r="K6" s="329" t="e">
        <f>DATA!#REF!/10^9</f>
        <v>#REF!</v>
      </c>
      <c r="L6" s="329" t="e">
        <f>DATA!#REF!/10^9</f>
        <v>#REF!</v>
      </c>
      <c r="M6" s="329"/>
      <c r="N6" s="329"/>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30"/>
      <c r="AO6" s="330"/>
      <c r="AP6" s="330"/>
      <c r="AQ6" s="330"/>
      <c r="AR6" s="330"/>
      <c r="AS6" s="330"/>
      <c r="AT6" s="330"/>
      <c r="AU6" s="330"/>
      <c r="AV6" s="330"/>
      <c r="AW6" s="330"/>
      <c r="AX6" s="330"/>
      <c r="AY6" s="330"/>
      <c r="AZ6" s="330"/>
      <c r="BA6" s="330"/>
      <c r="BB6" s="330"/>
      <c r="BC6" s="330"/>
      <c r="BD6" s="330"/>
      <c r="BE6" s="330"/>
      <c r="BF6" s="330"/>
      <c r="BG6" s="330"/>
      <c r="BH6" s="330"/>
      <c r="BI6" s="330"/>
      <c r="BJ6" s="330"/>
      <c r="BK6" s="330"/>
      <c r="BL6" s="330"/>
    </row>
    <row r="7" spans="1:69" s="67" customFormat="1" ht="13" x14ac:dyDescent="0.15">
      <c r="A7" s="316"/>
      <c r="D7" s="321"/>
      <c r="E7" s="321"/>
      <c r="F7" s="321"/>
      <c r="G7" s="321"/>
      <c r="H7" s="321"/>
      <c r="I7" s="321"/>
      <c r="J7" s="321"/>
      <c r="K7" s="321"/>
      <c r="L7" s="321"/>
      <c r="M7" s="321"/>
      <c r="N7" s="321"/>
      <c r="O7" s="321"/>
      <c r="P7" s="321"/>
      <c r="Q7" s="321"/>
      <c r="R7" s="321"/>
      <c r="S7" s="321"/>
      <c r="T7" s="321"/>
      <c r="U7" s="321"/>
      <c r="V7" s="321"/>
      <c r="W7" s="321"/>
      <c r="X7" s="321"/>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1"/>
      <c r="BK7" s="321"/>
      <c r="BL7" s="321"/>
    </row>
    <row r="8" spans="1:69" s="67" customFormat="1" ht="14" thickBot="1" x14ac:dyDescent="0.2">
      <c r="A8" s="316"/>
      <c r="C8" s="317" t="s">
        <v>442</v>
      </c>
      <c r="D8" s="318" t="s">
        <v>443</v>
      </c>
      <c r="E8" s="331"/>
      <c r="F8" s="331"/>
      <c r="G8" s="332"/>
      <c r="H8" s="332"/>
      <c r="I8" s="332"/>
      <c r="J8" s="332"/>
      <c r="K8" s="332"/>
      <c r="L8" s="332"/>
      <c r="M8" s="332"/>
      <c r="N8" s="332"/>
      <c r="O8" s="332"/>
      <c r="P8" s="332"/>
      <c r="Q8" s="320"/>
      <c r="R8" s="320"/>
      <c r="S8" s="320"/>
      <c r="T8" s="320"/>
    </row>
    <row r="9" spans="1:69" s="67" customFormat="1" ht="13" x14ac:dyDescent="0.15">
      <c r="A9" s="319"/>
      <c r="B9" s="48"/>
      <c r="G9" s="320"/>
      <c r="H9" s="320"/>
      <c r="I9" s="320"/>
      <c r="J9" s="320"/>
      <c r="K9" s="320"/>
      <c r="L9" s="320"/>
      <c r="M9" s="320"/>
      <c r="N9" s="320"/>
      <c r="O9" s="320"/>
      <c r="P9" s="320"/>
      <c r="Q9" s="320"/>
      <c r="R9" s="320"/>
      <c r="S9" s="320"/>
      <c r="T9" s="320"/>
    </row>
    <row r="10" spans="1:69" s="67" customFormat="1" ht="13" x14ac:dyDescent="0.15">
      <c r="A10" s="319"/>
      <c r="B10" s="48"/>
      <c r="C10" s="48" t="s">
        <v>444</v>
      </c>
      <c r="E10" s="333" t="s">
        <v>445</v>
      </c>
      <c r="F10" s="333">
        <f>YEAR(D4)</f>
        <v>2025</v>
      </c>
      <c r="G10" s="333">
        <f>F10+1</f>
        <v>2026</v>
      </c>
      <c r="H10" s="333">
        <f>G10+1</f>
        <v>2027</v>
      </c>
      <c r="I10" s="333">
        <f>H10+1</f>
        <v>2028</v>
      </c>
      <c r="J10" s="333">
        <f>I10+1</f>
        <v>2029</v>
      </c>
      <c r="K10" s="333">
        <f>J10+1</f>
        <v>2030</v>
      </c>
      <c r="M10" s="320"/>
      <c r="O10" s="320"/>
      <c r="Q10" s="320"/>
      <c r="R10" s="320"/>
      <c r="S10" s="320"/>
      <c r="T10" s="320"/>
    </row>
    <row r="11" spans="1:69" s="67" customFormat="1" ht="13" x14ac:dyDescent="0.15">
      <c r="A11" s="319"/>
      <c r="B11" s="48"/>
      <c r="C11" s="66"/>
      <c r="E11" s="334" t="s">
        <v>446</v>
      </c>
      <c r="F11" s="334" t="s">
        <v>446</v>
      </c>
      <c r="G11" s="334" t="s">
        <v>446</v>
      </c>
      <c r="H11" s="334" t="s">
        <v>446</v>
      </c>
      <c r="I11" s="334" t="s">
        <v>446</v>
      </c>
      <c r="J11" s="334" t="s">
        <v>446</v>
      </c>
      <c r="K11" s="334" t="s">
        <v>446</v>
      </c>
      <c r="M11" s="320"/>
      <c r="O11" s="320"/>
      <c r="Q11" s="320"/>
      <c r="R11" s="320"/>
      <c r="S11" s="320"/>
      <c r="T11" s="320"/>
    </row>
    <row r="12" spans="1:69" s="67" customFormat="1" ht="13" x14ac:dyDescent="0.15">
      <c r="A12" s="319"/>
      <c r="B12" s="48"/>
      <c r="H12" s="320"/>
      <c r="I12" s="320"/>
      <c r="J12" s="320"/>
      <c r="K12" s="320"/>
      <c r="M12" s="320"/>
      <c r="O12" s="320"/>
      <c r="Q12" s="320"/>
      <c r="R12" s="320"/>
      <c r="S12" s="320"/>
      <c r="T12" s="320"/>
    </row>
    <row r="13" spans="1:69" s="67" customFormat="1" ht="13" x14ac:dyDescent="0.15">
      <c r="A13" s="316"/>
      <c r="C13" s="48" t="s">
        <v>447</v>
      </c>
      <c r="E13" s="335" t="e">
        <f>SUM(F13:O13)</f>
        <v>#REF!</v>
      </c>
      <c r="F13" s="336" t="e">
        <f t="shared" ref="F13:K13" si="2">SUMIF($D$5:$BL$5,F$10,$D$6:$BL$6)</f>
        <v>#REF!</v>
      </c>
      <c r="G13" s="336">
        <f t="shared" si="2"/>
        <v>0</v>
      </c>
      <c r="H13" s="336">
        <f t="shared" si="2"/>
        <v>0</v>
      </c>
      <c r="I13" s="336">
        <f t="shared" si="2"/>
        <v>0</v>
      </c>
      <c r="J13" s="336">
        <f t="shared" si="2"/>
        <v>0</v>
      </c>
      <c r="K13" s="336">
        <f t="shared" si="2"/>
        <v>0</v>
      </c>
      <c r="M13" s="337"/>
      <c r="O13" s="337"/>
      <c r="Q13" s="338"/>
      <c r="R13" s="338"/>
      <c r="S13" s="338"/>
      <c r="T13" s="338"/>
      <c r="U13" s="338"/>
      <c r="V13" s="338"/>
      <c r="W13" s="338"/>
      <c r="X13" s="338"/>
      <c r="Y13" s="338"/>
      <c r="Z13" s="338"/>
      <c r="AA13" s="338"/>
      <c r="AB13" s="338"/>
      <c r="AC13" s="338"/>
      <c r="AD13" s="338"/>
      <c r="AE13" s="338"/>
      <c r="AF13" s="338"/>
    </row>
    <row r="14" spans="1:69" s="67" customFormat="1" ht="13" x14ac:dyDescent="0.15">
      <c r="A14" s="316"/>
      <c r="C14" s="67" t="s">
        <v>448</v>
      </c>
      <c r="E14" s="339" t="e">
        <f>AVERAGE(D6:AM6)</f>
        <v>#REF!</v>
      </c>
      <c r="F14" s="340">
        <f t="shared" ref="F14:K14" si="3">IFERROR(F13/COUNTIFS($D$5:$BL$5,F10,$D$6:$BL$6,"&lt;&gt;"&amp;""),0)</f>
        <v>0</v>
      </c>
      <c r="G14" s="340">
        <f t="shared" si="3"/>
        <v>0</v>
      </c>
      <c r="H14" s="340">
        <f t="shared" si="3"/>
        <v>0</v>
      </c>
      <c r="I14" s="340">
        <f t="shared" si="3"/>
        <v>0</v>
      </c>
      <c r="J14" s="340">
        <f t="shared" si="3"/>
        <v>0</v>
      </c>
      <c r="K14" s="340">
        <f t="shared" si="3"/>
        <v>0</v>
      </c>
      <c r="M14" s="341"/>
      <c r="O14" s="341"/>
      <c r="Q14" s="338"/>
      <c r="R14" s="338"/>
      <c r="S14" s="338"/>
      <c r="T14" s="338"/>
      <c r="U14" s="338"/>
      <c r="V14" s="338"/>
      <c r="W14" s="338"/>
      <c r="X14" s="338"/>
      <c r="Y14" s="338"/>
      <c r="Z14" s="338"/>
      <c r="AA14" s="338"/>
      <c r="AB14" s="338"/>
      <c r="AC14" s="338"/>
      <c r="AD14" s="338"/>
      <c r="AE14" s="338"/>
      <c r="AF14" s="338"/>
    </row>
    <row r="15" spans="1:69" s="67" customFormat="1" ht="13" x14ac:dyDescent="0.15">
      <c r="A15" s="316"/>
      <c r="C15" s="48"/>
      <c r="E15" s="342"/>
      <c r="F15" s="338"/>
      <c r="G15" s="338"/>
      <c r="H15" s="338"/>
      <c r="I15" s="338"/>
      <c r="J15" s="338"/>
      <c r="K15" s="338"/>
      <c r="M15" s="341"/>
      <c r="O15" s="341"/>
      <c r="Q15" s="338"/>
      <c r="R15" s="338"/>
      <c r="S15" s="338"/>
      <c r="T15" s="338"/>
      <c r="U15" s="338"/>
      <c r="V15" s="338"/>
      <c r="W15" s="338"/>
      <c r="X15" s="338"/>
      <c r="Y15" s="338"/>
      <c r="Z15" s="338"/>
      <c r="AA15" s="338"/>
      <c r="AB15" s="338"/>
      <c r="AC15" s="338"/>
      <c r="AD15" s="338"/>
      <c r="AE15" s="338"/>
      <c r="AF15" s="338"/>
    </row>
    <row r="16" spans="1:69" s="67" customFormat="1" ht="13" x14ac:dyDescent="0.15">
      <c r="A16" s="316"/>
      <c r="C16" s="48" t="s">
        <v>449</v>
      </c>
      <c r="E16" s="343"/>
      <c r="F16" s="343" t="e">
        <f ca="1">OFFSET(PnL_Speadsheet!$A$7,0,MATCH(DATE('Saleplan&amp;PnL'!F$10,12,31),PnL_Speadsheet!$B$4:$BI$4,0))/1000</f>
        <v>#REF!</v>
      </c>
      <c r="G16" s="343" t="e">
        <f ca="1">OFFSET(PnL_Speadsheet!$A$7,0,MATCH(DATE('Saleplan&amp;PnL'!G$10,12,31),PnL_Speadsheet!$B$4:$BI$4,0))/1000</f>
        <v>#REF!</v>
      </c>
      <c r="H16" s="343" t="e">
        <f ca="1">OFFSET(PnL_Speadsheet!$A$7,0,MATCH(DATE('Saleplan&amp;PnL'!H$10,12,31),PnL_Speadsheet!$B$4:$BI$4,0))/1000</f>
        <v>#REF!</v>
      </c>
      <c r="I16" s="343" t="e">
        <f ca="1">OFFSET(PnL_Speadsheet!$A$7,0,MATCH(DATE('Saleplan&amp;PnL'!I$10,12,31),PnL_Speadsheet!$B$4:$BI$4,0))/1000</f>
        <v>#REF!</v>
      </c>
      <c r="J16" s="343" t="e">
        <f ca="1">OFFSET(PnL_Speadsheet!$A$7,0,MATCH(DATE('Saleplan&amp;PnL'!J$10,12,31),PnL_Speadsheet!$B$4:$BI$4,0))/1000</f>
        <v>#REF!</v>
      </c>
      <c r="K16" s="343">
        <f ca="1">IFERROR(OFFSET(PnL_Speadsheet!$A$7,0,MATCH(DATE('Saleplan&amp;PnL'!K$10,12,31),PnL_Speadsheet!$B$4:$BI$4,0))/1000,0)</f>
        <v>0</v>
      </c>
      <c r="M16" s="335"/>
      <c r="O16" s="335"/>
      <c r="Q16" s="338"/>
      <c r="R16" s="338"/>
      <c r="S16" s="338"/>
      <c r="T16" s="338"/>
      <c r="U16" s="338"/>
      <c r="V16" s="338"/>
      <c r="W16" s="338"/>
      <c r="X16" s="338"/>
      <c r="Y16" s="338"/>
      <c r="Z16" s="338"/>
      <c r="AA16" s="338"/>
      <c r="AB16" s="338"/>
      <c r="AC16" s="338"/>
      <c r="AD16" s="338"/>
      <c r="AE16" s="338"/>
      <c r="AF16" s="338"/>
    </row>
    <row r="17" spans="1:32" s="67" customFormat="1" ht="13" x14ac:dyDescent="0.15">
      <c r="A17" s="316"/>
      <c r="C17" s="48" t="s">
        <v>450</v>
      </c>
      <c r="E17" s="344">
        <f ca="1">IFERROR(SUM(PnL_Speadsheet!B8:AK8)/1000/COUNTIF(PnL_Speadsheet!B8:BI8,"&lt;&gt;0"),0)</f>
        <v>0</v>
      </c>
      <c r="F17" s="344">
        <f ca="1">IFERROR(SUMIF(PnL_Speadsheet!$B$3:$BI$3,F$10,PnL_Speadsheet!$B8:$BI8)/1000/COUNTIFS(PnL_Speadsheet!$B$3:$BI$3,'Saleplan&amp;PnL'!F$10,PnL_Speadsheet!$B$8:$BI$8,"&lt;&gt;0"),0)</f>
        <v>0</v>
      </c>
      <c r="G17" s="344">
        <f ca="1">IFERROR(SUMIF(PnL_Speadsheet!$B$3:$BI$3,G$10,PnL_Speadsheet!$B8:$BI8)/1000/COUNTIFS(PnL_Speadsheet!$B$3:$BI$3,'Saleplan&amp;PnL'!G$10,PnL_Speadsheet!$B$8:$BI$8,"&lt;&gt;0"),0)</f>
        <v>0</v>
      </c>
      <c r="H17" s="344">
        <f ca="1">IFERROR(SUMIF(PnL_Speadsheet!$B$3:$BI$3,H$10,PnL_Speadsheet!$B8:$BI8)/1000/COUNTIFS(PnL_Speadsheet!$B$3:$BI$3,'Saleplan&amp;PnL'!H$10,PnL_Speadsheet!$B$8:$BI$8,"&lt;&gt;0"),0)</f>
        <v>0</v>
      </c>
      <c r="I17" s="344">
        <f ca="1">IFERROR(SUMIF(PnL_Speadsheet!$B$3:$BI$3,I$10,PnL_Speadsheet!$B8:$BI8)/1000/COUNTIFS(PnL_Speadsheet!$B$3:$BI$3,'Saleplan&amp;PnL'!I$10,PnL_Speadsheet!$B$8:$BI$8,"&lt;&gt;0"),0)</f>
        <v>0</v>
      </c>
      <c r="J17" s="344">
        <f ca="1">IFERROR(SUMIF(PnL_Speadsheet!$B$3:$BI$3,J$10,PnL_Speadsheet!$B8:$BI8)/1000/COUNTIFS(PnL_Speadsheet!$B$3:$BI$3,'Saleplan&amp;PnL'!J$10,PnL_Speadsheet!$B$8:$BI$8,"&lt;&gt;0"),0)</f>
        <v>0</v>
      </c>
      <c r="K17" s="344">
        <f>IFERROR(SUMIF(PnL_Speadsheet!$B$3:$BI$3,K$10,PnL_Speadsheet!$B8:$BI8)/1000/COUNTIFS(PnL_Speadsheet!$B$3:$BI$3,'Saleplan&amp;PnL'!K$10,PnL_Speadsheet!$B$8:$BI$8,"&lt;&gt;0"),0)</f>
        <v>0</v>
      </c>
      <c r="M17" s="335"/>
      <c r="O17" s="335"/>
      <c r="Q17" s="338"/>
      <c r="R17" s="345"/>
      <c r="S17" s="345"/>
      <c r="T17" s="345"/>
      <c r="U17" s="345"/>
      <c r="V17" s="345"/>
      <c r="W17" s="345"/>
      <c r="X17" s="345"/>
      <c r="Y17" s="345"/>
      <c r="Z17" s="345"/>
      <c r="AA17" s="345"/>
      <c r="AB17" s="345"/>
      <c r="AC17" s="345"/>
      <c r="AD17" s="345"/>
      <c r="AE17" s="345"/>
      <c r="AF17" s="345"/>
    </row>
    <row r="18" spans="1:32" s="67" customFormat="1" ht="13" x14ac:dyDescent="0.15">
      <c r="A18" s="316"/>
      <c r="E18" s="346"/>
      <c r="F18" s="346"/>
      <c r="G18" s="346"/>
      <c r="H18" s="346"/>
      <c r="I18" s="346"/>
      <c r="J18" s="346"/>
      <c r="K18" s="346"/>
      <c r="M18" s="342"/>
      <c r="O18" s="342"/>
      <c r="Q18" s="338"/>
      <c r="R18" s="345"/>
      <c r="S18" s="345"/>
      <c r="T18" s="345"/>
      <c r="U18" s="345"/>
      <c r="V18" s="345"/>
      <c r="W18" s="345"/>
      <c r="X18" s="345"/>
      <c r="Y18" s="345"/>
      <c r="Z18" s="345"/>
      <c r="AA18" s="345"/>
      <c r="AB18" s="345"/>
      <c r="AC18" s="345"/>
      <c r="AD18" s="345"/>
      <c r="AE18" s="345"/>
      <c r="AF18" s="345"/>
    </row>
    <row r="19" spans="1:32" s="48" customFormat="1" ht="13" x14ac:dyDescent="0.15">
      <c r="A19" s="319"/>
      <c r="C19" s="48" t="s">
        <v>192</v>
      </c>
      <c r="E19" s="347" t="e">
        <f t="shared" ref="E19:E31" ca="1" si="4">SUM(F19:O19)</f>
        <v>#REF!</v>
      </c>
      <c r="F19" s="343" t="e">
        <f ca="1">SUMIF(PnL_Speadsheet!$B$3:$BI$3,F$10,PnL_Speadsheet!$B9:$BI9)/1000</f>
        <v>#REF!</v>
      </c>
      <c r="G19" s="343" t="e">
        <f ca="1">SUMIF(PnL_Speadsheet!$B$3:$BI$3,G$10,PnL_Speadsheet!$B9:$BI9)/1000</f>
        <v>#REF!</v>
      </c>
      <c r="H19" s="343" t="e">
        <f ca="1">SUMIF(PnL_Speadsheet!$B$3:$BI$3,H$10,PnL_Speadsheet!$B9:$BI9)/1000</f>
        <v>#REF!</v>
      </c>
      <c r="I19" s="343" t="e">
        <f ca="1">SUMIF(PnL_Speadsheet!$B$3:$BI$3,I$10,PnL_Speadsheet!$B9:$BI9)/1000</f>
        <v>#REF!</v>
      </c>
      <c r="J19" s="343" t="e">
        <f ca="1">SUMIF(PnL_Speadsheet!$B$3:$BI$3,J$10,PnL_Speadsheet!$B9:$BI9)/1000</f>
        <v>#REF!</v>
      </c>
      <c r="K19" s="343">
        <f>SUMIF(PnL_Speadsheet!$B$3:$BI$3,K$10,PnL_Speadsheet!$B9:$BI9)/1000</f>
        <v>0</v>
      </c>
      <c r="M19" s="337"/>
      <c r="O19" s="337"/>
      <c r="Q19" s="338"/>
      <c r="R19" s="348"/>
      <c r="S19" s="348"/>
      <c r="T19" s="348"/>
      <c r="U19" s="348"/>
      <c r="V19" s="348"/>
      <c r="W19" s="348"/>
      <c r="X19" s="348"/>
      <c r="Y19" s="348"/>
      <c r="Z19" s="348"/>
      <c r="AA19" s="348"/>
      <c r="AB19" s="348"/>
      <c r="AC19" s="348"/>
      <c r="AD19" s="348"/>
      <c r="AE19" s="348"/>
      <c r="AF19" s="348"/>
    </row>
    <row r="20" spans="1:32" s="67" customFormat="1" ht="13" x14ac:dyDescent="0.15">
      <c r="A20" s="316"/>
      <c r="C20" s="349" t="s">
        <v>451</v>
      </c>
      <c r="E20" s="346" t="e">
        <f t="shared" ca="1" si="4"/>
        <v>#REF!</v>
      </c>
      <c r="F20" s="350" t="e">
        <f ca="1">SUMIF(PnL_Speadsheet!$B$3:$BI$3,F$10,PnL_Speadsheet!$B11:$BI11)/1000</f>
        <v>#REF!</v>
      </c>
      <c r="G20" s="350" t="e">
        <f ca="1">SUMIF(PnL_Speadsheet!$B$3:$BI$3,G$10,PnL_Speadsheet!$B11:$BI11)/1000</f>
        <v>#REF!</v>
      </c>
      <c r="H20" s="350" t="e">
        <f ca="1">SUMIF(PnL_Speadsheet!$B$3:$BI$3,H$10,PnL_Speadsheet!$B11:$BI11)/1000</f>
        <v>#REF!</v>
      </c>
      <c r="I20" s="350" t="e">
        <f ca="1">SUMIF(PnL_Speadsheet!$B$3:$BI$3,I$10,PnL_Speadsheet!$B11:$BI11)/1000</f>
        <v>#REF!</v>
      </c>
      <c r="J20" s="350" t="e">
        <f ca="1">SUMIF(PnL_Speadsheet!$B$3:$BI$3,J$10,PnL_Speadsheet!$B11:$BI11)/1000</f>
        <v>#REF!</v>
      </c>
      <c r="K20" s="350">
        <f>SUMIF(PnL_Speadsheet!$B$3:$BI$3,K$10,PnL_Speadsheet!$B11:$BI11)/1000</f>
        <v>0</v>
      </c>
      <c r="M20" s="341"/>
      <c r="O20" s="341"/>
      <c r="Q20" s="338"/>
    </row>
    <row r="21" spans="1:32" s="67" customFormat="1" ht="13" x14ac:dyDescent="0.15">
      <c r="A21" s="316"/>
      <c r="C21" s="349" t="s">
        <v>452</v>
      </c>
      <c r="E21" s="346" t="e">
        <f t="shared" ca="1" si="4"/>
        <v>#REF!</v>
      </c>
      <c r="F21" s="350" t="e">
        <f ca="1">SUMIF(PnL_Speadsheet!$B$3:$BI$3,F$10,PnL_Speadsheet!$B14:$BI14)/1000</f>
        <v>#REF!</v>
      </c>
      <c r="G21" s="350" t="e">
        <f ca="1">SUMIF(PnL_Speadsheet!$B$3:$BI$3,G$10,PnL_Speadsheet!$B14:$BI14)/1000</f>
        <v>#REF!</v>
      </c>
      <c r="H21" s="350" t="e">
        <f ca="1">SUMIF(PnL_Speadsheet!$B$3:$BI$3,H$10,PnL_Speadsheet!$B14:$BI14)/1000</f>
        <v>#REF!</v>
      </c>
      <c r="I21" s="350" t="e">
        <f ca="1">SUMIF(PnL_Speadsheet!$B$3:$BI$3,I$10,PnL_Speadsheet!$B14:$BI14)/1000</f>
        <v>#REF!</v>
      </c>
      <c r="J21" s="350" t="e">
        <f ca="1">SUMIF(PnL_Speadsheet!$B$3:$BI$3,J$10,PnL_Speadsheet!$B14:$BI14)/1000</f>
        <v>#REF!</v>
      </c>
      <c r="K21" s="350">
        <f>SUMIF(PnL_Speadsheet!$B$3:$BI$3,K$10,PnL_Speadsheet!$B14:$BI14)/1000</f>
        <v>0</v>
      </c>
      <c r="M21" s="341"/>
      <c r="O21" s="341"/>
      <c r="Q21" s="338"/>
    </row>
    <row r="22" spans="1:32" s="67" customFormat="1" ht="13" x14ac:dyDescent="0.15">
      <c r="A22" s="316"/>
      <c r="C22" s="349" t="s">
        <v>453</v>
      </c>
      <c r="E22" s="346" t="e">
        <f t="shared" ca="1" si="4"/>
        <v>#REF!</v>
      </c>
      <c r="F22" s="350" t="e">
        <f ca="1">SUMIF(PnL_Speadsheet!$B$3:$BI$3,F$10,PnL_Speadsheet!$B18:$BI18)/1000</f>
        <v>#REF!</v>
      </c>
      <c r="G22" s="350" t="e">
        <f ca="1">SUMIF(PnL_Speadsheet!$B$3:$BI$3,G$10,PnL_Speadsheet!$B18:$BI18)/1000</f>
        <v>#REF!</v>
      </c>
      <c r="H22" s="350" t="e">
        <f ca="1">SUMIF(PnL_Speadsheet!$B$3:$BI$3,H$10,PnL_Speadsheet!$B18:$BI18)/1000</f>
        <v>#REF!</v>
      </c>
      <c r="I22" s="350" t="e">
        <f ca="1">SUMIF(PnL_Speadsheet!$B$3:$BI$3,I$10,PnL_Speadsheet!$B18:$BI18)/1000</f>
        <v>#REF!</v>
      </c>
      <c r="J22" s="350" t="e">
        <f ca="1">SUMIF(PnL_Speadsheet!$B$3:$BI$3,J$10,PnL_Speadsheet!$B18:$BI18)/1000</f>
        <v>#REF!</v>
      </c>
      <c r="K22" s="350">
        <f>SUMIF(PnL_Speadsheet!$B$3:$BI$3,K$10,PnL_Speadsheet!$B18:$BI18)/1000</f>
        <v>0</v>
      </c>
      <c r="M22" s="341"/>
      <c r="O22" s="341"/>
      <c r="Q22" s="338"/>
    </row>
    <row r="23" spans="1:32" s="48" customFormat="1" ht="13" x14ac:dyDescent="0.15">
      <c r="A23" s="319"/>
      <c r="C23" s="48" t="s">
        <v>196</v>
      </c>
      <c r="E23" s="347" t="e">
        <f ca="1">SUM(F23:O23)</f>
        <v>#REF!</v>
      </c>
      <c r="F23" s="343" t="e">
        <f ca="1">SUMIF(PnL_Speadsheet!$B$3:$BI$3,F$10,PnL_Speadsheet!$B31:$BI31)/1000</f>
        <v>#REF!</v>
      </c>
      <c r="G23" s="343" t="e">
        <f ca="1">SUMIF(PnL_Speadsheet!$B$3:$BI$3,G$10,PnL_Speadsheet!$B31:$BI31)/1000</f>
        <v>#REF!</v>
      </c>
      <c r="H23" s="343" t="e">
        <f ca="1">SUMIF(PnL_Speadsheet!$B$3:$BI$3,H$10,PnL_Speadsheet!$B31:$BI31)/1000</f>
        <v>#REF!</v>
      </c>
      <c r="I23" s="343" t="e">
        <f ca="1">SUMIF(PnL_Speadsheet!$B$3:$BI$3,I$10,PnL_Speadsheet!$B31:$BI31)/1000</f>
        <v>#REF!</v>
      </c>
      <c r="J23" s="343" t="e">
        <f ca="1">SUMIF(PnL_Speadsheet!$B$3:$BI$3,J$10,PnL_Speadsheet!$B31:$BI31)/1000</f>
        <v>#REF!</v>
      </c>
      <c r="K23" s="343">
        <f>SUMIF(PnL_Speadsheet!$B$3:$BI$3,K$10,PnL_Speadsheet!$B31:$BI31)/1000</f>
        <v>0</v>
      </c>
      <c r="M23" s="337"/>
      <c r="O23" s="337"/>
      <c r="Q23" s="338"/>
    </row>
    <row r="24" spans="1:32" s="48" customFormat="1" ht="13" x14ac:dyDescent="0.15">
      <c r="A24" s="319"/>
      <c r="C24" s="48" t="s">
        <v>199</v>
      </c>
      <c r="E24" s="347" t="e">
        <f t="shared" ca="1" si="4"/>
        <v>#REF!</v>
      </c>
      <c r="F24" s="343" t="e">
        <f ca="1">SUMIF(PnL_Speadsheet!$B$3:$BI$3,F$10,PnL_Speadsheet!$B19:$BI19)/1000</f>
        <v>#REF!</v>
      </c>
      <c r="G24" s="343" t="e">
        <f ca="1">SUMIF(PnL_Speadsheet!$B$3:$BI$3,G$10,PnL_Speadsheet!$B19:$BI19)/1000</f>
        <v>#REF!</v>
      </c>
      <c r="H24" s="343" t="e">
        <f ca="1">SUMIF(PnL_Speadsheet!$B$3:$BI$3,H$10,PnL_Speadsheet!$B19:$BI19)/1000</f>
        <v>#REF!</v>
      </c>
      <c r="I24" s="343" t="e">
        <f ca="1">SUMIF(PnL_Speadsheet!$B$3:$BI$3,I$10,PnL_Speadsheet!$B19:$BI19)/1000</f>
        <v>#REF!</v>
      </c>
      <c r="J24" s="343" t="e">
        <f ca="1">SUMIF(PnL_Speadsheet!$B$3:$BI$3,J$10,PnL_Speadsheet!$B19:$BI19)/1000</f>
        <v>#REF!</v>
      </c>
      <c r="K24" s="343">
        <f>SUMIF(PnL_Speadsheet!$B$3:$BI$3,K$10,PnL_Speadsheet!$B19:$BI19)/1000</f>
        <v>0</v>
      </c>
      <c r="M24" s="337"/>
      <c r="O24" s="337"/>
      <c r="Q24" s="338"/>
    </row>
    <row r="25" spans="1:32" s="67" customFormat="1" ht="13" x14ac:dyDescent="0.15">
      <c r="A25" s="316"/>
      <c r="C25" s="349" t="s">
        <v>454</v>
      </c>
      <c r="E25" s="346" t="e">
        <f ca="1">SUM(F25:O25)</f>
        <v>#REF!</v>
      </c>
      <c r="F25" s="350" t="e">
        <f ca="1">(SUMIF(PnL_Speadsheet!$B$3:$BI$3,F$10,PnL_Speadsheet!$B21:$BI22)/1000+SUMIF(PnL_Speadsheet!$B$3:$BI$3,F$10,PnL_Speadsheet!$B22:$BI22)/1000)</f>
        <v>#REF!</v>
      </c>
      <c r="G25" s="350" t="e">
        <f ca="1">(SUMIF(PnL_Speadsheet!$B$3:$BI$3,G$10,PnL_Speadsheet!$B21:$BI22)/1000+SUMIF(PnL_Speadsheet!$B$3:$BI$3,G$10,PnL_Speadsheet!$B22:$BI22)/1000)</f>
        <v>#REF!</v>
      </c>
      <c r="H25" s="350" t="e">
        <f ca="1">(SUMIF(PnL_Speadsheet!$B$3:$BI$3,H$10,PnL_Speadsheet!$B21:$BI22)/1000+SUMIF(PnL_Speadsheet!$B$3:$BI$3,H$10,PnL_Speadsheet!$B22:$BI22)/1000)</f>
        <v>#REF!</v>
      </c>
      <c r="I25" s="350" t="e">
        <f ca="1">(SUMIF(PnL_Speadsheet!$B$3:$BI$3,I$10,PnL_Speadsheet!$B21:$BI22)/1000+SUMIF(PnL_Speadsheet!$B$3:$BI$3,I$10,PnL_Speadsheet!$B22:$BI22)/1000)</f>
        <v>#REF!</v>
      </c>
      <c r="J25" s="350" t="e">
        <f ca="1">(SUMIF(PnL_Speadsheet!$B$3:$BI$3,J$10,PnL_Speadsheet!$B21:$BI22)/1000+SUMIF(PnL_Speadsheet!$B$3:$BI$3,J$10,PnL_Speadsheet!$B22:$BI22)/1000)</f>
        <v>#REF!</v>
      </c>
      <c r="K25" s="350">
        <f>(SUMIF(PnL_Speadsheet!$B$3:$BI$3,K$10,PnL_Speadsheet!$B21:$BI22)/1000+SUMIF(PnL_Speadsheet!$B$3:$BI$3,K$10,PnL_Speadsheet!$B22:$BI22)/1000)</f>
        <v>0</v>
      </c>
      <c r="M25" s="341"/>
      <c r="O25" s="341"/>
      <c r="Q25" s="338"/>
    </row>
    <row r="26" spans="1:32" s="67" customFormat="1" ht="13" x14ac:dyDescent="0.15">
      <c r="A26" s="316"/>
      <c r="C26" s="349" t="s">
        <v>221</v>
      </c>
      <c r="E26" s="346" t="e">
        <f t="shared" ca="1" si="4"/>
        <v>#REF!</v>
      </c>
      <c r="F26" s="350" t="e">
        <f ca="1">SUMIF(PnL_Speadsheet!$B$3:$BI$3,F$10,PnL_Speadsheet!$B23:$BI23)/1000</f>
        <v>#REF!</v>
      </c>
      <c r="G26" s="350" t="e">
        <f ca="1">SUMIF(PnL_Speadsheet!$B$3:$BI$3,G$10,PnL_Speadsheet!$B23:$BI23)/1000</f>
        <v>#REF!</v>
      </c>
      <c r="H26" s="350" t="e">
        <f ca="1">SUMIF(PnL_Speadsheet!$B$3:$BI$3,H$10,PnL_Speadsheet!$B23:$BI23)/1000</f>
        <v>#REF!</v>
      </c>
      <c r="I26" s="350" t="e">
        <f ca="1">SUMIF(PnL_Speadsheet!$B$3:$BI$3,I$10,PnL_Speadsheet!$B23:$BI23)/1000</f>
        <v>#REF!</v>
      </c>
      <c r="J26" s="350" t="e">
        <f ca="1">SUMIF(PnL_Speadsheet!$B$3:$BI$3,J$10,PnL_Speadsheet!$B23:$BI23)/1000</f>
        <v>#REF!</v>
      </c>
      <c r="K26" s="350">
        <f>SUMIF(PnL_Speadsheet!$B$3:$BI$3,K$10,PnL_Speadsheet!$B23:$BI23)/1000</f>
        <v>0</v>
      </c>
      <c r="M26" s="341"/>
      <c r="O26" s="341"/>
      <c r="Q26" s="338"/>
    </row>
    <row r="27" spans="1:32" s="67" customFormat="1" ht="13" x14ac:dyDescent="0.15">
      <c r="A27" s="316"/>
      <c r="C27" s="349" t="s">
        <v>200</v>
      </c>
      <c r="E27" s="346" t="e">
        <f t="shared" ca="1" si="4"/>
        <v>#REF!</v>
      </c>
      <c r="F27" s="350" t="e">
        <f ca="1">SUMIF(PnL_Speadsheet!$B$3:$BI$3,F$10,PnL_Speadsheet!$B24:$BI24)/1000</f>
        <v>#REF!</v>
      </c>
      <c r="G27" s="350" t="e">
        <f ca="1">SUMIF(PnL_Speadsheet!$B$3:$BI$3,G$10,PnL_Speadsheet!$B24:$BI24)/1000</f>
        <v>#REF!</v>
      </c>
      <c r="H27" s="350" t="e">
        <f ca="1">SUMIF(PnL_Speadsheet!$B$3:$BI$3,H$10,PnL_Speadsheet!$B24:$BI24)/1000</f>
        <v>#REF!</v>
      </c>
      <c r="I27" s="350" t="e">
        <f ca="1">SUMIF(PnL_Speadsheet!$B$3:$BI$3,I$10,PnL_Speadsheet!$B24:$BI24)/1000</f>
        <v>#REF!</v>
      </c>
      <c r="J27" s="350" t="e">
        <f ca="1">SUMIF(PnL_Speadsheet!$B$3:$BI$3,J$10,PnL_Speadsheet!$B24:$BI24)/1000</f>
        <v>#REF!</v>
      </c>
      <c r="K27" s="350">
        <f>SUMIF(PnL_Speadsheet!$B$3:$BI$3,K$10,PnL_Speadsheet!$B24:$BI24)/1000</f>
        <v>0</v>
      </c>
      <c r="M27" s="341"/>
      <c r="O27" s="341"/>
      <c r="Q27" s="338"/>
    </row>
    <row r="28" spans="1:32" s="67" customFormat="1" ht="13" x14ac:dyDescent="0.15">
      <c r="A28" s="316"/>
      <c r="C28" s="349" t="s">
        <v>131</v>
      </c>
      <c r="E28" s="346" t="e">
        <f t="shared" ca="1" si="4"/>
        <v>#REF!</v>
      </c>
      <c r="F28" s="350" t="e">
        <f ca="1">SUMIF(PnL_Speadsheet!$B$3:$BI$3,F$10,PnL_Speadsheet!$B28:$BI28)/1000</f>
        <v>#REF!</v>
      </c>
      <c r="G28" s="350" t="e">
        <f ca="1">SUMIF(PnL_Speadsheet!$B$3:$BI$3,G$10,PnL_Speadsheet!$B28:$BI28)/1000</f>
        <v>#REF!</v>
      </c>
      <c r="H28" s="350" t="e">
        <f ca="1">SUMIF(PnL_Speadsheet!$B$3:$BI$3,H$10,PnL_Speadsheet!$B28:$BI28)/1000</f>
        <v>#REF!</v>
      </c>
      <c r="I28" s="350" t="e">
        <f ca="1">SUMIF(PnL_Speadsheet!$B$3:$BI$3,I$10,PnL_Speadsheet!$B28:$BI28)/1000</f>
        <v>#REF!</v>
      </c>
      <c r="J28" s="350" t="e">
        <f ca="1">SUMIF(PnL_Speadsheet!$B$3:$BI$3,J$10,PnL_Speadsheet!$B28:$BI28)/1000</f>
        <v>#REF!</v>
      </c>
      <c r="K28" s="350">
        <f>SUMIF(PnL_Speadsheet!$B$3:$BI$3,K$10,PnL_Speadsheet!$B28:$BI28)/1000</f>
        <v>0</v>
      </c>
      <c r="M28" s="341"/>
      <c r="O28" s="341"/>
      <c r="Q28" s="338"/>
    </row>
    <row r="29" spans="1:32" s="67" customFormat="1" ht="13" x14ac:dyDescent="0.15">
      <c r="A29" s="316"/>
      <c r="C29" s="349" t="s">
        <v>455</v>
      </c>
      <c r="E29" s="346" t="e">
        <f t="shared" ca="1" si="4"/>
        <v>#REF!</v>
      </c>
      <c r="F29" s="350" t="e">
        <f ca="1">SUMIF(PnL_Speadsheet!$B$3:$BI$3,F$10,PnL_Speadsheet!$B29:$BI29)/1000</f>
        <v>#REF!</v>
      </c>
      <c r="G29" s="350" t="e">
        <f ca="1">SUMIF(PnL_Speadsheet!$B$3:$BI$3,G$10,PnL_Speadsheet!$B29:$BI29)/1000</f>
        <v>#REF!</v>
      </c>
      <c r="H29" s="350" t="e">
        <f ca="1">SUMIF(PnL_Speadsheet!$B$3:$BI$3,H$10,PnL_Speadsheet!$B29:$BI29)/1000</f>
        <v>#REF!</v>
      </c>
      <c r="I29" s="350" t="e">
        <f ca="1">SUMIF(PnL_Speadsheet!$B$3:$BI$3,I$10,PnL_Speadsheet!$B29:$BI29)/1000</f>
        <v>#REF!</v>
      </c>
      <c r="J29" s="350" t="e">
        <f ca="1">SUMIF(PnL_Speadsheet!$B$3:$BI$3,J$10,PnL_Speadsheet!$B29:$BI29)/1000</f>
        <v>#REF!</v>
      </c>
      <c r="K29" s="350">
        <f>SUMIF(PnL_Speadsheet!$B$3:$BI$3,K$10,PnL_Speadsheet!$B29:$BI29)/1000</f>
        <v>0</v>
      </c>
      <c r="M29" s="341"/>
      <c r="O29" s="341"/>
      <c r="Q29" s="338"/>
    </row>
    <row r="30" spans="1:32" s="67" customFormat="1" ht="13" x14ac:dyDescent="0.15">
      <c r="A30" s="316"/>
      <c r="C30" s="349" t="s">
        <v>235</v>
      </c>
      <c r="E30" s="346" t="e">
        <f t="shared" ca="1" si="4"/>
        <v>#REF!</v>
      </c>
      <c r="F30" s="350" t="e">
        <f ca="1">SUMIF(PnL_Speadsheet!$B$3:$BI$3,F$10,PnL_Speadsheet!$B30:$BI30)/1000</f>
        <v>#REF!</v>
      </c>
      <c r="G30" s="350" t="e">
        <f ca="1">SUMIF(PnL_Speadsheet!$B$3:$BI$3,G$10,PnL_Speadsheet!$B30:$BI30)/1000</f>
        <v>#REF!</v>
      </c>
      <c r="H30" s="350" t="e">
        <f ca="1">SUMIF(PnL_Speadsheet!$B$3:$BI$3,H$10,PnL_Speadsheet!$B30:$BI30)/1000</f>
        <v>#REF!</v>
      </c>
      <c r="I30" s="350" t="e">
        <f ca="1">SUMIF(PnL_Speadsheet!$B$3:$BI$3,I$10,PnL_Speadsheet!$B30:$BI30)/1000</f>
        <v>#REF!</v>
      </c>
      <c r="J30" s="350" t="e">
        <f ca="1">SUMIF(PnL_Speadsheet!$B$3:$BI$3,J$10,PnL_Speadsheet!$B30:$BI30)/1000</f>
        <v>#REF!</v>
      </c>
      <c r="K30" s="350">
        <f>SUMIF(PnL_Speadsheet!$B$3:$BI$3,K$10,PnL_Speadsheet!$B30:$BI30)/1000</f>
        <v>0</v>
      </c>
      <c r="M30" s="341"/>
      <c r="O30" s="341"/>
      <c r="Q30" s="338"/>
    </row>
    <row r="31" spans="1:32" s="48" customFormat="1" ht="13" x14ac:dyDescent="0.15">
      <c r="A31" s="319"/>
      <c r="C31" s="48" t="s">
        <v>203</v>
      </c>
      <c r="E31" s="344" t="e">
        <f t="shared" ca="1" si="4"/>
        <v>#REF!</v>
      </c>
      <c r="F31" s="344" t="e">
        <f ca="1">SUMIF(PnL_Speadsheet!$B$3:$BI$3,F$10,PnL_Speadsheet!$B32:$BI32)/1000</f>
        <v>#REF!</v>
      </c>
      <c r="G31" s="344" t="e">
        <f ca="1">SUMIF(PnL_Speadsheet!$B$3:$BI$3,G$10,PnL_Speadsheet!$B32:$BI32)/1000</f>
        <v>#REF!</v>
      </c>
      <c r="H31" s="344" t="e">
        <f ca="1">SUMIF(PnL_Speadsheet!$B$3:$BI$3,H$10,PnL_Speadsheet!$B32:$BI32)/1000</f>
        <v>#REF!</v>
      </c>
      <c r="I31" s="344" t="e">
        <f ca="1">SUMIF(PnL_Speadsheet!$B$3:$BI$3,I$10,PnL_Speadsheet!$B32:$BI32)/1000</f>
        <v>#REF!</v>
      </c>
      <c r="J31" s="344" t="e">
        <f ca="1">SUMIF(PnL_Speadsheet!$B$3:$BI$3,J$10,PnL_Speadsheet!$B32:$BI32)/1000</f>
        <v>#REF!</v>
      </c>
      <c r="K31" s="344">
        <f>SUMIF(PnL_Speadsheet!$B$3:$BI$3,K$10,PnL_Speadsheet!$B32:$BI32)/1000</f>
        <v>0</v>
      </c>
      <c r="M31" s="337"/>
      <c r="O31" s="337"/>
      <c r="Q31" s="338"/>
    </row>
    <row r="32" spans="1:32" s="67" customFormat="1" ht="13" x14ac:dyDescent="0.15">
      <c r="A32" s="316"/>
      <c r="C32" s="67" t="s">
        <v>456</v>
      </c>
      <c r="E32" s="351" t="e">
        <f t="shared" ref="E32:K32" ca="1" si="5">E19+E23+SUM(E25:E29)</f>
        <v>#REF!</v>
      </c>
      <c r="F32" s="351" t="e">
        <f t="shared" ca="1" si="5"/>
        <v>#REF!</v>
      </c>
      <c r="G32" s="351" t="e">
        <f ca="1">G19+G23+SUM(G25:G29)</f>
        <v>#REF!</v>
      </c>
      <c r="H32" s="351" t="e">
        <f t="shared" ca="1" si="5"/>
        <v>#REF!</v>
      </c>
      <c r="I32" s="351" t="e">
        <f t="shared" ca="1" si="5"/>
        <v>#REF!</v>
      </c>
      <c r="J32" s="351" t="e">
        <f t="shared" ca="1" si="5"/>
        <v>#REF!</v>
      </c>
      <c r="K32" s="351">
        <f t="shared" si="5"/>
        <v>0</v>
      </c>
      <c r="M32" s="341"/>
      <c r="O32" s="341"/>
      <c r="Q32" s="338"/>
    </row>
    <row r="33" spans="3:17" x14ac:dyDescent="0.15">
      <c r="C33" s="352"/>
      <c r="D33" s="353"/>
      <c r="F33" s="353"/>
      <c r="H33" s="353"/>
      <c r="J33" s="353"/>
      <c r="L33" s="353"/>
      <c r="N33" s="353"/>
      <c r="P33" s="353"/>
      <c r="Q33" s="354"/>
    </row>
    <row r="34" spans="3:17" x14ac:dyDescent="0.15">
      <c r="D34" s="353"/>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7475-98A2-1241-82A7-A1970F348C68}">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355" bestFit="1" customWidth="1"/>
    <col min="2" max="2" width="7.6640625" style="356" bestFit="1" customWidth="1"/>
    <col min="3" max="10" width="8.83203125" style="356" bestFit="1" customWidth="1"/>
    <col min="11" max="11" width="9.83203125" style="356" bestFit="1" customWidth="1"/>
    <col min="12" max="23" width="8.83203125" style="356" bestFit="1" customWidth="1"/>
    <col min="24" max="26" width="11.5" style="356" customWidth="1"/>
    <col min="27" max="30" width="8.83203125" style="356" bestFit="1" customWidth="1"/>
    <col min="31" max="36" width="8.33203125" style="356" bestFit="1" customWidth="1"/>
    <col min="37" max="37" width="8.33203125" style="356" customWidth="1"/>
    <col min="38" max="16384" width="9" style="356"/>
  </cols>
  <sheetData>
    <row r="1" spans="1:61" x14ac:dyDescent="0.15">
      <c r="A1" s="355" t="s">
        <v>457</v>
      </c>
      <c r="K1" s="357"/>
    </row>
    <row r="2" spans="1:61" x14ac:dyDescent="0.15">
      <c r="A2" s="355" t="s">
        <v>458</v>
      </c>
    </row>
    <row r="3" spans="1:61" x14ac:dyDescent="0.15">
      <c r="B3" s="358">
        <f t="shared" ref="B3:BI3" si="0">YEAR(B4)</f>
        <v>2025</v>
      </c>
      <c r="C3" s="358">
        <f t="shared" si="0"/>
        <v>2025</v>
      </c>
      <c r="D3" s="358">
        <f t="shared" si="0"/>
        <v>2025</v>
      </c>
      <c r="E3" s="358">
        <f t="shared" si="0"/>
        <v>2025</v>
      </c>
      <c r="F3" s="358">
        <f t="shared" si="0"/>
        <v>2025</v>
      </c>
      <c r="G3" s="358">
        <f t="shared" si="0"/>
        <v>2025</v>
      </c>
      <c r="H3" s="358">
        <f t="shared" si="0"/>
        <v>2025</v>
      </c>
      <c r="I3" s="358">
        <f t="shared" si="0"/>
        <v>2025</v>
      </c>
      <c r="J3" s="358">
        <f t="shared" si="0"/>
        <v>2025</v>
      </c>
      <c r="K3" s="358">
        <f t="shared" si="0"/>
        <v>2025</v>
      </c>
      <c r="L3" s="358">
        <f t="shared" si="0"/>
        <v>2025</v>
      </c>
      <c r="M3" s="358">
        <f t="shared" si="0"/>
        <v>2025</v>
      </c>
      <c r="N3" s="358">
        <f t="shared" si="0"/>
        <v>2026</v>
      </c>
      <c r="O3" s="358">
        <f t="shared" si="0"/>
        <v>2026</v>
      </c>
      <c r="P3" s="358">
        <f t="shared" si="0"/>
        <v>2026</v>
      </c>
      <c r="Q3" s="358">
        <f t="shared" si="0"/>
        <v>2026</v>
      </c>
      <c r="R3" s="358">
        <f t="shared" si="0"/>
        <v>2026</v>
      </c>
      <c r="S3" s="358">
        <f t="shared" si="0"/>
        <v>2026</v>
      </c>
      <c r="T3" s="358">
        <f t="shared" si="0"/>
        <v>2026</v>
      </c>
      <c r="U3" s="358">
        <f t="shared" si="0"/>
        <v>2026</v>
      </c>
      <c r="V3" s="358">
        <f t="shared" si="0"/>
        <v>2026</v>
      </c>
      <c r="W3" s="358">
        <f t="shared" si="0"/>
        <v>2026</v>
      </c>
      <c r="X3" s="358">
        <f t="shared" si="0"/>
        <v>2026</v>
      </c>
      <c r="Y3" s="358">
        <f t="shared" si="0"/>
        <v>2026</v>
      </c>
      <c r="Z3" s="358">
        <f t="shared" si="0"/>
        <v>2027</v>
      </c>
      <c r="AA3" s="358">
        <f t="shared" si="0"/>
        <v>2027</v>
      </c>
      <c r="AB3" s="358">
        <f t="shared" si="0"/>
        <v>2027</v>
      </c>
      <c r="AC3" s="358">
        <f t="shared" si="0"/>
        <v>2027</v>
      </c>
      <c r="AD3" s="358">
        <f t="shared" si="0"/>
        <v>2027</v>
      </c>
      <c r="AE3" s="358">
        <f t="shared" si="0"/>
        <v>2027</v>
      </c>
      <c r="AF3" s="358">
        <f t="shared" si="0"/>
        <v>2027</v>
      </c>
      <c r="AG3" s="358">
        <f t="shared" si="0"/>
        <v>2027</v>
      </c>
      <c r="AH3" s="358">
        <f t="shared" si="0"/>
        <v>2027</v>
      </c>
      <c r="AI3" s="358">
        <f t="shared" si="0"/>
        <v>2027</v>
      </c>
      <c r="AJ3" s="358">
        <f t="shared" si="0"/>
        <v>2027</v>
      </c>
      <c r="AK3" s="358">
        <f t="shared" si="0"/>
        <v>2027</v>
      </c>
      <c r="AL3" s="358">
        <f t="shared" si="0"/>
        <v>2028</v>
      </c>
      <c r="AM3" s="358">
        <f t="shared" si="0"/>
        <v>2028</v>
      </c>
      <c r="AN3" s="358">
        <f t="shared" si="0"/>
        <v>2028</v>
      </c>
      <c r="AO3" s="358">
        <f t="shared" si="0"/>
        <v>2028</v>
      </c>
      <c r="AP3" s="358">
        <f t="shared" si="0"/>
        <v>2028</v>
      </c>
      <c r="AQ3" s="358">
        <f t="shared" si="0"/>
        <v>2028</v>
      </c>
      <c r="AR3" s="358">
        <f t="shared" si="0"/>
        <v>2028</v>
      </c>
      <c r="AS3" s="358">
        <f t="shared" si="0"/>
        <v>2028</v>
      </c>
      <c r="AT3" s="358">
        <f t="shared" si="0"/>
        <v>2028</v>
      </c>
      <c r="AU3" s="358">
        <f t="shared" si="0"/>
        <v>2028</v>
      </c>
      <c r="AV3" s="358">
        <f t="shared" si="0"/>
        <v>2028</v>
      </c>
      <c r="AW3" s="358">
        <f t="shared" si="0"/>
        <v>2028</v>
      </c>
      <c r="AX3" s="358">
        <f t="shared" si="0"/>
        <v>2029</v>
      </c>
      <c r="AY3" s="358">
        <f t="shared" si="0"/>
        <v>2029</v>
      </c>
      <c r="AZ3" s="358">
        <f t="shared" si="0"/>
        <v>2029</v>
      </c>
      <c r="BA3" s="358">
        <f t="shared" si="0"/>
        <v>2029</v>
      </c>
      <c r="BB3" s="358">
        <f t="shared" si="0"/>
        <v>2029</v>
      </c>
      <c r="BC3" s="358">
        <f t="shared" si="0"/>
        <v>2029</v>
      </c>
      <c r="BD3" s="358">
        <f t="shared" si="0"/>
        <v>2029</v>
      </c>
      <c r="BE3" s="358">
        <f t="shared" si="0"/>
        <v>2029</v>
      </c>
      <c r="BF3" s="358">
        <f t="shared" si="0"/>
        <v>2029</v>
      </c>
      <c r="BG3" s="358">
        <f t="shared" si="0"/>
        <v>2029</v>
      </c>
      <c r="BH3" s="358">
        <f t="shared" si="0"/>
        <v>2029</v>
      </c>
      <c r="BI3" s="358">
        <f t="shared" si="0"/>
        <v>2029</v>
      </c>
    </row>
    <row r="4" spans="1:61" x14ac:dyDescent="0.15">
      <c r="A4" s="359" t="s">
        <v>439</v>
      </c>
      <c r="B4" s="360">
        <f>'Saleplan&amp;PnL'!D4</f>
        <v>45658</v>
      </c>
      <c r="C4" s="360">
        <f>'Saleplan&amp;PnL'!E4</f>
        <v>45716</v>
      </c>
      <c r="D4" s="360">
        <f>'Saleplan&amp;PnL'!F4</f>
        <v>45747</v>
      </c>
      <c r="E4" s="360">
        <f>'Saleplan&amp;PnL'!G4</f>
        <v>45777</v>
      </c>
      <c r="F4" s="360">
        <f>'Saleplan&amp;PnL'!H4</f>
        <v>45808</v>
      </c>
      <c r="G4" s="360">
        <f>'Saleplan&amp;PnL'!I4</f>
        <v>45838</v>
      </c>
      <c r="H4" s="360">
        <f>'Saleplan&amp;PnL'!J4</f>
        <v>45869</v>
      </c>
      <c r="I4" s="360">
        <f>'Saleplan&amp;PnL'!K4</f>
        <v>45900</v>
      </c>
      <c r="J4" s="360">
        <f>'Saleplan&amp;PnL'!L4</f>
        <v>45930</v>
      </c>
      <c r="K4" s="360">
        <f>'Saleplan&amp;PnL'!M4</f>
        <v>45961</v>
      </c>
      <c r="L4" s="360">
        <f>'Saleplan&amp;PnL'!N4</f>
        <v>45991</v>
      </c>
      <c r="M4" s="360">
        <f>'Saleplan&amp;PnL'!O4</f>
        <v>46022</v>
      </c>
      <c r="N4" s="360">
        <f>'Saleplan&amp;PnL'!P4</f>
        <v>46053</v>
      </c>
      <c r="O4" s="360">
        <f>'Saleplan&amp;PnL'!Q4</f>
        <v>46081</v>
      </c>
      <c r="P4" s="360">
        <f>'Saleplan&amp;PnL'!R4</f>
        <v>46112</v>
      </c>
      <c r="Q4" s="360">
        <f>'Saleplan&amp;PnL'!S4</f>
        <v>46142</v>
      </c>
      <c r="R4" s="360">
        <f>'Saleplan&amp;PnL'!T4</f>
        <v>46173</v>
      </c>
      <c r="S4" s="360">
        <f>'Saleplan&amp;PnL'!U4</f>
        <v>46203</v>
      </c>
      <c r="T4" s="360">
        <f>'Saleplan&amp;PnL'!V4</f>
        <v>46234</v>
      </c>
      <c r="U4" s="360">
        <f>'Saleplan&amp;PnL'!W4</f>
        <v>46265</v>
      </c>
      <c r="V4" s="360">
        <f>'Saleplan&amp;PnL'!X4</f>
        <v>46295</v>
      </c>
      <c r="W4" s="360">
        <f>'Saleplan&amp;PnL'!Y4</f>
        <v>46326</v>
      </c>
      <c r="X4" s="360">
        <f>'Saleplan&amp;PnL'!Z4</f>
        <v>46356</v>
      </c>
      <c r="Y4" s="360">
        <f>'Saleplan&amp;PnL'!AA4</f>
        <v>46387</v>
      </c>
      <c r="Z4" s="360">
        <f>'Saleplan&amp;PnL'!AB4</f>
        <v>46418</v>
      </c>
      <c r="AA4" s="360">
        <f>'Saleplan&amp;PnL'!AC4</f>
        <v>46446</v>
      </c>
      <c r="AB4" s="360">
        <f>'Saleplan&amp;PnL'!AD4</f>
        <v>46477</v>
      </c>
      <c r="AC4" s="360">
        <f>'Saleplan&amp;PnL'!AE4</f>
        <v>46507</v>
      </c>
      <c r="AD4" s="360">
        <f>'Saleplan&amp;PnL'!AF4</f>
        <v>46538</v>
      </c>
      <c r="AE4" s="360">
        <f>'Saleplan&amp;PnL'!AG4</f>
        <v>46568</v>
      </c>
      <c r="AF4" s="360">
        <f>'Saleplan&amp;PnL'!AH4</f>
        <v>46599</v>
      </c>
      <c r="AG4" s="360">
        <f>'Saleplan&amp;PnL'!AI4</f>
        <v>46630</v>
      </c>
      <c r="AH4" s="360">
        <f>'Saleplan&amp;PnL'!AJ4</f>
        <v>46660</v>
      </c>
      <c r="AI4" s="360">
        <f>'Saleplan&amp;PnL'!AK4</f>
        <v>46691</v>
      </c>
      <c r="AJ4" s="360">
        <f>'Saleplan&amp;PnL'!AL4</f>
        <v>46721</v>
      </c>
      <c r="AK4" s="360">
        <f>'Saleplan&amp;PnL'!AM4</f>
        <v>46752</v>
      </c>
      <c r="AL4" s="360">
        <f>'Saleplan&amp;PnL'!AN4</f>
        <v>46783</v>
      </c>
      <c r="AM4" s="360">
        <f>'Saleplan&amp;PnL'!AO4</f>
        <v>46812</v>
      </c>
      <c r="AN4" s="360">
        <f>'Saleplan&amp;PnL'!AP4</f>
        <v>46843</v>
      </c>
      <c r="AO4" s="360">
        <f>'Saleplan&amp;PnL'!AQ4</f>
        <v>46873</v>
      </c>
      <c r="AP4" s="360">
        <f>'Saleplan&amp;PnL'!AR4</f>
        <v>46904</v>
      </c>
      <c r="AQ4" s="360">
        <f>'Saleplan&amp;PnL'!AS4</f>
        <v>46934</v>
      </c>
      <c r="AR4" s="360">
        <f>'Saleplan&amp;PnL'!AT4</f>
        <v>46965</v>
      </c>
      <c r="AS4" s="360">
        <f>'Saleplan&amp;PnL'!AU4</f>
        <v>46996</v>
      </c>
      <c r="AT4" s="360">
        <f>'Saleplan&amp;PnL'!AV4</f>
        <v>47026</v>
      </c>
      <c r="AU4" s="360">
        <f>'Saleplan&amp;PnL'!AW4</f>
        <v>47057</v>
      </c>
      <c r="AV4" s="360">
        <f>'Saleplan&amp;PnL'!AX4</f>
        <v>47087</v>
      </c>
      <c r="AW4" s="360">
        <f>'Saleplan&amp;PnL'!AY4</f>
        <v>47118</v>
      </c>
      <c r="AX4" s="360">
        <f>'Saleplan&amp;PnL'!AZ4</f>
        <v>47149</v>
      </c>
      <c r="AY4" s="360">
        <f>'Saleplan&amp;PnL'!BA4</f>
        <v>47177</v>
      </c>
      <c r="AZ4" s="360">
        <f>'Saleplan&amp;PnL'!BB4</f>
        <v>47208</v>
      </c>
      <c r="BA4" s="360">
        <f>'Saleplan&amp;PnL'!BC4</f>
        <v>47238</v>
      </c>
      <c r="BB4" s="360">
        <f>'Saleplan&amp;PnL'!BD4</f>
        <v>47269</v>
      </c>
      <c r="BC4" s="360">
        <f>'Saleplan&amp;PnL'!BE4</f>
        <v>47299</v>
      </c>
      <c r="BD4" s="360">
        <f>'Saleplan&amp;PnL'!BF4</f>
        <v>47330</v>
      </c>
      <c r="BE4" s="360">
        <f>'Saleplan&amp;PnL'!BG4</f>
        <v>47361</v>
      </c>
      <c r="BF4" s="360">
        <f>'Saleplan&amp;PnL'!BH4</f>
        <v>47391</v>
      </c>
      <c r="BG4" s="360">
        <f>'Saleplan&amp;PnL'!BI4</f>
        <v>47422</v>
      </c>
      <c r="BH4" s="360">
        <f>'Saleplan&amp;PnL'!BJ4</f>
        <v>47452</v>
      </c>
      <c r="BI4" s="360">
        <f>'Saleplan&amp;PnL'!BK4</f>
        <v>47483</v>
      </c>
    </row>
    <row r="5" spans="1:61" s="355" customFormat="1" outlineLevel="1" x14ac:dyDescent="0.15">
      <c r="A5" s="361" t="s">
        <v>459</v>
      </c>
      <c r="B5" s="361">
        <v>1</v>
      </c>
      <c r="C5" s="361">
        <v>2</v>
      </c>
      <c r="D5" s="361">
        <v>3</v>
      </c>
      <c r="E5" s="361">
        <v>4</v>
      </c>
      <c r="F5" s="361">
        <v>5</v>
      </c>
      <c r="G5" s="361">
        <v>6</v>
      </c>
      <c r="H5" s="361">
        <v>7</v>
      </c>
      <c r="I5" s="361">
        <v>8</v>
      </c>
      <c r="J5" s="361">
        <v>9</v>
      </c>
      <c r="K5" s="361">
        <v>10</v>
      </c>
      <c r="L5" s="361">
        <v>11</v>
      </c>
      <c r="M5" s="361">
        <v>12</v>
      </c>
      <c r="N5" s="361">
        <v>13</v>
      </c>
      <c r="O5" s="361">
        <v>14</v>
      </c>
      <c r="P5" s="361">
        <v>15</v>
      </c>
      <c r="Q5" s="361">
        <v>16</v>
      </c>
      <c r="R5" s="361">
        <v>17</v>
      </c>
      <c r="S5" s="361">
        <v>18</v>
      </c>
      <c r="T5" s="361">
        <v>19</v>
      </c>
      <c r="U5" s="361">
        <v>20</v>
      </c>
      <c r="V5" s="361">
        <v>21</v>
      </c>
      <c r="W5" s="361">
        <v>22</v>
      </c>
      <c r="X5" s="361">
        <v>23</v>
      </c>
      <c r="Y5" s="361">
        <v>24</v>
      </c>
      <c r="Z5" s="361">
        <v>25</v>
      </c>
      <c r="AA5" s="361">
        <v>26</v>
      </c>
      <c r="AB5" s="361">
        <v>27</v>
      </c>
      <c r="AC5" s="361">
        <v>28</v>
      </c>
      <c r="AD5" s="361">
        <v>29</v>
      </c>
      <c r="AE5" s="361">
        <v>30</v>
      </c>
      <c r="AF5" s="361">
        <v>31</v>
      </c>
      <c r="AG5" s="361">
        <v>32</v>
      </c>
      <c r="AH5" s="361">
        <v>33</v>
      </c>
      <c r="AI5" s="361">
        <v>34</v>
      </c>
      <c r="AJ5" s="361">
        <v>35</v>
      </c>
      <c r="AK5" s="361">
        <v>36</v>
      </c>
      <c r="AL5" s="361">
        <f t="shared" ref="AL5:BI5" si="1">AK5+1</f>
        <v>37</v>
      </c>
      <c r="AM5" s="361">
        <f t="shared" si="1"/>
        <v>38</v>
      </c>
      <c r="AN5" s="361">
        <f t="shared" si="1"/>
        <v>39</v>
      </c>
      <c r="AO5" s="361">
        <f t="shared" si="1"/>
        <v>40</v>
      </c>
      <c r="AP5" s="361">
        <f t="shared" si="1"/>
        <v>41</v>
      </c>
      <c r="AQ5" s="361">
        <f t="shared" si="1"/>
        <v>42</v>
      </c>
      <c r="AR5" s="361">
        <f t="shared" si="1"/>
        <v>43</v>
      </c>
      <c r="AS5" s="361">
        <f t="shared" si="1"/>
        <v>44</v>
      </c>
      <c r="AT5" s="361">
        <f t="shared" si="1"/>
        <v>45</v>
      </c>
      <c r="AU5" s="361">
        <f t="shared" si="1"/>
        <v>46</v>
      </c>
      <c r="AV5" s="361">
        <f t="shared" si="1"/>
        <v>47</v>
      </c>
      <c r="AW5" s="361">
        <f t="shared" si="1"/>
        <v>48</v>
      </c>
      <c r="AX5" s="361">
        <f t="shared" si="1"/>
        <v>49</v>
      </c>
      <c r="AY5" s="361">
        <f t="shared" si="1"/>
        <v>50</v>
      </c>
      <c r="AZ5" s="361">
        <f t="shared" si="1"/>
        <v>51</v>
      </c>
      <c r="BA5" s="361">
        <f t="shared" si="1"/>
        <v>52</v>
      </c>
      <c r="BB5" s="361">
        <f t="shared" si="1"/>
        <v>53</v>
      </c>
      <c r="BC5" s="361">
        <f t="shared" si="1"/>
        <v>54</v>
      </c>
      <c r="BD5" s="361">
        <f t="shared" si="1"/>
        <v>55</v>
      </c>
      <c r="BE5" s="361">
        <f t="shared" si="1"/>
        <v>56</v>
      </c>
      <c r="BF5" s="361">
        <f t="shared" si="1"/>
        <v>57</v>
      </c>
      <c r="BG5" s="361">
        <f t="shared" si="1"/>
        <v>58</v>
      </c>
      <c r="BH5" s="361">
        <f t="shared" si="1"/>
        <v>59</v>
      </c>
      <c r="BI5" s="361">
        <f t="shared" si="1"/>
        <v>60</v>
      </c>
    </row>
    <row r="6" spans="1:61" x14ac:dyDescent="0.15">
      <c r="A6" s="356" t="s">
        <v>460</v>
      </c>
      <c r="K6" s="357"/>
    </row>
    <row r="7" spans="1:61" s="355" customFormat="1" x14ac:dyDescent="0.15">
      <c r="A7" s="355" t="s">
        <v>297</v>
      </c>
      <c r="B7" s="362" cm="1">
        <f t="array" aca="1" ref="B7" ca="1">SUMPRODUCT(B$55:B$114,TRANSPOSE(SAP_Speadsheet!$E$44:$BL$44))</f>
        <v>0</v>
      </c>
      <c r="C7" s="362" cm="1">
        <f t="array" aca="1" ref="C7" ca="1">SUMPRODUCT(C$55:C$114,TRANSPOSE(SAP_Speadsheet!$E$44:$BL$44))</f>
        <v>0</v>
      </c>
      <c r="D7" s="362" cm="1">
        <f t="array" aca="1" ref="D7" ca="1">SUMPRODUCT(D$55:D$114,TRANSPOSE(SAP_Speadsheet!$E$44:$BL$44))</f>
        <v>0</v>
      </c>
      <c r="E7" s="362" cm="1">
        <f t="array" aca="1" ref="E7" ca="1">SUMPRODUCT(E$55:E$114,TRANSPOSE(SAP_Speadsheet!$E$44:$BL$44))</f>
        <v>0</v>
      </c>
      <c r="F7" s="362" cm="1">
        <f t="array" aca="1" ref="F7" ca="1">SUMPRODUCT(F$55:F$114,TRANSPOSE(SAP_Speadsheet!$E$44:$BL$44))</f>
        <v>0</v>
      </c>
      <c r="G7" s="362" cm="1">
        <f t="array" aca="1" ref="G7" ca="1">SUMPRODUCT(G$55:G$114,TRANSPOSE(SAP_Speadsheet!$E$44:$BL$44))</f>
        <v>0</v>
      </c>
      <c r="H7" s="362" t="e" cm="1">
        <f t="array" aca="1" ref="H7" ca="1">SUMPRODUCT(H$55:H$114,TRANSPOSE(SAP_Speadsheet!$E$44:$BL$44))</f>
        <v>#REF!</v>
      </c>
      <c r="I7" s="362" t="e" cm="1">
        <f t="array" aca="1" ref="I7" ca="1">SUMPRODUCT(I$55:I$114,TRANSPOSE(SAP_Speadsheet!$E$44:$BL$44))</f>
        <v>#REF!</v>
      </c>
      <c r="J7" s="362" t="e" cm="1">
        <f t="array" aca="1" ref="J7" ca="1">SUMPRODUCT(J$55:J$114,TRANSPOSE(SAP_Speadsheet!$E$44:$BL$44))</f>
        <v>#REF!</v>
      </c>
      <c r="K7" s="362" t="e" cm="1">
        <f t="array" aca="1" ref="K7" ca="1">SUMPRODUCT(K$55:K$114,TRANSPOSE(SAP_Speadsheet!$E$44:$BL$44))</f>
        <v>#REF!</v>
      </c>
      <c r="L7" s="362" t="e" cm="1">
        <f t="array" aca="1" ref="L7" ca="1">SUMPRODUCT(L$55:L$114,TRANSPOSE(SAP_Speadsheet!$E$44:$BL$44))</f>
        <v>#REF!</v>
      </c>
      <c r="M7" s="362" t="e" cm="1">
        <f t="array" aca="1" ref="M7" ca="1">SUMPRODUCT(M$55:M$114,TRANSPOSE(SAP_Speadsheet!$E$44:$BL$44))</f>
        <v>#REF!</v>
      </c>
      <c r="N7" s="362" t="e" cm="1">
        <f t="array" aca="1" ref="N7" ca="1">SUMPRODUCT(N$55:N$114,TRANSPOSE(SAP_Speadsheet!$E$44:$BL$44))</f>
        <v>#REF!</v>
      </c>
      <c r="O7" s="362" t="e" cm="1">
        <f t="array" aca="1" ref="O7" ca="1">SUMPRODUCT(O$55:O$114,TRANSPOSE(SAP_Speadsheet!$E$44:$BL$44))</f>
        <v>#REF!</v>
      </c>
      <c r="P7" s="362" t="e" cm="1">
        <f t="array" aca="1" ref="P7" ca="1">SUMPRODUCT(P$55:P$114,TRANSPOSE(SAP_Speadsheet!$E$44:$BL$44))</f>
        <v>#REF!</v>
      </c>
      <c r="Q7" s="362" t="e" cm="1">
        <f t="array" aca="1" ref="Q7" ca="1">SUMPRODUCT(Q$55:Q$114,TRANSPOSE(SAP_Speadsheet!$E$44:$BL$44))</f>
        <v>#REF!</v>
      </c>
      <c r="R7" s="362" t="e" cm="1">
        <f t="array" aca="1" ref="R7" ca="1">SUMPRODUCT(R$55:R$114,TRANSPOSE(SAP_Speadsheet!$E$44:$BL$44))</f>
        <v>#REF!</v>
      </c>
      <c r="S7" s="362" t="e" cm="1">
        <f t="array" aca="1" ref="S7" ca="1">SUMPRODUCT(S$55:S$114,TRANSPOSE(SAP_Speadsheet!$E$44:$BL$44))</f>
        <v>#REF!</v>
      </c>
      <c r="T7" s="362" t="e" cm="1">
        <f t="array" aca="1" ref="T7" ca="1">SUMPRODUCT(T$55:T$114,TRANSPOSE(SAP_Speadsheet!$E$44:$BL$44))</f>
        <v>#REF!</v>
      </c>
      <c r="U7" s="362" t="e" cm="1">
        <f t="array" aca="1" ref="U7" ca="1">SUMPRODUCT(U$55:U$114,TRANSPOSE(SAP_Speadsheet!$E$44:$BL$44))</f>
        <v>#REF!</v>
      </c>
      <c r="V7" s="362" t="e" cm="1">
        <f t="array" aca="1" ref="V7" ca="1">SUMPRODUCT(V$55:V$114,TRANSPOSE(SAP_Speadsheet!$E$44:$BL$44))</f>
        <v>#REF!</v>
      </c>
      <c r="W7" s="362" t="e" cm="1">
        <f t="array" aca="1" ref="W7" ca="1">SUMPRODUCT(W$55:W$114,TRANSPOSE(SAP_Speadsheet!$E$44:$BL$44))</f>
        <v>#REF!</v>
      </c>
      <c r="X7" s="362" t="e" cm="1">
        <f t="array" aca="1" ref="X7" ca="1">SUMPRODUCT(X$55:X$114,TRANSPOSE(SAP_Speadsheet!$E$44:$BL$44))</f>
        <v>#REF!</v>
      </c>
      <c r="Y7" s="362" t="e" cm="1">
        <f t="array" aca="1" ref="Y7" ca="1">SUMPRODUCT(Y$55:Y$114,TRANSPOSE(SAP_Speadsheet!$E$44:$BL$44))</f>
        <v>#REF!</v>
      </c>
      <c r="Z7" s="362" t="e" cm="1">
        <f t="array" aca="1" ref="Z7" ca="1">SUMPRODUCT(Z$55:Z$114,TRANSPOSE(SAP_Speadsheet!$E$44:$BL$44))</f>
        <v>#REF!</v>
      </c>
      <c r="AA7" s="362" t="e" cm="1">
        <f t="array" aca="1" ref="AA7" ca="1">SUMPRODUCT(AA$55:AA$114,TRANSPOSE(SAP_Speadsheet!$E$44:$BL$44))</f>
        <v>#REF!</v>
      </c>
      <c r="AB7" s="362" t="e" cm="1">
        <f t="array" aca="1" ref="AB7" ca="1">SUMPRODUCT(AB$55:AB$114,TRANSPOSE(SAP_Speadsheet!$E$44:$BL$44))</f>
        <v>#REF!</v>
      </c>
      <c r="AC7" s="362" t="e" cm="1">
        <f t="array" aca="1" ref="AC7" ca="1">SUMPRODUCT(AC$55:AC$114,TRANSPOSE(SAP_Speadsheet!$E$44:$BL$44))</f>
        <v>#REF!</v>
      </c>
      <c r="AD7" s="362" t="e" cm="1">
        <f t="array" aca="1" ref="AD7" ca="1">SUMPRODUCT(AD$55:AD$114,TRANSPOSE(SAP_Speadsheet!$E$44:$BL$44))</f>
        <v>#REF!</v>
      </c>
      <c r="AE7" s="362" t="e" cm="1">
        <f t="array" aca="1" ref="AE7" ca="1">SUMPRODUCT(AE$55:AE$114,TRANSPOSE(SAP_Speadsheet!$E$44:$BL$44))</f>
        <v>#REF!</v>
      </c>
      <c r="AF7" s="362" t="e" cm="1">
        <f t="array" aca="1" ref="AF7" ca="1">SUMPRODUCT(AF$55:AF$114,TRANSPOSE(SAP_Speadsheet!$E$44:$BL$44))</f>
        <v>#REF!</v>
      </c>
      <c r="AG7" s="362" t="e" cm="1">
        <f t="array" aca="1" ref="AG7" ca="1">SUMPRODUCT(AG$55:AG$114,TRANSPOSE(SAP_Speadsheet!$E$44:$BL$44))</f>
        <v>#REF!</v>
      </c>
      <c r="AH7" s="362" t="e" cm="1">
        <f t="array" aca="1" ref="AH7" ca="1">SUMPRODUCT(AH$55:AH$114,TRANSPOSE(SAP_Speadsheet!$E$44:$BL$44))</f>
        <v>#REF!</v>
      </c>
      <c r="AI7" s="362" t="e" cm="1">
        <f t="array" aca="1" ref="AI7" ca="1">SUMPRODUCT(AI$55:AI$114,TRANSPOSE(SAP_Speadsheet!$E$44:$BL$44))</f>
        <v>#REF!</v>
      </c>
      <c r="AJ7" s="362" t="e" cm="1">
        <f t="array" aca="1" ref="AJ7" ca="1">SUMPRODUCT(AJ$55:AJ$114,TRANSPOSE(SAP_Speadsheet!$E$44:$BL$44))</f>
        <v>#REF!</v>
      </c>
      <c r="AK7" s="362" t="e" cm="1">
        <f t="array" aca="1" ref="AK7" ca="1">SUMPRODUCT(AK$55:AK$114,TRANSPOSE(SAP_Speadsheet!$E$44:$BL$44))</f>
        <v>#REF!</v>
      </c>
      <c r="AL7" s="362" t="e" cm="1">
        <f t="array" aca="1" ref="AL7" ca="1">SUMPRODUCT(AL$55:AL$114,TRANSPOSE(SAP_Speadsheet!$E$44:$BL$44))</f>
        <v>#REF!</v>
      </c>
      <c r="AM7" s="362" t="e" cm="1">
        <f t="array" aca="1" ref="AM7" ca="1">SUMPRODUCT(AM$55:AM$114,TRANSPOSE(SAP_Speadsheet!$E$44:$BL$44))</f>
        <v>#REF!</v>
      </c>
      <c r="AN7" s="362" t="e" cm="1">
        <f t="array" aca="1" ref="AN7" ca="1">SUMPRODUCT(AN$55:AN$114,TRANSPOSE(SAP_Speadsheet!$E$44:$BL$44))</f>
        <v>#REF!</v>
      </c>
      <c r="AO7" s="362" t="e" cm="1">
        <f t="array" aca="1" ref="AO7" ca="1">SUMPRODUCT(AO$55:AO$114,TRANSPOSE(SAP_Speadsheet!$E$44:$BL$44))</f>
        <v>#REF!</v>
      </c>
      <c r="AP7" s="362" t="e" cm="1">
        <f t="array" aca="1" ref="AP7" ca="1">SUMPRODUCT(AP$55:AP$114,TRANSPOSE(SAP_Speadsheet!$E$44:$BL$44))</f>
        <v>#REF!</v>
      </c>
      <c r="AQ7" s="362" t="e" cm="1">
        <f t="array" aca="1" ref="AQ7" ca="1">SUMPRODUCT(AQ$55:AQ$114,TRANSPOSE(SAP_Speadsheet!$E$44:$BL$44))</f>
        <v>#REF!</v>
      </c>
      <c r="AR7" s="362" t="e" cm="1">
        <f t="array" aca="1" ref="AR7" ca="1">SUMPRODUCT(AR$55:AR$114,TRANSPOSE(SAP_Speadsheet!$E$44:$BL$44))</f>
        <v>#REF!</v>
      </c>
      <c r="AS7" s="362" t="e" cm="1">
        <f t="array" aca="1" ref="AS7" ca="1">SUMPRODUCT(AS$55:AS$114,TRANSPOSE(SAP_Speadsheet!$E$44:$BL$44))</f>
        <v>#REF!</v>
      </c>
      <c r="AT7" s="362" t="e" cm="1">
        <f t="array" aca="1" ref="AT7" ca="1">SUMPRODUCT(AT$55:AT$114,TRANSPOSE(SAP_Speadsheet!$E$44:$BL$44))</f>
        <v>#REF!</v>
      </c>
      <c r="AU7" s="362" t="e" cm="1">
        <f t="array" aca="1" ref="AU7" ca="1">SUMPRODUCT(AU$55:AU$114,TRANSPOSE(SAP_Speadsheet!$E$44:$BL$44))</f>
        <v>#REF!</v>
      </c>
      <c r="AV7" s="362" t="e" cm="1">
        <f t="array" aca="1" ref="AV7" ca="1">SUMPRODUCT(AV$55:AV$114,TRANSPOSE(SAP_Speadsheet!$E$44:$BL$44))</f>
        <v>#REF!</v>
      </c>
      <c r="AW7" s="362" t="e" cm="1">
        <f t="array" aca="1" ref="AW7" ca="1">SUMPRODUCT(AW$55:AW$114,TRANSPOSE(SAP_Speadsheet!$E$44:$BL$44))</f>
        <v>#REF!</v>
      </c>
      <c r="AX7" s="362" t="e" cm="1">
        <f t="array" aca="1" ref="AX7" ca="1">SUMPRODUCT(AX$55:AX$114,TRANSPOSE(SAP_Speadsheet!$E$44:$BL$44))</f>
        <v>#REF!</v>
      </c>
      <c r="AY7" s="362" t="e" cm="1">
        <f t="array" aca="1" ref="AY7" ca="1">SUMPRODUCT(AY$55:AY$114,TRANSPOSE(SAP_Speadsheet!$E$44:$BL$44))</f>
        <v>#REF!</v>
      </c>
      <c r="AZ7" s="362" t="e" cm="1">
        <f t="array" aca="1" ref="AZ7" ca="1">SUMPRODUCT(AZ$55:AZ$114,TRANSPOSE(SAP_Speadsheet!$E$44:$BL$44))</f>
        <v>#REF!</v>
      </c>
      <c r="BA7" s="362" t="e" cm="1">
        <f t="array" aca="1" ref="BA7" ca="1">SUMPRODUCT(BA$55:BA$114,TRANSPOSE(SAP_Speadsheet!$E$44:$BL$44))</f>
        <v>#REF!</v>
      </c>
      <c r="BB7" s="362" t="e" cm="1">
        <f t="array" aca="1" ref="BB7" ca="1">SUMPRODUCT(BB$55:BB$114,TRANSPOSE(SAP_Speadsheet!$E$44:$BL$44))</f>
        <v>#REF!</v>
      </c>
      <c r="BC7" s="362" t="e" cm="1">
        <f t="array" aca="1" ref="BC7" ca="1">SUMPRODUCT(BC$55:BC$114,TRANSPOSE(SAP_Speadsheet!$E$44:$BL$44))</f>
        <v>#REF!</v>
      </c>
      <c r="BD7" s="362" t="e" cm="1">
        <f t="array" aca="1" ref="BD7" ca="1">SUMPRODUCT(BD$55:BD$114,TRANSPOSE(SAP_Speadsheet!$E$44:$BL$44))</f>
        <v>#REF!</v>
      </c>
      <c r="BE7" s="362" t="e" cm="1">
        <f t="array" aca="1" ref="BE7" ca="1">SUMPRODUCT(BE$55:BE$114,TRANSPOSE(SAP_Speadsheet!$E$44:$BL$44))</f>
        <v>#REF!</v>
      </c>
      <c r="BF7" s="362" t="e" cm="1">
        <f t="array" aca="1" ref="BF7" ca="1">SUMPRODUCT(BF$55:BF$114,TRANSPOSE(SAP_Speadsheet!$E$44:$BL$44))</f>
        <v>#REF!</v>
      </c>
      <c r="BG7" s="362" t="e" cm="1">
        <f t="array" aca="1" ref="BG7" ca="1">SUMPRODUCT(BG$55:BG$114,TRANSPOSE(SAP_Speadsheet!$E$44:$BL$44))</f>
        <v>#REF!</v>
      </c>
      <c r="BH7" s="362" t="e" cm="1">
        <f t="array" aca="1" ref="BH7" ca="1">SUMPRODUCT(BH$55:BH$114,TRANSPOSE(SAP_Speadsheet!$E$44:$BL$44))</f>
        <v>#REF!</v>
      </c>
      <c r="BI7" s="362" t="e" cm="1">
        <f t="array" aca="1" ref="BI7" ca="1">SUMPRODUCT(BI$55:BI$114,TRANSPOSE(SAP_Speadsheet!$E$44:$BL$44))</f>
        <v>#REF!</v>
      </c>
    </row>
    <row r="8" spans="1:61" s="355" customFormat="1" x14ac:dyDescent="0.15">
      <c r="A8" s="355" t="s">
        <v>191</v>
      </c>
      <c r="B8" s="362" cm="1">
        <f t="array" aca="1" ref="B8" ca="1">SUMPRODUCT(B$55:B$114,TRANSPOSE(SAP_Speadsheet!$E$50:$BL$50))</f>
        <v>0</v>
      </c>
      <c r="C8" s="362" cm="1">
        <f t="array" aca="1" ref="C8" ca="1">SUMPRODUCT(C$55:C$114,TRANSPOSE(SAP_Speadsheet!$E$50:$BL$50))</f>
        <v>0</v>
      </c>
      <c r="D8" s="362" cm="1">
        <f t="array" aca="1" ref="D8" ca="1">SUMPRODUCT(D$55:D$114,TRANSPOSE(SAP_Speadsheet!$E$50:$BL$50))</f>
        <v>0</v>
      </c>
      <c r="E8" s="362" cm="1">
        <f t="array" aca="1" ref="E8" ca="1">SUMPRODUCT(E$55:E$114,TRANSPOSE(SAP_Speadsheet!$E$50:$BL$50))</f>
        <v>0</v>
      </c>
      <c r="F8" s="362" cm="1">
        <f t="array" aca="1" ref="F8" ca="1">SUMPRODUCT(F$55:F$114,TRANSPOSE(SAP_Speadsheet!$E$50:$BL$50))</f>
        <v>0</v>
      </c>
      <c r="G8" s="362" cm="1">
        <f t="array" aca="1" ref="G8" ca="1">SUMPRODUCT(G$55:G$114,TRANSPOSE(SAP_Speadsheet!$E$50:$BL$50))</f>
        <v>0</v>
      </c>
      <c r="H8" s="362" t="e" cm="1">
        <f t="array" aca="1" ref="H8" ca="1">SUMPRODUCT(H$55:H$114,TRANSPOSE(SAP_Speadsheet!$E$50:$BL$50))</f>
        <v>#REF!</v>
      </c>
      <c r="I8" s="362" t="e" cm="1">
        <f t="array" aca="1" ref="I8" ca="1">SUMPRODUCT(I$55:I$114,TRANSPOSE(SAP_Speadsheet!$E$50:$BL$50))</f>
        <v>#REF!</v>
      </c>
      <c r="J8" s="362" t="e" cm="1">
        <f t="array" aca="1" ref="J8" ca="1">SUMPRODUCT(J$55:J$114,TRANSPOSE(SAP_Speadsheet!$E$50:$BL$50))</f>
        <v>#REF!</v>
      </c>
      <c r="K8" s="362" t="e" cm="1">
        <f t="array" aca="1" ref="K8" ca="1">SUMPRODUCT(K$55:K$114,TRANSPOSE(SAP_Speadsheet!$E$50:$BL$50))</f>
        <v>#REF!</v>
      </c>
      <c r="L8" s="362" t="e" cm="1">
        <f t="array" aca="1" ref="L8" ca="1">SUMPRODUCT(L$55:L$114,TRANSPOSE(SAP_Speadsheet!$E$50:$BL$50))</f>
        <v>#REF!</v>
      </c>
      <c r="M8" s="362" t="e" cm="1">
        <f t="array" aca="1" ref="M8" ca="1">SUMPRODUCT(M$55:M$114,TRANSPOSE(SAP_Speadsheet!$E$50:$BL$50))</f>
        <v>#REF!</v>
      </c>
      <c r="N8" s="362" t="e" cm="1">
        <f t="array" aca="1" ref="N8" ca="1">SUMPRODUCT(N$55:N$114,TRANSPOSE(SAP_Speadsheet!$E$50:$BL$50))</f>
        <v>#REF!</v>
      </c>
      <c r="O8" s="362" t="e" cm="1">
        <f t="array" aca="1" ref="O8" ca="1">SUMPRODUCT(O$55:O$114,TRANSPOSE(SAP_Speadsheet!$E$50:$BL$50))</f>
        <v>#REF!</v>
      </c>
      <c r="P8" s="362" t="e" cm="1">
        <f t="array" aca="1" ref="P8" ca="1">SUMPRODUCT(P$55:P$114,TRANSPOSE(SAP_Speadsheet!$E$50:$BL$50))</f>
        <v>#REF!</v>
      </c>
      <c r="Q8" s="362" t="e" cm="1">
        <f t="array" aca="1" ref="Q8" ca="1">SUMPRODUCT(Q$55:Q$114,TRANSPOSE(SAP_Speadsheet!$E$50:$BL$50))</f>
        <v>#REF!</v>
      </c>
      <c r="R8" s="362" t="e" cm="1">
        <f t="array" aca="1" ref="R8" ca="1">SUMPRODUCT(R$55:R$114,TRANSPOSE(SAP_Speadsheet!$E$50:$BL$50))</f>
        <v>#REF!</v>
      </c>
      <c r="S8" s="362" t="e" cm="1">
        <f t="array" aca="1" ref="S8" ca="1">SUMPRODUCT(S$55:S$114,TRANSPOSE(SAP_Speadsheet!$E$50:$BL$50))</f>
        <v>#REF!</v>
      </c>
      <c r="T8" s="362" t="e" cm="1">
        <f t="array" aca="1" ref="T8" ca="1">SUMPRODUCT(T$55:T$114,TRANSPOSE(SAP_Speadsheet!$E$50:$BL$50))</f>
        <v>#REF!</v>
      </c>
      <c r="U8" s="362" t="e" cm="1">
        <f t="array" aca="1" ref="U8" ca="1">SUMPRODUCT(U$55:U$114,TRANSPOSE(SAP_Speadsheet!$E$50:$BL$50))</f>
        <v>#REF!</v>
      </c>
      <c r="V8" s="362" t="e" cm="1">
        <f t="array" aca="1" ref="V8" ca="1">SUMPRODUCT(V$55:V$114,TRANSPOSE(SAP_Speadsheet!$E$50:$BL$50))</f>
        <v>#REF!</v>
      </c>
      <c r="W8" s="362" t="e" cm="1">
        <f t="array" aca="1" ref="W8" ca="1">SUMPRODUCT(W$55:W$114,TRANSPOSE(SAP_Speadsheet!$E$50:$BL$50))</f>
        <v>#REF!</v>
      </c>
      <c r="X8" s="362" t="e" cm="1">
        <f t="array" aca="1" ref="X8" ca="1">SUMPRODUCT(X$55:X$114,TRANSPOSE(SAP_Speadsheet!$E$50:$BL$50))</f>
        <v>#REF!</v>
      </c>
      <c r="Y8" s="362" t="e" cm="1">
        <f t="array" aca="1" ref="Y8" ca="1">SUMPRODUCT(Y$55:Y$114,TRANSPOSE(SAP_Speadsheet!$E$50:$BL$50))</f>
        <v>#REF!</v>
      </c>
      <c r="Z8" s="362" t="e" cm="1">
        <f t="array" aca="1" ref="Z8" ca="1">SUMPRODUCT(Z$55:Z$114,TRANSPOSE(SAP_Speadsheet!$E$50:$BL$50))</f>
        <v>#REF!</v>
      </c>
      <c r="AA8" s="362" t="e" cm="1">
        <f t="array" aca="1" ref="AA8" ca="1">SUMPRODUCT(AA$55:AA$114,TRANSPOSE(SAP_Speadsheet!$E$50:$BL$50))</f>
        <v>#REF!</v>
      </c>
      <c r="AB8" s="362" t="e" cm="1">
        <f t="array" aca="1" ref="AB8" ca="1">SUMPRODUCT(AB$55:AB$114,TRANSPOSE(SAP_Speadsheet!$E$50:$BL$50))</f>
        <v>#REF!</v>
      </c>
      <c r="AC8" s="362" t="e" cm="1">
        <f t="array" aca="1" ref="AC8" ca="1">SUMPRODUCT(AC$55:AC$114,TRANSPOSE(SAP_Speadsheet!$E$50:$BL$50))</f>
        <v>#REF!</v>
      </c>
      <c r="AD8" s="362" t="e" cm="1">
        <f t="array" aca="1" ref="AD8" ca="1">SUMPRODUCT(AD$55:AD$114,TRANSPOSE(SAP_Speadsheet!$E$50:$BL$50))</f>
        <v>#REF!</v>
      </c>
      <c r="AE8" s="362" t="e" cm="1">
        <f t="array" aca="1" ref="AE8" ca="1">SUMPRODUCT(AE$55:AE$114,TRANSPOSE(SAP_Speadsheet!$E$50:$BL$50))</f>
        <v>#REF!</v>
      </c>
      <c r="AF8" s="362" t="e" cm="1">
        <f t="array" aca="1" ref="AF8" ca="1">SUMPRODUCT(AF$55:AF$114,TRANSPOSE(SAP_Speadsheet!$E$50:$BL$50))</f>
        <v>#REF!</v>
      </c>
      <c r="AG8" s="362" t="e" cm="1">
        <f t="array" aca="1" ref="AG8" ca="1">SUMPRODUCT(AG$55:AG$114,TRANSPOSE(SAP_Speadsheet!$E$50:$BL$50))</f>
        <v>#REF!</v>
      </c>
      <c r="AH8" s="362" t="e" cm="1">
        <f t="array" aca="1" ref="AH8" ca="1">SUMPRODUCT(AH$55:AH$114,TRANSPOSE(SAP_Speadsheet!$E$50:$BL$50))</f>
        <v>#REF!</v>
      </c>
      <c r="AI8" s="362" t="e" cm="1">
        <f t="array" aca="1" ref="AI8" ca="1">SUMPRODUCT(AI$55:AI$114,TRANSPOSE(SAP_Speadsheet!$E$50:$BL$50))</f>
        <v>#REF!</v>
      </c>
      <c r="AJ8" s="362" t="e" cm="1">
        <f t="array" aca="1" ref="AJ8" ca="1">SUMPRODUCT(AJ$55:AJ$114,TRANSPOSE(SAP_Speadsheet!$E$50:$BL$50))</f>
        <v>#REF!</v>
      </c>
      <c r="AK8" s="362" t="e" cm="1">
        <f t="array" aca="1" ref="AK8" ca="1">SUMPRODUCT(AK$55:AK$114,TRANSPOSE(SAP_Speadsheet!$E$50:$BL$50))</f>
        <v>#REF!</v>
      </c>
      <c r="AL8" s="362" t="e" cm="1">
        <f t="array" aca="1" ref="AL8" ca="1">SUMPRODUCT(AL$55:AL$114,TRANSPOSE(SAP_Speadsheet!$E$50:$BL$50))</f>
        <v>#REF!</v>
      </c>
      <c r="AM8" s="362" t="e" cm="1">
        <f t="array" aca="1" ref="AM8" ca="1">SUMPRODUCT(AM$55:AM$114,TRANSPOSE(SAP_Speadsheet!$E$50:$BL$50))</f>
        <v>#REF!</v>
      </c>
      <c r="AN8" s="362" t="e" cm="1">
        <f t="array" aca="1" ref="AN8" ca="1">SUMPRODUCT(AN$55:AN$114,TRANSPOSE(SAP_Speadsheet!$E$50:$BL$50))</f>
        <v>#REF!</v>
      </c>
      <c r="AO8" s="362" t="e" cm="1">
        <f t="array" aca="1" ref="AO8" ca="1">SUMPRODUCT(AO$55:AO$114,TRANSPOSE(SAP_Speadsheet!$E$50:$BL$50))</f>
        <v>#REF!</v>
      </c>
      <c r="AP8" s="362" t="e" cm="1">
        <f t="array" aca="1" ref="AP8" ca="1">SUMPRODUCT(AP$55:AP$114,TRANSPOSE(SAP_Speadsheet!$E$50:$BL$50))</f>
        <v>#REF!</v>
      </c>
      <c r="AQ8" s="362" t="e" cm="1">
        <f t="array" aca="1" ref="AQ8" ca="1">SUMPRODUCT(AQ$55:AQ$114,TRANSPOSE(SAP_Speadsheet!$E$50:$BL$50))</f>
        <v>#REF!</v>
      </c>
      <c r="AR8" s="362" t="e" cm="1">
        <f t="array" aca="1" ref="AR8" ca="1">SUMPRODUCT(AR$55:AR$114,TRANSPOSE(SAP_Speadsheet!$E$50:$BL$50))</f>
        <v>#REF!</v>
      </c>
      <c r="AS8" s="362" t="e" cm="1">
        <f t="array" aca="1" ref="AS8" ca="1">SUMPRODUCT(AS$55:AS$114,TRANSPOSE(SAP_Speadsheet!$E$50:$BL$50))</f>
        <v>#REF!</v>
      </c>
      <c r="AT8" s="362" t="e" cm="1">
        <f t="array" aca="1" ref="AT8" ca="1">SUMPRODUCT(AT$55:AT$114,TRANSPOSE(SAP_Speadsheet!$E$50:$BL$50))</f>
        <v>#REF!</v>
      </c>
      <c r="AU8" s="362" t="e" cm="1">
        <f t="array" aca="1" ref="AU8" ca="1">SUMPRODUCT(AU$55:AU$114,TRANSPOSE(SAP_Speadsheet!$E$50:$BL$50))</f>
        <v>#REF!</v>
      </c>
      <c r="AV8" s="362" t="e" cm="1">
        <f t="array" aca="1" ref="AV8" ca="1">SUMPRODUCT(AV$55:AV$114,TRANSPOSE(SAP_Speadsheet!$E$50:$BL$50))</f>
        <v>#REF!</v>
      </c>
      <c r="AW8" s="362" t="e" cm="1">
        <f t="array" aca="1" ref="AW8" ca="1">SUMPRODUCT(AW$55:AW$114,TRANSPOSE(SAP_Speadsheet!$E$50:$BL$50))</f>
        <v>#REF!</v>
      </c>
      <c r="AX8" s="362" t="e" cm="1">
        <f t="array" aca="1" ref="AX8" ca="1">SUMPRODUCT(AX$55:AX$114,TRANSPOSE(SAP_Speadsheet!$E$50:$BL$50))</f>
        <v>#REF!</v>
      </c>
      <c r="AY8" s="362" t="e" cm="1">
        <f t="array" aca="1" ref="AY8" ca="1">SUMPRODUCT(AY$55:AY$114,TRANSPOSE(SAP_Speadsheet!$E$50:$BL$50))</f>
        <v>#REF!</v>
      </c>
      <c r="AZ8" s="362" t="e" cm="1">
        <f t="array" aca="1" ref="AZ8" ca="1">SUMPRODUCT(AZ$55:AZ$114,TRANSPOSE(SAP_Speadsheet!$E$50:$BL$50))</f>
        <v>#REF!</v>
      </c>
      <c r="BA8" s="362" t="e" cm="1">
        <f t="array" aca="1" ref="BA8" ca="1">SUMPRODUCT(BA$55:BA$114,TRANSPOSE(SAP_Speadsheet!$E$50:$BL$50))</f>
        <v>#REF!</v>
      </c>
      <c r="BB8" s="362" t="e" cm="1">
        <f t="array" aca="1" ref="BB8" ca="1">SUMPRODUCT(BB$55:BB$114,TRANSPOSE(SAP_Speadsheet!$E$50:$BL$50))</f>
        <v>#REF!</v>
      </c>
      <c r="BC8" s="362" t="e" cm="1">
        <f t="array" aca="1" ref="BC8" ca="1">SUMPRODUCT(BC$55:BC$114,TRANSPOSE(SAP_Speadsheet!$E$50:$BL$50))</f>
        <v>#REF!</v>
      </c>
      <c r="BD8" s="362" t="e" cm="1">
        <f t="array" aca="1" ref="BD8" ca="1">SUMPRODUCT(BD$55:BD$114,TRANSPOSE(SAP_Speadsheet!$E$50:$BL$50))</f>
        <v>#REF!</v>
      </c>
      <c r="BE8" s="362" t="e" cm="1">
        <f t="array" aca="1" ref="BE8" ca="1">SUMPRODUCT(BE$55:BE$114,TRANSPOSE(SAP_Speadsheet!$E$50:$BL$50))</f>
        <v>#REF!</v>
      </c>
      <c r="BF8" s="362" t="e" cm="1">
        <f t="array" aca="1" ref="BF8" ca="1">SUMPRODUCT(BF$55:BF$114,TRANSPOSE(SAP_Speadsheet!$E$50:$BL$50))</f>
        <v>#REF!</v>
      </c>
      <c r="BG8" s="362" t="e" cm="1">
        <f t="array" aca="1" ref="BG8" ca="1">SUMPRODUCT(BG$55:BG$114,TRANSPOSE(SAP_Speadsheet!$E$50:$BL$50))</f>
        <v>#REF!</v>
      </c>
      <c r="BH8" s="362" t="e" cm="1">
        <f t="array" aca="1" ref="BH8" ca="1">SUMPRODUCT(BH$55:BH$114,TRANSPOSE(SAP_Speadsheet!$E$50:$BL$50))</f>
        <v>#REF!</v>
      </c>
      <c r="BI8" s="362" t="e" cm="1">
        <f t="array" aca="1" ref="BI8" ca="1">SUMPRODUCT(BI$55:BI$114,TRANSPOSE(SAP_Speadsheet!$E$50:$BL$50))</f>
        <v>#REF!</v>
      </c>
    </row>
    <row r="9" spans="1:61" s="355" customFormat="1" x14ac:dyDescent="0.15">
      <c r="A9" s="355" t="s">
        <v>192</v>
      </c>
      <c r="B9" s="362" cm="1">
        <f t="array" aca="1" ref="B9" ca="1">SUMPRODUCT(B$55:B$114,TRANSPOSE(SAP_Speadsheet!$E$55:$BL$55))</f>
        <v>0</v>
      </c>
      <c r="C9" s="362" cm="1">
        <f t="array" aca="1" ref="C9" ca="1">SUMPRODUCT(C$55:C$114,TRANSPOSE(SAP_Speadsheet!$E$55:$BL$55))</f>
        <v>0</v>
      </c>
      <c r="D9" s="362" cm="1">
        <f t="array" aca="1" ref="D9" ca="1">SUMPRODUCT(D$55:D$114,TRANSPOSE(SAP_Speadsheet!$E$55:$BL$55))</f>
        <v>0</v>
      </c>
      <c r="E9" s="362" cm="1">
        <f t="array" aca="1" ref="E9" ca="1">SUMPRODUCT(E$55:E$114,TRANSPOSE(SAP_Speadsheet!$E$55:$BL$55))</f>
        <v>0</v>
      </c>
      <c r="F9" s="362" cm="1">
        <f t="array" aca="1" ref="F9" ca="1">SUMPRODUCT(F$55:F$114,TRANSPOSE(SAP_Speadsheet!$E$55:$BL$55))</f>
        <v>0</v>
      </c>
      <c r="G9" s="362" cm="1">
        <f t="array" aca="1" ref="G9" ca="1">SUMPRODUCT(G$55:G$114,TRANSPOSE(SAP_Speadsheet!$E$55:$BL$55))</f>
        <v>0</v>
      </c>
      <c r="H9" s="362" t="e" cm="1">
        <f t="array" aca="1" ref="H9" ca="1">SUMPRODUCT(H$55:H$114,TRANSPOSE(SAP_Speadsheet!$E$55:$BL$55))</f>
        <v>#REF!</v>
      </c>
      <c r="I9" s="362" t="e" cm="1">
        <f t="array" aca="1" ref="I9" ca="1">SUMPRODUCT(I$55:I$114,TRANSPOSE(SAP_Speadsheet!$E$55:$BL$55))</f>
        <v>#REF!</v>
      </c>
      <c r="J9" s="362" t="e" cm="1">
        <f t="array" aca="1" ref="J9" ca="1">SUMPRODUCT(J$55:J$114,TRANSPOSE(SAP_Speadsheet!$E$55:$BL$55))</f>
        <v>#REF!</v>
      </c>
      <c r="K9" s="362" t="e" cm="1">
        <f t="array" aca="1" ref="K9" ca="1">SUMPRODUCT(K$55:K$114,TRANSPOSE(SAP_Speadsheet!$E$55:$BL$55))</f>
        <v>#REF!</v>
      </c>
      <c r="L9" s="362" t="e" cm="1">
        <f t="array" aca="1" ref="L9" ca="1">SUMPRODUCT(L$55:L$114,TRANSPOSE(SAP_Speadsheet!$E$55:$BL$55))</f>
        <v>#REF!</v>
      </c>
      <c r="M9" s="362" t="e" cm="1">
        <f t="array" aca="1" ref="M9" ca="1">SUMPRODUCT(M$55:M$114,TRANSPOSE(SAP_Speadsheet!$E$55:$BL$55))</f>
        <v>#REF!</v>
      </c>
      <c r="N9" s="362" t="e" cm="1">
        <f t="array" aca="1" ref="N9" ca="1">SUMPRODUCT(N$55:N$114,TRANSPOSE(SAP_Speadsheet!$E$55:$BL$55))</f>
        <v>#REF!</v>
      </c>
      <c r="O9" s="362" t="e" cm="1">
        <f t="array" aca="1" ref="O9" ca="1">SUMPRODUCT(O$55:O$114,TRANSPOSE(SAP_Speadsheet!$E$55:$BL$55))</f>
        <v>#REF!</v>
      </c>
      <c r="P9" s="362" t="e" cm="1">
        <f t="array" aca="1" ref="P9" ca="1">SUMPRODUCT(P$55:P$114,TRANSPOSE(SAP_Speadsheet!$E$55:$BL$55))</f>
        <v>#REF!</v>
      </c>
      <c r="Q9" s="362" t="e" cm="1">
        <f t="array" aca="1" ref="Q9" ca="1">SUMPRODUCT(Q$55:Q$114,TRANSPOSE(SAP_Speadsheet!$E$55:$BL$55))</f>
        <v>#REF!</v>
      </c>
      <c r="R9" s="362" t="e" cm="1">
        <f t="array" aca="1" ref="R9" ca="1">SUMPRODUCT(R$55:R$114,TRANSPOSE(SAP_Speadsheet!$E$55:$BL$55))</f>
        <v>#REF!</v>
      </c>
      <c r="S9" s="362" t="e" cm="1">
        <f t="array" aca="1" ref="S9" ca="1">SUMPRODUCT(S$55:S$114,TRANSPOSE(SAP_Speadsheet!$E$55:$BL$55))</f>
        <v>#REF!</v>
      </c>
      <c r="T9" s="362" t="e" cm="1">
        <f t="array" aca="1" ref="T9" ca="1">SUMPRODUCT(T$55:T$114,TRANSPOSE(SAP_Speadsheet!$E$55:$BL$55))</f>
        <v>#REF!</v>
      </c>
      <c r="U9" s="362" t="e" cm="1">
        <f t="array" aca="1" ref="U9" ca="1">SUMPRODUCT(U$55:U$114,TRANSPOSE(SAP_Speadsheet!$E$55:$BL$55))</f>
        <v>#REF!</v>
      </c>
      <c r="V9" s="362" t="e" cm="1">
        <f t="array" aca="1" ref="V9" ca="1">SUMPRODUCT(V$55:V$114,TRANSPOSE(SAP_Speadsheet!$E$55:$BL$55))</f>
        <v>#REF!</v>
      </c>
      <c r="W9" s="362" t="e" cm="1">
        <f t="array" aca="1" ref="W9" ca="1">SUMPRODUCT(W$55:W$114,TRANSPOSE(SAP_Speadsheet!$E$55:$BL$55))</f>
        <v>#REF!</v>
      </c>
      <c r="X9" s="362" t="e" cm="1">
        <f t="array" aca="1" ref="X9" ca="1">SUMPRODUCT(X$55:X$114,TRANSPOSE(SAP_Speadsheet!$E$55:$BL$55))</f>
        <v>#REF!</v>
      </c>
      <c r="Y9" s="362" t="e" cm="1">
        <f t="array" aca="1" ref="Y9" ca="1">SUMPRODUCT(Y$55:Y$114,TRANSPOSE(SAP_Speadsheet!$E$55:$BL$55))</f>
        <v>#REF!</v>
      </c>
      <c r="Z9" s="362" t="e" cm="1">
        <f t="array" aca="1" ref="Z9" ca="1">SUMPRODUCT(Z$55:Z$114,TRANSPOSE(SAP_Speadsheet!$E$55:$BL$55))</f>
        <v>#REF!</v>
      </c>
      <c r="AA9" s="362" t="e" cm="1">
        <f t="array" aca="1" ref="AA9" ca="1">SUMPRODUCT(AA$55:AA$114,TRANSPOSE(SAP_Speadsheet!$E$55:$BL$55))</f>
        <v>#REF!</v>
      </c>
      <c r="AB9" s="362" t="e" cm="1">
        <f t="array" aca="1" ref="AB9" ca="1">SUMPRODUCT(AB$55:AB$114,TRANSPOSE(SAP_Speadsheet!$E$55:$BL$55))</f>
        <v>#REF!</v>
      </c>
      <c r="AC9" s="362" t="e" cm="1">
        <f t="array" aca="1" ref="AC9" ca="1">SUMPRODUCT(AC$55:AC$114,TRANSPOSE(SAP_Speadsheet!$E$55:$BL$55))</f>
        <v>#REF!</v>
      </c>
      <c r="AD9" s="362" t="e" cm="1">
        <f t="array" aca="1" ref="AD9" ca="1">SUMPRODUCT(AD$55:AD$114,TRANSPOSE(SAP_Speadsheet!$E$55:$BL$55))</f>
        <v>#REF!</v>
      </c>
      <c r="AE9" s="362" t="e" cm="1">
        <f t="array" aca="1" ref="AE9" ca="1">SUMPRODUCT(AE$55:AE$114,TRANSPOSE(SAP_Speadsheet!$E$55:$BL$55))</f>
        <v>#REF!</v>
      </c>
      <c r="AF9" s="362" t="e" cm="1">
        <f t="array" aca="1" ref="AF9" ca="1">SUMPRODUCT(AF$55:AF$114,TRANSPOSE(SAP_Speadsheet!$E$55:$BL$55))</f>
        <v>#REF!</v>
      </c>
      <c r="AG9" s="362" t="e" cm="1">
        <f t="array" aca="1" ref="AG9" ca="1">SUMPRODUCT(AG$55:AG$114,TRANSPOSE(SAP_Speadsheet!$E$55:$BL$55))</f>
        <v>#REF!</v>
      </c>
      <c r="AH9" s="362" t="e" cm="1">
        <f t="array" aca="1" ref="AH9" ca="1">SUMPRODUCT(AH$55:AH$114,TRANSPOSE(SAP_Speadsheet!$E$55:$BL$55))</f>
        <v>#REF!</v>
      </c>
      <c r="AI9" s="362" t="e" cm="1">
        <f t="array" aca="1" ref="AI9" ca="1">SUMPRODUCT(AI$55:AI$114,TRANSPOSE(SAP_Speadsheet!$E$55:$BL$55))</f>
        <v>#REF!</v>
      </c>
      <c r="AJ9" s="362" t="e" cm="1">
        <f t="array" aca="1" ref="AJ9" ca="1">SUMPRODUCT(AJ$55:AJ$114,TRANSPOSE(SAP_Speadsheet!$E$55:$BL$55))</f>
        <v>#REF!</v>
      </c>
      <c r="AK9" s="362" t="e" cm="1">
        <f t="array" aca="1" ref="AK9" ca="1">SUMPRODUCT(AK$55:AK$114,TRANSPOSE(SAP_Speadsheet!$E$55:$BL$55))</f>
        <v>#REF!</v>
      </c>
      <c r="AL9" s="362" t="e" cm="1">
        <f t="array" aca="1" ref="AL9" ca="1">SUMPRODUCT(AL$55:AL$114,TRANSPOSE(SAP_Speadsheet!$E$55:$BL$55))</f>
        <v>#REF!</v>
      </c>
      <c r="AM9" s="362" t="e" cm="1">
        <f t="array" aca="1" ref="AM9" ca="1">SUMPRODUCT(AM$55:AM$114,TRANSPOSE(SAP_Speadsheet!$E$55:$BL$55))</f>
        <v>#REF!</v>
      </c>
      <c r="AN9" s="362" t="e" cm="1">
        <f t="array" aca="1" ref="AN9" ca="1">SUMPRODUCT(AN$55:AN$114,TRANSPOSE(SAP_Speadsheet!$E$55:$BL$55))</f>
        <v>#REF!</v>
      </c>
      <c r="AO9" s="362" t="e" cm="1">
        <f t="array" aca="1" ref="AO9" ca="1">SUMPRODUCT(AO$55:AO$114,TRANSPOSE(SAP_Speadsheet!$E$55:$BL$55))</f>
        <v>#REF!</v>
      </c>
      <c r="AP9" s="362" t="e" cm="1">
        <f t="array" aca="1" ref="AP9" ca="1">SUMPRODUCT(AP$55:AP$114,TRANSPOSE(SAP_Speadsheet!$E$55:$BL$55))</f>
        <v>#REF!</v>
      </c>
      <c r="AQ9" s="362" t="e" cm="1">
        <f t="array" aca="1" ref="AQ9" ca="1">SUMPRODUCT(AQ$55:AQ$114,TRANSPOSE(SAP_Speadsheet!$E$55:$BL$55))</f>
        <v>#REF!</v>
      </c>
      <c r="AR9" s="362" t="e" cm="1">
        <f t="array" aca="1" ref="AR9" ca="1">SUMPRODUCT(AR$55:AR$114,TRANSPOSE(SAP_Speadsheet!$E$55:$BL$55))</f>
        <v>#REF!</v>
      </c>
      <c r="AS9" s="362" t="e" cm="1">
        <f t="array" aca="1" ref="AS9" ca="1">SUMPRODUCT(AS$55:AS$114,TRANSPOSE(SAP_Speadsheet!$E$55:$BL$55))</f>
        <v>#REF!</v>
      </c>
      <c r="AT9" s="362" t="e" cm="1">
        <f t="array" aca="1" ref="AT9" ca="1">SUMPRODUCT(AT$55:AT$114,TRANSPOSE(SAP_Speadsheet!$E$55:$BL$55))</f>
        <v>#REF!</v>
      </c>
      <c r="AU9" s="362" t="e" cm="1">
        <f t="array" aca="1" ref="AU9" ca="1">SUMPRODUCT(AU$55:AU$114,TRANSPOSE(SAP_Speadsheet!$E$55:$BL$55))</f>
        <v>#REF!</v>
      </c>
      <c r="AV9" s="362" t="e" cm="1">
        <f t="array" aca="1" ref="AV9" ca="1">SUMPRODUCT(AV$55:AV$114,TRANSPOSE(SAP_Speadsheet!$E$55:$BL$55))</f>
        <v>#REF!</v>
      </c>
      <c r="AW9" s="362" t="e" cm="1">
        <f t="array" aca="1" ref="AW9" ca="1">SUMPRODUCT(AW$55:AW$114,TRANSPOSE(SAP_Speadsheet!$E$55:$BL$55))</f>
        <v>#REF!</v>
      </c>
      <c r="AX9" s="362" t="e" cm="1">
        <f t="array" aca="1" ref="AX9" ca="1">SUMPRODUCT(AX$55:AX$114,TRANSPOSE(SAP_Speadsheet!$E$55:$BL$55))</f>
        <v>#REF!</v>
      </c>
      <c r="AY9" s="362" t="e" cm="1">
        <f t="array" aca="1" ref="AY9" ca="1">SUMPRODUCT(AY$55:AY$114,TRANSPOSE(SAP_Speadsheet!$E$55:$BL$55))</f>
        <v>#REF!</v>
      </c>
      <c r="AZ9" s="362" t="e" cm="1">
        <f t="array" aca="1" ref="AZ9" ca="1">SUMPRODUCT(AZ$55:AZ$114,TRANSPOSE(SAP_Speadsheet!$E$55:$BL$55))</f>
        <v>#REF!</v>
      </c>
      <c r="BA9" s="362" t="e" cm="1">
        <f t="array" aca="1" ref="BA9" ca="1">SUMPRODUCT(BA$55:BA$114,TRANSPOSE(SAP_Speadsheet!$E$55:$BL$55))</f>
        <v>#REF!</v>
      </c>
      <c r="BB9" s="362" t="e" cm="1">
        <f t="array" aca="1" ref="BB9" ca="1">SUMPRODUCT(BB$55:BB$114,TRANSPOSE(SAP_Speadsheet!$E$55:$BL$55))</f>
        <v>#REF!</v>
      </c>
      <c r="BC9" s="362" t="e" cm="1">
        <f t="array" aca="1" ref="BC9" ca="1">SUMPRODUCT(BC$55:BC$114,TRANSPOSE(SAP_Speadsheet!$E$55:$BL$55))</f>
        <v>#REF!</v>
      </c>
      <c r="BD9" s="362" t="e" cm="1">
        <f t="array" aca="1" ref="BD9" ca="1">SUMPRODUCT(BD$55:BD$114,TRANSPOSE(SAP_Speadsheet!$E$55:$BL$55))</f>
        <v>#REF!</v>
      </c>
      <c r="BE9" s="362" t="e" cm="1">
        <f t="array" aca="1" ref="BE9" ca="1">SUMPRODUCT(BE$55:BE$114,TRANSPOSE(SAP_Speadsheet!$E$55:$BL$55))</f>
        <v>#REF!</v>
      </c>
      <c r="BF9" s="362" t="e" cm="1">
        <f t="array" aca="1" ref="BF9" ca="1">SUMPRODUCT(BF$55:BF$114,TRANSPOSE(SAP_Speadsheet!$E$55:$BL$55))</f>
        <v>#REF!</v>
      </c>
      <c r="BG9" s="362" t="e" cm="1">
        <f t="array" aca="1" ref="BG9" ca="1">SUMPRODUCT(BG$55:BG$114,TRANSPOSE(SAP_Speadsheet!$E$55:$BL$55))</f>
        <v>#REF!</v>
      </c>
      <c r="BH9" s="362" t="e" cm="1">
        <f t="array" aca="1" ref="BH9" ca="1">SUMPRODUCT(BH$55:BH$114,TRANSPOSE(SAP_Speadsheet!$E$55:$BL$55))</f>
        <v>#REF!</v>
      </c>
      <c r="BI9" s="362" t="e" cm="1">
        <f t="array" aca="1" ref="BI9" ca="1">SUMPRODUCT(BI$55:BI$114,TRANSPOSE(SAP_Speadsheet!$E$55:$BL$55))</f>
        <v>#REF!</v>
      </c>
    </row>
    <row r="10" spans="1:61" s="365" customFormat="1" x14ac:dyDescent="0.15">
      <c r="A10" s="363" t="s">
        <v>433</v>
      </c>
      <c r="B10" s="364">
        <f t="shared" ref="B10:BI10" ca="1" si="2">B9-B11-B14</f>
        <v>0</v>
      </c>
      <c r="C10" s="364">
        <f t="shared" ca="1" si="2"/>
        <v>0</v>
      </c>
      <c r="D10" s="364">
        <f t="shared" ca="1" si="2"/>
        <v>0</v>
      </c>
      <c r="E10" s="364">
        <f t="shared" ca="1" si="2"/>
        <v>0</v>
      </c>
      <c r="F10" s="364">
        <f t="shared" ca="1" si="2"/>
        <v>0</v>
      </c>
      <c r="G10" s="364">
        <f t="shared" ca="1" si="2"/>
        <v>0</v>
      </c>
      <c r="H10" s="364" t="e">
        <f t="shared" ca="1" si="2"/>
        <v>#REF!</v>
      </c>
      <c r="I10" s="364" t="e">
        <f t="shared" ca="1" si="2"/>
        <v>#REF!</v>
      </c>
      <c r="J10" s="364" t="e">
        <f t="shared" ca="1" si="2"/>
        <v>#REF!</v>
      </c>
      <c r="K10" s="364" t="e">
        <f t="shared" ca="1" si="2"/>
        <v>#REF!</v>
      </c>
      <c r="L10" s="364" t="e">
        <f t="shared" ca="1" si="2"/>
        <v>#REF!</v>
      </c>
      <c r="M10" s="364" t="e">
        <f t="shared" ca="1" si="2"/>
        <v>#REF!</v>
      </c>
      <c r="N10" s="364" t="e">
        <f t="shared" ca="1" si="2"/>
        <v>#REF!</v>
      </c>
      <c r="O10" s="364" t="e">
        <f t="shared" ca="1" si="2"/>
        <v>#REF!</v>
      </c>
      <c r="P10" s="364" t="e">
        <f t="shared" ca="1" si="2"/>
        <v>#REF!</v>
      </c>
      <c r="Q10" s="364" t="e">
        <f t="shared" ca="1" si="2"/>
        <v>#REF!</v>
      </c>
      <c r="R10" s="364" t="e">
        <f t="shared" ca="1" si="2"/>
        <v>#REF!</v>
      </c>
      <c r="S10" s="364" t="e">
        <f t="shared" ca="1" si="2"/>
        <v>#REF!</v>
      </c>
      <c r="T10" s="364" t="e">
        <f t="shared" ca="1" si="2"/>
        <v>#REF!</v>
      </c>
      <c r="U10" s="364" t="e">
        <f t="shared" ca="1" si="2"/>
        <v>#REF!</v>
      </c>
      <c r="V10" s="364" t="e">
        <f t="shared" ca="1" si="2"/>
        <v>#REF!</v>
      </c>
      <c r="W10" s="364" t="e">
        <f t="shared" ca="1" si="2"/>
        <v>#REF!</v>
      </c>
      <c r="X10" s="364" t="e">
        <f t="shared" ca="1" si="2"/>
        <v>#REF!</v>
      </c>
      <c r="Y10" s="364" t="e">
        <f t="shared" ca="1" si="2"/>
        <v>#REF!</v>
      </c>
      <c r="Z10" s="364" t="e">
        <f t="shared" ca="1" si="2"/>
        <v>#REF!</v>
      </c>
      <c r="AA10" s="364" t="e">
        <f t="shared" ca="1" si="2"/>
        <v>#REF!</v>
      </c>
      <c r="AB10" s="364" t="e">
        <f t="shared" ca="1" si="2"/>
        <v>#REF!</v>
      </c>
      <c r="AC10" s="364" t="e">
        <f t="shared" ca="1" si="2"/>
        <v>#REF!</v>
      </c>
      <c r="AD10" s="364" t="e">
        <f t="shared" ca="1" si="2"/>
        <v>#REF!</v>
      </c>
      <c r="AE10" s="364" t="e">
        <f t="shared" ca="1" si="2"/>
        <v>#REF!</v>
      </c>
      <c r="AF10" s="364" t="e">
        <f t="shared" ca="1" si="2"/>
        <v>#REF!</v>
      </c>
      <c r="AG10" s="364" t="e">
        <f t="shared" ca="1" si="2"/>
        <v>#REF!</v>
      </c>
      <c r="AH10" s="364" t="e">
        <f t="shared" ca="1" si="2"/>
        <v>#REF!</v>
      </c>
      <c r="AI10" s="364" t="e">
        <f t="shared" ca="1" si="2"/>
        <v>#REF!</v>
      </c>
      <c r="AJ10" s="364" t="e">
        <f t="shared" ca="1" si="2"/>
        <v>#REF!</v>
      </c>
      <c r="AK10" s="364" t="e">
        <f t="shared" ca="1" si="2"/>
        <v>#REF!</v>
      </c>
      <c r="AL10" s="364" t="e">
        <f t="shared" ca="1" si="2"/>
        <v>#REF!</v>
      </c>
      <c r="AM10" s="364" t="e">
        <f t="shared" ca="1" si="2"/>
        <v>#REF!</v>
      </c>
      <c r="AN10" s="364" t="e">
        <f t="shared" ca="1" si="2"/>
        <v>#REF!</v>
      </c>
      <c r="AO10" s="364" t="e">
        <f t="shared" ca="1" si="2"/>
        <v>#REF!</v>
      </c>
      <c r="AP10" s="364" t="e">
        <f t="shared" ca="1" si="2"/>
        <v>#REF!</v>
      </c>
      <c r="AQ10" s="364" t="e">
        <f t="shared" ca="1" si="2"/>
        <v>#REF!</v>
      </c>
      <c r="AR10" s="364" t="e">
        <f t="shared" ca="1" si="2"/>
        <v>#REF!</v>
      </c>
      <c r="AS10" s="364" t="e">
        <f t="shared" ca="1" si="2"/>
        <v>#REF!</v>
      </c>
      <c r="AT10" s="364" t="e">
        <f t="shared" ca="1" si="2"/>
        <v>#REF!</v>
      </c>
      <c r="AU10" s="364" t="e">
        <f t="shared" ca="1" si="2"/>
        <v>#REF!</v>
      </c>
      <c r="AV10" s="364" t="e">
        <f t="shared" ca="1" si="2"/>
        <v>#REF!</v>
      </c>
      <c r="AW10" s="364" t="e">
        <f t="shared" ca="1" si="2"/>
        <v>#REF!</v>
      </c>
      <c r="AX10" s="364" t="e">
        <f t="shared" ca="1" si="2"/>
        <v>#REF!</v>
      </c>
      <c r="AY10" s="364" t="e">
        <f t="shared" ca="1" si="2"/>
        <v>#REF!</v>
      </c>
      <c r="AZ10" s="364" t="e">
        <f t="shared" ca="1" si="2"/>
        <v>#REF!</v>
      </c>
      <c r="BA10" s="364" t="e">
        <f t="shared" ca="1" si="2"/>
        <v>#REF!</v>
      </c>
      <c r="BB10" s="364" t="e">
        <f t="shared" ca="1" si="2"/>
        <v>#REF!</v>
      </c>
      <c r="BC10" s="364" t="e">
        <f t="shared" ca="1" si="2"/>
        <v>#REF!</v>
      </c>
      <c r="BD10" s="364" t="e">
        <f t="shared" ca="1" si="2"/>
        <v>#REF!</v>
      </c>
      <c r="BE10" s="364" t="e">
        <f t="shared" ca="1" si="2"/>
        <v>#REF!</v>
      </c>
      <c r="BF10" s="364" t="e">
        <f t="shared" ca="1" si="2"/>
        <v>#REF!</v>
      </c>
      <c r="BG10" s="364" t="e">
        <f t="shared" ca="1" si="2"/>
        <v>#REF!</v>
      </c>
      <c r="BH10" s="364" t="e">
        <f t="shared" ca="1" si="2"/>
        <v>#REF!</v>
      </c>
      <c r="BI10" s="364" t="e">
        <f t="shared" ca="1" si="2"/>
        <v>#REF!</v>
      </c>
    </row>
    <row r="11" spans="1:61" s="355" customFormat="1" x14ac:dyDescent="0.15">
      <c r="A11" s="355" t="s">
        <v>193</v>
      </c>
      <c r="B11" s="362" cm="1">
        <f t="array" aca="1" ref="B11" ca="1">SUMPRODUCT(B$55:B$114,TRANSPOSE(SAP_Speadsheet!$E$57:$BL$57))</f>
        <v>0</v>
      </c>
      <c r="C11" s="362" cm="1">
        <f t="array" aca="1" ref="C11" ca="1">SUMPRODUCT(C$55:C$114,TRANSPOSE(SAP_Speadsheet!$E$57:$BL$57))</f>
        <v>0</v>
      </c>
      <c r="D11" s="362" cm="1">
        <f t="array" aca="1" ref="D11" ca="1">SUMPRODUCT(D$55:D$114,TRANSPOSE(SAP_Speadsheet!$E$57:$BL$57))</f>
        <v>0</v>
      </c>
      <c r="E11" s="362" cm="1">
        <f t="array" aca="1" ref="E11" ca="1">SUMPRODUCT(E$55:E$114,TRANSPOSE(SAP_Speadsheet!$E$57:$BL$57))</f>
        <v>0</v>
      </c>
      <c r="F11" s="362" cm="1">
        <f t="array" aca="1" ref="F11" ca="1">SUMPRODUCT(F$55:F$114,TRANSPOSE(SAP_Speadsheet!$E$57:$BL$57))</f>
        <v>0</v>
      </c>
      <c r="G11" s="362" cm="1">
        <f t="array" aca="1" ref="G11" ca="1">SUMPRODUCT(G$55:G$114,TRANSPOSE(SAP_Speadsheet!$E$57:$BL$57))</f>
        <v>0</v>
      </c>
      <c r="H11" s="362" t="e" cm="1">
        <f t="array" aca="1" ref="H11" ca="1">SUMPRODUCT(H$55:H$114,TRANSPOSE(SAP_Speadsheet!$E$57:$BL$57))</f>
        <v>#REF!</v>
      </c>
      <c r="I11" s="362" t="e" cm="1">
        <f t="array" aca="1" ref="I11" ca="1">SUMPRODUCT(I$55:I$114,TRANSPOSE(SAP_Speadsheet!$E$57:$BL$57))</f>
        <v>#REF!</v>
      </c>
      <c r="J11" s="362" t="e" cm="1">
        <f t="array" aca="1" ref="J11" ca="1">SUMPRODUCT(J$55:J$114,TRANSPOSE(SAP_Speadsheet!$E$57:$BL$57))</f>
        <v>#REF!</v>
      </c>
      <c r="K11" s="362" t="e" cm="1">
        <f t="array" aca="1" ref="K11" ca="1">SUMPRODUCT(K$55:K$114,TRANSPOSE(SAP_Speadsheet!$E$57:$BL$57))</f>
        <v>#REF!</v>
      </c>
      <c r="L11" s="362" t="e" cm="1">
        <f t="array" aca="1" ref="L11" ca="1">SUMPRODUCT(L$55:L$114,TRANSPOSE(SAP_Speadsheet!$E$57:$BL$57))</f>
        <v>#REF!</v>
      </c>
      <c r="M11" s="362" t="e" cm="1">
        <f t="array" aca="1" ref="M11" ca="1">SUMPRODUCT(M$55:M$114,TRANSPOSE(SAP_Speadsheet!$E$57:$BL$57))</f>
        <v>#REF!</v>
      </c>
      <c r="N11" s="362" t="e" cm="1">
        <f t="array" aca="1" ref="N11" ca="1">SUMPRODUCT(N$55:N$114,TRANSPOSE(SAP_Speadsheet!$E$57:$BL$57))</f>
        <v>#REF!</v>
      </c>
      <c r="O11" s="362" t="e" cm="1">
        <f t="array" aca="1" ref="O11" ca="1">SUMPRODUCT(O$55:O$114,TRANSPOSE(SAP_Speadsheet!$E$57:$BL$57))</f>
        <v>#REF!</v>
      </c>
      <c r="P11" s="362" t="e" cm="1">
        <f t="array" aca="1" ref="P11" ca="1">SUMPRODUCT(P$55:P$114,TRANSPOSE(SAP_Speadsheet!$E$57:$BL$57))</f>
        <v>#REF!</v>
      </c>
      <c r="Q11" s="362" t="e" cm="1">
        <f t="array" aca="1" ref="Q11" ca="1">SUMPRODUCT(Q$55:Q$114,TRANSPOSE(SAP_Speadsheet!$E$57:$BL$57))</f>
        <v>#REF!</v>
      </c>
      <c r="R11" s="362" t="e" cm="1">
        <f t="array" aca="1" ref="R11" ca="1">SUMPRODUCT(R$55:R$114,TRANSPOSE(SAP_Speadsheet!$E$57:$BL$57))</f>
        <v>#REF!</v>
      </c>
      <c r="S11" s="362" t="e" cm="1">
        <f t="array" aca="1" ref="S11" ca="1">SUMPRODUCT(S$55:S$114,TRANSPOSE(SAP_Speadsheet!$E$57:$BL$57))</f>
        <v>#REF!</v>
      </c>
      <c r="T11" s="362" t="e" cm="1">
        <f t="array" aca="1" ref="T11" ca="1">SUMPRODUCT(T$55:T$114,TRANSPOSE(SAP_Speadsheet!$E$57:$BL$57))</f>
        <v>#REF!</v>
      </c>
      <c r="U11" s="362" t="e" cm="1">
        <f t="array" aca="1" ref="U11" ca="1">SUMPRODUCT(U$55:U$114,TRANSPOSE(SAP_Speadsheet!$E$57:$BL$57))</f>
        <v>#REF!</v>
      </c>
      <c r="V11" s="362" t="e" cm="1">
        <f t="array" aca="1" ref="V11" ca="1">SUMPRODUCT(V$55:V$114,TRANSPOSE(SAP_Speadsheet!$E$57:$BL$57))</f>
        <v>#REF!</v>
      </c>
      <c r="W11" s="362" t="e" cm="1">
        <f t="array" aca="1" ref="W11" ca="1">SUMPRODUCT(W$55:W$114,TRANSPOSE(SAP_Speadsheet!$E$57:$BL$57))</f>
        <v>#REF!</v>
      </c>
      <c r="X11" s="362" t="e" cm="1">
        <f t="array" aca="1" ref="X11" ca="1">SUMPRODUCT(X$55:X$114,TRANSPOSE(SAP_Speadsheet!$E$57:$BL$57))</f>
        <v>#REF!</v>
      </c>
      <c r="Y11" s="362" t="e" cm="1">
        <f t="array" aca="1" ref="Y11" ca="1">SUMPRODUCT(Y$55:Y$114,TRANSPOSE(SAP_Speadsheet!$E$57:$BL$57))</f>
        <v>#REF!</v>
      </c>
      <c r="Z11" s="362" t="e" cm="1">
        <f t="array" aca="1" ref="Z11" ca="1">SUMPRODUCT(Z$55:Z$114,TRANSPOSE(SAP_Speadsheet!$E$57:$BL$57))</f>
        <v>#REF!</v>
      </c>
      <c r="AA11" s="362" t="e" cm="1">
        <f t="array" aca="1" ref="AA11" ca="1">SUMPRODUCT(AA$55:AA$114,TRANSPOSE(SAP_Speadsheet!$E$57:$BL$57))</f>
        <v>#REF!</v>
      </c>
      <c r="AB11" s="362" t="e" cm="1">
        <f t="array" aca="1" ref="AB11" ca="1">SUMPRODUCT(AB$55:AB$114,TRANSPOSE(SAP_Speadsheet!$E$57:$BL$57))</f>
        <v>#REF!</v>
      </c>
      <c r="AC11" s="362" t="e" cm="1">
        <f t="array" aca="1" ref="AC11" ca="1">SUMPRODUCT(AC$55:AC$114,TRANSPOSE(SAP_Speadsheet!$E$57:$BL$57))</f>
        <v>#REF!</v>
      </c>
      <c r="AD11" s="362" t="e" cm="1">
        <f t="array" aca="1" ref="AD11" ca="1">SUMPRODUCT(AD$55:AD$114,TRANSPOSE(SAP_Speadsheet!$E$57:$BL$57))</f>
        <v>#REF!</v>
      </c>
      <c r="AE11" s="362" t="e" cm="1">
        <f t="array" aca="1" ref="AE11" ca="1">SUMPRODUCT(AE$55:AE$114,TRANSPOSE(SAP_Speadsheet!$E$57:$BL$57))</f>
        <v>#REF!</v>
      </c>
      <c r="AF11" s="362" t="e" cm="1">
        <f t="array" aca="1" ref="AF11" ca="1">SUMPRODUCT(AF$55:AF$114,TRANSPOSE(SAP_Speadsheet!$E$57:$BL$57))</f>
        <v>#REF!</v>
      </c>
      <c r="AG11" s="362" t="e" cm="1">
        <f t="array" aca="1" ref="AG11" ca="1">SUMPRODUCT(AG$55:AG$114,TRANSPOSE(SAP_Speadsheet!$E$57:$BL$57))</f>
        <v>#REF!</v>
      </c>
      <c r="AH11" s="362" t="e" cm="1">
        <f t="array" aca="1" ref="AH11" ca="1">SUMPRODUCT(AH$55:AH$114,TRANSPOSE(SAP_Speadsheet!$E$57:$BL$57))</f>
        <v>#REF!</v>
      </c>
      <c r="AI11" s="362" t="e" cm="1">
        <f t="array" aca="1" ref="AI11" ca="1">SUMPRODUCT(AI$55:AI$114,TRANSPOSE(SAP_Speadsheet!$E$57:$BL$57))</f>
        <v>#REF!</v>
      </c>
      <c r="AJ11" s="362" t="e" cm="1">
        <f t="array" aca="1" ref="AJ11" ca="1">SUMPRODUCT(AJ$55:AJ$114,TRANSPOSE(SAP_Speadsheet!$E$57:$BL$57))</f>
        <v>#REF!</v>
      </c>
      <c r="AK11" s="362" t="e" cm="1">
        <f t="array" aca="1" ref="AK11" ca="1">SUMPRODUCT(AK$55:AK$114,TRANSPOSE(SAP_Speadsheet!$E$57:$BL$57))</f>
        <v>#REF!</v>
      </c>
      <c r="AL11" s="362" t="e" cm="1">
        <f t="array" aca="1" ref="AL11" ca="1">SUMPRODUCT(AL$55:AL$114,TRANSPOSE(SAP_Speadsheet!$E$57:$BL$57))</f>
        <v>#REF!</v>
      </c>
      <c r="AM11" s="362" t="e" cm="1">
        <f t="array" aca="1" ref="AM11" ca="1">SUMPRODUCT(AM$55:AM$114,TRANSPOSE(SAP_Speadsheet!$E$57:$BL$57))</f>
        <v>#REF!</v>
      </c>
      <c r="AN11" s="362" t="e" cm="1">
        <f t="array" aca="1" ref="AN11" ca="1">SUMPRODUCT(AN$55:AN$114,TRANSPOSE(SAP_Speadsheet!$E$57:$BL$57))</f>
        <v>#REF!</v>
      </c>
      <c r="AO11" s="362" t="e" cm="1">
        <f t="array" aca="1" ref="AO11" ca="1">SUMPRODUCT(AO$55:AO$114,TRANSPOSE(SAP_Speadsheet!$E$57:$BL$57))</f>
        <v>#REF!</v>
      </c>
      <c r="AP11" s="362" t="e" cm="1">
        <f t="array" aca="1" ref="AP11" ca="1">SUMPRODUCT(AP$55:AP$114,TRANSPOSE(SAP_Speadsheet!$E$57:$BL$57))</f>
        <v>#REF!</v>
      </c>
      <c r="AQ11" s="362" t="e" cm="1">
        <f t="array" aca="1" ref="AQ11" ca="1">SUMPRODUCT(AQ$55:AQ$114,TRANSPOSE(SAP_Speadsheet!$E$57:$BL$57))</f>
        <v>#REF!</v>
      </c>
      <c r="AR11" s="362" t="e" cm="1">
        <f t="array" aca="1" ref="AR11" ca="1">SUMPRODUCT(AR$55:AR$114,TRANSPOSE(SAP_Speadsheet!$E$57:$BL$57))</f>
        <v>#REF!</v>
      </c>
      <c r="AS11" s="362" t="e" cm="1">
        <f t="array" aca="1" ref="AS11" ca="1">SUMPRODUCT(AS$55:AS$114,TRANSPOSE(SAP_Speadsheet!$E$57:$BL$57))</f>
        <v>#REF!</v>
      </c>
      <c r="AT11" s="362" t="e" cm="1">
        <f t="array" aca="1" ref="AT11" ca="1">SUMPRODUCT(AT$55:AT$114,TRANSPOSE(SAP_Speadsheet!$E$57:$BL$57))</f>
        <v>#REF!</v>
      </c>
      <c r="AU11" s="362" t="e" cm="1">
        <f t="array" aca="1" ref="AU11" ca="1">SUMPRODUCT(AU$55:AU$114,TRANSPOSE(SAP_Speadsheet!$E$57:$BL$57))</f>
        <v>#REF!</v>
      </c>
      <c r="AV11" s="362" t="e" cm="1">
        <f t="array" aca="1" ref="AV11" ca="1">SUMPRODUCT(AV$55:AV$114,TRANSPOSE(SAP_Speadsheet!$E$57:$BL$57))</f>
        <v>#REF!</v>
      </c>
      <c r="AW11" s="362" t="e" cm="1">
        <f t="array" aca="1" ref="AW11" ca="1">SUMPRODUCT(AW$55:AW$114,TRANSPOSE(SAP_Speadsheet!$E$57:$BL$57))</f>
        <v>#REF!</v>
      </c>
      <c r="AX11" s="362" t="e" cm="1">
        <f t="array" aca="1" ref="AX11" ca="1">SUMPRODUCT(AX$55:AX$114,TRANSPOSE(SAP_Speadsheet!$E$57:$BL$57))</f>
        <v>#REF!</v>
      </c>
      <c r="AY11" s="362" t="e" cm="1">
        <f t="array" aca="1" ref="AY11" ca="1">SUMPRODUCT(AY$55:AY$114,TRANSPOSE(SAP_Speadsheet!$E$57:$BL$57))</f>
        <v>#REF!</v>
      </c>
      <c r="AZ11" s="362" t="e" cm="1">
        <f t="array" aca="1" ref="AZ11" ca="1">SUMPRODUCT(AZ$55:AZ$114,TRANSPOSE(SAP_Speadsheet!$E$57:$BL$57))</f>
        <v>#REF!</v>
      </c>
      <c r="BA11" s="362" t="e" cm="1">
        <f t="array" aca="1" ref="BA11" ca="1">SUMPRODUCT(BA$55:BA$114,TRANSPOSE(SAP_Speadsheet!$E$57:$BL$57))</f>
        <v>#REF!</v>
      </c>
      <c r="BB11" s="362" t="e" cm="1">
        <f t="array" aca="1" ref="BB11" ca="1">SUMPRODUCT(BB$55:BB$114,TRANSPOSE(SAP_Speadsheet!$E$57:$BL$57))</f>
        <v>#REF!</v>
      </c>
      <c r="BC11" s="362" t="e" cm="1">
        <f t="array" aca="1" ref="BC11" ca="1">SUMPRODUCT(BC$55:BC$114,TRANSPOSE(SAP_Speadsheet!$E$57:$BL$57))</f>
        <v>#REF!</v>
      </c>
      <c r="BD11" s="362" t="e" cm="1">
        <f t="array" aca="1" ref="BD11" ca="1">SUMPRODUCT(BD$55:BD$114,TRANSPOSE(SAP_Speadsheet!$E$57:$BL$57))</f>
        <v>#REF!</v>
      </c>
      <c r="BE11" s="362" t="e" cm="1">
        <f t="array" aca="1" ref="BE11" ca="1">SUMPRODUCT(BE$55:BE$114,TRANSPOSE(SAP_Speadsheet!$E$57:$BL$57))</f>
        <v>#REF!</v>
      </c>
      <c r="BF11" s="362" t="e" cm="1">
        <f t="array" aca="1" ref="BF11" ca="1">SUMPRODUCT(BF$55:BF$114,TRANSPOSE(SAP_Speadsheet!$E$57:$BL$57))</f>
        <v>#REF!</v>
      </c>
      <c r="BG11" s="362" t="e" cm="1">
        <f t="array" aca="1" ref="BG11" ca="1">SUMPRODUCT(BG$55:BG$114,TRANSPOSE(SAP_Speadsheet!$E$57:$BL$57))</f>
        <v>#REF!</v>
      </c>
      <c r="BH11" s="362" t="e" cm="1">
        <f t="array" aca="1" ref="BH11" ca="1">SUMPRODUCT(BH$55:BH$114,TRANSPOSE(SAP_Speadsheet!$E$57:$BL$57))</f>
        <v>#REF!</v>
      </c>
      <c r="BI11" s="362" t="e" cm="1">
        <f t="array" aca="1" ref="BI11" ca="1">SUMPRODUCT(BI$55:BI$114,TRANSPOSE(SAP_Speadsheet!$E$57:$BL$57))</f>
        <v>#REF!</v>
      </c>
    </row>
    <row r="12" spans="1:61" x14ac:dyDescent="0.15">
      <c r="A12" s="366" t="s">
        <v>207</v>
      </c>
      <c r="B12" s="367" cm="1">
        <f t="array" aca="1" ref="B12" ca="1">SUMPRODUCT(B$55:B$114,TRANSPOSE(SAP_Speadsheet!$E$58:$BL$58))</f>
        <v>0</v>
      </c>
      <c r="C12" s="367" cm="1">
        <f t="array" aca="1" ref="C12" ca="1">SUMPRODUCT(C$55:C$114,TRANSPOSE(SAP_Speadsheet!$E$58:$BL$58))</f>
        <v>0</v>
      </c>
      <c r="D12" s="367" cm="1">
        <f t="array" aca="1" ref="D12" ca="1">SUMPRODUCT(D$55:D$114,TRANSPOSE(SAP_Speadsheet!$E$58:$BL$58))</f>
        <v>0</v>
      </c>
      <c r="E12" s="367" cm="1">
        <f t="array" aca="1" ref="E12" ca="1">SUMPRODUCT(E$55:E$114,TRANSPOSE(SAP_Speadsheet!$E$58:$BL$58))</f>
        <v>0</v>
      </c>
      <c r="F12" s="367" cm="1">
        <f t="array" aca="1" ref="F12" ca="1">SUMPRODUCT(F$55:F$114,TRANSPOSE(SAP_Speadsheet!$E$58:$BL$58))</f>
        <v>0</v>
      </c>
      <c r="G12" s="367" cm="1">
        <f t="array" aca="1" ref="G12" ca="1">SUMPRODUCT(G$55:G$114,TRANSPOSE(SAP_Speadsheet!$E$58:$BL$58))</f>
        <v>0</v>
      </c>
      <c r="H12" s="367" t="e" cm="1">
        <f t="array" aca="1" ref="H12" ca="1">SUMPRODUCT(H$55:H$114,TRANSPOSE(SAP_Speadsheet!$E$58:$BL$58))</f>
        <v>#REF!</v>
      </c>
      <c r="I12" s="367" t="e" cm="1">
        <f t="array" aca="1" ref="I12" ca="1">SUMPRODUCT(I$55:I$114,TRANSPOSE(SAP_Speadsheet!$E$58:$BL$58))</f>
        <v>#REF!</v>
      </c>
      <c r="J12" s="367" t="e" cm="1">
        <f t="array" aca="1" ref="J12" ca="1">SUMPRODUCT(J$55:J$114,TRANSPOSE(SAP_Speadsheet!$E$58:$BL$58))</f>
        <v>#REF!</v>
      </c>
      <c r="K12" s="367" t="e" cm="1">
        <f t="array" aca="1" ref="K12" ca="1">SUMPRODUCT(K$55:K$114,TRANSPOSE(SAP_Speadsheet!$E$58:$BL$58))</f>
        <v>#REF!</v>
      </c>
      <c r="L12" s="367" t="e" cm="1">
        <f t="array" aca="1" ref="L12" ca="1">SUMPRODUCT(L$55:L$114,TRANSPOSE(SAP_Speadsheet!$E$58:$BL$58))</f>
        <v>#REF!</v>
      </c>
      <c r="M12" s="367" t="e" cm="1">
        <f t="array" aca="1" ref="M12" ca="1">SUMPRODUCT(M$55:M$114,TRANSPOSE(SAP_Speadsheet!$E$58:$BL$58))</f>
        <v>#REF!</v>
      </c>
      <c r="N12" s="367" t="e" cm="1">
        <f t="array" aca="1" ref="N12" ca="1">SUMPRODUCT(N$55:N$114,TRANSPOSE(SAP_Speadsheet!$E$58:$BL$58))</f>
        <v>#REF!</v>
      </c>
      <c r="O12" s="367" t="e" cm="1">
        <f t="array" aca="1" ref="O12" ca="1">SUMPRODUCT(O$55:O$114,TRANSPOSE(SAP_Speadsheet!$E$58:$BL$58))</f>
        <v>#REF!</v>
      </c>
      <c r="P12" s="367" t="e" cm="1">
        <f t="array" aca="1" ref="P12" ca="1">SUMPRODUCT(P$55:P$114,TRANSPOSE(SAP_Speadsheet!$E$58:$BL$58))</f>
        <v>#REF!</v>
      </c>
      <c r="Q12" s="367" t="e" cm="1">
        <f t="array" aca="1" ref="Q12" ca="1">SUMPRODUCT(Q$55:Q$114,TRANSPOSE(SAP_Speadsheet!$E$58:$BL$58))</f>
        <v>#REF!</v>
      </c>
      <c r="R12" s="367" t="e" cm="1">
        <f t="array" aca="1" ref="R12" ca="1">SUMPRODUCT(R$55:R$114,TRANSPOSE(SAP_Speadsheet!$E$58:$BL$58))</f>
        <v>#REF!</v>
      </c>
      <c r="S12" s="367" t="e" cm="1">
        <f t="array" aca="1" ref="S12" ca="1">SUMPRODUCT(S$55:S$114,TRANSPOSE(SAP_Speadsheet!$E$58:$BL$58))</f>
        <v>#REF!</v>
      </c>
      <c r="T12" s="367" t="e" cm="1">
        <f t="array" aca="1" ref="T12" ca="1">SUMPRODUCT(T$55:T$114,TRANSPOSE(SAP_Speadsheet!$E$58:$BL$58))</f>
        <v>#REF!</v>
      </c>
      <c r="U12" s="367" t="e" cm="1">
        <f t="array" aca="1" ref="U12" ca="1">SUMPRODUCT(U$55:U$114,TRANSPOSE(SAP_Speadsheet!$E$58:$BL$58))</f>
        <v>#REF!</v>
      </c>
      <c r="V12" s="367" t="e" cm="1">
        <f t="array" aca="1" ref="V12" ca="1">SUMPRODUCT(V$55:V$114,TRANSPOSE(SAP_Speadsheet!$E$58:$BL$58))</f>
        <v>#REF!</v>
      </c>
      <c r="W12" s="367" t="e" cm="1">
        <f t="array" aca="1" ref="W12" ca="1">SUMPRODUCT(W$55:W$114,TRANSPOSE(SAP_Speadsheet!$E$58:$BL$58))</f>
        <v>#REF!</v>
      </c>
      <c r="X12" s="367" t="e" cm="1">
        <f t="array" aca="1" ref="X12" ca="1">SUMPRODUCT(X$55:X$114,TRANSPOSE(SAP_Speadsheet!$E$58:$BL$58))</f>
        <v>#REF!</v>
      </c>
      <c r="Y12" s="367" t="e" cm="1">
        <f t="array" aca="1" ref="Y12" ca="1">SUMPRODUCT(Y$55:Y$114,TRANSPOSE(SAP_Speadsheet!$E$58:$BL$58))</f>
        <v>#REF!</v>
      </c>
      <c r="Z12" s="367" t="e" cm="1">
        <f t="array" aca="1" ref="Z12" ca="1">SUMPRODUCT(Z$55:Z$114,TRANSPOSE(SAP_Speadsheet!$E$58:$BL$58))</f>
        <v>#REF!</v>
      </c>
      <c r="AA12" s="367" t="e" cm="1">
        <f t="array" aca="1" ref="AA12" ca="1">SUMPRODUCT(AA$55:AA$114,TRANSPOSE(SAP_Speadsheet!$E$58:$BL$58))</f>
        <v>#REF!</v>
      </c>
      <c r="AB12" s="367" t="e" cm="1">
        <f t="array" aca="1" ref="AB12" ca="1">SUMPRODUCT(AB$55:AB$114,TRANSPOSE(SAP_Speadsheet!$E$58:$BL$58))</f>
        <v>#REF!</v>
      </c>
      <c r="AC12" s="367" t="e" cm="1">
        <f t="array" aca="1" ref="AC12" ca="1">SUMPRODUCT(AC$55:AC$114,TRANSPOSE(SAP_Speadsheet!$E$58:$BL$58))</f>
        <v>#REF!</v>
      </c>
      <c r="AD12" s="367" t="e" cm="1">
        <f t="array" aca="1" ref="AD12" ca="1">SUMPRODUCT(AD$55:AD$114,TRANSPOSE(SAP_Speadsheet!$E$58:$BL$58))</f>
        <v>#REF!</v>
      </c>
      <c r="AE12" s="367" t="e" cm="1">
        <f t="array" aca="1" ref="AE12" ca="1">SUMPRODUCT(AE$55:AE$114,TRANSPOSE(SAP_Speadsheet!$E$58:$BL$58))</f>
        <v>#REF!</v>
      </c>
      <c r="AF12" s="367" t="e" cm="1">
        <f t="array" aca="1" ref="AF12" ca="1">SUMPRODUCT(AF$55:AF$114,TRANSPOSE(SAP_Speadsheet!$E$58:$BL$58))</f>
        <v>#REF!</v>
      </c>
      <c r="AG12" s="367" t="e" cm="1">
        <f t="array" aca="1" ref="AG12" ca="1">SUMPRODUCT(AG$55:AG$114,TRANSPOSE(SAP_Speadsheet!$E$58:$BL$58))</f>
        <v>#REF!</v>
      </c>
      <c r="AH12" s="367" t="e" cm="1">
        <f t="array" aca="1" ref="AH12" ca="1">SUMPRODUCT(AH$55:AH$114,TRANSPOSE(SAP_Speadsheet!$E$58:$BL$58))</f>
        <v>#REF!</v>
      </c>
      <c r="AI12" s="367" t="e" cm="1">
        <f t="array" aca="1" ref="AI12" ca="1">SUMPRODUCT(AI$55:AI$114,TRANSPOSE(SAP_Speadsheet!$E$58:$BL$58))</f>
        <v>#REF!</v>
      </c>
      <c r="AJ12" s="367" t="e" cm="1">
        <f t="array" aca="1" ref="AJ12" ca="1">SUMPRODUCT(AJ$55:AJ$114,TRANSPOSE(SAP_Speadsheet!$E$58:$BL$58))</f>
        <v>#REF!</v>
      </c>
      <c r="AK12" s="367" t="e" cm="1">
        <f t="array" aca="1" ref="AK12" ca="1">SUMPRODUCT(AK$55:AK$114,TRANSPOSE(SAP_Speadsheet!$E$58:$BL$58))</f>
        <v>#REF!</v>
      </c>
      <c r="AL12" s="367" t="e" cm="1">
        <f t="array" aca="1" ref="AL12" ca="1">SUMPRODUCT(AL$55:AL$114,TRANSPOSE(SAP_Speadsheet!$E$58:$BL$58))</f>
        <v>#REF!</v>
      </c>
      <c r="AM12" s="367" t="e" cm="1">
        <f t="array" aca="1" ref="AM12" ca="1">SUMPRODUCT(AM$55:AM$114,TRANSPOSE(SAP_Speadsheet!$E$58:$BL$58))</f>
        <v>#REF!</v>
      </c>
      <c r="AN12" s="367" t="e" cm="1">
        <f t="array" aca="1" ref="AN12" ca="1">SUMPRODUCT(AN$55:AN$114,TRANSPOSE(SAP_Speadsheet!$E$58:$BL$58))</f>
        <v>#REF!</v>
      </c>
      <c r="AO12" s="367" t="e" cm="1">
        <f t="array" aca="1" ref="AO12" ca="1">SUMPRODUCT(AO$55:AO$114,TRANSPOSE(SAP_Speadsheet!$E$58:$BL$58))</f>
        <v>#REF!</v>
      </c>
      <c r="AP12" s="367" t="e" cm="1">
        <f t="array" aca="1" ref="AP12" ca="1">SUMPRODUCT(AP$55:AP$114,TRANSPOSE(SAP_Speadsheet!$E$58:$BL$58))</f>
        <v>#REF!</v>
      </c>
      <c r="AQ12" s="367" t="e" cm="1">
        <f t="array" aca="1" ref="AQ12" ca="1">SUMPRODUCT(AQ$55:AQ$114,TRANSPOSE(SAP_Speadsheet!$E$58:$BL$58))</f>
        <v>#REF!</v>
      </c>
      <c r="AR12" s="367" t="e" cm="1">
        <f t="array" aca="1" ref="AR12" ca="1">SUMPRODUCT(AR$55:AR$114,TRANSPOSE(SAP_Speadsheet!$E$58:$BL$58))</f>
        <v>#REF!</v>
      </c>
      <c r="AS12" s="367" t="e" cm="1">
        <f t="array" aca="1" ref="AS12" ca="1">SUMPRODUCT(AS$55:AS$114,TRANSPOSE(SAP_Speadsheet!$E$58:$BL$58))</f>
        <v>#REF!</v>
      </c>
      <c r="AT12" s="367" t="e" cm="1">
        <f t="array" aca="1" ref="AT12" ca="1">SUMPRODUCT(AT$55:AT$114,TRANSPOSE(SAP_Speadsheet!$E$58:$BL$58))</f>
        <v>#REF!</v>
      </c>
      <c r="AU12" s="367" t="e" cm="1">
        <f t="array" aca="1" ref="AU12" ca="1">SUMPRODUCT(AU$55:AU$114,TRANSPOSE(SAP_Speadsheet!$E$58:$BL$58))</f>
        <v>#REF!</v>
      </c>
      <c r="AV12" s="367" t="e" cm="1">
        <f t="array" aca="1" ref="AV12" ca="1">SUMPRODUCT(AV$55:AV$114,TRANSPOSE(SAP_Speadsheet!$E$58:$BL$58))</f>
        <v>#REF!</v>
      </c>
      <c r="AW12" s="367" t="e" cm="1">
        <f t="array" aca="1" ref="AW12" ca="1">SUMPRODUCT(AW$55:AW$114,TRANSPOSE(SAP_Speadsheet!$E$58:$BL$58))</f>
        <v>#REF!</v>
      </c>
      <c r="AX12" s="367" t="e" cm="1">
        <f t="array" aca="1" ref="AX12" ca="1">SUMPRODUCT(AX$55:AX$114,TRANSPOSE(SAP_Speadsheet!$E$58:$BL$58))</f>
        <v>#REF!</v>
      </c>
      <c r="AY12" s="367" t="e" cm="1">
        <f t="array" aca="1" ref="AY12" ca="1">SUMPRODUCT(AY$55:AY$114,TRANSPOSE(SAP_Speadsheet!$E$58:$BL$58))</f>
        <v>#REF!</v>
      </c>
      <c r="AZ12" s="367" t="e" cm="1">
        <f t="array" aca="1" ref="AZ12" ca="1">SUMPRODUCT(AZ$55:AZ$114,TRANSPOSE(SAP_Speadsheet!$E$58:$BL$58))</f>
        <v>#REF!</v>
      </c>
      <c r="BA12" s="367" t="e" cm="1">
        <f t="array" aca="1" ref="BA12" ca="1">SUMPRODUCT(BA$55:BA$114,TRANSPOSE(SAP_Speadsheet!$E$58:$BL$58))</f>
        <v>#REF!</v>
      </c>
      <c r="BB12" s="367" t="e" cm="1">
        <f t="array" aca="1" ref="BB12" ca="1">SUMPRODUCT(BB$55:BB$114,TRANSPOSE(SAP_Speadsheet!$E$58:$BL$58))</f>
        <v>#REF!</v>
      </c>
      <c r="BC12" s="367" t="e" cm="1">
        <f t="array" aca="1" ref="BC12" ca="1">SUMPRODUCT(BC$55:BC$114,TRANSPOSE(SAP_Speadsheet!$E$58:$BL$58))</f>
        <v>#REF!</v>
      </c>
      <c r="BD12" s="367" t="e" cm="1">
        <f t="array" aca="1" ref="BD12" ca="1">SUMPRODUCT(BD$55:BD$114,TRANSPOSE(SAP_Speadsheet!$E$58:$BL$58))</f>
        <v>#REF!</v>
      </c>
      <c r="BE12" s="367" t="e" cm="1">
        <f t="array" aca="1" ref="BE12" ca="1">SUMPRODUCT(BE$55:BE$114,TRANSPOSE(SAP_Speadsheet!$E$58:$BL$58))</f>
        <v>#REF!</v>
      </c>
      <c r="BF12" s="367" t="e" cm="1">
        <f t="array" aca="1" ref="BF12" ca="1">SUMPRODUCT(BF$55:BF$114,TRANSPOSE(SAP_Speadsheet!$E$58:$BL$58))</f>
        <v>#REF!</v>
      </c>
      <c r="BG12" s="367" t="e" cm="1">
        <f t="array" aca="1" ref="BG12" ca="1">SUMPRODUCT(BG$55:BG$114,TRANSPOSE(SAP_Speadsheet!$E$58:$BL$58))</f>
        <v>#REF!</v>
      </c>
      <c r="BH12" s="367" t="e" cm="1">
        <f t="array" aca="1" ref="BH12" ca="1">SUMPRODUCT(BH$55:BH$114,TRANSPOSE(SAP_Speadsheet!$E$58:$BL$58))</f>
        <v>#REF!</v>
      </c>
      <c r="BI12" s="367" t="e" cm="1">
        <f t="array" aca="1" ref="BI12" ca="1">SUMPRODUCT(BI$55:BI$114,TRANSPOSE(SAP_Speadsheet!$E$58:$BL$58))</f>
        <v>#REF!</v>
      </c>
    </row>
    <row r="13" spans="1:61" x14ac:dyDescent="0.15">
      <c r="A13" s="366" t="s">
        <v>209</v>
      </c>
      <c r="B13" s="367" cm="1">
        <f t="array" aca="1" ref="B13" ca="1">SUMPRODUCT(B$55:B$114,TRANSPOSE(SAP_Speadsheet!$E$59:$BL$59))</f>
        <v>0</v>
      </c>
      <c r="C13" s="367" cm="1">
        <f t="array" aca="1" ref="C13" ca="1">SUMPRODUCT(C$55:C$114,TRANSPOSE(SAP_Speadsheet!$E$59:$BL$59))</f>
        <v>0</v>
      </c>
      <c r="D13" s="367" cm="1">
        <f t="array" aca="1" ref="D13" ca="1">SUMPRODUCT(D$55:D$114,TRANSPOSE(SAP_Speadsheet!$E$59:$BL$59))</f>
        <v>0</v>
      </c>
      <c r="E13" s="367" cm="1">
        <f t="array" aca="1" ref="E13" ca="1">SUMPRODUCT(E$55:E$114,TRANSPOSE(SAP_Speadsheet!$E$59:$BL$59))</f>
        <v>0</v>
      </c>
      <c r="F13" s="367" cm="1">
        <f t="array" aca="1" ref="F13" ca="1">SUMPRODUCT(F$55:F$114,TRANSPOSE(SAP_Speadsheet!$E$59:$BL$59))</f>
        <v>0</v>
      </c>
      <c r="G13" s="367" cm="1">
        <f t="array" aca="1" ref="G13" ca="1">SUMPRODUCT(G$55:G$114,TRANSPOSE(SAP_Speadsheet!$E$59:$BL$59))</f>
        <v>0</v>
      </c>
      <c r="H13" s="367" t="e" cm="1">
        <f t="array" aca="1" ref="H13" ca="1">SUMPRODUCT(H$55:H$114,TRANSPOSE(SAP_Speadsheet!$E$59:$BL$59))</f>
        <v>#REF!</v>
      </c>
      <c r="I13" s="367" t="e" cm="1">
        <f t="array" aca="1" ref="I13" ca="1">SUMPRODUCT(I$55:I$114,TRANSPOSE(SAP_Speadsheet!$E$59:$BL$59))</f>
        <v>#REF!</v>
      </c>
      <c r="J13" s="367" t="e" cm="1">
        <f t="array" aca="1" ref="J13" ca="1">SUMPRODUCT(J$55:J$114,TRANSPOSE(SAP_Speadsheet!$E$59:$BL$59))</f>
        <v>#REF!</v>
      </c>
      <c r="K13" s="367" t="e" cm="1">
        <f t="array" aca="1" ref="K13" ca="1">SUMPRODUCT(K$55:K$114,TRANSPOSE(SAP_Speadsheet!$E$59:$BL$59))</f>
        <v>#REF!</v>
      </c>
      <c r="L13" s="367" t="e" cm="1">
        <f t="array" aca="1" ref="L13" ca="1">SUMPRODUCT(L$55:L$114,TRANSPOSE(SAP_Speadsheet!$E$59:$BL$59))</f>
        <v>#REF!</v>
      </c>
      <c r="M13" s="367" t="e" cm="1">
        <f t="array" aca="1" ref="M13" ca="1">SUMPRODUCT(M$55:M$114,TRANSPOSE(SAP_Speadsheet!$E$59:$BL$59))</f>
        <v>#REF!</v>
      </c>
      <c r="N13" s="367" t="e" cm="1">
        <f t="array" aca="1" ref="N13" ca="1">SUMPRODUCT(N$55:N$114,TRANSPOSE(SAP_Speadsheet!$E$59:$BL$59))</f>
        <v>#REF!</v>
      </c>
      <c r="O13" s="367" t="e" cm="1">
        <f t="array" aca="1" ref="O13" ca="1">SUMPRODUCT(O$55:O$114,TRANSPOSE(SAP_Speadsheet!$E$59:$BL$59))</f>
        <v>#REF!</v>
      </c>
      <c r="P13" s="367" t="e" cm="1">
        <f t="array" aca="1" ref="P13" ca="1">SUMPRODUCT(P$55:P$114,TRANSPOSE(SAP_Speadsheet!$E$59:$BL$59))</f>
        <v>#REF!</v>
      </c>
      <c r="Q13" s="367" t="e" cm="1">
        <f t="array" aca="1" ref="Q13" ca="1">SUMPRODUCT(Q$55:Q$114,TRANSPOSE(SAP_Speadsheet!$E$59:$BL$59))</f>
        <v>#REF!</v>
      </c>
      <c r="R13" s="367" t="e" cm="1">
        <f t="array" aca="1" ref="R13" ca="1">SUMPRODUCT(R$55:R$114,TRANSPOSE(SAP_Speadsheet!$E$59:$BL$59))</f>
        <v>#REF!</v>
      </c>
      <c r="S13" s="367" t="e" cm="1">
        <f t="array" aca="1" ref="S13" ca="1">SUMPRODUCT(S$55:S$114,TRANSPOSE(SAP_Speadsheet!$E$59:$BL$59))</f>
        <v>#REF!</v>
      </c>
      <c r="T13" s="367" t="e" cm="1">
        <f t="array" aca="1" ref="T13" ca="1">SUMPRODUCT(T$55:T$114,TRANSPOSE(SAP_Speadsheet!$E$59:$BL$59))</f>
        <v>#REF!</v>
      </c>
      <c r="U13" s="367" t="e" cm="1">
        <f t="array" aca="1" ref="U13" ca="1">SUMPRODUCT(U$55:U$114,TRANSPOSE(SAP_Speadsheet!$E$59:$BL$59))</f>
        <v>#REF!</v>
      </c>
      <c r="V13" s="367" t="e" cm="1">
        <f t="array" aca="1" ref="V13" ca="1">SUMPRODUCT(V$55:V$114,TRANSPOSE(SAP_Speadsheet!$E$59:$BL$59))</f>
        <v>#REF!</v>
      </c>
      <c r="W13" s="367" t="e" cm="1">
        <f t="array" aca="1" ref="W13" ca="1">SUMPRODUCT(W$55:W$114,TRANSPOSE(SAP_Speadsheet!$E$59:$BL$59))</f>
        <v>#REF!</v>
      </c>
      <c r="X13" s="367" t="e" cm="1">
        <f t="array" aca="1" ref="X13" ca="1">SUMPRODUCT(X$55:X$114,TRANSPOSE(SAP_Speadsheet!$E$59:$BL$59))</f>
        <v>#REF!</v>
      </c>
      <c r="Y13" s="367" t="e" cm="1">
        <f t="array" aca="1" ref="Y13" ca="1">SUMPRODUCT(Y$55:Y$114,TRANSPOSE(SAP_Speadsheet!$E$59:$BL$59))</f>
        <v>#REF!</v>
      </c>
      <c r="Z13" s="367" t="e" cm="1">
        <f t="array" aca="1" ref="Z13" ca="1">SUMPRODUCT(Z$55:Z$114,TRANSPOSE(SAP_Speadsheet!$E$59:$BL$59))</f>
        <v>#REF!</v>
      </c>
      <c r="AA13" s="367" t="e" cm="1">
        <f t="array" aca="1" ref="AA13" ca="1">SUMPRODUCT(AA$55:AA$114,TRANSPOSE(SAP_Speadsheet!$E$59:$BL$59))</f>
        <v>#REF!</v>
      </c>
      <c r="AB13" s="367" t="e" cm="1">
        <f t="array" aca="1" ref="AB13" ca="1">SUMPRODUCT(AB$55:AB$114,TRANSPOSE(SAP_Speadsheet!$E$59:$BL$59))</f>
        <v>#REF!</v>
      </c>
      <c r="AC13" s="367" t="e" cm="1">
        <f t="array" aca="1" ref="AC13" ca="1">SUMPRODUCT(AC$55:AC$114,TRANSPOSE(SAP_Speadsheet!$E$59:$BL$59))</f>
        <v>#REF!</v>
      </c>
      <c r="AD13" s="367" t="e" cm="1">
        <f t="array" aca="1" ref="AD13" ca="1">SUMPRODUCT(AD$55:AD$114,TRANSPOSE(SAP_Speadsheet!$E$59:$BL$59))</f>
        <v>#REF!</v>
      </c>
      <c r="AE13" s="367" t="e" cm="1">
        <f t="array" aca="1" ref="AE13" ca="1">SUMPRODUCT(AE$55:AE$114,TRANSPOSE(SAP_Speadsheet!$E$59:$BL$59))</f>
        <v>#REF!</v>
      </c>
      <c r="AF13" s="367" t="e" cm="1">
        <f t="array" aca="1" ref="AF13" ca="1">SUMPRODUCT(AF$55:AF$114,TRANSPOSE(SAP_Speadsheet!$E$59:$BL$59))</f>
        <v>#REF!</v>
      </c>
      <c r="AG13" s="367" t="e" cm="1">
        <f t="array" aca="1" ref="AG13" ca="1">SUMPRODUCT(AG$55:AG$114,TRANSPOSE(SAP_Speadsheet!$E$59:$BL$59))</f>
        <v>#REF!</v>
      </c>
      <c r="AH13" s="367" t="e" cm="1">
        <f t="array" aca="1" ref="AH13" ca="1">SUMPRODUCT(AH$55:AH$114,TRANSPOSE(SAP_Speadsheet!$E$59:$BL$59))</f>
        <v>#REF!</v>
      </c>
      <c r="AI13" s="367" t="e" cm="1">
        <f t="array" aca="1" ref="AI13" ca="1">SUMPRODUCT(AI$55:AI$114,TRANSPOSE(SAP_Speadsheet!$E$59:$BL$59))</f>
        <v>#REF!</v>
      </c>
      <c r="AJ13" s="367" t="e" cm="1">
        <f t="array" aca="1" ref="AJ13" ca="1">SUMPRODUCT(AJ$55:AJ$114,TRANSPOSE(SAP_Speadsheet!$E$59:$BL$59))</f>
        <v>#REF!</v>
      </c>
      <c r="AK13" s="367" t="e" cm="1">
        <f t="array" aca="1" ref="AK13" ca="1">SUMPRODUCT(AK$55:AK$114,TRANSPOSE(SAP_Speadsheet!$E$59:$BL$59))</f>
        <v>#REF!</v>
      </c>
      <c r="AL13" s="367" t="e" cm="1">
        <f t="array" aca="1" ref="AL13" ca="1">SUMPRODUCT(AL$55:AL$114,TRANSPOSE(SAP_Speadsheet!$E$59:$BL$59))</f>
        <v>#REF!</v>
      </c>
      <c r="AM13" s="367" t="e" cm="1">
        <f t="array" aca="1" ref="AM13" ca="1">SUMPRODUCT(AM$55:AM$114,TRANSPOSE(SAP_Speadsheet!$E$59:$BL$59))</f>
        <v>#REF!</v>
      </c>
      <c r="AN13" s="367" t="e" cm="1">
        <f t="array" aca="1" ref="AN13" ca="1">SUMPRODUCT(AN$55:AN$114,TRANSPOSE(SAP_Speadsheet!$E$59:$BL$59))</f>
        <v>#REF!</v>
      </c>
      <c r="AO13" s="367" t="e" cm="1">
        <f t="array" aca="1" ref="AO13" ca="1">SUMPRODUCT(AO$55:AO$114,TRANSPOSE(SAP_Speadsheet!$E$59:$BL$59))</f>
        <v>#REF!</v>
      </c>
      <c r="AP13" s="367" t="e" cm="1">
        <f t="array" aca="1" ref="AP13" ca="1">SUMPRODUCT(AP$55:AP$114,TRANSPOSE(SAP_Speadsheet!$E$59:$BL$59))</f>
        <v>#REF!</v>
      </c>
      <c r="AQ13" s="367" t="e" cm="1">
        <f t="array" aca="1" ref="AQ13" ca="1">SUMPRODUCT(AQ$55:AQ$114,TRANSPOSE(SAP_Speadsheet!$E$59:$BL$59))</f>
        <v>#REF!</v>
      </c>
      <c r="AR13" s="367" t="e" cm="1">
        <f t="array" aca="1" ref="AR13" ca="1">SUMPRODUCT(AR$55:AR$114,TRANSPOSE(SAP_Speadsheet!$E$59:$BL$59))</f>
        <v>#REF!</v>
      </c>
      <c r="AS13" s="367" t="e" cm="1">
        <f t="array" aca="1" ref="AS13" ca="1">SUMPRODUCT(AS$55:AS$114,TRANSPOSE(SAP_Speadsheet!$E$59:$BL$59))</f>
        <v>#REF!</v>
      </c>
      <c r="AT13" s="367" t="e" cm="1">
        <f t="array" aca="1" ref="AT13" ca="1">SUMPRODUCT(AT$55:AT$114,TRANSPOSE(SAP_Speadsheet!$E$59:$BL$59))</f>
        <v>#REF!</v>
      </c>
      <c r="AU13" s="367" t="e" cm="1">
        <f t="array" aca="1" ref="AU13" ca="1">SUMPRODUCT(AU$55:AU$114,TRANSPOSE(SAP_Speadsheet!$E$59:$BL$59))</f>
        <v>#REF!</v>
      </c>
      <c r="AV13" s="367" t="e" cm="1">
        <f t="array" aca="1" ref="AV13" ca="1">SUMPRODUCT(AV$55:AV$114,TRANSPOSE(SAP_Speadsheet!$E$59:$BL$59))</f>
        <v>#REF!</v>
      </c>
      <c r="AW13" s="367" t="e" cm="1">
        <f t="array" aca="1" ref="AW13" ca="1">SUMPRODUCT(AW$55:AW$114,TRANSPOSE(SAP_Speadsheet!$E$59:$BL$59))</f>
        <v>#REF!</v>
      </c>
      <c r="AX13" s="367" t="e" cm="1">
        <f t="array" aca="1" ref="AX13" ca="1">SUMPRODUCT(AX$55:AX$114,TRANSPOSE(SAP_Speadsheet!$E$59:$BL$59))</f>
        <v>#REF!</v>
      </c>
      <c r="AY13" s="367" t="e" cm="1">
        <f t="array" aca="1" ref="AY13" ca="1">SUMPRODUCT(AY$55:AY$114,TRANSPOSE(SAP_Speadsheet!$E$59:$BL$59))</f>
        <v>#REF!</v>
      </c>
      <c r="AZ13" s="367" t="e" cm="1">
        <f t="array" aca="1" ref="AZ13" ca="1">SUMPRODUCT(AZ$55:AZ$114,TRANSPOSE(SAP_Speadsheet!$E$59:$BL$59))</f>
        <v>#REF!</v>
      </c>
      <c r="BA13" s="367" t="e" cm="1">
        <f t="array" aca="1" ref="BA13" ca="1">SUMPRODUCT(BA$55:BA$114,TRANSPOSE(SAP_Speadsheet!$E$59:$BL$59))</f>
        <v>#REF!</v>
      </c>
      <c r="BB13" s="367" t="e" cm="1">
        <f t="array" aca="1" ref="BB13" ca="1">SUMPRODUCT(BB$55:BB$114,TRANSPOSE(SAP_Speadsheet!$E$59:$BL$59))</f>
        <v>#REF!</v>
      </c>
      <c r="BC13" s="367" t="e" cm="1">
        <f t="array" aca="1" ref="BC13" ca="1">SUMPRODUCT(BC$55:BC$114,TRANSPOSE(SAP_Speadsheet!$E$59:$BL$59))</f>
        <v>#REF!</v>
      </c>
      <c r="BD13" s="367" t="e" cm="1">
        <f t="array" aca="1" ref="BD13" ca="1">SUMPRODUCT(BD$55:BD$114,TRANSPOSE(SAP_Speadsheet!$E$59:$BL$59))</f>
        <v>#REF!</v>
      </c>
      <c r="BE13" s="367" t="e" cm="1">
        <f t="array" aca="1" ref="BE13" ca="1">SUMPRODUCT(BE$55:BE$114,TRANSPOSE(SAP_Speadsheet!$E$59:$BL$59))</f>
        <v>#REF!</v>
      </c>
      <c r="BF13" s="367" t="e" cm="1">
        <f t="array" aca="1" ref="BF13" ca="1">SUMPRODUCT(BF$55:BF$114,TRANSPOSE(SAP_Speadsheet!$E$59:$BL$59))</f>
        <v>#REF!</v>
      </c>
      <c r="BG13" s="367" t="e" cm="1">
        <f t="array" aca="1" ref="BG13" ca="1">SUMPRODUCT(BG$55:BG$114,TRANSPOSE(SAP_Speadsheet!$E$59:$BL$59))</f>
        <v>#REF!</v>
      </c>
      <c r="BH13" s="367" t="e" cm="1">
        <f t="array" aca="1" ref="BH13" ca="1">SUMPRODUCT(BH$55:BH$114,TRANSPOSE(SAP_Speadsheet!$E$59:$BL$59))</f>
        <v>#REF!</v>
      </c>
      <c r="BI13" s="367" t="e" cm="1">
        <f t="array" aca="1" ref="BI13" ca="1">SUMPRODUCT(BI$55:BI$114,TRANSPOSE(SAP_Speadsheet!$E$59:$BL$59))</f>
        <v>#REF!</v>
      </c>
    </row>
    <row r="14" spans="1:61" x14ac:dyDescent="0.15">
      <c r="A14" s="355" t="s">
        <v>194</v>
      </c>
      <c r="B14" s="362" cm="1">
        <f t="array" aca="1" ref="B14" ca="1">SUMPRODUCT(B$55:B$114,TRANSPOSE(SAP_Speadsheet!$E$61:$BL$61))</f>
        <v>0</v>
      </c>
      <c r="C14" s="362" cm="1">
        <f t="array" aca="1" ref="C14" ca="1">SUMPRODUCT(C$55:C$114,TRANSPOSE(SAP_Speadsheet!$E$61:$BL$61))</f>
        <v>0</v>
      </c>
      <c r="D14" s="362" cm="1">
        <f t="array" aca="1" ref="D14" ca="1">SUMPRODUCT(D$55:D$114,TRANSPOSE(SAP_Speadsheet!$E$61:$BL$61))</f>
        <v>0</v>
      </c>
      <c r="E14" s="362" cm="1">
        <f t="array" aca="1" ref="E14" ca="1">SUMPRODUCT(E$55:E$114,TRANSPOSE(SAP_Speadsheet!$E$61:$BL$61))</f>
        <v>0</v>
      </c>
      <c r="F14" s="362" cm="1">
        <f t="array" aca="1" ref="F14" ca="1">SUMPRODUCT(F$55:F$114,TRANSPOSE(SAP_Speadsheet!$E$61:$BL$61))</f>
        <v>0</v>
      </c>
      <c r="G14" s="362" cm="1">
        <f t="array" aca="1" ref="G14" ca="1">SUMPRODUCT(G$55:G$114,TRANSPOSE(SAP_Speadsheet!$E$61:$BL$61))</f>
        <v>0</v>
      </c>
      <c r="H14" s="362" t="e" cm="1">
        <f t="array" aca="1" ref="H14" ca="1">SUMPRODUCT(H$55:H$114,TRANSPOSE(SAP_Speadsheet!$E$61:$BL$61))</f>
        <v>#REF!</v>
      </c>
      <c r="I14" s="362" t="e" cm="1">
        <f t="array" aca="1" ref="I14" ca="1">SUMPRODUCT(I$55:I$114,TRANSPOSE(SAP_Speadsheet!$E$61:$BL$61))</f>
        <v>#REF!</v>
      </c>
      <c r="J14" s="362" t="e" cm="1">
        <f t="array" aca="1" ref="J14" ca="1">SUMPRODUCT(J$55:J$114,TRANSPOSE(SAP_Speadsheet!$E$61:$BL$61))</f>
        <v>#REF!</v>
      </c>
      <c r="K14" s="362" t="e" cm="1">
        <f t="array" aca="1" ref="K14" ca="1">SUMPRODUCT(K$55:K$114,TRANSPOSE(SAP_Speadsheet!$E$61:$BL$61))</f>
        <v>#REF!</v>
      </c>
      <c r="L14" s="362" t="e" cm="1">
        <f t="array" aca="1" ref="L14" ca="1">SUMPRODUCT(L$55:L$114,TRANSPOSE(SAP_Speadsheet!$E$61:$BL$61))</f>
        <v>#REF!</v>
      </c>
      <c r="M14" s="362" t="e" cm="1">
        <f t="array" aca="1" ref="M14" ca="1">SUMPRODUCT(M$55:M$114,TRANSPOSE(SAP_Speadsheet!$E$61:$BL$61))</f>
        <v>#REF!</v>
      </c>
      <c r="N14" s="362" t="e" cm="1">
        <f t="array" aca="1" ref="N14" ca="1">SUMPRODUCT(N$55:N$114,TRANSPOSE(SAP_Speadsheet!$E$61:$BL$61))</f>
        <v>#REF!</v>
      </c>
      <c r="O14" s="362" t="e" cm="1">
        <f t="array" aca="1" ref="O14" ca="1">SUMPRODUCT(O$55:O$114,TRANSPOSE(SAP_Speadsheet!$E$61:$BL$61))</f>
        <v>#REF!</v>
      </c>
      <c r="P14" s="362" t="e" cm="1">
        <f t="array" aca="1" ref="P14" ca="1">SUMPRODUCT(P$55:P$114,TRANSPOSE(SAP_Speadsheet!$E$61:$BL$61))</f>
        <v>#REF!</v>
      </c>
      <c r="Q14" s="362" t="e" cm="1">
        <f t="array" aca="1" ref="Q14" ca="1">SUMPRODUCT(Q$55:Q$114,TRANSPOSE(SAP_Speadsheet!$E$61:$BL$61))</f>
        <v>#REF!</v>
      </c>
      <c r="R14" s="362" t="e" cm="1">
        <f t="array" aca="1" ref="R14" ca="1">SUMPRODUCT(R$55:R$114,TRANSPOSE(SAP_Speadsheet!$E$61:$BL$61))</f>
        <v>#REF!</v>
      </c>
      <c r="S14" s="362" t="e" cm="1">
        <f t="array" aca="1" ref="S14" ca="1">SUMPRODUCT(S$55:S$114,TRANSPOSE(SAP_Speadsheet!$E$61:$BL$61))</f>
        <v>#REF!</v>
      </c>
      <c r="T14" s="362" t="e" cm="1">
        <f t="array" aca="1" ref="T14" ca="1">SUMPRODUCT(T$55:T$114,TRANSPOSE(SAP_Speadsheet!$E$61:$BL$61))</f>
        <v>#REF!</v>
      </c>
      <c r="U14" s="362" t="e" cm="1">
        <f t="array" aca="1" ref="U14" ca="1">SUMPRODUCT(U$55:U$114,TRANSPOSE(SAP_Speadsheet!$E$61:$BL$61))</f>
        <v>#REF!</v>
      </c>
      <c r="V14" s="362" t="e" cm="1">
        <f t="array" aca="1" ref="V14" ca="1">SUMPRODUCT(V$55:V$114,TRANSPOSE(SAP_Speadsheet!$E$61:$BL$61))</f>
        <v>#REF!</v>
      </c>
      <c r="W14" s="362" t="e" cm="1">
        <f t="array" aca="1" ref="W14" ca="1">SUMPRODUCT(W$55:W$114,TRANSPOSE(SAP_Speadsheet!$E$61:$BL$61))</f>
        <v>#REF!</v>
      </c>
      <c r="X14" s="362" t="e" cm="1">
        <f t="array" aca="1" ref="X14" ca="1">SUMPRODUCT(X$55:X$114,TRANSPOSE(SAP_Speadsheet!$E$61:$BL$61))</f>
        <v>#REF!</v>
      </c>
      <c r="Y14" s="362" t="e" cm="1">
        <f t="array" aca="1" ref="Y14" ca="1">SUMPRODUCT(Y$55:Y$114,TRANSPOSE(SAP_Speadsheet!$E$61:$BL$61))</f>
        <v>#REF!</v>
      </c>
      <c r="Z14" s="362" t="e" cm="1">
        <f t="array" aca="1" ref="Z14" ca="1">SUMPRODUCT(Z$55:Z$114,TRANSPOSE(SAP_Speadsheet!$E$61:$BL$61))</f>
        <v>#REF!</v>
      </c>
      <c r="AA14" s="362" t="e" cm="1">
        <f t="array" aca="1" ref="AA14" ca="1">SUMPRODUCT(AA$55:AA$114,TRANSPOSE(SAP_Speadsheet!$E$61:$BL$61))</f>
        <v>#REF!</v>
      </c>
      <c r="AB14" s="362" t="e" cm="1">
        <f t="array" aca="1" ref="AB14" ca="1">SUMPRODUCT(AB$55:AB$114,TRANSPOSE(SAP_Speadsheet!$E$61:$BL$61))</f>
        <v>#REF!</v>
      </c>
      <c r="AC14" s="362" t="e" cm="1">
        <f t="array" aca="1" ref="AC14" ca="1">SUMPRODUCT(AC$55:AC$114,TRANSPOSE(SAP_Speadsheet!$E$61:$BL$61))</f>
        <v>#REF!</v>
      </c>
      <c r="AD14" s="362" t="e" cm="1">
        <f t="array" aca="1" ref="AD14" ca="1">SUMPRODUCT(AD$55:AD$114,TRANSPOSE(SAP_Speadsheet!$E$61:$BL$61))</f>
        <v>#REF!</v>
      </c>
      <c r="AE14" s="362" t="e" cm="1">
        <f t="array" aca="1" ref="AE14" ca="1">SUMPRODUCT(AE$55:AE$114,TRANSPOSE(SAP_Speadsheet!$E$61:$BL$61))</f>
        <v>#REF!</v>
      </c>
      <c r="AF14" s="362" t="e" cm="1">
        <f t="array" aca="1" ref="AF14" ca="1">SUMPRODUCT(AF$55:AF$114,TRANSPOSE(SAP_Speadsheet!$E$61:$BL$61))</f>
        <v>#REF!</v>
      </c>
      <c r="AG14" s="362" t="e" cm="1">
        <f t="array" aca="1" ref="AG14" ca="1">SUMPRODUCT(AG$55:AG$114,TRANSPOSE(SAP_Speadsheet!$E$61:$BL$61))</f>
        <v>#REF!</v>
      </c>
      <c r="AH14" s="362" t="e" cm="1">
        <f t="array" aca="1" ref="AH14" ca="1">SUMPRODUCT(AH$55:AH$114,TRANSPOSE(SAP_Speadsheet!$E$61:$BL$61))</f>
        <v>#REF!</v>
      </c>
      <c r="AI14" s="362" t="e" cm="1">
        <f t="array" aca="1" ref="AI14" ca="1">SUMPRODUCT(AI$55:AI$114,TRANSPOSE(SAP_Speadsheet!$E$61:$BL$61))</f>
        <v>#REF!</v>
      </c>
      <c r="AJ14" s="362" t="e" cm="1">
        <f t="array" aca="1" ref="AJ14" ca="1">SUMPRODUCT(AJ$55:AJ$114,TRANSPOSE(SAP_Speadsheet!$E$61:$BL$61))</f>
        <v>#REF!</v>
      </c>
      <c r="AK14" s="362" t="e" cm="1">
        <f t="array" aca="1" ref="AK14" ca="1">SUMPRODUCT(AK$55:AK$114,TRANSPOSE(SAP_Speadsheet!$E$61:$BL$61))</f>
        <v>#REF!</v>
      </c>
      <c r="AL14" s="362" t="e" cm="1">
        <f t="array" aca="1" ref="AL14" ca="1">SUMPRODUCT(AL$55:AL$114,TRANSPOSE(SAP_Speadsheet!$E$61:$BL$61))</f>
        <v>#REF!</v>
      </c>
      <c r="AM14" s="362" t="e" cm="1">
        <f t="array" aca="1" ref="AM14" ca="1">SUMPRODUCT(AM$55:AM$114,TRANSPOSE(SAP_Speadsheet!$E$61:$BL$61))</f>
        <v>#REF!</v>
      </c>
      <c r="AN14" s="362" t="e" cm="1">
        <f t="array" aca="1" ref="AN14" ca="1">SUMPRODUCT(AN$55:AN$114,TRANSPOSE(SAP_Speadsheet!$E$61:$BL$61))</f>
        <v>#REF!</v>
      </c>
      <c r="AO14" s="362" t="e" cm="1">
        <f t="array" aca="1" ref="AO14" ca="1">SUMPRODUCT(AO$55:AO$114,TRANSPOSE(SAP_Speadsheet!$E$61:$BL$61))</f>
        <v>#REF!</v>
      </c>
      <c r="AP14" s="362" t="e" cm="1">
        <f t="array" aca="1" ref="AP14" ca="1">SUMPRODUCT(AP$55:AP$114,TRANSPOSE(SAP_Speadsheet!$E$61:$BL$61))</f>
        <v>#REF!</v>
      </c>
      <c r="AQ14" s="362" t="e" cm="1">
        <f t="array" aca="1" ref="AQ14" ca="1">SUMPRODUCT(AQ$55:AQ$114,TRANSPOSE(SAP_Speadsheet!$E$61:$BL$61))</f>
        <v>#REF!</v>
      </c>
      <c r="AR14" s="362" t="e" cm="1">
        <f t="array" aca="1" ref="AR14" ca="1">SUMPRODUCT(AR$55:AR$114,TRANSPOSE(SAP_Speadsheet!$E$61:$BL$61))</f>
        <v>#REF!</v>
      </c>
      <c r="AS14" s="362" t="e" cm="1">
        <f t="array" aca="1" ref="AS14" ca="1">SUMPRODUCT(AS$55:AS$114,TRANSPOSE(SAP_Speadsheet!$E$61:$BL$61))</f>
        <v>#REF!</v>
      </c>
      <c r="AT14" s="362" t="e" cm="1">
        <f t="array" aca="1" ref="AT14" ca="1">SUMPRODUCT(AT$55:AT$114,TRANSPOSE(SAP_Speadsheet!$E$61:$BL$61))</f>
        <v>#REF!</v>
      </c>
      <c r="AU14" s="362" t="e" cm="1">
        <f t="array" aca="1" ref="AU14" ca="1">SUMPRODUCT(AU$55:AU$114,TRANSPOSE(SAP_Speadsheet!$E$61:$BL$61))</f>
        <v>#REF!</v>
      </c>
      <c r="AV14" s="362" t="e" cm="1">
        <f t="array" aca="1" ref="AV14" ca="1">SUMPRODUCT(AV$55:AV$114,TRANSPOSE(SAP_Speadsheet!$E$61:$BL$61))</f>
        <v>#REF!</v>
      </c>
      <c r="AW14" s="362" t="e" cm="1">
        <f t="array" aca="1" ref="AW14" ca="1">SUMPRODUCT(AW$55:AW$114,TRANSPOSE(SAP_Speadsheet!$E$61:$BL$61))</f>
        <v>#REF!</v>
      </c>
      <c r="AX14" s="362" t="e" cm="1">
        <f t="array" aca="1" ref="AX14" ca="1">SUMPRODUCT(AX$55:AX$114,TRANSPOSE(SAP_Speadsheet!$E$61:$BL$61))</f>
        <v>#REF!</v>
      </c>
      <c r="AY14" s="362" t="e" cm="1">
        <f t="array" aca="1" ref="AY14" ca="1">SUMPRODUCT(AY$55:AY$114,TRANSPOSE(SAP_Speadsheet!$E$61:$BL$61))</f>
        <v>#REF!</v>
      </c>
      <c r="AZ14" s="362" t="e" cm="1">
        <f t="array" aca="1" ref="AZ14" ca="1">SUMPRODUCT(AZ$55:AZ$114,TRANSPOSE(SAP_Speadsheet!$E$61:$BL$61))</f>
        <v>#REF!</v>
      </c>
      <c r="BA14" s="362" t="e" cm="1">
        <f t="array" aca="1" ref="BA14" ca="1">SUMPRODUCT(BA$55:BA$114,TRANSPOSE(SAP_Speadsheet!$E$61:$BL$61))</f>
        <v>#REF!</v>
      </c>
      <c r="BB14" s="362" t="e" cm="1">
        <f t="array" aca="1" ref="BB14" ca="1">SUMPRODUCT(BB$55:BB$114,TRANSPOSE(SAP_Speadsheet!$E$61:$BL$61))</f>
        <v>#REF!</v>
      </c>
      <c r="BC14" s="362" t="e" cm="1">
        <f t="array" aca="1" ref="BC14" ca="1">SUMPRODUCT(BC$55:BC$114,TRANSPOSE(SAP_Speadsheet!$E$61:$BL$61))</f>
        <v>#REF!</v>
      </c>
      <c r="BD14" s="362" t="e" cm="1">
        <f t="array" aca="1" ref="BD14" ca="1">SUMPRODUCT(BD$55:BD$114,TRANSPOSE(SAP_Speadsheet!$E$61:$BL$61))</f>
        <v>#REF!</v>
      </c>
      <c r="BE14" s="362" t="e" cm="1">
        <f t="array" aca="1" ref="BE14" ca="1">SUMPRODUCT(BE$55:BE$114,TRANSPOSE(SAP_Speadsheet!$E$61:$BL$61))</f>
        <v>#REF!</v>
      </c>
      <c r="BF14" s="362" t="e" cm="1">
        <f t="array" aca="1" ref="BF14" ca="1">SUMPRODUCT(BF$55:BF$114,TRANSPOSE(SAP_Speadsheet!$E$61:$BL$61))</f>
        <v>#REF!</v>
      </c>
      <c r="BG14" s="362" t="e" cm="1">
        <f t="array" aca="1" ref="BG14" ca="1">SUMPRODUCT(BG$55:BG$114,TRANSPOSE(SAP_Speadsheet!$E$61:$BL$61))</f>
        <v>#REF!</v>
      </c>
      <c r="BH14" s="362" t="e" cm="1">
        <f t="array" aca="1" ref="BH14" ca="1">SUMPRODUCT(BH$55:BH$114,TRANSPOSE(SAP_Speadsheet!$E$61:$BL$61))</f>
        <v>#REF!</v>
      </c>
      <c r="BI14" s="362" t="e" cm="1">
        <f t="array" aca="1" ref="BI14" ca="1">SUMPRODUCT(BI$55:BI$114,TRANSPOSE(SAP_Speadsheet!$E$61:$BL$61))</f>
        <v>#REF!</v>
      </c>
    </row>
    <row r="15" spans="1:61" x14ac:dyDescent="0.15">
      <c r="A15" s="366" t="s">
        <v>461</v>
      </c>
      <c r="B15" s="367" cm="1">
        <f t="array" aca="1" ref="B15" ca="1">SUMPRODUCT(B$55:B$114,TRANSPOSE(SAP_Speadsheet!$E$62:$BL$62))</f>
        <v>0</v>
      </c>
      <c r="C15" s="367" cm="1">
        <f t="array" aca="1" ref="C15" ca="1">SUMPRODUCT(C$55:C$114,TRANSPOSE(SAP_Speadsheet!$E$62:$BL$62))</f>
        <v>0</v>
      </c>
      <c r="D15" s="367" cm="1">
        <f t="array" aca="1" ref="D15" ca="1">SUMPRODUCT(D$55:D$114,TRANSPOSE(SAP_Speadsheet!$E$62:$BL$62))</f>
        <v>0</v>
      </c>
      <c r="E15" s="367" cm="1">
        <f t="array" aca="1" ref="E15" ca="1">SUMPRODUCT(E$55:E$114,TRANSPOSE(SAP_Speadsheet!$E$62:$BL$62))</f>
        <v>0</v>
      </c>
      <c r="F15" s="367" cm="1">
        <f t="array" aca="1" ref="F15" ca="1">SUMPRODUCT(F$55:F$114,TRANSPOSE(SAP_Speadsheet!$E$62:$BL$62))</f>
        <v>0</v>
      </c>
      <c r="G15" s="367" cm="1">
        <f t="array" aca="1" ref="G15" ca="1">SUMPRODUCT(G$55:G$114,TRANSPOSE(SAP_Speadsheet!$E$62:$BL$62))</f>
        <v>0</v>
      </c>
      <c r="H15" s="367" t="e" cm="1">
        <f t="array" aca="1" ref="H15" ca="1">SUMPRODUCT(H$55:H$114,TRANSPOSE(SAP_Speadsheet!$E$62:$BL$62))</f>
        <v>#REF!</v>
      </c>
      <c r="I15" s="367" t="e" cm="1">
        <f t="array" aca="1" ref="I15" ca="1">SUMPRODUCT(I$55:I$114,TRANSPOSE(SAP_Speadsheet!$E$62:$BL$62))</f>
        <v>#REF!</v>
      </c>
      <c r="J15" s="367" t="e" cm="1">
        <f t="array" aca="1" ref="J15" ca="1">SUMPRODUCT(J$55:J$114,TRANSPOSE(SAP_Speadsheet!$E$62:$BL$62))</f>
        <v>#REF!</v>
      </c>
      <c r="K15" s="367" t="e" cm="1">
        <f t="array" aca="1" ref="K15" ca="1">SUMPRODUCT(K$55:K$114,TRANSPOSE(SAP_Speadsheet!$E$62:$BL$62))</f>
        <v>#REF!</v>
      </c>
      <c r="L15" s="367" t="e" cm="1">
        <f t="array" aca="1" ref="L15" ca="1">SUMPRODUCT(L$55:L$114,TRANSPOSE(SAP_Speadsheet!$E$62:$BL$62))</f>
        <v>#REF!</v>
      </c>
      <c r="M15" s="367" t="e" cm="1">
        <f t="array" aca="1" ref="M15" ca="1">SUMPRODUCT(M$55:M$114,TRANSPOSE(SAP_Speadsheet!$E$62:$BL$62))</f>
        <v>#REF!</v>
      </c>
      <c r="N15" s="367" t="e" cm="1">
        <f t="array" aca="1" ref="N15" ca="1">SUMPRODUCT(N$55:N$114,TRANSPOSE(SAP_Speadsheet!$E$62:$BL$62))</f>
        <v>#REF!</v>
      </c>
      <c r="O15" s="367" t="e" cm="1">
        <f t="array" aca="1" ref="O15" ca="1">SUMPRODUCT(O$55:O$114,TRANSPOSE(SAP_Speadsheet!$E$62:$BL$62))</f>
        <v>#REF!</v>
      </c>
      <c r="P15" s="367" t="e" cm="1">
        <f t="array" aca="1" ref="P15" ca="1">SUMPRODUCT(P$55:P$114,TRANSPOSE(SAP_Speadsheet!$E$62:$BL$62))</f>
        <v>#REF!</v>
      </c>
      <c r="Q15" s="367" t="e" cm="1">
        <f t="array" aca="1" ref="Q15" ca="1">SUMPRODUCT(Q$55:Q$114,TRANSPOSE(SAP_Speadsheet!$E$62:$BL$62))</f>
        <v>#REF!</v>
      </c>
      <c r="R15" s="367" t="e" cm="1">
        <f t="array" aca="1" ref="R15" ca="1">SUMPRODUCT(R$55:R$114,TRANSPOSE(SAP_Speadsheet!$E$62:$BL$62))</f>
        <v>#REF!</v>
      </c>
      <c r="S15" s="367" t="e" cm="1">
        <f t="array" aca="1" ref="S15" ca="1">SUMPRODUCT(S$55:S$114,TRANSPOSE(SAP_Speadsheet!$E$62:$BL$62))</f>
        <v>#REF!</v>
      </c>
      <c r="T15" s="367" t="e" cm="1">
        <f t="array" aca="1" ref="T15" ca="1">SUMPRODUCT(T$55:T$114,TRANSPOSE(SAP_Speadsheet!$E$62:$BL$62))</f>
        <v>#REF!</v>
      </c>
      <c r="U15" s="367" t="e" cm="1">
        <f t="array" aca="1" ref="U15" ca="1">SUMPRODUCT(U$55:U$114,TRANSPOSE(SAP_Speadsheet!$E$62:$BL$62))</f>
        <v>#REF!</v>
      </c>
      <c r="V15" s="367" t="e" cm="1">
        <f t="array" aca="1" ref="V15" ca="1">SUMPRODUCT(V$55:V$114,TRANSPOSE(SAP_Speadsheet!$E$62:$BL$62))</f>
        <v>#REF!</v>
      </c>
      <c r="W15" s="367" t="e" cm="1">
        <f t="array" aca="1" ref="W15" ca="1">SUMPRODUCT(W$55:W$114,TRANSPOSE(SAP_Speadsheet!$E$62:$BL$62))</f>
        <v>#REF!</v>
      </c>
      <c r="X15" s="367" t="e" cm="1">
        <f t="array" aca="1" ref="X15" ca="1">SUMPRODUCT(X$55:X$114,TRANSPOSE(SAP_Speadsheet!$E$62:$BL$62))</f>
        <v>#REF!</v>
      </c>
      <c r="Y15" s="367" t="e" cm="1">
        <f t="array" aca="1" ref="Y15" ca="1">SUMPRODUCT(Y$55:Y$114,TRANSPOSE(SAP_Speadsheet!$E$62:$BL$62))</f>
        <v>#REF!</v>
      </c>
      <c r="Z15" s="367" t="e" cm="1">
        <f t="array" aca="1" ref="Z15" ca="1">SUMPRODUCT(Z$55:Z$114,TRANSPOSE(SAP_Speadsheet!$E$62:$BL$62))</f>
        <v>#REF!</v>
      </c>
      <c r="AA15" s="367" t="e" cm="1">
        <f t="array" aca="1" ref="AA15" ca="1">SUMPRODUCT(AA$55:AA$114,TRANSPOSE(SAP_Speadsheet!$E$62:$BL$62))</f>
        <v>#REF!</v>
      </c>
      <c r="AB15" s="367" t="e" cm="1">
        <f t="array" aca="1" ref="AB15" ca="1">SUMPRODUCT(AB$55:AB$114,TRANSPOSE(SAP_Speadsheet!$E$62:$BL$62))</f>
        <v>#REF!</v>
      </c>
      <c r="AC15" s="367" t="e" cm="1">
        <f t="array" aca="1" ref="AC15" ca="1">SUMPRODUCT(AC$55:AC$114,TRANSPOSE(SAP_Speadsheet!$E$62:$BL$62))</f>
        <v>#REF!</v>
      </c>
      <c r="AD15" s="367" t="e" cm="1">
        <f t="array" aca="1" ref="AD15" ca="1">SUMPRODUCT(AD$55:AD$114,TRANSPOSE(SAP_Speadsheet!$E$62:$BL$62))</f>
        <v>#REF!</v>
      </c>
      <c r="AE15" s="367" t="e" cm="1">
        <f t="array" aca="1" ref="AE15" ca="1">SUMPRODUCT(AE$55:AE$114,TRANSPOSE(SAP_Speadsheet!$E$62:$BL$62))</f>
        <v>#REF!</v>
      </c>
      <c r="AF15" s="367" t="e" cm="1">
        <f t="array" aca="1" ref="AF15" ca="1">SUMPRODUCT(AF$55:AF$114,TRANSPOSE(SAP_Speadsheet!$E$62:$BL$62))</f>
        <v>#REF!</v>
      </c>
      <c r="AG15" s="367" t="e" cm="1">
        <f t="array" aca="1" ref="AG15" ca="1">SUMPRODUCT(AG$55:AG$114,TRANSPOSE(SAP_Speadsheet!$E$62:$BL$62))</f>
        <v>#REF!</v>
      </c>
      <c r="AH15" s="367" t="e" cm="1">
        <f t="array" aca="1" ref="AH15" ca="1">SUMPRODUCT(AH$55:AH$114,TRANSPOSE(SAP_Speadsheet!$E$62:$BL$62))</f>
        <v>#REF!</v>
      </c>
      <c r="AI15" s="367" t="e" cm="1">
        <f t="array" aca="1" ref="AI15" ca="1">SUMPRODUCT(AI$55:AI$114,TRANSPOSE(SAP_Speadsheet!$E$62:$BL$62))</f>
        <v>#REF!</v>
      </c>
      <c r="AJ15" s="367" t="e" cm="1">
        <f t="array" aca="1" ref="AJ15" ca="1">SUMPRODUCT(AJ$55:AJ$114,TRANSPOSE(SAP_Speadsheet!$E$62:$BL$62))</f>
        <v>#REF!</v>
      </c>
      <c r="AK15" s="367" t="e" cm="1">
        <f t="array" aca="1" ref="AK15" ca="1">SUMPRODUCT(AK$55:AK$114,TRANSPOSE(SAP_Speadsheet!$E$62:$BL$62))</f>
        <v>#REF!</v>
      </c>
      <c r="AL15" s="367" t="e" cm="1">
        <f t="array" aca="1" ref="AL15" ca="1">SUMPRODUCT(AL$55:AL$114,TRANSPOSE(SAP_Speadsheet!$E$62:$BL$62))</f>
        <v>#REF!</v>
      </c>
      <c r="AM15" s="367" t="e" cm="1">
        <f t="array" aca="1" ref="AM15" ca="1">SUMPRODUCT(AM$55:AM$114,TRANSPOSE(SAP_Speadsheet!$E$62:$BL$62))</f>
        <v>#REF!</v>
      </c>
      <c r="AN15" s="367" t="e" cm="1">
        <f t="array" aca="1" ref="AN15" ca="1">SUMPRODUCT(AN$55:AN$114,TRANSPOSE(SAP_Speadsheet!$E$62:$BL$62))</f>
        <v>#REF!</v>
      </c>
      <c r="AO15" s="367" t="e" cm="1">
        <f t="array" aca="1" ref="AO15" ca="1">SUMPRODUCT(AO$55:AO$114,TRANSPOSE(SAP_Speadsheet!$E$62:$BL$62))</f>
        <v>#REF!</v>
      </c>
      <c r="AP15" s="367" t="e" cm="1">
        <f t="array" aca="1" ref="AP15" ca="1">SUMPRODUCT(AP$55:AP$114,TRANSPOSE(SAP_Speadsheet!$E$62:$BL$62))</f>
        <v>#REF!</v>
      </c>
      <c r="AQ15" s="367" t="e" cm="1">
        <f t="array" aca="1" ref="AQ15" ca="1">SUMPRODUCT(AQ$55:AQ$114,TRANSPOSE(SAP_Speadsheet!$E$62:$BL$62))</f>
        <v>#REF!</v>
      </c>
      <c r="AR15" s="367" t="e" cm="1">
        <f t="array" aca="1" ref="AR15" ca="1">SUMPRODUCT(AR$55:AR$114,TRANSPOSE(SAP_Speadsheet!$E$62:$BL$62))</f>
        <v>#REF!</v>
      </c>
      <c r="AS15" s="367" t="e" cm="1">
        <f t="array" aca="1" ref="AS15" ca="1">SUMPRODUCT(AS$55:AS$114,TRANSPOSE(SAP_Speadsheet!$E$62:$BL$62))</f>
        <v>#REF!</v>
      </c>
      <c r="AT15" s="367" t="e" cm="1">
        <f t="array" aca="1" ref="AT15" ca="1">SUMPRODUCT(AT$55:AT$114,TRANSPOSE(SAP_Speadsheet!$E$62:$BL$62))</f>
        <v>#REF!</v>
      </c>
      <c r="AU15" s="367" t="e" cm="1">
        <f t="array" aca="1" ref="AU15" ca="1">SUMPRODUCT(AU$55:AU$114,TRANSPOSE(SAP_Speadsheet!$E$62:$BL$62))</f>
        <v>#REF!</v>
      </c>
      <c r="AV15" s="367" t="e" cm="1">
        <f t="array" aca="1" ref="AV15" ca="1">SUMPRODUCT(AV$55:AV$114,TRANSPOSE(SAP_Speadsheet!$E$62:$BL$62))</f>
        <v>#REF!</v>
      </c>
      <c r="AW15" s="367" t="e" cm="1">
        <f t="array" aca="1" ref="AW15" ca="1">SUMPRODUCT(AW$55:AW$114,TRANSPOSE(SAP_Speadsheet!$E$62:$BL$62))</f>
        <v>#REF!</v>
      </c>
      <c r="AX15" s="367" t="e" cm="1">
        <f t="array" aca="1" ref="AX15" ca="1">SUMPRODUCT(AX$55:AX$114,TRANSPOSE(SAP_Speadsheet!$E$62:$BL$62))</f>
        <v>#REF!</v>
      </c>
      <c r="AY15" s="367" t="e" cm="1">
        <f t="array" aca="1" ref="AY15" ca="1">SUMPRODUCT(AY$55:AY$114,TRANSPOSE(SAP_Speadsheet!$E$62:$BL$62))</f>
        <v>#REF!</v>
      </c>
      <c r="AZ15" s="367" t="e" cm="1">
        <f t="array" aca="1" ref="AZ15" ca="1">SUMPRODUCT(AZ$55:AZ$114,TRANSPOSE(SAP_Speadsheet!$E$62:$BL$62))</f>
        <v>#REF!</v>
      </c>
      <c r="BA15" s="367" t="e" cm="1">
        <f t="array" aca="1" ref="BA15" ca="1">SUMPRODUCT(BA$55:BA$114,TRANSPOSE(SAP_Speadsheet!$E$62:$BL$62))</f>
        <v>#REF!</v>
      </c>
      <c r="BB15" s="367" t="e" cm="1">
        <f t="array" aca="1" ref="BB15" ca="1">SUMPRODUCT(BB$55:BB$114,TRANSPOSE(SAP_Speadsheet!$E$62:$BL$62))</f>
        <v>#REF!</v>
      </c>
      <c r="BC15" s="367" t="e" cm="1">
        <f t="array" aca="1" ref="BC15" ca="1">SUMPRODUCT(BC$55:BC$114,TRANSPOSE(SAP_Speadsheet!$E$62:$BL$62))</f>
        <v>#REF!</v>
      </c>
      <c r="BD15" s="367" t="e" cm="1">
        <f t="array" aca="1" ref="BD15" ca="1">SUMPRODUCT(BD$55:BD$114,TRANSPOSE(SAP_Speadsheet!$E$62:$BL$62))</f>
        <v>#REF!</v>
      </c>
      <c r="BE15" s="367" t="e" cm="1">
        <f t="array" aca="1" ref="BE15" ca="1">SUMPRODUCT(BE$55:BE$114,TRANSPOSE(SAP_Speadsheet!$E$62:$BL$62))</f>
        <v>#REF!</v>
      </c>
      <c r="BF15" s="367" t="e" cm="1">
        <f t="array" aca="1" ref="BF15" ca="1">SUMPRODUCT(BF$55:BF$114,TRANSPOSE(SAP_Speadsheet!$E$62:$BL$62))</f>
        <v>#REF!</v>
      </c>
      <c r="BG15" s="367" t="e" cm="1">
        <f t="array" aca="1" ref="BG15" ca="1">SUMPRODUCT(BG$55:BG$114,TRANSPOSE(SAP_Speadsheet!$E$62:$BL$62))</f>
        <v>#REF!</v>
      </c>
      <c r="BH15" s="367" t="e" cm="1">
        <f t="array" aca="1" ref="BH15" ca="1">SUMPRODUCT(BH$55:BH$114,TRANSPOSE(SAP_Speadsheet!$E$62:$BL$62))</f>
        <v>#REF!</v>
      </c>
      <c r="BI15" s="367" t="e" cm="1">
        <f t="array" aca="1" ref="BI15" ca="1">SUMPRODUCT(BI$55:BI$114,TRANSPOSE(SAP_Speadsheet!$E$62:$BL$62))</f>
        <v>#REF!</v>
      </c>
    </row>
    <row r="16" spans="1:61" x14ac:dyDescent="0.15">
      <c r="A16" s="366" t="s">
        <v>462</v>
      </c>
      <c r="B16" s="367" cm="1">
        <f t="array" aca="1" ref="B16" ca="1">SUMPRODUCT(B$55:B$114,TRANSPOSE(SAP_Speadsheet!$E$63:$BL$63))</f>
        <v>0</v>
      </c>
      <c r="C16" s="367" cm="1">
        <f t="array" aca="1" ref="C16" ca="1">SUMPRODUCT(C$55:C$114,TRANSPOSE(SAP_Speadsheet!$E$63:$BL$63))</f>
        <v>0</v>
      </c>
      <c r="D16" s="367" cm="1">
        <f t="array" aca="1" ref="D16" ca="1">SUMPRODUCT(D$55:D$114,TRANSPOSE(SAP_Speadsheet!$E$63:$BL$63))</f>
        <v>0</v>
      </c>
      <c r="E16" s="367" cm="1">
        <f t="array" aca="1" ref="E16" ca="1">SUMPRODUCT(E$55:E$114,TRANSPOSE(SAP_Speadsheet!$E$63:$BL$63))</f>
        <v>0</v>
      </c>
      <c r="F16" s="367" cm="1">
        <f t="array" aca="1" ref="F16" ca="1">SUMPRODUCT(F$55:F$114,TRANSPOSE(SAP_Speadsheet!$E$63:$BL$63))</f>
        <v>0</v>
      </c>
      <c r="G16" s="367" cm="1">
        <f t="array" aca="1" ref="G16" ca="1">SUMPRODUCT(G$55:G$114,TRANSPOSE(SAP_Speadsheet!$E$63:$BL$63))</f>
        <v>0</v>
      </c>
      <c r="H16" s="367" t="e" cm="1">
        <f t="array" aca="1" ref="H16" ca="1">SUMPRODUCT(H$55:H$114,TRANSPOSE(SAP_Speadsheet!$E$63:$BL$63))</f>
        <v>#REF!</v>
      </c>
      <c r="I16" s="367" t="e" cm="1">
        <f t="array" aca="1" ref="I16" ca="1">SUMPRODUCT(I$55:I$114,TRANSPOSE(SAP_Speadsheet!$E$63:$BL$63))</f>
        <v>#REF!</v>
      </c>
      <c r="J16" s="367" t="e" cm="1">
        <f t="array" aca="1" ref="J16" ca="1">SUMPRODUCT(J$55:J$114,TRANSPOSE(SAP_Speadsheet!$E$63:$BL$63))</f>
        <v>#REF!</v>
      </c>
      <c r="K16" s="367" t="e" cm="1">
        <f t="array" aca="1" ref="K16" ca="1">SUMPRODUCT(K$55:K$114,TRANSPOSE(SAP_Speadsheet!$E$63:$BL$63))</f>
        <v>#REF!</v>
      </c>
      <c r="L16" s="367" t="e" cm="1">
        <f t="array" aca="1" ref="L16" ca="1">SUMPRODUCT(L$55:L$114,TRANSPOSE(SAP_Speadsheet!$E$63:$BL$63))</f>
        <v>#REF!</v>
      </c>
      <c r="M16" s="367" t="e" cm="1">
        <f t="array" aca="1" ref="M16" ca="1">SUMPRODUCT(M$55:M$114,TRANSPOSE(SAP_Speadsheet!$E$63:$BL$63))</f>
        <v>#REF!</v>
      </c>
      <c r="N16" s="367" t="e" cm="1">
        <f t="array" aca="1" ref="N16" ca="1">SUMPRODUCT(N$55:N$114,TRANSPOSE(SAP_Speadsheet!$E$63:$BL$63))</f>
        <v>#REF!</v>
      </c>
      <c r="O16" s="367" t="e" cm="1">
        <f t="array" aca="1" ref="O16" ca="1">SUMPRODUCT(O$55:O$114,TRANSPOSE(SAP_Speadsheet!$E$63:$BL$63))</f>
        <v>#REF!</v>
      </c>
      <c r="P16" s="367" t="e" cm="1">
        <f t="array" aca="1" ref="P16" ca="1">SUMPRODUCT(P$55:P$114,TRANSPOSE(SAP_Speadsheet!$E$63:$BL$63))</f>
        <v>#REF!</v>
      </c>
      <c r="Q16" s="367" t="e" cm="1">
        <f t="array" aca="1" ref="Q16" ca="1">SUMPRODUCT(Q$55:Q$114,TRANSPOSE(SAP_Speadsheet!$E$63:$BL$63))</f>
        <v>#REF!</v>
      </c>
      <c r="R16" s="367" t="e" cm="1">
        <f t="array" aca="1" ref="R16" ca="1">SUMPRODUCT(R$55:R$114,TRANSPOSE(SAP_Speadsheet!$E$63:$BL$63))</f>
        <v>#REF!</v>
      </c>
      <c r="S16" s="367" t="e" cm="1">
        <f t="array" aca="1" ref="S16" ca="1">SUMPRODUCT(S$55:S$114,TRANSPOSE(SAP_Speadsheet!$E$63:$BL$63))</f>
        <v>#REF!</v>
      </c>
      <c r="T16" s="367" t="e" cm="1">
        <f t="array" aca="1" ref="T16" ca="1">SUMPRODUCT(T$55:T$114,TRANSPOSE(SAP_Speadsheet!$E$63:$BL$63))</f>
        <v>#REF!</v>
      </c>
      <c r="U16" s="367" t="e" cm="1">
        <f t="array" aca="1" ref="U16" ca="1">SUMPRODUCT(U$55:U$114,TRANSPOSE(SAP_Speadsheet!$E$63:$BL$63))</f>
        <v>#REF!</v>
      </c>
      <c r="V16" s="367" t="e" cm="1">
        <f t="array" aca="1" ref="V16" ca="1">SUMPRODUCT(V$55:V$114,TRANSPOSE(SAP_Speadsheet!$E$63:$BL$63))</f>
        <v>#REF!</v>
      </c>
      <c r="W16" s="367" t="e" cm="1">
        <f t="array" aca="1" ref="W16" ca="1">SUMPRODUCT(W$55:W$114,TRANSPOSE(SAP_Speadsheet!$E$63:$BL$63))</f>
        <v>#REF!</v>
      </c>
      <c r="X16" s="367" t="e" cm="1">
        <f t="array" aca="1" ref="X16" ca="1">SUMPRODUCT(X$55:X$114,TRANSPOSE(SAP_Speadsheet!$E$63:$BL$63))</f>
        <v>#REF!</v>
      </c>
      <c r="Y16" s="367" t="e" cm="1">
        <f t="array" aca="1" ref="Y16" ca="1">SUMPRODUCT(Y$55:Y$114,TRANSPOSE(SAP_Speadsheet!$E$63:$BL$63))</f>
        <v>#REF!</v>
      </c>
      <c r="Z16" s="367" t="e" cm="1">
        <f t="array" aca="1" ref="Z16" ca="1">SUMPRODUCT(Z$55:Z$114,TRANSPOSE(SAP_Speadsheet!$E$63:$BL$63))</f>
        <v>#REF!</v>
      </c>
      <c r="AA16" s="367" t="e" cm="1">
        <f t="array" aca="1" ref="AA16" ca="1">SUMPRODUCT(AA$55:AA$114,TRANSPOSE(SAP_Speadsheet!$E$63:$BL$63))</f>
        <v>#REF!</v>
      </c>
      <c r="AB16" s="367" t="e" cm="1">
        <f t="array" aca="1" ref="AB16" ca="1">SUMPRODUCT(AB$55:AB$114,TRANSPOSE(SAP_Speadsheet!$E$63:$BL$63))</f>
        <v>#REF!</v>
      </c>
      <c r="AC16" s="367" t="e" cm="1">
        <f t="array" aca="1" ref="AC16" ca="1">SUMPRODUCT(AC$55:AC$114,TRANSPOSE(SAP_Speadsheet!$E$63:$BL$63))</f>
        <v>#REF!</v>
      </c>
      <c r="AD16" s="367" t="e" cm="1">
        <f t="array" aca="1" ref="AD16" ca="1">SUMPRODUCT(AD$55:AD$114,TRANSPOSE(SAP_Speadsheet!$E$63:$BL$63))</f>
        <v>#REF!</v>
      </c>
      <c r="AE16" s="367" t="e" cm="1">
        <f t="array" aca="1" ref="AE16" ca="1">SUMPRODUCT(AE$55:AE$114,TRANSPOSE(SAP_Speadsheet!$E$63:$BL$63))</f>
        <v>#REF!</v>
      </c>
      <c r="AF16" s="367" t="e" cm="1">
        <f t="array" aca="1" ref="AF16" ca="1">SUMPRODUCT(AF$55:AF$114,TRANSPOSE(SAP_Speadsheet!$E$63:$BL$63))</f>
        <v>#REF!</v>
      </c>
      <c r="AG16" s="367" t="e" cm="1">
        <f t="array" aca="1" ref="AG16" ca="1">SUMPRODUCT(AG$55:AG$114,TRANSPOSE(SAP_Speadsheet!$E$63:$BL$63))</f>
        <v>#REF!</v>
      </c>
      <c r="AH16" s="367" t="e" cm="1">
        <f t="array" aca="1" ref="AH16" ca="1">SUMPRODUCT(AH$55:AH$114,TRANSPOSE(SAP_Speadsheet!$E$63:$BL$63))</f>
        <v>#REF!</v>
      </c>
      <c r="AI16" s="367" t="e" cm="1">
        <f t="array" aca="1" ref="AI16" ca="1">SUMPRODUCT(AI$55:AI$114,TRANSPOSE(SAP_Speadsheet!$E$63:$BL$63))</f>
        <v>#REF!</v>
      </c>
      <c r="AJ16" s="367" t="e" cm="1">
        <f t="array" aca="1" ref="AJ16" ca="1">SUMPRODUCT(AJ$55:AJ$114,TRANSPOSE(SAP_Speadsheet!$E$63:$BL$63))</f>
        <v>#REF!</v>
      </c>
      <c r="AK16" s="367" t="e" cm="1">
        <f t="array" aca="1" ref="AK16" ca="1">SUMPRODUCT(AK$55:AK$114,TRANSPOSE(SAP_Speadsheet!$E$63:$BL$63))</f>
        <v>#REF!</v>
      </c>
      <c r="AL16" s="367" t="e" cm="1">
        <f t="array" aca="1" ref="AL16" ca="1">SUMPRODUCT(AL$55:AL$114,TRANSPOSE(SAP_Speadsheet!$E$63:$BL$63))</f>
        <v>#REF!</v>
      </c>
      <c r="AM16" s="367" t="e" cm="1">
        <f t="array" aca="1" ref="AM16" ca="1">SUMPRODUCT(AM$55:AM$114,TRANSPOSE(SAP_Speadsheet!$E$63:$BL$63))</f>
        <v>#REF!</v>
      </c>
      <c r="AN16" s="367" t="e" cm="1">
        <f t="array" aca="1" ref="AN16" ca="1">SUMPRODUCT(AN$55:AN$114,TRANSPOSE(SAP_Speadsheet!$E$63:$BL$63))</f>
        <v>#REF!</v>
      </c>
      <c r="AO16" s="367" t="e" cm="1">
        <f t="array" aca="1" ref="AO16" ca="1">SUMPRODUCT(AO$55:AO$114,TRANSPOSE(SAP_Speadsheet!$E$63:$BL$63))</f>
        <v>#REF!</v>
      </c>
      <c r="AP16" s="367" t="e" cm="1">
        <f t="array" aca="1" ref="AP16" ca="1">SUMPRODUCT(AP$55:AP$114,TRANSPOSE(SAP_Speadsheet!$E$63:$BL$63))</f>
        <v>#REF!</v>
      </c>
      <c r="AQ16" s="367" t="e" cm="1">
        <f t="array" aca="1" ref="AQ16" ca="1">SUMPRODUCT(AQ$55:AQ$114,TRANSPOSE(SAP_Speadsheet!$E$63:$BL$63))</f>
        <v>#REF!</v>
      </c>
      <c r="AR16" s="367" t="e" cm="1">
        <f t="array" aca="1" ref="AR16" ca="1">SUMPRODUCT(AR$55:AR$114,TRANSPOSE(SAP_Speadsheet!$E$63:$BL$63))</f>
        <v>#REF!</v>
      </c>
      <c r="AS16" s="367" t="e" cm="1">
        <f t="array" aca="1" ref="AS16" ca="1">SUMPRODUCT(AS$55:AS$114,TRANSPOSE(SAP_Speadsheet!$E$63:$BL$63))</f>
        <v>#REF!</v>
      </c>
      <c r="AT16" s="367" t="e" cm="1">
        <f t="array" aca="1" ref="AT16" ca="1">SUMPRODUCT(AT$55:AT$114,TRANSPOSE(SAP_Speadsheet!$E$63:$BL$63))</f>
        <v>#REF!</v>
      </c>
      <c r="AU16" s="367" t="e" cm="1">
        <f t="array" aca="1" ref="AU16" ca="1">SUMPRODUCT(AU$55:AU$114,TRANSPOSE(SAP_Speadsheet!$E$63:$BL$63))</f>
        <v>#REF!</v>
      </c>
      <c r="AV16" s="367" t="e" cm="1">
        <f t="array" aca="1" ref="AV16" ca="1">SUMPRODUCT(AV$55:AV$114,TRANSPOSE(SAP_Speadsheet!$E$63:$BL$63))</f>
        <v>#REF!</v>
      </c>
      <c r="AW16" s="367" t="e" cm="1">
        <f t="array" aca="1" ref="AW16" ca="1">SUMPRODUCT(AW$55:AW$114,TRANSPOSE(SAP_Speadsheet!$E$63:$BL$63))</f>
        <v>#REF!</v>
      </c>
      <c r="AX16" s="367" t="e" cm="1">
        <f t="array" aca="1" ref="AX16" ca="1">SUMPRODUCT(AX$55:AX$114,TRANSPOSE(SAP_Speadsheet!$E$63:$BL$63))</f>
        <v>#REF!</v>
      </c>
      <c r="AY16" s="367" t="e" cm="1">
        <f t="array" aca="1" ref="AY16" ca="1">SUMPRODUCT(AY$55:AY$114,TRANSPOSE(SAP_Speadsheet!$E$63:$BL$63))</f>
        <v>#REF!</v>
      </c>
      <c r="AZ16" s="367" t="e" cm="1">
        <f t="array" aca="1" ref="AZ16" ca="1">SUMPRODUCT(AZ$55:AZ$114,TRANSPOSE(SAP_Speadsheet!$E$63:$BL$63))</f>
        <v>#REF!</v>
      </c>
      <c r="BA16" s="367" t="e" cm="1">
        <f t="array" aca="1" ref="BA16" ca="1">SUMPRODUCT(BA$55:BA$114,TRANSPOSE(SAP_Speadsheet!$E$63:$BL$63))</f>
        <v>#REF!</v>
      </c>
      <c r="BB16" s="367" t="e" cm="1">
        <f t="array" aca="1" ref="BB16" ca="1">SUMPRODUCT(BB$55:BB$114,TRANSPOSE(SAP_Speadsheet!$E$63:$BL$63))</f>
        <v>#REF!</v>
      </c>
      <c r="BC16" s="367" t="e" cm="1">
        <f t="array" aca="1" ref="BC16" ca="1">SUMPRODUCT(BC$55:BC$114,TRANSPOSE(SAP_Speadsheet!$E$63:$BL$63))</f>
        <v>#REF!</v>
      </c>
      <c r="BD16" s="367" t="e" cm="1">
        <f t="array" aca="1" ref="BD16" ca="1">SUMPRODUCT(BD$55:BD$114,TRANSPOSE(SAP_Speadsheet!$E$63:$BL$63))</f>
        <v>#REF!</v>
      </c>
      <c r="BE16" s="367" t="e" cm="1">
        <f t="array" aca="1" ref="BE16" ca="1">SUMPRODUCT(BE$55:BE$114,TRANSPOSE(SAP_Speadsheet!$E$63:$BL$63))</f>
        <v>#REF!</v>
      </c>
      <c r="BF16" s="367" t="e" cm="1">
        <f t="array" aca="1" ref="BF16" ca="1">SUMPRODUCT(BF$55:BF$114,TRANSPOSE(SAP_Speadsheet!$E$63:$BL$63))</f>
        <v>#REF!</v>
      </c>
      <c r="BG16" s="367" t="e" cm="1">
        <f t="array" aca="1" ref="BG16" ca="1">SUMPRODUCT(BG$55:BG$114,TRANSPOSE(SAP_Speadsheet!$E$63:$BL$63))</f>
        <v>#REF!</v>
      </c>
      <c r="BH16" s="367" t="e" cm="1">
        <f t="array" aca="1" ref="BH16" ca="1">SUMPRODUCT(BH$55:BH$114,TRANSPOSE(SAP_Speadsheet!$E$63:$BL$63))</f>
        <v>#REF!</v>
      </c>
      <c r="BI16" s="367" t="e" cm="1">
        <f t="array" aca="1" ref="BI16" ca="1">SUMPRODUCT(BI$55:BI$114,TRANSPOSE(SAP_Speadsheet!$E$63:$BL$63))</f>
        <v>#REF!</v>
      </c>
    </row>
    <row r="17" spans="1:61" x14ac:dyDescent="0.15">
      <c r="A17" s="366" t="s">
        <v>86</v>
      </c>
      <c r="B17" s="367" cm="1">
        <f t="array" aca="1" ref="B17" ca="1">SUMPRODUCT(B$55:B$114,TRANSPOSE(SAP_Speadsheet!$E$64:$BL$64))</f>
        <v>0</v>
      </c>
      <c r="C17" s="367" cm="1">
        <f t="array" aca="1" ref="C17" ca="1">SUMPRODUCT(C$55:C$114,TRANSPOSE(SAP_Speadsheet!$E$64:$BL$64))</f>
        <v>0</v>
      </c>
      <c r="D17" s="367" cm="1">
        <f t="array" aca="1" ref="D17" ca="1">SUMPRODUCT(D$55:D$114,TRANSPOSE(SAP_Speadsheet!$E$64:$BL$64))</f>
        <v>0</v>
      </c>
      <c r="E17" s="367" cm="1">
        <f t="array" aca="1" ref="E17" ca="1">SUMPRODUCT(E$55:E$114,TRANSPOSE(SAP_Speadsheet!$E$64:$BL$64))</f>
        <v>0</v>
      </c>
      <c r="F17" s="367" cm="1">
        <f t="array" aca="1" ref="F17" ca="1">SUMPRODUCT(F$55:F$114,TRANSPOSE(SAP_Speadsheet!$E$64:$BL$64))</f>
        <v>0</v>
      </c>
      <c r="G17" s="367" cm="1">
        <f t="array" aca="1" ref="G17" ca="1">SUMPRODUCT(G$55:G$114,TRANSPOSE(SAP_Speadsheet!$E$64:$BL$64))</f>
        <v>0</v>
      </c>
      <c r="H17" s="367" t="e" cm="1">
        <f t="array" aca="1" ref="H17" ca="1">SUMPRODUCT(H$55:H$114,TRANSPOSE(SAP_Speadsheet!$E$64:$BL$64))</f>
        <v>#REF!</v>
      </c>
      <c r="I17" s="367" t="e" cm="1">
        <f t="array" aca="1" ref="I17" ca="1">SUMPRODUCT(I$55:I$114,TRANSPOSE(SAP_Speadsheet!$E$64:$BL$64))</f>
        <v>#REF!</v>
      </c>
      <c r="J17" s="367" t="e" cm="1">
        <f t="array" aca="1" ref="J17" ca="1">SUMPRODUCT(J$55:J$114,TRANSPOSE(SAP_Speadsheet!$E$64:$BL$64))</f>
        <v>#REF!</v>
      </c>
      <c r="K17" s="367" t="e" cm="1">
        <f t="array" aca="1" ref="K17" ca="1">SUMPRODUCT(K$55:K$114,TRANSPOSE(SAP_Speadsheet!$E$64:$BL$64))</f>
        <v>#REF!</v>
      </c>
      <c r="L17" s="367" t="e" cm="1">
        <f t="array" aca="1" ref="L17" ca="1">SUMPRODUCT(L$55:L$114,TRANSPOSE(SAP_Speadsheet!$E$64:$BL$64))</f>
        <v>#REF!</v>
      </c>
      <c r="M17" s="367" t="e" cm="1">
        <f t="array" aca="1" ref="M17" ca="1">SUMPRODUCT(M$55:M$114,TRANSPOSE(SAP_Speadsheet!$E$64:$BL$64))</f>
        <v>#REF!</v>
      </c>
      <c r="N17" s="367" t="e" cm="1">
        <f t="array" aca="1" ref="N17" ca="1">SUMPRODUCT(N$55:N$114,TRANSPOSE(SAP_Speadsheet!$E$64:$BL$64))</f>
        <v>#REF!</v>
      </c>
      <c r="O17" s="367" t="e" cm="1">
        <f t="array" aca="1" ref="O17" ca="1">SUMPRODUCT(O$55:O$114,TRANSPOSE(SAP_Speadsheet!$E$64:$BL$64))</f>
        <v>#REF!</v>
      </c>
      <c r="P17" s="367" t="e" cm="1">
        <f t="array" aca="1" ref="P17" ca="1">SUMPRODUCT(P$55:P$114,TRANSPOSE(SAP_Speadsheet!$E$64:$BL$64))</f>
        <v>#REF!</v>
      </c>
      <c r="Q17" s="367" t="e" cm="1">
        <f t="array" aca="1" ref="Q17" ca="1">SUMPRODUCT(Q$55:Q$114,TRANSPOSE(SAP_Speadsheet!$E$64:$BL$64))</f>
        <v>#REF!</v>
      </c>
      <c r="R17" s="367" t="e" cm="1">
        <f t="array" aca="1" ref="R17" ca="1">SUMPRODUCT(R$55:R$114,TRANSPOSE(SAP_Speadsheet!$E$64:$BL$64))</f>
        <v>#REF!</v>
      </c>
      <c r="S17" s="367" t="e" cm="1">
        <f t="array" aca="1" ref="S17" ca="1">SUMPRODUCT(S$55:S$114,TRANSPOSE(SAP_Speadsheet!$E$64:$BL$64))</f>
        <v>#REF!</v>
      </c>
      <c r="T17" s="367" t="e" cm="1">
        <f t="array" aca="1" ref="T17" ca="1">SUMPRODUCT(T$55:T$114,TRANSPOSE(SAP_Speadsheet!$E$64:$BL$64))</f>
        <v>#REF!</v>
      </c>
      <c r="U17" s="367" t="e" cm="1">
        <f t="array" aca="1" ref="U17" ca="1">SUMPRODUCT(U$55:U$114,TRANSPOSE(SAP_Speadsheet!$E$64:$BL$64))</f>
        <v>#REF!</v>
      </c>
      <c r="V17" s="367" t="e" cm="1">
        <f t="array" aca="1" ref="V17" ca="1">SUMPRODUCT(V$55:V$114,TRANSPOSE(SAP_Speadsheet!$E$64:$BL$64))</f>
        <v>#REF!</v>
      </c>
      <c r="W17" s="367" t="e" cm="1">
        <f t="array" aca="1" ref="W17" ca="1">SUMPRODUCT(W$55:W$114,TRANSPOSE(SAP_Speadsheet!$E$64:$BL$64))</f>
        <v>#REF!</v>
      </c>
      <c r="X17" s="367" t="e" cm="1">
        <f t="array" aca="1" ref="X17" ca="1">SUMPRODUCT(X$55:X$114,TRANSPOSE(SAP_Speadsheet!$E$64:$BL$64))</f>
        <v>#REF!</v>
      </c>
      <c r="Y17" s="367" t="e" cm="1">
        <f t="array" aca="1" ref="Y17" ca="1">SUMPRODUCT(Y$55:Y$114,TRANSPOSE(SAP_Speadsheet!$E$64:$BL$64))</f>
        <v>#REF!</v>
      </c>
      <c r="Z17" s="367" t="e" cm="1">
        <f t="array" aca="1" ref="Z17" ca="1">SUMPRODUCT(Z$55:Z$114,TRANSPOSE(SAP_Speadsheet!$E$64:$BL$64))</f>
        <v>#REF!</v>
      </c>
      <c r="AA17" s="367" t="e" cm="1">
        <f t="array" aca="1" ref="AA17" ca="1">SUMPRODUCT(AA$55:AA$114,TRANSPOSE(SAP_Speadsheet!$E$64:$BL$64))</f>
        <v>#REF!</v>
      </c>
      <c r="AB17" s="367" t="e" cm="1">
        <f t="array" aca="1" ref="AB17" ca="1">SUMPRODUCT(AB$55:AB$114,TRANSPOSE(SAP_Speadsheet!$E$64:$BL$64))</f>
        <v>#REF!</v>
      </c>
      <c r="AC17" s="367" t="e" cm="1">
        <f t="array" aca="1" ref="AC17" ca="1">SUMPRODUCT(AC$55:AC$114,TRANSPOSE(SAP_Speadsheet!$E$64:$BL$64))</f>
        <v>#REF!</v>
      </c>
      <c r="AD17" s="367" t="e" cm="1">
        <f t="array" aca="1" ref="AD17" ca="1">SUMPRODUCT(AD$55:AD$114,TRANSPOSE(SAP_Speadsheet!$E$64:$BL$64))</f>
        <v>#REF!</v>
      </c>
      <c r="AE17" s="367" t="e" cm="1">
        <f t="array" aca="1" ref="AE17" ca="1">SUMPRODUCT(AE$55:AE$114,TRANSPOSE(SAP_Speadsheet!$E$64:$BL$64))</f>
        <v>#REF!</v>
      </c>
      <c r="AF17" s="367" t="e" cm="1">
        <f t="array" aca="1" ref="AF17" ca="1">SUMPRODUCT(AF$55:AF$114,TRANSPOSE(SAP_Speadsheet!$E$64:$BL$64))</f>
        <v>#REF!</v>
      </c>
      <c r="AG17" s="367" t="e" cm="1">
        <f t="array" aca="1" ref="AG17" ca="1">SUMPRODUCT(AG$55:AG$114,TRANSPOSE(SAP_Speadsheet!$E$64:$BL$64))</f>
        <v>#REF!</v>
      </c>
      <c r="AH17" s="367" t="e" cm="1">
        <f t="array" aca="1" ref="AH17" ca="1">SUMPRODUCT(AH$55:AH$114,TRANSPOSE(SAP_Speadsheet!$E$64:$BL$64))</f>
        <v>#REF!</v>
      </c>
      <c r="AI17" s="367" t="e" cm="1">
        <f t="array" aca="1" ref="AI17" ca="1">SUMPRODUCT(AI$55:AI$114,TRANSPOSE(SAP_Speadsheet!$E$64:$BL$64))</f>
        <v>#REF!</v>
      </c>
      <c r="AJ17" s="367" t="e" cm="1">
        <f t="array" aca="1" ref="AJ17" ca="1">SUMPRODUCT(AJ$55:AJ$114,TRANSPOSE(SAP_Speadsheet!$E$64:$BL$64))</f>
        <v>#REF!</v>
      </c>
      <c r="AK17" s="367" t="e" cm="1">
        <f t="array" aca="1" ref="AK17" ca="1">SUMPRODUCT(AK$55:AK$114,TRANSPOSE(SAP_Speadsheet!$E$64:$BL$64))</f>
        <v>#REF!</v>
      </c>
      <c r="AL17" s="367" t="e" cm="1">
        <f t="array" aca="1" ref="AL17" ca="1">SUMPRODUCT(AL$55:AL$114,TRANSPOSE(SAP_Speadsheet!$E$64:$BL$64))</f>
        <v>#REF!</v>
      </c>
      <c r="AM17" s="367" t="e" cm="1">
        <f t="array" aca="1" ref="AM17" ca="1">SUMPRODUCT(AM$55:AM$114,TRANSPOSE(SAP_Speadsheet!$E$64:$BL$64))</f>
        <v>#REF!</v>
      </c>
      <c r="AN17" s="367" t="e" cm="1">
        <f t="array" aca="1" ref="AN17" ca="1">SUMPRODUCT(AN$55:AN$114,TRANSPOSE(SAP_Speadsheet!$E$64:$BL$64))</f>
        <v>#REF!</v>
      </c>
      <c r="AO17" s="367" t="e" cm="1">
        <f t="array" aca="1" ref="AO17" ca="1">SUMPRODUCT(AO$55:AO$114,TRANSPOSE(SAP_Speadsheet!$E$64:$BL$64))</f>
        <v>#REF!</v>
      </c>
      <c r="AP17" s="367" t="e" cm="1">
        <f t="array" aca="1" ref="AP17" ca="1">SUMPRODUCT(AP$55:AP$114,TRANSPOSE(SAP_Speadsheet!$E$64:$BL$64))</f>
        <v>#REF!</v>
      </c>
      <c r="AQ17" s="367" t="e" cm="1">
        <f t="array" aca="1" ref="AQ17" ca="1">SUMPRODUCT(AQ$55:AQ$114,TRANSPOSE(SAP_Speadsheet!$E$64:$BL$64))</f>
        <v>#REF!</v>
      </c>
      <c r="AR17" s="367" t="e" cm="1">
        <f t="array" aca="1" ref="AR17" ca="1">SUMPRODUCT(AR$55:AR$114,TRANSPOSE(SAP_Speadsheet!$E$64:$BL$64))</f>
        <v>#REF!</v>
      </c>
      <c r="AS17" s="367" t="e" cm="1">
        <f t="array" aca="1" ref="AS17" ca="1">SUMPRODUCT(AS$55:AS$114,TRANSPOSE(SAP_Speadsheet!$E$64:$BL$64))</f>
        <v>#REF!</v>
      </c>
      <c r="AT17" s="367" t="e" cm="1">
        <f t="array" aca="1" ref="AT17" ca="1">SUMPRODUCT(AT$55:AT$114,TRANSPOSE(SAP_Speadsheet!$E$64:$BL$64))</f>
        <v>#REF!</v>
      </c>
      <c r="AU17" s="367" t="e" cm="1">
        <f t="array" aca="1" ref="AU17" ca="1">SUMPRODUCT(AU$55:AU$114,TRANSPOSE(SAP_Speadsheet!$E$64:$BL$64))</f>
        <v>#REF!</v>
      </c>
      <c r="AV17" s="367" t="e" cm="1">
        <f t="array" aca="1" ref="AV17" ca="1">SUMPRODUCT(AV$55:AV$114,TRANSPOSE(SAP_Speadsheet!$E$64:$BL$64))</f>
        <v>#REF!</v>
      </c>
      <c r="AW17" s="367" t="e" cm="1">
        <f t="array" aca="1" ref="AW17" ca="1">SUMPRODUCT(AW$55:AW$114,TRANSPOSE(SAP_Speadsheet!$E$64:$BL$64))</f>
        <v>#REF!</v>
      </c>
      <c r="AX17" s="367" t="e" cm="1">
        <f t="array" aca="1" ref="AX17" ca="1">SUMPRODUCT(AX$55:AX$114,TRANSPOSE(SAP_Speadsheet!$E$64:$BL$64))</f>
        <v>#REF!</v>
      </c>
      <c r="AY17" s="367" t="e" cm="1">
        <f t="array" aca="1" ref="AY17" ca="1">SUMPRODUCT(AY$55:AY$114,TRANSPOSE(SAP_Speadsheet!$E$64:$BL$64))</f>
        <v>#REF!</v>
      </c>
      <c r="AZ17" s="367" t="e" cm="1">
        <f t="array" aca="1" ref="AZ17" ca="1">SUMPRODUCT(AZ$55:AZ$114,TRANSPOSE(SAP_Speadsheet!$E$64:$BL$64))</f>
        <v>#REF!</v>
      </c>
      <c r="BA17" s="367" t="e" cm="1">
        <f t="array" aca="1" ref="BA17" ca="1">SUMPRODUCT(BA$55:BA$114,TRANSPOSE(SAP_Speadsheet!$E$64:$BL$64))</f>
        <v>#REF!</v>
      </c>
      <c r="BB17" s="367" t="e" cm="1">
        <f t="array" aca="1" ref="BB17" ca="1">SUMPRODUCT(BB$55:BB$114,TRANSPOSE(SAP_Speadsheet!$E$64:$BL$64))</f>
        <v>#REF!</v>
      </c>
      <c r="BC17" s="367" t="e" cm="1">
        <f t="array" aca="1" ref="BC17" ca="1">SUMPRODUCT(BC$55:BC$114,TRANSPOSE(SAP_Speadsheet!$E$64:$BL$64))</f>
        <v>#REF!</v>
      </c>
      <c r="BD17" s="367" t="e" cm="1">
        <f t="array" aca="1" ref="BD17" ca="1">SUMPRODUCT(BD$55:BD$114,TRANSPOSE(SAP_Speadsheet!$E$64:$BL$64))</f>
        <v>#REF!</v>
      </c>
      <c r="BE17" s="367" t="e" cm="1">
        <f t="array" aca="1" ref="BE17" ca="1">SUMPRODUCT(BE$55:BE$114,TRANSPOSE(SAP_Speadsheet!$E$64:$BL$64))</f>
        <v>#REF!</v>
      </c>
      <c r="BF17" s="367" t="e" cm="1">
        <f t="array" aca="1" ref="BF17" ca="1">SUMPRODUCT(BF$55:BF$114,TRANSPOSE(SAP_Speadsheet!$E$64:$BL$64))</f>
        <v>#REF!</v>
      </c>
      <c r="BG17" s="367" t="e" cm="1">
        <f t="array" aca="1" ref="BG17" ca="1">SUMPRODUCT(BG$55:BG$114,TRANSPOSE(SAP_Speadsheet!$E$64:$BL$64))</f>
        <v>#REF!</v>
      </c>
      <c r="BH17" s="367" t="e" cm="1">
        <f t="array" aca="1" ref="BH17" ca="1">SUMPRODUCT(BH$55:BH$114,TRANSPOSE(SAP_Speadsheet!$E$64:$BL$64))</f>
        <v>#REF!</v>
      </c>
      <c r="BI17" s="367" t="e" cm="1">
        <f t="array" aca="1" ref="BI17" ca="1">SUMPRODUCT(BI$55:BI$114,TRANSPOSE(SAP_Speadsheet!$E$64:$BL$64))</f>
        <v>#REF!</v>
      </c>
    </row>
    <row r="18" spans="1:61" x14ac:dyDescent="0.15">
      <c r="A18" s="355" t="s">
        <v>195</v>
      </c>
      <c r="B18" s="367" cm="1">
        <f t="array" aca="1" ref="B18" ca="1">SUMPRODUCT(B$55:B$114,TRANSPOSE(SAP_Speadsheet!$E$68:$BL$68))</f>
        <v>0</v>
      </c>
      <c r="C18" s="367" cm="1">
        <f t="array" aca="1" ref="C18" ca="1">SUMPRODUCT(C$55:C$114,TRANSPOSE(SAP_Speadsheet!$E$68:$BL$68))</f>
        <v>0</v>
      </c>
      <c r="D18" s="367" cm="1">
        <f t="array" aca="1" ref="D18" ca="1">SUMPRODUCT(D$55:D$114,TRANSPOSE(SAP_Speadsheet!$E$68:$BL$68))</f>
        <v>0</v>
      </c>
      <c r="E18" s="367" cm="1">
        <f t="array" aca="1" ref="E18" ca="1">SUMPRODUCT(E$55:E$114,TRANSPOSE(SAP_Speadsheet!$E$68:$BL$68))</f>
        <v>0</v>
      </c>
      <c r="F18" s="367" cm="1">
        <f t="array" aca="1" ref="F18" ca="1">SUMPRODUCT(F$55:F$114,TRANSPOSE(SAP_Speadsheet!$E$68:$BL$68))</f>
        <v>0</v>
      </c>
      <c r="G18" s="367" cm="1">
        <f t="array" aca="1" ref="G18" ca="1">SUMPRODUCT(G$55:G$114,TRANSPOSE(SAP_Speadsheet!$E$68:$BL$68))</f>
        <v>0</v>
      </c>
      <c r="H18" s="367" t="e" cm="1">
        <f t="array" aca="1" ref="H18" ca="1">SUMPRODUCT(H$55:H$114,TRANSPOSE(SAP_Speadsheet!$E$68:$BL$68))</f>
        <v>#REF!</v>
      </c>
      <c r="I18" s="367" t="e" cm="1">
        <f t="array" aca="1" ref="I18" ca="1">SUMPRODUCT(I$55:I$114,TRANSPOSE(SAP_Speadsheet!$E$68:$BL$68))</f>
        <v>#REF!</v>
      </c>
      <c r="J18" s="367" t="e" cm="1">
        <f t="array" aca="1" ref="J18" ca="1">SUMPRODUCT(J$55:J$114,TRANSPOSE(SAP_Speadsheet!$E$68:$BL$68))</f>
        <v>#REF!</v>
      </c>
      <c r="K18" s="367" t="e" cm="1">
        <f t="array" aca="1" ref="K18" ca="1">SUMPRODUCT(K$55:K$114,TRANSPOSE(SAP_Speadsheet!$E$68:$BL$68))</f>
        <v>#REF!</v>
      </c>
      <c r="L18" s="367" t="e" cm="1">
        <f t="array" aca="1" ref="L18" ca="1">SUMPRODUCT(L$55:L$114,TRANSPOSE(SAP_Speadsheet!$E$68:$BL$68))</f>
        <v>#REF!</v>
      </c>
      <c r="M18" s="367" t="e" cm="1">
        <f t="array" aca="1" ref="M18" ca="1">SUMPRODUCT(M$55:M$114,TRANSPOSE(SAP_Speadsheet!$E$68:$BL$68))</f>
        <v>#REF!</v>
      </c>
      <c r="N18" s="367" t="e" cm="1">
        <f t="array" aca="1" ref="N18" ca="1">SUMPRODUCT(N$55:N$114,TRANSPOSE(SAP_Speadsheet!$E$68:$BL$68))</f>
        <v>#REF!</v>
      </c>
      <c r="O18" s="367" t="e" cm="1">
        <f t="array" aca="1" ref="O18" ca="1">SUMPRODUCT(O$55:O$114,TRANSPOSE(SAP_Speadsheet!$E$68:$BL$68))</f>
        <v>#REF!</v>
      </c>
      <c r="P18" s="367" t="e" cm="1">
        <f t="array" aca="1" ref="P18" ca="1">SUMPRODUCT(P$55:P$114,TRANSPOSE(SAP_Speadsheet!$E$68:$BL$68))</f>
        <v>#REF!</v>
      </c>
      <c r="Q18" s="367" t="e" cm="1">
        <f t="array" aca="1" ref="Q18" ca="1">SUMPRODUCT(Q$55:Q$114,TRANSPOSE(SAP_Speadsheet!$E$68:$BL$68))</f>
        <v>#REF!</v>
      </c>
      <c r="R18" s="367" t="e" cm="1">
        <f t="array" aca="1" ref="R18" ca="1">SUMPRODUCT(R$55:R$114,TRANSPOSE(SAP_Speadsheet!$E$68:$BL$68))</f>
        <v>#REF!</v>
      </c>
      <c r="S18" s="367" t="e" cm="1">
        <f t="array" aca="1" ref="S18" ca="1">SUMPRODUCT(S$55:S$114,TRANSPOSE(SAP_Speadsheet!$E$68:$BL$68))</f>
        <v>#REF!</v>
      </c>
      <c r="T18" s="367" t="e" cm="1">
        <f t="array" aca="1" ref="T18" ca="1">SUMPRODUCT(T$55:T$114,TRANSPOSE(SAP_Speadsheet!$E$68:$BL$68))</f>
        <v>#REF!</v>
      </c>
      <c r="U18" s="367" t="e" cm="1">
        <f t="array" aca="1" ref="U18" ca="1">SUMPRODUCT(U$55:U$114,TRANSPOSE(SAP_Speadsheet!$E$68:$BL$68))</f>
        <v>#REF!</v>
      </c>
      <c r="V18" s="367" t="e" cm="1">
        <f t="array" aca="1" ref="V18" ca="1">SUMPRODUCT(V$55:V$114,TRANSPOSE(SAP_Speadsheet!$E$68:$BL$68))</f>
        <v>#REF!</v>
      </c>
      <c r="W18" s="367" t="e" cm="1">
        <f t="array" aca="1" ref="W18" ca="1">SUMPRODUCT(W$55:W$114,TRANSPOSE(SAP_Speadsheet!$E$68:$BL$68))</f>
        <v>#REF!</v>
      </c>
      <c r="X18" s="367" t="e" cm="1">
        <f t="array" aca="1" ref="X18" ca="1">SUMPRODUCT(X$55:X$114,TRANSPOSE(SAP_Speadsheet!$E$68:$BL$68))</f>
        <v>#REF!</v>
      </c>
      <c r="Y18" s="367" t="e" cm="1">
        <f t="array" aca="1" ref="Y18" ca="1">SUMPRODUCT(Y$55:Y$114,TRANSPOSE(SAP_Speadsheet!$E$68:$BL$68))</f>
        <v>#REF!</v>
      </c>
      <c r="Z18" s="367" t="e" cm="1">
        <f t="array" aca="1" ref="Z18" ca="1">SUMPRODUCT(Z$55:Z$114,TRANSPOSE(SAP_Speadsheet!$E$68:$BL$68))</f>
        <v>#REF!</v>
      </c>
      <c r="AA18" s="367" t="e" cm="1">
        <f t="array" aca="1" ref="AA18" ca="1">SUMPRODUCT(AA$55:AA$114,TRANSPOSE(SAP_Speadsheet!$E$68:$BL$68))</f>
        <v>#REF!</v>
      </c>
      <c r="AB18" s="367" t="e" cm="1">
        <f t="array" aca="1" ref="AB18" ca="1">SUMPRODUCT(AB$55:AB$114,TRANSPOSE(SAP_Speadsheet!$E$68:$BL$68))</f>
        <v>#REF!</v>
      </c>
      <c r="AC18" s="367" t="e" cm="1">
        <f t="array" aca="1" ref="AC18" ca="1">SUMPRODUCT(AC$55:AC$114,TRANSPOSE(SAP_Speadsheet!$E$68:$BL$68))</f>
        <v>#REF!</v>
      </c>
      <c r="AD18" s="367" t="e" cm="1">
        <f t="array" aca="1" ref="AD18" ca="1">SUMPRODUCT(AD$55:AD$114,TRANSPOSE(SAP_Speadsheet!$E$68:$BL$68))</f>
        <v>#REF!</v>
      </c>
      <c r="AE18" s="367" t="e" cm="1">
        <f t="array" aca="1" ref="AE18" ca="1">SUMPRODUCT(AE$55:AE$114,TRANSPOSE(SAP_Speadsheet!$E$68:$BL$68))</f>
        <v>#REF!</v>
      </c>
      <c r="AF18" s="367" t="e" cm="1">
        <f t="array" aca="1" ref="AF18" ca="1">SUMPRODUCT(AF$55:AF$114,TRANSPOSE(SAP_Speadsheet!$E$68:$BL$68))</f>
        <v>#REF!</v>
      </c>
      <c r="AG18" s="367" t="e" cm="1">
        <f t="array" aca="1" ref="AG18" ca="1">SUMPRODUCT(AG$55:AG$114,TRANSPOSE(SAP_Speadsheet!$E$68:$BL$68))</f>
        <v>#REF!</v>
      </c>
      <c r="AH18" s="367" t="e" cm="1">
        <f t="array" aca="1" ref="AH18" ca="1">SUMPRODUCT(AH$55:AH$114,TRANSPOSE(SAP_Speadsheet!$E$68:$BL$68))</f>
        <v>#REF!</v>
      </c>
      <c r="AI18" s="367" t="e" cm="1">
        <f t="array" aca="1" ref="AI18" ca="1">SUMPRODUCT(AI$55:AI$114,TRANSPOSE(SAP_Speadsheet!$E$68:$BL$68))</f>
        <v>#REF!</v>
      </c>
      <c r="AJ18" s="367" t="e" cm="1">
        <f t="array" aca="1" ref="AJ18" ca="1">SUMPRODUCT(AJ$55:AJ$114,TRANSPOSE(SAP_Speadsheet!$E$68:$BL$68))</f>
        <v>#REF!</v>
      </c>
      <c r="AK18" s="367" t="e" cm="1">
        <f t="array" aca="1" ref="AK18" ca="1">SUMPRODUCT(AK$55:AK$114,TRANSPOSE(SAP_Speadsheet!$E$68:$BL$68))</f>
        <v>#REF!</v>
      </c>
      <c r="AL18" s="367" t="e" cm="1">
        <f t="array" aca="1" ref="AL18" ca="1">SUMPRODUCT(AL$55:AL$114,TRANSPOSE(SAP_Speadsheet!$E$68:$BL$68))</f>
        <v>#REF!</v>
      </c>
      <c r="AM18" s="367" t="e" cm="1">
        <f t="array" aca="1" ref="AM18" ca="1">SUMPRODUCT(AM$55:AM$114,TRANSPOSE(SAP_Speadsheet!$E$68:$BL$68))</f>
        <v>#REF!</v>
      </c>
      <c r="AN18" s="367" t="e" cm="1">
        <f t="array" aca="1" ref="AN18" ca="1">SUMPRODUCT(AN$55:AN$114,TRANSPOSE(SAP_Speadsheet!$E$68:$BL$68))</f>
        <v>#REF!</v>
      </c>
      <c r="AO18" s="367" t="e" cm="1">
        <f t="array" aca="1" ref="AO18" ca="1">SUMPRODUCT(AO$55:AO$114,TRANSPOSE(SAP_Speadsheet!$E$68:$BL$68))</f>
        <v>#REF!</v>
      </c>
      <c r="AP18" s="367" t="e" cm="1">
        <f t="array" aca="1" ref="AP18" ca="1">SUMPRODUCT(AP$55:AP$114,TRANSPOSE(SAP_Speadsheet!$E$68:$BL$68))</f>
        <v>#REF!</v>
      </c>
      <c r="AQ18" s="367" t="e" cm="1">
        <f t="array" aca="1" ref="AQ18" ca="1">SUMPRODUCT(AQ$55:AQ$114,TRANSPOSE(SAP_Speadsheet!$E$68:$BL$68))</f>
        <v>#REF!</v>
      </c>
      <c r="AR18" s="367" t="e" cm="1">
        <f t="array" aca="1" ref="AR18" ca="1">SUMPRODUCT(AR$55:AR$114,TRANSPOSE(SAP_Speadsheet!$E$68:$BL$68))</f>
        <v>#REF!</v>
      </c>
      <c r="AS18" s="367" t="e" cm="1">
        <f t="array" aca="1" ref="AS18" ca="1">SUMPRODUCT(AS$55:AS$114,TRANSPOSE(SAP_Speadsheet!$E$68:$BL$68))</f>
        <v>#REF!</v>
      </c>
      <c r="AT18" s="367" t="e" cm="1">
        <f t="array" aca="1" ref="AT18" ca="1">SUMPRODUCT(AT$55:AT$114,TRANSPOSE(SAP_Speadsheet!$E$68:$BL$68))</f>
        <v>#REF!</v>
      </c>
      <c r="AU18" s="367" t="e" cm="1">
        <f t="array" aca="1" ref="AU18" ca="1">SUMPRODUCT(AU$55:AU$114,TRANSPOSE(SAP_Speadsheet!$E$68:$BL$68))</f>
        <v>#REF!</v>
      </c>
      <c r="AV18" s="367" t="e" cm="1">
        <f t="array" aca="1" ref="AV18" ca="1">SUMPRODUCT(AV$55:AV$114,TRANSPOSE(SAP_Speadsheet!$E$68:$BL$68))</f>
        <v>#REF!</v>
      </c>
      <c r="AW18" s="367" t="e" cm="1">
        <f t="array" aca="1" ref="AW18" ca="1">SUMPRODUCT(AW$55:AW$114,TRANSPOSE(SAP_Speadsheet!$E$68:$BL$68))</f>
        <v>#REF!</v>
      </c>
      <c r="AX18" s="367" t="e" cm="1">
        <f t="array" aca="1" ref="AX18" ca="1">SUMPRODUCT(AX$55:AX$114,TRANSPOSE(SAP_Speadsheet!$E$68:$BL$68))</f>
        <v>#REF!</v>
      </c>
      <c r="AY18" s="367" t="e" cm="1">
        <f t="array" aca="1" ref="AY18" ca="1">SUMPRODUCT(AY$55:AY$114,TRANSPOSE(SAP_Speadsheet!$E$68:$BL$68))</f>
        <v>#REF!</v>
      </c>
      <c r="AZ18" s="367" t="e" cm="1">
        <f t="array" aca="1" ref="AZ18" ca="1">SUMPRODUCT(AZ$55:AZ$114,TRANSPOSE(SAP_Speadsheet!$E$68:$BL$68))</f>
        <v>#REF!</v>
      </c>
      <c r="BA18" s="367" t="e" cm="1">
        <f t="array" aca="1" ref="BA18" ca="1">SUMPRODUCT(BA$55:BA$114,TRANSPOSE(SAP_Speadsheet!$E$68:$BL$68))</f>
        <v>#REF!</v>
      </c>
      <c r="BB18" s="367" t="e" cm="1">
        <f t="array" aca="1" ref="BB18" ca="1">SUMPRODUCT(BB$55:BB$114,TRANSPOSE(SAP_Speadsheet!$E$68:$BL$68))</f>
        <v>#REF!</v>
      </c>
      <c r="BC18" s="367" t="e" cm="1">
        <f t="array" aca="1" ref="BC18" ca="1">SUMPRODUCT(BC$55:BC$114,TRANSPOSE(SAP_Speadsheet!$E$68:$BL$68))</f>
        <v>#REF!</v>
      </c>
      <c r="BD18" s="367" t="e" cm="1">
        <f t="array" aca="1" ref="BD18" ca="1">SUMPRODUCT(BD$55:BD$114,TRANSPOSE(SAP_Speadsheet!$E$68:$BL$68))</f>
        <v>#REF!</v>
      </c>
      <c r="BE18" s="367" t="e" cm="1">
        <f t="array" aca="1" ref="BE18" ca="1">SUMPRODUCT(BE$55:BE$114,TRANSPOSE(SAP_Speadsheet!$E$68:$BL$68))</f>
        <v>#REF!</v>
      </c>
      <c r="BF18" s="367" t="e" cm="1">
        <f t="array" aca="1" ref="BF18" ca="1">SUMPRODUCT(BF$55:BF$114,TRANSPOSE(SAP_Speadsheet!$E$68:$BL$68))</f>
        <v>#REF!</v>
      </c>
      <c r="BG18" s="367" t="e" cm="1">
        <f t="array" aca="1" ref="BG18" ca="1">SUMPRODUCT(BG$55:BG$114,TRANSPOSE(SAP_Speadsheet!$E$68:$BL$68))</f>
        <v>#REF!</v>
      </c>
      <c r="BH18" s="367" t="e" cm="1">
        <f t="array" aca="1" ref="BH18" ca="1">SUMPRODUCT(BH$55:BH$114,TRANSPOSE(SAP_Speadsheet!$E$68:$BL$68))</f>
        <v>#REF!</v>
      </c>
      <c r="BI18" s="367" t="e" cm="1">
        <f t="array" aca="1" ref="BI18" ca="1">SUMPRODUCT(BI$55:BI$114,TRANSPOSE(SAP_Speadsheet!$E$68:$BL$68))</f>
        <v>#REF!</v>
      </c>
    </row>
    <row r="19" spans="1:61" s="355" customFormat="1" x14ac:dyDescent="0.15">
      <c r="A19" s="355" t="s">
        <v>199</v>
      </c>
      <c r="B19" s="362">
        <f t="shared" ref="B19:BI19" ca="1" si="3">B20+B24+B28+B29+B30</f>
        <v>0</v>
      </c>
      <c r="C19" s="362">
        <f t="shared" ca="1" si="3"/>
        <v>0</v>
      </c>
      <c r="D19" s="362">
        <f t="shared" ca="1" si="3"/>
        <v>0</v>
      </c>
      <c r="E19" s="362">
        <f t="shared" ca="1" si="3"/>
        <v>0</v>
      </c>
      <c r="F19" s="362">
        <f t="shared" ca="1" si="3"/>
        <v>0</v>
      </c>
      <c r="G19" s="362">
        <f t="shared" ca="1" si="3"/>
        <v>0</v>
      </c>
      <c r="H19" s="362" t="e">
        <f t="shared" ca="1" si="3"/>
        <v>#REF!</v>
      </c>
      <c r="I19" s="362" t="e">
        <f t="shared" ca="1" si="3"/>
        <v>#REF!</v>
      </c>
      <c r="J19" s="362" t="e">
        <f t="shared" ca="1" si="3"/>
        <v>#REF!</v>
      </c>
      <c r="K19" s="362" t="e">
        <f t="shared" ca="1" si="3"/>
        <v>#REF!</v>
      </c>
      <c r="L19" s="362" t="e">
        <f t="shared" ca="1" si="3"/>
        <v>#REF!</v>
      </c>
      <c r="M19" s="362" t="e">
        <f t="shared" ca="1" si="3"/>
        <v>#REF!</v>
      </c>
      <c r="N19" s="362" t="e">
        <f t="shared" ca="1" si="3"/>
        <v>#REF!</v>
      </c>
      <c r="O19" s="362" t="e">
        <f t="shared" ca="1" si="3"/>
        <v>#REF!</v>
      </c>
      <c r="P19" s="362" t="e">
        <f t="shared" ca="1" si="3"/>
        <v>#REF!</v>
      </c>
      <c r="Q19" s="362" t="e">
        <f t="shared" ca="1" si="3"/>
        <v>#REF!</v>
      </c>
      <c r="R19" s="362" t="e">
        <f t="shared" ca="1" si="3"/>
        <v>#REF!</v>
      </c>
      <c r="S19" s="362" t="e">
        <f t="shared" ca="1" si="3"/>
        <v>#REF!</v>
      </c>
      <c r="T19" s="362" t="e">
        <f t="shared" ca="1" si="3"/>
        <v>#REF!</v>
      </c>
      <c r="U19" s="362" t="e">
        <f t="shared" ca="1" si="3"/>
        <v>#REF!</v>
      </c>
      <c r="V19" s="362" t="e">
        <f t="shared" ca="1" si="3"/>
        <v>#REF!</v>
      </c>
      <c r="W19" s="362" t="e">
        <f t="shared" ca="1" si="3"/>
        <v>#REF!</v>
      </c>
      <c r="X19" s="362" t="e">
        <f t="shared" ca="1" si="3"/>
        <v>#REF!</v>
      </c>
      <c r="Y19" s="362" t="e">
        <f t="shared" ca="1" si="3"/>
        <v>#REF!</v>
      </c>
      <c r="Z19" s="362" t="e">
        <f t="shared" ca="1" si="3"/>
        <v>#REF!</v>
      </c>
      <c r="AA19" s="362" t="e">
        <f t="shared" ca="1" si="3"/>
        <v>#REF!</v>
      </c>
      <c r="AB19" s="362" t="e">
        <f t="shared" ca="1" si="3"/>
        <v>#REF!</v>
      </c>
      <c r="AC19" s="362" t="e">
        <f t="shared" ca="1" si="3"/>
        <v>#REF!</v>
      </c>
      <c r="AD19" s="362" t="e">
        <f t="shared" ca="1" si="3"/>
        <v>#REF!</v>
      </c>
      <c r="AE19" s="362" t="e">
        <f t="shared" ca="1" si="3"/>
        <v>#REF!</v>
      </c>
      <c r="AF19" s="362" t="e">
        <f t="shared" ca="1" si="3"/>
        <v>#REF!</v>
      </c>
      <c r="AG19" s="362" t="e">
        <f t="shared" ca="1" si="3"/>
        <v>#REF!</v>
      </c>
      <c r="AH19" s="362" t="e">
        <f t="shared" ca="1" si="3"/>
        <v>#REF!</v>
      </c>
      <c r="AI19" s="362" t="e">
        <f t="shared" ca="1" si="3"/>
        <v>#REF!</v>
      </c>
      <c r="AJ19" s="362" t="e">
        <f t="shared" ca="1" si="3"/>
        <v>#REF!</v>
      </c>
      <c r="AK19" s="362" t="e">
        <f t="shared" ca="1" si="3"/>
        <v>#REF!</v>
      </c>
      <c r="AL19" s="362" t="e">
        <f t="shared" ca="1" si="3"/>
        <v>#REF!</v>
      </c>
      <c r="AM19" s="362" t="e">
        <f t="shared" ca="1" si="3"/>
        <v>#REF!</v>
      </c>
      <c r="AN19" s="362" t="e">
        <f t="shared" ca="1" si="3"/>
        <v>#REF!</v>
      </c>
      <c r="AO19" s="362" t="e">
        <f t="shared" ca="1" si="3"/>
        <v>#REF!</v>
      </c>
      <c r="AP19" s="362" t="e">
        <f t="shared" ca="1" si="3"/>
        <v>#REF!</v>
      </c>
      <c r="AQ19" s="362" t="e">
        <f t="shared" ca="1" si="3"/>
        <v>#REF!</v>
      </c>
      <c r="AR19" s="362" t="e">
        <f t="shared" ca="1" si="3"/>
        <v>#REF!</v>
      </c>
      <c r="AS19" s="362" t="e">
        <f t="shared" ca="1" si="3"/>
        <v>#REF!</v>
      </c>
      <c r="AT19" s="362" t="e">
        <f t="shared" ca="1" si="3"/>
        <v>#REF!</v>
      </c>
      <c r="AU19" s="362" t="e">
        <f t="shared" ca="1" si="3"/>
        <v>#REF!</v>
      </c>
      <c r="AV19" s="362" t="e">
        <f t="shared" ca="1" si="3"/>
        <v>#REF!</v>
      </c>
      <c r="AW19" s="362" t="e">
        <f t="shared" ca="1" si="3"/>
        <v>#REF!</v>
      </c>
      <c r="AX19" s="362" t="e">
        <f t="shared" ca="1" si="3"/>
        <v>#REF!</v>
      </c>
      <c r="AY19" s="362" t="e">
        <f t="shared" ca="1" si="3"/>
        <v>#REF!</v>
      </c>
      <c r="AZ19" s="362" t="e">
        <f t="shared" ca="1" si="3"/>
        <v>#REF!</v>
      </c>
      <c r="BA19" s="362" t="e">
        <f t="shared" ca="1" si="3"/>
        <v>#REF!</v>
      </c>
      <c r="BB19" s="362" t="e">
        <f t="shared" ca="1" si="3"/>
        <v>#REF!</v>
      </c>
      <c r="BC19" s="362" t="e">
        <f t="shared" ca="1" si="3"/>
        <v>#REF!</v>
      </c>
      <c r="BD19" s="362" t="e">
        <f t="shared" ca="1" si="3"/>
        <v>#REF!</v>
      </c>
      <c r="BE19" s="362" t="e">
        <f t="shared" ca="1" si="3"/>
        <v>#REF!</v>
      </c>
      <c r="BF19" s="362" t="e">
        <f t="shared" ca="1" si="3"/>
        <v>#REF!</v>
      </c>
      <c r="BG19" s="362" t="e">
        <f t="shared" ca="1" si="3"/>
        <v>#REF!</v>
      </c>
      <c r="BH19" s="362" t="e">
        <f t="shared" ca="1" si="3"/>
        <v>#REF!</v>
      </c>
      <c r="BI19" s="362" t="e">
        <f t="shared" ca="1" si="3"/>
        <v>#REF!</v>
      </c>
    </row>
    <row r="20" spans="1:61" x14ac:dyDescent="0.15">
      <c r="A20" s="368" t="s">
        <v>463</v>
      </c>
      <c r="B20" s="362">
        <f ca="1">SUM(B21:B23)</f>
        <v>0</v>
      </c>
      <c r="C20" s="362">
        <f t="shared" ref="C20:BI20" ca="1" si="4">SUM(C21:C23)</f>
        <v>0</v>
      </c>
      <c r="D20" s="362">
        <f t="shared" ca="1" si="4"/>
        <v>0</v>
      </c>
      <c r="E20" s="362">
        <f t="shared" ca="1" si="4"/>
        <v>0</v>
      </c>
      <c r="F20" s="362">
        <f t="shared" ca="1" si="4"/>
        <v>0</v>
      </c>
      <c r="G20" s="362">
        <f t="shared" ca="1" si="4"/>
        <v>0</v>
      </c>
      <c r="H20" s="362" t="e">
        <f t="shared" ca="1" si="4"/>
        <v>#REF!</v>
      </c>
      <c r="I20" s="362" t="e">
        <f t="shared" ca="1" si="4"/>
        <v>#REF!</v>
      </c>
      <c r="J20" s="362" t="e">
        <f t="shared" ca="1" si="4"/>
        <v>#REF!</v>
      </c>
      <c r="K20" s="362" t="e">
        <f t="shared" ca="1" si="4"/>
        <v>#REF!</v>
      </c>
      <c r="L20" s="362" t="e">
        <f t="shared" ca="1" si="4"/>
        <v>#REF!</v>
      </c>
      <c r="M20" s="362" t="e">
        <f t="shared" ca="1" si="4"/>
        <v>#REF!</v>
      </c>
      <c r="N20" s="362" t="e">
        <f t="shared" ca="1" si="4"/>
        <v>#REF!</v>
      </c>
      <c r="O20" s="362" t="e">
        <f t="shared" ca="1" si="4"/>
        <v>#REF!</v>
      </c>
      <c r="P20" s="362" t="e">
        <f t="shared" ca="1" si="4"/>
        <v>#REF!</v>
      </c>
      <c r="Q20" s="362" t="e">
        <f t="shared" ca="1" si="4"/>
        <v>#REF!</v>
      </c>
      <c r="R20" s="362" t="e">
        <f t="shared" ca="1" si="4"/>
        <v>#REF!</v>
      </c>
      <c r="S20" s="362" t="e">
        <f t="shared" ca="1" si="4"/>
        <v>#REF!</v>
      </c>
      <c r="T20" s="362" t="e">
        <f t="shared" ca="1" si="4"/>
        <v>#REF!</v>
      </c>
      <c r="U20" s="362" t="e">
        <f t="shared" ca="1" si="4"/>
        <v>#REF!</v>
      </c>
      <c r="V20" s="362" t="e">
        <f t="shared" ca="1" si="4"/>
        <v>#REF!</v>
      </c>
      <c r="W20" s="362" t="e">
        <f t="shared" ca="1" si="4"/>
        <v>#REF!</v>
      </c>
      <c r="X20" s="362" t="e">
        <f t="shared" ca="1" si="4"/>
        <v>#REF!</v>
      </c>
      <c r="Y20" s="362" t="e">
        <f t="shared" ca="1" si="4"/>
        <v>#REF!</v>
      </c>
      <c r="Z20" s="362" t="e">
        <f t="shared" ca="1" si="4"/>
        <v>#REF!</v>
      </c>
      <c r="AA20" s="362" t="e">
        <f t="shared" ca="1" si="4"/>
        <v>#REF!</v>
      </c>
      <c r="AB20" s="362" t="e">
        <f t="shared" ca="1" si="4"/>
        <v>#REF!</v>
      </c>
      <c r="AC20" s="362" t="e">
        <f t="shared" ca="1" si="4"/>
        <v>#REF!</v>
      </c>
      <c r="AD20" s="362" t="e">
        <f t="shared" ca="1" si="4"/>
        <v>#REF!</v>
      </c>
      <c r="AE20" s="362" t="e">
        <f t="shared" ca="1" si="4"/>
        <v>#REF!</v>
      </c>
      <c r="AF20" s="362" t="e">
        <f t="shared" ca="1" si="4"/>
        <v>#REF!</v>
      </c>
      <c r="AG20" s="362" t="e">
        <f t="shared" ca="1" si="4"/>
        <v>#REF!</v>
      </c>
      <c r="AH20" s="362" t="e">
        <f t="shared" ca="1" si="4"/>
        <v>#REF!</v>
      </c>
      <c r="AI20" s="362" t="e">
        <f t="shared" ca="1" si="4"/>
        <v>#REF!</v>
      </c>
      <c r="AJ20" s="362" t="e">
        <f t="shared" ca="1" si="4"/>
        <v>#REF!</v>
      </c>
      <c r="AK20" s="362" t="e">
        <f t="shared" ca="1" si="4"/>
        <v>#REF!</v>
      </c>
      <c r="AL20" s="362" t="e">
        <f t="shared" ca="1" si="4"/>
        <v>#REF!</v>
      </c>
      <c r="AM20" s="362" t="e">
        <f t="shared" ca="1" si="4"/>
        <v>#REF!</v>
      </c>
      <c r="AN20" s="362" t="e">
        <f t="shared" ca="1" si="4"/>
        <v>#REF!</v>
      </c>
      <c r="AO20" s="362" t="e">
        <f t="shared" ca="1" si="4"/>
        <v>#REF!</v>
      </c>
      <c r="AP20" s="362" t="e">
        <f t="shared" ca="1" si="4"/>
        <v>#REF!</v>
      </c>
      <c r="AQ20" s="362" t="e">
        <f t="shared" ca="1" si="4"/>
        <v>#REF!</v>
      </c>
      <c r="AR20" s="362" t="e">
        <f t="shared" ca="1" si="4"/>
        <v>#REF!</v>
      </c>
      <c r="AS20" s="362" t="e">
        <f t="shared" ca="1" si="4"/>
        <v>#REF!</v>
      </c>
      <c r="AT20" s="362" t="e">
        <f t="shared" ca="1" si="4"/>
        <v>#REF!</v>
      </c>
      <c r="AU20" s="362" t="e">
        <f t="shared" ca="1" si="4"/>
        <v>#REF!</v>
      </c>
      <c r="AV20" s="362" t="e">
        <f t="shared" ca="1" si="4"/>
        <v>#REF!</v>
      </c>
      <c r="AW20" s="362" t="e">
        <f t="shared" ca="1" si="4"/>
        <v>#REF!</v>
      </c>
      <c r="AX20" s="362" t="e">
        <f t="shared" ca="1" si="4"/>
        <v>#REF!</v>
      </c>
      <c r="AY20" s="362" t="e">
        <f t="shared" ca="1" si="4"/>
        <v>#REF!</v>
      </c>
      <c r="AZ20" s="362" t="e">
        <f t="shared" ca="1" si="4"/>
        <v>#REF!</v>
      </c>
      <c r="BA20" s="362" t="e">
        <f t="shared" ca="1" si="4"/>
        <v>#REF!</v>
      </c>
      <c r="BB20" s="362" t="e">
        <f t="shared" ca="1" si="4"/>
        <v>#REF!</v>
      </c>
      <c r="BC20" s="362" t="e">
        <f t="shared" ca="1" si="4"/>
        <v>#REF!</v>
      </c>
      <c r="BD20" s="362" t="e">
        <f t="shared" ca="1" si="4"/>
        <v>#REF!</v>
      </c>
      <c r="BE20" s="362" t="e">
        <f t="shared" ca="1" si="4"/>
        <v>#REF!</v>
      </c>
      <c r="BF20" s="362" t="e">
        <f t="shared" ca="1" si="4"/>
        <v>#REF!</v>
      </c>
      <c r="BG20" s="362" t="e">
        <f t="shared" ca="1" si="4"/>
        <v>#REF!</v>
      </c>
      <c r="BH20" s="362" t="e">
        <f t="shared" ca="1" si="4"/>
        <v>#REF!</v>
      </c>
      <c r="BI20" s="362" t="e">
        <f t="shared" ca="1" si="4"/>
        <v>#REF!</v>
      </c>
    </row>
    <row r="21" spans="1:61" x14ac:dyDescent="0.15">
      <c r="A21" s="356" t="s">
        <v>218</v>
      </c>
      <c r="B21" s="367" cm="1">
        <f t="array" aca="1" ref="B21" ca="1">SUMPRODUCT(B$55:B$114,TRANSPOSE(SAP_Speadsheet!$E$73:$BL$73))</f>
        <v>0</v>
      </c>
      <c r="C21" s="367" cm="1">
        <f t="array" aca="1" ref="C21" ca="1">SUMPRODUCT(C$55:C$114,TRANSPOSE(SAP_Speadsheet!$E$73:$BL$73))</f>
        <v>0</v>
      </c>
      <c r="D21" s="367" cm="1">
        <f t="array" aca="1" ref="D21" ca="1">SUMPRODUCT(D$55:D$114,TRANSPOSE(SAP_Speadsheet!$E$73:$BL$73))</f>
        <v>0</v>
      </c>
      <c r="E21" s="367" cm="1">
        <f t="array" aca="1" ref="E21" ca="1">SUMPRODUCT(E$55:E$114,TRANSPOSE(SAP_Speadsheet!$E$73:$BL$73))</f>
        <v>0</v>
      </c>
      <c r="F21" s="367" cm="1">
        <f t="array" aca="1" ref="F21" ca="1">SUMPRODUCT(F$55:F$114,TRANSPOSE(SAP_Speadsheet!$E$73:$BL$73))</f>
        <v>0</v>
      </c>
      <c r="G21" s="367" cm="1">
        <f t="array" aca="1" ref="G21" ca="1">SUMPRODUCT(G$55:G$114,TRANSPOSE(SAP_Speadsheet!$E$73:$BL$73))</f>
        <v>0</v>
      </c>
      <c r="H21" s="367" t="e" cm="1">
        <f t="array" aca="1" ref="H21" ca="1">SUMPRODUCT(H$55:H$114,TRANSPOSE(SAP_Speadsheet!$E$73:$BL$73))</f>
        <v>#REF!</v>
      </c>
      <c r="I21" s="367" t="e" cm="1">
        <f t="array" aca="1" ref="I21" ca="1">SUMPRODUCT(I$55:I$114,TRANSPOSE(SAP_Speadsheet!$E$73:$BL$73))</f>
        <v>#REF!</v>
      </c>
      <c r="J21" s="367" t="e" cm="1">
        <f t="array" aca="1" ref="J21" ca="1">SUMPRODUCT(J$55:J$114,TRANSPOSE(SAP_Speadsheet!$E$73:$BL$73))</f>
        <v>#REF!</v>
      </c>
      <c r="K21" s="367" t="e" cm="1">
        <f t="array" aca="1" ref="K21" ca="1">SUMPRODUCT(K$55:K$114,TRANSPOSE(SAP_Speadsheet!$E$73:$BL$73))</f>
        <v>#REF!</v>
      </c>
      <c r="L21" s="367" t="e" cm="1">
        <f t="array" aca="1" ref="L21" ca="1">SUMPRODUCT(L$55:L$114,TRANSPOSE(SAP_Speadsheet!$E$73:$BL$73))</f>
        <v>#REF!</v>
      </c>
      <c r="M21" s="367" t="e" cm="1">
        <f t="array" aca="1" ref="M21" ca="1">SUMPRODUCT(M$55:M$114,TRANSPOSE(SAP_Speadsheet!$E$73:$BL$73))</f>
        <v>#REF!</v>
      </c>
      <c r="N21" s="367" t="e" cm="1">
        <f t="array" aca="1" ref="N21" ca="1">SUMPRODUCT(N$55:N$114,TRANSPOSE(SAP_Speadsheet!$E$73:$BL$73))</f>
        <v>#REF!</v>
      </c>
      <c r="O21" s="367" t="e" cm="1">
        <f t="array" aca="1" ref="O21" ca="1">SUMPRODUCT(O$55:O$114,TRANSPOSE(SAP_Speadsheet!$E$73:$BL$73))</f>
        <v>#REF!</v>
      </c>
      <c r="P21" s="367" t="e" cm="1">
        <f t="array" aca="1" ref="P21" ca="1">SUMPRODUCT(P$55:P$114,TRANSPOSE(SAP_Speadsheet!$E$73:$BL$73))</f>
        <v>#REF!</v>
      </c>
      <c r="Q21" s="367" t="e" cm="1">
        <f t="array" aca="1" ref="Q21" ca="1">SUMPRODUCT(Q$55:Q$114,TRANSPOSE(SAP_Speadsheet!$E$73:$BL$73))</f>
        <v>#REF!</v>
      </c>
      <c r="R21" s="367" t="e" cm="1">
        <f t="array" aca="1" ref="R21" ca="1">SUMPRODUCT(R$55:R$114,TRANSPOSE(SAP_Speadsheet!$E$73:$BL$73))</f>
        <v>#REF!</v>
      </c>
      <c r="S21" s="367" t="e" cm="1">
        <f t="array" aca="1" ref="S21" ca="1">SUMPRODUCT(S$55:S$114,TRANSPOSE(SAP_Speadsheet!$E$73:$BL$73))</f>
        <v>#REF!</v>
      </c>
      <c r="T21" s="367" t="e" cm="1">
        <f t="array" aca="1" ref="T21" ca="1">SUMPRODUCT(T$55:T$114,TRANSPOSE(SAP_Speadsheet!$E$73:$BL$73))</f>
        <v>#REF!</v>
      </c>
      <c r="U21" s="367" t="e" cm="1">
        <f t="array" aca="1" ref="U21" ca="1">SUMPRODUCT(U$55:U$114,TRANSPOSE(SAP_Speadsheet!$E$73:$BL$73))</f>
        <v>#REF!</v>
      </c>
      <c r="V21" s="367" t="e" cm="1">
        <f t="array" aca="1" ref="V21" ca="1">SUMPRODUCT(V$55:V$114,TRANSPOSE(SAP_Speadsheet!$E$73:$BL$73))</f>
        <v>#REF!</v>
      </c>
      <c r="W21" s="367" t="e" cm="1">
        <f t="array" aca="1" ref="W21" ca="1">SUMPRODUCT(W$55:W$114,TRANSPOSE(SAP_Speadsheet!$E$73:$BL$73))</f>
        <v>#REF!</v>
      </c>
      <c r="X21" s="367" t="e" cm="1">
        <f t="array" aca="1" ref="X21" ca="1">SUMPRODUCT(X$55:X$114,TRANSPOSE(SAP_Speadsheet!$E$73:$BL$73))</f>
        <v>#REF!</v>
      </c>
      <c r="Y21" s="367" t="e" cm="1">
        <f t="array" aca="1" ref="Y21" ca="1">SUMPRODUCT(Y$55:Y$114,TRANSPOSE(SAP_Speadsheet!$E$73:$BL$73))</f>
        <v>#REF!</v>
      </c>
      <c r="Z21" s="367" t="e" cm="1">
        <f t="array" aca="1" ref="Z21" ca="1">SUMPRODUCT(Z$55:Z$114,TRANSPOSE(SAP_Speadsheet!$E$73:$BL$73))</f>
        <v>#REF!</v>
      </c>
      <c r="AA21" s="367" t="e" cm="1">
        <f t="array" aca="1" ref="AA21" ca="1">SUMPRODUCT(AA$55:AA$114,TRANSPOSE(SAP_Speadsheet!$E$73:$BL$73))</f>
        <v>#REF!</v>
      </c>
      <c r="AB21" s="367" t="e" cm="1">
        <f t="array" aca="1" ref="AB21" ca="1">SUMPRODUCT(AB$55:AB$114,TRANSPOSE(SAP_Speadsheet!$E$73:$BL$73))</f>
        <v>#REF!</v>
      </c>
      <c r="AC21" s="367" t="e" cm="1">
        <f t="array" aca="1" ref="AC21" ca="1">SUMPRODUCT(AC$55:AC$114,TRANSPOSE(SAP_Speadsheet!$E$73:$BL$73))</f>
        <v>#REF!</v>
      </c>
      <c r="AD21" s="367" t="e" cm="1">
        <f t="array" aca="1" ref="AD21" ca="1">SUMPRODUCT(AD$55:AD$114,TRANSPOSE(SAP_Speadsheet!$E$73:$BL$73))</f>
        <v>#REF!</v>
      </c>
      <c r="AE21" s="367" t="e" cm="1">
        <f t="array" aca="1" ref="AE21" ca="1">SUMPRODUCT(AE$55:AE$114,TRANSPOSE(SAP_Speadsheet!$E$73:$BL$73))</f>
        <v>#REF!</v>
      </c>
      <c r="AF21" s="367" t="e" cm="1">
        <f t="array" aca="1" ref="AF21" ca="1">SUMPRODUCT(AF$55:AF$114,TRANSPOSE(SAP_Speadsheet!$E$73:$BL$73))</f>
        <v>#REF!</v>
      </c>
      <c r="AG21" s="367" t="e" cm="1">
        <f t="array" aca="1" ref="AG21" ca="1">SUMPRODUCT(AG$55:AG$114,TRANSPOSE(SAP_Speadsheet!$E$73:$BL$73))</f>
        <v>#REF!</v>
      </c>
      <c r="AH21" s="367" t="e" cm="1">
        <f t="array" aca="1" ref="AH21" ca="1">SUMPRODUCT(AH$55:AH$114,TRANSPOSE(SAP_Speadsheet!$E$73:$BL$73))</f>
        <v>#REF!</v>
      </c>
      <c r="AI21" s="367" t="e" cm="1">
        <f t="array" aca="1" ref="AI21" ca="1">SUMPRODUCT(AI$55:AI$114,TRANSPOSE(SAP_Speadsheet!$E$73:$BL$73))</f>
        <v>#REF!</v>
      </c>
      <c r="AJ21" s="367" t="e" cm="1">
        <f t="array" aca="1" ref="AJ21" ca="1">SUMPRODUCT(AJ$55:AJ$114,TRANSPOSE(SAP_Speadsheet!$E$73:$BL$73))</f>
        <v>#REF!</v>
      </c>
      <c r="AK21" s="367" t="e" cm="1">
        <f t="array" aca="1" ref="AK21" ca="1">SUMPRODUCT(AK$55:AK$114,TRANSPOSE(SAP_Speadsheet!$E$73:$BL$73))</f>
        <v>#REF!</v>
      </c>
      <c r="AL21" s="367" t="e" cm="1">
        <f t="array" aca="1" ref="AL21" ca="1">SUMPRODUCT(AL$55:AL$114,TRANSPOSE(SAP_Speadsheet!$E$73:$BL$73))</f>
        <v>#REF!</v>
      </c>
      <c r="AM21" s="367" t="e" cm="1">
        <f t="array" aca="1" ref="AM21" ca="1">SUMPRODUCT(AM$55:AM$114,TRANSPOSE(SAP_Speadsheet!$E$73:$BL$73))</f>
        <v>#REF!</v>
      </c>
      <c r="AN21" s="367" t="e" cm="1">
        <f t="array" aca="1" ref="AN21" ca="1">SUMPRODUCT(AN$55:AN$114,TRANSPOSE(SAP_Speadsheet!$E$73:$BL$73))</f>
        <v>#REF!</v>
      </c>
      <c r="AO21" s="367" t="e" cm="1">
        <f t="array" aca="1" ref="AO21" ca="1">SUMPRODUCT(AO$55:AO$114,TRANSPOSE(SAP_Speadsheet!$E$73:$BL$73))</f>
        <v>#REF!</v>
      </c>
      <c r="AP21" s="367" t="e" cm="1">
        <f t="array" aca="1" ref="AP21" ca="1">SUMPRODUCT(AP$55:AP$114,TRANSPOSE(SAP_Speadsheet!$E$73:$BL$73))</f>
        <v>#REF!</v>
      </c>
      <c r="AQ21" s="367" t="e" cm="1">
        <f t="array" aca="1" ref="AQ21" ca="1">SUMPRODUCT(AQ$55:AQ$114,TRANSPOSE(SAP_Speadsheet!$E$73:$BL$73))</f>
        <v>#REF!</v>
      </c>
      <c r="AR21" s="367" t="e" cm="1">
        <f t="array" aca="1" ref="AR21" ca="1">SUMPRODUCT(AR$55:AR$114,TRANSPOSE(SAP_Speadsheet!$E$73:$BL$73))</f>
        <v>#REF!</v>
      </c>
      <c r="AS21" s="367" t="e" cm="1">
        <f t="array" aca="1" ref="AS21" ca="1">SUMPRODUCT(AS$55:AS$114,TRANSPOSE(SAP_Speadsheet!$E$73:$BL$73))</f>
        <v>#REF!</v>
      </c>
      <c r="AT21" s="367" t="e" cm="1">
        <f t="array" aca="1" ref="AT21" ca="1">SUMPRODUCT(AT$55:AT$114,TRANSPOSE(SAP_Speadsheet!$E$73:$BL$73))</f>
        <v>#REF!</v>
      </c>
      <c r="AU21" s="367" t="e" cm="1">
        <f t="array" aca="1" ref="AU21" ca="1">SUMPRODUCT(AU$55:AU$114,TRANSPOSE(SAP_Speadsheet!$E$73:$BL$73))</f>
        <v>#REF!</v>
      </c>
      <c r="AV21" s="367" t="e" cm="1">
        <f t="array" aca="1" ref="AV21" ca="1">SUMPRODUCT(AV$55:AV$114,TRANSPOSE(SAP_Speadsheet!$E$73:$BL$73))</f>
        <v>#REF!</v>
      </c>
      <c r="AW21" s="367" t="e" cm="1">
        <f t="array" aca="1" ref="AW21" ca="1">SUMPRODUCT(AW$55:AW$114,TRANSPOSE(SAP_Speadsheet!$E$73:$BL$73))</f>
        <v>#REF!</v>
      </c>
      <c r="AX21" s="367" t="e" cm="1">
        <f t="array" aca="1" ref="AX21" ca="1">SUMPRODUCT(AX$55:AX$114,TRANSPOSE(SAP_Speadsheet!$E$73:$BL$73))</f>
        <v>#REF!</v>
      </c>
      <c r="AY21" s="367" t="e" cm="1">
        <f t="array" aca="1" ref="AY21" ca="1">SUMPRODUCT(AY$55:AY$114,TRANSPOSE(SAP_Speadsheet!$E$73:$BL$73))</f>
        <v>#REF!</v>
      </c>
      <c r="AZ21" s="367" t="e" cm="1">
        <f t="array" aca="1" ref="AZ21" ca="1">SUMPRODUCT(AZ$55:AZ$114,TRANSPOSE(SAP_Speadsheet!$E$73:$BL$73))</f>
        <v>#REF!</v>
      </c>
      <c r="BA21" s="367" t="e" cm="1">
        <f t="array" aca="1" ref="BA21" ca="1">SUMPRODUCT(BA$55:BA$114,TRANSPOSE(SAP_Speadsheet!$E$73:$BL$73))</f>
        <v>#REF!</v>
      </c>
      <c r="BB21" s="367" t="e" cm="1">
        <f t="array" aca="1" ref="BB21" ca="1">SUMPRODUCT(BB$55:BB$114,TRANSPOSE(SAP_Speadsheet!$E$73:$BL$73))</f>
        <v>#REF!</v>
      </c>
      <c r="BC21" s="367" t="e" cm="1">
        <f t="array" aca="1" ref="BC21" ca="1">SUMPRODUCT(BC$55:BC$114,TRANSPOSE(SAP_Speadsheet!$E$73:$BL$73))</f>
        <v>#REF!</v>
      </c>
      <c r="BD21" s="367" t="e" cm="1">
        <f t="array" aca="1" ref="BD21" ca="1">SUMPRODUCT(BD$55:BD$114,TRANSPOSE(SAP_Speadsheet!$E$73:$BL$73))</f>
        <v>#REF!</v>
      </c>
      <c r="BE21" s="367" t="e" cm="1">
        <f t="array" aca="1" ref="BE21" ca="1">SUMPRODUCT(BE$55:BE$114,TRANSPOSE(SAP_Speadsheet!$E$73:$BL$73))</f>
        <v>#REF!</v>
      </c>
      <c r="BF21" s="367" t="e" cm="1">
        <f t="array" aca="1" ref="BF21" ca="1">SUMPRODUCT(BF$55:BF$114,TRANSPOSE(SAP_Speadsheet!$E$73:$BL$73))</f>
        <v>#REF!</v>
      </c>
      <c r="BG21" s="367" t="e" cm="1">
        <f t="array" aca="1" ref="BG21" ca="1">SUMPRODUCT(BG$55:BG$114,TRANSPOSE(SAP_Speadsheet!$E$73:$BL$73))</f>
        <v>#REF!</v>
      </c>
      <c r="BH21" s="367" t="e" cm="1">
        <f t="array" aca="1" ref="BH21" ca="1">SUMPRODUCT(BH$55:BH$114,TRANSPOSE(SAP_Speadsheet!$E$73:$BL$73))</f>
        <v>#REF!</v>
      </c>
      <c r="BI21" s="367" t="e" cm="1">
        <f t="array" aca="1" ref="BI21" ca="1">SUMPRODUCT(BI$55:BI$114,TRANSPOSE(SAP_Speadsheet!$E$73:$BL$73))</f>
        <v>#REF!</v>
      </c>
    </row>
    <row r="22" spans="1:61" x14ac:dyDescent="0.15">
      <c r="A22" s="356" t="s">
        <v>220</v>
      </c>
      <c r="B22" s="367" cm="1">
        <f t="array" aca="1" ref="B22" ca="1">SUMPRODUCT(B$55:B$114,TRANSPOSE(SAP_Speadsheet!$E$74:$BL$74))</f>
        <v>0</v>
      </c>
      <c r="C22" s="367" cm="1">
        <f t="array" aca="1" ref="C22" ca="1">SUMPRODUCT(C$55:C$114,TRANSPOSE(SAP_Speadsheet!$E$74:$BL$74))</f>
        <v>0</v>
      </c>
      <c r="D22" s="367" cm="1">
        <f t="array" aca="1" ref="D22" ca="1">SUMPRODUCT(D$55:D$114,TRANSPOSE(SAP_Speadsheet!$E$74:$BL$74))</f>
        <v>0</v>
      </c>
      <c r="E22" s="367" cm="1">
        <f t="array" aca="1" ref="E22" ca="1">SUMPRODUCT(E$55:E$114,TRANSPOSE(SAP_Speadsheet!$E$74:$BL$74))</f>
        <v>0</v>
      </c>
      <c r="F22" s="367" cm="1">
        <f t="array" aca="1" ref="F22" ca="1">SUMPRODUCT(F$55:F$114,TRANSPOSE(SAP_Speadsheet!$E$74:$BL$74))</f>
        <v>0</v>
      </c>
      <c r="G22" s="367" cm="1">
        <f t="array" aca="1" ref="G22" ca="1">SUMPRODUCT(G$55:G$114,TRANSPOSE(SAP_Speadsheet!$E$74:$BL$74))</f>
        <v>0</v>
      </c>
      <c r="H22" s="367" t="e" cm="1">
        <f t="array" aca="1" ref="H22" ca="1">SUMPRODUCT(H$55:H$114,TRANSPOSE(SAP_Speadsheet!$E$74:$BL$74))</f>
        <v>#REF!</v>
      </c>
      <c r="I22" s="367" t="e" cm="1">
        <f t="array" aca="1" ref="I22" ca="1">SUMPRODUCT(I$55:I$114,TRANSPOSE(SAP_Speadsheet!$E$74:$BL$74))</f>
        <v>#REF!</v>
      </c>
      <c r="J22" s="367" t="e" cm="1">
        <f t="array" aca="1" ref="J22" ca="1">SUMPRODUCT(J$55:J$114,TRANSPOSE(SAP_Speadsheet!$E$74:$BL$74))</f>
        <v>#REF!</v>
      </c>
      <c r="K22" s="367" t="e" cm="1">
        <f t="array" aca="1" ref="K22" ca="1">SUMPRODUCT(K$55:K$114,TRANSPOSE(SAP_Speadsheet!$E$74:$BL$74))</f>
        <v>#REF!</v>
      </c>
      <c r="L22" s="367" t="e" cm="1">
        <f t="array" aca="1" ref="L22" ca="1">SUMPRODUCT(L$55:L$114,TRANSPOSE(SAP_Speadsheet!$E$74:$BL$74))</f>
        <v>#REF!</v>
      </c>
      <c r="M22" s="367" t="e" cm="1">
        <f t="array" aca="1" ref="M22" ca="1">SUMPRODUCT(M$55:M$114,TRANSPOSE(SAP_Speadsheet!$E$74:$BL$74))</f>
        <v>#REF!</v>
      </c>
      <c r="N22" s="367" t="e" cm="1">
        <f t="array" aca="1" ref="N22" ca="1">SUMPRODUCT(N$55:N$114,TRANSPOSE(SAP_Speadsheet!$E$74:$BL$74))</f>
        <v>#REF!</v>
      </c>
      <c r="O22" s="367" t="e" cm="1">
        <f t="array" aca="1" ref="O22" ca="1">SUMPRODUCT(O$55:O$114,TRANSPOSE(SAP_Speadsheet!$E$74:$BL$74))</f>
        <v>#REF!</v>
      </c>
      <c r="P22" s="367" t="e" cm="1">
        <f t="array" aca="1" ref="P22" ca="1">SUMPRODUCT(P$55:P$114,TRANSPOSE(SAP_Speadsheet!$E$74:$BL$74))</f>
        <v>#REF!</v>
      </c>
      <c r="Q22" s="367" t="e" cm="1">
        <f t="array" aca="1" ref="Q22" ca="1">SUMPRODUCT(Q$55:Q$114,TRANSPOSE(SAP_Speadsheet!$E$74:$BL$74))</f>
        <v>#REF!</v>
      </c>
      <c r="R22" s="367" t="e" cm="1">
        <f t="array" aca="1" ref="R22" ca="1">SUMPRODUCT(R$55:R$114,TRANSPOSE(SAP_Speadsheet!$E$74:$BL$74))</f>
        <v>#REF!</v>
      </c>
      <c r="S22" s="367" t="e" cm="1">
        <f t="array" aca="1" ref="S22" ca="1">SUMPRODUCT(S$55:S$114,TRANSPOSE(SAP_Speadsheet!$E$74:$BL$74))</f>
        <v>#REF!</v>
      </c>
      <c r="T22" s="367" t="e" cm="1">
        <f t="array" aca="1" ref="T22" ca="1">SUMPRODUCT(T$55:T$114,TRANSPOSE(SAP_Speadsheet!$E$74:$BL$74))</f>
        <v>#REF!</v>
      </c>
      <c r="U22" s="367" t="e" cm="1">
        <f t="array" aca="1" ref="U22" ca="1">SUMPRODUCT(U$55:U$114,TRANSPOSE(SAP_Speadsheet!$E$74:$BL$74))</f>
        <v>#REF!</v>
      </c>
      <c r="V22" s="367" t="e" cm="1">
        <f t="array" aca="1" ref="V22" ca="1">SUMPRODUCT(V$55:V$114,TRANSPOSE(SAP_Speadsheet!$E$74:$BL$74))</f>
        <v>#REF!</v>
      </c>
      <c r="W22" s="367" t="e" cm="1">
        <f t="array" aca="1" ref="W22" ca="1">SUMPRODUCT(W$55:W$114,TRANSPOSE(SAP_Speadsheet!$E$74:$BL$74))</f>
        <v>#REF!</v>
      </c>
      <c r="X22" s="367" t="e" cm="1">
        <f t="array" aca="1" ref="X22" ca="1">SUMPRODUCT(X$55:X$114,TRANSPOSE(SAP_Speadsheet!$E$74:$BL$74))</f>
        <v>#REF!</v>
      </c>
      <c r="Y22" s="367" t="e" cm="1">
        <f t="array" aca="1" ref="Y22" ca="1">SUMPRODUCT(Y$55:Y$114,TRANSPOSE(SAP_Speadsheet!$E$74:$BL$74))</f>
        <v>#REF!</v>
      </c>
      <c r="Z22" s="367" t="e" cm="1">
        <f t="array" aca="1" ref="Z22" ca="1">SUMPRODUCT(Z$55:Z$114,TRANSPOSE(SAP_Speadsheet!$E$74:$BL$74))</f>
        <v>#REF!</v>
      </c>
      <c r="AA22" s="367" t="e" cm="1">
        <f t="array" aca="1" ref="AA22" ca="1">SUMPRODUCT(AA$55:AA$114,TRANSPOSE(SAP_Speadsheet!$E$74:$BL$74))</f>
        <v>#REF!</v>
      </c>
      <c r="AB22" s="367" t="e" cm="1">
        <f t="array" aca="1" ref="AB22" ca="1">SUMPRODUCT(AB$55:AB$114,TRANSPOSE(SAP_Speadsheet!$E$74:$BL$74))</f>
        <v>#REF!</v>
      </c>
      <c r="AC22" s="367" t="e" cm="1">
        <f t="array" aca="1" ref="AC22" ca="1">SUMPRODUCT(AC$55:AC$114,TRANSPOSE(SAP_Speadsheet!$E$74:$BL$74))</f>
        <v>#REF!</v>
      </c>
      <c r="AD22" s="367" t="e" cm="1">
        <f t="array" aca="1" ref="AD22" ca="1">SUMPRODUCT(AD$55:AD$114,TRANSPOSE(SAP_Speadsheet!$E$74:$BL$74))</f>
        <v>#REF!</v>
      </c>
      <c r="AE22" s="367" t="e" cm="1">
        <f t="array" aca="1" ref="AE22" ca="1">SUMPRODUCT(AE$55:AE$114,TRANSPOSE(SAP_Speadsheet!$E$74:$BL$74))</f>
        <v>#REF!</v>
      </c>
      <c r="AF22" s="367" t="e" cm="1">
        <f t="array" aca="1" ref="AF22" ca="1">SUMPRODUCT(AF$55:AF$114,TRANSPOSE(SAP_Speadsheet!$E$74:$BL$74))</f>
        <v>#REF!</v>
      </c>
      <c r="AG22" s="367" t="e" cm="1">
        <f t="array" aca="1" ref="AG22" ca="1">SUMPRODUCT(AG$55:AG$114,TRANSPOSE(SAP_Speadsheet!$E$74:$BL$74))</f>
        <v>#REF!</v>
      </c>
      <c r="AH22" s="367" t="e" cm="1">
        <f t="array" aca="1" ref="AH22" ca="1">SUMPRODUCT(AH$55:AH$114,TRANSPOSE(SAP_Speadsheet!$E$74:$BL$74))</f>
        <v>#REF!</v>
      </c>
      <c r="AI22" s="367" t="e" cm="1">
        <f t="array" aca="1" ref="AI22" ca="1">SUMPRODUCT(AI$55:AI$114,TRANSPOSE(SAP_Speadsheet!$E$74:$BL$74))</f>
        <v>#REF!</v>
      </c>
      <c r="AJ22" s="367" t="e" cm="1">
        <f t="array" aca="1" ref="AJ22" ca="1">SUMPRODUCT(AJ$55:AJ$114,TRANSPOSE(SAP_Speadsheet!$E$74:$BL$74))</f>
        <v>#REF!</v>
      </c>
      <c r="AK22" s="367" t="e" cm="1">
        <f t="array" aca="1" ref="AK22" ca="1">SUMPRODUCT(AK$55:AK$114,TRANSPOSE(SAP_Speadsheet!$E$74:$BL$74))</f>
        <v>#REF!</v>
      </c>
      <c r="AL22" s="367" t="e" cm="1">
        <f t="array" aca="1" ref="AL22" ca="1">SUMPRODUCT(AL$55:AL$114,TRANSPOSE(SAP_Speadsheet!$E$74:$BL$74))</f>
        <v>#REF!</v>
      </c>
      <c r="AM22" s="367" t="e" cm="1">
        <f t="array" aca="1" ref="AM22" ca="1">SUMPRODUCT(AM$55:AM$114,TRANSPOSE(SAP_Speadsheet!$E$74:$BL$74))</f>
        <v>#REF!</v>
      </c>
      <c r="AN22" s="367" t="e" cm="1">
        <f t="array" aca="1" ref="AN22" ca="1">SUMPRODUCT(AN$55:AN$114,TRANSPOSE(SAP_Speadsheet!$E$74:$BL$74))</f>
        <v>#REF!</v>
      </c>
      <c r="AO22" s="367" t="e" cm="1">
        <f t="array" aca="1" ref="AO22" ca="1">SUMPRODUCT(AO$55:AO$114,TRANSPOSE(SAP_Speadsheet!$E$74:$BL$74))</f>
        <v>#REF!</v>
      </c>
      <c r="AP22" s="367" t="e" cm="1">
        <f t="array" aca="1" ref="AP22" ca="1">SUMPRODUCT(AP$55:AP$114,TRANSPOSE(SAP_Speadsheet!$E$74:$BL$74))</f>
        <v>#REF!</v>
      </c>
      <c r="AQ22" s="367" t="e" cm="1">
        <f t="array" aca="1" ref="AQ22" ca="1">SUMPRODUCT(AQ$55:AQ$114,TRANSPOSE(SAP_Speadsheet!$E$74:$BL$74))</f>
        <v>#REF!</v>
      </c>
      <c r="AR22" s="367" t="e" cm="1">
        <f t="array" aca="1" ref="AR22" ca="1">SUMPRODUCT(AR$55:AR$114,TRANSPOSE(SAP_Speadsheet!$E$74:$BL$74))</f>
        <v>#REF!</v>
      </c>
      <c r="AS22" s="367" t="e" cm="1">
        <f t="array" aca="1" ref="AS22" ca="1">SUMPRODUCT(AS$55:AS$114,TRANSPOSE(SAP_Speadsheet!$E$74:$BL$74))</f>
        <v>#REF!</v>
      </c>
      <c r="AT22" s="367" t="e" cm="1">
        <f t="array" aca="1" ref="AT22" ca="1">SUMPRODUCT(AT$55:AT$114,TRANSPOSE(SAP_Speadsheet!$E$74:$BL$74))</f>
        <v>#REF!</v>
      </c>
      <c r="AU22" s="367" t="e" cm="1">
        <f t="array" aca="1" ref="AU22" ca="1">SUMPRODUCT(AU$55:AU$114,TRANSPOSE(SAP_Speadsheet!$E$74:$BL$74))</f>
        <v>#REF!</v>
      </c>
      <c r="AV22" s="367" t="e" cm="1">
        <f t="array" aca="1" ref="AV22" ca="1">SUMPRODUCT(AV$55:AV$114,TRANSPOSE(SAP_Speadsheet!$E$74:$BL$74))</f>
        <v>#REF!</v>
      </c>
      <c r="AW22" s="367" t="e" cm="1">
        <f t="array" aca="1" ref="AW22" ca="1">SUMPRODUCT(AW$55:AW$114,TRANSPOSE(SAP_Speadsheet!$E$74:$BL$74))</f>
        <v>#REF!</v>
      </c>
      <c r="AX22" s="367" t="e" cm="1">
        <f t="array" aca="1" ref="AX22" ca="1">SUMPRODUCT(AX$55:AX$114,TRANSPOSE(SAP_Speadsheet!$E$74:$BL$74))</f>
        <v>#REF!</v>
      </c>
      <c r="AY22" s="367" t="e" cm="1">
        <f t="array" aca="1" ref="AY22" ca="1">SUMPRODUCT(AY$55:AY$114,TRANSPOSE(SAP_Speadsheet!$E$74:$BL$74))</f>
        <v>#REF!</v>
      </c>
      <c r="AZ22" s="367" t="e" cm="1">
        <f t="array" aca="1" ref="AZ22" ca="1">SUMPRODUCT(AZ$55:AZ$114,TRANSPOSE(SAP_Speadsheet!$E$74:$BL$74))</f>
        <v>#REF!</v>
      </c>
      <c r="BA22" s="367" t="e" cm="1">
        <f t="array" aca="1" ref="BA22" ca="1">SUMPRODUCT(BA$55:BA$114,TRANSPOSE(SAP_Speadsheet!$E$74:$BL$74))</f>
        <v>#REF!</v>
      </c>
      <c r="BB22" s="367" t="e" cm="1">
        <f t="array" aca="1" ref="BB22" ca="1">SUMPRODUCT(BB$55:BB$114,TRANSPOSE(SAP_Speadsheet!$E$74:$BL$74))</f>
        <v>#REF!</v>
      </c>
      <c r="BC22" s="367" t="e" cm="1">
        <f t="array" aca="1" ref="BC22" ca="1">SUMPRODUCT(BC$55:BC$114,TRANSPOSE(SAP_Speadsheet!$E$74:$BL$74))</f>
        <v>#REF!</v>
      </c>
      <c r="BD22" s="367" t="e" cm="1">
        <f t="array" aca="1" ref="BD22" ca="1">SUMPRODUCT(BD$55:BD$114,TRANSPOSE(SAP_Speadsheet!$E$74:$BL$74))</f>
        <v>#REF!</v>
      </c>
      <c r="BE22" s="367" t="e" cm="1">
        <f t="array" aca="1" ref="BE22" ca="1">SUMPRODUCT(BE$55:BE$114,TRANSPOSE(SAP_Speadsheet!$E$74:$BL$74))</f>
        <v>#REF!</v>
      </c>
      <c r="BF22" s="367" t="e" cm="1">
        <f t="array" aca="1" ref="BF22" ca="1">SUMPRODUCT(BF$55:BF$114,TRANSPOSE(SAP_Speadsheet!$E$74:$BL$74))</f>
        <v>#REF!</v>
      </c>
      <c r="BG22" s="367" t="e" cm="1">
        <f t="array" aca="1" ref="BG22" ca="1">SUMPRODUCT(BG$55:BG$114,TRANSPOSE(SAP_Speadsheet!$E$74:$BL$74))</f>
        <v>#REF!</v>
      </c>
      <c r="BH22" s="367" t="e" cm="1">
        <f t="array" aca="1" ref="BH22" ca="1">SUMPRODUCT(BH$55:BH$114,TRANSPOSE(SAP_Speadsheet!$E$74:$BL$74))</f>
        <v>#REF!</v>
      </c>
      <c r="BI22" s="367" t="e" cm="1">
        <f t="array" aca="1" ref="BI22" ca="1">SUMPRODUCT(BI$55:BI$114,TRANSPOSE(SAP_Speadsheet!$E$74:$BL$74))</f>
        <v>#REF!</v>
      </c>
    </row>
    <row r="23" spans="1:61" s="355" customFormat="1" x14ac:dyDescent="0.15">
      <c r="A23" s="356" t="s">
        <v>221</v>
      </c>
      <c r="B23" s="367" cm="1">
        <f t="array" aca="1" ref="B23" ca="1">SUMPRODUCT(B$55:B$114,TRANSPOSE(SAP_Speadsheet!$E$86:$BL$86))</f>
        <v>0</v>
      </c>
      <c r="C23" s="367" cm="1">
        <f t="array" aca="1" ref="C23" ca="1">SUMPRODUCT(C$55:C$114,TRANSPOSE(SAP_Speadsheet!$E$86:$BL$86))</f>
        <v>0</v>
      </c>
      <c r="D23" s="367" cm="1">
        <f t="array" aca="1" ref="D23" ca="1">SUMPRODUCT(D$55:D$114,TRANSPOSE(SAP_Speadsheet!$E$86:$BL$86))</f>
        <v>0</v>
      </c>
      <c r="E23" s="367" cm="1">
        <f t="array" aca="1" ref="E23" ca="1">SUMPRODUCT(E$55:E$114,TRANSPOSE(SAP_Speadsheet!$E$86:$BL$86))</f>
        <v>0</v>
      </c>
      <c r="F23" s="367" cm="1">
        <f t="array" aca="1" ref="F23" ca="1">SUMPRODUCT(F$55:F$114,TRANSPOSE(SAP_Speadsheet!$E$86:$BL$86))</f>
        <v>0</v>
      </c>
      <c r="G23" s="367" cm="1">
        <f t="array" aca="1" ref="G23" ca="1">SUMPRODUCT(G$55:G$114,TRANSPOSE(SAP_Speadsheet!$E$86:$BL$86))</f>
        <v>0</v>
      </c>
      <c r="H23" s="367" t="e" cm="1">
        <f t="array" aca="1" ref="H23" ca="1">SUMPRODUCT(H$55:H$114,TRANSPOSE(SAP_Speadsheet!$E$86:$BL$86))</f>
        <v>#REF!</v>
      </c>
      <c r="I23" s="367" t="e" cm="1">
        <f t="array" aca="1" ref="I23" ca="1">SUMPRODUCT(I$55:I$114,TRANSPOSE(SAP_Speadsheet!$E$86:$BL$86))</f>
        <v>#REF!</v>
      </c>
      <c r="J23" s="367" t="e" cm="1">
        <f t="array" aca="1" ref="J23" ca="1">SUMPRODUCT(J$55:J$114,TRANSPOSE(SAP_Speadsheet!$E$86:$BL$86))</f>
        <v>#REF!</v>
      </c>
      <c r="K23" s="367" t="e" cm="1">
        <f t="array" aca="1" ref="K23" ca="1">SUMPRODUCT(K$55:K$114,TRANSPOSE(SAP_Speadsheet!$E$86:$BL$86))</f>
        <v>#REF!</v>
      </c>
      <c r="L23" s="367" t="e" cm="1">
        <f t="array" aca="1" ref="L23" ca="1">SUMPRODUCT(L$55:L$114,TRANSPOSE(SAP_Speadsheet!$E$86:$BL$86))</f>
        <v>#REF!</v>
      </c>
      <c r="M23" s="367" t="e" cm="1">
        <f t="array" aca="1" ref="M23" ca="1">SUMPRODUCT(M$55:M$114,TRANSPOSE(SAP_Speadsheet!$E$86:$BL$86))</f>
        <v>#REF!</v>
      </c>
      <c r="N23" s="367" t="e" cm="1">
        <f t="array" aca="1" ref="N23" ca="1">SUMPRODUCT(N$55:N$114,TRANSPOSE(SAP_Speadsheet!$E$86:$BL$86))</f>
        <v>#REF!</v>
      </c>
      <c r="O23" s="367" t="e" cm="1">
        <f t="array" aca="1" ref="O23" ca="1">SUMPRODUCT(O$55:O$114,TRANSPOSE(SAP_Speadsheet!$E$86:$BL$86))</f>
        <v>#REF!</v>
      </c>
      <c r="P23" s="367" t="e" cm="1">
        <f t="array" aca="1" ref="P23" ca="1">SUMPRODUCT(P$55:P$114,TRANSPOSE(SAP_Speadsheet!$E$86:$BL$86))</f>
        <v>#REF!</v>
      </c>
      <c r="Q23" s="367" t="e" cm="1">
        <f t="array" aca="1" ref="Q23" ca="1">SUMPRODUCT(Q$55:Q$114,TRANSPOSE(SAP_Speadsheet!$E$86:$BL$86))</f>
        <v>#REF!</v>
      </c>
      <c r="R23" s="367" t="e" cm="1">
        <f t="array" aca="1" ref="R23" ca="1">SUMPRODUCT(R$55:R$114,TRANSPOSE(SAP_Speadsheet!$E$86:$BL$86))</f>
        <v>#REF!</v>
      </c>
      <c r="S23" s="367" t="e" cm="1">
        <f t="array" aca="1" ref="S23" ca="1">SUMPRODUCT(S$55:S$114,TRANSPOSE(SAP_Speadsheet!$E$86:$BL$86))</f>
        <v>#REF!</v>
      </c>
      <c r="T23" s="367" t="e" cm="1">
        <f t="array" aca="1" ref="T23" ca="1">SUMPRODUCT(T$55:T$114,TRANSPOSE(SAP_Speadsheet!$E$86:$BL$86))</f>
        <v>#REF!</v>
      </c>
      <c r="U23" s="367" t="e" cm="1">
        <f t="array" aca="1" ref="U23" ca="1">SUMPRODUCT(U$55:U$114,TRANSPOSE(SAP_Speadsheet!$E$86:$BL$86))</f>
        <v>#REF!</v>
      </c>
      <c r="V23" s="367" t="e" cm="1">
        <f t="array" aca="1" ref="V23" ca="1">SUMPRODUCT(V$55:V$114,TRANSPOSE(SAP_Speadsheet!$E$86:$BL$86))</f>
        <v>#REF!</v>
      </c>
      <c r="W23" s="367" t="e" cm="1">
        <f t="array" aca="1" ref="W23" ca="1">SUMPRODUCT(W$55:W$114,TRANSPOSE(SAP_Speadsheet!$E$86:$BL$86))</f>
        <v>#REF!</v>
      </c>
      <c r="X23" s="367" t="e" cm="1">
        <f t="array" aca="1" ref="X23" ca="1">SUMPRODUCT(X$55:X$114,TRANSPOSE(SAP_Speadsheet!$E$86:$BL$86))</f>
        <v>#REF!</v>
      </c>
      <c r="Y23" s="367" t="e" cm="1">
        <f t="array" aca="1" ref="Y23" ca="1">SUMPRODUCT(Y$55:Y$114,TRANSPOSE(SAP_Speadsheet!$E$86:$BL$86))</f>
        <v>#REF!</v>
      </c>
      <c r="Z23" s="367" t="e" cm="1">
        <f t="array" aca="1" ref="Z23" ca="1">SUMPRODUCT(Z$55:Z$114,TRANSPOSE(SAP_Speadsheet!$E$86:$BL$86))</f>
        <v>#REF!</v>
      </c>
      <c r="AA23" s="367" t="e" cm="1">
        <f t="array" aca="1" ref="AA23" ca="1">SUMPRODUCT(AA$55:AA$114,TRANSPOSE(SAP_Speadsheet!$E$86:$BL$86))</f>
        <v>#REF!</v>
      </c>
      <c r="AB23" s="367" t="e" cm="1">
        <f t="array" aca="1" ref="AB23" ca="1">SUMPRODUCT(AB$55:AB$114,TRANSPOSE(SAP_Speadsheet!$E$86:$BL$86))</f>
        <v>#REF!</v>
      </c>
      <c r="AC23" s="367" t="e" cm="1">
        <f t="array" aca="1" ref="AC23" ca="1">SUMPRODUCT(AC$55:AC$114,TRANSPOSE(SAP_Speadsheet!$E$86:$BL$86))</f>
        <v>#REF!</v>
      </c>
      <c r="AD23" s="367" t="e" cm="1">
        <f t="array" aca="1" ref="AD23" ca="1">SUMPRODUCT(AD$55:AD$114,TRANSPOSE(SAP_Speadsheet!$E$86:$BL$86))</f>
        <v>#REF!</v>
      </c>
      <c r="AE23" s="367" t="e" cm="1">
        <f t="array" aca="1" ref="AE23" ca="1">SUMPRODUCT(AE$55:AE$114,TRANSPOSE(SAP_Speadsheet!$E$86:$BL$86))</f>
        <v>#REF!</v>
      </c>
      <c r="AF23" s="367" t="e" cm="1">
        <f t="array" aca="1" ref="AF23" ca="1">SUMPRODUCT(AF$55:AF$114,TRANSPOSE(SAP_Speadsheet!$E$86:$BL$86))</f>
        <v>#REF!</v>
      </c>
      <c r="AG23" s="367" t="e" cm="1">
        <f t="array" aca="1" ref="AG23" ca="1">SUMPRODUCT(AG$55:AG$114,TRANSPOSE(SAP_Speadsheet!$E$86:$BL$86))</f>
        <v>#REF!</v>
      </c>
      <c r="AH23" s="367" t="e" cm="1">
        <f t="array" aca="1" ref="AH23" ca="1">SUMPRODUCT(AH$55:AH$114,TRANSPOSE(SAP_Speadsheet!$E$86:$BL$86))</f>
        <v>#REF!</v>
      </c>
      <c r="AI23" s="367" t="e" cm="1">
        <f t="array" aca="1" ref="AI23" ca="1">SUMPRODUCT(AI$55:AI$114,TRANSPOSE(SAP_Speadsheet!$E$86:$BL$86))</f>
        <v>#REF!</v>
      </c>
      <c r="AJ23" s="367" t="e" cm="1">
        <f t="array" aca="1" ref="AJ23" ca="1">SUMPRODUCT(AJ$55:AJ$114,TRANSPOSE(SAP_Speadsheet!$E$86:$BL$86))</f>
        <v>#REF!</v>
      </c>
      <c r="AK23" s="367" t="e" cm="1">
        <f t="array" aca="1" ref="AK23" ca="1">SUMPRODUCT(AK$55:AK$114,TRANSPOSE(SAP_Speadsheet!$E$86:$BL$86))</f>
        <v>#REF!</v>
      </c>
      <c r="AL23" s="367" t="e" cm="1">
        <f t="array" aca="1" ref="AL23" ca="1">SUMPRODUCT(AL$55:AL$114,TRANSPOSE(SAP_Speadsheet!$E$86:$BL$86))</f>
        <v>#REF!</v>
      </c>
      <c r="AM23" s="367" t="e" cm="1">
        <f t="array" aca="1" ref="AM23" ca="1">SUMPRODUCT(AM$55:AM$114,TRANSPOSE(SAP_Speadsheet!$E$86:$BL$86))</f>
        <v>#REF!</v>
      </c>
      <c r="AN23" s="367" t="e" cm="1">
        <f t="array" aca="1" ref="AN23" ca="1">SUMPRODUCT(AN$55:AN$114,TRANSPOSE(SAP_Speadsheet!$E$86:$BL$86))</f>
        <v>#REF!</v>
      </c>
      <c r="AO23" s="367" t="e" cm="1">
        <f t="array" aca="1" ref="AO23" ca="1">SUMPRODUCT(AO$55:AO$114,TRANSPOSE(SAP_Speadsheet!$E$86:$BL$86))</f>
        <v>#REF!</v>
      </c>
      <c r="AP23" s="367" t="e" cm="1">
        <f t="array" aca="1" ref="AP23" ca="1">SUMPRODUCT(AP$55:AP$114,TRANSPOSE(SAP_Speadsheet!$E$86:$BL$86))</f>
        <v>#REF!</v>
      </c>
      <c r="AQ23" s="367" t="e" cm="1">
        <f t="array" aca="1" ref="AQ23" ca="1">SUMPRODUCT(AQ$55:AQ$114,TRANSPOSE(SAP_Speadsheet!$E$86:$BL$86))</f>
        <v>#REF!</v>
      </c>
      <c r="AR23" s="367" t="e" cm="1">
        <f t="array" aca="1" ref="AR23" ca="1">SUMPRODUCT(AR$55:AR$114,TRANSPOSE(SAP_Speadsheet!$E$86:$BL$86))</f>
        <v>#REF!</v>
      </c>
      <c r="AS23" s="367" t="e" cm="1">
        <f t="array" aca="1" ref="AS23" ca="1">SUMPRODUCT(AS$55:AS$114,TRANSPOSE(SAP_Speadsheet!$E$86:$BL$86))</f>
        <v>#REF!</v>
      </c>
      <c r="AT23" s="367" t="e" cm="1">
        <f t="array" aca="1" ref="AT23" ca="1">SUMPRODUCT(AT$55:AT$114,TRANSPOSE(SAP_Speadsheet!$E$86:$BL$86))</f>
        <v>#REF!</v>
      </c>
      <c r="AU23" s="367" t="e" cm="1">
        <f t="array" aca="1" ref="AU23" ca="1">SUMPRODUCT(AU$55:AU$114,TRANSPOSE(SAP_Speadsheet!$E$86:$BL$86))</f>
        <v>#REF!</v>
      </c>
      <c r="AV23" s="367" t="e" cm="1">
        <f t="array" aca="1" ref="AV23" ca="1">SUMPRODUCT(AV$55:AV$114,TRANSPOSE(SAP_Speadsheet!$E$86:$BL$86))</f>
        <v>#REF!</v>
      </c>
      <c r="AW23" s="367">
        <v>0</v>
      </c>
      <c r="AX23" s="367" t="e" cm="1">
        <f t="array" aca="1" ref="AX23" ca="1">SUMPRODUCT(AX$55:AX$114,TRANSPOSE(SAP_Speadsheet!$E$86:$BL$86))</f>
        <v>#REF!</v>
      </c>
      <c r="AY23" s="367" t="e" cm="1">
        <f t="array" aca="1" ref="AY23" ca="1">SUMPRODUCT(AY$55:AY$114,TRANSPOSE(SAP_Speadsheet!$E$86:$BL$86))</f>
        <v>#REF!</v>
      </c>
      <c r="AZ23" s="367" t="e" cm="1">
        <f t="array" aca="1" ref="AZ23" ca="1">SUMPRODUCT(AZ$55:AZ$114,TRANSPOSE(SAP_Speadsheet!$E$86:$BL$86))</f>
        <v>#REF!</v>
      </c>
      <c r="BA23" s="367" t="e" cm="1">
        <f t="array" aca="1" ref="BA23" ca="1">SUMPRODUCT(BA$55:BA$114,TRANSPOSE(SAP_Speadsheet!$E$86:$BL$86))</f>
        <v>#REF!</v>
      </c>
      <c r="BB23" s="367" t="e" cm="1">
        <f t="array" aca="1" ref="BB23" ca="1">SUMPRODUCT(BB$55:BB$114,TRANSPOSE(SAP_Speadsheet!$E$86:$BL$86))</f>
        <v>#REF!</v>
      </c>
      <c r="BC23" s="367" t="e" cm="1">
        <f t="array" aca="1" ref="BC23" ca="1">SUMPRODUCT(BC$55:BC$114,TRANSPOSE(SAP_Speadsheet!$E$86:$BL$86))</f>
        <v>#REF!</v>
      </c>
      <c r="BD23" s="367" t="e" cm="1">
        <f t="array" aca="1" ref="BD23" ca="1">SUMPRODUCT(BD$55:BD$114,TRANSPOSE(SAP_Speadsheet!$E$86:$BL$86))</f>
        <v>#REF!</v>
      </c>
      <c r="BE23" s="367" t="e" cm="1">
        <f t="array" aca="1" ref="BE23" ca="1">SUMPRODUCT(BE$55:BE$114,TRANSPOSE(SAP_Speadsheet!$E$86:$BL$86))</f>
        <v>#REF!</v>
      </c>
      <c r="BF23" s="367" t="e" cm="1">
        <f t="array" aca="1" ref="BF23" ca="1">SUMPRODUCT(BF$55:BF$114,TRANSPOSE(SAP_Speadsheet!$E$86:$BL$86))</f>
        <v>#REF!</v>
      </c>
      <c r="BG23" s="367" t="e" cm="1">
        <f t="array" aca="1" ref="BG23" ca="1">SUMPRODUCT(BG$55:BG$114,TRANSPOSE(SAP_Speadsheet!$E$86:$BL$86))</f>
        <v>#REF!</v>
      </c>
      <c r="BH23" s="367" t="e" cm="1">
        <f t="array" aca="1" ref="BH23" ca="1">SUMPRODUCT(BH$55:BH$114,TRANSPOSE(SAP_Speadsheet!$E$86:$BL$86))</f>
        <v>#REF!</v>
      </c>
      <c r="BI23" s="367" t="e" cm="1">
        <f t="array" aca="1" ref="BI23" ca="1">SUMPRODUCT(BI$55:BI$114,TRANSPOSE(SAP_Speadsheet!$E$86:$BL$86))</f>
        <v>#REF!</v>
      </c>
    </row>
    <row r="24" spans="1:61" x14ac:dyDescent="0.15">
      <c r="A24" s="368" t="s">
        <v>200</v>
      </c>
      <c r="B24" s="362" cm="1">
        <f t="array" aca="1" ref="B24" ca="1">SUMPRODUCT(B$55:B$114,TRANSPOSE(SAP_Speadsheet!$E$88:$BL$88))</f>
        <v>0</v>
      </c>
      <c r="C24" s="362" cm="1">
        <f t="array" aca="1" ref="C24" ca="1">SUMPRODUCT(C$55:C$114,TRANSPOSE(SAP_Speadsheet!$E$88:$BL$88))</f>
        <v>0</v>
      </c>
      <c r="D24" s="362" cm="1">
        <f t="array" aca="1" ref="D24" ca="1">SUMPRODUCT(D$55:D$114,TRANSPOSE(SAP_Speadsheet!$E$88:$BL$88))</f>
        <v>0</v>
      </c>
      <c r="E24" s="362" cm="1">
        <f t="array" aca="1" ref="E24" ca="1">SUMPRODUCT(E$55:E$114,TRANSPOSE(SAP_Speadsheet!$E$88:$BL$88))</f>
        <v>0</v>
      </c>
      <c r="F24" s="362" cm="1">
        <f t="array" aca="1" ref="F24" ca="1">SUMPRODUCT(F$55:F$114,TRANSPOSE(SAP_Speadsheet!$E$88:$BL$88))</f>
        <v>0</v>
      </c>
      <c r="G24" s="362" cm="1">
        <f t="array" aca="1" ref="G24" ca="1">SUMPRODUCT(G$55:G$114,TRANSPOSE(SAP_Speadsheet!$E$88:$BL$88))</f>
        <v>0</v>
      </c>
      <c r="H24" s="362" t="e" cm="1">
        <f t="array" aca="1" ref="H24" ca="1">SUMPRODUCT(H$55:H$114,TRANSPOSE(SAP_Speadsheet!$E$88:$BL$88))</f>
        <v>#REF!</v>
      </c>
      <c r="I24" s="362" t="e" cm="1">
        <f t="array" aca="1" ref="I24" ca="1">SUMPRODUCT(I$55:I$114,TRANSPOSE(SAP_Speadsheet!$E$88:$BL$88))</f>
        <v>#REF!</v>
      </c>
      <c r="J24" s="362" t="e" cm="1">
        <f t="array" aca="1" ref="J24" ca="1">SUMPRODUCT(J$55:J$114,TRANSPOSE(SAP_Speadsheet!$E$88:$BL$88))</f>
        <v>#REF!</v>
      </c>
      <c r="K24" s="362" t="e" cm="1">
        <f t="array" aca="1" ref="K24" ca="1">SUMPRODUCT(K$55:K$114,TRANSPOSE(SAP_Speadsheet!$E$88:$BL$88))</f>
        <v>#REF!</v>
      </c>
      <c r="L24" s="362" t="e" cm="1">
        <f t="array" aca="1" ref="L24" ca="1">SUMPRODUCT(L$55:L$114,TRANSPOSE(SAP_Speadsheet!$E$88:$BL$88))</f>
        <v>#REF!</v>
      </c>
      <c r="M24" s="362" t="e" cm="1">
        <f t="array" aca="1" ref="M24" ca="1">SUMPRODUCT(M$55:M$114,TRANSPOSE(SAP_Speadsheet!$E$88:$BL$88))</f>
        <v>#REF!</v>
      </c>
      <c r="N24" s="362" t="e" cm="1">
        <f t="array" aca="1" ref="N24" ca="1">SUMPRODUCT(N$55:N$114,TRANSPOSE(SAP_Speadsheet!$E$88:$BL$88))</f>
        <v>#REF!</v>
      </c>
      <c r="O24" s="362" t="e" cm="1">
        <f t="array" aca="1" ref="O24" ca="1">SUMPRODUCT(O$55:O$114,TRANSPOSE(SAP_Speadsheet!$E$88:$BL$88))</f>
        <v>#REF!</v>
      </c>
      <c r="P24" s="362" t="e" cm="1">
        <f t="array" aca="1" ref="P24" ca="1">SUMPRODUCT(P$55:P$114,TRANSPOSE(SAP_Speadsheet!$E$88:$BL$88))</f>
        <v>#REF!</v>
      </c>
      <c r="Q24" s="362" t="e" cm="1">
        <f t="array" aca="1" ref="Q24" ca="1">SUMPRODUCT(Q$55:Q$114,TRANSPOSE(SAP_Speadsheet!$E$88:$BL$88))</f>
        <v>#REF!</v>
      </c>
      <c r="R24" s="362" t="e" cm="1">
        <f t="array" aca="1" ref="R24" ca="1">SUMPRODUCT(R$55:R$114,TRANSPOSE(SAP_Speadsheet!$E$88:$BL$88))</f>
        <v>#REF!</v>
      </c>
      <c r="S24" s="362" t="e" cm="1">
        <f t="array" aca="1" ref="S24" ca="1">SUMPRODUCT(S$55:S$114,TRANSPOSE(SAP_Speadsheet!$E$88:$BL$88))</f>
        <v>#REF!</v>
      </c>
      <c r="T24" s="362" t="e" cm="1">
        <f t="array" aca="1" ref="T24" ca="1">SUMPRODUCT(T$55:T$114,TRANSPOSE(SAP_Speadsheet!$E$88:$BL$88))</f>
        <v>#REF!</v>
      </c>
      <c r="U24" s="362" t="e" cm="1">
        <f t="array" aca="1" ref="U24" ca="1">SUMPRODUCT(U$55:U$114,TRANSPOSE(SAP_Speadsheet!$E$88:$BL$88))</f>
        <v>#REF!</v>
      </c>
      <c r="V24" s="362" t="e" cm="1">
        <f t="array" aca="1" ref="V24" ca="1">SUMPRODUCT(V$55:V$114,TRANSPOSE(SAP_Speadsheet!$E$88:$BL$88))</f>
        <v>#REF!</v>
      </c>
      <c r="W24" s="362" t="e" cm="1">
        <f t="array" aca="1" ref="W24" ca="1">SUMPRODUCT(W$55:W$114,TRANSPOSE(SAP_Speadsheet!$E$88:$BL$88))</f>
        <v>#REF!</v>
      </c>
      <c r="X24" s="362" t="e" cm="1">
        <f t="array" aca="1" ref="X24" ca="1">SUMPRODUCT(X$55:X$114,TRANSPOSE(SAP_Speadsheet!$E$88:$BL$88))</f>
        <v>#REF!</v>
      </c>
      <c r="Y24" s="362" t="e" cm="1">
        <f t="array" aca="1" ref="Y24" ca="1">SUMPRODUCT(Y$55:Y$114,TRANSPOSE(SAP_Speadsheet!$E$88:$BL$88))</f>
        <v>#REF!</v>
      </c>
      <c r="Z24" s="362" t="e" cm="1">
        <f t="array" aca="1" ref="Z24" ca="1">SUMPRODUCT(Z$55:Z$114,TRANSPOSE(SAP_Speadsheet!$E$88:$BL$88))</f>
        <v>#REF!</v>
      </c>
      <c r="AA24" s="362" t="e" cm="1">
        <f t="array" aca="1" ref="AA24" ca="1">SUMPRODUCT(AA$55:AA$114,TRANSPOSE(SAP_Speadsheet!$E$88:$BL$88))</f>
        <v>#REF!</v>
      </c>
      <c r="AB24" s="362" t="e" cm="1">
        <f t="array" aca="1" ref="AB24" ca="1">SUMPRODUCT(AB$55:AB$114,TRANSPOSE(SAP_Speadsheet!$E$88:$BL$88))</f>
        <v>#REF!</v>
      </c>
      <c r="AC24" s="362" t="e" cm="1">
        <f t="array" aca="1" ref="AC24" ca="1">SUMPRODUCT(AC$55:AC$114,TRANSPOSE(SAP_Speadsheet!$E$88:$BL$88))</f>
        <v>#REF!</v>
      </c>
      <c r="AD24" s="362" t="e" cm="1">
        <f t="array" aca="1" ref="AD24" ca="1">SUMPRODUCT(AD$55:AD$114,TRANSPOSE(SAP_Speadsheet!$E$88:$BL$88))</f>
        <v>#REF!</v>
      </c>
      <c r="AE24" s="362" t="e" cm="1">
        <f t="array" aca="1" ref="AE24" ca="1">SUMPRODUCT(AE$55:AE$114,TRANSPOSE(SAP_Speadsheet!$E$88:$BL$88))</f>
        <v>#REF!</v>
      </c>
      <c r="AF24" s="362" t="e" cm="1">
        <f t="array" aca="1" ref="AF24" ca="1">SUMPRODUCT(AF$55:AF$114,TRANSPOSE(SAP_Speadsheet!$E$88:$BL$88))</f>
        <v>#REF!</v>
      </c>
      <c r="AG24" s="362" t="e" cm="1">
        <f t="array" aca="1" ref="AG24" ca="1">SUMPRODUCT(AG$55:AG$114,TRANSPOSE(SAP_Speadsheet!$E$88:$BL$88))</f>
        <v>#REF!</v>
      </c>
      <c r="AH24" s="362" t="e" cm="1">
        <f t="array" aca="1" ref="AH24" ca="1">SUMPRODUCT(AH$55:AH$114,TRANSPOSE(SAP_Speadsheet!$E$88:$BL$88))</f>
        <v>#REF!</v>
      </c>
      <c r="AI24" s="362" t="e" cm="1">
        <f t="array" aca="1" ref="AI24" ca="1">SUMPRODUCT(AI$55:AI$114,TRANSPOSE(SAP_Speadsheet!$E$88:$BL$88))</f>
        <v>#REF!</v>
      </c>
      <c r="AJ24" s="362" t="e" cm="1">
        <f t="array" aca="1" ref="AJ24" ca="1">SUMPRODUCT(AJ$55:AJ$114,TRANSPOSE(SAP_Speadsheet!$E$88:$BL$88))</f>
        <v>#REF!</v>
      </c>
      <c r="AK24" s="362" t="e" cm="1">
        <f t="array" aca="1" ref="AK24" ca="1">SUMPRODUCT(AK$55:AK$114,TRANSPOSE(SAP_Speadsheet!$E$88:$BL$88))</f>
        <v>#REF!</v>
      </c>
      <c r="AL24" s="362" t="e" cm="1">
        <f t="array" aca="1" ref="AL24" ca="1">SUMPRODUCT(AL$55:AL$114,TRANSPOSE(SAP_Speadsheet!$E$88:$BL$88))</f>
        <v>#REF!</v>
      </c>
      <c r="AM24" s="362" t="e" cm="1">
        <f t="array" aca="1" ref="AM24" ca="1">SUMPRODUCT(AM$55:AM$114,TRANSPOSE(SAP_Speadsheet!$E$88:$BL$88))</f>
        <v>#REF!</v>
      </c>
      <c r="AN24" s="362" t="e" cm="1">
        <f t="array" aca="1" ref="AN24" ca="1">SUMPRODUCT(AN$55:AN$114,TRANSPOSE(SAP_Speadsheet!$E$88:$BL$88))</f>
        <v>#REF!</v>
      </c>
      <c r="AO24" s="362" t="e" cm="1">
        <f t="array" aca="1" ref="AO24" ca="1">SUMPRODUCT(AO$55:AO$114,TRANSPOSE(SAP_Speadsheet!$E$88:$BL$88))</f>
        <v>#REF!</v>
      </c>
      <c r="AP24" s="362" t="e" cm="1">
        <f t="array" aca="1" ref="AP24" ca="1">SUMPRODUCT(AP$55:AP$114,TRANSPOSE(SAP_Speadsheet!$E$88:$BL$88))</f>
        <v>#REF!</v>
      </c>
      <c r="AQ24" s="362" t="e" cm="1">
        <f t="array" aca="1" ref="AQ24" ca="1">SUMPRODUCT(AQ$55:AQ$114,TRANSPOSE(SAP_Speadsheet!$E$88:$BL$88))</f>
        <v>#REF!</v>
      </c>
      <c r="AR24" s="362" t="e" cm="1">
        <f t="array" aca="1" ref="AR24" ca="1">SUMPRODUCT(AR$55:AR$114,TRANSPOSE(SAP_Speadsheet!$E$88:$BL$88))</f>
        <v>#REF!</v>
      </c>
      <c r="AS24" s="362" t="e" cm="1">
        <f t="array" aca="1" ref="AS24" ca="1">SUMPRODUCT(AS$55:AS$114,TRANSPOSE(SAP_Speadsheet!$E$88:$BL$88))</f>
        <v>#REF!</v>
      </c>
      <c r="AT24" s="362" t="e" cm="1">
        <f t="array" aca="1" ref="AT24" ca="1">SUMPRODUCT(AT$55:AT$114,TRANSPOSE(SAP_Speadsheet!$E$88:$BL$88))</f>
        <v>#REF!</v>
      </c>
      <c r="AU24" s="362" t="e" cm="1">
        <f t="array" aca="1" ref="AU24" ca="1">SUMPRODUCT(AU$55:AU$114,TRANSPOSE(SAP_Speadsheet!$E$88:$BL$88))</f>
        <v>#REF!</v>
      </c>
      <c r="AV24" s="362" t="e" cm="1">
        <f t="array" aca="1" ref="AV24" ca="1">SUMPRODUCT(AV$55:AV$114,TRANSPOSE(SAP_Speadsheet!$E$88:$BL$88))</f>
        <v>#REF!</v>
      </c>
      <c r="AW24" s="362" t="e" cm="1">
        <f t="array" aca="1" ref="AW24" ca="1">SUMPRODUCT(AW$55:AW$114,TRANSPOSE(SAP_Speadsheet!$E$88:$BL$88))</f>
        <v>#REF!</v>
      </c>
      <c r="AX24" s="362" t="e" cm="1">
        <f t="array" aca="1" ref="AX24" ca="1">SUMPRODUCT(AX$55:AX$114,TRANSPOSE(SAP_Speadsheet!$E$88:$BL$88))</f>
        <v>#REF!</v>
      </c>
      <c r="AY24" s="362" t="e" cm="1">
        <f t="array" aca="1" ref="AY24" ca="1">SUMPRODUCT(AY$55:AY$114,TRANSPOSE(SAP_Speadsheet!$E$88:$BL$88))</f>
        <v>#REF!</v>
      </c>
      <c r="AZ24" s="362" t="e" cm="1">
        <f t="array" aca="1" ref="AZ24" ca="1">SUMPRODUCT(AZ$55:AZ$114,TRANSPOSE(SAP_Speadsheet!$E$88:$BL$88))</f>
        <v>#REF!</v>
      </c>
      <c r="BA24" s="362" t="e" cm="1">
        <f t="array" aca="1" ref="BA24" ca="1">SUMPRODUCT(BA$55:BA$114,TRANSPOSE(SAP_Speadsheet!$E$88:$BL$88))</f>
        <v>#REF!</v>
      </c>
      <c r="BB24" s="362" t="e" cm="1">
        <f t="array" aca="1" ref="BB24" ca="1">SUMPRODUCT(BB$55:BB$114,TRANSPOSE(SAP_Speadsheet!$E$88:$BL$88))</f>
        <v>#REF!</v>
      </c>
      <c r="BC24" s="362" t="e" cm="1">
        <f t="array" aca="1" ref="BC24" ca="1">SUMPRODUCT(BC$55:BC$114,TRANSPOSE(SAP_Speadsheet!$E$88:$BL$88))</f>
        <v>#REF!</v>
      </c>
      <c r="BD24" s="362" t="e" cm="1">
        <f t="array" aca="1" ref="BD24" ca="1">SUMPRODUCT(BD$55:BD$114,TRANSPOSE(SAP_Speadsheet!$E$88:$BL$88))</f>
        <v>#REF!</v>
      </c>
      <c r="BE24" s="362" t="e" cm="1">
        <f t="array" aca="1" ref="BE24" ca="1">SUMPRODUCT(BE$55:BE$114,TRANSPOSE(SAP_Speadsheet!$E$88:$BL$88))</f>
        <v>#REF!</v>
      </c>
      <c r="BF24" s="362" t="e" cm="1">
        <f t="array" aca="1" ref="BF24" ca="1">SUMPRODUCT(BF$55:BF$114,TRANSPOSE(SAP_Speadsheet!$E$88:$BL$88))</f>
        <v>#REF!</v>
      </c>
      <c r="BG24" s="362" t="e" cm="1">
        <f t="array" aca="1" ref="BG24" ca="1">SUMPRODUCT(BG$55:BG$114,TRANSPOSE(SAP_Speadsheet!$E$88:$BL$88))</f>
        <v>#REF!</v>
      </c>
      <c r="BH24" s="362" t="e" cm="1">
        <f t="array" aca="1" ref="BH24" ca="1">SUMPRODUCT(BH$55:BH$114,TRANSPOSE(SAP_Speadsheet!$E$88:$BL$88))</f>
        <v>#REF!</v>
      </c>
      <c r="BI24" s="362" t="e" cm="1">
        <f t="array" aca="1" ref="BI24" ca="1">SUMPRODUCT(BI$55:BI$114,TRANSPOSE(SAP_Speadsheet!$E$88:$BL$88))</f>
        <v>#REF!</v>
      </c>
    </row>
    <row r="25" spans="1:61" x14ac:dyDescent="0.15">
      <c r="A25" s="356" t="s">
        <v>223</v>
      </c>
      <c r="B25" s="367" cm="1">
        <f t="array" aca="1" ref="B25" ca="1">SUMPRODUCT(B$55:B$114,TRANSPOSE(SAP_Speadsheet!$E$89:$BL$89))</f>
        <v>0</v>
      </c>
      <c r="C25" s="367" cm="1">
        <f t="array" aca="1" ref="C25" ca="1">SUMPRODUCT(C$55:C$114,TRANSPOSE(SAP_Speadsheet!$E$89:$BL$89))</f>
        <v>0</v>
      </c>
      <c r="D25" s="367" cm="1">
        <f t="array" aca="1" ref="D25" ca="1">SUMPRODUCT(D$55:D$114,TRANSPOSE(SAP_Speadsheet!$E$89:$BL$89))</f>
        <v>0</v>
      </c>
      <c r="E25" s="367" cm="1">
        <f t="array" aca="1" ref="E25" ca="1">SUMPRODUCT(E$55:E$114,TRANSPOSE(SAP_Speadsheet!$E$89:$BL$89))</f>
        <v>0</v>
      </c>
      <c r="F25" s="367" cm="1">
        <f t="array" aca="1" ref="F25" ca="1">SUMPRODUCT(F$55:F$114,TRANSPOSE(SAP_Speadsheet!$E$89:$BL$89))</f>
        <v>0</v>
      </c>
      <c r="G25" s="367" cm="1">
        <f t="array" aca="1" ref="G25" ca="1">SUMPRODUCT(G$55:G$114,TRANSPOSE(SAP_Speadsheet!$E$89:$BL$89))</f>
        <v>0</v>
      </c>
      <c r="H25" s="367" t="e" cm="1">
        <f t="array" aca="1" ref="H25" ca="1">SUMPRODUCT(H$55:H$114,TRANSPOSE(SAP_Speadsheet!$E$89:$BL$89))</f>
        <v>#REF!</v>
      </c>
      <c r="I25" s="367" t="e" cm="1">
        <f t="array" aca="1" ref="I25" ca="1">SUMPRODUCT(I$55:I$114,TRANSPOSE(SAP_Speadsheet!$E$89:$BL$89))</f>
        <v>#REF!</v>
      </c>
      <c r="J25" s="367" t="e" cm="1">
        <f t="array" aca="1" ref="J25" ca="1">SUMPRODUCT(J$55:J$114,TRANSPOSE(SAP_Speadsheet!$E$89:$BL$89))</f>
        <v>#REF!</v>
      </c>
      <c r="K25" s="367" t="e" cm="1">
        <f t="array" aca="1" ref="K25" ca="1">SUMPRODUCT(K$55:K$114,TRANSPOSE(SAP_Speadsheet!$E$89:$BL$89))</f>
        <v>#REF!</v>
      </c>
      <c r="L25" s="367" t="e" cm="1">
        <f t="array" aca="1" ref="L25" ca="1">SUMPRODUCT(L$55:L$114,TRANSPOSE(SAP_Speadsheet!$E$89:$BL$89))</f>
        <v>#REF!</v>
      </c>
      <c r="M25" s="367" t="e" cm="1">
        <f t="array" aca="1" ref="M25" ca="1">SUMPRODUCT(M$55:M$114,TRANSPOSE(SAP_Speadsheet!$E$89:$BL$89))</f>
        <v>#REF!</v>
      </c>
      <c r="N25" s="367" t="e" cm="1">
        <f t="array" aca="1" ref="N25" ca="1">SUMPRODUCT(N$55:N$114,TRANSPOSE(SAP_Speadsheet!$E$89:$BL$89))</f>
        <v>#REF!</v>
      </c>
      <c r="O25" s="367" t="e" cm="1">
        <f t="array" aca="1" ref="O25" ca="1">SUMPRODUCT(O$55:O$114,TRANSPOSE(SAP_Speadsheet!$E$89:$BL$89))</f>
        <v>#REF!</v>
      </c>
      <c r="P25" s="367" t="e" cm="1">
        <f t="array" aca="1" ref="P25" ca="1">SUMPRODUCT(P$55:P$114,TRANSPOSE(SAP_Speadsheet!$E$89:$BL$89))</f>
        <v>#REF!</v>
      </c>
      <c r="Q25" s="367" t="e" cm="1">
        <f t="array" aca="1" ref="Q25" ca="1">SUMPRODUCT(Q$55:Q$114,TRANSPOSE(SAP_Speadsheet!$E$89:$BL$89))</f>
        <v>#REF!</v>
      </c>
      <c r="R25" s="367" t="e" cm="1">
        <f t="array" aca="1" ref="R25" ca="1">SUMPRODUCT(R$55:R$114,TRANSPOSE(SAP_Speadsheet!$E$89:$BL$89))</f>
        <v>#REF!</v>
      </c>
      <c r="S25" s="367" t="e" cm="1">
        <f t="array" aca="1" ref="S25" ca="1">SUMPRODUCT(S$55:S$114,TRANSPOSE(SAP_Speadsheet!$E$89:$BL$89))</f>
        <v>#REF!</v>
      </c>
      <c r="T25" s="367" t="e" cm="1">
        <f t="array" aca="1" ref="T25" ca="1">SUMPRODUCT(T$55:T$114,TRANSPOSE(SAP_Speadsheet!$E$89:$BL$89))</f>
        <v>#REF!</v>
      </c>
      <c r="U25" s="367" t="e" cm="1">
        <f t="array" aca="1" ref="U25" ca="1">SUMPRODUCT(U$55:U$114,TRANSPOSE(SAP_Speadsheet!$E$89:$BL$89))</f>
        <v>#REF!</v>
      </c>
      <c r="V25" s="367" t="e" cm="1">
        <f t="array" aca="1" ref="V25" ca="1">SUMPRODUCT(V$55:V$114,TRANSPOSE(SAP_Speadsheet!$E$89:$BL$89))</f>
        <v>#REF!</v>
      </c>
      <c r="W25" s="367" t="e" cm="1">
        <f t="array" aca="1" ref="W25" ca="1">SUMPRODUCT(W$55:W$114,TRANSPOSE(SAP_Speadsheet!$E$89:$BL$89))</f>
        <v>#REF!</v>
      </c>
      <c r="X25" s="367" t="e" cm="1">
        <f t="array" aca="1" ref="X25" ca="1">SUMPRODUCT(X$55:X$114,TRANSPOSE(SAP_Speadsheet!$E$89:$BL$89))</f>
        <v>#REF!</v>
      </c>
      <c r="Y25" s="367" t="e" cm="1">
        <f t="array" aca="1" ref="Y25" ca="1">SUMPRODUCT(Y$55:Y$114,TRANSPOSE(SAP_Speadsheet!$E$89:$BL$89))</f>
        <v>#REF!</v>
      </c>
      <c r="Z25" s="367" t="e" cm="1">
        <f t="array" aca="1" ref="Z25" ca="1">SUMPRODUCT(Z$55:Z$114,TRANSPOSE(SAP_Speadsheet!$E$89:$BL$89))</f>
        <v>#REF!</v>
      </c>
      <c r="AA25" s="367" t="e" cm="1">
        <f t="array" aca="1" ref="AA25" ca="1">SUMPRODUCT(AA$55:AA$114,TRANSPOSE(SAP_Speadsheet!$E$89:$BL$89))</f>
        <v>#REF!</v>
      </c>
      <c r="AB25" s="367" t="e" cm="1">
        <f t="array" aca="1" ref="AB25" ca="1">SUMPRODUCT(AB$55:AB$114,TRANSPOSE(SAP_Speadsheet!$E$89:$BL$89))</f>
        <v>#REF!</v>
      </c>
      <c r="AC25" s="367" t="e" cm="1">
        <f t="array" aca="1" ref="AC25" ca="1">SUMPRODUCT(AC$55:AC$114,TRANSPOSE(SAP_Speadsheet!$E$89:$BL$89))</f>
        <v>#REF!</v>
      </c>
      <c r="AD25" s="367" t="e" cm="1">
        <f t="array" aca="1" ref="AD25" ca="1">SUMPRODUCT(AD$55:AD$114,TRANSPOSE(SAP_Speadsheet!$E$89:$BL$89))</f>
        <v>#REF!</v>
      </c>
      <c r="AE25" s="367" t="e" cm="1">
        <f t="array" aca="1" ref="AE25" ca="1">SUMPRODUCT(AE$55:AE$114,TRANSPOSE(SAP_Speadsheet!$E$89:$BL$89))</f>
        <v>#REF!</v>
      </c>
      <c r="AF25" s="367" t="e" cm="1">
        <f t="array" aca="1" ref="AF25" ca="1">SUMPRODUCT(AF$55:AF$114,TRANSPOSE(SAP_Speadsheet!$E$89:$BL$89))</f>
        <v>#REF!</v>
      </c>
      <c r="AG25" s="367" t="e" cm="1">
        <f t="array" aca="1" ref="AG25" ca="1">SUMPRODUCT(AG$55:AG$114,TRANSPOSE(SAP_Speadsheet!$E$89:$BL$89))</f>
        <v>#REF!</v>
      </c>
      <c r="AH25" s="367" t="e" cm="1">
        <f t="array" aca="1" ref="AH25" ca="1">SUMPRODUCT(AH$55:AH$114,TRANSPOSE(SAP_Speadsheet!$E$89:$BL$89))</f>
        <v>#REF!</v>
      </c>
      <c r="AI25" s="367" t="e" cm="1">
        <f t="array" aca="1" ref="AI25" ca="1">SUMPRODUCT(AI$55:AI$114,TRANSPOSE(SAP_Speadsheet!$E$89:$BL$89))</f>
        <v>#REF!</v>
      </c>
      <c r="AJ25" s="367" t="e" cm="1">
        <f t="array" aca="1" ref="AJ25" ca="1">SUMPRODUCT(AJ$55:AJ$114,TRANSPOSE(SAP_Speadsheet!$E$89:$BL$89))</f>
        <v>#REF!</v>
      </c>
      <c r="AK25" s="367" t="e" cm="1">
        <f t="array" aca="1" ref="AK25" ca="1">SUMPRODUCT(AK$55:AK$114,TRANSPOSE(SAP_Speadsheet!$E$89:$BL$89))</f>
        <v>#REF!</v>
      </c>
      <c r="AL25" s="367" t="e" cm="1">
        <f t="array" aca="1" ref="AL25" ca="1">SUMPRODUCT(AL$55:AL$114,TRANSPOSE(SAP_Speadsheet!$E$89:$BL$89))</f>
        <v>#REF!</v>
      </c>
      <c r="AM25" s="367" t="e" cm="1">
        <f t="array" aca="1" ref="AM25" ca="1">SUMPRODUCT(AM$55:AM$114,TRANSPOSE(SAP_Speadsheet!$E$89:$BL$89))</f>
        <v>#REF!</v>
      </c>
      <c r="AN25" s="367" t="e" cm="1">
        <f t="array" aca="1" ref="AN25" ca="1">SUMPRODUCT(AN$55:AN$114,TRANSPOSE(SAP_Speadsheet!$E$89:$BL$89))</f>
        <v>#REF!</v>
      </c>
      <c r="AO25" s="367" t="e" cm="1">
        <f t="array" aca="1" ref="AO25" ca="1">SUMPRODUCT(AO$55:AO$114,TRANSPOSE(SAP_Speadsheet!$E$89:$BL$89))</f>
        <v>#REF!</v>
      </c>
      <c r="AP25" s="367" t="e" cm="1">
        <f t="array" aca="1" ref="AP25" ca="1">SUMPRODUCT(AP$55:AP$114,TRANSPOSE(SAP_Speadsheet!$E$89:$BL$89))</f>
        <v>#REF!</v>
      </c>
      <c r="AQ25" s="367" t="e" cm="1">
        <f t="array" aca="1" ref="AQ25" ca="1">SUMPRODUCT(AQ$55:AQ$114,TRANSPOSE(SAP_Speadsheet!$E$89:$BL$89))</f>
        <v>#REF!</v>
      </c>
      <c r="AR25" s="367" t="e" cm="1">
        <f t="array" aca="1" ref="AR25" ca="1">SUMPRODUCT(AR$55:AR$114,TRANSPOSE(SAP_Speadsheet!$E$89:$BL$89))</f>
        <v>#REF!</v>
      </c>
      <c r="AS25" s="367" t="e" cm="1">
        <f t="array" aca="1" ref="AS25" ca="1">SUMPRODUCT(AS$55:AS$114,TRANSPOSE(SAP_Speadsheet!$E$89:$BL$89))</f>
        <v>#REF!</v>
      </c>
      <c r="AT25" s="367" t="e" cm="1">
        <f t="array" aca="1" ref="AT25" ca="1">SUMPRODUCT(AT$55:AT$114,TRANSPOSE(SAP_Speadsheet!$E$89:$BL$89))</f>
        <v>#REF!</v>
      </c>
      <c r="AU25" s="367" t="e" cm="1">
        <f t="array" aca="1" ref="AU25" ca="1">SUMPRODUCT(AU$55:AU$114,TRANSPOSE(SAP_Speadsheet!$E$89:$BL$89))</f>
        <v>#REF!</v>
      </c>
      <c r="AV25" s="367" t="e" cm="1">
        <f t="array" aca="1" ref="AV25" ca="1">SUMPRODUCT(AV$55:AV$114,TRANSPOSE(SAP_Speadsheet!$E$89:$BL$89))</f>
        <v>#REF!</v>
      </c>
      <c r="AW25" s="367" t="e" cm="1">
        <f t="array" aca="1" ref="AW25" ca="1">SUMPRODUCT(AW$55:AW$114,TRANSPOSE(SAP_Speadsheet!$E$89:$BL$89))</f>
        <v>#REF!</v>
      </c>
      <c r="AX25" s="367" t="e" cm="1">
        <f t="array" aca="1" ref="AX25" ca="1">SUMPRODUCT(AX$55:AX$114,TRANSPOSE(SAP_Speadsheet!$E$89:$BL$89))</f>
        <v>#REF!</v>
      </c>
      <c r="AY25" s="367" t="e" cm="1">
        <f t="array" aca="1" ref="AY25" ca="1">SUMPRODUCT(AY$55:AY$114,TRANSPOSE(SAP_Speadsheet!$E$89:$BL$89))</f>
        <v>#REF!</v>
      </c>
      <c r="AZ25" s="367" t="e" cm="1">
        <f t="array" aca="1" ref="AZ25" ca="1">SUMPRODUCT(AZ$55:AZ$114,TRANSPOSE(SAP_Speadsheet!$E$89:$BL$89))</f>
        <v>#REF!</v>
      </c>
      <c r="BA25" s="367" t="e" cm="1">
        <f t="array" aca="1" ref="BA25" ca="1">SUMPRODUCT(BA$55:BA$114,TRANSPOSE(SAP_Speadsheet!$E$89:$BL$89))</f>
        <v>#REF!</v>
      </c>
      <c r="BB25" s="367" t="e" cm="1">
        <f t="array" aca="1" ref="BB25" ca="1">SUMPRODUCT(BB$55:BB$114,TRANSPOSE(SAP_Speadsheet!$E$89:$BL$89))</f>
        <v>#REF!</v>
      </c>
      <c r="BC25" s="367" t="e" cm="1">
        <f t="array" aca="1" ref="BC25" ca="1">SUMPRODUCT(BC$55:BC$114,TRANSPOSE(SAP_Speadsheet!$E$89:$BL$89))</f>
        <v>#REF!</v>
      </c>
      <c r="BD25" s="367" t="e" cm="1">
        <f t="array" aca="1" ref="BD25" ca="1">SUMPRODUCT(BD$55:BD$114,TRANSPOSE(SAP_Speadsheet!$E$89:$BL$89))</f>
        <v>#REF!</v>
      </c>
      <c r="BE25" s="367" t="e" cm="1">
        <f t="array" aca="1" ref="BE25" ca="1">SUMPRODUCT(BE$55:BE$114,TRANSPOSE(SAP_Speadsheet!$E$89:$BL$89))</f>
        <v>#REF!</v>
      </c>
      <c r="BF25" s="367" t="e" cm="1">
        <f t="array" aca="1" ref="BF25" ca="1">SUMPRODUCT(BF$55:BF$114,TRANSPOSE(SAP_Speadsheet!$E$89:$BL$89))</f>
        <v>#REF!</v>
      </c>
      <c r="BG25" s="367" t="e" cm="1">
        <f t="array" aca="1" ref="BG25" ca="1">SUMPRODUCT(BG$55:BG$114,TRANSPOSE(SAP_Speadsheet!$E$89:$BL$89))</f>
        <v>#REF!</v>
      </c>
      <c r="BH25" s="367" t="e" cm="1">
        <f t="array" aca="1" ref="BH25" ca="1">SUMPRODUCT(BH$55:BH$114,TRANSPOSE(SAP_Speadsheet!$E$89:$BL$89))</f>
        <v>#REF!</v>
      </c>
      <c r="BI25" s="367" t="e" cm="1">
        <f t="array" aca="1" ref="BI25" ca="1">SUMPRODUCT(BI$55:BI$114,TRANSPOSE(SAP_Speadsheet!$E$89:$BL$89))</f>
        <v>#REF!</v>
      </c>
    </row>
    <row r="26" spans="1:61" x14ac:dyDescent="0.15">
      <c r="A26" s="356" t="s">
        <v>225</v>
      </c>
      <c r="B26" s="367" cm="1">
        <f t="array" aca="1" ref="B26" ca="1">SUMPRODUCT(B$55:B$114,TRANSPOSE(SAP_Speadsheet!$E$90:$BL$90))</f>
        <v>0</v>
      </c>
      <c r="C26" s="367" cm="1">
        <f t="array" aca="1" ref="C26" ca="1">SUMPRODUCT(C$55:C$114,TRANSPOSE(SAP_Speadsheet!$E$90:$BL$90))</f>
        <v>0</v>
      </c>
      <c r="D26" s="367" cm="1">
        <f t="array" aca="1" ref="D26" ca="1">SUMPRODUCT(D$55:D$114,TRANSPOSE(SAP_Speadsheet!$E$90:$BL$90))</f>
        <v>0</v>
      </c>
      <c r="E26" s="367" cm="1">
        <f t="array" aca="1" ref="E26" ca="1">SUMPRODUCT(E$55:E$114,TRANSPOSE(SAP_Speadsheet!$E$90:$BL$90))</f>
        <v>0</v>
      </c>
      <c r="F26" s="367" cm="1">
        <f t="array" aca="1" ref="F26" ca="1">SUMPRODUCT(F$55:F$114,TRANSPOSE(SAP_Speadsheet!$E$90:$BL$90))</f>
        <v>0</v>
      </c>
      <c r="G26" s="367" cm="1">
        <f t="array" aca="1" ref="G26" ca="1">SUMPRODUCT(G$55:G$114,TRANSPOSE(SAP_Speadsheet!$E$90:$BL$90))</f>
        <v>0</v>
      </c>
      <c r="H26" s="367" t="e" cm="1">
        <f t="array" aca="1" ref="H26" ca="1">SUMPRODUCT(H$55:H$114,TRANSPOSE(SAP_Speadsheet!$E$90:$BL$90))</f>
        <v>#REF!</v>
      </c>
      <c r="I26" s="367" t="e" cm="1">
        <f t="array" aca="1" ref="I26" ca="1">SUMPRODUCT(I$55:I$114,TRANSPOSE(SAP_Speadsheet!$E$90:$BL$90))</f>
        <v>#REF!</v>
      </c>
      <c r="J26" s="367" t="e" cm="1">
        <f t="array" aca="1" ref="J26" ca="1">SUMPRODUCT(J$55:J$114,TRANSPOSE(SAP_Speadsheet!$E$90:$BL$90))</f>
        <v>#REF!</v>
      </c>
      <c r="K26" s="367" t="e" cm="1">
        <f t="array" aca="1" ref="K26" ca="1">SUMPRODUCT(K$55:K$114,TRANSPOSE(SAP_Speadsheet!$E$90:$BL$90))</f>
        <v>#REF!</v>
      </c>
      <c r="L26" s="367" t="e" cm="1">
        <f t="array" aca="1" ref="L26" ca="1">SUMPRODUCT(L$55:L$114,TRANSPOSE(SAP_Speadsheet!$E$90:$BL$90))</f>
        <v>#REF!</v>
      </c>
      <c r="M26" s="367" t="e" cm="1">
        <f t="array" aca="1" ref="M26" ca="1">SUMPRODUCT(M$55:M$114,TRANSPOSE(SAP_Speadsheet!$E$90:$BL$90))</f>
        <v>#REF!</v>
      </c>
      <c r="N26" s="367" t="e" cm="1">
        <f t="array" aca="1" ref="N26" ca="1">SUMPRODUCT(N$55:N$114,TRANSPOSE(SAP_Speadsheet!$E$90:$BL$90))</f>
        <v>#REF!</v>
      </c>
      <c r="O26" s="367" t="e" cm="1">
        <f t="array" aca="1" ref="O26" ca="1">SUMPRODUCT(O$55:O$114,TRANSPOSE(SAP_Speadsheet!$E$90:$BL$90))</f>
        <v>#REF!</v>
      </c>
      <c r="P26" s="367" t="e" cm="1">
        <f t="array" aca="1" ref="P26" ca="1">SUMPRODUCT(P$55:P$114,TRANSPOSE(SAP_Speadsheet!$E$90:$BL$90))</f>
        <v>#REF!</v>
      </c>
      <c r="Q26" s="367" t="e" cm="1">
        <f t="array" aca="1" ref="Q26" ca="1">SUMPRODUCT(Q$55:Q$114,TRANSPOSE(SAP_Speadsheet!$E$90:$BL$90))</f>
        <v>#REF!</v>
      </c>
      <c r="R26" s="367" t="e" cm="1">
        <f t="array" aca="1" ref="R26" ca="1">SUMPRODUCT(R$55:R$114,TRANSPOSE(SAP_Speadsheet!$E$90:$BL$90))</f>
        <v>#REF!</v>
      </c>
      <c r="S26" s="367" t="e" cm="1">
        <f t="array" aca="1" ref="S26" ca="1">SUMPRODUCT(S$55:S$114,TRANSPOSE(SAP_Speadsheet!$E$90:$BL$90))</f>
        <v>#REF!</v>
      </c>
      <c r="T26" s="367" t="e" cm="1">
        <f t="array" aca="1" ref="T26" ca="1">SUMPRODUCT(T$55:T$114,TRANSPOSE(SAP_Speadsheet!$E$90:$BL$90))</f>
        <v>#REF!</v>
      </c>
      <c r="U26" s="367" t="e" cm="1">
        <f t="array" aca="1" ref="U26" ca="1">SUMPRODUCT(U$55:U$114,TRANSPOSE(SAP_Speadsheet!$E$90:$BL$90))</f>
        <v>#REF!</v>
      </c>
      <c r="V26" s="367" t="e" cm="1">
        <f t="array" aca="1" ref="V26" ca="1">SUMPRODUCT(V$55:V$114,TRANSPOSE(SAP_Speadsheet!$E$90:$BL$90))</f>
        <v>#REF!</v>
      </c>
      <c r="W26" s="367" t="e" cm="1">
        <f t="array" aca="1" ref="W26" ca="1">SUMPRODUCT(W$55:W$114,TRANSPOSE(SAP_Speadsheet!$E$90:$BL$90))</f>
        <v>#REF!</v>
      </c>
      <c r="X26" s="367" t="e" cm="1">
        <f t="array" aca="1" ref="X26" ca="1">SUMPRODUCT(X$55:X$114,TRANSPOSE(SAP_Speadsheet!$E$90:$BL$90))</f>
        <v>#REF!</v>
      </c>
      <c r="Y26" s="367" t="e" cm="1">
        <f t="array" aca="1" ref="Y26" ca="1">SUMPRODUCT(Y$55:Y$114,TRANSPOSE(SAP_Speadsheet!$E$90:$BL$90))</f>
        <v>#REF!</v>
      </c>
      <c r="Z26" s="367" t="e" cm="1">
        <f t="array" aca="1" ref="Z26" ca="1">SUMPRODUCT(Z$55:Z$114,TRANSPOSE(SAP_Speadsheet!$E$90:$BL$90))</f>
        <v>#REF!</v>
      </c>
      <c r="AA26" s="367" t="e" cm="1">
        <f t="array" aca="1" ref="AA26" ca="1">SUMPRODUCT(AA$55:AA$114,TRANSPOSE(SAP_Speadsheet!$E$90:$BL$90))</f>
        <v>#REF!</v>
      </c>
      <c r="AB26" s="367" t="e" cm="1">
        <f t="array" aca="1" ref="AB26" ca="1">SUMPRODUCT(AB$55:AB$114,TRANSPOSE(SAP_Speadsheet!$E$90:$BL$90))</f>
        <v>#REF!</v>
      </c>
      <c r="AC26" s="367" t="e" cm="1">
        <f t="array" aca="1" ref="AC26" ca="1">SUMPRODUCT(AC$55:AC$114,TRANSPOSE(SAP_Speadsheet!$E$90:$BL$90))</f>
        <v>#REF!</v>
      </c>
      <c r="AD26" s="367" t="e" cm="1">
        <f t="array" aca="1" ref="AD26" ca="1">SUMPRODUCT(AD$55:AD$114,TRANSPOSE(SAP_Speadsheet!$E$90:$BL$90))</f>
        <v>#REF!</v>
      </c>
      <c r="AE26" s="367" t="e" cm="1">
        <f t="array" aca="1" ref="AE26" ca="1">SUMPRODUCT(AE$55:AE$114,TRANSPOSE(SAP_Speadsheet!$E$90:$BL$90))</f>
        <v>#REF!</v>
      </c>
      <c r="AF26" s="367" t="e" cm="1">
        <f t="array" aca="1" ref="AF26" ca="1">SUMPRODUCT(AF$55:AF$114,TRANSPOSE(SAP_Speadsheet!$E$90:$BL$90))</f>
        <v>#REF!</v>
      </c>
      <c r="AG26" s="367" t="e" cm="1">
        <f t="array" aca="1" ref="AG26" ca="1">SUMPRODUCT(AG$55:AG$114,TRANSPOSE(SAP_Speadsheet!$E$90:$BL$90))</f>
        <v>#REF!</v>
      </c>
      <c r="AH26" s="367" t="e" cm="1">
        <f t="array" aca="1" ref="AH26" ca="1">SUMPRODUCT(AH$55:AH$114,TRANSPOSE(SAP_Speadsheet!$E$90:$BL$90))</f>
        <v>#REF!</v>
      </c>
      <c r="AI26" s="367" t="e" cm="1">
        <f t="array" aca="1" ref="AI26" ca="1">SUMPRODUCT(AI$55:AI$114,TRANSPOSE(SAP_Speadsheet!$E$90:$BL$90))</f>
        <v>#REF!</v>
      </c>
      <c r="AJ26" s="367" t="e" cm="1">
        <f t="array" aca="1" ref="AJ26" ca="1">SUMPRODUCT(AJ$55:AJ$114,TRANSPOSE(SAP_Speadsheet!$E$90:$BL$90))</f>
        <v>#REF!</v>
      </c>
      <c r="AK26" s="367" t="e" cm="1">
        <f t="array" aca="1" ref="AK26" ca="1">SUMPRODUCT(AK$55:AK$114,TRANSPOSE(SAP_Speadsheet!$E$90:$BL$90))</f>
        <v>#REF!</v>
      </c>
      <c r="AL26" s="367" t="e" cm="1">
        <f t="array" aca="1" ref="AL26" ca="1">SUMPRODUCT(AL$55:AL$114,TRANSPOSE(SAP_Speadsheet!$E$90:$BL$90))</f>
        <v>#REF!</v>
      </c>
      <c r="AM26" s="367" t="e" cm="1">
        <f t="array" aca="1" ref="AM26" ca="1">SUMPRODUCT(AM$55:AM$114,TRANSPOSE(SAP_Speadsheet!$E$90:$BL$90))</f>
        <v>#REF!</v>
      </c>
      <c r="AN26" s="367" t="e" cm="1">
        <f t="array" aca="1" ref="AN26" ca="1">SUMPRODUCT(AN$55:AN$114,TRANSPOSE(SAP_Speadsheet!$E$90:$BL$90))</f>
        <v>#REF!</v>
      </c>
      <c r="AO26" s="367" t="e" cm="1">
        <f t="array" aca="1" ref="AO26" ca="1">SUMPRODUCT(AO$55:AO$114,TRANSPOSE(SAP_Speadsheet!$E$90:$BL$90))</f>
        <v>#REF!</v>
      </c>
      <c r="AP26" s="367" t="e" cm="1">
        <f t="array" aca="1" ref="AP26" ca="1">SUMPRODUCT(AP$55:AP$114,TRANSPOSE(SAP_Speadsheet!$E$90:$BL$90))</f>
        <v>#REF!</v>
      </c>
      <c r="AQ26" s="367" t="e" cm="1">
        <f t="array" aca="1" ref="AQ26" ca="1">SUMPRODUCT(AQ$55:AQ$114,TRANSPOSE(SAP_Speadsheet!$E$90:$BL$90))</f>
        <v>#REF!</v>
      </c>
      <c r="AR26" s="367" t="e" cm="1">
        <f t="array" aca="1" ref="AR26" ca="1">SUMPRODUCT(AR$55:AR$114,TRANSPOSE(SAP_Speadsheet!$E$90:$BL$90))</f>
        <v>#REF!</v>
      </c>
      <c r="AS26" s="367" t="e" cm="1">
        <f t="array" aca="1" ref="AS26" ca="1">SUMPRODUCT(AS$55:AS$114,TRANSPOSE(SAP_Speadsheet!$E$90:$BL$90))</f>
        <v>#REF!</v>
      </c>
      <c r="AT26" s="367" t="e" cm="1">
        <f t="array" aca="1" ref="AT26" ca="1">SUMPRODUCT(AT$55:AT$114,TRANSPOSE(SAP_Speadsheet!$E$90:$BL$90))</f>
        <v>#REF!</v>
      </c>
      <c r="AU26" s="367" t="e" cm="1">
        <f t="array" aca="1" ref="AU26" ca="1">SUMPRODUCT(AU$55:AU$114,TRANSPOSE(SAP_Speadsheet!$E$90:$BL$90))</f>
        <v>#REF!</v>
      </c>
      <c r="AV26" s="367" t="e" cm="1">
        <f t="array" aca="1" ref="AV26" ca="1">SUMPRODUCT(AV$55:AV$114,TRANSPOSE(SAP_Speadsheet!$E$90:$BL$90))</f>
        <v>#REF!</v>
      </c>
      <c r="AW26" s="367" t="e" cm="1">
        <f t="array" aca="1" ref="AW26" ca="1">SUMPRODUCT(AW$55:AW$114,TRANSPOSE(SAP_Speadsheet!$E$90:$BL$90))</f>
        <v>#REF!</v>
      </c>
      <c r="AX26" s="367" t="e" cm="1">
        <f t="array" aca="1" ref="AX26" ca="1">SUMPRODUCT(AX$55:AX$114,TRANSPOSE(SAP_Speadsheet!$E$90:$BL$90))</f>
        <v>#REF!</v>
      </c>
      <c r="AY26" s="367" t="e" cm="1">
        <f t="array" aca="1" ref="AY26" ca="1">SUMPRODUCT(AY$55:AY$114,TRANSPOSE(SAP_Speadsheet!$E$90:$BL$90))</f>
        <v>#REF!</v>
      </c>
      <c r="AZ26" s="367" t="e" cm="1">
        <f t="array" aca="1" ref="AZ26" ca="1">SUMPRODUCT(AZ$55:AZ$114,TRANSPOSE(SAP_Speadsheet!$E$90:$BL$90))</f>
        <v>#REF!</v>
      </c>
      <c r="BA26" s="367" t="e" cm="1">
        <f t="array" aca="1" ref="BA26" ca="1">SUMPRODUCT(BA$55:BA$114,TRANSPOSE(SAP_Speadsheet!$E$90:$BL$90))</f>
        <v>#REF!</v>
      </c>
      <c r="BB26" s="367" t="e" cm="1">
        <f t="array" aca="1" ref="BB26" ca="1">SUMPRODUCT(BB$55:BB$114,TRANSPOSE(SAP_Speadsheet!$E$90:$BL$90))</f>
        <v>#REF!</v>
      </c>
      <c r="BC26" s="367" t="e" cm="1">
        <f t="array" aca="1" ref="BC26" ca="1">SUMPRODUCT(BC$55:BC$114,TRANSPOSE(SAP_Speadsheet!$E$90:$BL$90))</f>
        <v>#REF!</v>
      </c>
      <c r="BD26" s="367" t="e" cm="1">
        <f t="array" aca="1" ref="BD26" ca="1">SUMPRODUCT(BD$55:BD$114,TRANSPOSE(SAP_Speadsheet!$E$90:$BL$90))</f>
        <v>#REF!</v>
      </c>
      <c r="BE26" s="367" t="e" cm="1">
        <f t="array" aca="1" ref="BE26" ca="1">SUMPRODUCT(BE$55:BE$114,TRANSPOSE(SAP_Speadsheet!$E$90:$BL$90))</f>
        <v>#REF!</v>
      </c>
      <c r="BF26" s="367" t="e" cm="1">
        <f t="array" aca="1" ref="BF26" ca="1">SUMPRODUCT(BF$55:BF$114,TRANSPOSE(SAP_Speadsheet!$E$90:$BL$90))</f>
        <v>#REF!</v>
      </c>
      <c r="BG26" s="367" t="e" cm="1">
        <f t="array" aca="1" ref="BG26" ca="1">SUMPRODUCT(BG$55:BG$114,TRANSPOSE(SAP_Speadsheet!$E$90:$BL$90))</f>
        <v>#REF!</v>
      </c>
      <c r="BH26" s="367" t="e" cm="1">
        <f t="array" aca="1" ref="BH26" ca="1">SUMPRODUCT(BH$55:BH$114,TRANSPOSE(SAP_Speadsheet!$E$90:$BL$90))</f>
        <v>#REF!</v>
      </c>
      <c r="BI26" s="367" t="e" cm="1">
        <f t="array" aca="1" ref="BI26" ca="1">SUMPRODUCT(BI$55:BI$114,TRANSPOSE(SAP_Speadsheet!$E$90:$BL$90))</f>
        <v>#REF!</v>
      </c>
    </row>
    <row r="27" spans="1:61" x14ac:dyDescent="0.15">
      <c r="A27" s="356" t="s">
        <v>464</v>
      </c>
      <c r="B27" s="367" cm="1">
        <f t="array" aca="1" ref="B27" ca="1">SUMPRODUCT(B$55:B$114,TRANSPOSE(SAP_Speadsheet!$E$91:$BL$91))</f>
        <v>0</v>
      </c>
      <c r="C27" s="367" cm="1">
        <f t="array" aca="1" ref="C27" ca="1">SUMPRODUCT(C$55:C$114,TRANSPOSE(SAP_Speadsheet!$E$91:$BL$91))</f>
        <v>0</v>
      </c>
      <c r="D27" s="367" cm="1">
        <f t="array" aca="1" ref="D27" ca="1">SUMPRODUCT(D$55:D$114,TRANSPOSE(SAP_Speadsheet!$E$91:$BL$91))</f>
        <v>0</v>
      </c>
      <c r="E27" s="367" cm="1">
        <f t="array" aca="1" ref="E27" ca="1">SUMPRODUCT(E$55:E$114,TRANSPOSE(SAP_Speadsheet!$E$91:$BL$91))</f>
        <v>0</v>
      </c>
      <c r="F27" s="367" cm="1">
        <f t="array" aca="1" ref="F27" ca="1">SUMPRODUCT(F$55:F$114,TRANSPOSE(SAP_Speadsheet!$E$91:$BL$91))</f>
        <v>0</v>
      </c>
      <c r="G27" s="367" cm="1">
        <f t="array" aca="1" ref="G27" ca="1">SUMPRODUCT(G$55:G$114,TRANSPOSE(SAP_Speadsheet!$E$91:$BL$91))</f>
        <v>0</v>
      </c>
      <c r="H27" s="367" t="e" cm="1">
        <f t="array" aca="1" ref="H27" ca="1">SUMPRODUCT(H$55:H$114,TRANSPOSE(SAP_Speadsheet!$E$91:$BL$91))</f>
        <v>#REF!</v>
      </c>
      <c r="I27" s="367" t="e" cm="1">
        <f t="array" aca="1" ref="I27" ca="1">SUMPRODUCT(I$55:I$114,TRANSPOSE(SAP_Speadsheet!$E$91:$BL$91))</f>
        <v>#REF!</v>
      </c>
      <c r="J27" s="367" t="e" cm="1">
        <f t="array" aca="1" ref="J27" ca="1">SUMPRODUCT(J$55:J$114,TRANSPOSE(SAP_Speadsheet!$E$91:$BL$91))</f>
        <v>#REF!</v>
      </c>
      <c r="K27" s="367" t="e" cm="1">
        <f t="array" aca="1" ref="K27" ca="1">SUMPRODUCT(K$55:K$114,TRANSPOSE(SAP_Speadsheet!$E$91:$BL$91))</f>
        <v>#REF!</v>
      </c>
      <c r="L27" s="367" t="e" cm="1">
        <f t="array" aca="1" ref="L27" ca="1">SUMPRODUCT(L$55:L$114,TRANSPOSE(SAP_Speadsheet!$E$91:$BL$91))</f>
        <v>#REF!</v>
      </c>
      <c r="M27" s="367" t="e" cm="1">
        <f t="array" aca="1" ref="M27" ca="1">SUMPRODUCT(M$55:M$114,TRANSPOSE(SAP_Speadsheet!$E$91:$BL$91))</f>
        <v>#REF!</v>
      </c>
      <c r="N27" s="367" t="e" cm="1">
        <f t="array" aca="1" ref="N27" ca="1">SUMPRODUCT(N$55:N$114,TRANSPOSE(SAP_Speadsheet!$E$91:$BL$91))</f>
        <v>#REF!</v>
      </c>
      <c r="O27" s="367" t="e" cm="1">
        <f t="array" aca="1" ref="O27" ca="1">SUMPRODUCT(O$55:O$114,TRANSPOSE(SAP_Speadsheet!$E$91:$BL$91))</f>
        <v>#REF!</v>
      </c>
      <c r="P27" s="367" t="e" cm="1">
        <f t="array" aca="1" ref="P27" ca="1">SUMPRODUCT(P$55:P$114,TRANSPOSE(SAP_Speadsheet!$E$91:$BL$91))</f>
        <v>#REF!</v>
      </c>
      <c r="Q27" s="367" t="e" cm="1">
        <f t="array" aca="1" ref="Q27" ca="1">SUMPRODUCT(Q$55:Q$114,TRANSPOSE(SAP_Speadsheet!$E$91:$BL$91))</f>
        <v>#REF!</v>
      </c>
      <c r="R27" s="367" t="e" cm="1">
        <f t="array" aca="1" ref="R27" ca="1">SUMPRODUCT(R$55:R$114,TRANSPOSE(SAP_Speadsheet!$E$91:$BL$91))</f>
        <v>#REF!</v>
      </c>
      <c r="S27" s="367" t="e" cm="1">
        <f t="array" aca="1" ref="S27" ca="1">SUMPRODUCT(S$55:S$114,TRANSPOSE(SAP_Speadsheet!$E$91:$BL$91))</f>
        <v>#REF!</v>
      </c>
      <c r="T27" s="367" t="e" cm="1">
        <f t="array" aca="1" ref="T27" ca="1">SUMPRODUCT(T$55:T$114,TRANSPOSE(SAP_Speadsheet!$E$91:$BL$91))</f>
        <v>#REF!</v>
      </c>
      <c r="U27" s="367" t="e" cm="1">
        <f t="array" aca="1" ref="U27" ca="1">SUMPRODUCT(U$55:U$114,TRANSPOSE(SAP_Speadsheet!$E$91:$BL$91))</f>
        <v>#REF!</v>
      </c>
      <c r="V27" s="367" t="e" cm="1">
        <f t="array" aca="1" ref="V27" ca="1">SUMPRODUCT(V$55:V$114,TRANSPOSE(SAP_Speadsheet!$E$91:$BL$91))</f>
        <v>#REF!</v>
      </c>
      <c r="W27" s="367" t="e" cm="1">
        <f t="array" aca="1" ref="W27" ca="1">SUMPRODUCT(W$55:W$114,TRANSPOSE(SAP_Speadsheet!$E$91:$BL$91))</f>
        <v>#REF!</v>
      </c>
      <c r="X27" s="367" t="e" cm="1">
        <f t="array" aca="1" ref="X27" ca="1">SUMPRODUCT(X$55:X$114,TRANSPOSE(SAP_Speadsheet!$E$91:$BL$91))</f>
        <v>#REF!</v>
      </c>
      <c r="Y27" s="367" t="e" cm="1">
        <f t="array" aca="1" ref="Y27" ca="1">SUMPRODUCT(Y$55:Y$114,TRANSPOSE(SAP_Speadsheet!$E$91:$BL$91))</f>
        <v>#REF!</v>
      </c>
      <c r="Z27" s="367" t="e" cm="1">
        <f t="array" aca="1" ref="Z27" ca="1">SUMPRODUCT(Z$55:Z$114,TRANSPOSE(SAP_Speadsheet!$E$91:$BL$91))</f>
        <v>#REF!</v>
      </c>
      <c r="AA27" s="367" t="e" cm="1">
        <f t="array" aca="1" ref="AA27" ca="1">SUMPRODUCT(AA$55:AA$114,TRANSPOSE(SAP_Speadsheet!$E$91:$BL$91))</f>
        <v>#REF!</v>
      </c>
      <c r="AB27" s="367" t="e" cm="1">
        <f t="array" aca="1" ref="AB27" ca="1">SUMPRODUCT(AB$55:AB$114,TRANSPOSE(SAP_Speadsheet!$E$91:$BL$91))</f>
        <v>#REF!</v>
      </c>
      <c r="AC27" s="367" t="e" cm="1">
        <f t="array" aca="1" ref="AC27" ca="1">SUMPRODUCT(AC$55:AC$114,TRANSPOSE(SAP_Speadsheet!$E$91:$BL$91))</f>
        <v>#REF!</v>
      </c>
      <c r="AD27" s="367" t="e" cm="1">
        <f t="array" aca="1" ref="AD27" ca="1">SUMPRODUCT(AD$55:AD$114,TRANSPOSE(SAP_Speadsheet!$E$91:$BL$91))</f>
        <v>#REF!</v>
      </c>
      <c r="AE27" s="367" t="e" cm="1">
        <f t="array" aca="1" ref="AE27" ca="1">SUMPRODUCT(AE$55:AE$114,TRANSPOSE(SAP_Speadsheet!$E$91:$BL$91))</f>
        <v>#REF!</v>
      </c>
      <c r="AF27" s="367" t="e" cm="1">
        <f t="array" aca="1" ref="AF27" ca="1">SUMPRODUCT(AF$55:AF$114,TRANSPOSE(SAP_Speadsheet!$E$91:$BL$91))</f>
        <v>#REF!</v>
      </c>
      <c r="AG27" s="367" t="e" cm="1">
        <f t="array" aca="1" ref="AG27" ca="1">SUMPRODUCT(AG$55:AG$114,TRANSPOSE(SAP_Speadsheet!$E$91:$BL$91))</f>
        <v>#REF!</v>
      </c>
      <c r="AH27" s="367" t="e" cm="1">
        <f t="array" aca="1" ref="AH27" ca="1">SUMPRODUCT(AH$55:AH$114,TRANSPOSE(SAP_Speadsheet!$E$91:$BL$91))</f>
        <v>#REF!</v>
      </c>
      <c r="AI27" s="367" t="e" cm="1">
        <f t="array" aca="1" ref="AI27" ca="1">SUMPRODUCT(AI$55:AI$114,TRANSPOSE(SAP_Speadsheet!$E$91:$BL$91))</f>
        <v>#REF!</v>
      </c>
      <c r="AJ27" s="367" t="e" cm="1">
        <f t="array" aca="1" ref="AJ27" ca="1">SUMPRODUCT(AJ$55:AJ$114,TRANSPOSE(SAP_Speadsheet!$E$91:$BL$91))</f>
        <v>#REF!</v>
      </c>
      <c r="AK27" s="367" t="e" cm="1">
        <f t="array" aca="1" ref="AK27" ca="1">SUMPRODUCT(AK$55:AK$114,TRANSPOSE(SAP_Speadsheet!$E$91:$BL$91))</f>
        <v>#REF!</v>
      </c>
      <c r="AL27" s="367" t="e" cm="1">
        <f t="array" aca="1" ref="AL27" ca="1">SUMPRODUCT(AL$55:AL$114,TRANSPOSE(SAP_Speadsheet!$E$91:$BL$91))</f>
        <v>#REF!</v>
      </c>
      <c r="AM27" s="367" t="e" cm="1">
        <f t="array" aca="1" ref="AM27" ca="1">SUMPRODUCT(AM$55:AM$114,TRANSPOSE(SAP_Speadsheet!$E$91:$BL$91))</f>
        <v>#REF!</v>
      </c>
      <c r="AN27" s="367" t="e" cm="1">
        <f t="array" aca="1" ref="AN27" ca="1">SUMPRODUCT(AN$55:AN$114,TRANSPOSE(SAP_Speadsheet!$E$91:$BL$91))</f>
        <v>#REF!</v>
      </c>
      <c r="AO27" s="367" t="e" cm="1">
        <f t="array" aca="1" ref="AO27" ca="1">SUMPRODUCT(AO$55:AO$114,TRANSPOSE(SAP_Speadsheet!$E$91:$BL$91))</f>
        <v>#REF!</v>
      </c>
      <c r="AP27" s="367" t="e" cm="1">
        <f t="array" aca="1" ref="AP27" ca="1">SUMPRODUCT(AP$55:AP$114,TRANSPOSE(SAP_Speadsheet!$E$91:$BL$91))</f>
        <v>#REF!</v>
      </c>
      <c r="AQ27" s="367" t="e" cm="1">
        <f t="array" aca="1" ref="AQ27" ca="1">SUMPRODUCT(AQ$55:AQ$114,TRANSPOSE(SAP_Speadsheet!$E$91:$BL$91))</f>
        <v>#REF!</v>
      </c>
      <c r="AR27" s="367" t="e" cm="1">
        <f t="array" aca="1" ref="AR27" ca="1">SUMPRODUCT(AR$55:AR$114,TRANSPOSE(SAP_Speadsheet!$E$91:$BL$91))</f>
        <v>#REF!</v>
      </c>
      <c r="AS27" s="367" t="e" cm="1">
        <f t="array" aca="1" ref="AS27" ca="1">SUMPRODUCT(AS$55:AS$114,TRANSPOSE(SAP_Speadsheet!$E$91:$BL$91))</f>
        <v>#REF!</v>
      </c>
      <c r="AT27" s="367" t="e" cm="1">
        <f t="array" aca="1" ref="AT27" ca="1">SUMPRODUCT(AT$55:AT$114,TRANSPOSE(SAP_Speadsheet!$E$91:$BL$91))</f>
        <v>#REF!</v>
      </c>
      <c r="AU27" s="367" t="e" cm="1">
        <f t="array" aca="1" ref="AU27" ca="1">SUMPRODUCT(AU$55:AU$114,TRANSPOSE(SAP_Speadsheet!$E$91:$BL$91))</f>
        <v>#REF!</v>
      </c>
      <c r="AV27" s="367" t="e" cm="1">
        <f t="array" aca="1" ref="AV27" ca="1">SUMPRODUCT(AV$55:AV$114,TRANSPOSE(SAP_Speadsheet!$E$91:$BL$91))</f>
        <v>#REF!</v>
      </c>
      <c r="AW27" s="367" t="e" cm="1">
        <f t="array" aca="1" ref="AW27" ca="1">SUMPRODUCT(AW$55:AW$114,TRANSPOSE(SAP_Speadsheet!$E$91:$BL$91))</f>
        <v>#REF!</v>
      </c>
      <c r="AX27" s="367" t="e" cm="1">
        <f t="array" aca="1" ref="AX27" ca="1">SUMPRODUCT(AX$55:AX$114,TRANSPOSE(SAP_Speadsheet!$E$91:$BL$91))</f>
        <v>#REF!</v>
      </c>
      <c r="AY27" s="367" t="e" cm="1">
        <f t="array" aca="1" ref="AY27" ca="1">SUMPRODUCT(AY$55:AY$114,TRANSPOSE(SAP_Speadsheet!$E$91:$BL$91))</f>
        <v>#REF!</v>
      </c>
      <c r="AZ27" s="367" t="e" cm="1">
        <f t="array" aca="1" ref="AZ27" ca="1">SUMPRODUCT(AZ$55:AZ$114,TRANSPOSE(SAP_Speadsheet!$E$91:$BL$91))</f>
        <v>#REF!</v>
      </c>
      <c r="BA27" s="367" t="e" cm="1">
        <f t="array" aca="1" ref="BA27" ca="1">SUMPRODUCT(BA$55:BA$114,TRANSPOSE(SAP_Speadsheet!$E$91:$BL$91))</f>
        <v>#REF!</v>
      </c>
      <c r="BB27" s="367" t="e" cm="1">
        <f t="array" aca="1" ref="BB27" ca="1">SUMPRODUCT(BB$55:BB$114,TRANSPOSE(SAP_Speadsheet!$E$91:$BL$91))</f>
        <v>#REF!</v>
      </c>
      <c r="BC27" s="367" t="e" cm="1">
        <f t="array" aca="1" ref="BC27" ca="1">SUMPRODUCT(BC$55:BC$114,TRANSPOSE(SAP_Speadsheet!$E$91:$BL$91))</f>
        <v>#REF!</v>
      </c>
      <c r="BD27" s="367" t="e" cm="1">
        <f t="array" aca="1" ref="BD27" ca="1">SUMPRODUCT(BD$55:BD$114,TRANSPOSE(SAP_Speadsheet!$E$91:$BL$91))</f>
        <v>#REF!</v>
      </c>
      <c r="BE27" s="367" t="e" cm="1">
        <f t="array" aca="1" ref="BE27" ca="1">SUMPRODUCT(BE$55:BE$114,TRANSPOSE(SAP_Speadsheet!$E$91:$BL$91))</f>
        <v>#REF!</v>
      </c>
      <c r="BF27" s="367" t="e" cm="1">
        <f t="array" aca="1" ref="BF27" ca="1">SUMPRODUCT(BF$55:BF$114,TRANSPOSE(SAP_Speadsheet!$E$91:$BL$91))</f>
        <v>#REF!</v>
      </c>
      <c r="BG27" s="367" t="e" cm="1">
        <f t="array" aca="1" ref="BG27" ca="1">SUMPRODUCT(BG$55:BG$114,TRANSPOSE(SAP_Speadsheet!$E$91:$BL$91))</f>
        <v>#REF!</v>
      </c>
      <c r="BH27" s="367" t="e" cm="1">
        <f t="array" aca="1" ref="BH27" ca="1">SUMPRODUCT(BH$55:BH$114,TRANSPOSE(SAP_Speadsheet!$E$91:$BL$91))</f>
        <v>#REF!</v>
      </c>
      <c r="BI27" s="367" t="e" cm="1">
        <f t="array" aca="1" ref="BI27" ca="1">SUMPRODUCT(BI$55:BI$114,TRANSPOSE(SAP_Speadsheet!$E$91:$BL$91))</f>
        <v>#REF!</v>
      </c>
    </row>
    <row r="28" spans="1:61" x14ac:dyDescent="0.15">
      <c r="A28" s="368" t="s">
        <v>314</v>
      </c>
      <c r="B28" s="362" cm="1">
        <f t="array" aca="1" ref="B28" ca="1">SUMPRODUCT(B$55:B$114,TRANSPOSE(SAP_Speadsheet!$E$95:$BL$95))</f>
        <v>0</v>
      </c>
      <c r="C28" s="362" cm="1">
        <f t="array" aca="1" ref="C28" ca="1">SUMPRODUCT(C$55:C$114,TRANSPOSE(SAP_Speadsheet!$E$95:$BL$95))</f>
        <v>0</v>
      </c>
      <c r="D28" s="362" cm="1">
        <f t="array" aca="1" ref="D28" ca="1">SUMPRODUCT(D$55:D$114,TRANSPOSE(SAP_Speadsheet!$E$95:$BL$95))</f>
        <v>0</v>
      </c>
      <c r="E28" s="362" cm="1">
        <f t="array" aca="1" ref="E28" ca="1">SUMPRODUCT(E$55:E$114,TRANSPOSE(SAP_Speadsheet!$E$95:$BL$95))</f>
        <v>0</v>
      </c>
      <c r="F28" s="362" cm="1">
        <f t="array" aca="1" ref="F28" ca="1">SUMPRODUCT(F$55:F$114,TRANSPOSE(SAP_Speadsheet!$E$95:$BL$95))</f>
        <v>0</v>
      </c>
      <c r="G28" s="362" cm="1">
        <f t="array" aca="1" ref="G28" ca="1">SUMPRODUCT(G$55:G$114,TRANSPOSE(SAP_Speadsheet!$E$95:$BL$95))</f>
        <v>0</v>
      </c>
      <c r="H28" s="362" t="e" cm="1">
        <f t="array" aca="1" ref="H28" ca="1">SUMPRODUCT(H$55:H$114,TRANSPOSE(SAP_Speadsheet!$E$95:$BL$95))</f>
        <v>#REF!</v>
      </c>
      <c r="I28" s="362" t="e" cm="1">
        <f t="array" aca="1" ref="I28" ca="1">SUMPRODUCT(I$55:I$114,TRANSPOSE(SAP_Speadsheet!$E$95:$BL$95))</f>
        <v>#REF!</v>
      </c>
      <c r="J28" s="362" t="e" cm="1">
        <f t="array" aca="1" ref="J28" ca="1">SUMPRODUCT(J$55:J$114,TRANSPOSE(SAP_Speadsheet!$E$95:$BL$95))</f>
        <v>#REF!</v>
      </c>
      <c r="K28" s="362" t="e" cm="1">
        <f t="array" aca="1" ref="K28" ca="1">SUMPRODUCT(K$55:K$114,TRANSPOSE(SAP_Speadsheet!$E$95:$BL$95))</f>
        <v>#REF!</v>
      </c>
      <c r="L28" s="362" t="e" cm="1">
        <f t="array" aca="1" ref="L28" ca="1">SUMPRODUCT(L$55:L$114,TRANSPOSE(SAP_Speadsheet!$E$95:$BL$95))</f>
        <v>#REF!</v>
      </c>
      <c r="M28" s="362" t="e" cm="1">
        <f t="array" aca="1" ref="M28" ca="1">SUMPRODUCT(M$55:M$114,TRANSPOSE(SAP_Speadsheet!$E$95:$BL$95))</f>
        <v>#REF!</v>
      </c>
      <c r="N28" s="362" t="e" cm="1">
        <f t="array" aca="1" ref="N28" ca="1">SUMPRODUCT(N$55:N$114,TRANSPOSE(SAP_Speadsheet!$E$95:$BL$95))</f>
        <v>#REF!</v>
      </c>
      <c r="O28" s="362" t="e" cm="1">
        <f t="array" aca="1" ref="O28" ca="1">SUMPRODUCT(O$55:O$114,TRANSPOSE(SAP_Speadsheet!$E$95:$BL$95))</f>
        <v>#REF!</v>
      </c>
      <c r="P28" s="362" t="e" cm="1">
        <f t="array" aca="1" ref="P28" ca="1">SUMPRODUCT(P$55:P$114,TRANSPOSE(SAP_Speadsheet!$E$95:$BL$95))</f>
        <v>#REF!</v>
      </c>
      <c r="Q28" s="362" t="e" cm="1">
        <f t="array" aca="1" ref="Q28" ca="1">SUMPRODUCT(Q$55:Q$114,TRANSPOSE(SAP_Speadsheet!$E$95:$BL$95))</f>
        <v>#REF!</v>
      </c>
      <c r="R28" s="362" t="e" cm="1">
        <f t="array" aca="1" ref="R28" ca="1">SUMPRODUCT(R$55:R$114,TRANSPOSE(SAP_Speadsheet!$E$95:$BL$95))</f>
        <v>#REF!</v>
      </c>
      <c r="S28" s="362" t="e" cm="1">
        <f t="array" aca="1" ref="S28" ca="1">SUMPRODUCT(S$55:S$114,TRANSPOSE(SAP_Speadsheet!$E$95:$BL$95))</f>
        <v>#REF!</v>
      </c>
      <c r="T28" s="362" t="e" cm="1">
        <f t="array" aca="1" ref="T28" ca="1">SUMPRODUCT(T$55:T$114,TRANSPOSE(SAP_Speadsheet!$E$95:$BL$95))</f>
        <v>#REF!</v>
      </c>
      <c r="U28" s="362" t="e" cm="1">
        <f t="array" aca="1" ref="U28" ca="1">SUMPRODUCT(U$55:U$114,TRANSPOSE(SAP_Speadsheet!$E$95:$BL$95))</f>
        <v>#REF!</v>
      </c>
      <c r="V28" s="362" t="e" cm="1">
        <f t="array" aca="1" ref="V28" ca="1">SUMPRODUCT(V$55:V$114,TRANSPOSE(SAP_Speadsheet!$E$95:$BL$95))</f>
        <v>#REF!</v>
      </c>
      <c r="W28" s="362" t="e" cm="1">
        <f t="array" aca="1" ref="W28" ca="1">SUMPRODUCT(W$55:W$114,TRANSPOSE(SAP_Speadsheet!$E$95:$BL$95))</f>
        <v>#REF!</v>
      </c>
      <c r="X28" s="362" t="e" cm="1">
        <f t="array" aca="1" ref="X28" ca="1">SUMPRODUCT(X$55:X$114,TRANSPOSE(SAP_Speadsheet!$E$95:$BL$95))</f>
        <v>#REF!</v>
      </c>
      <c r="Y28" s="362" t="e" cm="1">
        <f t="array" aca="1" ref="Y28" ca="1">SUMPRODUCT(Y$55:Y$114,TRANSPOSE(SAP_Speadsheet!$E$95:$BL$95))</f>
        <v>#REF!</v>
      </c>
      <c r="Z28" s="362" t="e" cm="1">
        <f t="array" aca="1" ref="Z28" ca="1">SUMPRODUCT(Z$55:Z$114,TRANSPOSE(SAP_Speadsheet!$E$95:$BL$95))</f>
        <v>#REF!</v>
      </c>
      <c r="AA28" s="362" t="e" cm="1">
        <f t="array" aca="1" ref="AA28" ca="1">SUMPRODUCT(AA$55:AA$114,TRANSPOSE(SAP_Speadsheet!$E$95:$BL$95))</f>
        <v>#REF!</v>
      </c>
      <c r="AB28" s="362" t="e" cm="1">
        <f t="array" aca="1" ref="AB28" ca="1">SUMPRODUCT(AB$55:AB$114,TRANSPOSE(SAP_Speadsheet!$E$95:$BL$95))</f>
        <v>#REF!</v>
      </c>
      <c r="AC28" s="362" t="e" cm="1">
        <f t="array" aca="1" ref="AC28" ca="1">SUMPRODUCT(AC$55:AC$114,TRANSPOSE(SAP_Speadsheet!$E$95:$BL$95))</f>
        <v>#REF!</v>
      </c>
      <c r="AD28" s="362" t="e" cm="1">
        <f t="array" aca="1" ref="AD28" ca="1">SUMPRODUCT(AD$55:AD$114,TRANSPOSE(SAP_Speadsheet!$E$95:$BL$95))</f>
        <v>#REF!</v>
      </c>
      <c r="AE28" s="362" t="e" cm="1">
        <f t="array" aca="1" ref="AE28" ca="1">SUMPRODUCT(AE$55:AE$114,TRANSPOSE(SAP_Speadsheet!$E$95:$BL$95))</f>
        <v>#REF!</v>
      </c>
      <c r="AF28" s="362" t="e" cm="1">
        <f t="array" aca="1" ref="AF28" ca="1">SUMPRODUCT(AF$55:AF$114,TRANSPOSE(SAP_Speadsheet!$E$95:$BL$95))</f>
        <v>#REF!</v>
      </c>
      <c r="AG28" s="362" t="e" cm="1">
        <f t="array" aca="1" ref="AG28" ca="1">SUMPRODUCT(AG$55:AG$114,TRANSPOSE(SAP_Speadsheet!$E$95:$BL$95))</f>
        <v>#REF!</v>
      </c>
      <c r="AH28" s="362" t="e" cm="1">
        <f t="array" aca="1" ref="AH28" ca="1">SUMPRODUCT(AH$55:AH$114,TRANSPOSE(SAP_Speadsheet!$E$95:$BL$95))</f>
        <v>#REF!</v>
      </c>
      <c r="AI28" s="362" t="e" cm="1">
        <f t="array" aca="1" ref="AI28" ca="1">SUMPRODUCT(AI$55:AI$114,TRANSPOSE(SAP_Speadsheet!$E$95:$BL$95))</f>
        <v>#REF!</v>
      </c>
      <c r="AJ28" s="362" t="e" cm="1">
        <f t="array" aca="1" ref="AJ28" ca="1">SUMPRODUCT(AJ$55:AJ$114,TRANSPOSE(SAP_Speadsheet!$E$95:$BL$95))</f>
        <v>#REF!</v>
      </c>
      <c r="AK28" s="362" t="e" cm="1">
        <f t="array" aca="1" ref="AK28" ca="1">SUMPRODUCT(AK$55:AK$114,TRANSPOSE(SAP_Speadsheet!$E$95:$BL$95))</f>
        <v>#REF!</v>
      </c>
      <c r="AL28" s="362" t="e" cm="1">
        <f t="array" aca="1" ref="AL28" ca="1">SUMPRODUCT(AL$55:AL$114,TRANSPOSE(SAP_Speadsheet!$E$95:$BL$95))</f>
        <v>#REF!</v>
      </c>
      <c r="AM28" s="362" t="e" cm="1">
        <f t="array" aca="1" ref="AM28" ca="1">SUMPRODUCT(AM$55:AM$114,TRANSPOSE(SAP_Speadsheet!$E$95:$BL$95))</f>
        <v>#REF!</v>
      </c>
      <c r="AN28" s="362" t="e" cm="1">
        <f t="array" aca="1" ref="AN28" ca="1">SUMPRODUCT(AN$55:AN$114,TRANSPOSE(SAP_Speadsheet!$E$95:$BL$95))</f>
        <v>#REF!</v>
      </c>
      <c r="AO28" s="362" t="e" cm="1">
        <f t="array" aca="1" ref="AO28" ca="1">SUMPRODUCT(AO$55:AO$114,TRANSPOSE(SAP_Speadsheet!$E$95:$BL$95))</f>
        <v>#REF!</v>
      </c>
      <c r="AP28" s="362" t="e" cm="1">
        <f t="array" aca="1" ref="AP28" ca="1">SUMPRODUCT(AP$55:AP$114,TRANSPOSE(SAP_Speadsheet!$E$95:$BL$95))</f>
        <v>#REF!</v>
      </c>
      <c r="AQ28" s="362" t="e" cm="1">
        <f t="array" aca="1" ref="AQ28" ca="1">SUMPRODUCT(AQ$55:AQ$114,TRANSPOSE(SAP_Speadsheet!$E$95:$BL$95))</f>
        <v>#REF!</v>
      </c>
      <c r="AR28" s="362" t="e" cm="1">
        <f t="array" aca="1" ref="AR28" ca="1">SUMPRODUCT(AR$55:AR$114,TRANSPOSE(SAP_Speadsheet!$E$95:$BL$95))</f>
        <v>#REF!</v>
      </c>
      <c r="AS28" s="362" t="e" cm="1">
        <f t="array" aca="1" ref="AS28" ca="1">SUMPRODUCT(AS$55:AS$114,TRANSPOSE(SAP_Speadsheet!$E$95:$BL$95))</f>
        <v>#REF!</v>
      </c>
      <c r="AT28" s="362" t="e" cm="1">
        <f t="array" aca="1" ref="AT28" ca="1">SUMPRODUCT(AT$55:AT$114,TRANSPOSE(SAP_Speadsheet!$E$95:$BL$95))</f>
        <v>#REF!</v>
      </c>
      <c r="AU28" s="362" t="e" cm="1">
        <f t="array" aca="1" ref="AU28" ca="1">SUMPRODUCT(AU$55:AU$114,TRANSPOSE(SAP_Speadsheet!$E$95:$BL$95))</f>
        <v>#REF!</v>
      </c>
      <c r="AV28" s="362" t="e" cm="1">
        <f t="array" aca="1" ref="AV28" ca="1">SUMPRODUCT(AV$55:AV$114,TRANSPOSE(SAP_Speadsheet!$E$95:$BL$95))</f>
        <v>#REF!</v>
      </c>
      <c r="AW28" s="362" t="e" cm="1">
        <f t="array" aca="1" ref="AW28" ca="1">SUMPRODUCT(AW$55:AW$114,TRANSPOSE(SAP_Speadsheet!$E$95:$BL$95))</f>
        <v>#REF!</v>
      </c>
      <c r="AX28" s="362" t="e" cm="1">
        <f t="array" aca="1" ref="AX28" ca="1">SUMPRODUCT(AX$55:AX$114,TRANSPOSE(SAP_Speadsheet!$E$95:$BL$95))</f>
        <v>#REF!</v>
      </c>
      <c r="AY28" s="362" t="e" cm="1">
        <f t="array" aca="1" ref="AY28" ca="1">SUMPRODUCT(AY$55:AY$114,TRANSPOSE(SAP_Speadsheet!$E$95:$BL$95))</f>
        <v>#REF!</v>
      </c>
      <c r="AZ28" s="362" t="e" cm="1">
        <f t="array" aca="1" ref="AZ28" ca="1">SUMPRODUCT(AZ$55:AZ$114,TRANSPOSE(SAP_Speadsheet!$E$95:$BL$95))</f>
        <v>#REF!</v>
      </c>
      <c r="BA28" s="362" t="e" cm="1">
        <f t="array" aca="1" ref="BA28" ca="1">SUMPRODUCT(BA$55:BA$114,TRANSPOSE(SAP_Speadsheet!$E$95:$BL$95))</f>
        <v>#REF!</v>
      </c>
      <c r="BB28" s="362" t="e" cm="1">
        <f t="array" aca="1" ref="BB28" ca="1">SUMPRODUCT(BB$55:BB$114,TRANSPOSE(SAP_Speadsheet!$E$95:$BL$95))</f>
        <v>#REF!</v>
      </c>
      <c r="BC28" s="362" t="e" cm="1">
        <f t="array" aca="1" ref="BC28" ca="1">SUMPRODUCT(BC$55:BC$114,TRANSPOSE(SAP_Speadsheet!$E$95:$BL$95))</f>
        <v>#REF!</v>
      </c>
      <c r="BD28" s="362" t="e" cm="1">
        <f t="array" aca="1" ref="BD28" ca="1">SUMPRODUCT(BD$55:BD$114,TRANSPOSE(SAP_Speadsheet!$E$95:$BL$95))</f>
        <v>#REF!</v>
      </c>
      <c r="BE28" s="362" t="e" cm="1">
        <f t="array" aca="1" ref="BE28" ca="1">SUMPRODUCT(BE$55:BE$114,TRANSPOSE(SAP_Speadsheet!$E$95:$BL$95))</f>
        <v>#REF!</v>
      </c>
      <c r="BF28" s="362" t="e" cm="1">
        <f t="array" aca="1" ref="BF28" ca="1">SUMPRODUCT(BF$55:BF$114,TRANSPOSE(SAP_Speadsheet!$E$95:$BL$95))</f>
        <v>#REF!</v>
      </c>
      <c r="BG28" s="362" t="e" cm="1">
        <f t="array" aca="1" ref="BG28" ca="1">SUMPRODUCT(BG$55:BG$114,TRANSPOSE(SAP_Speadsheet!$E$95:$BL$95))</f>
        <v>#REF!</v>
      </c>
      <c r="BH28" s="362" t="e" cm="1">
        <f t="array" aca="1" ref="BH28" ca="1">SUMPRODUCT(BH$55:BH$114,TRANSPOSE(SAP_Speadsheet!$E$95:$BL$95))</f>
        <v>#REF!</v>
      </c>
      <c r="BI28" s="362" t="e" cm="1">
        <f t="array" aca="1" ref="BI28" ca="1">SUMPRODUCT(BI$55:BI$114,TRANSPOSE(SAP_Speadsheet!$E$95:$BL$95))</f>
        <v>#REF!</v>
      </c>
    </row>
    <row r="29" spans="1:61" x14ac:dyDescent="0.15">
      <c r="A29" s="355" t="s">
        <v>455</v>
      </c>
      <c r="B29" s="362" cm="1">
        <f t="array" aca="1" ref="B29" ca="1">SUMPRODUCT(B$55:B$114,TRANSPOSE(SAP_Speadsheet!$E$99:$BL$99))</f>
        <v>0</v>
      </c>
      <c r="C29" s="362" cm="1">
        <f t="array" aca="1" ref="C29" ca="1">SUMPRODUCT(C$55:C$114,TRANSPOSE(SAP_Speadsheet!$E$99:$BL$99))</f>
        <v>0</v>
      </c>
      <c r="D29" s="362" cm="1">
        <f t="array" aca="1" ref="D29" ca="1">SUMPRODUCT(D$55:D$114,TRANSPOSE(SAP_Speadsheet!$E$99:$BL$99))</f>
        <v>0</v>
      </c>
      <c r="E29" s="362" cm="1">
        <f t="array" aca="1" ref="E29" ca="1">SUMPRODUCT(E$55:E$114,TRANSPOSE(SAP_Speadsheet!$E$99:$BL$99))</f>
        <v>0</v>
      </c>
      <c r="F29" s="362" cm="1">
        <f t="array" aca="1" ref="F29" ca="1">SUMPRODUCT(F$55:F$114,TRANSPOSE(SAP_Speadsheet!$E$99:$BL$99))</f>
        <v>0</v>
      </c>
      <c r="G29" s="362" cm="1">
        <f t="array" aca="1" ref="G29" ca="1">SUMPRODUCT(G$55:G$114,TRANSPOSE(SAP_Speadsheet!$E$99:$BL$99))</f>
        <v>0</v>
      </c>
      <c r="H29" s="362" t="e" cm="1">
        <f t="array" aca="1" ref="H29" ca="1">SUMPRODUCT(H$55:H$114,TRANSPOSE(SAP_Speadsheet!$E$99:$BL$99))</f>
        <v>#REF!</v>
      </c>
      <c r="I29" s="362" t="e" cm="1">
        <f t="array" aca="1" ref="I29" ca="1">SUMPRODUCT(I$55:I$114,TRANSPOSE(SAP_Speadsheet!$E$99:$BL$99))</f>
        <v>#REF!</v>
      </c>
      <c r="J29" s="362" t="e" cm="1">
        <f t="array" aca="1" ref="J29" ca="1">SUMPRODUCT(J$55:J$114,TRANSPOSE(SAP_Speadsheet!$E$99:$BL$99))</f>
        <v>#REF!</v>
      </c>
      <c r="K29" s="362" t="e" cm="1">
        <f t="array" aca="1" ref="K29" ca="1">SUMPRODUCT(K$55:K$114,TRANSPOSE(SAP_Speadsheet!$E$99:$BL$99))</f>
        <v>#REF!</v>
      </c>
      <c r="L29" s="362" t="e" cm="1">
        <f t="array" aca="1" ref="L29" ca="1">SUMPRODUCT(L$55:L$114,TRANSPOSE(SAP_Speadsheet!$E$99:$BL$99))</f>
        <v>#REF!</v>
      </c>
      <c r="M29" s="362" t="e" cm="1">
        <f t="array" aca="1" ref="M29" ca="1">SUMPRODUCT(M$55:M$114,TRANSPOSE(SAP_Speadsheet!$E$99:$BL$99))</f>
        <v>#REF!</v>
      </c>
      <c r="N29" s="362" t="e" cm="1">
        <f t="array" aca="1" ref="N29" ca="1">SUMPRODUCT(N$55:N$114,TRANSPOSE(SAP_Speadsheet!$E$99:$BL$99))</f>
        <v>#REF!</v>
      </c>
      <c r="O29" s="362" t="e" cm="1">
        <f t="array" aca="1" ref="O29" ca="1">SUMPRODUCT(O$55:O$114,TRANSPOSE(SAP_Speadsheet!$E$99:$BL$99))</f>
        <v>#REF!</v>
      </c>
      <c r="P29" s="362" t="e" cm="1">
        <f t="array" aca="1" ref="P29" ca="1">SUMPRODUCT(P$55:P$114,TRANSPOSE(SAP_Speadsheet!$E$99:$BL$99))</f>
        <v>#REF!</v>
      </c>
      <c r="Q29" s="362" t="e" cm="1">
        <f t="array" aca="1" ref="Q29" ca="1">SUMPRODUCT(Q$55:Q$114,TRANSPOSE(SAP_Speadsheet!$E$99:$BL$99))</f>
        <v>#REF!</v>
      </c>
      <c r="R29" s="362" t="e" cm="1">
        <f t="array" aca="1" ref="R29" ca="1">SUMPRODUCT(R$55:R$114,TRANSPOSE(SAP_Speadsheet!$E$99:$BL$99))</f>
        <v>#REF!</v>
      </c>
      <c r="S29" s="362" t="e" cm="1">
        <f t="array" aca="1" ref="S29" ca="1">SUMPRODUCT(S$55:S$114,TRANSPOSE(SAP_Speadsheet!$E$99:$BL$99))</f>
        <v>#REF!</v>
      </c>
      <c r="T29" s="362" t="e" cm="1">
        <f t="array" aca="1" ref="T29" ca="1">SUMPRODUCT(T$55:T$114,TRANSPOSE(SAP_Speadsheet!$E$99:$BL$99))</f>
        <v>#REF!</v>
      </c>
      <c r="U29" s="362" t="e" cm="1">
        <f t="array" aca="1" ref="U29" ca="1">SUMPRODUCT(U$55:U$114,TRANSPOSE(SAP_Speadsheet!$E$99:$BL$99))</f>
        <v>#REF!</v>
      </c>
      <c r="V29" s="362" t="e" cm="1">
        <f t="array" aca="1" ref="V29" ca="1">SUMPRODUCT(V$55:V$114,TRANSPOSE(SAP_Speadsheet!$E$99:$BL$99))</f>
        <v>#REF!</v>
      </c>
      <c r="W29" s="362" t="e" cm="1">
        <f t="array" aca="1" ref="W29" ca="1">SUMPRODUCT(W$55:W$114,TRANSPOSE(SAP_Speadsheet!$E$99:$BL$99))</f>
        <v>#REF!</v>
      </c>
      <c r="X29" s="362" t="e" cm="1">
        <f t="array" aca="1" ref="X29" ca="1">SUMPRODUCT(X$55:X$114,TRANSPOSE(SAP_Speadsheet!$E$99:$BL$99))</f>
        <v>#REF!</v>
      </c>
      <c r="Y29" s="362" t="e" cm="1">
        <f t="array" aca="1" ref="Y29" ca="1">SUMPRODUCT(Y$55:Y$114,TRANSPOSE(SAP_Speadsheet!$E$99:$BL$99))</f>
        <v>#REF!</v>
      </c>
      <c r="Z29" s="362" t="e" cm="1">
        <f t="array" aca="1" ref="Z29" ca="1">SUMPRODUCT(Z$55:Z$114,TRANSPOSE(SAP_Speadsheet!$E$99:$BL$99))</f>
        <v>#REF!</v>
      </c>
      <c r="AA29" s="362" t="e" cm="1">
        <f t="array" aca="1" ref="AA29" ca="1">SUMPRODUCT(AA$55:AA$114,TRANSPOSE(SAP_Speadsheet!$E$99:$BL$99))</f>
        <v>#REF!</v>
      </c>
      <c r="AB29" s="362" t="e" cm="1">
        <f t="array" aca="1" ref="AB29" ca="1">SUMPRODUCT(AB$55:AB$114,TRANSPOSE(SAP_Speadsheet!$E$99:$BL$99))</f>
        <v>#REF!</v>
      </c>
      <c r="AC29" s="362" t="e" cm="1">
        <f t="array" aca="1" ref="AC29" ca="1">SUMPRODUCT(AC$55:AC$114,TRANSPOSE(SAP_Speadsheet!$E$99:$BL$99))</f>
        <v>#REF!</v>
      </c>
      <c r="AD29" s="362" t="e" cm="1">
        <f t="array" aca="1" ref="AD29" ca="1">SUMPRODUCT(AD$55:AD$114,TRANSPOSE(SAP_Speadsheet!$E$99:$BL$99))</f>
        <v>#REF!</v>
      </c>
      <c r="AE29" s="362" t="e" cm="1">
        <f t="array" aca="1" ref="AE29" ca="1">SUMPRODUCT(AE$55:AE$114,TRANSPOSE(SAP_Speadsheet!$E$99:$BL$99))</f>
        <v>#REF!</v>
      </c>
      <c r="AF29" s="362" t="e" cm="1">
        <f t="array" aca="1" ref="AF29" ca="1">SUMPRODUCT(AF$55:AF$114,TRANSPOSE(SAP_Speadsheet!$E$99:$BL$99))</f>
        <v>#REF!</v>
      </c>
      <c r="AG29" s="362" t="e" cm="1">
        <f t="array" aca="1" ref="AG29" ca="1">SUMPRODUCT(AG$55:AG$114,TRANSPOSE(SAP_Speadsheet!$E$99:$BL$99))</f>
        <v>#REF!</v>
      </c>
      <c r="AH29" s="362" t="e" cm="1">
        <f t="array" aca="1" ref="AH29" ca="1">SUMPRODUCT(AH$55:AH$114,TRANSPOSE(SAP_Speadsheet!$E$99:$BL$99))</f>
        <v>#REF!</v>
      </c>
      <c r="AI29" s="362" t="e" cm="1">
        <f t="array" aca="1" ref="AI29" ca="1">SUMPRODUCT(AI$55:AI$114,TRANSPOSE(SAP_Speadsheet!$E$99:$BL$99))</f>
        <v>#REF!</v>
      </c>
      <c r="AJ29" s="362" t="e" cm="1">
        <f t="array" aca="1" ref="AJ29" ca="1">SUMPRODUCT(AJ$55:AJ$114,TRANSPOSE(SAP_Speadsheet!$E$99:$BL$99))</f>
        <v>#REF!</v>
      </c>
      <c r="AK29" s="362" t="e" cm="1">
        <f t="array" aca="1" ref="AK29" ca="1">SUMPRODUCT(AK$55:AK$114,TRANSPOSE(SAP_Speadsheet!$E$99:$BL$99))</f>
        <v>#REF!</v>
      </c>
      <c r="AL29" s="362" t="e" cm="1">
        <f t="array" aca="1" ref="AL29" ca="1">SUMPRODUCT(AL$55:AL$114,TRANSPOSE(SAP_Speadsheet!$E$99:$BL$99))</f>
        <v>#REF!</v>
      </c>
      <c r="AM29" s="362" t="e" cm="1">
        <f t="array" aca="1" ref="AM29" ca="1">SUMPRODUCT(AM$55:AM$114,TRANSPOSE(SAP_Speadsheet!$E$99:$BL$99))</f>
        <v>#REF!</v>
      </c>
      <c r="AN29" s="362" t="e" cm="1">
        <f t="array" aca="1" ref="AN29" ca="1">SUMPRODUCT(AN$55:AN$114,TRANSPOSE(SAP_Speadsheet!$E$99:$BL$99))</f>
        <v>#REF!</v>
      </c>
      <c r="AO29" s="362" t="e" cm="1">
        <f t="array" aca="1" ref="AO29" ca="1">SUMPRODUCT(AO$55:AO$114,TRANSPOSE(SAP_Speadsheet!$E$99:$BL$99))</f>
        <v>#REF!</v>
      </c>
      <c r="AP29" s="362" t="e" cm="1">
        <f t="array" aca="1" ref="AP29" ca="1">SUMPRODUCT(AP$55:AP$114,TRANSPOSE(SAP_Speadsheet!$E$99:$BL$99))</f>
        <v>#REF!</v>
      </c>
      <c r="AQ29" s="362" t="e" cm="1">
        <f t="array" aca="1" ref="AQ29" ca="1">SUMPRODUCT(AQ$55:AQ$114,TRANSPOSE(SAP_Speadsheet!$E$99:$BL$99))</f>
        <v>#REF!</v>
      </c>
      <c r="AR29" s="362" t="e" cm="1">
        <f t="array" aca="1" ref="AR29" ca="1">SUMPRODUCT(AR$55:AR$114,TRANSPOSE(SAP_Speadsheet!$E$99:$BL$99))</f>
        <v>#REF!</v>
      </c>
      <c r="AS29" s="362" t="e" cm="1">
        <f t="array" aca="1" ref="AS29" ca="1">SUMPRODUCT(AS$55:AS$114,TRANSPOSE(SAP_Speadsheet!$E$99:$BL$99))</f>
        <v>#REF!</v>
      </c>
      <c r="AT29" s="362" t="e" cm="1">
        <f t="array" aca="1" ref="AT29" ca="1">SUMPRODUCT(AT$55:AT$114,TRANSPOSE(SAP_Speadsheet!$E$99:$BL$99))</f>
        <v>#REF!</v>
      </c>
      <c r="AU29" s="362" t="e" cm="1">
        <f t="array" aca="1" ref="AU29" ca="1">SUMPRODUCT(AU$55:AU$114,TRANSPOSE(SAP_Speadsheet!$E$99:$BL$99))</f>
        <v>#REF!</v>
      </c>
      <c r="AV29" s="362" t="e" cm="1">
        <f t="array" aca="1" ref="AV29" ca="1">SUMPRODUCT(AV$55:AV$114,TRANSPOSE(SAP_Speadsheet!$E$99:$BL$99))</f>
        <v>#REF!</v>
      </c>
      <c r="AW29" s="362" t="e" cm="1">
        <f t="array" aca="1" ref="AW29" ca="1">SUMPRODUCT(AW$55:AW$114,TRANSPOSE(SAP_Speadsheet!$E$99:$BL$99))</f>
        <v>#REF!</v>
      </c>
      <c r="AX29" s="362" t="e" cm="1">
        <f t="array" aca="1" ref="AX29" ca="1">SUMPRODUCT(AX$55:AX$114,TRANSPOSE(SAP_Speadsheet!$E$99:$BL$99))</f>
        <v>#REF!</v>
      </c>
      <c r="AY29" s="362" t="e" cm="1">
        <f t="array" aca="1" ref="AY29" ca="1">SUMPRODUCT(AY$55:AY$114,TRANSPOSE(SAP_Speadsheet!$E$99:$BL$99))</f>
        <v>#REF!</v>
      </c>
      <c r="AZ29" s="362" t="e" cm="1">
        <f t="array" aca="1" ref="AZ29" ca="1">SUMPRODUCT(AZ$55:AZ$114,TRANSPOSE(SAP_Speadsheet!$E$99:$BL$99))</f>
        <v>#REF!</v>
      </c>
      <c r="BA29" s="362" t="e" cm="1">
        <f t="array" aca="1" ref="BA29" ca="1">SUMPRODUCT(BA$55:BA$114,TRANSPOSE(SAP_Speadsheet!$E$99:$BL$99))</f>
        <v>#REF!</v>
      </c>
      <c r="BB29" s="362" t="e" cm="1">
        <f t="array" aca="1" ref="BB29" ca="1">SUMPRODUCT(BB$55:BB$114,TRANSPOSE(SAP_Speadsheet!$E$99:$BL$99))</f>
        <v>#REF!</v>
      </c>
      <c r="BC29" s="362" t="e" cm="1">
        <f t="array" aca="1" ref="BC29" ca="1">SUMPRODUCT(BC$55:BC$114,TRANSPOSE(SAP_Speadsheet!$E$99:$BL$99))</f>
        <v>#REF!</v>
      </c>
      <c r="BD29" s="362" t="e" cm="1">
        <f t="array" aca="1" ref="BD29" ca="1">SUMPRODUCT(BD$55:BD$114,TRANSPOSE(SAP_Speadsheet!$E$99:$BL$99))</f>
        <v>#REF!</v>
      </c>
      <c r="BE29" s="362" t="e" cm="1">
        <f t="array" aca="1" ref="BE29" ca="1">SUMPRODUCT(BE$55:BE$114,TRANSPOSE(SAP_Speadsheet!$E$99:$BL$99))</f>
        <v>#REF!</v>
      </c>
      <c r="BF29" s="362" t="e" cm="1">
        <f t="array" aca="1" ref="BF29" ca="1">SUMPRODUCT(BF$55:BF$114,TRANSPOSE(SAP_Speadsheet!$E$99:$BL$99))</f>
        <v>#REF!</v>
      </c>
      <c r="BG29" s="362" t="e" cm="1">
        <f t="array" aca="1" ref="BG29" ca="1">SUMPRODUCT(BG$55:BG$114,TRANSPOSE(SAP_Speadsheet!$E$99:$BL$99))</f>
        <v>#REF!</v>
      </c>
      <c r="BH29" s="362" t="e" cm="1">
        <f t="array" aca="1" ref="BH29" ca="1">SUMPRODUCT(BH$55:BH$114,TRANSPOSE(SAP_Speadsheet!$E$99:$BL$99))</f>
        <v>#REF!</v>
      </c>
      <c r="BI29" s="362" t="e" cm="1">
        <f t="array" aca="1" ref="BI29" ca="1">SUMPRODUCT(BI$55:BI$114,TRANSPOSE(SAP_Speadsheet!$E$99:$BL$99))</f>
        <v>#REF!</v>
      </c>
    </row>
    <row r="30" spans="1:61" x14ac:dyDescent="0.15">
      <c r="A30" s="355" t="s">
        <v>235</v>
      </c>
      <c r="B30" s="362" cm="1">
        <f t="array" aca="1" ref="B30" ca="1">SUMPRODUCT(B$55:B$114,TRANSPOSE(SAP_Speadsheet!$E$103:$BL$103))</f>
        <v>0</v>
      </c>
      <c r="C30" s="362" cm="1">
        <f t="array" aca="1" ref="C30" ca="1">SUMPRODUCT(C$55:C$114,TRANSPOSE(SAP_Speadsheet!$E$103:$BL$103))</f>
        <v>0</v>
      </c>
      <c r="D30" s="362" cm="1">
        <f t="array" aca="1" ref="D30" ca="1">SUMPRODUCT(D$55:D$114,TRANSPOSE(SAP_Speadsheet!$E$103:$BL$103))</f>
        <v>0</v>
      </c>
      <c r="E30" s="362" cm="1">
        <f t="array" aca="1" ref="E30" ca="1">SUMPRODUCT(E$55:E$114,TRANSPOSE(SAP_Speadsheet!$E$103:$BL$103))</f>
        <v>0</v>
      </c>
      <c r="F30" s="362" cm="1">
        <f t="array" aca="1" ref="F30" ca="1">SUMPRODUCT(F$55:F$114,TRANSPOSE(SAP_Speadsheet!$E$103:$BL$103))</f>
        <v>0</v>
      </c>
      <c r="G30" s="362" cm="1">
        <f t="array" aca="1" ref="G30" ca="1">SUMPRODUCT(G$55:G$114,TRANSPOSE(SAP_Speadsheet!$E$103:$BL$103))</f>
        <v>0</v>
      </c>
      <c r="H30" s="362" t="e" cm="1">
        <f t="array" aca="1" ref="H30" ca="1">SUMPRODUCT(H$55:H$114,TRANSPOSE(SAP_Speadsheet!$E$103:$BL$103))</f>
        <v>#REF!</v>
      </c>
      <c r="I30" s="362" t="e" cm="1">
        <f t="array" aca="1" ref="I30" ca="1">SUMPRODUCT(I$55:I$114,TRANSPOSE(SAP_Speadsheet!$E$103:$BL$103))</f>
        <v>#REF!</v>
      </c>
      <c r="J30" s="362" t="e" cm="1">
        <f t="array" aca="1" ref="J30" ca="1">SUMPRODUCT(J$55:J$114,TRANSPOSE(SAP_Speadsheet!$E$103:$BL$103))</f>
        <v>#REF!</v>
      </c>
      <c r="K30" s="362" t="e" cm="1">
        <f t="array" aca="1" ref="K30" ca="1">SUMPRODUCT(K$55:K$114,TRANSPOSE(SAP_Speadsheet!$E$103:$BL$103))</f>
        <v>#REF!</v>
      </c>
      <c r="L30" s="362" t="e" cm="1">
        <f t="array" aca="1" ref="L30" ca="1">SUMPRODUCT(L$55:L$114,TRANSPOSE(SAP_Speadsheet!$E$103:$BL$103))</f>
        <v>#REF!</v>
      </c>
      <c r="M30" s="362" t="e" cm="1">
        <f t="array" aca="1" ref="M30" ca="1">SUMPRODUCT(M$55:M$114,TRANSPOSE(SAP_Speadsheet!$E$103:$BL$103))</f>
        <v>#REF!</v>
      </c>
      <c r="N30" s="362" t="e" cm="1">
        <f t="array" aca="1" ref="N30" ca="1">SUMPRODUCT(N$55:N$114,TRANSPOSE(SAP_Speadsheet!$E$103:$BL$103))</f>
        <v>#REF!</v>
      </c>
      <c r="O30" s="362" t="e" cm="1">
        <f t="array" aca="1" ref="O30" ca="1">SUMPRODUCT(O$55:O$114,TRANSPOSE(SAP_Speadsheet!$E$103:$BL$103))</f>
        <v>#REF!</v>
      </c>
      <c r="P30" s="362" t="e" cm="1">
        <f t="array" aca="1" ref="P30" ca="1">SUMPRODUCT(P$55:P$114,TRANSPOSE(SAP_Speadsheet!$E$103:$BL$103))</f>
        <v>#REF!</v>
      </c>
      <c r="Q30" s="362" t="e" cm="1">
        <f t="array" aca="1" ref="Q30" ca="1">SUMPRODUCT(Q$55:Q$114,TRANSPOSE(SAP_Speadsheet!$E$103:$BL$103))</f>
        <v>#REF!</v>
      </c>
      <c r="R30" s="362" t="e" cm="1">
        <f t="array" aca="1" ref="R30" ca="1">SUMPRODUCT(R$55:R$114,TRANSPOSE(SAP_Speadsheet!$E$103:$BL$103))</f>
        <v>#REF!</v>
      </c>
      <c r="S30" s="362" t="e" cm="1">
        <f t="array" aca="1" ref="S30" ca="1">SUMPRODUCT(S$55:S$114,TRANSPOSE(SAP_Speadsheet!$E$103:$BL$103))</f>
        <v>#REF!</v>
      </c>
      <c r="T30" s="362" t="e" cm="1">
        <f t="array" aca="1" ref="T30" ca="1">SUMPRODUCT(T$55:T$114,TRANSPOSE(SAP_Speadsheet!$E$103:$BL$103))</f>
        <v>#REF!</v>
      </c>
      <c r="U30" s="362" t="e" cm="1">
        <f t="array" aca="1" ref="U30" ca="1">SUMPRODUCT(U$55:U$114,TRANSPOSE(SAP_Speadsheet!$E$103:$BL$103))</f>
        <v>#REF!</v>
      </c>
      <c r="V30" s="362" t="e" cm="1">
        <f t="array" aca="1" ref="V30" ca="1">SUMPRODUCT(V$55:V$114,TRANSPOSE(SAP_Speadsheet!$E$103:$BL$103))</f>
        <v>#REF!</v>
      </c>
      <c r="W30" s="362" t="e" cm="1">
        <f t="array" aca="1" ref="W30" ca="1">SUMPRODUCT(W$55:W$114,TRANSPOSE(SAP_Speadsheet!$E$103:$BL$103))</f>
        <v>#REF!</v>
      </c>
      <c r="X30" s="362" t="e" cm="1">
        <f t="array" aca="1" ref="X30" ca="1">SUMPRODUCT(X$55:X$114,TRANSPOSE(SAP_Speadsheet!$E$103:$BL$103))</f>
        <v>#REF!</v>
      </c>
      <c r="Y30" s="362" t="e" cm="1">
        <f t="array" aca="1" ref="Y30" ca="1">SUMPRODUCT(Y$55:Y$114,TRANSPOSE(SAP_Speadsheet!$E$103:$BL$103))</f>
        <v>#REF!</v>
      </c>
      <c r="Z30" s="362" t="e" cm="1">
        <f t="array" aca="1" ref="Z30" ca="1">SUMPRODUCT(Z$55:Z$114,TRANSPOSE(SAP_Speadsheet!$E$103:$BL$103))</f>
        <v>#REF!</v>
      </c>
      <c r="AA30" s="362" t="e" cm="1">
        <f t="array" aca="1" ref="AA30" ca="1">SUMPRODUCT(AA$55:AA$114,TRANSPOSE(SAP_Speadsheet!$E$103:$BL$103))</f>
        <v>#REF!</v>
      </c>
      <c r="AB30" s="362" t="e" cm="1">
        <f t="array" aca="1" ref="AB30" ca="1">SUMPRODUCT(AB$55:AB$114,TRANSPOSE(SAP_Speadsheet!$E$103:$BL$103))</f>
        <v>#REF!</v>
      </c>
      <c r="AC30" s="362" t="e" cm="1">
        <f t="array" aca="1" ref="AC30" ca="1">SUMPRODUCT(AC$55:AC$114,TRANSPOSE(SAP_Speadsheet!$E$103:$BL$103))</f>
        <v>#REF!</v>
      </c>
      <c r="AD30" s="362" t="e" cm="1">
        <f t="array" aca="1" ref="AD30" ca="1">SUMPRODUCT(AD$55:AD$114,TRANSPOSE(SAP_Speadsheet!$E$103:$BL$103))</f>
        <v>#REF!</v>
      </c>
      <c r="AE30" s="362" t="e" cm="1">
        <f t="array" aca="1" ref="AE30" ca="1">SUMPRODUCT(AE$55:AE$114,TRANSPOSE(SAP_Speadsheet!$E$103:$BL$103))</f>
        <v>#REF!</v>
      </c>
      <c r="AF30" s="362" t="e" cm="1">
        <f t="array" aca="1" ref="AF30" ca="1">SUMPRODUCT(AF$55:AF$114,TRANSPOSE(SAP_Speadsheet!$E$103:$BL$103))</f>
        <v>#REF!</v>
      </c>
      <c r="AG30" s="362" t="e" cm="1">
        <f t="array" aca="1" ref="AG30" ca="1">SUMPRODUCT(AG$55:AG$114,TRANSPOSE(SAP_Speadsheet!$E$103:$BL$103))</f>
        <v>#REF!</v>
      </c>
      <c r="AH30" s="362" t="e" cm="1">
        <f t="array" aca="1" ref="AH30" ca="1">SUMPRODUCT(AH$55:AH$114,TRANSPOSE(SAP_Speadsheet!$E$103:$BL$103))</f>
        <v>#REF!</v>
      </c>
      <c r="AI30" s="362" t="e" cm="1">
        <f t="array" aca="1" ref="AI30" ca="1">SUMPRODUCT(AI$55:AI$114,TRANSPOSE(SAP_Speadsheet!$E$103:$BL$103))</f>
        <v>#REF!</v>
      </c>
      <c r="AJ30" s="362" t="e" cm="1">
        <f t="array" aca="1" ref="AJ30" ca="1">SUMPRODUCT(AJ$55:AJ$114,TRANSPOSE(SAP_Speadsheet!$E$103:$BL$103))</f>
        <v>#REF!</v>
      </c>
      <c r="AK30" s="362" t="e" cm="1">
        <f t="array" aca="1" ref="AK30" ca="1">SUMPRODUCT(AK$55:AK$114,TRANSPOSE(SAP_Speadsheet!$E$103:$BL$103))</f>
        <v>#REF!</v>
      </c>
      <c r="AL30" s="362" t="e" cm="1">
        <f t="array" aca="1" ref="AL30" ca="1">SUMPRODUCT(AL$55:AL$114,TRANSPOSE(SAP_Speadsheet!$E$103:$BL$103))</f>
        <v>#REF!</v>
      </c>
      <c r="AM30" s="362" t="e" cm="1">
        <f t="array" aca="1" ref="AM30" ca="1">SUMPRODUCT(AM$55:AM$114,TRANSPOSE(SAP_Speadsheet!$E$103:$BL$103))</f>
        <v>#REF!</v>
      </c>
      <c r="AN30" s="362" t="e" cm="1">
        <f t="array" aca="1" ref="AN30" ca="1">SUMPRODUCT(AN$55:AN$114,TRANSPOSE(SAP_Speadsheet!$E$103:$BL$103))</f>
        <v>#REF!</v>
      </c>
      <c r="AO30" s="362" t="e" cm="1">
        <f t="array" aca="1" ref="AO30" ca="1">SUMPRODUCT(AO$55:AO$114,TRANSPOSE(SAP_Speadsheet!$E$103:$BL$103))</f>
        <v>#REF!</v>
      </c>
      <c r="AP30" s="362" t="e" cm="1">
        <f t="array" aca="1" ref="AP30" ca="1">SUMPRODUCT(AP$55:AP$114,TRANSPOSE(SAP_Speadsheet!$E$103:$BL$103))</f>
        <v>#REF!</v>
      </c>
      <c r="AQ30" s="362" t="e" cm="1">
        <f t="array" aca="1" ref="AQ30" ca="1">SUMPRODUCT(AQ$55:AQ$114,TRANSPOSE(SAP_Speadsheet!$E$103:$BL$103))</f>
        <v>#REF!</v>
      </c>
      <c r="AR30" s="362" t="e" cm="1">
        <f t="array" aca="1" ref="AR30" ca="1">SUMPRODUCT(AR$55:AR$114,TRANSPOSE(SAP_Speadsheet!$E$103:$BL$103))</f>
        <v>#REF!</v>
      </c>
      <c r="AS30" s="362" t="e" cm="1">
        <f t="array" aca="1" ref="AS30" ca="1">SUMPRODUCT(AS$55:AS$114,TRANSPOSE(SAP_Speadsheet!$E$103:$BL$103))</f>
        <v>#REF!</v>
      </c>
      <c r="AT30" s="362" t="e" cm="1">
        <f t="array" aca="1" ref="AT30" ca="1">SUMPRODUCT(AT$55:AT$114,TRANSPOSE(SAP_Speadsheet!$E$103:$BL$103))</f>
        <v>#REF!</v>
      </c>
      <c r="AU30" s="362" t="e" cm="1">
        <f t="array" aca="1" ref="AU30" ca="1">SUMPRODUCT(AU$55:AU$114,TRANSPOSE(SAP_Speadsheet!$E$103:$BL$103))</f>
        <v>#REF!</v>
      </c>
      <c r="AV30" s="362" t="e" cm="1">
        <f t="array" aca="1" ref="AV30" ca="1">SUMPRODUCT(AV$55:AV$114,TRANSPOSE(SAP_Speadsheet!$E$103:$BL$103))</f>
        <v>#REF!</v>
      </c>
      <c r="AW30" s="362" t="e" cm="1">
        <f t="array" aca="1" ref="AW30" ca="1">SUMPRODUCT(AW$55:AW$114,TRANSPOSE(SAP_Speadsheet!$E$103:$BL$103))</f>
        <v>#REF!</v>
      </c>
      <c r="AX30" s="362" t="e" cm="1">
        <f t="array" aca="1" ref="AX30" ca="1">SUMPRODUCT(AX$55:AX$114,TRANSPOSE(SAP_Speadsheet!$E$103:$BL$103))</f>
        <v>#REF!</v>
      </c>
      <c r="AY30" s="362" t="e" cm="1">
        <f t="array" aca="1" ref="AY30" ca="1">SUMPRODUCT(AY$55:AY$114,TRANSPOSE(SAP_Speadsheet!$E$103:$BL$103))</f>
        <v>#REF!</v>
      </c>
      <c r="AZ30" s="362" t="e" cm="1">
        <f t="array" aca="1" ref="AZ30" ca="1">SUMPRODUCT(AZ$55:AZ$114,TRANSPOSE(SAP_Speadsheet!$E$103:$BL$103))</f>
        <v>#REF!</v>
      </c>
      <c r="BA30" s="362" t="e" cm="1">
        <f t="array" aca="1" ref="BA30" ca="1">SUMPRODUCT(BA$55:BA$114,TRANSPOSE(SAP_Speadsheet!$E$103:$BL$103))</f>
        <v>#REF!</v>
      </c>
      <c r="BB30" s="362" t="e" cm="1">
        <f t="array" aca="1" ref="BB30" ca="1">SUMPRODUCT(BB$55:BB$114,TRANSPOSE(SAP_Speadsheet!$E$103:$BL$103))</f>
        <v>#REF!</v>
      </c>
      <c r="BC30" s="362" t="e" cm="1">
        <f t="array" aca="1" ref="BC30" ca="1">SUMPRODUCT(BC$55:BC$114,TRANSPOSE(SAP_Speadsheet!$E$103:$BL$103))</f>
        <v>#REF!</v>
      </c>
      <c r="BD30" s="362" t="e" cm="1">
        <f t="array" aca="1" ref="BD30" ca="1">SUMPRODUCT(BD$55:BD$114,TRANSPOSE(SAP_Speadsheet!$E$103:$BL$103))</f>
        <v>#REF!</v>
      </c>
      <c r="BE30" s="362" t="e" cm="1">
        <f t="array" aca="1" ref="BE30" ca="1">SUMPRODUCT(BE$55:BE$114,TRANSPOSE(SAP_Speadsheet!$E$103:$BL$103))</f>
        <v>#REF!</v>
      </c>
      <c r="BF30" s="362" t="e" cm="1">
        <f t="array" aca="1" ref="BF30" ca="1">SUMPRODUCT(BF$55:BF$114,TRANSPOSE(SAP_Speadsheet!$E$103:$BL$103))</f>
        <v>#REF!</v>
      </c>
      <c r="BG30" s="362" t="e" cm="1">
        <f t="array" aca="1" ref="BG30" ca="1">SUMPRODUCT(BG$55:BG$114,TRANSPOSE(SAP_Speadsheet!$E$103:$BL$103))</f>
        <v>#REF!</v>
      </c>
      <c r="BH30" s="362" t="e" cm="1">
        <f t="array" aca="1" ref="BH30" ca="1">SUMPRODUCT(BH$55:BH$114,TRANSPOSE(SAP_Speadsheet!$E$103:$BL$103))</f>
        <v>#REF!</v>
      </c>
      <c r="BI30" s="362" t="e" cm="1">
        <f t="array" aca="1" ref="BI30" ca="1">SUMPRODUCT(BI$55:BI$114,TRANSPOSE(SAP_Speadsheet!$E$103:$BL$103))</f>
        <v>#REF!</v>
      </c>
    </row>
    <row r="31" spans="1:61" x14ac:dyDescent="0.15">
      <c r="A31" s="355" t="s">
        <v>196</v>
      </c>
      <c r="B31" s="362" cm="1">
        <f t="array" aca="1" ref="B31" ca="1">SUMPRODUCT(B$55:B$114,TRANSPOSE(SAP_Speadsheet!$E$183:$BL$183))</f>
        <v>0</v>
      </c>
      <c r="C31" s="362" cm="1">
        <f t="array" aca="1" ref="C31" ca="1">SUMPRODUCT(C$55:C$114,TRANSPOSE(SAP_Speadsheet!$E$183:$BL$183))</f>
        <v>0</v>
      </c>
      <c r="D31" s="362" cm="1">
        <f t="array" aca="1" ref="D31" ca="1">SUMPRODUCT(D$55:D$114,TRANSPOSE(SAP_Speadsheet!$E$183:$BL$183))</f>
        <v>0</v>
      </c>
      <c r="E31" s="362" cm="1">
        <f t="array" aca="1" ref="E31" ca="1">SUMPRODUCT(E$55:E$114,TRANSPOSE(SAP_Speadsheet!$E$183:$BL$183))</f>
        <v>0</v>
      </c>
      <c r="F31" s="362" cm="1">
        <f t="array" aca="1" ref="F31" ca="1">SUMPRODUCT(F$55:F$114,TRANSPOSE(SAP_Speadsheet!$E$183:$BL$183))</f>
        <v>0</v>
      </c>
      <c r="G31" s="362" cm="1">
        <f t="array" aca="1" ref="G31" ca="1">SUMPRODUCT(G$55:G$114,TRANSPOSE(SAP_Speadsheet!$E$183:$BL$183))</f>
        <v>0</v>
      </c>
      <c r="H31" s="362" t="e" cm="1">
        <f t="array" aca="1" ref="H31" ca="1">SUMPRODUCT(H$55:H$114,TRANSPOSE(SAP_Speadsheet!$E$183:$BL$183))</f>
        <v>#REF!</v>
      </c>
      <c r="I31" s="362" t="e" cm="1">
        <f t="array" aca="1" ref="I31" ca="1">SUMPRODUCT(I$55:I$114,TRANSPOSE(SAP_Speadsheet!$E$183:$BL$183))</f>
        <v>#REF!</v>
      </c>
      <c r="J31" s="362" t="e" cm="1">
        <f t="array" aca="1" ref="J31" ca="1">SUMPRODUCT(J$55:J$114,TRANSPOSE(SAP_Speadsheet!$E$183:$BL$183))</f>
        <v>#REF!</v>
      </c>
      <c r="K31" s="362" t="e" cm="1">
        <f t="array" aca="1" ref="K31" ca="1">SUMPRODUCT(K$55:K$114,TRANSPOSE(SAP_Speadsheet!$E$183:$BL$183))</f>
        <v>#REF!</v>
      </c>
      <c r="L31" s="362" t="e" cm="1">
        <f t="array" aca="1" ref="L31" ca="1">SUMPRODUCT(L$55:L$114,TRANSPOSE(SAP_Speadsheet!$E$183:$BL$183))</f>
        <v>#REF!</v>
      </c>
      <c r="M31" s="362" t="e" cm="1">
        <f t="array" aca="1" ref="M31" ca="1">SUMPRODUCT(M$55:M$114,TRANSPOSE(SAP_Speadsheet!$E$183:$BL$183))</f>
        <v>#REF!</v>
      </c>
      <c r="N31" s="362" t="e" cm="1">
        <f t="array" aca="1" ref="N31" ca="1">SUMPRODUCT(N$55:N$114,TRANSPOSE(SAP_Speadsheet!$E$183:$BL$183))</f>
        <v>#REF!</v>
      </c>
      <c r="O31" s="362" t="e" cm="1">
        <f t="array" aca="1" ref="O31" ca="1">SUMPRODUCT(O$55:O$114,TRANSPOSE(SAP_Speadsheet!$E$183:$BL$183))</f>
        <v>#REF!</v>
      </c>
      <c r="P31" s="362" t="e" cm="1">
        <f t="array" aca="1" ref="P31" ca="1">SUMPRODUCT(P$55:P$114,TRANSPOSE(SAP_Speadsheet!$E$183:$BL$183))</f>
        <v>#REF!</v>
      </c>
      <c r="Q31" s="362" t="e" cm="1">
        <f t="array" aca="1" ref="Q31" ca="1">SUMPRODUCT(Q$55:Q$114,TRANSPOSE(SAP_Speadsheet!$E$183:$BL$183))</f>
        <v>#REF!</v>
      </c>
      <c r="R31" s="362" t="e" cm="1">
        <f t="array" aca="1" ref="R31" ca="1">SUMPRODUCT(R$55:R$114,TRANSPOSE(SAP_Speadsheet!$E$183:$BL$183))</f>
        <v>#REF!</v>
      </c>
      <c r="S31" s="362" t="e" cm="1">
        <f t="array" aca="1" ref="S31" ca="1">SUMPRODUCT(S$55:S$114,TRANSPOSE(SAP_Speadsheet!$E$183:$BL$183))</f>
        <v>#REF!</v>
      </c>
      <c r="T31" s="362" t="e" cm="1">
        <f t="array" aca="1" ref="T31" ca="1">SUMPRODUCT(T$55:T$114,TRANSPOSE(SAP_Speadsheet!$E$183:$BL$183))</f>
        <v>#REF!</v>
      </c>
      <c r="U31" s="362" t="e" cm="1">
        <f t="array" aca="1" ref="U31" ca="1">SUMPRODUCT(U$55:U$114,TRANSPOSE(SAP_Speadsheet!$E$183:$BL$183))</f>
        <v>#REF!</v>
      </c>
      <c r="V31" s="362" t="e" cm="1">
        <f t="array" aca="1" ref="V31" ca="1">SUMPRODUCT(V$55:V$114,TRANSPOSE(SAP_Speadsheet!$E$183:$BL$183))</f>
        <v>#REF!</v>
      </c>
      <c r="W31" s="362" t="e" cm="1">
        <f t="array" aca="1" ref="W31" ca="1">SUMPRODUCT(W$55:W$114,TRANSPOSE(SAP_Speadsheet!$E$183:$BL$183))</f>
        <v>#REF!</v>
      </c>
      <c r="X31" s="362" t="e" cm="1">
        <f t="array" aca="1" ref="X31" ca="1">SUMPRODUCT(X$55:X$114,TRANSPOSE(SAP_Speadsheet!$E$183:$BL$183))</f>
        <v>#REF!</v>
      </c>
      <c r="Y31" s="362" t="e" cm="1">
        <f t="array" aca="1" ref="Y31" ca="1">SUMPRODUCT(Y$55:Y$114,TRANSPOSE(SAP_Speadsheet!$E$183:$BL$183))</f>
        <v>#REF!</v>
      </c>
      <c r="Z31" s="362" t="e" cm="1">
        <f t="array" aca="1" ref="Z31" ca="1">SUMPRODUCT(Z$55:Z$114,TRANSPOSE(SAP_Speadsheet!$E$183:$BL$183))</f>
        <v>#REF!</v>
      </c>
      <c r="AA31" s="362" t="e" cm="1">
        <f t="array" aca="1" ref="AA31" ca="1">SUMPRODUCT(AA$55:AA$114,TRANSPOSE(SAP_Speadsheet!$E$183:$BL$183))</f>
        <v>#REF!</v>
      </c>
      <c r="AB31" s="362" t="e" cm="1">
        <f t="array" aca="1" ref="AB31" ca="1">SUMPRODUCT(AB$55:AB$114,TRANSPOSE(SAP_Speadsheet!$E$183:$BL$183))</f>
        <v>#REF!</v>
      </c>
      <c r="AC31" s="362" t="e" cm="1">
        <f t="array" aca="1" ref="AC31" ca="1">SUMPRODUCT(AC$55:AC$114,TRANSPOSE(SAP_Speadsheet!$E$183:$BL$183))</f>
        <v>#REF!</v>
      </c>
      <c r="AD31" s="362" t="e" cm="1">
        <f t="array" aca="1" ref="AD31" ca="1">SUMPRODUCT(AD$55:AD$114,TRANSPOSE(SAP_Speadsheet!$E$183:$BL$183))</f>
        <v>#REF!</v>
      </c>
      <c r="AE31" s="362" t="e" cm="1">
        <f t="array" aca="1" ref="AE31" ca="1">SUMPRODUCT(AE$55:AE$114,TRANSPOSE(SAP_Speadsheet!$E$183:$BL$183))</f>
        <v>#REF!</v>
      </c>
      <c r="AF31" s="362" t="e" cm="1">
        <f t="array" aca="1" ref="AF31" ca="1">SUMPRODUCT(AF$55:AF$114,TRANSPOSE(SAP_Speadsheet!$E$183:$BL$183))</f>
        <v>#REF!</v>
      </c>
      <c r="AG31" s="362" t="e" cm="1">
        <f t="array" aca="1" ref="AG31" ca="1">SUMPRODUCT(AG$55:AG$114,TRANSPOSE(SAP_Speadsheet!$E$183:$BL$183))</f>
        <v>#REF!</v>
      </c>
      <c r="AH31" s="362" t="e" cm="1">
        <f t="array" aca="1" ref="AH31" ca="1">SUMPRODUCT(AH$55:AH$114,TRANSPOSE(SAP_Speadsheet!$E$183:$BL$183))</f>
        <v>#REF!</v>
      </c>
      <c r="AI31" s="362" t="e" cm="1">
        <f t="array" aca="1" ref="AI31" ca="1">SUMPRODUCT(AI$55:AI$114,TRANSPOSE(SAP_Speadsheet!$E$183:$BL$183))</f>
        <v>#REF!</v>
      </c>
      <c r="AJ31" s="362" t="e" cm="1">
        <f t="array" aca="1" ref="AJ31" ca="1">SUMPRODUCT(AJ$55:AJ$114,TRANSPOSE(SAP_Speadsheet!$E$183:$BL$183))</f>
        <v>#REF!</v>
      </c>
      <c r="AK31" s="362" t="e" cm="1">
        <f t="array" aca="1" ref="AK31" ca="1">SUMPRODUCT(AK$55:AK$114,TRANSPOSE(SAP_Speadsheet!$E$183:$BL$183))</f>
        <v>#REF!</v>
      </c>
      <c r="AL31" s="362" t="e" cm="1">
        <f t="array" aca="1" ref="AL31" ca="1">SUMPRODUCT(AL$55:AL$114,TRANSPOSE(SAP_Speadsheet!$E$183:$BL$183))</f>
        <v>#REF!</v>
      </c>
      <c r="AM31" s="362" t="e" cm="1">
        <f t="array" aca="1" ref="AM31" ca="1">SUMPRODUCT(AM$55:AM$114,TRANSPOSE(SAP_Speadsheet!$E$183:$BL$183))</f>
        <v>#REF!</v>
      </c>
      <c r="AN31" s="362" t="e" cm="1">
        <f t="array" aca="1" ref="AN31" ca="1">SUMPRODUCT(AN$55:AN$114,TRANSPOSE(SAP_Speadsheet!$E$183:$BL$183))</f>
        <v>#REF!</v>
      </c>
      <c r="AO31" s="362" t="e" cm="1">
        <f t="array" aca="1" ref="AO31" ca="1">SUMPRODUCT(AO$55:AO$114,TRANSPOSE(SAP_Speadsheet!$E$183:$BL$183))</f>
        <v>#REF!</v>
      </c>
      <c r="AP31" s="362" t="e" cm="1">
        <f t="array" aca="1" ref="AP31" ca="1">SUMPRODUCT(AP$55:AP$114,TRANSPOSE(SAP_Speadsheet!$E$183:$BL$183))</f>
        <v>#REF!</v>
      </c>
      <c r="AQ31" s="362" t="e" cm="1">
        <f t="array" aca="1" ref="AQ31" ca="1">SUMPRODUCT(AQ$55:AQ$114,TRANSPOSE(SAP_Speadsheet!$E$183:$BL$183))</f>
        <v>#REF!</v>
      </c>
      <c r="AR31" s="362" t="e" cm="1">
        <f t="array" aca="1" ref="AR31" ca="1">SUMPRODUCT(AR$55:AR$114,TRANSPOSE(SAP_Speadsheet!$E$183:$BL$183))</f>
        <v>#REF!</v>
      </c>
      <c r="AS31" s="362" t="e" cm="1">
        <f t="array" aca="1" ref="AS31" ca="1">SUMPRODUCT(AS$55:AS$114,TRANSPOSE(SAP_Speadsheet!$E$183:$BL$183))</f>
        <v>#REF!</v>
      </c>
      <c r="AT31" s="362" t="e" cm="1">
        <f t="array" aca="1" ref="AT31" ca="1">SUMPRODUCT(AT$55:AT$114,TRANSPOSE(SAP_Speadsheet!$E$183:$BL$183))</f>
        <v>#REF!</v>
      </c>
      <c r="AU31" s="362" t="e" cm="1">
        <f t="array" aca="1" ref="AU31" ca="1">SUMPRODUCT(AU$55:AU$114,TRANSPOSE(SAP_Speadsheet!$E$183:$BL$183))</f>
        <v>#REF!</v>
      </c>
      <c r="AV31" s="362" t="e" cm="1">
        <f t="array" aca="1" ref="AV31" ca="1">SUMPRODUCT(AV$55:AV$114,TRANSPOSE(SAP_Speadsheet!$E$183:$BL$183))</f>
        <v>#REF!</v>
      </c>
      <c r="AW31" s="362" t="e" cm="1">
        <f t="array" aca="1" ref="AW31" ca="1">SUMPRODUCT(AW$55:AW$114,TRANSPOSE(SAP_Speadsheet!$E$183:$BL$183))</f>
        <v>#REF!</v>
      </c>
      <c r="AX31" s="362" t="e" cm="1">
        <f t="array" aca="1" ref="AX31" ca="1">SUMPRODUCT(AX$55:AX$114,TRANSPOSE(SAP_Speadsheet!$E$183:$BL$183))</f>
        <v>#REF!</v>
      </c>
      <c r="AY31" s="362" t="e" cm="1">
        <f t="array" aca="1" ref="AY31" ca="1">SUMPRODUCT(AY$55:AY$114,TRANSPOSE(SAP_Speadsheet!$E$183:$BL$183))</f>
        <v>#REF!</v>
      </c>
      <c r="AZ31" s="362" t="e" cm="1">
        <f t="array" aca="1" ref="AZ31" ca="1">SUMPRODUCT(AZ$55:AZ$114,TRANSPOSE(SAP_Speadsheet!$E$183:$BL$183))</f>
        <v>#REF!</v>
      </c>
      <c r="BA31" s="362" t="e" cm="1">
        <f t="array" aca="1" ref="BA31" ca="1">SUMPRODUCT(BA$55:BA$114,TRANSPOSE(SAP_Speadsheet!$E$183:$BL$183))</f>
        <v>#REF!</v>
      </c>
      <c r="BB31" s="362" t="e" cm="1">
        <f t="array" aca="1" ref="BB31" ca="1">SUMPRODUCT(BB$55:BB$114,TRANSPOSE(SAP_Speadsheet!$E$183:$BL$183))</f>
        <v>#REF!</v>
      </c>
      <c r="BC31" s="362" t="e" cm="1">
        <f t="array" aca="1" ref="BC31" ca="1">SUMPRODUCT(BC$55:BC$114,TRANSPOSE(SAP_Speadsheet!$E$183:$BL$183))</f>
        <v>#REF!</v>
      </c>
      <c r="BD31" s="362" t="e" cm="1">
        <f t="array" aca="1" ref="BD31" ca="1">SUMPRODUCT(BD$55:BD$114,TRANSPOSE(SAP_Speadsheet!$E$183:$BL$183))</f>
        <v>#REF!</v>
      </c>
      <c r="BE31" s="362" t="e" cm="1">
        <f t="array" aca="1" ref="BE31" ca="1">SUMPRODUCT(BE$55:BE$114,TRANSPOSE(SAP_Speadsheet!$E$183:$BL$183))</f>
        <v>#REF!</v>
      </c>
      <c r="BF31" s="362" t="e" cm="1">
        <f t="array" aca="1" ref="BF31" ca="1">SUMPRODUCT(BF$55:BF$114,TRANSPOSE(SAP_Speadsheet!$E$183:$BL$183))</f>
        <v>#REF!</v>
      </c>
      <c r="BG31" s="362" t="e" cm="1">
        <f t="array" aca="1" ref="BG31" ca="1">SUMPRODUCT(BG$55:BG$114,TRANSPOSE(SAP_Speadsheet!$E$183:$BL$183))</f>
        <v>#REF!</v>
      </c>
      <c r="BH31" s="362" t="e" cm="1">
        <f t="array" aca="1" ref="BH31" ca="1">SUMPRODUCT(BH$55:BH$114,TRANSPOSE(SAP_Speadsheet!$E$183:$BL$183))</f>
        <v>#REF!</v>
      </c>
      <c r="BI31" s="362" t="e" cm="1">
        <f t="array" aca="1" ref="BI31" ca="1">SUMPRODUCT(BI$55:BI$114,TRANSPOSE(SAP_Speadsheet!$E$183:$BL$183))</f>
        <v>#REF!</v>
      </c>
    </row>
    <row r="32" spans="1:61" x14ac:dyDescent="0.15">
      <c r="A32" s="355" t="s">
        <v>203</v>
      </c>
      <c r="B32" s="362" cm="1">
        <f t="array" aca="1" ref="B32" ca="1">SUMPRODUCT(B$55:B$114,TRANSPOSE(SAP_Speadsheet!$E$189:$BL$189))</f>
        <v>0</v>
      </c>
      <c r="C32" s="362" cm="1">
        <f t="array" aca="1" ref="C32" ca="1">SUMPRODUCT(C$55:C$114,TRANSPOSE(SAP_Speadsheet!$E$189:$BL$189))</f>
        <v>0</v>
      </c>
      <c r="D32" s="362" cm="1">
        <f t="array" aca="1" ref="D32" ca="1">SUMPRODUCT(D$55:D$114,TRANSPOSE(SAP_Speadsheet!$E$189:$BL$189))</f>
        <v>0</v>
      </c>
      <c r="E32" s="362" cm="1">
        <f t="array" aca="1" ref="E32" ca="1">SUMPRODUCT(E$55:E$114,TRANSPOSE(SAP_Speadsheet!$E$189:$BL$189))</f>
        <v>0</v>
      </c>
      <c r="F32" s="362" cm="1">
        <f t="array" aca="1" ref="F32" ca="1">SUMPRODUCT(F$55:F$114,TRANSPOSE(SAP_Speadsheet!$E$189:$BL$189))</f>
        <v>0</v>
      </c>
      <c r="G32" s="362" cm="1">
        <f t="array" aca="1" ref="G32" ca="1">SUMPRODUCT(G$55:G$114,TRANSPOSE(SAP_Speadsheet!$E$189:$BL$189))</f>
        <v>0</v>
      </c>
      <c r="H32" s="362" t="e" cm="1">
        <f t="array" aca="1" ref="H32" ca="1">SUMPRODUCT(H$55:H$114,TRANSPOSE(SAP_Speadsheet!$E$189:$BL$189))</f>
        <v>#REF!</v>
      </c>
      <c r="I32" s="362" t="e" cm="1">
        <f t="array" aca="1" ref="I32" ca="1">SUMPRODUCT(I$55:I$114,TRANSPOSE(SAP_Speadsheet!$E$189:$BL$189))</f>
        <v>#REF!</v>
      </c>
      <c r="J32" s="362" t="e" cm="1">
        <f t="array" aca="1" ref="J32" ca="1">SUMPRODUCT(J$55:J$114,TRANSPOSE(SAP_Speadsheet!$E$189:$BL$189))</f>
        <v>#REF!</v>
      </c>
      <c r="K32" s="362" t="e" cm="1">
        <f t="array" aca="1" ref="K32" ca="1">SUMPRODUCT(K$55:K$114,TRANSPOSE(SAP_Speadsheet!$E$189:$BL$189))</f>
        <v>#REF!</v>
      </c>
      <c r="L32" s="362" t="e" cm="1">
        <f t="array" aca="1" ref="L32" ca="1">SUMPRODUCT(L$55:L$114,TRANSPOSE(SAP_Speadsheet!$E$189:$BL$189))</f>
        <v>#REF!</v>
      </c>
      <c r="M32" s="362" t="e" cm="1">
        <f t="array" aca="1" ref="M32" ca="1">SUMPRODUCT(M$55:M$114,TRANSPOSE(SAP_Speadsheet!$E$189:$BL$189))</f>
        <v>#REF!</v>
      </c>
      <c r="N32" s="362" t="e" cm="1">
        <f t="array" aca="1" ref="N32" ca="1">SUMPRODUCT(N$55:N$114,TRANSPOSE(SAP_Speadsheet!$E$189:$BL$189))</f>
        <v>#REF!</v>
      </c>
      <c r="O32" s="362" t="e" cm="1">
        <f t="array" aca="1" ref="O32" ca="1">SUMPRODUCT(O$55:O$114,TRANSPOSE(SAP_Speadsheet!$E$189:$BL$189))</f>
        <v>#REF!</v>
      </c>
      <c r="P32" s="362" t="e" cm="1">
        <f t="array" aca="1" ref="P32" ca="1">SUMPRODUCT(P$55:P$114,TRANSPOSE(SAP_Speadsheet!$E$189:$BL$189))</f>
        <v>#REF!</v>
      </c>
      <c r="Q32" s="362" t="e" cm="1">
        <f t="array" aca="1" ref="Q32" ca="1">SUMPRODUCT(Q$55:Q$114,TRANSPOSE(SAP_Speadsheet!$E$189:$BL$189))</f>
        <v>#REF!</v>
      </c>
      <c r="R32" s="362" t="e" cm="1">
        <f t="array" aca="1" ref="R32" ca="1">SUMPRODUCT(R$55:R$114,TRANSPOSE(SAP_Speadsheet!$E$189:$BL$189))</f>
        <v>#REF!</v>
      </c>
      <c r="S32" s="362" t="e" cm="1">
        <f t="array" aca="1" ref="S32" ca="1">SUMPRODUCT(S$55:S$114,TRANSPOSE(SAP_Speadsheet!$E$189:$BL$189))</f>
        <v>#REF!</v>
      </c>
      <c r="T32" s="362" t="e" cm="1">
        <f t="array" aca="1" ref="T32" ca="1">SUMPRODUCT(T$55:T$114,TRANSPOSE(SAP_Speadsheet!$E$189:$BL$189))</f>
        <v>#REF!</v>
      </c>
      <c r="U32" s="362" t="e" cm="1">
        <f t="array" aca="1" ref="U32" ca="1">SUMPRODUCT(U$55:U$114,TRANSPOSE(SAP_Speadsheet!$E$189:$BL$189))</f>
        <v>#REF!</v>
      </c>
      <c r="V32" s="362" t="e" cm="1">
        <f t="array" aca="1" ref="V32" ca="1">SUMPRODUCT(V$55:V$114,TRANSPOSE(SAP_Speadsheet!$E$189:$BL$189))</f>
        <v>#REF!</v>
      </c>
      <c r="W32" s="362" t="e" cm="1">
        <f t="array" aca="1" ref="W32" ca="1">SUMPRODUCT(W$55:W$114,TRANSPOSE(SAP_Speadsheet!$E$189:$BL$189))</f>
        <v>#REF!</v>
      </c>
      <c r="X32" s="362" t="e" cm="1">
        <f t="array" aca="1" ref="X32" ca="1">SUMPRODUCT(X$55:X$114,TRANSPOSE(SAP_Speadsheet!$E$189:$BL$189))</f>
        <v>#REF!</v>
      </c>
      <c r="Y32" s="362" t="e" cm="1">
        <f t="array" aca="1" ref="Y32" ca="1">SUMPRODUCT(Y$55:Y$114,TRANSPOSE(SAP_Speadsheet!$E$189:$BL$189))</f>
        <v>#REF!</v>
      </c>
      <c r="Z32" s="362" t="e" cm="1">
        <f t="array" aca="1" ref="Z32" ca="1">SUMPRODUCT(Z$55:Z$114,TRANSPOSE(SAP_Speadsheet!$E$189:$BL$189))</f>
        <v>#REF!</v>
      </c>
      <c r="AA32" s="362" t="e" cm="1">
        <f t="array" aca="1" ref="AA32" ca="1">SUMPRODUCT(AA$55:AA$114,TRANSPOSE(SAP_Speadsheet!$E$189:$BL$189))</f>
        <v>#REF!</v>
      </c>
      <c r="AB32" s="362" t="e" cm="1">
        <f t="array" aca="1" ref="AB32" ca="1">SUMPRODUCT(AB$55:AB$114,TRANSPOSE(SAP_Speadsheet!$E$189:$BL$189))</f>
        <v>#REF!</v>
      </c>
      <c r="AC32" s="362" t="e" cm="1">
        <f t="array" aca="1" ref="AC32" ca="1">SUMPRODUCT(AC$55:AC$114,TRANSPOSE(SAP_Speadsheet!$E$189:$BL$189))</f>
        <v>#REF!</v>
      </c>
      <c r="AD32" s="362" t="e" cm="1">
        <f t="array" aca="1" ref="AD32" ca="1">SUMPRODUCT(AD$55:AD$114,TRANSPOSE(SAP_Speadsheet!$E$189:$BL$189))</f>
        <v>#REF!</v>
      </c>
      <c r="AE32" s="362" t="e" cm="1">
        <f t="array" aca="1" ref="AE32" ca="1">SUMPRODUCT(AE$55:AE$114,TRANSPOSE(SAP_Speadsheet!$E$189:$BL$189))</f>
        <v>#REF!</v>
      </c>
      <c r="AF32" s="362" t="e" cm="1">
        <f t="array" aca="1" ref="AF32" ca="1">SUMPRODUCT(AF$55:AF$114,TRANSPOSE(SAP_Speadsheet!$E$189:$BL$189))</f>
        <v>#REF!</v>
      </c>
      <c r="AG32" s="362" t="e" cm="1">
        <f t="array" aca="1" ref="AG32" ca="1">SUMPRODUCT(AG$55:AG$114,TRANSPOSE(SAP_Speadsheet!$E$189:$BL$189))</f>
        <v>#REF!</v>
      </c>
      <c r="AH32" s="362" t="e" cm="1">
        <f t="array" aca="1" ref="AH32" ca="1">SUMPRODUCT(AH$55:AH$114,TRANSPOSE(SAP_Speadsheet!$E$189:$BL$189))</f>
        <v>#REF!</v>
      </c>
      <c r="AI32" s="362" t="e" cm="1">
        <f t="array" aca="1" ref="AI32" ca="1">SUMPRODUCT(AI$55:AI$114,TRANSPOSE(SAP_Speadsheet!$E$189:$BL$189))</f>
        <v>#REF!</v>
      </c>
      <c r="AJ32" s="362" t="e" cm="1">
        <f t="array" aca="1" ref="AJ32" ca="1">SUMPRODUCT(AJ$55:AJ$114,TRANSPOSE(SAP_Speadsheet!$E$189:$BL$189))</f>
        <v>#REF!</v>
      </c>
      <c r="AK32" s="362" t="e" cm="1">
        <f t="array" aca="1" ref="AK32" ca="1">SUMPRODUCT(AK$55:AK$114,TRANSPOSE(SAP_Speadsheet!$E$189:$BL$189))</f>
        <v>#REF!</v>
      </c>
      <c r="AL32" s="362" t="e" cm="1">
        <f t="array" aca="1" ref="AL32" ca="1">SUMPRODUCT(AL$55:AL$114,TRANSPOSE(SAP_Speadsheet!$E$189:$BL$189))</f>
        <v>#REF!</v>
      </c>
      <c r="AM32" s="362" t="e" cm="1">
        <f t="array" aca="1" ref="AM32" ca="1">SUMPRODUCT(AM$55:AM$114,TRANSPOSE(SAP_Speadsheet!$E$189:$BL$189))</f>
        <v>#REF!</v>
      </c>
      <c r="AN32" s="362" t="e" cm="1">
        <f t="array" aca="1" ref="AN32" ca="1">SUMPRODUCT(AN$55:AN$114,TRANSPOSE(SAP_Speadsheet!$E$189:$BL$189))</f>
        <v>#REF!</v>
      </c>
      <c r="AO32" s="362" t="e" cm="1">
        <f t="array" aca="1" ref="AO32" ca="1">SUMPRODUCT(AO$55:AO$114,TRANSPOSE(SAP_Speadsheet!$E$189:$BL$189))</f>
        <v>#REF!</v>
      </c>
      <c r="AP32" s="362" t="e" cm="1">
        <f t="array" aca="1" ref="AP32" ca="1">SUMPRODUCT(AP$55:AP$114,TRANSPOSE(SAP_Speadsheet!$E$189:$BL$189))</f>
        <v>#REF!</v>
      </c>
      <c r="AQ32" s="362" t="e" cm="1">
        <f t="array" aca="1" ref="AQ32" ca="1">SUMPRODUCT(AQ$55:AQ$114,TRANSPOSE(SAP_Speadsheet!$E$189:$BL$189))</f>
        <v>#REF!</v>
      </c>
      <c r="AR32" s="362" t="e" cm="1">
        <f t="array" aca="1" ref="AR32" ca="1">SUMPRODUCT(AR$55:AR$114,TRANSPOSE(SAP_Speadsheet!$E$189:$BL$189))</f>
        <v>#REF!</v>
      </c>
      <c r="AS32" s="362" t="e" cm="1">
        <f t="array" aca="1" ref="AS32" ca="1">SUMPRODUCT(AS$55:AS$114,TRANSPOSE(SAP_Speadsheet!$E$189:$BL$189))</f>
        <v>#REF!</v>
      </c>
      <c r="AT32" s="362" t="e" cm="1">
        <f t="array" aca="1" ref="AT32" ca="1">SUMPRODUCT(AT$55:AT$114,TRANSPOSE(SAP_Speadsheet!$E$189:$BL$189))</f>
        <v>#REF!</v>
      </c>
      <c r="AU32" s="362" t="e" cm="1">
        <f t="array" aca="1" ref="AU32" ca="1">SUMPRODUCT(AU$55:AU$114,TRANSPOSE(SAP_Speadsheet!$E$189:$BL$189))</f>
        <v>#REF!</v>
      </c>
      <c r="AV32" s="362" t="e" cm="1">
        <f t="array" aca="1" ref="AV32" ca="1">SUMPRODUCT(AV$55:AV$114,TRANSPOSE(SAP_Speadsheet!$E$189:$BL$189))</f>
        <v>#REF!</v>
      </c>
      <c r="AW32" s="362" t="e" cm="1">
        <f t="array" aca="1" ref="AW32" ca="1">SUMPRODUCT(AW$55:AW$114,TRANSPOSE(SAP_Speadsheet!$E$189:$BL$189))</f>
        <v>#REF!</v>
      </c>
      <c r="AX32" s="362" t="e" cm="1">
        <f t="array" aca="1" ref="AX32" ca="1">SUMPRODUCT(AX$55:AX$114,TRANSPOSE(SAP_Speadsheet!$E$189:$BL$189))</f>
        <v>#REF!</v>
      </c>
      <c r="AY32" s="362" t="e" cm="1">
        <f t="array" aca="1" ref="AY32" ca="1">SUMPRODUCT(AY$55:AY$114,TRANSPOSE(SAP_Speadsheet!$E$189:$BL$189))</f>
        <v>#REF!</v>
      </c>
      <c r="AZ32" s="362" t="e" cm="1">
        <f t="array" aca="1" ref="AZ32" ca="1">SUMPRODUCT(AZ$55:AZ$114,TRANSPOSE(SAP_Speadsheet!$E$189:$BL$189))</f>
        <v>#REF!</v>
      </c>
      <c r="BA32" s="362" t="e" cm="1">
        <f t="array" aca="1" ref="BA32" ca="1">SUMPRODUCT(BA$55:BA$114,TRANSPOSE(SAP_Speadsheet!$E$189:$BL$189))</f>
        <v>#REF!</v>
      </c>
      <c r="BB32" s="362" t="e" cm="1">
        <f t="array" aca="1" ref="BB32" ca="1">SUMPRODUCT(BB$55:BB$114,TRANSPOSE(SAP_Speadsheet!$E$189:$BL$189))</f>
        <v>#REF!</v>
      </c>
      <c r="BC32" s="362" t="e" cm="1">
        <f t="array" aca="1" ref="BC32" ca="1">SUMPRODUCT(BC$55:BC$114,TRANSPOSE(SAP_Speadsheet!$E$189:$BL$189))</f>
        <v>#REF!</v>
      </c>
      <c r="BD32" s="362" t="e" cm="1">
        <f t="array" aca="1" ref="BD32" ca="1">SUMPRODUCT(BD$55:BD$114,TRANSPOSE(SAP_Speadsheet!$E$189:$BL$189))</f>
        <v>#REF!</v>
      </c>
      <c r="BE32" s="362" t="e" cm="1">
        <f t="array" aca="1" ref="BE32" ca="1">SUMPRODUCT(BE$55:BE$114,TRANSPOSE(SAP_Speadsheet!$E$189:$BL$189))</f>
        <v>#REF!</v>
      </c>
      <c r="BF32" s="362" t="e" cm="1">
        <f t="array" aca="1" ref="BF32" ca="1">SUMPRODUCT(BF$55:BF$114,TRANSPOSE(SAP_Speadsheet!$E$189:$BL$189))</f>
        <v>#REF!</v>
      </c>
      <c r="BG32" s="362" t="e" cm="1">
        <f t="array" aca="1" ref="BG32" ca="1">SUMPRODUCT(BG$55:BG$114,TRANSPOSE(SAP_Speadsheet!$E$189:$BL$189))</f>
        <v>#REF!</v>
      </c>
      <c r="BH32" s="362" t="e" cm="1">
        <f t="array" aca="1" ref="BH32" ca="1">SUMPRODUCT(BH$55:BH$114,TRANSPOSE(SAP_Speadsheet!$E$189:$BL$189))</f>
        <v>#REF!</v>
      </c>
      <c r="BI32" s="362" t="e" cm="1">
        <f t="array" aca="1" ref="BI32" ca="1">SUMPRODUCT(BI$55:BI$114,TRANSPOSE(SAP_Speadsheet!$E$189:$BL$189))</f>
        <v>#REF!</v>
      </c>
    </row>
    <row r="33" spans="1:61" s="369" customFormat="1" x14ac:dyDescent="0.15">
      <c r="A33" s="369" t="s">
        <v>433</v>
      </c>
      <c r="B33" s="370">
        <f t="shared" ref="B33:BI33" ca="1" si="5">B9+B19+B31-B32</f>
        <v>0</v>
      </c>
      <c r="C33" s="370">
        <f t="shared" ca="1" si="5"/>
        <v>0</v>
      </c>
      <c r="D33" s="370">
        <f t="shared" ca="1" si="5"/>
        <v>0</v>
      </c>
      <c r="E33" s="370">
        <f t="shared" ca="1" si="5"/>
        <v>0</v>
      </c>
      <c r="F33" s="370">
        <f t="shared" ca="1" si="5"/>
        <v>0</v>
      </c>
      <c r="G33" s="370">
        <f t="shared" ca="1" si="5"/>
        <v>0</v>
      </c>
      <c r="H33" s="370" t="e">
        <f t="shared" ca="1" si="5"/>
        <v>#REF!</v>
      </c>
      <c r="I33" s="370" t="e">
        <f t="shared" ca="1" si="5"/>
        <v>#REF!</v>
      </c>
      <c r="J33" s="370" t="e">
        <f t="shared" ca="1" si="5"/>
        <v>#REF!</v>
      </c>
      <c r="K33" s="370" t="e">
        <f t="shared" ca="1" si="5"/>
        <v>#REF!</v>
      </c>
      <c r="L33" s="370" t="e">
        <f t="shared" ca="1" si="5"/>
        <v>#REF!</v>
      </c>
      <c r="M33" s="370" t="e">
        <f t="shared" ca="1" si="5"/>
        <v>#REF!</v>
      </c>
      <c r="N33" s="370" t="e">
        <f t="shared" ca="1" si="5"/>
        <v>#REF!</v>
      </c>
      <c r="O33" s="370" t="e">
        <f t="shared" ca="1" si="5"/>
        <v>#REF!</v>
      </c>
      <c r="P33" s="370" t="e">
        <f t="shared" ca="1" si="5"/>
        <v>#REF!</v>
      </c>
      <c r="Q33" s="370" t="e">
        <f t="shared" ca="1" si="5"/>
        <v>#REF!</v>
      </c>
      <c r="R33" s="370" t="e">
        <f t="shared" ca="1" si="5"/>
        <v>#REF!</v>
      </c>
      <c r="S33" s="370" t="e">
        <f t="shared" ca="1" si="5"/>
        <v>#REF!</v>
      </c>
      <c r="T33" s="370" t="e">
        <f t="shared" ca="1" si="5"/>
        <v>#REF!</v>
      </c>
      <c r="U33" s="370" t="e">
        <f t="shared" ca="1" si="5"/>
        <v>#REF!</v>
      </c>
      <c r="V33" s="370" t="e">
        <f t="shared" ca="1" si="5"/>
        <v>#REF!</v>
      </c>
      <c r="W33" s="370" t="e">
        <f t="shared" ca="1" si="5"/>
        <v>#REF!</v>
      </c>
      <c r="X33" s="370" t="e">
        <f t="shared" ca="1" si="5"/>
        <v>#REF!</v>
      </c>
      <c r="Y33" s="370" t="e">
        <f t="shared" ca="1" si="5"/>
        <v>#REF!</v>
      </c>
      <c r="Z33" s="370" t="e">
        <f t="shared" ca="1" si="5"/>
        <v>#REF!</v>
      </c>
      <c r="AA33" s="370" t="e">
        <f t="shared" ca="1" si="5"/>
        <v>#REF!</v>
      </c>
      <c r="AB33" s="370" t="e">
        <f t="shared" ca="1" si="5"/>
        <v>#REF!</v>
      </c>
      <c r="AC33" s="370" t="e">
        <f t="shared" ca="1" si="5"/>
        <v>#REF!</v>
      </c>
      <c r="AD33" s="370" t="e">
        <f t="shared" ca="1" si="5"/>
        <v>#REF!</v>
      </c>
      <c r="AE33" s="370" t="e">
        <f t="shared" ca="1" si="5"/>
        <v>#REF!</v>
      </c>
      <c r="AF33" s="370" t="e">
        <f t="shared" ca="1" si="5"/>
        <v>#REF!</v>
      </c>
      <c r="AG33" s="370" t="e">
        <f t="shared" ca="1" si="5"/>
        <v>#REF!</v>
      </c>
      <c r="AH33" s="370" t="e">
        <f t="shared" ca="1" si="5"/>
        <v>#REF!</v>
      </c>
      <c r="AI33" s="370" t="e">
        <f t="shared" ca="1" si="5"/>
        <v>#REF!</v>
      </c>
      <c r="AJ33" s="370" t="e">
        <f t="shared" ca="1" si="5"/>
        <v>#REF!</v>
      </c>
      <c r="AK33" s="370" t="e">
        <f t="shared" ca="1" si="5"/>
        <v>#REF!</v>
      </c>
      <c r="AL33" s="370" t="e">
        <f t="shared" ca="1" si="5"/>
        <v>#REF!</v>
      </c>
      <c r="AM33" s="370" t="e">
        <f t="shared" ca="1" si="5"/>
        <v>#REF!</v>
      </c>
      <c r="AN33" s="370" t="e">
        <f t="shared" ca="1" si="5"/>
        <v>#REF!</v>
      </c>
      <c r="AO33" s="370" t="e">
        <f t="shared" ca="1" si="5"/>
        <v>#REF!</v>
      </c>
      <c r="AP33" s="370" t="e">
        <f t="shared" ca="1" si="5"/>
        <v>#REF!</v>
      </c>
      <c r="AQ33" s="370" t="e">
        <f t="shared" ca="1" si="5"/>
        <v>#REF!</v>
      </c>
      <c r="AR33" s="370" t="e">
        <f t="shared" ca="1" si="5"/>
        <v>#REF!</v>
      </c>
      <c r="AS33" s="370" t="e">
        <f t="shared" ca="1" si="5"/>
        <v>#REF!</v>
      </c>
      <c r="AT33" s="370" t="e">
        <f t="shared" ca="1" si="5"/>
        <v>#REF!</v>
      </c>
      <c r="AU33" s="370" t="e">
        <f t="shared" ca="1" si="5"/>
        <v>#REF!</v>
      </c>
      <c r="AV33" s="370" t="e">
        <f t="shared" ca="1" si="5"/>
        <v>#REF!</v>
      </c>
      <c r="AW33" s="370" t="e">
        <f t="shared" ca="1" si="5"/>
        <v>#REF!</v>
      </c>
      <c r="AX33" s="370" t="e">
        <f t="shared" ca="1" si="5"/>
        <v>#REF!</v>
      </c>
      <c r="AY33" s="370" t="e">
        <f t="shared" ca="1" si="5"/>
        <v>#REF!</v>
      </c>
      <c r="AZ33" s="370" t="e">
        <f t="shared" ca="1" si="5"/>
        <v>#REF!</v>
      </c>
      <c r="BA33" s="370" t="e">
        <f t="shared" ca="1" si="5"/>
        <v>#REF!</v>
      </c>
      <c r="BB33" s="370" t="e">
        <f t="shared" ca="1" si="5"/>
        <v>#REF!</v>
      </c>
      <c r="BC33" s="370" t="e">
        <f t="shared" ca="1" si="5"/>
        <v>#REF!</v>
      </c>
      <c r="BD33" s="370" t="e">
        <f t="shared" ca="1" si="5"/>
        <v>#REF!</v>
      </c>
      <c r="BE33" s="370" t="e">
        <f t="shared" ca="1" si="5"/>
        <v>#REF!</v>
      </c>
      <c r="BF33" s="370" t="e">
        <f t="shared" ca="1" si="5"/>
        <v>#REF!</v>
      </c>
      <c r="BG33" s="370" t="e">
        <f t="shared" ca="1" si="5"/>
        <v>#REF!</v>
      </c>
      <c r="BH33" s="370" t="e">
        <f t="shared" ca="1" si="5"/>
        <v>#REF!</v>
      </c>
      <c r="BI33" s="370" t="e">
        <f t="shared" ca="1" si="5"/>
        <v>#REF!</v>
      </c>
    </row>
    <row r="35" spans="1:61" x14ac:dyDescent="0.15">
      <c r="A35" s="355" t="s">
        <v>465</v>
      </c>
      <c r="D35" s="371"/>
      <c r="K35" s="372"/>
    </row>
    <row r="36" spans="1:61" x14ac:dyDescent="0.15">
      <c r="A36" s="356" t="s">
        <v>368</v>
      </c>
      <c r="B36" s="367" cm="1">
        <f t="array" aca="1" ref="B36" ca="1">SUMPRODUCT(B$55:B$114,TRANSPOSE(SAP_Speadsheet!$E$27:$BL$27))</f>
        <v>0</v>
      </c>
      <c r="C36" s="367" cm="1">
        <f t="array" aca="1" ref="C36" ca="1">SUMPRODUCT(C$55:C$114,TRANSPOSE(SAP_Speadsheet!$E$27:$BL$27))</f>
        <v>0</v>
      </c>
      <c r="D36" s="367" cm="1">
        <f t="array" aca="1" ref="D36" ca="1">SUMPRODUCT(D$55:D$114,TRANSPOSE(SAP_Speadsheet!$E$27:$BL$27))</f>
        <v>0</v>
      </c>
      <c r="E36" s="367" cm="1">
        <f t="array" aca="1" ref="E36" ca="1">SUMPRODUCT(E$55:E$114,TRANSPOSE(SAP_Speadsheet!$E$27:$BL$27))</f>
        <v>0</v>
      </c>
      <c r="F36" s="367" cm="1">
        <f t="array" aca="1" ref="F36" ca="1">SUMPRODUCT(F$55:F$114,TRANSPOSE(SAP_Speadsheet!$E$27:$BL$27))</f>
        <v>0</v>
      </c>
      <c r="G36" s="367" cm="1">
        <f t="array" aca="1" ref="G36" ca="1">SUMPRODUCT(G$55:G$114,TRANSPOSE(SAP_Speadsheet!$E$27:$BL$27))</f>
        <v>0</v>
      </c>
      <c r="H36" s="367" t="e" cm="1">
        <f t="array" aca="1" ref="H36" ca="1">SUMPRODUCT(H$55:H$114,TRANSPOSE(SAP_Speadsheet!$E$27:$BL$27))</f>
        <v>#REF!</v>
      </c>
      <c r="I36" s="367" t="e" cm="1">
        <f t="array" aca="1" ref="I36" ca="1">SUMPRODUCT(I$55:I$114,TRANSPOSE(SAP_Speadsheet!$E$27:$BL$27))</f>
        <v>#REF!</v>
      </c>
      <c r="J36" s="367" t="e" cm="1">
        <f t="array" aca="1" ref="J36" ca="1">SUMPRODUCT(J$55:J$114,TRANSPOSE(SAP_Speadsheet!$E$27:$BL$27))</f>
        <v>#REF!</v>
      </c>
      <c r="K36" s="367" t="e" cm="1">
        <f t="array" aca="1" ref="K36" ca="1">SUMPRODUCT(K$55:K$114,TRANSPOSE(SAP_Speadsheet!$E$27:$BL$27))</f>
        <v>#REF!</v>
      </c>
      <c r="L36" s="367" t="e" cm="1">
        <f t="array" aca="1" ref="L36" ca="1">SUMPRODUCT(L$55:L$114,TRANSPOSE(SAP_Speadsheet!$E$27:$BL$27))</f>
        <v>#REF!</v>
      </c>
      <c r="M36" s="367" t="e" cm="1">
        <f t="array" aca="1" ref="M36" ca="1">SUMPRODUCT(M$55:M$114,TRANSPOSE(SAP_Speadsheet!$E$27:$BL$27))</f>
        <v>#REF!</v>
      </c>
      <c r="N36" s="367" t="e" cm="1">
        <f t="array" aca="1" ref="N36" ca="1">SUMPRODUCT(N$55:N$114,TRANSPOSE(SAP_Speadsheet!$E$27:$BL$27))</f>
        <v>#REF!</v>
      </c>
      <c r="O36" s="367" t="e" cm="1">
        <f t="array" aca="1" ref="O36" ca="1">SUMPRODUCT(O$55:O$114,TRANSPOSE(SAP_Speadsheet!$E$27:$BL$27))</f>
        <v>#REF!</v>
      </c>
      <c r="P36" s="367" t="e" cm="1">
        <f t="array" aca="1" ref="P36" ca="1">SUMPRODUCT(P$55:P$114,TRANSPOSE(SAP_Speadsheet!$E$27:$BL$27))</f>
        <v>#REF!</v>
      </c>
      <c r="Q36" s="367" t="e" cm="1">
        <f t="array" aca="1" ref="Q36" ca="1">SUMPRODUCT(Q$55:Q$114,TRANSPOSE(SAP_Speadsheet!$E$27:$BL$27))</f>
        <v>#REF!</v>
      </c>
      <c r="R36" s="367" t="e" cm="1">
        <f t="array" aca="1" ref="R36" ca="1">SUMPRODUCT(R$55:R$114,TRANSPOSE(SAP_Speadsheet!$E$27:$BL$27))</f>
        <v>#REF!</v>
      </c>
      <c r="S36" s="367" t="e" cm="1">
        <f t="array" aca="1" ref="S36" ca="1">SUMPRODUCT(S$55:S$114,TRANSPOSE(SAP_Speadsheet!$E$27:$BL$27))</f>
        <v>#REF!</v>
      </c>
      <c r="T36" s="367" t="e" cm="1">
        <f t="array" aca="1" ref="T36" ca="1">SUMPRODUCT(T$55:T$114,TRANSPOSE(SAP_Speadsheet!$E$27:$BL$27))</f>
        <v>#REF!</v>
      </c>
      <c r="U36" s="367" t="e" cm="1">
        <f t="array" aca="1" ref="U36" ca="1">SUMPRODUCT(U$55:U$114,TRANSPOSE(SAP_Speadsheet!$E$27:$BL$27))</f>
        <v>#REF!</v>
      </c>
      <c r="V36" s="367" t="e" cm="1">
        <f t="array" aca="1" ref="V36" ca="1">SUMPRODUCT(V$55:V$114,TRANSPOSE(SAP_Speadsheet!$E$27:$BL$27))</f>
        <v>#REF!</v>
      </c>
      <c r="W36" s="367" t="e" cm="1">
        <f t="array" aca="1" ref="W36" ca="1">SUMPRODUCT(W$55:W$114,TRANSPOSE(SAP_Speadsheet!$E$27:$BL$27))</f>
        <v>#REF!</v>
      </c>
      <c r="X36" s="367" t="e" cm="1">
        <f t="array" aca="1" ref="X36" ca="1">SUMPRODUCT(X$55:X$114,TRANSPOSE(SAP_Speadsheet!$E$27:$BL$27))</f>
        <v>#REF!</v>
      </c>
      <c r="Y36" s="367" t="e" cm="1">
        <f t="array" aca="1" ref="Y36" ca="1">SUMPRODUCT(Y$55:Y$114,TRANSPOSE(SAP_Speadsheet!$E$27:$BL$27))</f>
        <v>#REF!</v>
      </c>
      <c r="Z36" s="367" t="e" cm="1">
        <f t="array" aca="1" ref="Z36" ca="1">SUMPRODUCT(Z$55:Z$114,TRANSPOSE(SAP_Speadsheet!$E$27:$BL$27))</f>
        <v>#REF!</v>
      </c>
      <c r="AA36" s="367" t="e" cm="1">
        <f t="array" aca="1" ref="AA36" ca="1">SUMPRODUCT(AA$55:AA$114,TRANSPOSE(SAP_Speadsheet!$E$27:$BL$27))</f>
        <v>#REF!</v>
      </c>
      <c r="AB36" s="367" t="e" cm="1">
        <f t="array" aca="1" ref="AB36" ca="1">SUMPRODUCT(AB$55:AB$114,TRANSPOSE(SAP_Speadsheet!$E$27:$BL$27))</f>
        <v>#REF!</v>
      </c>
      <c r="AC36" s="367" t="e" cm="1">
        <f t="array" aca="1" ref="AC36" ca="1">SUMPRODUCT(AC$55:AC$114,TRANSPOSE(SAP_Speadsheet!$E$27:$BL$27))</f>
        <v>#REF!</v>
      </c>
      <c r="AD36" s="367" t="e" cm="1">
        <f t="array" aca="1" ref="AD36" ca="1">SUMPRODUCT(AD$55:AD$114,TRANSPOSE(SAP_Speadsheet!$E$27:$BL$27))</f>
        <v>#REF!</v>
      </c>
      <c r="AE36" s="367" t="e" cm="1">
        <f t="array" aca="1" ref="AE36" ca="1">SUMPRODUCT(AE$55:AE$114,TRANSPOSE(SAP_Speadsheet!$E$27:$BL$27))</f>
        <v>#REF!</v>
      </c>
      <c r="AF36" s="367" t="e" cm="1">
        <f t="array" aca="1" ref="AF36" ca="1">SUMPRODUCT(AF$55:AF$114,TRANSPOSE(SAP_Speadsheet!$E$27:$BL$27))</f>
        <v>#REF!</v>
      </c>
      <c r="AG36" s="367" t="e" cm="1">
        <f t="array" aca="1" ref="AG36" ca="1">SUMPRODUCT(AG$55:AG$114,TRANSPOSE(SAP_Speadsheet!$E$27:$BL$27))</f>
        <v>#REF!</v>
      </c>
      <c r="AH36" s="367" t="e" cm="1">
        <f t="array" aca="1" ref="AH36" ca="1">SUMPRODUCT(AH$55:AH$114,TRANSPOSE(SAP_Speadsheet!$E$27:$BL$27))</f>
        <v>#REF!</v>
      </c>
      <c r="AI36" s="367" t="e" cm="1">
        <f t="array" aca="1" ref="AI36" ca="1">SUMPRODUCT(AI$55:AI$114,TRANSPOSE(SAP_Speadsheet!$E$27:$BL$27))</f>
        <v>#REF!</v>
      </c>
      <c r="AJ36" s="367" t="e" cm="1">
        <f t="array" aca="1" ref="AJ36" ca="1">SUMPRODUCT(AJ$55:AJ$114,TRANSPOSE(SAP_Speadsheet!$E$27:$BL$27))</f>
        <v>#REF!</v>
      </c>
      <c r="AK36" s="367" t="e" cm="1">
        <f t="array" aca="1" ref="AK36" ca="1">SUMPRODUCT(AK$55:AK$114,TRANSPOSE(SAP_Speadsheet!$E$27:$BL$27))</f>
        <v>#REF!</v>
      </c>
      <c r="AL36" s="367" t="e" cm="1">
        <f t="array" aca="1" ref="AL36" ca="1">SUMPRODUCT(AL$55:AL$114,TRANSPOSE(SAP_Speadsheet!$E$27:$BL$27))</f>
        <v>#REF!</v>
      </c>
      <c r="AM36" s="367" t="e" cm="1">
        <f t="array" aca="1" ref="AM36" ca="1">SUMPRODUCT(AM$55:AM$114,TRANSPOSE(SAP_Speadsheet!$E$27:$BL$27))</f>
        <v>#REF!</v>
      </c>
      <c r="AN36" s="367" t="e" cm="1">
        <f t="array" aca="1" ref="AN36" ca="1">SUMPRODUCT(AN$55:AN$114,TRANSPOSE(SAP_Speadsheet!$E$27:$BL$27))</f>
        <v>#REF!</v>
      </c>
      <c r="AO36" s="367" t="e" cm="1">
        <f t="array" aca="1" ref="AO36" ca="1">SUMPRODUCT(AO$55:AO$114,TRANSPOSE(SAP_Speadsheet!$E$27:$BL$27))</f>
        <v>#REF!</v>
      </c>
      <c r="AP36" s="367" t="e" cm="1">
        <f t="array" aca="1" ref="AP36" ca="1">SUMPRODUCT(AP$55:AP$114,TRANSPOSE(SAP_Speadsheet!$E$27:$BL$27))</f>
        <v>#REF!</v>
      </c>
      <c r="AQ36" s="367" t="e" cm="1">
        <f t="array" aca="1" ref="AQ36" ca="1">SUMPRODUCT(AQ$55:AQ$114,TRANSPOSE(SAP_Speadsheet!$E$27:$BL$27))</f>
        <v>#REF!</v>
      </c>
      <c r="AR36" s="367" t="e" cm="1">
        <f t="array" aca="1" ref="AR36" ca="1">SUMPRODUCT(AR$55:AR$114,TRANSPOSE(SAP_Speadsheet!$E$27:$BL$27))</f>
        <v>#REF!</v>
      </c>
      <c r="AS36" s="367" t="e" cm="1">
        <f t="array" aca="1" ref="AS36" ca="1">SUMPRODUCT(AS$55:AS$114,TRANSPOSE(SAP_Speadsheet!$E$27:$BL$27))</f>
        <v>#REF!</v>
      </c>
      <c r="AT36" s="367" t="e" cm="1">
        <f t="array" aca="1" ref="AT36" ca="1">SUMPRODUCT(AT$55:AT$114,TRANSPOSE(SAP_Speadsheet!$E$27:$BL$27))</f>
        <v>#REF!</v>
      </c>
      <c r="AU36" s="367" t="e" cm="1">
        <f t="array" aca="1" ref="AU36" ca="1">SUMPRODUCT(AU$55:AU$114,TRANSPOSE(SAP_Speadsheet!$E$27:$BL$27))</f>
        <v>#REF!</v>
      </c>
      <c r="AV36" s="367" t="e" cm="1">
        <f t="array" aca="1" ref="AV36" ca="1">SUMPRODUCT(AV$55:AV$114,TRANSPOSE(SAP_Speadsheet!$E$27:$BL$27))</f>
        <v>#REF!</v>
      </c>
      <c r="AW36" s="367" t="e" cm="1">
        <f t="array" aca="1" ref="AW36" ca="1">SUMPRODUCT(AW$55:AW$114,TRANSPOSE(SAP_Speadsheet!$E$27:$BL$27))</f>
        <v>#REF!</v>
      </c>
      <c r="AX36" s="367" t="e" cm="1">
        <f t="array" aca="1" ref="AX36" ca="1">SUMPRODUCT(AX$55:AX$114,TRANSPOSE(SAP_Speadsheet!$E$27:$BL$27))</f>
        <v>#REF!</v>
      </c>
      <c r="AY36" s="367" t="e" cm="1">
        <f t="array" aca="1" ref="AY36" ca="1">SUMPRODUCT(AY$55:AY$114,TRANSPOSE(SAP_Speadsheet!$E$27:$BL$27))</f>
        <v>#REF!</v>
      </c>
      <c r="AZ36" s="367" t="e" cm="1">
        <f t="array" aca="1" ref="AZ36" ca="1">SUMPRODUCT(AZ$55:AZ$114,TRANSPOSE(SAP_Speadsheet!$E$27:$BL$27))</f>
        <v>#REF!</v>
      </c>
      <c r="BA36" s="367" t="e" cm="1">
        <f t="array" aca="1" ref="BA36" ca="1">SUMPRODUCT(BA$55:BA$114,TRANSPOSE(SAP_Speadsheet!$E$27:$BL$27))</f>
        <v>#REF!</v>
      </c>
      <c r="BB36" s="367" t="e" cm="1">
        <f t="array" aca="1" ref="BB36" ca="1">SUMPRODUCT(BB$55:BB$114,TRANSPOSE(SAP_Speadsheet!$E$27:$BL$27))</f>
        <v>#REF!</v>
      </c>
      <c r="BC36" s="367" t="e" cm="1">
        <f t="array" aca="1" ref="BC36" ca="1">SUMPRODUCT(BC$55:BC$114,TRANSPOSE(SAP_Speadsheet!$E$27:$BL$27))</f>
        <v>#REF!</v>
      </c>
      <c r="BD36" s="367" t="e" cm="1">
        <f t="array" aca="1" ref="BD36" ca="1">SUMPRODUCT(BD$55:BD$114,TRANSPOSE(SAP_Speadsheet!$E$27:$BL$27))</f>
        <v>#REF!</v>
      </c>
      <c r="BE36" s="367" t="e" cm="1">
        <f t="array" aca="1" ref="BE36" ca="1">SUMPRODUCT(BE$55:BE$114,TRANSPOSE(SAP_Speadsheet!$E$27:$BL$27))</f>
        <v>#REF!</v>
      </c>
      <c r="BF36" s="367" t="e" cm="1">
        <f t="array" aca="1" ref="BF36" ca="1">SUMPRODUCT(BF$55:BF$114,TRANSPOSE(SAP_Speadsheet!$E$27:$BL$27))</f>
        <v>#REF!</v>
      </c>
      <c r="BG36" s="367" t="e" cm="1">
        <f t="array" aca="1" ref="BG36" ca="1">SUMPRODUCT(BG$55:BG$114,TRANSPOSE(SAP_Speadsheet!$E$27:$BL$27))</f>
        <v>#REF!</v>
      </c>
      <c r="BH36" s="367" t="e" cm="1">
        <f t="array" aca="1" ref="BH36" ca="1">SUMPRODUCT(BH$55:BH$114,TRANSPOSE(SAP_Speadsheet!$E$27:$BL$27))</f>
        <v>#REF!</v>
      </c>
      <c r="BI36" s="367" t="e" cm="1">
        <f t="array" aca="1" ref="BI36" ca="1">SUMPRODUCT(BI$55:BI$114,TRANSPOSE(SAP_Speadsheet!$E$27:$BL$27))</f>
        <v>#REF!</v>
      </c>
    </row>
    <row r="37" spans="1:61" x14ac:dyDescent="0.15">
      <c r="A37" s="356" t="s">
        <v>370</v>
      </c>
      <c r="B37" s="367" cm="1">
        <f t="array" aca="1" ref="B37" ca="1">SUMPRODUCT(B$55:B$114,TRANSPOSE(SAP_Speadsheet!$E$28:$BL$28))</f>
        <v>0</v>
      </c>
      <c r="C37" s="367" cm="1">
        <f t="array" aca="1" ref="C37" ca="1">SUMPRODUCT(C$55:C$114,TRANSPOSE(SAP_Speadsheet!$E$28:$BL$28))</f>
        <v>0</v>
      </c>
      <c r="D37" s="367" cm="1">
        <f t="array" aca="1" ref="D37" ca="1">SUMPRODUCT(D$55:D$114,TRANSPOSE(SAP_Speadsheet!$E$28:$BL$28))</f>
        <v>0</v>
      </c>
      <c r="E37" s="367" cm="1">
        <f t="array" aca="1" ref="E37" ca="1">SUMPRODUCT(E$55:E$114,TRANSPOSE(SAP_Speadsheet!$E$28:$BL$28))</f>
        <v>0</v>
      </c>
      <c r="F37" s="367" cm="1">
        <f t="array" aca="1" ref="F37" ca="1">SUMPRODUCT(F$55:F$114,TRANSPOSE(SAP_Speadsheet!$E$28:$BL$28))</f>
        <v>0</v>
      </c>
      <c r="G37" s="367" cm="1">
        <f t="array" aca="1" ref="G37" ca="1">SUMPRODUCT(G$55:G$114,TRANSPOSE(SAP_Speadsheet!$E$28:$BL$28))</f>
        <v>0</v>
      </c>
      <c r="H37" s="367" t="e" cm="1">
        <f t="array" aca="1" ref="H37" ca="1">SUMPRODUCT(H$55:H$114,TRANSPOSE(SAP_Speadsheet!$E$28:$BL$28))</f>
        <v>#REF!</v>
      </c>
      <c r="I37" s="367" t="e" cm="1">
        <f t="array" aca="1" ref="I37" ca="1">SUMPRODUCT(I$55:I$114,TRANSPOSE(SAP_Speadsheet!$E$28:$BL$28))</f>
        <v>#REF!</v>
      </c>
      <c r="J37" s="367" t="e" cm="1">
        <f t="array" aca="1" ref="J37" ca="1">SUMPRODUCT(J$55:J$114,TRANSPOSE(SAP_Speadsheet!$E$28:$BL$28))</f>
        <v>#REF!</v>
      </c>
      <c r="K37" s="367" t="e" cm="1">
        <f t="array" aca="1" ref="K37" ca="1">SUMPRODUCT(K$55:K$114,TRANSPOSE(SAP_Speadsheet!$E$28:$BL$28))</f>
        <v>#REF!</v>
      </c>
      <c r="L37" s="367" t="e" cm="1">
        <f t="array" aca="1" ref="L37" ca="1">SUMPRODUCT(L$55:L$114,TRANSPOSE(SAP_Speadsheet!$E$28:$BL$28))</f>
        <v>#REF!</v>
      </c>
      <c r="M37" s="367" t="e" cm="1">
        <f t="array" aca="1" ref="M37" ca="1">SUMPRODUCT(M$55:M$114,TRANSPOSE(SAP_Speadsheet!$E$28:$BL$28))</f>
        <v>#REF!</v>
      </c>
      <c r="N37" s="367" t="e" cm="1">
        <f t="array" aca="1" ref="N37" ca="1">SUMPRODUCT(N$55:N$114,TRANSPOSE(SAP_Speadsheet!$E$28:$BL$28))</f>
        <v>#REF!</v>
      </c>
      <c r="O37" s="367" t="e" cm="1">
        <f t="array" aca="1" ref="O37" ca="1">SUMPRODUCT(O$55:O$114,TRANSPOSE(SAP_Speadsheet!$E$28:$BL$28))</f>
        <v>#REF!</v>
      </c>
      <c r="P37" s="367" t="e" cm="1">
        <f t="array" aca="1" ref="P37" ca="1">SUMPRODUCT(P$55:P$114,TRANSPOSE(SAP_Speadsheet!$E$28:$BL$28))</f>
        <v>#REF!</v>
      </c>
      <c r="Q37" s="367" t="e" cm="1">
        <f t="array" aca="1" ref="Q37" ca="1">SUMPRODUCT(Q$55:Q$114,TRANSPOSE(SAP_Speadsheet!$E$28:$BL$28))</f>
        <v>#REF!</v>
      </c>
      <c r="R37" s="367" t="e" cm="1">
        <f t="array" aca="1" ref="R37" ca="1">SUMPRODUCT(R$55:R$114,TRANSPOSE(SAP_Speadsheet!$E$28:$BL$28))</f>
        <v>#REF!</v>
      </c>
      <c r="S37" s="367" t="e" cm="1">
        <f t="array" aca="1" ref="S37" ca="1">SUMPRODUCT(S$55:S$114,TRANSPOSE(SAP_Speadsheet!$E$28:$BL$28))</f>
        <v>#REF!</v>
      </c>
      <c r="T37" s="367" t="e" cm="1">
        <f t="array" aca="1" ref="T37" ca="1">SUMPRODUCT(T$55:T$114,TRANSPOSE(SAP_Speadsheet!$E$28:$BL$28))</f>
        <v>#REF!</v>
      </c>
      <c r="U37" s="367" t="e" cm="1">
        <f t="array" aca="1" ref="U37" ca="1">SUMPRODUCT(U$55:U$114,TRANSPOSE(SAP_Speadsheet!$E$28:$BL$28))</f>
        <v>#REF!</v>
      </c>
      <c r="V37" s="367" t="e" cm="1">
        <f t="array" aca="1" ref="V37" ca="1">SUMPRODUCT(V$55:V$114,TRANSPOSE(SAP_Speadsheet!$E$28:$BL$28))</f>
        <v>#REF!</v>
      </c>
      <c r="W37" s="367" t="e" cm="1">
        <f t="array" aca="1" ref="W37" ca="1">SUMPRODUCT(W$55:W$114,TRANSPOSE(SAP_Speadsheet!$E$28:$BL$28))</f>
        <v>#REF!</v>
      </c>
      <c r="X37" s="367" t="e" cm="1">
        <f t="array" aca="1" ref="X37" ca="1">SUMPRODUCT(X$55:X$114,TRANSPOSE(SAP_Speadsheet!$E$28:$BL$28))</f>
        <v>#REF!</v>
      </c>
      <c r="Y37" s="367" t="e" cm="1">
        <f t="array" aca="1" ref="Y37" ca="1">SUMPRODUCT(Y$55:Y$114,TRANSPOSE(SAP_Speadsheet!$E$28:$BL$28))</f>
        <v>#REF!</v>
      </c>
      <c r="Z37" s="367" t="e" cm="1">
        <f t="array" aca="1" ref="Z37" ca="1">SUMPRODUCT(Z$55:Z$114,TRANSPOSE(SAP_Speadsheet!$E$28:$BL$28))</f>
        <v>#REF!</v>
      </c>
      <c r="AA37" s="367" t="e" cm="1">
        <f t="array" aca="1" ref="AA37" ca="1">SUMPRODUCT(AA$55:AA$114,TRANSPOSE(SAP_Speadsheet!$E$28:$BL$28))</f>
        <v>#REF!</v>
      </c>
      <c r="AB37" s="367" t="e" cm="1">
        <f t="array" aca="1" ref="AB37" ca="1">SUMPRODUCT(AB$55:AB$114,TRANSPOSE(SAP_Speadsheet!$E$28:$BL$28))</f>
        <v>#REF!</v>
      </c>
      <c r="AC37" s="367" t="e" cm="1">
        <f t="array" aca="1" ref="AC37" ca="1">SUMPRODUCT(AC$55:AC$114,TRANSPOSE(SAP_Speadsheet!$E$28:$BL$28))</f>
        <v>#REF!</v>
      </c>
      <c r="AD37" s="367" t="e" cm="1">
        <f t="array" aca="1" ref="AD37" ca="1">SUMPRODUCT(AD$55:AD$114,TRANSPOSE(SAP_Speadsheet!$E$28:$BL$28))</f>
        <v>#REF!</v>
      </c>
      <c r="AE37" s="367" t="e" cm="1">
        <f t="array" aca="1" ref="AE37" ca="1">SUMPRODUCT(AE$55:AE$114,TRANSPOSE(SAP_Speadsheet!$E$28:$BL$28))</f>
        <v>#REF!</v>
      </c>
      <c r="AF37" s="367" t="e" cm="1">
        <f t="array" aca="1" ref="AF37" ca="1">SUMPRODUCT(AF$55:AF$114,TRANSPOSE(SAP_Speadsheet!$E$28:$BL$28))</f>
        <v>#REF!</v>
      </c>
      <c r="AG37" s="367" t="e" cm="1">
        <f t="array" aca="1" ref="AG37" ca="1">SUMPRODUCT(AG$55:AG$114,TRANSPOSE(SAP_Speadsheet!$E$28:$BL$28))</f>
        <v>#REF!</v>
      </c>
      <c r="AH37" s="367" t="e" cm="1">
        <f t="array" aca="1" ref="AH37" ca="1">SUMPRODUCT(AH$55:AH$114,TRANSPOSE(SAP_Speadsheet!$E$28:$BL$28))</f>
        <v>#REF!</v>
      </c>
      <c r="AI37" s="367" t="e" cm="1">
        <f t="array" aca="1" ref="AI37" ca="1">SUMPRODUCT(AI$55:AI$114,TRANSPOSE(SAP_Speadsheet!$E$28:$BL$28))</f>
        <v>#REF!</v>
      </c>
      <c r="AJ37" s="367" t="e" cm="1">
        <f t="array" aca="1" ref="AJ37" ca="1">SUMPRODUCT(AJ$55:AJ$114,TRANSPOSE(SAP_Speadsheet!$E$28:$BL$28))</f>
        <v>#REF!</v>
      </c>
      <c r="AK37" s="367" t="e" cm="1">
        <f t="array" aca="1" ref="AK37" ca="1">SUMPRODUCT(AK$55:AK$114,TRANSPOSE(SAP_Speadsheet!$E$28:$BL$28))</f>
        <v>#REF!</v>
      </c>
      <c r="AL37" s="367" t="e" cm="1">
        <f t="array" aca="1" ref="AL37" ca="1">SUMPRODUCT(AL$55:AL$114,TRANSPOSE(SAP_Speadsheet!$E$28:$BL$28))</f>
        <v>#REF!</v>
      </c>
      <c r="AM37" s="367" t="e" cm="1">
        <f t="array" aca="1" ref="AM37" ca="1">SUMPRODUCT(AM$55:AM$114,TRANSPOSE(SAP_Speadsheet!$E$28:$BL$28))</f>
        <v>#REF!</v>
      </c>
      <c r="AN37" s="367" t="e" cm="1">
        <f t="array" aca="1" ref="AN37" ca="1">SUMPRODUCT(AN$55:AN$114,TRANSPOSE(SAP_Speadsheet!$E$28:$BL$28))</f>
        <v>#REF!</v>
      </c>
      <c r="AO37" s="367" t="e" cm="1">
        <f t="array" aca="1" ref="AO37" ca="1">SUMPRODUCT(AO$55:AO$114,TRANSPOSE(SAP_Speadsheet!$E$28:$BL$28))</f>
        <v>#REF!</v>
      </c>
      <c r="AP37" s="367" t="e" cm="1">
        <f t="array" aca="1" ref="AP37" ca="1">SUMPRODUCT(AP$55:AP$114,TRANSPOSE(SAP_Speadsheet!$E$28:$BL$28))</f>
        <v>#REF!</v>
      </c>
      <c r="AQ37" s="367" t="e" cm="1">
        <f t="array" aca="1" ref="AQ37" ca="1">SUMPRODUCT(AQ$55:AQ$114,TRANSPOSE(SAP_Speadsheet!$E$28:$BL$28))</f>
        <v>#REF!</v>
      </c>
      <c r="AR37" s="367" t="e" cm="1">
        <f t="array" aca="1" ref="AR37" ca="1">SUMPRODUCT(AR$55:AR$114,TRANSPOSE(SAP_Speadsheet!$E$28:$BL$28))</f>
        <v>#REF!</v>
      </c>
      <c r="AS37" s="367" t="e" cm="1">
        <f t="array" aca="1" ref="AS37" ca="1">SUMPRODUCT(AS$55:AS$114,TRANSPOSE(SAP_Speadsheet!$E$28:$BL$28))</f>
        <v>#REF!</v>
      </c>
      <c r="AT37" s="367" t="e" cm="1">
        <f t="array" aca="1" ref="AT37" ca="1">SUMPRODUCT(AT$55:AT$114,TRANSPOSE(SAP_Speadsheet!$E$28:$BL$28))</f>
        <v>#REF!</v>
      </c>
      <c r="AU37" s="367" t="e" cm="1">
        <f t="array" aca="1" ref="AU37" ca="1">SUMPRODUCT(AU$55:AU$114,TRANSPOSE(SAP_Speadsheet!$E$28:$BL$28))</f>
        <v>#REF!</v>
      </c>
      <c r="AV37" s="367" t="e" cm="1">
        <f t="array" aca="1" ref="AV37" ca="1">SUMPRODUCT(AV$55:AV$114,TRANSPOSE(SAP_Speadsheet!$E$28:$BL$28))</f>
        <v>#REF!</v>
      </c>
      <c r="AW37" s="367" t="e" cm="1">
        <f t="array" aca="1" ref="AW37" ca="1">SUMPRODUCT(AW$55:AW$114,TRANSPOSE(SAP_Speadsheet!$E$28:$BL$28))</f>
        <v>#REF!</v>
      </c>
      <c r="AX37" s="367" t="e" cm="1">
        <f t="array" aca="1" ref="AX37" ca="1">SUMPRODUCT(AX$55:AX$114,TRANSPOSE(SAP_Speadsheet!$E$28:$BL$28))</f>
        <v>#REF!</v>
      </c>
      <c r="AY37" s="367" t="e" cm="1">
        <f t="array" aca="1" ref="AY37" ca="1">SUMPRODUCT(AY$55:AY$114,TRANSPOSE(SAP_Speadsheet!$E$28:$BL$28))</f>
        <v>#REF!</v>
      </c>
      <c r="AZ37" s="367" t="e" cm="1">
        <f t="array" aca="1" ref="AZ37" ca="1">SUMPRODUCT(AZ$55:AZ$114,TRANSPOSE(SAP_Speadsheet!$E$28:$BL$28))</f>
        <v>#REF!</v>
      </c>
      <c r="BA37" s="367" t="e" cm="1">
        <f t="array" aca="1" ref="BA37" ca="1">SUMPRODUCT(BA$55:BA$114,TRANSPOSE(SAP_Speadsheet!$E$28:$BL$28))</f>
        <v>#REF!</v>
      </c>
      <c r="BB37" s="367" t="e" cm="1">
        <f t="array" aca="1" ref="BB37" ca="1">SUMPRODUCT(BB$55:BB$114,TRANSPOSE(SAP_Speadsheet!$E$28:$BL$28))</f>
        <v>#REF!</v>
      </c>
      <c r="BC37" s="367" t="e" cm="1">
        <f t="array" aca="1" ref="BC37" ca="1">SUMPRODUCT(BC$55:BC$114,TRANSPOSE(SAP_Speadsheet!$E$28:$BL$28))</f>
        <v>#REF!</v>
      </c>
      <c r="BD37" s="367" t="e" cm="1">
        <f t="array" aca="1" ref="BD37" ca="1">SUMPRODUCT(BD$55:BD$114,TRANSPOSE(SAP_Speadsheet!$E$28:$BL$28))</f>
        <v>#REF!</v>
      </c>
      <c r="BE37" s="367" t="e" cm="1">
        <f t="array" aca="1" ref="BE37" ca="1">SUMPRODUCT(BE$55:BE$114,TRANSPOSE(SAP_Speadsheet!$E$28:$BL$28))</f>
        <v>#REF!</v>
      </c>
      <c r="BF37" s="367" t="e" cm="1">
        <f t="array" aca="1" ref="BF37" ca="1">SUMPRODUCT(BF$55:BF$114,TRANSPOSE(SAP_Speadsheet!$E$28:$BL$28))</f>
        <v>#REF!</v>
      </c>
      <c r="BG37" s="367" t="e" cm="1">
        <f t="array" aca="1" ref="BG37" ca="1">SUMPRODUCT(BG$55:BG$114,TRANSPOSE(SAP_Speadsheet!$E$28:$BL$28))</f>
        <v>#REF!</v>
      </c>
      <c r="BH37" s="367" t="e" cm="1">
        <f t="array" aca="1" ref="BH37" ca="1">SUMPRODUCT(BH$55:BH$114,TRANSPOSE(SAP_Speadsheet!$E$28:$BL$28))</f>
        <v>#REF!</v>
      </c>
      <c r="BI37" s="367" t="e" cm="1">
        <f t="array" aca="1" ref="BI37" ca="1">SUMPRODUCT(BI$55:BI$114,TRANSPOSE(SAP_Speadsheet!$E$28:$BL$28))</f>
        <v>#REF!</v>
      </c>
    </row>
    <row r="38" spans="1:61" x14ac:dyDescent="0.15">
      <c r="A38" s="356" t="s">
        <v>371</v>
      </c>
      <c r="B38" s="367" cm="1">
        <f t="array" aca="1" ref="B38" ca="1">SUMPRODUCT(B$55:B$114,TRANSPOSE(SAP_Speadsheet!$E$29:$BL$29))</f>
        <v>0</v>
      </c>
      <c r="C38" s="367" cm="1">
        <f t="array" aca="1" ref="C38" ca="1">SUMPRODUCT(C$55:C$114,TRANSPOSE(SAP_Speadsheet!$E$29:$BL$29))</f>
        <v>0</v>
      </c>
      <c r="D38" s="367" cm="1">
        <f t="array" aca="1" ref="D38" ca="1">SUMPRODUCT(D$55:D$114,TRANSPOSE(SAP_Speadsheet!$E$29:$BL$29))</f>
        <v>0</v>
      </c>
      <c r="E38" s="367" cm="1">
        <f t="array" aca="1" ref="E38" ca="1">SUMPRODUCT(E$55:E$114,TRANSPOSE(SAP_Speadsheet!$E$29:$BL$29))</f>
        <v>0</v>
      </c>
      <c r="F38" s="367" cm="1">
        <f t="array" aca="1" ref="F38" ca="1">SUMPRODUCT(F$55:F$114,TRANSPOSE(SAP_Speadsheet!$E$29:$BL$29))</f>
        <v>0</v>
      </c>
      <c r="G38" s="367" cm="1">
        <f t="array" aca="1" ref="G38" ca="1">SUMPRODUCT(G$55:G$114,TRANSPOSE(SAP_Speadsheet!$E$29:$BL$29))</f>
        <v>0</v>
      </c>
      <c r="H38" s="367" t="e" cm="1">
        <f t="array" aca="1" ref="H38" ca="1">SUMPRODUCT(H$55:H$114,TRANSPOSE(SAP_Speadsheet!$E$29:$BL$29))</f>
        <v>#REF!</v>
      </c>
      <c r="I38" s="367" t="e" cm="1">
        <f t="array" aca="1" ref="I38" ca="1">SUMPRODUCT(I$55:I$114,TRANSPOSE(SAP_Speadsheet!$E$29:$BL$29))</f>
        <v>#REF!</v>
      </c>
      <c r="J38" s="367" t="e" cm="1">
        <f t="array" aca="1" ref="J38" ca="1">SUMPRODUCT(J$55:J$114,TRANSPOSE(SAP_Speadsheet!$E$29:$BL$29))</f>
        <v>#REF!</v>
      </c>
      <c r="K38" s="367" t="e" cm="1">
        <f t="array" aca="1" ref="K38" ca="1">SUMPRODUCT(K$55:K$114,TRANSPOSE(SAP_Speadsheet!$E$29:$BL$29))</f>
        <v>#REF!</v>
      </c>
      <c r="L38" s="367" t="e" cm="1">
        <f t="array" aca="1" ref="L38" ca="1">SUMPRODUCT(L$55:L$114,TRANSPOSE(SAP_Speadsheet!$E$29:$BL$29))</f>
        <v>#REF!</v>
      </c>
      <c r="M38" s="367" t="e" cm="1">
        <f t="array" aca="1" ref="M38" ca="1">SUMPRODUCT(M$55:M$114,TRANSPOSE(SAP_Speadsheet!$E$29:$BL$29))</f>
        <v>#REF!</v>
      </c>
      <c r="N38" s="367" t="e" cm="1">
        <f t="array" aca="1" ref="N38" ca="1">SUMPRODUCT(N$55:N$114,TRANSPOSE(SAP_Speadsheet!$E$29:$BL$29))</f>
        <v>#REF!</v>
      </c>
      <c r="O38" s="367" t="e" cm="1">
        <f t="array" aca="1" ref="O38" ca="1">SUMPRODUCT(O$55:O$114,TRANSPOSE(SAP_Speadsheet!$E$29:$BL$29))</f>
        <v>#REF!</v>
      </c>
      <c r="P38" s="367" t="e" cm="1">
        <f t="array" aca="1" ref="P38" ca="1">SUMPRODUCT(P$55:P$114,TRANSPOSE(SAP_Speadsheet!$E$29:$BL$29))</f>
        <v>#REF!</v>
      </c>
      <c r="Q38" s="367" t="e" cm="1">
        <f t="array" aca="1" ref="Q38" ca="1">SUMPRODUCT(Q$55:Q$114,TRANSPOSE(SAP_Speadsheet!$E$29:$BL$29))</f>
        <v>#REF!</v>
      </c>
      <c r="R38" s="367" t="e" cm="1">
        <f t="array" aca="1" ref="R38" ca="1">SUMPRODUCT(R$55:R$114,TRANSPOSE(SAP_Speadsheet!$E$29:$BL$29))</f>
        <v>#REF!</v>
      </c>
      <c r="S38" s="367" t="e" cm="1">
        <f t="array" aca="1" ref="S38" ca="1">SUMPRODUCT(S$55:S$114,TRANSPOSE(SAP_Speadsheet!$E$29:$BL$29))</f>
        <v>#REF!</v>
      </c>
      <c r="T38" s="367" t="e" cm="1">
        <f t="array" aca="1" ref="T38" ca="1">SUMPRODUCT(T$55:T$114,TRANSPOSE(SAP_Speadsheet!$E$29:$BL$29))</f>
        <v>#REF!</v>
      </c>
      <c r="U38" s="367" t="e" cm="1">
        <f t="array" aca="1" ref="U38" ca="1">SUMPRODUCT(U$55:U$114,TRANSPOSE(SAP_Speadsheet!$E$29:$BL$29))</f>
        <v>#REF!</v>
      </c>
      <c r="V38" s="367" t="e" cm="1">
        <f t="array" aca="1" ref="V38" ca="1">SUMPRODUCT(V$55:V$114,TRANSPOSE(SAP_Speadsheet!$E$29:$BL$29))</f>
        <v>#REF!</v>
      </c>
      <c r="W38" s="367" t="e" cm="1">
        <f t="array" aca="1" ref="W38" ca="1">SUMPRODUCT(W$55:W$114,TRANSPOSE(SAP_Speadsheet!$E$29:$BL$29))</f>
        <v>#REF!</v>
      </c>
      <c r="X38" s="367" t="e" cm="1">
        <f t="array" aca="1" ref="X38" ca="1">SUMPRODUCT(X$55:X$114,TRANSPOSE(SAP_Speadsheet!$E$29:$BL$29))</f>
        <v>#REF!</v>
      </c>
      <c r="Y38" s="367" t="e" cm="1">
        <f t="array" aca="1" ref="Y38" ca="1">SUMPRODUCT(Y$55:Y$114,TRANSPOSE(SAP_Speadsheet!$E$29:$BL$29))</f>
        <v>#REF!</v>
      </c>
      <c r="Z38" s="367" t="e" cm="1">
        <f t="array" aca="1" ref="Z38" ca="1">SUMPRODUCT(Z$55:Z$114,TRANSPOSE(SAP_Speadsheet!$E$29:$BL$29))</f>
        <v>#REF!</v>
      </c>
      <c r="AA38" s="367" t="e" cm="1">
        <f t="array" aca="1" ref="AA38" ca="1">SUMPRODUCT(AA$55:AA$114,TRANSPOSE(SAP_Speadsheet!$E$29:$BL$29))</f>
        <v>#REF!</v>
      </c>
      <c r="AB38" s="367" t="e" cm="1">
        <f t="array" aca="1" ref="AB38" ca="1">SUMPRODUCT(AB$55:AB$114,TRANSPOSE(SAP_Speadsheet!$E$29:$BL$29))</f>
        <v>#REF!</v>
      </c>
      <c r="AC38" s="367" t="e" cm="1">
        <f t="array" aca="1" ref="AC38" ca="1">SUMPRODUCT(AC$55:AC$114,TRANSPOSE(SAP_Speadsheet!$E$29:$BL$29))</f>
        <v>#REF!</v>
      </c>
      <c r="AD38" s="367" t="e" cm="1">
        <f t="array" aca="1" ref="AD38" ca="1">SUMPRODUCT(AD$55:AD$114,TRANSPOSE(SAP_Speadsheet!$E$29:$BL$29))</f>
        <v>#REF!</v>
      </c>
      <c r="AE38" s="367" t="e" cm="1">
        <f t="array" aca="1" ref="AE38" ca="1">SUMPRODUCT(AE$55:AE$114,TRANSPOSE(SAP_Speadsheet!$E$29:$BL$29))</f>
        <v>#REF!</v>
      </c>
      <c r="AF38" s="367" t="e" cm="1">
        <f t="array" aca="1" ref="AF38" ca="1">SUMPRODUCT(AF$55:AF$114,TRANSPOSE(SAP_Speadsheet!$E$29:$BL$29))</f>
        <v>#REF!</v>
      </c>
      <c r="AG38" s="367" t="e" cm="1">
        <f t="array" aca="1" ref="AG38" ca="1">SUMPRODUCT(AG$55:AG$114,TRANSPOSE(SAP_Speadsheet!$E$29:$BL$29))</f>
        <v>#REF!</v>
      </c>
      <c r="AH38" s="367" t="e" cm="1">
        <f t="array" aca="1" ref="AH38" ca="1">SUMPRODUCT(AH$55:AH$114,TRANSPOSE(SAP_Speadsheet!$E$29:$BL$29))</f>
        <v>#REF!</v>
      </c>
      <c r="AI38" s="367" t="e" cm="1">
        <f t="array" aca="1" ref="AI38" ca="1">SUMPRODUCT(AI$55:AI$114,TRANSPOSE(SAP_Speadsheet!$E$29:$BL$29))</f>
        <v>#REF!</v>
      </c>
      <c r="AJ38" s="367" t="e" cm="1">
        <f t="array" aca="1" ref="AJ38" ca="1">SUMPRODUCT(AJ$55:AJ$114,TRANSPOSE(SAP_Speadsheet!$E$29:$BL$29))</f>
        <v>#REF!</v>
      </c>
      <c r="AK38" s="367" t="e" cm="1">
        <f t="array" aca="1" ref="AK38" ca="1">SUMPRODUCT(AK$55:AK$114,TRANSPOSE(SAP_Speadsheet!$E$29:$BL$29))</f>
        <v>#REF!</v>
      </c>
      <c r="AL38" s="367" t="e" cm="1">
        <f t="array" aca="1" ref="AL38" ca="1">SUMPRODUCT(AL$55:AL$114,TRANSPOSE(SAP_Speadsheet!$E$29:$BL$29))</f>
        <v>#REF!</v>
      </c>
      <c r="AM38" s="367" t="e" cm="1">
        <f t="array" aca="1" ref="AM38" ca="1">SUMPRODUCT(AM$55:AM$114,TRANSPOSE(SAP_Speadsheet!$E$29:$BL$29))</f>
        <v>#REF!</v>
      </c>
      <c r="AN38" s="367" t="e" cm="1">
        <f t="array" aca="1" ref="AN38" ca="1">SUMPRODUCT(AN$55:AN$114,TRANSPOSE(SAP_Speadsheet!$E$29:$BL$29))</f>
        <v>#REF!</v>
      </c>
      <c r="AO38" s="367" t="e" cm="1">
        <f t="array" aca="1" ref="AO38" ca="1">SUMPRODUCT(AO$55:AO$114,TRANSPOSE(SAP_Speadsheet!$E$29:$BL$29))</f>
        <v>#REF!</v>
      </c>
      <c r="AP38" s="367" t="e" cm="1">
        <f t="array" aca="1" ref="AP38" ca="1">SUMPRODUCT(AP$55:AP$114,TRANSPOSE(SAP_Speadsheet!$E$29:$BL$29))</f>
        <v>#REF!</v>
      </c>
      <c r="AQ38" s="367" t="e" cm="1">
        <f t="array" aca="1" ref="AQ38" ca="1">SUMPRODUCT(AQ$55:AQ$114,TRANSPOSE(SAP_Speadsheet!$E$29:$BL$29))</f>
        <v>#REF!</v>
      </c>
      <c r="AR38" s="367" t="e" cm="1">
        <f t="array" aca="1" ref="AR38" ca="1">SUMPRODUCT(AR$55:AR$114,TRANSPOSE(SAP_Speadsheet!$E$29:$BL$29))</f>
        <v>#REF!</v>
      </c>
      <c r="AS38" s="367" t="e" cm="1">
        <f t="array" aca="1" ref="AS38" ca="1">SUMPRODUCT(AS$55:AS$114,TRANSPOSE(SAP_Speadsheet!$E$29:$BL$29))</f>
        <v>#REF!</v>
      </c>
      <c r="AT38" s="367" t="e" cm="1">
        <f t="array" aca="1" ref="AT38" ca="1">SUMPRODUCT(AT$55:AT$114,TRANSPOSE(SAP_Speadsheet!$E$29:$BL$29))</f>
        <v>#REF!</v>
      </c>
      <c r="AU38" s="367" t="e" cm="1">
        <f t="array" aca="1" ref="AU38" ca="1">SUMPRODUCT(AU$55:AU$114,TRANSPOSE(SAP_Speadsheet!$E$29:$BL$29))</f>
        <v>#REF!</v>
      </c>
      <c r="AV38" s="367" t="e" cm="1">
        <f t="array" aca="1" ref="AV38" ca="1">SUMPRODUCT(AV$55:AV$114,TRANSPOSE(SAP_Speadsheet!$E$29:$BL$29))</f>
        <v>#REF!</v>
      </c>
      <c r="AW38" s="367" t="e" cm="1">
        <f t="array" aca="1" ref="AW38" ca="1">SUMPRODUCT(AW$55:AW$114,TRANSPOSE(SAP_Speadsheet!$E$29:$BL$29))</f>
        <v>#REF!</v>
      </c>
      <c r="AX38" s="367" t="e" cm="1">
        <f t="array" aca="1" ref="AX38" ca="1">SUMPRODUCT(AX$55:AX$114,TRANSPOSE(SAP_Speadsheet!$E$29:$BL$29))</f>
        <v>#REF!</v>
      </c>
      <c r="AY38" s="367" t="e" cm="1">
        <f t="array" aca="1" ref="AY38" ca="1">SUMPRODUCT(AY$55:AY$114,TRANSPOSE(SAP_Speadsheet!$E$29:$BL$29))</f>
        <v>#REF!</v>
      </c>
      <c r="AZ38" s="367" t="e" cm="1">
        <f t="array" aca="1" ref="AZ38" ca="1">SUMPRODUCT(AZ$55:AZ$114,TRANSPOSE(SAP_Speadsheet!$E$29:$BL$29))</f>
        <v>#REF!</v>
      </c>
      <c r="BA38" s="367" t="e" cm="1">
        <f t="array" aca="1" ref="BA38" ca="1">SUMPRODUCT(BA$55:BA$114,TRANSPOSE(SAP_Speadsheet!$E$29:$BL$29))</f>
        <v>#REF!</v>
      </c>
      <c r="BB38" s="367" t="e" cm="1">
        <f t="array" aca="1" ref="BB38" ca="1">SUMPRODUCT(BB$55:BB$114,TRANSPOSE(SAP_Speadsheet!$E$29:$BL$29))</f>
        <v>#REF!</v>
      </c>
      <c r="BC38" s="367" t="e" cm="1">
        <f t="array" aca="1" ref="BC38" ca="1">SUMPRODUCT(BC$55:BC$114,TRANSPOSE(SAP_Speadsheet!$E$29:$BL$29))</f>
        <v>#REF!</v>
      </c>
      <c r="BD38" s="367" t="e" cm="1">
        <f t="array" aca="1" ref="BD38" ca="1">SUMPRODUCT(BD$55:BD$114,TRANSPOSE(SAP_Speadsheet!$E$29:$BL$29))</f>
        <v>#REF!</v>
      </c>
      <c r="BE38" s="367" t="e" cm="1">
        <f t="array" aca="1" ref="BE38" ca="1">SUMPRODUCT(BE$55:BE$114,TRANSPOSE(SAP_Speadsheet!$E$29:$BL$29))</f>
        <v>#REF!</v>
      </c>
      <c r="BF38" s="367" t="e" cm="1">
        <f t="array" aca="1" ref="BF38" ca="1">SUMPRODUCT(BF$55:BF$114,TRANSPOSE(SAP_Speadsheet!$E$29:$BL$29))</f>
        <v>#REF!</v>
      </c>
      <c r="BG38" s="367" t="e" cm="1">
        <f t="array" aca="1" ref="BG38" ca="1">SUMPRODUCT(BG$55:BG$114,TRANSPOSE(SAP_Speadsheet!$E$29:$BL$29))</f>
        <v>#REF!</v>
      </c>
      <c r="BH38" s="367" t="e" cm="1">
        <f t="array" aca="1" ref="BH38" ca="1">SUMPRODUCT(BH$55:BH$114,TRANSPOSE(SAP_Speadsheet!$E$29:$BL$29))</f>
        <v>#REF!</v>
      </c>
      <c r="BI38" s="367" t="e" cm="1">
        <f t="array" aca="1" ref="BI38" ca="1">SUMPRODUCT(BI$55:BI$114,TRANSPOSE(SAP_Speadsheet!$E$29:$BL$29))</f>
        <v>#REF!</v>
      </c>
    </row>
    <row r="39" spans="1:61" x14ac:dyDescent="0.15">
      <c r="A39" s="356" t="s">
        <v>372</v>
      </c>
      <c r="B39" s="367" cm="1">
        <f t="array" aca="1" ref="B39" ca="1">SUMPRODUCT(B$55:B$114,TRANSPOSE(SAP_Speadsheet!$E$30:$BL$30))</f>
        <v>0</v>
      </c>
      <c r="C39" s="367" cm="1">
        <f t="array" aca="1" ref="C39" ca="1">SUMPRODUCT(C$55:C$114,TRANSPOSE(SAP_Speadsheet!$E$30:$BL$30))</f>
        <v>0</v>
      </c>
      <c r="D39" s="367" cm="1">
        <f t="array" aca="1" ref="D39" ca="1">SUMPRODUCT(D$55:D$114,TRANSPOSE(SAP_Speadsheet!$E$30:$BL$30))</f>
        <v>0</v>
      </c>
      <c r="E39" s="367" cm="1">
        <f t="array" aca="1" ref="E39" ca="1">SUMPRODUCT(E$55:E$114,TRANSPOSE(SAP_Speadsheet!$E$30:$BL$30))</f>
        <v>0</v>
      </c>
      <c r="F39" s="367" cm="1">
        <f t="array" aca="1" ref="F39" ca="1">SUMPRODUCT(F$55:F$114,TRANSPOSE(SAP_Speadsheet!$E$30:$BL$30))</f>
        <v>0</v>
      </c>
      <c r="G39" s="367" cm="1">
        <f t="array" aca="1" ref="G39" ca="1">SUMPRODUCT(G$55:G$114,TRANSPOSE(SAP_Speadsheet!$E$30:$BL$30))</f>
        <v>0</v>
      </c>
      <c r="H39" s="367" t="e" cm="1">
        <f t="array" aca="1" ref="H39" ca="1">SUMPRODUCT(H$55:H$114,TRANSPOSE(SAP_Speadsheet!$E$30:$BL$30))</f>
        <v>#REF!</v>
      </c>
      <c r="I39" s="367" t="e" cm="1">
        <f t="array" aca="1" ref="I39" ca="1">SUMPRODUCT(I$55:I$114,TRANSPOSE(SAP_Speadsheet!$E$30:$BL$30))</f>
        <v>#REF!</v>
      </c>
      <c r="J39" s="367" t="e" cm="1">
        <f t="array" aca="1" ref="J39" ca="1">SUMPRODUCT(J$55:J$114,TRANSPOSE(SAP_Speadsheet!$E$30:$BL$30))</f>
        <v>#REF!</v>
      </c>
      <c r="K39" s="367" t="e" cm="1">
        <f t="array" aca="1" ref="K39" ca="1">SUMPRODUCT(K$55:K$114,TRANSPOSE(SAP_Speadsheet!$E$30:$BL$30))</f>
        <v>#REF!</v>
      </c>
      <c r="L39" s="367" t="e" cm="1">
        <f t="array" aca="1" ref="L39" ca="1">SUMPRODUCT(L$55:L$114,TRANSPOSE(SAP_Speadsheet!$E$30:$BL$30))</f>
        <v>#REF!</v>
      </c>
      <c r="M39" s="367" t="e" cm="1">
        <f t="array" aca="1" ref="M39" ca="1">SUMPRODUCT(M$55:M$114,TRANSPOSE(SAP_Speadsheet!$E$30:$BL$30))</f>
        <v>#REF!</v>
      </c>
      <c r="N39" s="367" t="e" cm="1">
        <f t="array" aca="1" ref="N39" ca="1">SUMPRODUCT(N$55:N$114,TRANSPOSE(SAP_Speadsheet!$E$30:$BL$30))</f>
        <v>#REF!</v>
      </c>
      <c r="O39" s="367" t="e" cm="1">
        <f t="array" aca="1" ref="O39" ca="1">SUMPRODUCT(O$55:O$114,TRANSPOSE(SAP_Speadsheet!$E$30:$BL$30))</f>
        <v>#REF!</v>
      </c>
      <c r="P39" s="367" t="e" cm="1">
        <f t="array" aca="1" ref="P39" ca="1">SUMPRODUCT(P$55:P$114,TRANSPOSE(SAP_Speadsheet!$E$30:$BL$30))</f>
        <v>#REF!</v>
      </c>
      <c r="Q39" s="367" t="e" cm="1">
        <f t="array" aca="1" ref="Q39" ca="1">SUMPRODUCT(Q$55:Q$114,TRANSPOSE(SAP_Speadsheet!$E$30:$BL$30))</f>
        <v>#REF!</v>
      </c>
      <c r="R39" s="367" t="e" cm="1">
        <f t="array" aca="1" ref="R39" ca="1">SUMPRODUCT(R$55:R$114,TRANSPOSE(SAP_Speadsheet!$E$30:$BL$30))</f>
        <v>#REF!</v>
      </c>
      <c r="S39" s="367" t="e" cm="1">
        <f t="array" aca="1" ref="S39" ca="1">SUMPRODUCT(S$55:S$114,TRANSPOSE(SAP_Speadsheet!$E$30:$BL$30))</f>
        <v>#REF!</v>
      </c>
      <c r="T39" s="367" t="e" cm="1">
        <f t="array" aca="1" ref="T39" ca="1">SUMPRODUCT(T$55:T$114,TRANSPOSE(SAP_Speadsheet!$E$30:$BL$30))</f>
        <v>#REF!</v>
      </c>
      <c r="U39" s="367" t="e" cm="1">
        <f t="array" aca="1" ref="U39" ca="1">SUMPRODUCT(U$55:U$114,TRANSPOSE(SAP_Speadsheet!$E$30:$BL$30))</f>
        <v>#REF!</v>
      </c>
      <c r="V39" s="367" t="e" cm="1">
        <f t="array" aca="1" ref="V39" ca="1">SUMPRODUCT(V$55:V$114,TRANSPOSE(SAP_Speadsheet!$E$30:$BL$30))</f>
        <v>#REF!</v>
      </c>
      <c r="W39" s="367" t="e" cm="1">
        <f t="array" aca="1" ref="W39" ca="1">SUMPRODUCT(W$55:W$114,TRANSPOSE(SAP_Speadsheet!$E$30:$BL$30))</f>
        <v>#REF!</v>
      </c>
      <c r="X39" s="367" t="e" cm="1">
        <f t="array" aca="1" ref="X39" ca="1">SUMPRODUCT(X$55:X$114,TRANSPOSE(SAP_Speadsheet!$E$30:$BL$30))</f>
        <v>#REF!</v>
      </c>
      <c r="Y39" s="367" t="e" cm="1">
        <f t="array" aca="1" ref="Y39" ca="1">SUMPRODUCT(Y$55:Y$114,TRANSPOSE(SAP_Speadsheet!$E$30:$BL$30))</f>
        <v>#REF!</v>
      </c>
      <c r="Z39" s="367" t="e" cm="1">
        <f t="array" aca="1" ref="Z39" ca="1">SUMPRODUCT(Z$55:Z$114,TRANSPOSE(SAP_Speadsheet!$E$30:$BL$30))</f>
        <v>#REF!</v>
      </c>
      <c r="AA39" s="367" t="e" cm="1">
        <f t="array" aca="1" ref="AA39" ca="1">SUMPRODUCT(AA$55:AA$114,TRANSPOSE(SAP_Speadsheet!$E$30:$BL$30))</f>
        <v>#REF!</v>
      </c>
      <c r="AB39" s="367" t="e" cm="1">
        <f t="array" aca="1" ref="AB39" ca="1">SUMPRODUCT(AB$55:AB$114,TRANSPOSE(SAP_Speadsheet!$E$30:$BL$30))</f>
        <v>#REF!</v>
      </c>
      <c r="AC39" s="367" t="e" cm="1">
        <f t="array" aca="1" ref="AC39" ca="1">SUMPRODUCT(AC$55:AC$114,TRANSPOSE(SAP_Speadsheet!$E$30:$BL$30))</f>
        <v>#REF!</v>
      </c>
      <c r="AD39" s="367" t="e" cm="1">
        <f t="array" aca="1" ref="AD39" ca="1">SUMPRODUCT(AD$55:AD$114,TRANSPOSE(SAP_Speadsheet!$E$30:$BL$30))</f>
        <v>#REF!</v>
      </c>
      <c r="AE39" s="367" t="e" cm="1">
        <f t="array" aca="1" ref="AE39" ca="1">SUMPRODUCT(AE$55:AE$114,TRANSPOSE(SAP_Speadsheet!$E$30:$BL$30))</f>
        <v>#REF!</v>
      </c>
      <c r="AF39" s="367" t="e" cm="1">
        <f t="array" aca="1" ref="AF39" ca="1">SUMPRODUCT(AF$55:AF$114,TRANSPOSE(SAP_Speadsheet!$E$30:$BL$30))</f>
        <v>#REF!</v>
      </c>
      <c r="AG39" s="367" t="e" cm="1">
        <f t="array" aca="1" ref="AG39" ca="1">SUMPRODUCT(AG$55:AG$114,TRANSPOSE(SAP_Speadsheet!$E$30:$BL$30))</f>
        <v>#REF!</v>
      </c>
      <c r="AH39" s="367" t="e" cm="1">
        <f t="array" aca="1" ref="AH39" ca="1">SUMPRODUCT(AH$55:AH$114,TRANSPOSE(SAP_Speadsheet!$E$30:$BL$30))</f>
        <v>#REF!</v>
      </c>
      <c r="AI39" s="367" t="e" cm="1">
        <f t="array" aca="1" ref="AI39" ca="1">SUMPRODUCT(AI$55:AI$114,TRANSPOSE(SAP_Speadsheet!$E$30:$BL$30))</f>
        <v>#REF!</v>
      </c>
      <c r="AJ39" s="367" t="e" cm="1">
        <f t="array" aca="1" ref="AJ39" ca="1">SUMPRODUCT(AJ$55:AJ$114,TRANSPOSE(SAP_Speadsheet!$E$30:$BL$30))</f>
        <v>#REF!</v>
      </c>
      <c r="AK39" s="367" t="e" cm="1">
        <f t="array" aca="1" ref="AK39" ca="1">SUMPRODUCT(AK$55:AK$114,TRANSPOSE(SAP_Speadsheet!$E$30:$BL$30))</f>
        <v>#REF!</v>
      </c>
      <c r="AL39" s="367" t="e" cm="1">
        <f t="array" aca="1" ref="AL39" ca="1">SUMPRODUCT(AL$55:AL$114,TRANSPOSE(SAP_Speadsheet!$E$30:$BL$30))</f>
        <v>#REF!</v>
      </c>
      <c r="AM39" s="367" t="e" cm="1">
        <f t="array" aca="1" ref="AM39" ca="1">SUMPRODUCT(AM$55:AM$114,TRANSPOSE(SAP_Speadsheet!$E$30:$BL$30))</f>
        <v>#REF!</v>
      </c>
      <c r="AN39" s="367" t="e" cm="1">
        <f t="array" aca="1" ref="AN39" ca="1">SUMPRODUCT(AN$55:AN$114,TRANSPOSE(SAP_Speadsheet!$E$30:$BL$30))</f>
        <v>#REF!</v>
      </c>
      <c r="AO39" s="367" t="e" cm="1">
        <f t="array" aca="1" ref="AO39" ca="1">SUMPRODUCT(AO$55:AO$114,TRANSPOSE(SAP_Speadsheet!$E$30:$BL$30))</f>
        <v>#REF!</v>
      </c>
      <c r="AP39" s="367" t="e" cm="1">
        <f t="array" aca="1" ref="AP39" ca="1">SUMPRODUCT(AP$55:AP$114,TRANSPOSE(SAP_Speadsheet!$E$30:$BL$30))</f>
        <v>#REF!</v>
      </c>
      <c r="AQ39" s="367" t="e" cm="1">
        <f t="array" aca="1" ref="AQ39" ca="1">SUMPRODUCT(AQ$55:AQ$114,TRANSPOSE(SAP_Speadsheet!$E$30:$BL$30))</f>
        <v>#REF!</v>
      </c>
      <c r="AR39" s="367" t="e" cm="1">
        <f t="array" aca="1" ref="AR39" ca="1">SUMPRODUCT(AR$55:AR$114,TRANSPOSE(SAP_Speadsheet!$E$30:$BL$30))</f>
        <v>#REF!</v>
      </c>
      <c r="AS39" s="367" t="e" cm="1">
        <f t="array" aca="1" ref="AS39" ca="1">SUMPRODUCT(AS$55:AS$114,TRANSPOSE(SAP_Speadsheet!$E$30:$BL$30))</f>
        <v>#REF!</v>
      </c>
      <c r="AT39" s="367" t="e" cm="1">
        <f t="array" aca="1" ref="AT39" ca="1">SUMPRODUCT(AT$55:AT$114,TRANSPOSE(SAP_Speadsheet!$E$30:$BL$30))</f>
        <v>#REF!</v>
      </c>
      <c r="AU39" s="367" t="e" cm="1">
        <f t="array" aca="1" ref="AU39" ca="1">SUMPRODUCT(AU$55:AU$114,TRANSPOSE(SAP_Speadsheet!$E$30:$BL$30))</f>
        <v>#REF!</v>
      </c>
      <c r="AV39" s="367" t="e" cm="1">
        <f t="array" aca="1" ref="AV39" ca="1">SUMPRODUCT(AV$55:AV$114,TRANSPOSE(SAP_Speadsheet!$E$30:$BL$30))</f>
        <v>#REF!</v>
      </c>
      <c r="AW39" s="367" t="e" cm="1">
        <f t="array" aca="1" ref="AW39" ca="1">SUMPRODUCT(AW$55:AW$114,TRANSPOSE(SAP_Speadsheet!$E$30:$BL$30))</f>
        <v>#REF!</v>
      </c>
      <c r="AX39" s="367" t="e" cm="1">
        <f t="array" aca="1" ref="AX39" ca="1">SUMPRODUCT(AX$55:AX$114,TRANSPOSE(SAP_Speadsheet!$E$30:$BL$30))</f>
        <v>#REF!</v>
      </c>
      <c r="AY39" s="367" t="e" cm="1">
        <f t="array" aca="1" ref="AY39" ca="1">SUMPRODUCT(AY$55:AY$114,TRANSPOSE(SAP_Speadsheet!$E$30:$BL$30))</f>
        <v>#REF!</v>
      </c>
      <c r="AZ39" s="367" t="e" cm="1">
        <f t="array" aca="1" ref="AZ39" ca="1">SUMPRODUCT(AZ$55:AZ$114,TRANSPOSE(SAP_Speadsheet!$E$30:$BL$30))</f>
        <v>#REF!</v>
      </c>
      <c r="BA39" s="367" t="e" cm="1">
        <f t="array" aca="1" ref="BA39" ca="1">SUMPRODUCT(BA$55:BA$114,TRANSPOSE(SAP_Speadsheet!$E$30:$BL$30))</f>
        <v>#REF!</v>
      </c>
      <c r="BB39" s="367" t="e" cm="1">
        <f t="array" aca="1" ref="BB39" ca="1">SUMPRODUCT(BB$55:BB$114,TRANSPOSE(SAP_Speadsheet!$E$30:$BL$30))</f>
        <v>#REF!</v>
      </c>
      <c r="BC39" s="367" t="e" cm="1">
        <f t="array" aca="1" ref="BC39" ca="1">SUMPRODUCT(BC$55:BC$114,TRANSPOSE(SAP_Speadsheet!$E$30:$BL$30))</f>
        <v>#REF!</v>
      </c>
      <c r="BD39" s="367" t="e" cm="1">
        <f t="array" aca="1" ref="BD39" ca="1">SUMPRODUCT(BD$55:BD$114,TRANSPOSE(SAP_Speadsheet!$E$30:$BL$30))</f>
        <v>#REF!</v>
      </c>
      <c r="BE39" s="367" t="e" cm="1">
        <f t="array" aca="1" ref="BE39" ca="1">SUMPRODUCT(BE$55:BE$114,TRANSPOSE(SAP_Speadsheet!$E$30:$BL$30))</f>
        <v>#REF!</v>
      </c>
      <c r="BF39" s="367" t="e" cm="1">
        <f t="array" aca="1" ref="BF39" ca="1">SUMPRODUCT(BF$55:BF$114,TRANSPOSE(SAP_Speadsheet!$E$30:$BL$30))</f>
        <v>#REF!</v>
      </c>
      <c r="BG39" s="367" t="e" cm="1">
        <f t="array" aca="1" ref="BG39" ca="1">SUMPRODUCT(BG$55:BG$114,TRANSPOSE(SAP_Speadsheet!$E$30:$BL$30))</f>
        <v>#REF!</v>
      </c>
      <c r="BH39" s="367" t="e" cm="1">
        <f t="array" aca="1" ref="BH39" ca="1">SUMPRODUCT(BH$55:BH$114,TRANSPOSE(SAP_Speadsheet!$E$30:$BL$30))</f>
        <v>#REF!</v>
      </c>
      <c r="BI39" s="367" t="e" cm="1">
        <f t="array" aca="1" ref="BI39" ca="1">SUMPRODUCT(BI$55:BI$114,TRANSPOSE(SAP_Speadsheet!$E$30:$BL$30))</f>
        <v>#REF!</v>
      </c>
    </row>
    <row r="40" spans="1:61" x14ac:dyDescent="0.15">
      <c r="A40" s="356" t="s">
        <v>374</v>
      </c>
      <c r="B40" s="367" cm="1">
        <f t="array" aca="1" ref="B40" ca="1">SUMPRODUCT(B$55:B$114,TRANSPOSE(SAP_Speadsheet!$E$31:$BL$31))</f>
        <v>0</v>
      </c>
      <c r="C40" s="367" cm="1">
        <f t="array" aca="1" ref="C40" ca="1">SUMPRODUCT(C$55:C$114,TRANSPOSE(SAP_Speadsheet!$E$31:$BL$31))</f>
        <v>0</v>
      </c>
      <c r="D40" s="367" cm="1">
        <f t="array" aca="1" ref="D40" ca="1">SUMPRODUCT(D$55:D$114,TRANSPOSE(SAP_Speadsheet!$E$31:$BL$31))</f>
        <v>0</v>
      </c>
      <c r="E40" s="367" cm="1">
        <f t="array" aca="1" ref="E40" ca="1">SUMPRODUCT(E$55:E$114,TRANSPOSE(SAP_Speadsheet!$E$31:$BL$31))</f>
        <v>0</v>
      </c>
      <c r="F40" s="367" cm="1">
        <f t="array" aca="1" ref="F40" ca="1">SUMPRODUCT(F$55:F$114,TRANSPOSE(SAP_Speadsheet!$E$31:$BL$31))</f>
        <v>0</v>
      </c>
      <c r="G40" s="367" cm="1">
        <f t="array" aca="1" ref="G40" ca="1">SUMPRODUCT(G$55:G$114,TRANSPOSE(SAP_Speadsheet!$E$31:$BL$31))</f>
        <v>0</v>
      </c>
      <c r="H40" s="367" t="e" cm="1">
        <f t="array" aca="1" ref="H40" ca="1">SUMPRODUCT(H$55:H$114,TRANSPOSE(SAP_Speadsheet!$E$31:$BL$31))</f>
        <v>#REF!</v>
      </c>
      <c r="I40" s="367" t="e" cm="1">
        <f t="array" aca="1" ref="I40" ca="1">SUMPRODUCT(I$55:I$114,TRANSPOSE(SAP_Speadsheet!$E$31:$BL$31))</f>
        <v>#REF!</v>
      </c>
      <c r="J40" s="367" t="e" cm="1">
        <f t="array" aca="1" ref="J40" ca="1">SUMPRODUCT(J$55:J$114,TRANSPOSE(SAP_Speadsheet!$E$31:$BL$31))</f>
        <v>#REF!</v>
      </c>
      <c r="K40" s="367" t="e" cm="1">
        <f t="array" aca="1" ref="K40" ca="1">SUMPRODUCT(K$55:K$114,TRANSPOSE(SAP_Speadsheet!$E$31:$BL$31))</f>
        <v>#REF!</v>
      </c>
      <c r="L40" s="367" t="e" cm="1">
        <f t="array" aca="1" ref="L40" ca="1">SUMPRODUCT(L$55:L$114,TRANSPOSE(SAP_Speadsheet!$E$31:$BL$31))</f>
        <v>#REF!</v>
      </c>
      <c r="M40" s="367" t="e" cm="1">
        <f t="array" aca="1" ref="M40" ca="1">SUMPRODUCT(M$55:M$114,TRANSPOSE(SAP_Speadsheet!$E$31:$BL$31))</f>
        <v>#REF!</v>
      </c>
      <c r="N40" s="367" t="e" cm="1">
        <f t="array" aca="1" ref="N40" ca="1">SUMPRODUCT(N$55:N$114,TRANSPOSE(SAP_Speadsheet!$E$31:$BL$31))</f>
        <v>#REF!</v>
      </c>
      <c r="O40" s="367" t="e" cm="1">
        <f t="array" aca="1" ref="O40" ca="1">SUMPRODUCT(O$55:O$114,TRANSPOSE(SAP_Speadsheet!$E$31:$BL$31))</f>
        <v>#REF!</v>
      </c>
      <c r="P40" s="367" t="e" cm="1">
        <f t="array" aca="1" ref="P40" ca="1">SUMPRODUCT(P$55:P$114,TRANSPOSE(SAP_Speadsheet!$E$31:$BL$31))</f>
        <v>#REF!</v>
      </c>
      <c r="Q40" s="367" t="e" cm="1">
        <f t="array" aca="1" ref="Q40" ca="1">SUMPRODUCT(Q$55:Q$114,TRANSPOSE(SAP_Speadsheet!$E$31:$BL$31))</f>
        <v>#REF!</v>
      </c>
      <c r="R40" s="367" t="e" cm="1">
        <f t="array" aca="1" ref="R40" ca="1">SUMPRODUCT(R$55:R$114,TRANSPOSE(SAP_Speadsheet!$E$31:$BL$31))</f>
        <v>#REF!</v>
      </c>
      <c r="S40" s="367" t="e" cm="1">
        <f t="array" aca="1" ref="S40" ca="1">SUMPRODUCT(S$55:S$114,TRANSPOSE(SAP_Speadsheet!$E$31:$BL$31))</f>
        <v>#REF!</v>
      </c>
      <c r="T40" s="367" t="e" cm="1">
        <f t="array" aca="1" ref="T40" ca="1">SUMPRODUCT(T$55:T$114,TRANSPOSE(SAP_Speadsheet!$E$31:$BL$31))</f>
        <v>#REF!</v>
      </c>
      <c r="U40" s="367" t="e" cm="1">
        <f t="array" aca="1" ref="U40" ca="1">SUMPRODUCT(U$55:U$114,TRANSPOSE(SAP_Speadsheet!$E$31:$BL$31))</f>
        <v>#REF!</v>
      </c>
      <c r="V40" s="367" t="e" cm="1">
        <f t="array" aca="1" ref="V40" ca="1">SUMPRODUCT(V$55:V$114,TRANSPOSE(SAP_Speadsheet!$E$31:$BL$31))</f>
        <v>#REF!</v>
      </c>
      <c r="W40" s="367" t="e" cm="1">
        <f t="array" aca="1" ref="W40" ca="1">SUMPRODUCT(W$55:W$114,TRANSPOSE(SAP_Speadsheet!$E$31:$BL$31))</f>
        <v>#REF!</v>
      </c>
      <c r="X40" s="367" t="e" cm="1">
        <f t="array" aca="1" ref="X40" ca="1">SUMPRODUCT(X$55:X$114,TRANSPOSE(SAP_Speadsheet!$E$31:$BL$31))</f>
        <v>#REF!</v>
      </c>
      <c r="Y40" s="367" t="e" cm="1">
        <f t="array" aca="1" ref="Y40" ca="1">SUMPRODUCT(Y$55:Y$114,TRANSPOSE(SAP_Speadsheet!$E$31:$BL$31))</f>
        <v>#REF!</v>
      </c>
      <c r="Z40" s="367" t="e" cm="1">
        <f t="array" aca="1" ref="Z40" ca="1">SUMPRODUCT(Z$55:Z$114,TRANSPOSE(SAP_Speadsheet!$E$31:$BL$31))</f>
        <v>#REF!</v>
      </c>
      <c r="AA40" s="367" t="e" cm="1">
        <f t="array" aca="1" ref="AA40" ca="1">SUMPRODUCT(AA$55:AA$114,TRANSPOSE(SAP_Speadsheet!$E$31:$BL$31))</f>
        <v>#REF!</v>
      </c>
      <c r="AB40" s="367" t="e" cm="1">
        <f t="array" aca="1" ref="AB40" ca="1">SUMPRODUCT(AB$55:AB$114,TRANSPOSE(SAP_Speadsheet!$E$31:$BL$31))</f>
        <v>#REF!</v>
      </c>
      <c r="AC40" s="367" t="e" cm="1">
        <f t="array" aca="1" ref="AC40" ca="1">SUMPRODUCT(AC$55:AC$114,TRANSPOSE(SAP_Speadsheet!$E$31:$BL$31))</f>
        <v>#REF!</v>
      </c>
      <c r="AD40" s="367" t="e" cm="1">
        <f t="array" aca="1" ref="AD40" ca="1">SUMPRODUCT(AD$55:AD$114,TRANSPOSE(SAP_Speadsheet!$E$31:$BL$31))</f>
        <v>#REF!</v>
      </c>
      <c r="AE40" s="367" t="e" cm="1">
        <f t="array" aca="1" ref="AE40" ca="1">SUMPRODUCT(AE$55:AE$114,TRANSPOSE(SAP_Speadsheet!$E$31:$BL$31))</f>
        <v>#REF!</v>
      </c>
      <c r="AF40" s="367" t="e" cm="1">
        <f t="array" aca="1" ref="AF40" ca="1">SUMPRODUCT(AF$55:AF$114,TRANSPOSE(SAP_Speadsheet!$E$31:$BL$31))</f>
        <v>#REF!</v>
      </c>
      <c r="AG40" s="367" t="e" cm="1">
        <f t="array" aca="1" ref="AG40" ca="1">SUMPRODUCT(AG$55:AG$114,TRANSPOSE(SAP_Speadsheet!$E$31:$BL$31))</f>
        <v>#REF!</v>
      </c>
      <c r="AH40" s="367" t="e" cm="1">
        <f t="array" aca="1" ref="AH40" ca="1">SUMPRODUCT(AH$55:AH$114,TRANSPOSE(SAP_Speadsheet!$E$31:$BL$31))</f>
        <v>#REF!</v>
      </c>
      <c r="AI40" s="367" t="e" cm="1">
        <f t="array" aca="1" ref="AI40" ca="1">SUMPRODUCT(AI$55:AI$114,TRANSPOSE(SAP_Speadsheet!$E$31:$BL$31))</f>
        <v>#REF!</v>
      </c>
      <c r="AJ40" s="367" t="e" cm="1">
        <f t="array" aca="1" ref="AJ40" ca="1">SUMPRODUCT(AJ$55:AJ$114,TRANSPOSE(SAP_Speadsheet!$E$31:$BL$31))</f>
        <v>#REF!</v>
      </c>
      <c r="AK40" s="367" t="e" cm="1">
        <f t="array" aca="1" ref="AK40" ca="1">SUMPRODUCT(AK$55:AK$114,TRANSPOSE(SAP_Speadsheet!$E$31:$BL$31))</f>
        <v>#REF!</v>
      </c>
      <c r="AL40" s="367" t="e" cm="1">
        <f t="array" aca="1" ref="AL40" ca="1">SUMPRODUCT(AL$55:AL$114,TRANSPOSE(SAP_Speadsheet!$E$31:$BL$31))</f>
        <v>#REF!</v>
      </c>
      <c r="AM40" s="367" t="e" cm="1">
        <f t="array" aca="1" ref="AM40" ca="1">SUMPRODUCT(AM$55:AM$114,TRANSPOSE(SAP_Speadsheet!$E$31:$BL$31))</f>
        <v>#REF!</v>
      </c>
      <c r="AN40" s="367" t="e" cm="1">
        <f t="array" aca="1" ref="AN40" ca="1">SUMPRODUCT(AN$55:AN$114,TRANSPOSE(SAP_Speadsheet!$E$31:$BL$31))</f>
        <v>#REF!</v>
      </c>
      <c r="AO40" s="367" t="e" cm="1">
        <f t="array" aca="1" ref="AO40" ca="1">SUMPRODUCT(AO$55:AO$114,TRANSPOSE(SAP_Speadsheet!$E$31:$BL$31))</f>
        <v>#REF!</v>
      </c>
      <c r="AP40" s="367" t="e" cm="1">
        <f t="array" aca="1" ref="AP40" ca="1">SUMPRODUCT(AP$55:AP$114,TRANSPOSE(SAP_Speadsheet!$E$31:$BL$31))</f>
        <v>#REF!</v>
      </c>
      <c r="AQ40" s="367" t="e" cm="1">
        <f t="array" aca="1" ref="AQ40" ca="1">SUMPRODUCT(AQ$55:AQ$114,TRANSPOSE(SAP_Speadsheet!$E$31:$BL$31))</f>
        <v>#REF!</v>
      </c>
      <c r="AR40" s="367" t="e" cm="1">
        <f t="array" aca="1" ref="AR40" ca="1">SUMPRODUCT(AR$55:AR$114,TRANSPOSE(SAP_Speadsheet!$E$31:$BL$31))</f>
        <v>#REF!</v>
      </c>
      <c r="AS40" s="367" t="e" cm="1">
        <f t="array" aca="1" ref="AS40" ca="1">SUMPRODUCT(AS$55:AS$114,TRANSPOSE(SAP_Speadsheet!$E$31:$BL$31))</f>
        <v>#REF!</v>
      </c>
      <c r="AT40" s="367" t="e" cm="1">
        <f t="array" aca="1" ref="AT40" ca="1">SUMPRODUCT(AT$55:AT$114,TRANSPOSE(SAP_Speadsheet!$E$31:$BL$31))</f>
        <v>#REF!</v>
      </c>
      <c r="AU40" s="367" t="e" cm="1">
        <f t="array" aca="1" ref="AU40" ca="1">SUMPRODUCT(AU$55:AU$114,TRANSPOSE(SAP_Speadsheet!$E$31:$BL$31))</f>
        <v>#REF!</v>
      </c>
      <c r="AV40" s="367" t="e" cm="1">
        <f t="array" aca="1" ref="AV40" ca="1">SUMPRODUCT(AV$55:AV$114,TRANSPOSE(SAP_Speadsheet!$E$31:$BL$31))</f>
        <v>#REF!</v>
      </c>
      <c r="AW40" s="367" t="e" cm="1">
        <f t="array" aca="1" ref="AW40" ca="1">SUMPRODUCT(AW$55:AW$114,TRANSPOSE(SAP_Speadsheet!$E$31:$BL$31))</f>
        <v>#REF!</v>
      </c>
      <c r="AX40" s="367" t="e" cm="1">
        <f t="array" aca="1" ref="AX40" ca="1">SUMPRODUCT(AX$55:AX$114,TRANSPOSE(SAP_Speadsheet!$E$31:$BL$31))</f>
        <v>#REF!</v>
      </c>
      <c r="AY40" s="367" t="e" cm="1">
        <f t="array" aca="1" ref="AY40" ca="1">SUMPRODUCT(AY$55:AY$114,TRANSPOSE(SAP_Speadsheet!$E$31:$BL$31))</f>
        <v>#REF!</v>
      </c>
      <c r="AZ40" s="367" t="e" cm="1">
        <f t="array" aca="1" ref="AZ40" ca="1">SUMPRODUCT(AZ$55:AZ$114,TRANSPOSE(SAP_Speadsheet!$E$31:$BL$31))</f>
        <v>#REF!</v>
      </c>
      <c r="BA40" s="367" t="e" cm="1">
        <f t="array" aca="1" ref="BA40" ca="1">SUMPRODUCT(BA$55:BA$114,TRANSPOSE(SAP_Speadsheet!$E$31:$BL$31))</f>
        <v>#REF!</v>
      </c>
      <c r="BB40" s="367" t="e" cm="1">
        <f t="array" aca="1" ref="BB40" ca="1">SUMPRODUCT(BB$55:BB$114,TRANSPOSE(SAP_Speadsheet!$E$31:$BL$31))</f>
        <v>#REF!</v>
      </c>
      <c r="BC40" s="367" t="e" cm="1">
        <f t="array" aca="1" ref="BC40" ca="1">SUMPRODUCT(BC$55:BC$114,TRANSPOSE(SAP_Speadsheet!$E$31:$BL$31))</f>
        <v>#REF!</v>
      </c>
      <c r="BD40" s="367" t="e" cm="1">
        <f t="array" aca="1" ref="BD40" ca="1">SUMPRODUCT(BD$55:BD$114,TRANSPOSE(SAP_Speadsheet!$E$31:$BL$31))</f>
        <v>#REF!</v>
      </c>
      <c r="BE40" s="367" t="e" cm="1">
        <f t="array" aca="1" ref="BE40" ca="1">SUMPRODUCT(BE$55:BE$114,TRANSPOSE(SAP_Speadsheet!$E$31:$BL$31))</f>
        <v>#REF!</v>
      </c>
      <c r="BF40" s="367" t="e" cm="1">
        <f t="array" aca="1" ref="BF40" ca="1">SUMPRODUCT(BF$55:BF$114,TRANSPOSE(SAP_Speadsheet!$E$31:$BL$31))</f>
        <v>#REF!</v>
      </c>
      <c r="BG40" s="367" t="e" cm="1">
        <f t="array" aca="1" ref="BG40" ca="1">SUMPRODUCT(BG$55:BG$114,TRANSPOSE(SAP_Speadsheet!$E$31:$BL$31))</f>
        <v>#REF!</v>
      </c>
      <c r="BH40" s="367" t="e" cm="1">
        <f t="array" aca="1" ref="BH40" ca="1">SUMPRODUCT(BH$55:BH$114,TRANSPOSE(SAP_Speadsheet!$E$31:$BL$31))</f>
        <v>#REF!</v>
      </c>
      <c r="BI40" s="367" t="e" cm="1">
        <f t="array" aca="1" ref="BI40" ca="1">SUMPRODUCT(BI$55:BI$114,TRANSPOSE(SAP_Speadsheet!$E$31:$BL$31))</f>
        <v>#REF!</v>
      </c>
    </row>
    <row r="41" spans="1:61" x14ac:dyDescent="0.15">
      <c r="A41" s="356" t="s">
        <v>375</v>
      </c>
      <c r="B41" s="367" cm="1">
        <f t="array" aca="1" ref="B41" ca="1">SUMPRODUCT(B$55:B$114,TRANSPOSE(SAP_Speadsheet!$E$32:$BL$32))</f>
        <v>0</v>
      </c>
      <c r="C41" s="367" cm="1">
        <f t="array" aca="1" ref="C41" ca="1">SUMPRODUCT(C$55:C$114,TRANSPOSE(SAP_Speadsheet!$E$32:$BL$32))</f>
        <v>0</v>
      </c>
      <c r="D41" s="367" cm="1">
        <f t="array" aca="1" ref="D41" ca="1">SUMPRODUCT(D$55:D$114,TRANSPOSE(SAP_Speadsheet!$E$32:$BL$32))</f>
        <v>0</v>
      </c>
      <c r="E41" s="367" cm="1">
        <f t="array" aca="1" ref="E41" ca="1">SUMPRODUCT(E$55:E$114,TRANSPOSE(SAP_Speadsheet!$E$32:$BL$32))</f>
        <v>0</v>
      </c>
      <c r="F41" s="367" cm="1">
        <f t="array" aca="1" ref="F41" ca="1">SUMPRODUCT(F$55:F$114,TRANSPOSE(SAP_Speadsheet!$E$32:$BL$32))</f>
        <v>0</v>
      </c>
      <c r="G41" s="367" cm="1">
        <f t="array" aca="1" ref="G41" ca="1">SUMPRODUCT(G$55:G$114,TRANSPOSE(SAP_Speadsheet!$E$32:$BL$32))</f>
        <v>0</v>
      </c>
      <c r="H41" s="367" t="e" cm="1">
        <f t="array" aca="1" ref="H41" ca="1">SUMPRODUCT(H$55:H$114,TRANSPOSE(SAP_Speadsheet!$E$32:$BL$32))</f>
        <v>#REF!</v>
      </c>
      <c r="I41" s="367" t="e" cm="1">
        <f t="array" aca="1" ref="I41" ca="1">SUMPRODUCT(I$55:I$114,TRANSPOSE(SAP_Speadsheet!$E$32:$BL$32))</f>
        <v>#REF!</v>
      </c>
      <c r="J41" s="367" t="e" cm="1">
        <f t="array" aca="1" ref="J41" ca="1">SUMPRODUCT(J$55:J$114,TRANSPOSE(SAP_Speadsheet!$E$32:$BL$32))</f>
        <v>#REF!</v>
      </c>
      <c r="K41" s="367" t="e" cm="1">
        <f t="array" aca="1" ref="K41" ca="1">SUMPRODUCT(K$55:K$114,TRANSPOSE(SAP_Speadsheet!$E$32:$BL$32))</f>
        <v>#REF!</v>
      </c>
      <c r="L41" s="367" t="e" cm="1">
        <f t="array" aca="1" ref="L41" ca="1">SUMPRODUCT(L$55:L$114,TRANSPOSE(SAP_Speadsheet!$E$32:$BL$32))</f>
        <v>#REF!</v>
      </c>
      <c r="M41" s="367" t="e" cm="1">
        <f t="array" aca="1" ref="M41" ca="1">SUMPRODUCT(M$55:M$114,TRANSPOSE(SAP_Speadsheet!$E$32:$BL$32))</f>
        <v>#REF!</v>
      </c>
      <c r="N41" s="367" t="e" cm="1">
        <f t="array" aca="1" ref="N41" ca="1">SUMPRODUCT(N$55:N$114,TRANSPOSE(SAP_Speadsheet!$E$32:$BL$32))</f>
        <v>#REF!</v>
      </c>
      <c r="O41" s="367" t="e" cm="1">
        <f t="array" aca="1" ref="O41" ca="1">SUMPRODUCT(O$55:O$114,TRANSPOSE(SAP_Speadsheet!$E$32:$BL$32))</f>
        <v>#REF!</v>
      </c>
      <c r="P41" s="367" t="e" cm="1">
        <f t="array" aca="1" ref="P41" ca="1">SUMPRODUCT(P$55:P$114,TRANSPOSE(SAP_Speadsheet!$E$32:$BL$32))</f>
        <v>#REF!</v>
      </c>
      <c r="Q41" s="367" t="e" cm="1">
        <f t="array" aca="1" ref="Q41" ca="1">SUMPRODUCT(Q$55:Q$114,TRANSPOSE(SAP_Speadsheet!$E$32:$BL$32))</f>
        <v>#REF!</v>
      </c>
      <c r="R41" s="367" t="e" cm="1">
        <f t="array" aca="1" ref="R41" ca="1">SUMPRODUCT(R$55:R$114,TRANSPOSE(SAP_Speadsheet!$E$32:$BL$32))</f>
        <v>#REF!</v>
      </c>
      <c r="S41" s="367" t="e" cm="1">
        <f t="array" aca="1" ref="S41" ca="1">SUMPRODUCT(S$55:S$114,TRANSPOSE(SAP_Speadsheet!$E$32:$BL$32))</f>
        <v>#REF!</v>
      </c>
      <c r="T41" s="367" t="e" cm="1">
        <f t="array" aca="1" ref="T41" ca="1">SUMPRODUCT(T$55:T$114,TRANSPOSE(SAP_Speadsheet!$E$32:$BL$32))</f>
        <v>#REF!</v>
      </c>
      <c r="U41" s="367" t="e" cm="1">
        <f t="array" aca="1" ref="U41" ca="1">SUMPRODUCT(U$55:U$114,TRANSPOSE(SAP_Speadsheet!$E$32:$BL$32))</f>
        <v>#REF!</v>
      </c>
      <c r="V41" s="367" t="e" cm="1">
        <f t="array" aca="1" ref="V41" ca="1">SUMPRODUCT(V$55:V$114,TRANSPOSE(SAP_Speadsheet!$E$32:$BL$32))</f>
        <v>#REF!</v>
      </c>
      <c r="W41" s="367" t="e" cm="1">
        <f t="array" aca="1" ref="W41" ca="1">SUMPRODUCT(W$55:W$114,TRANSPOSE(SAP_Speadsheet!$E$32:$BL$32))</f>
        <v>#REF!</v>
      </c>
      <c r="X41" s="367" t="e" cm="1">
        <f t="array" aca="1" ref="X41" ca="1">SUMPRODUCT(X$55:X$114,TRANSPOSE(SAP_Speadsheet!$E$32:$BL$32))</f>
        <v>#REF!</v>
      </c>
      <c r="Y41" s="367" t="e" cm="1">
        <f t="array" aca="1" ref="Y41" ca="1">SUMPRODUCT(Y$55:Y$114,TRANSPOSE(SAP_Speadsheet!$E$32:$BL$32))</f>
        <v>#REF!</v>
      </c>
      <c r="Z41" s="367" t="e" cm="1">
        <f t="array" aca="1" ref="Z41" ca="1">SUMPRODUCT(Z$55:Z$114,TRANSPOSE(SAP_Speadsheet!$E$32:$BL$32))</f>
        <v>#REF!</v>
      </c>
      <c r="AA41" s="367" t="e" cm="1">
        <f t="array" aca="1" ref="AA41" ca="1">SUMPRODUCT(AA$55:AA$114,TRANSPOSE(SAP_Speadsheet!$E$32:$BL$32))</f>
        <v>#REF!</v>
      </c>
      <c r="AB41" s="367" t="e" cm="1">
        <f t="array" aca="1" ref="AB41" ca="1">SUMPRODUCT(AB$55:AB$114,TRANSPOSE(SAP_Speadsheet!$E$32:$BL$32))</f>
        <v>#REF!</v>
      </c>
      <c r="AC41" s="367" t="e" cm="1">
        <f t="array" aca="1" ref="AC41" ca="1">SUMPRODUCT(AC$55:AC$114,TRANSPOSE(SAP_Speadsheet!$E$32:$BL$32))</f>
        <v>#REF!</v>
      </c>
      <c r="AD41" s="367" t="e" cm="1">
        <f t="array" aca="1" ref="AD41" ca="1">SUMPRODUCT(AD$55:AD$114,TRANSPOSE(SAP_Speadsheet!$E$32:$BL$32))</f>
        <v>#REF!</v>
      </c>
      <c r="AE41" s="367" t="e" cm="1">
        <f t="array" aca="1" ref="AE41" ca="1">SUMPRODUCT(AE$55:AE$114,TRANSPOSE(SAP_Speadsheet!$E$32:$BL$32))</f>
        <v>#REF!</v>
      </c>
      <c r="AF41" s="367" t="e" cm="1">
        <f t="array" aca="1" ref="AF41" ca="1">SUMPRODUCT(AF$55:AF$114,TRANSPOSE(SAP_Speadsheet!$E$32:$BL$32))</f>
        <v>#REF!</v>
      </c>
      <c r="AG41" s="367" t="e" cm="1">
        <f t="array" aca="1" ref="AG41" ca="1">SUMPRODUCT(AG$55:AG$114,TRANSPOSE(SAP_Speadsheet!$E$32:$BL$32))</f>
        <v>#REF!</v>
      </c>
      <c r="AH41" s="367" t="e" cm="1">
        <f t="array" aca="1" ref="AH41" ca="1">SUMPRODUCT(AH$55:AH$114,TRANSPOSE(SAP_Speadsheet!$E$32:$BL$32))</f>
        <v>#REF!</v>
      </c>
      <c r="AI41" s="367" t="e" cm="1">
        <f t="array" aca="1" ref="AI41" ca="1">SUMPRODUCT(AI$55:AI$114,TRANSPOSE(SAP_Speadsheet!$E$32:$BL$32))</f>
        <v>#REF!</v>
      </c>
      <c r="AJ41" s="367" t="e" cm="1">
        <f t="array" aca="1" ref="AJ41" ca="1">SUMPRODUCT(AJ$55:AJ$114,TRANSPOSE(SAP_Speadsheet!$E$32:$BL$32))</f>
        <v>#REF!</v>
      </c>
      <c r="AK41" s="367" t="e" cm="1">
        <f t="array" aca="1" ref="AK41" ca="1">SUMPRODUCT(AK$55:AK$114,TRANSPOSE(SAP_Speadsheet!$E$32:$BL$32))</f>
        <v>#REF!</v>
      </c>
      <c r="AL41" s="367" t="e" cm="1">
        <f t="array" aca="1" ref="AL41" ca="1">SUMPRODUCT(AL$55:AL$114,TRANSPOSE(SAP_Speadsheet!$E$32:$BL$32))</f>
        <v>#REF!</v>
      </c>
      <c r="AM41" s="367" t="e" cm="1">
        <f t="array" aca="1" ref="AM41" ca="1">SUMPRODUCT(AM$55:AM$114,TRANSPOSE(SAP_Speadsheet!$E$32:$BL$32))</f>
        <v>#REF!</v>
      </c>
      <c r="AN41" s="367" t="e" cm="1">
        <f t="array" aca="1" ref="AN41" ca="1">SUMPRODUCT(AN$55:AN$114,TRANSPOSE(SAP_Speadsheet!$E$32:$BL$32))</f>
        <v>#REF!</v>
      </c>
      <c r="AO41" s="367" t="e" cm="1">
        <f t="array" aca="1" ref="AO41" ca="1">SUMPRODUCT(AO$55:AO$114,TRANSPOSE(SAP_Speadsheet!$E$32:$BL$32))</f>
        <v>#REF!</v>
      </c>
      <c r="AP41" s="367" t="e" cm="1">
        <f t="array" aca="1" ref="AP41" ca="1">SUMPRODUCT(AP$55:AP$114,TRANSPOSE(SAP_Speadsheet!$E$32:$BL$32))</f>
        <v>#REF!</v>
      </c>
      <c r="AQ41" s="367" t="e" cm="1">
        <f t="array" aca="1" ref="AQ41" ca="1">SUMPRODUCT(AQ$55:AQ$114,TRANSPOSE(SAP_Speadsheet!$E$32:$BL$32))</f>
        <v>#REF!</v>
      </c>
      <c r="AR41" s="367" t="e" cm="1">
        <f t="array" aca="1" ref="AR41" ca="1">SUMPRODUCT(AR$55:AR$114,TRANSPOSE(SAP_Speadsheet!$E$32:$BL$32))</f>
        <v>#REF!</v>
      </c>
      <c r="AS41" s="367" t="e" cm="1">
        <f t="array" aca="1" ref="AS41" ca="1">SUMPRODUCT(AS$55:AS$114,TRANSPOSE(SAP_Speadsheet!$E$32:$BL$32))</f>
        <v>#REF!</v>
      </c>
      <c r="AT41" s="367" t="e" cm="1">
        <f t="array" aca="1" ref="AT41" ca="1">SUMPRODUCT(AT$55:AT$114,TRANSPOSE(SAP_Speadsheet!$E$32:$BL$32))</f>
        <v>#REF!</v>
      </c>
      <c r="AU41" s="367" t="e" cm="1">
        <f t="array" aca="1" ref="AU41" ca="1">SUMPRODUCT(AU$55:AU$114,TRANSPOSE(SAP_Speadsheet!$E$32:$BL$32))</f>
        <v>#REF!</v>
      </c>
      <c r="AV41" s="367" t="e" cm="1">
        <f t="array" aca="1" ref="AV41" ca="1">SUMPRODUCT(AV$55:AV$114,TRANSPOSE(SAP_Speadsheet!$E$32:$BL$32))</f>
        <v>#REF!</v>
      </c>
      <c r="AW41" s="367" t="e" cm="1">
        <f t="array" aca="1" ref="AW41" ca="1">SUMPRODUCT(AW$55:AW$114,TRANSPOSE(SAP_Speadsheet!$E$32:$BL$32))</f>
        <v>#REF!</v>
      </c>
      <c r="AX41" s="367" t="e" cm="1">
        <f t="array" aca="1" ref="AX41" ca="1">SUMPRODUCT(AX$55:AX$114,TRANSPOSE(SAP_Speadsheet!$E$32:$BL$32))</f>
        <v>#REF!</v>
      </c>
      <c r="AY41" s="367" t="e" cm="1">
        <f t="array" aca="1" ref="AY41" ca="1">SUMPRODUCT(AY$55:AY$114,TRANSPOSE(SAP_Speadsheet!$E$32:$BL$32))</f>
        <v>#REF!</v>
      </c>
      <c r="AZ41" s="367" t="e" cm="1">
        <f t="array" aca="1" ref="AZ41" ca="1">SUMPRODUCT(AZ$55:AZ$114,TRANSPOSE(SAP_Speadsheet!$E$32:$BL$32))</f>
        <v>#REF!</v>
      </c>
      <c r="BA41" s="367" t="e" cm="1">
        <f t="array" aca="1" ref="BA41" ca="1">SUMPRODUCT(BA$55:BA$114,TRANSPOSE(SAP_Speadsheet!$E$32:$BL$32))</f>
        <v>#REF!</v>
      </c>
      <c r="BB41" s="367" t="e" cm="1">
        <f t="array" aca="1" ref="BB41" ca="1">SUMPRODUCT(BB$55:BB$114,TRANSPOSE(SAP_Speadsheet!$E$32:$BL$32))</f>
        <v>#REF!</v>
      </c>
      <c r="BC41" s="367" t="e" cm="1">
        <f t="array" aca="1" ref="BC41" ca="1">SUMPRODUCT(BC$55:BC$114,TRANSPOSE(SAP_Speadsheet!$E$32:$BL$32))</f>
        <v>#REF!</v>
      </c>
      <c r="BD41" s="367" t="e" cm="1">
        <f t="array" aca="1" ref="BD41" ca="1">SUMPRODUCT(BD$55:BD$114,TRANSPOSE(SAP_Speadsheet!$E$32:$BL$32))</f>
        <v>#REF!</v>
      </c>
      <c r="BE41" s="367" t="e" cm="1">
        <f t="array" aca="1" ref="BE41" ca="1">SUMPRODUCT(BE$55:BE$114,TRANSPOSE(SAP_Speadsheet!$E$32:$BL$32))</f>
        <v>#REF!</v>
      </c>
      <c r="BF41" s="367" t="e" cm="1">
        <f t="array" aca="1" ref="BF41" ca="1">SUMPRODUCT(BF$55:BF$114,TRANSPOSE(SAP_Speadsheet!$E$32:$BL$32))</f>
        <v>#REF!</v>
      </c>
      <c r="BG41" s="367" t="e" cm="1">
        <f t="array" aca="1" ref="BG41" ca="1">SUMPRODUCT(BG$55:BG$114,TRANSPOSE(SAP_Speadsheet!$E$32:$BL$32))</f>
        <v>#REF!</v>
      </c>
      <c r="BH41" s="367" t="e" cm="1">
        <f t="array" aca="1" ref="BH41" ca="1">SUMPRODUCT(BH$55:BH$114,TRANSPOSE(SAP_Speadsheet!$E$32:$BL$32))</f>
        <v>#REF!</v>
      </c>
      <c r="BI41" s="367" t="e" cm="1">
        <f t="array" aca="1" ref="BI41" ca="1">SUMPRODUCT(BI$55:BI$114,TRANSPOSE(SAP_Speadsheet!$E$32:$BL$32))</f>
        <v>#REF!</v>
      </c>
    </row>
    <row r="42" spans="1:61" x14ac:dyDescent="0.15">
      <c r="A42" s="356" t="s">
        <v>376</v>
      </c>
      <c r="B42" s="367" cm="1">
        <f t="array" aca="1" ref="B42" ca="1">SUMPRODUCT(B$55:B$114,TRANSPOSE(SAP_Speadsheet!$E$33:$BL$33))</f>
        <v>0</v>
      </c>
      <c r="C42" s="367" cm="1">
        <f t="array" aca="1" ref="C42" ca="1">SUMPRODUCT(C$55:C$114,TRANSPOSE(SAP_Speadsheet!$E$33:$BL$33))</f>
        <v>0</v>
      </c>
      <c r="D42" s="367" cm="1">
        <f t="array" aca="1" ref="D42" ca="1">SUMPRODUCT(D$55:D$114,TRANSPOSE(SAP_Speadsheet!$E$33:$BL$33))</f>
        <v>0</v>
      </c>
      <c r="E42" s="367" cm="1">
        <f t="array" aca="1" ref="E42" ca="1">SUMPRODUCT(E$55:E$114,TRANSPOSE(SAP_Speadsheet!$E$33:$BL$33))</f>
        <v>0</v>
      </c>
      <c r="F42" s="367" cm="1">
        <f t="array" aca="1" ref="F42" ca="1">SUMPRODUCT(F$55:F$114,TRANSPOSE(SAP_Speadsheet!$E$33:$BL$33))</f>
        <v>0</v>
      </c>
      <c r="G42" s="367" cm="1">
        <f t="array" aca="1" ref="G42" ca="1">SUMPRODUCT(G$55:G$114,TRANSPOSE(SAP_Speadsheet!$E$33:$BL$33))</f>
        <v>0</v>
      </c>
      <c r="H42" s="367" t="e" cm="1">
        <f t="array" aca="1" ref="H42" ca="1">SUMPRODUCT(H$55:H$114,TRANSPOSE(SAP_Speadsheet!$E$33:$BL$33))</f>
        <v>#REF!</v>
      </c>
      <c r="I42" s="367" t="e" cm="1">
        <f t="array" aca="1" ref="I42" ca="1">SUMPRODUCT(I$55:I$114,TRANSPOSE(SAP_Speadsheet!$E$33:$BL$33))</f>
        <v>#REF!</v>
      </c>
      <c r="J42" s="367" t="e" cm="1">
        <f t="array" aca="1" ref="J42" ca="1">SUMPRODUCT(J$55:J$114,TRANSPOSE(SAP_Speadsheet!$E$33:$BL$33))</f>
        <v>#REF!</v>
      </c>
      <c r="K42" s="367" t="e" cm="1">
        <f t="array" aca="1" ref="K42" ca="1">SUMPRODUCT(K$55:K$114,TRANSPOSE(SAP_Speadsheet!$E$33:$BL$33))</f>
        <v>#REF!</v>
      </c>
      <c r="L42" s="367" t="e" cm="1">
        <f t="array" aca="1" ref="L42" ca="1">SUMPRODUCT(L$55:L$114,TRANSPOSE(SAP_Speadsheet!$E$33:$BL$33))</f>
        <v>#REF!</v>
      </c>
      <c r="M42" s="367" t="e" cm="1">
        <f t="array" aca="1" ref="M42" ca="1">SUMPRODUCT(M$55:M$114,TRANSPOSE(SAP_Speadsheet!$E$33:$BL$33))</f>
        <v>#REF!</v>
      </c>
      <c r="N42" s="367" t="e" cm="1">
        <f t="array" aca="1" ref="N42" ca="1">SUMPRODUCT(N$55:N$114,TRANSPOSE(SAP_Speadsheet!$E$33:$BL$33))</f>
        <v>#REF!</v>
      </c>
      <c r="O42" s="367" t="e" cm="1">
        <f t="array" aca="1" ref="O42" ca="1">SUMPRODUCT(O$55:O$114,TRANSPOSE(SAP_Speadsheet!$E$33:$BL$33))</f>
        <v>#REF!</v>
      </c>
      <c r="P42" s="367" t="e" cm="1">
        <f t="array" aca="1" ref="P42" ca="1">SUMPRODUCT(P$55:P$114,TRANSPOSE(SAP_Speadsheet!$E$33:$BL$33))</f>
        <v>#REF!</v>
      </c>
      <c r="Q42" s="367" t="e" cm="1">
        <f t="array" aca="1" ref="Q42" ca="1">SUMPRODUCT(Q$55:Q$114,TRANSPOSE(SAP_Speadsheet!$E$33:$BL$33))</f>
        <v>#REF!</v>
      </c>
      <c r="R42" s="367" t="e" cm="1">
        <f t="array" aca="1" ref="R42" ca="1">SUMPRODUCT(R$55:R$114,TRANSPOSE(SAP_Speadsheet!$E$33:$BL$33))</f>
        <v>#REF!</v>
      </c>
      <c r="S42" s="367" t="e" cm="1">
        <f t="array" aca="1" ref="S42" ca="1">SUMPRODUCT(S$55:S$114,TRANSPOSE(SAP_Speadsheet!$E$33:$BL$33))</f>
        <v>#REF!</v>
      </c>
      <c r="T42" s="367" t="e" cm="1">
        <f t="array" aca="1" ref="T42" ca="1">SUMPRODUCT(T$55:T$114,TRANSPOSE(SAP_Speadsheet!$E$33:$BL$33))</f>
        <v>#REF!</v>
      </c>
      <c r="U42" s="367" t="e" cm="1">
        <f t="array" aca="1" ref="U42" ca="1">SUMPRODUCT(U$55:U$114,TRANSPOSE(SAP_Speadsheet!$E$33:$BL$33))</f>
        <v>#REF!</v>
      </c>
      <c r="V42" s="367" t="e" cm="1">
        <f t="array" aca="1" ref="V42" ca="1">SUMPRODUCT(V$55:V$114,TRANSPOSE(SAP_Speadsheet!$E$33:$BL$33))</f>
        <v>#REF!</v>
      </c>
      <c r="W42" s="367" t="e" cm="1">
        <f t="array" aca="1" ref="W42" ca="1">SUMPRODUCT(W$55:W$114,TRANSPOSE(SAP_Speadsheet!$E$33:$BL$33))</f>
        <v>#REF!</v>
      </c>
      <c r="X42" s="367" t="e" cm="1">
        <f t="array" aca="1" ref="X42" ca="1">SUMPRODUCT(X$55:X$114,TRANSPOSE(SAP_Speadsheet!$E$33:$BL$33))</f>
        <v>#REF!</v>
      </c>
      <c r="Y42" s="367" t="e" cm="1">
        <f t="array" aca="1" ref="Y42" ca="1">SUMPRODUCT(Y$55:Y$114,TRANSPOSE(SAP_Speadsheet!$E$33:$BL$33))</f>
        <v>#REF!</v>
      </c>
      <c r="Z42" s="367" t="e" cm="1">
        <f t="array" aca="1" ref="Z42" ca="1">SUMPRODUCT(Z$55:Z$114,TRANSPOSE(SAP_Speadsheet!$E$33:$BL$33))</f>
        <v>#REF!</v>
      </c>
      <c r="AA42" s="367" t="e" cm="1">
        <f t="array" aca="1" ref="AA42" ca="1">SUMPRODUCT(AA$55:AA$114,TRANSPOSE(SAP_Speadsheet!$E$33:$BL$33))</f>
        <v>#REF!</v>
      </c>
      <c r="AB42" s="367" t="e" cm="1">
        <f t="array" aca="1" ref="AB42" ca="1">SUMPRODUCT(AB$55:AB$114,TRANSPOSE(SAP_Speadsheet!$E$33:$BL$33))</f>
        <v>#REF!</v>
      </c>
      <c r="AC42" s="367" t="e" cm="1">
        <f t="array" aca="1" ref="AC42" ca="1">SUMPRODUCT(AC$55:AC$114,TRANSPOSE(SAP_Speadsheet!$E$33:$BL$33))</f>
        <v>#REF!</v>
      </c>
      <c r="AD42" s="367" t="e" cm="1">
        <f t="array" aca="1" ref="AD42" ca="1">SUMPRODUCT(AD$55:AD$114,TRANSPOSE(SAP_Speadsheet!$E$33:$BL$33))</f>
        <v>#REF!</v>
      </c>
      <c r="AE42" s="367" t="e" cm="1">
        <f t="array" aca="1" ref="AE42" ca="1">SUMPRODUCT(AE$55:AE$114,TRANSPOSE(SAP_Speadsheet!$E$33:$BL$33))</f>
        <v>#REF!</v>
      </c>
      <c r="AF42" s="367" t="e" cm="1">
        <f t="array" aca="1" ref="AF42" ca="1">SUMPRODUCT(AF$55:AF$114,TRANSPOSE(SAP_Speadsheet!$E$33:$BL$33))</f>
        <v>#REF!</v>
      </c>
      <c r="AG42" s="367" t="e" cm="1">
        <f t="array" aca="1" ref="AG42" ca="1">SUMPRODUCT(AG$55:AG$114,TRANSPOSE(SAP_Speadsheet!$E$33:$BL$33))</f>
        <v>#REF!</v>
      </c>
      <c r="AH42" s="367" t="e" cm="1">
        <f t="array" aca="1" ref="AH42" ca="1">SUMPRODUCT(AH$55:AH$114,TRANSPOSE(SAP_Speadsheet!$E$33:$BL$33))</f>
        <v>#REF!</v>
      </c>
      <c r="AI42" s="367" t="e" cm="1">
        <f t="array" aca="1" ref="AI42" ca="1">SUMPRODUCT(AI$55:AI$114,TRANSPOSE(SAP_Speadsheet!$E$33:$BL$33))</f>
        <v>#REF!</v>
      </c>
      <c r="AJ42" s="367" t="e" cm="1">
        <f t="array" aca="1" ref="AJ42" ca="1">SUMPRODUCT(AJ$55:AJ$114,TRANSPOSE(SAP_Speadsheet!$E$33:$BL$33))</f>
        <v>#REF!</v>
      </c>
      <c r="AK42" s="367" t="e" cm="1">
        <f t="array" aca="1" ref="AK42" ca="1">SUMPRODUCT(AK$55:AK$114,TRANSPOSE(SAP_Speadsheet!$E$33:$BL$33))</f>
        <v>#REF!</v>
      </c>
      <c r="AL42" s="367" t="e" cm="1">
        <f t="array" aca="1" ref="AL42" ca="1">SUMPRODUCT(AL$55:AL$114,TRANSPOSE(SAP_Speadsheet!$E$33:$BL$33))</f>
        <v>#REF!</v>
      </c>
      <c r="AM42" s="367" t="e" cm="1">
        <f t="array" aca="1" ref="AM42" ca="1">SUMPRODUCT(AM$55:AM$114,TRANSPOSE(SAP_Speadsheet!$E$33:$BL$33))</f>
        <v>#REF!</v>
      </c>
      <c r="AN42" s="367" t="e" cm="1">
        <f t="array" aca="1" ref="AN42" ca="1">SUMPRODUCT(AN$55:AN$114,TRANSPOSE(SAP_Speadsheet!$E$33:$BL$33))</f>
        <v>#REF!</v>
      </c>
      <c r="AO42" s="367" t="e" cm="1">
        <f t="array" aca="1" ref="AO42" ca="1">SUMPRODUCT(AO$55:AO$114,TRANSPOSE(SAP_Speadsheet!$E$33:$BL$33))</f>
        <v>#REF!</v>
      </c>
      <c r="AP42" s="367" t="e" cm="1">
        <f t="array" aca="1" ref="AP42" ca="1">SUMPRODUCT(AP$55:AP$114,TRANSPOSE(SAP_Speadsheet!$E$33:$BL$33))</f>
        <v>#REF!</v>
      </c>
      <c r="AQ42" s="367" t="e" cm="1">
        <f t="array" aca="1" ref="AQ42" ca="1">SUMPRODUCT(AQ$55:AQ$114,TRANSPOSE(SAP_Speadsheet!$E$33:$BL$33))</f>
        <v>#REF!</v>
      </c>
      <c r="AR42" s="367" t="e" cm="1">
        <f t="array" aca="1" ref="AR42" ca="1">SUMPRODUCT(AR$55:AR$114,TRANSPOSE(SAP_Speadsheet!$E$33:$BL$33))</f>
        <v>#REF!</v>
      </c>
      <c r="AS42" s="367" t="e" cm="1">
        <f t="array" aca="1" ref="AS42" ca="1">SUMPRODUCT(AS$55:AS$114,TRANSPOSE(SAP_Speadsheet!$E$33:$BL$33))</f>
        <v>#REF!</v>
      </c>
      <c r="AT42" s="367" t="e" cm="1">
        <f t="array" aca="1" ref="AT42" ca="1">SUMPRODUCT(AT$55:AT$114,TRANSPOSE(SAP_Speadsheet!$E$33:$BL$33))</f>
        <v>#REF!</v>
      </c>
      <c r="AU42" s="367" t="e" cm="1">
        <f t="array" aca="1" ref="AU42" ca="1">SUMPRODUCT(AU$55:AU$114,TRANSPOSE(SAP_Speadsheet!$E$33:$BL$33))</f>
        <v>#REF!</v>
      </c>
      <c r="AV42" s="367" t="e" cm="1">
        <f t="array" aca="1" ref="AV42" ca="1">SUMPRODUCT(AV$55:AV$114,TRANSPOSE(SAP_Speadsheet!$E$33:$BL$33))</f>
        <v>#REF!</v>
      </c>
      <c r="AW42" s="367" t="e" cm="1">
        <f t="array" aca="1" ref="AW42" ca="1">SUMPRODUCT(AW$55:AW$114,TRANSPOSE(SAP_Speadsheet!$E$33:$BL$33))</f>
        <v>#REF!</v>
      </c>
      <c r="AX42" s="367" t="e" cm="1">
        <f t="array" aca="1" ref="AX42" ca="1">SUMPRODUCT(AX$55:AX$114,TRANSPOSE(SAP_Speadsheet!$E$33:$BL$33))</f>
        <v>#REF!</v>
      </c>
      <c r="AY42" s="367" t="e" cm="1">
        <f t="array" aca="1" ref="AY42" ca="1">SUMPRODUCT(AY$55:AY$114,TRANSPOSE(SAP_Speadsheet!$E$33:$BL$33))</f>
        <v>#REF!</v>
      </c>
      <c r="AZ42" s="367" t="e" cm="1">
        <f t="array" aca="1" ref="AZ42" ca="1">SUMPRODUCT(AZ$55:AZ$114,TRANSPOSE(SAP_Speadsheet!$E$33:$BL$33))</f>
        <v>#REF!</v>
      </c>
      <c r="BA42" s="367" t="e" cm="1">
        <f t="array" aca="1" ref="BA42" ca="1">SUMPRODUCT(BA$55:BA$114,TRANSPOSE(SAP_Speadsheet!$E$33:$BL$33))</f>
        <v>#REF!</v>
      </c>
      <c r="BB42" s="367" t="e" cm="1">
        <f t="array" aca="1" ref="BB42" ca="1">SUMPRODUCT(BB$55:BB$114,TRANSPOSE(SAP_Speadsheet!$E$33:$BL$33))</f>
        <v>#REF!</v>
      </c>
      <c r="BC42" s="367" t="e" cm="1">
        <f t="array" aca="1" ref="BC42" ca="1">SUMPRODUCT(BC$55:BC$114,TRANSPOSE(SAP_Speadsheet!$E$33:$BL$33))</f>
        <v>#REF!</v>
      </c>
      <c r="BD42" s="367" t="e" cm="1">
        <f t="array" aca="1" ref="BD42" ca="1">SUMPRODUCT(BD$55:BD$114,TRANSPOSE(SAP_Speadsheet!$E$33:$BL$33))</f>
        <v>#REF!</v>
      </c>
      <c r="BE42" s="367" t="e" cm="1">
        <f t="array" aca="1" ref="BE42" ca="1">SUMPRODUCT(BE$55:BE$114,TRANSPOSE(SAP_Speadsheet!$E$33:$BL$33))</f>
        <v>#REF!</v>
      </c>
      <c r="BF42" s="367" t="e" cm="1">
        <f t="array" aca="1" ref="BF42" ca="1">SUMPRODUCT(BF$55:BF$114,TRANSPOSE(SAP_Speadsheet!$E$33:$BL$33))</f>
        <v>#REF!</v>
      </c>
      <c r="BG42" s="367" t="e" cm="1">
        <f t="array" aca="1" ref="BG42" ca="1">SUMPRODUCT(BG$55:BG$114,TRANSPOSE(SAP_Speadsheet!$E$33:$BL$33))</f>
        <v>#REF!</v>
      </c>
      <c r="BH42" s="367" t="e" cm="1">
        <f t="array" aca="1" ref="BH42" ca="1">SUMPRODUCT(BH$55:BH$114,TRANSPOSE(SAP_Speadsheet!$E$33:$BL$33))</f>
        <v>#REF!</v>
      </c>
      <c r="BI42" s="367" t="e" cm="1">
        <f t="array" aca="1" ref="BI42" ca="1">SUMPRODUCT(BI$55:BI$114,TRANSPOSE(SAP_Speadsheet!$E$33:$BL$33))</f>
        <v>#REF!</v>
      </c>
    </row>
    <row r="43" spans="1:61" x14ac:dyDescent="0.15">
      <c r="A43" s="356" t="s">
        <v>378</v>
      </c>
      <c r="B43" s="367" cm="1">
        <f t="array" aca="1" ref="B43" ca="1">SUMPRODUCT(B$55:B$114,TRANSPOSE(SAP_Speadsheet!$E$34:$BL$34))</f>
        <v>0</v>
      </c>
      <c r="C43" s="367" cm="1">
        <f t="array" aca="1" ref="C43" ca="1">SUMPRODUCT(C$55:C$114,TRANSPOSE(SAP_Speadsheet!$E$34:$BL$34))</f>
        <v>0</v>
      </c>
      <c r="D43" s="367" cm="1">
        <f t="array" aca="1" ref="D43" ca="1">SUMPRODUCT(D$55:D$114,TRANSPOSE(SAP_Speadsheet!$E$34:$BL$34))</f>
        <v>0</v>
      </c>
      <c r="E43" s="367" cm="1">
        <f t="array" aca="1" ref="E43" ca="1">SUMPRODUCT(E$55:E$114,TRANSPOSE(SAP_Speadsheet!$E$34:$BL$34))</f>
        <v>0</v>
      </c>
      <c r="F43" s="367" cm="1">
        <f t="array" aca="1" ref="F43" ca="1">SUMPRODUCT(F$55:F$114,TRANSPOSE(SAP_Speadsheet!$E$34:$BL$34))</f>
        <v>0</v>
      </c>
      <c r="G43" s="367" cm="1">
        <f t="array" aca="1" ref="G43" ca="1">SUMPRODUCT(G$55:G$114,TRANSPOSE(SAP_Speadsheet!$E$34:$BL$34))</f>
        <v>0</v>
      </c>
      <c r="H43" s="367" t="e" cm="1">
        <f t="array" aca="1" ref="H43" ca="1">SUMPRODUCT(H$55:H$114,TRANSPOSE(SAP_Speadsheet!$E$34:$BL$34))</f>
        <v>#REF!</v>
      </c>
      <c r="I43" s="367" t="e" cm="1">
        <f t="array" aca="1" ref="I43" ca="1">SUMPRODUCT(I$55:I$114,TRANSPOSE(SAP_Speadsheet!$E$34:$BL$34))</f>
        <v>#REF!</v>
      </c>
      <c r="J43" s="367" t="e" cm="1">
        <f t="array" aca="1" ref="J43" ca="1">SUMPRODUCT(J$55:J$114,TRANSPOSE(SAP_Speadsheet!$E$34:$BL$34))</f>
        <v>#REF!</v>
      </c>
      <c r="K43" s="367" t="e" cm="1">
        <f t="array" aca="1" ref="K43" ca="1">SUMPRODUCT(K$55:K$114,TRANSPOSE(SAP_Speadsheet!$E$34:$BL$34))</f>
        <v>#REF!</v>
      </c>
      <c r="L43" s="367" t="e" cm="1">
        <f t="array" aca="1" ref="L43" ca="1">SUMPRODUCT(L$55:L$114,TRANSPOSE(SAP_Speadsheet!$E$34:$BL$34))</f>
        <v>#REF!</v>
      </c>
      <c r="M43" s="367" t="e" cm="1">
        <f t="array" aca="1" ref="M43" ca="1">SUMPRODUCT(M$55:M$114,TRANSPOSE(SAP_Speadsheet!$E$34:$BL$34))</f>
        <v>#REF!</v>
      </c>
      <c r="N43" s="367" t="e" cm="1">
        <f t="array" aca="1" ref="N43" ca="1">SUMPRODUCT(N$55:N$114,TRANSPOSE(SAP_Speadsheet!$E$34:$BL$34))</f>
        <v>#REF!</v>
      </c>
      <c r="O43" s="367" t="e" cm="1">
        <f t="array" aca="1" ref="O43" ca="1">SUMPRODUCT(O$55:O$114,TRANSPOSE(SAP_Speadsheet!$E$34:$BL$34))</f>
        <v>#REF!</v>
      </c>
      <c r="P43" s="367" t="e" cm="1">
        <f t="array" aca="1" ref="P43" ca="1">SUMPRODUCT(P$55:P$114,TRANSPOSE(SAP_Speadsheet!$E$34:$BL$34))</f>
        <v>#REF!</v>
      </c>
      <c r="Q43" s="367" t="e" cm="1">
        <f t="array" aca="1" ref="Q43" ca="1">SUMPRODUCT(Q$55:Q$114,TRANSPOSE(SAP_Speadsheet!$E$34:$BL$34))</f>
        <v>#REF!</v>
      </c>
      <c r="R43" s="367" t="e" cm="1">
        <f t="array" aca="1" ref="R43" ca="1">SUMPRODUCT(R$55:R$114,TRANSPOSE(SAP_Speadsheet!$E$34:$BL$34))</f>
        <v>#REF!</v>
      </c>
      <c r="S43" s="367" t="e" cm="1">
        <f t="array" aca="1" ref="S43" ca="1">SUMPRODUCT(S$55:S$114,TRANSPOSE(SAP_Speadsheet!$E$34:$BL$34))</f>
        <v>#REF!</v>
      </c>
      <c r="T43" s="367" t="e" cm="1">
        <f t="array" aca="1" ref="T43" ca="1">SUMPRODUCT(T$55:T$114,TRANSPOSE(SAP_Speadsheet!$E$34:$BL$34))</f>
        <v>#REF!</v>
      </c>
      <c r="U43" s="367" t="e" cm="1">
        <f t="array" aca="1" ref="U43" ca="1">SUMPRODUCT(U$55:U$114,TRANSPOSE(SAP_Speadsheet!$E$34:$BL$34))</f>
        <v>#REF!</v>
      </c>
      <c r="V43" s="367" t="e" cm="1">
        <f t="array" aca="1" ref="V43" ca="1">SUMPRODUCT(V$55:V$114,TRANSPOSE(SAP_Speadsheet!$E$34:$BL$34))</f>
        <v>#REF!</v>
      </c>
      <c r="W43" s="367" t="e" cm="1">
        <f t="array" aca="1" ref="W43" ca="1">SUMPRODUCT(W$55:W$114,TRANSPOSE(SAP_Speadsheet!$E$34:$BL$34))</f>
        <v>#REF!</v>
      </c>
      <c r="X43" s="367" t="e" cm="1">
        <f t="array" aca="1" ref="X43" ca="1">SUMPRODUCT(X$55:X$114,TRANSPOSE(SAP_Speadsheet!$E$34:$BL$34))</f>
        <v>#REF!</v>
      </c>
      <c r="Y43" s="367" t="e" cm="1">
        <f t="array" aca="1" ref="Y43" ca="1">SUMPRODUCT(Y$55:Y$114,TRANSPOSE(SAP_Speadsheet!$E$34:$BL$34))</f>
        <v>#REF!</v>
      </c>
      <c r="Z43" s="367" t="e" cm="1">
        <f t="array" aca="1" ref="Z43" ca="1">SUMPRODUCT(Z$55:Z$114,TRANSPOSE(SAP_Speadsheet!$E$34:$BL$34))</f>
        <v>#REF!</v>
      </c>
      <c r="AA43" s="367" t="e" cm="1">
        <f t="array" aca="1" ref="AA43" ca="1">SUMPRODUCT(AA$55:AA$114,TRANSPOSE(SAP_Speadsheet!$E$34:$BL$34))</f>
        <v>#REF!</v>
      </c>
      <c r="AB43" s="367" t="e" cm="1">
        <f t="array" aca="1" ref="AB43" ca="1">SUMPRODUCT(AB$55:AB$114,TRANSPOSE(SAP_Speadsheet!$E$34:$BL$34))</f>
        <v>#REF!</v>
      </c>
      <c r="AC43" s="367" t="e" cm="1">
        <f t="array" aca="1" ref="AC43" ca="1">SUMPRODUCT(AC$55:AC$114,TRANSPOSE(SAP_Speadsheet!$E$34:$BL$34))</f>
        <v>#REF!</v>
      </c>
      <c r="AD43" s="367" t="e" cm="1">
        <f t="array" aca="1" ref="AD43" ca="1">SUMPRODUCT(AD$55:AD$114,TRANSPOSE(SAP_Speadsheet!$E$34:$BL$34))</f>
        <v>#REF!</v>
      </c>
      <c r="AE43" s="367" t="e" cm="1">
        <f t="array" aca="1" ref="AE43" ca="1">SUMPRODUCT(AE$55:AE$114,TRANSPOSE(SAP_Speadsheet!$E$34:$BL$34))</f>
        <v>#REF!</v>
      </c>
      <c r="AF43" s="367" t="e" cm="1">
        <f t="array" aca="1" ref="AF43" ca="1">SUMPRODUCT(AF$55:AF$114,TRANSPOSE(SAP_Speadsheet!$E$34:$BL$34))</f>
        <v>#REF!</v>
      </c>
      <c r="AG43" s="367" t="e" cm="1">
        <f t="array" aca="1" ref="AG43" ca="1">SUMPRODUCT(AG$55:AG$114,TRANSPOSE(SAP_Speadsheet!$E$34:$BL$34))</f>
        <v>#REF!</v>
      </c>
      <c r="AH43" s="367" t="e" cm="1">
        <f t="array" aca="1" ref="AH43" ca="1">SUMPRODUCT(AH$55:AH$114,TRANSPOSE(SAP_Speadsheet!$E$34:$BL$34))</f>
        <v>#REF!</v>
      </c>
      <c r="AI43" s="367" t="e" cm="1">
        <f t="array" aca="1" ref="AI43" ca="1">SUMPRODUCT(AI$55:AI$114,TRANSPOSE(SAP_Speadsheet!$E$34:$BL$34))</f>
        <v>#REF!</v>
      </c>
      <c r="AJ43" s="367" t="e" cm="1">
        <f t="array" aca="1" ref="AJ43" ca="1">SUMPRODUCT(AJ$55:AJ$114,TRANSPOSE(SAP_Speadsheet!$E$34:$BL$34))</f>
        <v>#REF!</v>
      </c>
      <c r="AK43" s="367" t="e" cm="1">
        <f t="array" aca="1" ref="AK43" ca="1">SUMPRODUCT(AK$55:AK$114,TRANSPOSE(SAP_Speadsheet!$E$34:$BL$34))</f>
        <v>#REF!</v>
      </c>
      <c r="AL43" s="367" t="e" cm="1">
        <f t="array" aca="1" ref="AL43" ca="1">SUMPRODUCT(AL$55:AL$114,TRANSPOSE(SAP_Speadsheet!$E$34:$BL$34))</f>
        <v>#REF!</v>
      </c>
      <c r="AM43" s="367" t="e" cm="1">
        <f t="array" aca="1" ref="AM43" ca="1">SUMPRODUCT(AM$55:AM$114,TRANSPOSE(SAP_Speadsheet!$E$34:$BL$34))</f>
        <v>#REF!</v>
      </c>
      <c r="AN43" s="367" t="e" cm="1">
        <f t="array" aca="1" ref="AN43" ca="1">SUMPRODUCT(AN$55:AN$114,TRANSPOSE(SAP_Speadsheet!$E$34:$BL$34))</f>
        <v>#REF!</v>
      </c>
      <c r="AO43" s="367" t="e" cm="1">
        <f t="array" aca="1" ref="AO43" ca="1">SUMPRODUCT(AO$55:AO$114,TRANSPOSE(SAP_Speadsheet!$E$34:$BL$34))</f>
        <v>#REF!</v>
      </c>
      <c r="AP43" s="367" t="e" cm="1">
        <f t="array" aca="1" ref="AP43" ca="1">SUMPRODUCT(AP$55:AP$114,TRANSPOSE(SAP_Speadsheet!$E$34:$BL$34))</f>
        <v>#REF!</v>
      </c>
      <c r="AQ43" s="367" t="e" cm="1">
        <f t="array" aca="1" ref="AQ43" ca="1">SUMPRODUCT(AQ$55:AQ$114,TRANSPOSE(SAP_Speadsheet!$E$34:$BL$34))</f>
        <v>#REF!</v>
      </c>
      <c r="AR43" s="367" t="e" cm="1">
        <f t="array" aca="1" ref="AR43" ca="1">SUMPRODUCT(AR$55:AR$114,TRANSPOSE(SAP_Speadsheet!$E$34:$BL$34))</f>
        <v>#REF!</v>
      </c>
      <c r="AS43" s="367" t="e" cm="1">
        <f t="array" aca="1" ref="AS43" ca="1">SUMPRODUCT(AS$55:AS$114,TRANSPOSE(SAP_Speadsheet!$E$34:$BL$34))</f>
        <v>#REF!</v>
      </c>
      <c r="AT43" s="367" t="e" cm="1">
        <f t="array" aca="1" ref="AT43" ca="1">SUMPRODUCT(AT$55:AT$114,TRANSPOSE(SAP_Speadsheet!$E$34:$BL$34))</f>
        <v>#REF!</v>
      </c>
      <c r="AU43" s="367" t="e" cm="1">
        <f t="array" aca="1" ref="AU43" ca="1">SUMPRODUCT(AU$55:AU$114,TRANSPOSE(SAP_Speadsheet!$E$34:$BL$34))</f>
        <v>#REF!</v>
      </c>
      <c r="AV43" s="367" t="e" cm="1">
        <f t="array" aca="1" ref="AV43" ca="1">SUMPRODUCT(AV$55:AV$114,TRANSPOSE(SAP_Speadsheet!$E$34:$BL$34))</f>
        <v>#REF!</v>
      </c>
      <c r="AW43" s="367" t="e" cm="1">
        <f t="array" aca="1" ref="AW43" ca="1">SUMPRODUCT(AW$55:AW$114,TRANSPOSE(SAP_Speadsheet!$E$34:$BL$34))</f>
        <v>#REF!</v>
      </c>
      <c r="AX43" s="367" t="e" cm="1">
        <f t="array" aca="1" ref="AX43" ca="1">SUMPRODUCT(AX$55:AX$114,TRANSPOSE(SAP_Speadsheet!$E$34:$BL$34))</f>
        <v>#REF!</v>
      </c>
      <c r="AY43" s="367" t="e" cm="1">
        <f t="array" aca="1" ref="AY43" ca="1">SUMPRODUCT(AY$55:AY$114,TRANSPOSE(SAP_Speadsheet!$E$34:$BL$34))</f>
        <v>#REF!</v>
      </c>
      <c r="AZ43" s="367" t="e" cm="1">
        <f t="array" aca="1" ref="AZ43" ca="1">SUMPRODUCT(AZ$55:AZ$114,TRANSPOSE(SAP_Speadsheet!$E$34:$BL$34))</f>
        <v>#REF!</v>
      </c>
      <c r="BA43" s="367" t="e" cm="1">
        <f t="array" aca="1" ref="BA43" ca="1">SUMPRODUCT(BA$55:BA$114,TRANSPOSE(SAP_Speadsheet!$E$34:$BL$34))</f>
        <v>#REF!</v>
      </c>
      <c r="BB43" s="367" t="e" cm="1">
        <f t="array" aca="1" ref="BB43" ca="1">SUMPRODUCT(BB$55:BB$114,TRANSPOSE(SAP_Speadsheet!$E$34:$BL$34))</f>
        <v>#REF!</v>
      </c>
      <c r="BC43" s="367" t="e" cm="1">
        <f t="array" aca="1" ref="BC43" ca="1">SUMPRODUCT(BC$55:BC$114,TRANSPOSE(SAP_Speadsheet!$E$34:$BL$34))</f>
        <v>#REF!</v>
      </c>
      <c r="BD43" s="367" t="e" cm="1">
        <f t="array" aca="1" ref="BD43" ca="1">SUMPRODUCT(BD$55:BD$114,TRANSPOSE(SAP_Speadsheet!$E$34:$BL$34))</f>
        <v>#REF!</v>
      </c>
      <c r="BE43" s="367" t="e" cm="1">
        <f t="array" aca="1" ref="BE43" ca="1">SUMPRODUCT(BE$55:BE$114,TRANSPOSE(SAP_Speadsheet!$E$34:$BL$34))</f>
        <v>#REF!</v>
      </c>
      <c r="BF43" s="367" t="e" cm="1">
        <f t="array" aca="1" ref="BF43" ca="1">SUMPRODUCT(BF$55:BF$114,TRANSPOSE(SAP_Speadsheet!$E$34:$BL$34))</f>
        <v>#REF!</v>
      </c>
      <c r="BG43" s="367" t="e" cm="1">
        <f t="array" aca="1" ref="BG43" ca="1">SUMPRODUCT(BG$55:BG$114,TRANSPOSE(SAP_Speadsheet!$E$34:$BL$34))</f>
        <v>#REF!</v>
      </c>
      <c r="BH43" s="367" t="e" cm="1">
        <f t="array" aca="1" ref="BH43" ca="1">SUMPRODUCT(BH$55:BH$114,TRANSPOSE(SAP_Speadsheet!$E$34:$BL$34))</f>
        <v>#REF!</v>
      </c>
      <c r="BI43" s="367" t="e" cm="1">
        <f t="array" aca="1" ref="BI43" ca="1">SUMPRODUCT(BI$55:BI$114,TRANSPOSE(SAP_Speadsheet!$E$34:$BL$34))</f>
        <v>#REF!</v>
      </c>
    </row>
    <row r="44" spans="1:61" x14ac:dyDescent="0.15">
      <c r="A44" s="356" t="s">
        <v>379</v>
      </c>
      <c r="B44" s="367" cm="1">
        <f t="array" aca="1" ref="B44" ca="1">SUMPRODUCT(B$55:B$114,TRANSPOSE(SAP_Speadsheet!$E$35:$BL$35))</f>
        <v>0</v>
      </c>
      <c r="C44" s="367" cm="1">
        <f t="array" aca="1" ref="C44" ca="1">SUMPRODUCT(C$55:C$114,TRANSPOSE(SAP_Speadsheet!$E$35:$BL$35))</f>
        <v>0</v>
      </c>
      <c r="D44" s="367" cm="1">
        <f t="array" aca="1" ref="D44" ca="1">SUMPRODUCT(D$55:D$114,TRANSPOSE(SAP_Speadsheet!$E$35:$BL$35))</f>
        <v>0</v>
      </c>
      <c r="E44" s="367" cm="1">
        <f t="array" aca="1" ref="E44" ca="1">SUMPRODUCT(E$55:E$114,TRANSPOSE(SAP_Speadsheet!$E$35:$BL$35))</f>
        <v>0</v>
      </c>
      <c r="F44" s="367" cm="1">
        <f t="array" aca="1" ref="F44" ca="1">SUMPRODUCT(F$55:F$114,TRANSPOSE(SAP_Speadsheet!$E$35:$BL$35))</f>
        <v>0</v>
      </c>
      <c r="G44" s="367" cm="1">
        <f t="array" aca="1" ref="G44" ca="1">SUMPRODUCT(G$55:G$114,TRANSPOSE(SAP_Speadsheet!$E$35:$BL$35))</f>
        <v>0</v>
      </c>
      <c r="H44" s="367" t="e" cm="1">
        <f t="array" aca="1" ref="H44" ca="1">SUMPRODUCT(H$55:H$114,TRANSPOSE(SAP_Speadsheet!$E$35:$BL$35))</f>
        <v>#REF!</v>
      </c>
      <c r="I44" s="367" t="e" cm="1">
        <f t="array" aca="1" ref="I44" ca="1">SUMPRODUCT(I$55:I$114,TRANSPOSE(SAP_Speadsheet!$E$35:$BL$35))</f>
        <v>#REF!</v>
      </c>
      <c r="J44" s="367" t="e" cm="1">
        <f t="array" aca="1" ref="J44" ca="1">SUMPRODUCT(J$55:J$114,TRANSPOSE(SAP_Speadsheet!$E$35:$BL$35))</f>
        <v>#REF!</v>
      </c>
      <c r="K44" s="367" t="e" cm="1">
        <f t="array" aca="1" ref="K44" ca="1">SUMPRODUCT(K$55:K$114,TRANSPOSE(SAP_Speadsheet!$E$35:$BL$35))</f>
        <v>#REF!</v>
      </c>
      <c r="L44" s="367" t="e" cm="1">
        <f t="array" aca="1" ref="L44" ca="1">SUMPRODUCT(L$55:L$114,TRANSPOSE(SAP_Speadsheet!$E$35:$BL$35))</f>
        <v>#REF!</v>
      </c>
      <c r="M44" s="367" t="e" cm="1">
        <f t="array" aca="1" ref="M44" ca="1">SUMPRODUCT(M$55:M$114,TRANSPOSE(SAP_Speadsheet!$E$35:$BL$35))</f>
        <v>#REF!</v>
      </c>
      <c r="N44" s="367" t="e" cm="1">
        <f t="array" aca="1" ref="N44" ca="1">SUMPRODUCT(N$55:N$114,TRANSPOSE(SAP_Speadsheet!$E$35:$BL$35))</f>
        <v>#REF!</v>
      </c>
      <c r="O44" s="367" t="e" cm="1">
        <f t="array" aca="1" ref="O44" ca="1">SUMPRODUCT(O$55:O$114,TRANSPOSE(SAP_Speadsheet!$E$35:$BL$35))</f>
        <v>#REF!</v>
      </c>
      <c r="P44" s="367" t="e" cm="1">
        <f t="array" aca="1" ref="P44" ca="1">SUMPRODUCT(P$55:P$114,TRANSPOSE(SAP_Speadsheet!$E$35:$BL$35))</f>
        <v>#REF!</v>
      </c>
      <c r="Q44" s="367" t="e" cm="1">
        <f t="array" aca="1" ref="Q44" ca="1">SUMPRODUCT(Q$55:Q$114,TRANSPOSE(SAP_Speadsheet!$E$35:$BL$35))</f>
        <v>#REF!</v>
      </c>
      <c r="R44" s="367" t="e" cm="1">
        <f t="array" aca="1" ref="R44" ca="1">SUMPRODUCT(R$55:R$114,TRANSPOSE(SAP_Speadsheet!$E$35:$BL$35))</f>
        <v>#REF!</v>
      </c>
      <c r="S44" s="367" t="e" cm="1">
        <f t="array" aca="1" ref="S44" ca="1">SUMPRODUCT(S$55:S$114,TRANSPOSE(SAP_Speadsheet!$E$35:$BL$35))</f>
        <v>#REF!</v>
      </c>
      <c r="T44" s="367" t="e" cm="1">
        <f t="array" aca="1" ref="T44" ca="1">SUMPRODUCT(T$55:T$114,TRANSPOSE(SAP_Speadsheet!$E$35:$BL$35))</f>
        <v>#REF!</v>
      </c>
      <c r="U44" s="367" t="e" cm="1">
        <f t="array" aca="1" ref="U44" ca="1">SUMPRODUCT(U$55:U$114,TRANSPOSE(SAP_Speadsheet!$E$35:$BL$35))</f>
        <v>#REF!</v>
      </c>
      <c r="V44" s="367" t="e" cm="1">
        <f t="array" aca="1" ref="V44" ca="1">SUMPRODUCT(V$55:V$114,TRANSPOSE(SAP_Speadsheet!$E$35:$BL$35))</f>
        <v>#REF!</v>
      </c>
      <c r="W44" s="367" t="e" cm="1">
        <f t="array" aca="1" ref="W44" ca="1">SUMPRODUCT(W$55:W$114,TRANSPOSE(SAP_Speadsheet!$E$35:$BL$35))</f>
        <v>#REF!</v>
      </c>
      <c r="X44" s="367" t="e" cm="1">
        <f t="array" aca="1" ref="X44" ca="1">SUMPRODUCT(X$55:X$114,TRANSPOSE(SAP_Speadsheet!$E$35:$BL$35))</f>
        <v>#REF!</v>
      </c>
      <c r="Y44" s="367" t="e" cm="1">
        <f t="array" aca="1" ref="Y44" ca="1">SUMPRODUCT(Y$55:Y$114,TRANSPOSE(SAP_Speadsheet!$E$35:$BL$35))</f>
        <v>#REF!</v>
      </c>
      <c r="Z44" s="367" t="e" cm="1">
        <f t="array" aca="1" ref="Z44" ca="1">SUMPRODUCT(Z$55:Z$114,TRANSPOSE(SAP_Speadsheet!$E$35:$BL$35))</f>
        <v>#REF!</v>
      </c>
      <c r="AA44" s="367" t="e" cm="1">
        <f t="array" aca="1" ref="AA44" ca="1">SUMPRODUCT(AA$55:AA$114,TRANSPOSE(SAP_Speadsheet!$E$35:$BL$35))</f>
        <v>#REF!</v>
      </c>
      <c r="AB44" s="367" t="e" cm="1">
        <f t="array" aca="1" ref="AB44" ca="1">SUMPRODUCT(AB$55:AB$114,TRANSPOSE(SAP_Speadsheet!$E$35:$BL$35))</f>
        <v>#REF!</v>
      </c>
      <c r="AC44" s="367" t="e" cm="1">
        <f t="array" aca="1" ref="AC44" ca="1">SUMPRODUCT(AC$55:AC$114,TRANSPOSE(SAP_Speadsheet!$E$35:$BL$35))</f>
        <v>#REF!</v>
      </c>
      <c r="AD44" s="367" t="e" cm="1">
        <f t="array" aca="1" ref="AD44" ca="1">SUMPRODUCT(AD$55:AD$114,TRANSPOSE(SAP_Speadsheet!$E$35:$BL$35))</f>
        <v>#REF!</v>
      </c>
      <c r="AE44" s="367" t="e" cm="1">
        <f t="array" aca="1" ref="AE44" ca="1">SUMPRODUCT(AE$55:AE$114,TRANSPOSE(SAP_Speadsheet!$E$35:$BL$35))</f>
        <v>#REF!</v>
      </c>
      <c r="AF44" s="367" t="e" cm="1">
        <f t="array" aca="1" ref="AF44" ca="1">SUMPRODUCT(AF$55:AF$114,TRANSPOSE(SAP_Speadsheet!$E$35:$BL$35))</f>
        <v>#REF!</v>
      </c>
      <c r="AG44" s="367" t="e" cm="1">
        <f t="array" aca="1" ref="AG44" ca="1">SUMPRODUCT(AG$55:AG$114,TRANSPOSE(SAP_Speadsheet!$E$35:$BL$35))</f>
        <v>#REF!</v>
      </c>
      <c r="AH44" s="367" t="e" cm="1">
        <f t="array" aca="1" ref="AH44" ca="1">SUMPRODUCT(AH$55:AH$114,TRANSPOSE(SAP_Speadsheet!$E$35:$BL$35))</f>
        <v>#REF!</v>
      </c>
      <c r="AI44" s="367" t="e" cm="1">
        <f t="array" aca="1" ref="AI44" ca="1">SUMPRODUCT(AI$55:AI$114,TRANSPOSE(SAP_Speadsheet!$E$35:$BL$35))</f>
        <v>#REF!</v>
      </c>
      <c r="AJ44" s="367" t="e" cm="1">
        <f t="array" aca="1" ref="AJ44" ca="1">SUMPRODUCT(AJ$55:AJ$114,TRANSPOSE(SAP_Speadsheet!$E$35:$BL$35))</f>
        <v>#REF!</v>
      </c>
      <c r="AK44" s="367" t="e" cm="1">
        <f t="array" aca="1" ref="AK44" ca="1">SUMPRODUCT(AK$55:AK$114,TRANSPOSE(SAP_Speadsheet!$E$35:$BL$35))</f>
        <v>#REF!</v>
      </c>
      <c r="AL44" s="367" t="e" cm="1">
        <f t="array" aca="1" ref="AL44" ca="1">SUMPRODUCT(AL$55:AL$114,TRANSPOSE(SAP_Speadsheet!$E$35:$BL$35))</f>
        <v>#REF!</v>
      </c>
      <c r="AM44" s="367" t="e" cm="1">
        <f t="array" aca="1" ref="AM44" ca="1">SUMPRODUCT(AM$55:AM$114,TRANSPOSE(SAP_Speadsheet!$E$35:$BL$35))</f>
        <v>#REF!</v>
      </c>
      <c r="AN44" s="367" t="e" cm="1">
        <f t="array" aca="1" ref="AN44" ca="1">SUMPRODUCT(AN$55:AN$114,TRANSPOSE(SAP_Speadsheet!$E$35:$BL$35))</f>
        <v>#REF!</v>
      </c>
      <c r="AO44" s="367" t="e" cm="1">
        <f t="array" aca="1" ref="AO44" ca="1">SUMPRODUCT(AO$55:AO$114,TRANSPOSE(SAP_Speadsheet!$E$35:$BL$35))</f>
        <v>#REF!</v>
      </c>
      <c r="AP44" s="367" t="e" cm="1">
        <f t="array" aca="1" ref="AP44" ca="1">SUMPRODUCT(AP$55:AP$114,TRANSPOSE(SAP_Speadsheet!$E$35:$BL$35))</f>
        <v>#REF!</v>
      </c>
      <c r="AQ44" s="367" t="e" cm="1">
        <f t="array" aca="1" ref="AQ44" ca="1">SUMPRODUCT(AQ$55:AQ$114,TRANSPOSE(SAP_Speadsheet!$E$35:$BL$35))</f>
        <v>#REF!</v>
      </c>
      <c r="AR44" s="367" t="e" cm="1">
        <f t="array" aca="1" ref="AR44" ca="1">SUMPRODUCT(AR$55:AR$114,TRANSPOSE(SAP_Speadsheet!$E$35:$BL$35))</f>
        <v>#REF!</v>
      </c>
      <c r="AS44" s="367" t="e" cm="1">
        <f t="array" aca="1" ref="AS44" ca="1">SUMPRODUCT(AS$55:AS$114,TRANSPOSE(SAP_Speadsheet!$E$35:$BL$35))</f>
        <v>#REF!</v>
      </c>
      <c r="AT44" s="367" t="e" cm="1">
        <f t="array" aca="1" ref="AT44" ca="1">SUMPRODUCT(AT$55:AT$114,TRANSPOSE(SAP_Speadsheet!$E$35:$BL$35))</f>
        <v>#REF!</v>
      </c>
      <c r="AU44" s="367" t="e" cm="1">
        <f t="array" aca="1" ref="AU44" ca="1">SUMPRODUCT(AU$55:AU$114,TRANSPOSE(SAP_Speadsheet!$E$35:$BL$35))</f>
        <v>#REF!</v>
      </c>
      <c r="AV44" s="367" t="e" cm="1">
        <f t="array" aca="1" ref="AV44" ca="1">SUMPRODUCT(AV$55:AV$114,TRANSPOSE(SAP_Speadsheet!$E$35:$BL$35))</f>
        <v>#REF!</v>
      </c>
      <c r="AW44" s="367" t="e" cm="1">
        <f t="array" aca="1" ref="AW44" ca="1">SUMPRODUCT(AW$55:AW$114,TRANSPOSE(SAP_Speadsheet!$E$35:$BL$35))</f>
        <v>#REF!</v>
      </c>
      <c r="AX44" s="367" t="e" cm="1">
        <f t="array" aca="1" ref="AX44" ca="1">SUMPRODUCT(AX$55:AX$114,TRANSPOSE(SAP_Speadsheet!$E$35:$BL$35))</f>
        <v>#REF!</v>
      </c>
      <c r="AY44" s="367" t="e" cm="1">
        <f t="array" aca="1" ref="AY44" ca="1">SUMPRODUCT(AY$55:AY$114,TRANSPOSE(SAP_Speadsheet!$E$35:$BL$35))</f>
        <v>#REF!</v>
      </c>
      <c r="AZ44" s="367" t="e" cm="1">
        <f t="array" aca="1" ref="AZ44" ca="1">SUMPRODUCT(AZ$55:AZ$114,TRANSPOSE(SAP_Speadsheet!$E$35:$BL$35))</f>
        <v>#REF!</v>
      </c>
      <c r="BA44" s="367" t="e" cm="1">
        <f t="array" aca="1" ref="BA44" ca="1">SUMPRODUCT(BA$55:BA$114,TRANSPOSE(SAP_Speadsheet!$E$35:$BL$35))</f>
        <v>#REF!</v>
      </c>
      <c r="BB44" s="367" t="e" cm="1">
        <f t="array" aca="1" ref="BB44" ca="1">SUMPRODUCT(BB$55:BB$114,TRANSPOSE(SAP_Speadsheet!$E$35:$BL$35))</f>
        <v>#REF!</v>
      </c>
      <c r="BC44" s="367" t="e" cm="1">
        <f t="array" aca="1" ref="BC44" ca="1">SUMPRODUCT(BC$55:BC$114,TRANSPOSE(SAP_Speadsheet!$E$35:$BL$35))</f>
        <v>#REF!</v>
      </c>
      <c r="BD44" s="367" t="e" cm="1">
        <f t="array" aca="1" ref="BD44" ca="1">SUMPRODUCT(BD$55:BD$114,TRANSPOSE(SAP_Speadsheet!$E$35:$BL$35))</f>
        <v>#REF!</v>
      </c>
      <c r="BE44" s="367" t="e" cm="1">
        <f t="array" aca="1" ref="BE44" ca="1">SUMPRODUCT(BE$55:BE$114,TRANSPOSE(SAP_Speadsheet!$E$35:$BL$35))</f>
        <v>#REF!</v>
      </c>
      <c r="BF44" s="367" t="e" cm="1">
        <f t="array" aca="1" ref="BF44" ca="1">SUMPRODUCT(BF$55:BF$114,TRANSPOSE(SAP_Speadsheet!$E$35:$BL$35))</f>
        <v>#REF!</v>
      </c>
      <c r="BG44" s="367" t="e" cm="1">
        <f t="array" aca="1" ref="BG44" ca="1">SUMPRODUCT(BG$55:BG$114,TRANSPOSE(SAP_Speadsheet!$E$35:$BL$35))</f>
        <v>#REF!</v>
      </c>
      <c r="BH44" s="367" t="e" cm="1">
        <f t="array" aca="1" ref="BH44" ca="1">SUMPRODUCT(BH$55:BH$114,TRANSPOSE(SAP_Speadsheet!$E$35:$BL$35))</f>
        <v>#REF!</v>
      </c>
      <c r="BI44" s="367" t="e" cm="1">
        <f t="array" aca="1" ref="BI44" ca="1">SUMPRODUCT(BI$55:BI$114,TRANSPOSE(SAP_Speadsheet!$E$35:$BL$35))</f>
        <v>#REF!</v>
      </c>
    </row>
    <row r="45" spans="1:61" x14ac:dyDescent="0.15">
      <c r="A45" s="356" t="s">
        <v>380</v>
      </c>
      <c r="B45" s="367" cm="1">
        <f t="array" aca="1" ref="B45" ca="1">SUMPRODUCT(B$55:B$114,TRANSPOSE(SAP_Speadsheet!$E$36:$BL$36))</f>
        <v>0</v>
      </c>
      <c r="C45" s="367" cm="1">
        <f t="array" aca="1" ref="C45" ca="1">SUMPRODUCT(C$55:C$114,TRANSPOSE(SAP_Speadsheet!$E$36:$BL$36))</f>
        <v>0</v>
      </c>
      <c r="D45" s="367" cm="1">
        <f t="array" aca="1" ref="D45" ca="1">SUMPRODUCT(D$55:D$114,TRANSPOSE(SAP_Speadsheet!$E$36:$BL$36))</f>
        <v>0</v>
      </c>
      <c r="E45" s="367" cm="1">
        <f t="array" aca="1" ref="E45" ca="1">SUMPRODUCT(E$55:E$114,TRANSPOSE(SAP_Speadsheet!$E$36:$BL$36))</f>
        <v>0</v>
      </c>
      <c r="F45" s="367" cm="1">
        <f t="array" aca="1" ref="F45" ca="1">SUMPRODUCT(F$55:F$114,TRANSPOSE(SAP_Speadsheet!$E$36:$BL$36))</f>
        <v>0</v>
      </c>
      <c r="G45" s="367" cm="1">
        <f t="array" aca="1" ref="G45" ca="1">SUMPRODUCT(G$55:G$114,TRANSPOSE(SAP_Speadsheet!$E$36:$BL$36))</f>
        <v>0</v>
      </c>
      <c r="H45" s="367" t="e" cm="1">
        <f t="array" aca="1" ref="H45" ca="1">SUMPRODUCT(H$55:H$114,TRANSPOSE(SAP_Speadsheet!$E$36:$BL$36))</f>
        <v>#REF!</v>
      </c>
      <c r="I45" s="367" t="e" cm="1">
        <f t="array" aca="1" ref="I45" ca="1">SUMPRODUCT(I$55:I$114,TRANSPOSE(SAP_Speadsheet!$E$36:$BL$36))</f>
        <v>#REF!</v>
      </c>
      <c r="J45" s="367" t="e" cm="1">
        <f t="array" aca="1" ref="J45" ca="1">SUMPRODUCT(J$55:J$114,TRANSPOSE(SAP_Speadsheet!$E$36:$BL$36))</f>
        <v>#REF!</v>
      </c>
      <c r="K45" s="367" t="e" cm="1">
        <f t="array" aca="1" ref="K45" ca="1">SUMPRODUCT(K$55:K$114,TRANSPOSE(SAP_Speadsheet!$E$36:$BL$36))</f>
        <v>#REF!</v>
      </c>
      <c r="L45" s="367" t="e" cm="1">
        <f t="array" aca="1" ref="L45" ca="1">SUMPRODUCT(L$55:L$114,TRANSPOSE(SAP_Speadsheet!$E$36:$BL$36))</f>
        <v>#REF!</v>
      </c>
      <c r="M45" s="367" t="e" cm="1">
        <f t="array" aca="1" ref="M45" ca="1">SUMPRODUCT(M$55:M$114,TRANSPOSE(SAP_Speadsheet!$E$36:$BL$36))</f>
        <v>#REF!</v>
      </c>
      <c r="N45" s="367" t="e" cm="1">
        <f t="array" aca="1" ref="N45" ca="1">SUMPRODUCT(N$55:N$114,TRANSPOSE(SAP_Speadsheet!$E$36:$BL$36))</f>
        <v>#REF!</v>
      </c>
      <c r="O45" s="367" t="e" cm="1">
        <f t="array" aca="1" ref="O45" ca="1">SUMPRODUCT(O$55:O$114,TRANSPOSE(SAP_Speadsheet!$E$36:$BL$36))</f>
        <v>#REF!</v>
      </c>
      <c r="P45" s="367" t="e" cm="1">
        <f t="array" aca="1" ref="P45" ca="1">SUMPRODUCT(P$55:P$114,TRANSPOSE(SAP_Speadsheet!$E$36:$BL$36))</f>
        <v>#REF!</v>
      </c>
      <c r="Q45" s="367" t="e" cm="1">
        <f t="array" aca="1" ref="Q45" ca="1">SUMPRODUCT(Q$55:Q$114,TRANSPOSE(SAP_Speadsheet!$E$36:$BL$36))</f>
        <v>#REF!</v>
      </c>
      <c r="R45" s="367" t="e" cm="1">
        <f t="array" aca="1" ref="R45" ca="1">SUMPRODUCT(R$55:R$114,TRANSPOSE(SAP_Speadsheet!$E$36:$BL$36))</f>
        <v>#REF!</v>
      </c>
      <c r="S45" s="367" t="e" cm="1">
        <f t="array" aca="1" ref="S45" ca="1">SUMPRODUCT(S$55:S$114,TRANSPOSE(SAP_Speadsheet!$E$36:$BL$36))</f>
        <v>#REF!</v>
      </c>
      <c r="T45" s="367" t="e" cm="1">
        <f t="array" aca="1" ref="T45" ca="1">SUMPRODUCT(T$55:T$114,TRANSPOSE(SAP_Speadsheet!$E$36:$BL$36))</f>
        <v>#REF!</v>
      </c>
      <c r="U45" s="367" t="e" cm="1">
        <f t="array" aca="1" ref="U45" ca="1">SUMPRODUCT(U$55:U$114,TRANSPOSE(SAP_Speadsheet!$E$36:$BL$36))</f>
        <v>#REF!</v>
      </c>
      <c r="V45" s="367" t="e" cm="1">
        <f t="array" aca="1" ref="V45" ca="1">SUMPRODUCT(V$55:V$114,TRANSPOSE(SAP_Speadsheet!$E$36:$BL$36))</f>
        <v>#REF!</v>
      </c>
      <c r="W45" s="367" t="e" cm="1">
        <f t="array" aca="1" ref="W45" ca="1">SUMPRODUCT(W$55:W$114,TRANSPOSE(SAP_Speadsheet!$E$36:$BL$36))</f>
        <v>#REF!</v>
      </c>
      <c r="X45" s="367" t="e" cm="1">
        <f t="array" aca="1" ref="X45" ca="1">SUMPRODUCT(X$55:X$114,TRANSPOSE(SAP_Speadsheet!$E$36:$BL$36))</f>
        <v>#REF!</v>
      </c>
      <c r="Y45" s="367" t="e" cm="1">
        <f t="array" aca="1" ref="Y45" ca="1">SUMPRODUCT(Y$55:Y$114,TRANSPOSE(SAP_Speadsheet!$E$36:$BL$36))</f>
        <v>#REF!</v>
      </c>
      <c r="Z45" s="367" t="e" cm="1">
        <f t="array" aca="1" ref="Z45" ca="1">SUMPRODUCT(Z$55:Z$114,TRANSPOSE(SAP_Speadsheet!$E$36:$BL$36))</f>
        <v>#REF!</v>
      </c>
      <c r="AA45" s="367" t="e" cm="1">
        <f t="array" aca="1" ref="AA45" ca="1">SUMPRODUCT(AA$55:AA$114,TRANSPOSE(SAP_Speadsheet!$E$36:$BL$36))</f>
        <v>#REF!</v>
      </c>
      <c r="AB45" s="367" t="e" cm="1">
        <f t="array" aca="1" ref="AB45" ca="1">SUMPRODUCT(AB$55:AB$114,TRANSPOSE(SAP_Speadsheet!$E$36:$BL$36))</f>
        <v>#REF!</v>
      </c>
      <c r="AC45" s="367" t="e" cm="1">
        <f t="array" aca="1" ref="AC45" ca="1">SUMPRODUCT(AC$55:AC$114,TRANSPOSE(SAP_Speadsheet!$E$36:$BL$36))</f>
        <v>#REF!</v>
      </c>
      <c r="AD45" s="367" t="e" cm="1">
        <f t="array" aca="1" ref="AD45" ca="1">SUMPRODUCT(AD$55:AD$114,TRANSPOSE(SAP_Speadsheet!$E$36:$BL$36))</f>
        <v>#REF!</v>
      </c>
      <c r="AE45" s="367" t="e" cm="1">
        <f t="array" aca="1" ref="AE45" ca="1">SUMPRODUCT(AE$55:AE$114,TRANSPOSE(SAP_Speadsheet!$E$36:$BL$36))</f>
        <v>#REF!</v>
      </c>
      <c r="AF45" s="367" t="e" cm="1">
        <f t="array" aca="1" ref="AF45" ca="1">SUMPRODUCT(AF$55:AF$114,TRANSPOSE(SAP_Speadsheet!$E$36:$BL$36))</f>
        <v>#REF!</v>
      </c>
      <c r="AG45" s="367" t="e" cm="1">
        <f t="array" aca="1" ref="AG45" ca="1">SUMPRODUCT(AG$55:AG$114,TRANSPOSE(SAP_Speadsheet!$E$36:$BL$36))</f>
        <v>#REF!</v>
      </c>
      <c r="AH45" s="367" t="e" cm="1">
        <f t="array" aca="1" ref="AH45" ca="1">SUMPRODUCT(AH$55:AH$114,TRANSPOSE(SAP_Speadsheet!$E$36:$BL$36))</f>
        <v>#REF!</v>
      </c>
      <c r="AI45" s="367" t="e" cm="1">
        <f t="array" aca="1" ref="AI45" ca="1">SUMPRODUCT(AI$55:AI$114,TRANSPOSE(SAP_Speadsheet!$E$36:$BL$36))</f>
        <v>#REF!</v>
      </c>
      <c r="AJ45" s="367" t="e" cm="1">
        <f t="array" aca="1" ref="AJ45" ca="1">SUMPRODUCT(AJ$55:AJ$114,TRANSPOSE(SAP_Speadsheet!$E$36:$BL$36))</f>
        <v>#REF!</v>
      </c>
      <c r="AK45" s="367" t="e" cm="1">
        <f t="array" aca="1" ref="AK45" ca="1">SUMPRODUCT(AK$55:AK$114,TRANSPOSE(SAP_Speadsheet!$E$36:$BL$36))</f>
        <v>#REF!</v>
      </c>
      <c r="AL45" s="367" t="e" cm="1">
        <f t="array" aca="1" ref="AL45" ca="1">SUMPRODUCT(AL$55:AL$114,TRANSPOSE(SAP_Speadsheet!$E$36:$BL$36))</f>
        <v>#REF!</v>
      </c>
      <c r="AM45" s="367" t="e" cm="1">
        <f t="array" aca="1" ref="AM45" ca="1">SUMPRODUCT(AM$55:AM$114,TRANSPOSE(SAP_Speadsheet!$E$36:$BL$36))</f>
        <v>#REF!</v>
      </c>
      <c r="AN45" s="367" t="e" cm="1">
        <f t="array" aca="1" ref="AN45" ca="1">SUMPRODUCT(AN$55:AN$114,TRANSPOSE(SAP_Speadsheet!$E$36:$BL$36))</f>
        <v>#REF!</v>
      </c>
      <c r="AO45" s="367" t="e" cm="1">
        <f t="array" aca="1" ref="AO45" ca="1">SUMPRODUCT(AO$55:AO$114,TRANSPOSE(SAP_Speadsheet!$E$36:$BL$36))</f>
        <v>#REF!</v>
      </c>
      <c r="AP45" s="367" t="e" cm="1">
        <f t="array" aca="1" ref="AP45" ca="1">SUMPRODUCT(AP$55:AP$114,TRANSPOSE(SAP_Speadsheet!$E$36:$BL$36))</f>
        <v>#REF!</v>
      </c>
      <c r="AQ45" s="367" t="e" cm="1">
        <f t="array" aca="1" ref="AQ45" ca="1">SUMPRODUCT(AQ$55:AQ$114,TRANSPOSE(SAP_Speadsheet!$E$36:$BL$36))</f>
        <v>#REF!</v>
      </c>
      <c r="AR45" s="367" t="e" cm="1">
        <f t="array" aca="1" ref="AR45" ca="1">SUMPRODUCT(AR$55:AR$114,TRANSPOSE(SAP_Speadsheet!$E$36:$BL$36))</f>
        <v>#REF!</v>
      </c>
      <c r="AS45" s="367" t="e" cm="1">
        <f t="array" aca="1" ref="AS45" ca="1">SUMPRODUCT(AS$55:AS$114,TRANSPOSE(SAP_Speadsheet!$E$36:$BL$36))</f>
        <v>#REF!</v>
      </c>
      <c r="AT45" s="367" t="e" cm="1">
        <f t="array" aca="1" ref="AT45" ca="1">SUMPRODUCT(AT$55:AT$114,TRANSPOSE(SAP_Speadsheet!$E$36:$BL$36))</f>
        <v>#REF!</v>
      </c>
      <c r="AU45" s="367" t="e" cm="1">
        <f t="array" aca="1" ref="AU45" ca="1">SUMPRODUCT(AU$55:AU$114,TRANSPOSE(SAP_Speadsheet!$E$36:$BL$36))</f>
        <v>#REF!</v>
      </c>
      <c r="AV45" s="367" t="e" cm="1">
        <f t="array" aca="1" ref="AV45" ca="1">SUMPRODUCT(AV$55:AV$114,TRANSPOSE(SAP_Speadsheet!$E$36:$BL$36))</f>
        <v>#REF!</v>
      </c>
      <c r="AW45" s="367" t="e" cm="1">
        <f t="array" aca="1" ref="AW45" ca="1">SUMPRODUCT(AW$55:AW$114,TRANSPOSE(SAP_Speadsheet!$E$36:$BL$36))</f>
        <v>#REF!</v>
      </c>
      <c r="AX45" s="367" t="e" cm="1">
        <f t="array" aca="1" ref="AX45" ca="1">SUMPRODUCT(AX$55:AX$114,TRANSPOSE(SAP_Speadsheet!$E$36:$BL$36))</f>
        <v>#REF!</v>
      </c>
      <c r="AY45" s="367" t="e" cm="1">
        <f t="array" aca="1" ref="AY45" ca="1">SUMPRODUCT(AY$55:AY$114,TRANSPOSE(SAP_Speadsheet!$E$36:$BL$36))</f>
        <v>#REF!</v>
      </c>
      <c r="AZ45" s="367" t="e" cm="1">
        <f t="array" aca="1" ref="AZ45" ca="1">SUMPRODUCT(AZ$55:AZ$114,TRANSPOSE(SAP_Speadsheet!$E$36:$BL$36))</f>
        <v>#REF!</v>
      </c>
      <c r="BA45" s="367" t="e" cm="1">
        <f t="array" aca="1" ref="BA45" ca="1">SUMPRODUCT(BA$55:BA$114,TRANSPOSE(SAP_Speadsheet!$E$36:$BL$36))</f>
        <v>#REF!</v>
      </c>
      <c r="BB45" s="367" t="e" cm="1">
        <f t="array" aca="1" ref="BB45" ca="1">SUMPRODUCT(BB$55:BB$114,TRANSPOSE(SAP_Speadsheet!$E$36:$BL$36))</f>
        <v>#REF!</v>
      </c>
      <c r="BC45" s="367" t="e" cm="1">
        <f t="array" aca="1" ref="BC45" ca="1">SUMPRODUCT(BC$55:BC$114,TRANSPOSE(SAP_Speadsheet!$E$36:$BL$36))</f>
        <v>#REF!</v>
      </c>
      <c r="BD45" s="367" t="e" cm="1">
        <f t="array" aca="1" ref="BD45" ca="1">SUMPRODUCT(BD$55:BD$114,TRANSPOSE(SAP_Speadsheet!$E$36:$BL$36))</f>
        <v>#REF!</v>
      </c>
      <c r="BE45" s="367" t="e" cm="1">
        <f t="array" aca="1" ref="BE45" ca="1">SUMPRODUCT(BE$55:BE$114,TRANSPOSE(SAP_Speadsheet!$E$36:$BL$36))</f>
        <v>#REF!</v>
      </c>
      <c r="BF45" s="367" t="e" cm="1">
        <f t="array" aca="1" ref="BF45" ca="1">SUMPRODUCT(BF$55:BF$114,TRANSPOSE(SAP_Speadsheet!$E$36:$BL$36))</f>
        <v>#REF!</v>
      </c>
      <c r="BG45" s="367" t="e" cm="1">
        <f t="array" aca="1" ref="BG45" ca="1">SUMPRODUCT(BG$55:BG$114,TRANSPOSE(SAP_Speadsheet!$E$36:$BL$36))</f>
        <v>#REF!</v>
      </c>
      <c r="BH45" s="367" t="e" cm="1">
        <f t="array" aca="1" ref="BH45" ca="1">SUMPRODUCT(BH$55:BH$114,TRANSPOSE(SAP_Speadsheet!$E$36:$BL$36))</f>
        <v>#REF!</v>
      </c>
      <c r="BI45" s="367" t="e" cm="1">
        <f t="array" aca="1" ref="BI45" ca="1">SUMPRODUCT(BI$55:BI$114,TRANSPOSE(SAP_Speadsheet!$E$36:$BL$36))</f>
        <v>#REF!</v>
      </c>
    </row>
    <row r="46" spans="1:61" x14ac:dyDescent="0.15">
      <c r="A46" s="356" t="s">
        <v>381</v>
      </c>
      <c r="B46" s="367" cm="1">
        <f t="array" aca="1" ref="B46" ca="1">SUMPRODUCT(B$55:B$114,TRANSPOSE(SAP_Speadsheet!$E$37:$BL$37))</f>
        <v>0</v>
      </c>
      <c r="C46" s="367" cm="1">
        <f t="array" aca="1" ref="C46" ca="1">SUMPRODUCT(C$55:C$114,TRANSPOSE(SAP_Speadsheet!$E$37:$BL$37))</f>
        <v>0</v>
      </c>
      <c r="D46" s="367" cm="1">
        <f t="array" aca="1" ref="D46" ca="1">SUMPRODUCT(D$55:D$114,TRANSPOSE(SAP_Speadsheet!$E$37:$BL$37))</f>
        <v>0</v>
      </c>
      <c r="E46" s="367" cm="1">
        <f t="array" aca="1" ref="E46" ca="1">SUMPRODUCT(E$55:E$114,TRANSPOSE(SAP_Speadsheet!$E$37:$BL$37))</f>
        <v>0</v>
      </c>
      <c r="F46" s="367" cm="1">
        <f t="array" aca="1" ref="F46" ca="1">SUMPRODUCT(F$55:F$114,TRANSPOSE(SAP_Speadsheet!$E$37:$BL$37))</f>
        <v>0</v>
      </c>
      <c r="G46" s="367" cm="1">
        <f t="array" aca="1" ref="G46" ca="1">SUMPRODUCT(G$55:G$114,TRANSPOSE(SAP_Speadsheet!$E$37:$BL$37))</f>
        <v>0</v>
      </c>
      <c r="H46" s="367" t="e" cm="1">
        <f t="array" aca="1" ref="H46" ca="1">SUMPRODUCT(H$55:H$114,TRANSPOSE(SAP_Speadsheet!$E$37:$BL$37))</f>
        <v>#REF!</v>
      </c>
      <c r="I46" s="367" t="e" cm="1">
        <f t="array" aca="1" ref="I46" ca="1">SUMPRODUCT(I$55:I$114,TRANSPOSE(SAP_Speadsheet!$E$37:$BL$37))</f>
        <v>#REF!</v>
      </c>
      <c r="J46" s="367" t="e" cm="1">
        <f t="array" aca="1" ref="J46" ca="1">SUMPRODUCT(J$55:J$114,TRANSPOSE(SAP_Speadsheet!$E$37:$BL$37))</f>
        <v>#REF!</v>
      </c>
      <c r="K46" s="367" t="e" cm="1">
        <f t="array" aca="1" ref="K46" ca="1">SUMPRODUCT(K$55:K$114,TRANSPOSE(SAP_Speadsheet!$E$37:$BL$37))</f>
        <v>#REF!</v>
      </c>
      <c r="L46" s="367" t="e" cm="1">
        <f t="array" aca="1" ref="L46" ca="1">SUMPRODUCT(L$55:L$114,TRANSPOSE(SAP_Speadsheet!$E$37:$BL$37))</f>
        <v>#REF!</v>
      </c>
      <c r="M46" s="367" t="e" cm="1">
        <f t="array" aca="1" ref="M46" ca="1">SUMPRODUCT(M$55:M$114,TRANSPOSE(SAP_Speadsheet!$E$37:$BL$37))</f>
        <v>#REF!</v>
      </c>
      <c r="N46" s="367" t="e" cm="1">
        <f t="array" aca="1" ref="N46" ca="1">SUMPRODUCT(N$55:N$114,TRANSPOSE(SAP_Speadsheet!$E$37:$BL$37))</f>
        <v>#REF!</v>
      </c>
      <c r="O46" s="367" t="e" cm="1">
        <f t="array" aca="1" ref="O46" ca="1">SUMPRODUCT(O$55:O$114,TRANSPOSE(SAP_Speadsheet!$E$37:$BL$37))</f>
        <v>#REF!</v>
      </c>
      <c r="P46" s="367" t="e" cm="1">
        <f t="array" aca="1" ref="P46" ca="1">SUMPRODUCT(P$55:P$114,TRANSPOSE(SAP_Speadsheet!$E$37:$BL$37))</f>
        <v>#REF!</v>
      </c>
      <c r="Q46" s="367" t="e" cm="1">
        <f t="array" aca="1" ref="Q46" ca="1">SUMPRODUCT(Q$55:Q$114,TRANSPOSE(SAP_Speadsheet!$E$37:$BL$37))</f>
        <v>#REF!</v>
      </c>
      <c r="R46" s="367" t="e" cm="1">
        <f t="array" aca="1" ref="R46" ca="1">SUMPRODUCT(R$55:R$114,TRANSPOSE(SAP_Speadsheet!$E$37:$BL$37))</f>
        <v>#REF!</v>
      </c>
      <c r="S46" s="367" t="e" cm="1">
        <f t="array" aca="1" ref="S46" ca="1">SUMPRODUCT(S$55:S$114,TRANSPOSE(SAP_Speadsheet!$E$37:$BL$37))</f>
        <v>#REF!</v>
      </c>
      <c r="T46" s="367" t="e" cm="1">
        <f t="array" aca="1" ref="T46" ca="1">SUMPRODUCT(T$55:T$114,TRANSPOSE(SAP_Speadsheet!$E$37:$BL$37))</f>
        <v>#REF!</v>
      </c>
      <c r="U46" s="367" t="e" cm="1">
        <f t="array" aca="1" ref="U46" ca="1">SUMPRODUCT(U$55:U$114,TRANSPOSE(SAP_Speadsheet!$E$37:$BL$37))</f>
        <v>#REF!</v>
      </c>
      <c r="V46" s="367" t="e" cm="1">
        <f t="array" aca="1" ref="V46" ca="1">SUMPRODUCT(V$55:V$114,TRANSPOSE(SAP_Speadsheet!$E$37:$BL$37))</f>
        <v>#REF!</v>
      </c>
      <c r="W46" s="367" t="e" cm="1">
        <f t="array" aca="1" ref="W46" ca="1">SUMPRODUCT(W$55:W$114,TRANSPOSE(SAP_Speadsheet!$E$37:$BL$37))</f>
        <v>#REF!</v>
      </c>
      <c r="X46" s="367" t="e" cm="1">
        <f t="array" aca="1" ref="X46" ca="1">SUMPRODUCT(X$55:X$114,TRANSPOSE(SAP_Speadsheet!$E$37:$BL$37))</f>
        <v>#REF!</v>
      </c>
      <c r="Y46" s="367" t="e" cm="1">
        <f t="array" aca="1" ref="Y46" ca="1">SUMPRODUCT(Y$55:Y$114,TRANSPOSE(SAP_Speadsheet!$E$37:$BL$37))</f>
        <v>#REF!</v>
      </c>
      <c r="Z46" s="367" t="e" cm="1">
        <f t="array" aca="1" ref="Z46" ca="1">SUMPRODUCT(Z$55:Z$114,TRANSPOSE(SAP_Speadsheet!$E$37:$BL$37))</f>
        <v>#REF!</v>
      </c>
      <c r="AA46" s="367" t="e" cm="1">
        <f t="array" aca="1" ref="AA46" ca="1">SUMPRODUCT(AA$55:AA$114,TRANSPOSE(SAP_Speadsheet!$E$37:$BL$37))</f>
        <v>#REF!</v>
      </c>
      <c r="AB46" s="367" t="e" cm="1">
        <f t="array" aca="1" ref="AB46" ca="1">SUMPRODUCT(AB$55:AB$114,TRANSPOSE(SAP_Speadsheet!$E$37:$BL$37))</f>
        <v>#REF!</v>
      </c>
      <c r="AC46" s="367" t="e" cm="1">
        <f t="array" aca="1" ref="AC46" ca="1">SUMPRODUCT(AC$55:AC$114,TRANSPOSE(SAP_Speadsheet!$E$37:$BL$37))</f>
        <v>#REF!</v>
      </c>
      <c r="AD46" s="367" t="e" cm="1">
        <f t="array" aca="1" ref="AD46" ca="1">SUMPRODUCT(AD$55:AD$114,TRANSPOSE(SAP_Speadsheet!$E$37:$BL$37))</f>
        <v>#REF!</v>
      </c>
      <c r="AE46" s="367" t="e" cm="1">
        <f t="array" aca="1" ref="AE46" ca="1">SUMPRODUCT(AE$55:AE$114,TRANSPOSE(SAP_Speadsheet!$E$37:$BL$37))</f>
        <v>#REF!</v>
      </c>
      <c r="AF46" s="367" t="e" cm="1">
        <f t="array" aca="1" ref="AF46" ca="1">SUMPRODUCT(AF$55:AF$114,TRANSPOSE(SAP_Speadsheet!$E$37:$BL$37))</f>
        <v>#REF!</v>
      </c>
      <c r="AG46" s="367" t="e" cm="1">
        <f t="array" aca="1" ref="AG46" ca="1">SUMPRODUCT(AG$55:AG$114,TRANSPOSE(SAP_Speadsheet!$E$37:$BL$37))</f>
        <v>#REF!</v>
      </c>
      <c r="AH46" s="367" t="e" cm="1">
        <f t="array" aca="1" ref="AH46" ca="1">SUMPRODUCT(AH$55:AH$114,TRANSPOSE(SAP_Speadsheet!$E$37:$BL$37))</f>
        <v>#REF!</v>
      </c>
      <c r="AI46" s="367" t="e" cm="1">
        <f t="array" aca="1" ref="AI46" ca="1">SUMPRODUCT(AI$55:AI$114,TRANSPOSE(SAP_Speadsheet!$E$37:$BL$37))</f>
        <v>#REF!</v>
      </c>
      <c r="AJ46" s="367" t="e" cm="1">
        <f t="array" aca="1" ref="AJ46" ca="1">SUMPRODUCT(AJ$55:AJ$114,TRANSPOSE(SAP_Speadsheet!$E$37:$BL$37))</f>
        <v>#REF!</v>
      </c>
      <c r="AK46" s="367" t="e" cm="1">
        <f t="array" aca="1" ref="AK46" ca="1">SUMPRODUCT(AK$55:AK$114,TRANSPOSE(SAP_Speadsheet!$E$37:$BL$37))</f>
        <v>#REF!</v>
      </c>
      <c r="AL46" s="367" t="e" cm="1">
        <f t="array" aca="1" ref="AL46" ca="1">SUMPRODUCT(AL$55:AL$114,TRANSPOSE(SAP_Speadsheet!$E$37:$BL$37))</f>
        <v>#REF!</v>
      </c>
      <c r="AM46" s="367" t="e" cm="1">
        <f t="array" aca="1" ref="AM46" ca="1">SUMPRODUCT(AM$55:AM$114,TRANSPOSE(SAP_Speadsheet!$E$37:$BL$37))</f>
        <v>#REF!</v>
      </c>
      <c r="AN46" s="367" t="e" cm="1">
        <f t="array" aca="1" ref="AN46" ca="1">SUMPRODUCT(AN$55:AN$114,TRANSPOSE(SAP_Speadsheet!$E$37:$BL$37))</f>
        <v>#REF!</v>
      </c>
      <c r="AO46" s="367" t="e" cm="1">
        <f t="array" aca="1" ref="AO46" ca="1">SUMPRODUCT(AO$55:AO$114,TRANSPOSE(SAP_Speadsheet!$E$37:$BL$37))</f>
        <v>#REF!</v>
      </c>
      <c r="AP46" s="367" t="e" cm="1">
        <f t="array" aca="1" ref="AP46" ca="1">SUMPRODUCT(AP$55:AP$114,TRANSPOSE(SAP_Speadsheet!$E$37:$BL$37))</f>
        <v>#REF!</v>
      </c>
      <c r="AQ46" s="367" t="e" cm="1">
        <f t="array" aca="1" ref="AQ46" ca="1">SUMPRODUCT(AQ$55:AQ$114,TRANSPOSE(SAP_Speadsheet!$E$37:$BL$37))</f>
        <v>#REF!</v>
      </c>
      <c r="AR46" s="367" t="e" cm="1">
        <f t="array" aca="1" ref="AR46" ca="1">SUMPRODUCT(AR$55:AR$114,TRANSPOSE(SAP_Speadsheet!$E$37:$BL$37))</f>
        <v>#REF!</v>
      </c>
      <c r="AS46" s="367" t="e" cm="1">
        <f t="array" aca="1" ref="AS46" ca="1">SUMPRODUCT(AS$55:AS$114,TRANSPOSE(SAP_Speadsheet!$E$37:$BL$37))</f>
        <v>#REF!</v>
      </c>
      <c r="AT46" s="367" t="e" cm="1">
        <f t="array" aca="1" ref="AT46" ca="1">SUMPRODUCT(AT$55:AT$114,TRANSPOSE(SAP_Speadsheet!$E$37:$BL$37))</f>
        <v>#REF!</v>
      </c>
      <c r="AU46" s="367" t="e" cm="1">
        <f t="array" aca="1" ref="AU46" ca="1">SUMPRODUCT(AU$55:AU$114,TRANSPOSE(SAP_Speadsheet!$E$37:$BL$37))</f>
        <v>#REF!</v>
      </c>
      <c r="AV46" s="367" t="e" cm="1">
        <f t="array" aca="1" ref="AV46" ca="1">SUMPRODUCT(AV$55:AV$114,TRANSPOSE(SAP_Speadsheet!$E$37:$BL$37))</f>
        <v>#REF!</v>
      </c>
      <c r="AW46" s="367" t="e" cm="1">
        <f t="array" aca="1" ref="AW46" ca="1">SUMPRODUCT(AW$55:AW$114,TRANSPOSE(SAP_Speadsheet!$E$37:$BL$37))</f>
        <v>#REF!</v>
      </c>
      <c r="AX46" s="367" t="e" cm="1">
        <f t="array" aca="1" ref="AX46" ca="1">SUMPRODUCT(AX$55:AX$114,TRANSPOSE(SAP_Speadsheet!$E$37:$BL$37))</f>
        <v>#REF!</v>
      </c>
      <c r="AY46" s="367" t="e" cm="1">
        <f t="array" aca="1" ref="AY46" ca="1">SUMPRODUCT(AY$55:AY$114,TRANSPOSE(SAP_Speadsheet!$E$37:$BL$37))</f>
        <v>#REF!</v>
      </c>
      <c r="AZ46" s="367" t="e" cm="1">
        <f t="array" aca="1" ref="AZ46" ca="1">SUMPRODUCT(AZ$55:AZ$114,TRANSPOSE(SAP_Speadsheet!$E$37:$BL$37))</f>
        <v>#REF!</v>
      </c>
      <c r="BA46" s="367" t="e" cm="1">
        <f t="array" aca="1" ref="BA46" ca="1">SUMPRODUCT(BA$55:BA$114,TRANSPOSE(SAP_Speadsheet!$E$37:$BL$37))</f>
        <v>#REF!</v>
      </c>
      <c r="BB46" s="367" t="e" cm="1">
        <f t="array" aca="1" ref="BB46" ca="1">SUMPRODUCT(BB$55:BB$114,TRANSPOSE(SAP_Speadsheet!$E$37:$BL$37))</f>
        <v>#REF!</v>
      </c>
      <c r="BC46" s="367" t="e" cm="1">
        <f t="array" aca="1" ref="BC46" ca="1">SUMPRODUCT(BC$55:BC$114,TRANSPOSE(SAP_Speadsheet!$E$37:$BL$37))</f>
        <v>#REF!</v>
      </c>
      <c r="BD46" s="367" t="e" cm="1">
        <f t="array" aca="1" ref="BD46" ca="1">SUMPRODUCT(BD$55:BD$114,TRANSPOSE(SAP_Speadsheet!$E$37:$BL$37))</f>
        <v>#REF!</v>
      </c>
      <c r="BE46" s="367" t="e" cm="1">
        <f t="array" aca="1" ref="BE46" ca="1">SUMPRODUCT(BE$55:BE$114,TRANSPOSE(SAP_Speadsheet!$E$37:$BL$37))</f>
        <v>#REF!</v>
      </c>
      <c r="BF46" s="367" t="e" cm="1">
        <f t="array" aca="1" ref="BF46" ca="1">SUMPRODUCT(BF$55:BF$114,TRANSPOSE(SAP_Speadsheet!$E$37:$BL$37))</f>
        <v>#REF!</v>
      </c>
      <c r="BG46" s="367" t="e" cm="1">
        <f t="array" aca="1" ref="BG46" ca="1">SUMPRODUCT(BG$55:BG$114,TRANSPOSE(SAP_Speadsheet!$E$37:$BL$37))</f>
        <v>#REF!</v>
      </c>
      <c r="BH46" s="367" t="e" cm="1">
        <f t="array" aca="1" ref="BH46" ca="1">SUMPRODUCT(BH$55:BH$114,TRANSPOSE(SAP_Speadsheet!$E$37:$BL$37))</f>
        <v>#REF!</v>
      </c>
      <c r="BI46" s="367" t="e" cm="1">
        <f t="array" aca="1" ref="BI46" ca="1">SUMPRODUCT(BI$55:BI$114,TRANSPOSE(SAP_Speadsheet!$E$37:$BL$37))</f>
        <v>#REF!</v>
      </c>
    </row>
    <row r="47" spans="1:61" x14ac:dyDescent="0.15">
      <c r="A47" s="356" t="s">
        <v>382</v>
      </c>
      <c r="B47" s="367" cm="1">
        <f t="array" aca="1" ref="B47" ca="1">SUMPRODUCT(B$55:B$114,TRANSPOSE(SAP_Speadsheet!$E$38:$BL$38))</f>
        <v>0</v>
      </c>
      <c r="C47" s="367" cm="1">
        <f t="array" aca="1" ref="C47" ca="1">SUMPRODUCT(C$55:C$114,TRANSPOSE(SAP_Speadsheet!$E$38:$BL$38))</f>
        <v>0</v>
      </c>
      <c r="D47" s="367" cm="1">
        <f t="array" aca="1" ref="D47" ca="1">SUMPRODUCT(D$55:D$114,TRANSPOSE(SAP_Speadsheet!$E$38:$BL$38))</f>
        <v>0</v>
      </c>
      <c r="E47" s="367" cm="1">
        <f t="array" aca="1" ref="E47" ca="1">SUMPRODUCT(E$55:E$114,TRANSPOSE(SAP_Speadsheet!$E$38:$BL$38))</f>
        <v>0</v>
      </c>
      <c r="F47" s="367" cm="1">
        <f t="array" aca="1" ref="F47" ca="1">SUMPRODUCT(F$55:F$114,TRANSPOSE(SAP_Speadsheet!$E$38:$BL$38))</f>
        <v>0</v>
      </c>
      <c r="G47" s="367" cm="1">
        <f t="array" aca="1" ref="G47" ca="1">SUMPRODUCT(G$55:G$114,TRANSPOSE(SAP_Speadsheet!$E$38:$BL$38))</f>
        <v>0</v>
      </c>
      <c r="H47" s="367" t="e" cm="1">
        <f t="array" aca="1" ref="H47" ca="1">SUMPRODUCT(H$55:H$114,TRANSPOSE(SAP_Speadsheet!$E$38:$BL$38))</f>
        <v>#REF!</v>
      </c>
      <c r="I47" s="367" t="e" cm="1">
        <f t="array" aca="1" ref="I47" ca="1">SUMPRODUCT(I$55:I$114,TRANSPOSE(SAP_Speadsheet!$E$38:$BL$38))</f>
        <v>#REF!</v>
      </c>
      <c r="J47" s="367" t="e" cm="1">
        <f t="array" aca="1" ref="J47" ca="1">SUMPRODUCT(J$55:J$114,TRANSPOSE(SAP_Speadsheet!$E$38:$BL$38))</f>
        <v>#REF!</v>
      </c>
      <c r="K47" s="367" t="e" cm="1">
        <f t="array" aca="1" ref="K47" ca="1">SUMPRODUCT(K$55:K$114,TRANSPOSE(SAP_Speadsheet!$E$38:$BL$38))</f>
        <v>#REF!</v>
      </c>
      <c r="L47" s="367" t="e" cm="1">
        <f t="array" aca="1" ref="L47" ca="1">SUMPRODUCT(L$55:L$114,TRANSPOSE(SAP_Speadsheet!$E$38:$BL$38))</f>
        <v>#REF!</v>
      </c>
      <c r="M47" s="367" t="e" cm="1">
        <f t="array" aca="1" ref="M47" ca="1">SUMPRODUCT(M$55:M$114,TRANSPOSE(SAP_Speadsheet!$E$38:$BL$38))</f>
        <v>#REF!</v>
      </c>
      <c r="N47" s="367" t="e" cm="1">
        <f t="array" aca="1" ref="N47" ca="1">SUMPRODUCT(N$55:N$114,TRANSPOSE(SAP_Speadsheet!$E$38:$BL$38))</f>
        <v>#REF!</v>
      </c>
      <c r="O47" s="367" t="e" cm="1">
        <f t="array" aca="1" ref="O47" ca="1">SUMPRODUCT(O$55:O$114,TRANSPOSE(SAP_Speadsheet!$E$38:$BL$38))</f>
        <v>#REF!</v>
      </c>
      <c r="P47" s="367" t="e" cm="1">
        <f t="array" aca="1" ref="P47" ca="1">SUMPRODUCT(P$55:P$114,TRANSPOSE(SAP_Speadsheet!$E$38:$BL$38))</f>
        <v>#REF!</v>
      </c>
      <c r="Q47" s="367" t="e" cm="1">
        <f t="array" aca="1" ref="Q47" ca="1">SUMPRODUCT(Q$55:Q$114,TRANSPOSE(SAP_Speadsheet!$E$38:$BL$38))</f>
        <v>#REF!</v>
      </c>
      <c r="R47" s="367" t="e" cm="1">
        <f t="array" aca="1" ref="R47" ca="1">SUMPRODUCT(R$55:R$114,TRANSPOSE(SAP_Speadsheet!$E$38:$BL$38))</f>
        <v>#REF!</v>
      </c>
      <c r="S47" s="367" t="e" cm="1">
        <f t="array" aca="1" ref="S47" ca="1">SUMPRODUCT(S$55:S$114,TRANSPOSE(SAP_Speadsheet!$E$38:$BL$38))</f>
        <v>#REF!</v>
      </c>
      <c r="T47" s="367" t="e" cm="1">
        <f t="array" aca="1" ref="T47" ca="1">SUMPRODUCT(T$55:T$114,TRANSPOSE(SAP_Speadsheet!$E$38:$BL$38))</f>
        <v>#REF!</v>
      </c>
      <c r="U47" s="367" t="e" cm="1">
        <f t="array" aca="1" ref="U47" ca="1">SUMPRODUCT(U$55:U$114,TRANSPOSE(SAP_Speadsheet!$E$38:$BL$38))</f>
        <v>#REF!</v>
      </c>
      <c r="V47" s="367" t="e" cm="1">
        <f t="array" aca="1" ref="V47" ca="1">SUMPRODUCT(V$55:V$114,TRANSPOSE(SAP_Speadsheet!$E$38:$BL$38))</f>
        <v>#REF!</v>
      </c>
      <c r="W47" s="367" t="e" cm="1">
        <f t="array" aca="1" ref="W47" ca="1">SUMPRODUCT(W$55:W$114,TRANSPOSE(SAP_Speadsheet!$E$38:$BL$38))</f>
        <v>#REF!</v>
      </c>
      <c r="X47" s="367" t="e" cm="1">
        <f t="array" aca="1" ref="X47" ca="1">SUMPRODUCT(X$55:X$114,TRANSPOSE(SAP_Speadsheet!$E$38:$BL$38))</f>
        <v>#REF!</v>
      </c>
      <c r="Y47" s="367" t="e" cm="1">
        <f t="array" aca="1" ref="Y47" ca="1">SUMPRODUCT(Y$55:Y$114,TRANSPOSE(SAP_Speadsheet!$E$38:$BL$38))</f>
        <v>#REF!</v>
      </c>
      <c r="Z47" s="367" t="e" cm="1">
        <f t="array" aca="1" ref="Z47" ca="1">SUMPRODUCT(Z$55:Z$114,TRANSPOSE(SAP_Speadsheet!$E$38:$BL$38))</f>
        <v>#REF!</v>
      </c>
      <c r="AA47" s="367" t="e" cm="1">
        <f t="array" aca="1" ref="AA47" ca="1">SUMPRODUCT(AA$55:AA$114,TRANSPOSE(SAP_Speadsheet!$E$38:$BL$38))</f>
        <v>#REF!</v>
      </c>
      <c r="AB47" s="367" t="e" cm="1">
        <f t="array" aca="1" ref="AB47" ca="1">SUMPRODUCT(AB$55:AB$114,TRANSPOSE(SAP_Speadsheet!$E$38:$BL$38))</f>
        <v>#REF!</v>
      </c>
      <c r="AC47" s="367" t="e" cm="1">
        <f t="array" aca="1" ref="AC47" ca="1">SUMPRODUCT(AC$55:AC$114,TRANSPOSE(SAP_Speadsheet!$E$38:$BL$38))</f>
        <v>#REF!</v>
      </c>
      <c r="AD47" s="367" t="e" cm="1">
        <f t="array" aca="1" ref="AD47" ca="1">SUMPRODUCT(AD$55:AD$114,TRANSPOSE(SAP_Speadsheet!$E$38:$BL$38))</f>
        <v>#REF!</v>
      </c>
      <c r="AE47" s="367" t="e" cm="1">
        <f t="array" aca="1" ref="AE47" ca="1">SUMPRODUCT(AE$55:AE$114,TRANSPOSE(SAP_Speadsheet!$E$38:$BL$38))</f>
        <v>#REF!</v>
      </c>
      <c r="AF47" s="367" t="e" cm="1">
        <f t="array" aca="1" ref="AF47" ca="1">SUMPRODUCT(AF$55:AF$114,TRANSPOSE(SAP_Speadsheet!$E$38:$BL$38))</f>
        <v>#REF!</v>
      </c>
      <c r="AG47" s="367" t="e" cm="1">
        <f t="array" aca="1" ref="AG47" ca="1">SUMPRODUCT(AG$55:AG$114,TRANSPOSE(SAP_Speadsheet!$E$38:$BL$38))</f>
        <v>#REF!</v>
      </c>
      <c r="AH47" s="367" t="e" cm="1">
        <f t="array" aca="1" ref="AH47" ca="1">SUMPRODUCT(AH$55:AH$114,TRANSPOSE(SAP_Speadsheet!$E$38:$BL$38))</f>
        <v>#REF!</v>
      </c>
      <c r="AI47" s="367" t="e" cm="1">
        <f t="array" aca="1" ref="AI47" ca="1">SUMPRODUCT(AI$55:AI$114,TRANSPOSE(SAP_Speadsheet!$E$38:$BL$38))</f>
        <v>#REF!</v>
      </c>
      <c r="AJ47" s="367" t="e" cm="1">
        <f t="array" aca="1" ref="AJ47" ca="1">SUMPRODUCT(AJ$55:AJ$114,TRANSPOSE(SAP_Speadsheet!$E$38:$BL$38))</f>
        <v>#REF!</v>
      </c>
      <c r="AK47" s="367" t="e" cm="1">
        <f t="array" aca="1" ref="AK47" ca="1">SUMPRODUCT(AK$55:AK$114,TRANSPOSE(SAP_Speadsheet!$E$38:$BL$38))</f>
        <v>#REF!</v>
      </c>
      <c r="AL47" s="367" t="e" cm="1">
        <f t="array" aca="1" ref="AL47" ca="1">SUMPRODUCT(AL$55:AL$114,TRANSPOSE(SAP_Speadsheet!$E$38:$BL$38))</f>
        <v>#REF!</v>
      </c>
      <c r="AM47" s="367" t="e" cm="1">
        <f t="array" aca="1" ref="AM47" ca="1">SUMPRODUCT(AM$55:AM$114,TRANSPOSE(SAP_Speadsheet!$E$38:$BL$38))</f>
        <v>#REF!</v>
      </c>
      <c r="AN47" s="367" t="e" cm="1">
        <f t="array" aca="1" ref="AN47" ca="1">SUMPRODUCT(AN$55:AN$114,TRANSPOSE(SAP_Speadsheet!$E$38:$BL$38))</f>
        <v>#REF!</v>
      </c>
      <c r="AO47" s="367" t="e" cm="1">
        <f t="array" aca="1" ref="AO47" ca="1">SUMPRODUCT(AO$55:AO$114,TRANSPOSE(SAP_Speadsheet!$E$38:$BL$38))</f>
        <v>#REF!</v>
      </c>
      <c r="AP47" s="367" t="e" cm="1">
        <f t="array" aca="1" ref="AP47" ca="1">SUMPRODUCT(AP$55:AP$114,TRANSPOSE(SAP_Speadsheet!$E$38:$BL$38))</f>
        <v>#REF!</v>
      </c>
      <c r="AQ47" s="367" t="e" cm="1">
        <f t="array" aca="1" ref="AQ47" ca="1">SUMPRODUCT(AQ$55:AQ$114,TRANSPOSE(SAP_Speadsheet!$E$38:$BL$38))</f>
        <v>#REF!</v>
      </c>
      <c r="AR47" s="367" t="e" cm="1">
        <f t="array" aca="1" ref="AR47" ca="1">SUMPRODUCT(AR$55:AR$114,TRANSPOSE(SAP_Speadsheet!$E$38:$BL$38))</f>
        <v>#REF!</v>
      </c>
      <c r="AS47" s="367" t="e" cm="1">
        <f t="array" aca="1" ref="AS47" ca="1">SUMPRODUCT(AS$55:AS$114,TRANSPOSE(SAP_Speadsheet!$E$38:$BL$38))</f>
        <v>#REF!</v>
      </c>
      <c r="AT47" s="367" t="e" cm="1">
        <f t="array" aca="1" ref="AT47" ca="1">SUMPRODUCT(AT$55:AT$114,TRANSPOSE(SAP_Speadsheet!$E$38:$BL$38))</f>
        <v>#REF!</v>
      </c>
      <c r="AU47" s="367" t="e" cm="1">
        <f t="array" aca="1" ref="AU47" ca="1">SUMPRODUCT(AU$55:AU$114,TRANSPOSE(SAP_Speadsheet!$E$38:$BL$38))</f>
        <v>#REF!</v>
      </c>
      <c r="AV47" s="367" t="e" cm="1">
        <f t="array" aca="1" ref="AV47" ca="1">SUMPRODUCT(AV$55:AV$114,TRANSPOSE(SAP_Speadsheet!$E$38:$BL$38))</f>
        <v>#REF!</v>
      </c>
      <c r="AW47" s="367" t="e" cm="1">
        <f t="array" aca="1" ref="AW47" ca="1">SUMPRODUCT(AW$55:AW$114,TRANSPOSE(SAP_Speadsheet!$E$38:$BL$38))</f>
        <v>#REF!</v>
      </c>
      <c r="AX47" s="367" t="e" cm="1">
        <f t="array" aca="1" ref="AX47" ca="1">SUMPRODUCT(AX$55:AX$114,TRANSPOSE(SAP_Speadsheet!$E$38:$BL$38))</f>
        <v>#REF!</v>
      </c>
      <c r="AY47" s="367" t="e" cm="1">
        <f t="array" aca="1" ref="AY47" ca="1">SUMPRODUCT(AY$55:AY$114,TRANSPOSE(SAP_Speadsheet!$E$38:$BL$38))</f>
        <v>#REF!</v>
      </c>
      <c r="AZ47" s="367" t="e" cm="1">
        <f t="array" aca="1" ref="AZ47" ca="1">SUMPRODUCT(AZ$55:AZ$114,TRANSPOSE(SAP_Speadsheet!$E$38:$BL$38))</f>
        <v>#REF!</v>
      </c>
      <c r="BA47" s="367" t="e" cm="1">
        <f t="array" aca="1" ref="BA47" ca="1">SUMPRODUCT(BA$55:BA$114,TRANSPOSE(SAP_Speadsheet!$E$38:$BL$38))</f>
        <v>#REF!</v>
      </c>
      <c r="BB47" s="367" t="e" cm="1">
        <f t="array" aca="1" ref="BB47" ca="1">SUMPRODUCT(BB$55:BB$114,TRANSPOSE(SAP_Speadsheet!$E$38:$BL$38))</f>
        <v>#REF!</v>
      </c>
      <c r="BC47" s="367" t="e" cm="1">
        <f t="array" aca="1" ref="BC47" ca="1">SUMPRODUCT(BC$55:BC$114,TRANSPOSE(SAP_Speadsheet!$E$38:$BL$38))</f>
        <v>#REF!</v>
      </c>
      <c r="BD47" s="367" t="e" cm="1">
        <f t="array" aca="1" ref="BD47" ca="1">SUMPRODUCT(BD$55:BD$114,TRANSPOSE(SAP_Speadsheet!$E$38:$BL$38))</f>
        <v>#REF!</v>
      </c>
      <c r="BE47" s="367" t="e" cm="1">
        <f t="array" aca="1" ref="BE47" ca="1">SUMPRODUCT(BE$55:BE$114,TRANSPOSE(SAP_Speadsheet!$E$38:$BL$38))</f>
        <v>#REF!</v>
      </c>
      <c r="BF47" s="367" t="e" cm="1">
        <f t="array" aca="1" ref="BF47" ca="1">SUMPRODUCT(BF$55:BF$114,TRANSPOSE(SAP_Speadsheet!$E$38:$BL$38))</f>
        <v>#REF!</v>
      </c>
      <c r="BG47" s="367" t="e" cm="1">
        <f t="array" aca="1" ref="BG47" ca="1">SUMPRODUCT(BG$55:BG$114,TRANSPOSE(SAP_Speadsheet!$E$38:$BL$38))</f>
        <v>#REF!</v>
      </c>
      <c r="BH47" s="367" t="e" cm="1">
        <f t="array" aca="1" ref="BH47" ca="1">SUMPRODUCT(BH$55:BH$114,TRANSPOSE(SAP_Speadsheet!$E$38:$BL$38))</f>
        <v>#REF!</v>
      </c>
      <c r="BI47" s="367" t="e" cm="1">
        <f t="array" aca="1" ref="BI47" ca="1">SUMPRODUCT(BI$55:BI$114,TRANSPOSE(SAP_Speadsheet!$E$38:$BL$38))</f>
        <v>#REF!</v>
      </c>
    </row>
    <row r="48" spans="1:61" x14ac:dyDescent="0.15">
      <c r="A48" s="356" t="s">
        <v>383</v>
      </c>
      <c r="B48" s="367" cm="1">
        <f t="array" aca="1" ref="B48" ca="1">SUMPRODUCT(B$55:B$114,TRANSPOSE(SAP_Speadsheet!$E$39:$BL$39))</f>
        <v>0</v>
      </c>
      <c r="C48" s="367" cm="1">
        <f t="array" aca="1" ref="C48" ca="1">SUMPRODUCT(C$55:C$114,TRANSPOSE(SAP_Speadsheet!$E$39:$BL$39))</f>
        <v>0</v>
      </c>
      <c r="D48" s="367" cm="1">
        <f t="array" aca="1" ref="D48" ca="1">SUMPRODUCT(D$55:D$114,TRANSPOSE(SAP_Speadsheet!$E$39:$BL$39))</f>
        <v>0</v>
      </c>
      <c r="E48" s="367" cm="1">
        <f t="array" aca="1" ref="E48" ca="1">SUMPRODUCT(E$55:E$114,TRANSPOSE(SAP_Speadsheet!$E$39:$BL$39))</f>
        <v>0</v>
      </c>
      <c r="F48" s="367" cm="1">
        <f t="array" aca="1" ref="F48" ca="1">SUMPRODUCT(F$55:F$114,TRANSPOSE(SAP_Speadsheet!$E$39:$BL$39))</f>
        <v>0</v>
      </c>
      <c r="G48" s="367" cm="1">
        <f t="array" aca="1" ref="G48" ca="1">SUMPRODUCT(G$55:G$114,TRANSPOSE(SAP_Speadsheet!$E$39:$BL$39))</f>
        <v>0</v>
      </c>
      <c r="H48" s="367" t="e" cm="1">
        <f t="array" aca="1" ref="H48" ca="1">SUMPRODUCT(H$55:H$114,TRANSPOSE(SAP_Speadsheet!$E$39:$BL$39))</f>
        <v>#REF!</v>
      </c>
      <c r="I48" s="367" t="e" cm="1">
        <f t="array" aca="1" ref="I48" ca="1">SUMPRODUCT(I$55:I$114,TRANSPOSE(SAP_Speadsheet!$E$39:$BL$39))</f>
        <v>#REF!</v>
      </c>
      <c r="J48" s="367" t="e" cm="1">
        <f t="array" aca="1" ref="J48" ca="1">SUMPRODUCT(J$55:J$114,TRANSPOSE(SAP_Speadsheet!$E$39:$BL$39))</f>
        <v>#REF!</v>
      </c>
      <c r="K48" s="367" t="e" cm="1">
        <f t="array" aca="1" ref="K48" ca="1">SUMPRODUCT(K$55:K$114,TRANSPOSE(SAP_Speadsheet!$E$39:$BL$39))</f>
        <v>#REF!</v>
      </c>
      <c r="L48" s="367" t="e" cm="1">
        <f t="array" aca="1" ref="L48" ca="1">SUMPRODUCT(L$55:L$114,TRANSPOSE(SAP_Speadsheet!$E$39:$BL$39))</f>
        <v>#REF!</v>
      </c>
      <c r="M48" s="367" t="e" cm="1">
        <f t="array" aca="1" ref="M48" ca="1">SUMPRODUCT(M$55:M$114,TRANSPOSE(SAP_Speadsheet!$E$39:$BL$39))</f>
        <v>#REF!</v>
      </c>
      <c r="N48" s="367" t="e" cm="1">
        <f t="array" aca="1" ref="N48" ca="1">SUMPRODUCT(N$55:N$114,TRANSPOSE(SAP_Speadsheet!$E$39:$BL$39))</f>
        <v>#REF!</v>
      </c>
      <c r="O48" s="367" t="e" cm="1">
        <f t="array" aca="1" ref="O48" ca="1">SUMPRODUCT(O$55:O$114,TRANSPOSE(SAP_Speadsheet!$E$39:$BL$39))</f>
        <v>#REF!</v>
      </c>
      <c r="P48" s="367" t="e" cm="1">
        <f t="array" aca="1" ref="P48" ca="1">SUMPRODUCT(P$55:P$114,TRANSPOSE(SAP_Speadsheet!$E$39:$BL$39))</f>
        <v>#REF!</v>
      </c>
      <c r="Q48" s="367" t="e" cm="1">
        <f t="array" aca="1" ref="Q48" ca="1">SUMPRODUCT(Q$55:Q$114,TRANSPOSE(SAP_Speadsheet!$E$39:$BL$39))</f>
        <v>#REF!</v>
      </c>
      <c r="R48" s="367" t="e" cm="1">
        <f t="array" aca="1" ref="R48" ca="1">SUMPRODUCT(R$55:R$114,TRANSPOSE(SAP_Speadsheet!$E$39:$BL$39))</f>
        <v>#REF!</v>
      </c>
      <c r="S48" s="367" t="e" cm="1">
        <f t="array" aca="1" ref="S48" ca="1">SUMPRODUCT(S$55:S$114,TRANSPOSE(SAP_Speadsheet!$E$39:$BL$39))</f>
        <v>#REF!</v>
      </c>
      <c r="T48" s="367" t="e" cm="1">
        <f t="array" aca="1" ref="T48" ca="1">SUMPRODUCT(T$55:T$114,TRANSPOSE(SAP_Speadsheet!$E$39:$BL$39))</f>
        <v>#REF!</v>
      </c>
      <c r="U48" s="367" t="e" cm="1">
        <f t="array" aca="1" ref="U48" ca="1">SUMPRODUCT(U$55:U$114,TRANSPOSE(SAP_Speadsheet!$E$39:$BL$39))</f>
        <v>#REF!</v>
      </c>
      <c r="V48" s="367" t="e" cm="1">
        <f t="array" aca="1" ref="V48" ca="1">SUMPRODUCT(V$55:V$114,TRANSPOSE(SAP_Speadsheet!$E$39:$BL$39))</f>
        <v>#REF!</v>
      </c>
      <c r="W48" s="367" t="e" cm="1">
        <f t="array" aca="1" ref="W48" ca="1">SUMPRODUCT(W$55:W$114,TRANSPOSE(SAP_Speadsheet!$E$39:$BL$39))</f>
        <v>#REF!</v>
      </c>
      <c r="X48" s="367" t="e" cm="1">
        <f t="array" aca="1" ref="X48" ca="1">SUMPRODUCT(X$55:X$114,TRANSPOSE(SAP_Speadsheet!$E$39:$BL$39))</f>
        <v>#REF!</v>
      </c>
      <c r="Y48" s="367" t="e" cm="1">
        <f t="array" aca="1" ref="Y48" ca="1">SUMPRODUCT(Y$55:Y$114,TRANSPOSE(SAP_Speadsheet!$E$39:$BL$39))</f>
        <v>#REF!</v>
      </c>
      <c r="Z48" s="367" t="e" cm="1">
        <f t="array" aca="1" ref="Z48" ca="1">SUMPRODUCT(Z$55:Z$114,TRANSPOSE(SAP_Speadsheet!$E$39:$BL$39))</f>
        <v>#REF!</v>
      </c>
      <c r="AA48" s="367" t="e" cm="1">
        <f t="array" aca="1" ref="AA48" ca="1">SUMPRODUCT(AA$55:AA$114,TRANSPOSE(SAP_Speadsheet!$E$39:$BL$39))</f>
        <v>#REF!</v>
      </c>
      <c r="AB48" s="367" t="e" cm="1">
        <f t="array" aca="1" ref="AB48" ca="1">SUMPRODUCT(AB$55:AB$114,TRANSPOSE(SAP_Speadsheet!$E$39:$BL$39))</f>
        <v>#REF!</v>
      </c>
      <c r="AC48" s="367" t="e" cm="1">
        <f t="array" aca="1" ref="AC48" ca="1">SUMPRODUCT(AC$55:AC$114,TRANSPOSE(SAP_Speadsheet!$E$39:$BL$39))</f>
        <v>#REF!</v>
      </c>
      <c r="AD48" s="367" t="e" cm="1">
        <f t="array" aca="1" ref="AD48" ca="1">SUMPRODUCT(AD$55:AD$114,TRANSPOSE(SAP_Speadsheet!$E$39:$BL$39))</f>
        <v>#REF!</v>
      </c>
      <c r="AE48" s="367" t="e" cm="1">
        <f t="array" aca="1" ref="AE48" ca="1">SUMPRODUCT(AE$55:AE$114,TRANSPOSE(SAP_Speadsheet!$E$39:$BL$39))</f>
        <v>#REF!</v>
      </c>
      <c r="AF48" s="367" t="e" cm="1">
        <f t="array" aca="1" ref="AF48" ca="1">SUMPRODUCT(AF$55:AF$114,TRANSPOSE(SAP_Speadsheet!$E$39:$BL$39))</f>
        <v>#REF!</v>
      </c>
      <c r="AG48" s="367" t="e" cm="1">
        <f t="array" aca="1" ref="AG48" ca="1">SUMPRODUCT(AG$55:AG$114,TRANSPOSE(SAP_Speadsheet!$E$39:$BL$39))</f>
        <v>#REF!</v>
      </c>
      <c r="AH48" s="367" t="e" cm="1">
        <f t="array" aca="1" ref="AH48" ca="1">SUMPRODUCT(AH$55:AH$114,TRANSPOSE(SAP_Speadsheet!$E$39:$BL$39))</f>
        <v>#REF!</v>
      </c>
      <c r="AI48" s="367" t="e" cm="1">
        <f t="array" aca="1" ref="AI48" ca="1">SUMPRODUCT(AI$55:AI$114,TRANSPOSE(SAP_Speadsheet!$E$39:$BL$39))</f>
        <v>#REF!</v>
      </c>
      <c r="AJ48" s="367" t="e" cm="1">
        <f t="array" aca="1" ref="AJ48" ca="1">SUMPRODUCT(AJ$55:AJ$114,TRANSPOSE(SAP_Speadsheet!$E$39:$BL$39))</f>
        <v>#REF!</v>
      </c>
      <c r="AK48" s="367" t="e" cm="1">
        <f t="array" aca="1" ref="AK48" ca="1">SUMPRODUCT(AK$55:AK$114,TRANSPOSE(SAP_Speadsheet!$E$39:$BL$39))</f>
        <v>#REF!</v>
      </c>
      <c r="AL48" s="367" t="e" cm="1">
        <f t="array" aca="1" ref="AL48" ca="1">SUMPRODUCT(AL$55:AL$114,TRANSPOSE(SAP_Speadsheet!$E$39:$BL$39))</f>
        <v>#REF!</v>
      </c>
      <c r="AM48" s="367" t="e" cm="1">
        <f t="array" aca="1" ref="AM48" ca="1">SUMPRODUCT(AM$55:AM$114,TRANSPOSE(SAP_Speadsheet!$E$39:$BL$39))</f>
        <v>#REF!</v>
      </c>
      <c r="AN48" s="367" t="e" cm="1">
        <f t="array" aca="1" ref="AN48" ca="1">SUMPRODUCT(AN$55:AN$114,TRANSPOSE(SAP_Speadsheet!$E$39:$BL$39))</f>
        <v>#REF!</v>
      </c>
      <c r="AO48" s="367" t="e" cm="1">
        <f t="array" aca="1" ref="AO48" ca="1">SUMPRODUCT(AO$55:AO$114,TRANSPOSE(SAP_Speadsheet!$E$39:$BL$39))</f>
        <v>#REF!</v>
      </c>
      <c r="AP48" s="367" t="e" cm="1">
        <f t="array" aca="1" ref="AP48" ca="1">SUMPRODUCT(AP$55:AP$114,TRANSPOSE(SAP_Speadsheet!$E$39:$BL$39))</f>
        <v>#REF!</v>
      </c>
      <c r="AQ48" s="367" t="e" cm="1">
        <f t="array" aca="1" ref="AQ48" ca="1">SUMPRODUCT(AQ$55:AQ$114,TRANSPOSE(SAP_Speadsheet!$E$39:$BL$39))</f>
        <v>#REF!</v>
      </c>
      <c r="AR48" s="367" t="e" cm="1">
        <f t="array" aca="1" ref="AR48" ca="1">SUMPRODUCT(AR$55:AR$114,TRANSPOSE(SAP_Speadsheet!$E$39:$BL$39))</f>
        <v>#REF!</v>
      </c>
      <c r="AS48" s="367" t="e" cm="1">
        <f t="array" aca="1" ref="AS48" ca="1">SUMPRODUCT(AS$55:AS$114,TRANSPOSE(SAP_Speadsheet!$E$39:$BL$39))</f>
        <v>#REF!</v>
      </c>
      <c r="AT48" s="367" t="e" cm="1">
        <f t="array" aca="1" ref="AT48" ca="1">SUMPRODUCT(AT$55:AT$114,TRANSPOSE(SAP_Speadsheet!$E$39:$BL$39))</f>
        <v>#REF!</v>
      </c>
      <c r="AU48" s="367" t="e" cm="1">
        <f t="array" aca="1" ref="AU48" ca="1">SUMPRODUCT(AU$55:AU$114,TRANSPOSE(SAP_Speadsheet!$E$39:$BL$39))</f>
        <v>#REF!</v>
      </c>
      <c r="AV48" s="367" t="e" cm="1">
        <f t="array" aca="1" ref="AV48" ca="1">SUMPRODUCT(AV$55:AV$114,TRANSPOSE(SAP_Speadsheet!$E$39:$BL$39))</f>
        <v>#REF!</v>
      </c>
      <c r="AW48" s="367" t="e" cm="1">
        <f t="array" aca="1" ref="AW48" ca="1">SUMPRODUCT(AW$55:AW$114,TRANSPOSE(SAP_Speadsheet!$E$39:$BL$39))</f>
        <v>#REF!</v>
      </c>
      <c r="AX48" s="367" t="e" cm="1">
        <f t="array" aca="1" ref="AX48" ca="1">SUMPRODUCT(AX$55:AX$114,TRANSPOSE(SAP_Speadsheet!$E$39:$BL$39))</f>
        <v>#REF!</v>
      </c>
      <c r="AY48" s="367" t="e" cm="1">
        <f t="array" aca="1" ref="AY48" ca="1">SUMPRODUCT(AY$55:AY$114,TRANSPOSE(SAP_Speadsheet!$E$39:$BL$39))</f>
        <v>#REF!</v>
      </c>
      <c r="AZ48" s="367" t="e" cm="1">
        <f t="array" aca="1" ref="AZ48" ca="1">SUMPRODUCT(AZ$55:AZ$114,TRANSPOSE(SAP_Speadsheet!$E$39:$BL$39))</f>
        <v>#REF!</v>
      </c>
      <c r="BA48" s="367" t="e" cm="1">
        <f t="array" aca="1" ref="BA48" ca="1">SUMPRODUCT(BA$55:BA$114,TRANSPOSE(SAP_Speadsheet!$E$39:$BL$39))</f>
        <v>#REF!</v>
      </c>
      <c r="BB48" s="367" t="e" cm="1">
        <f t="array" aca="1" ref="BB48" ca="1">SUMPRODUCT(BB$55:BB$114,TRANSPOSE(SAP_Speadsheet!$E$39:$BL$39))</f>
        <v>#REF!</v>
      </c>
      <c r="BC48" s="367" t="e" cm="1">
        <f t="array" aca="1" ref="BC48" ca="1">SUMPRODUCT(BC$55:BC$114,TRANSPOSE(SAP_Speadsheet!$E$39:$BL$39))</f>
        <v>#REF!</v>
      </c>
      <c r="BD48" s="367" t="e" cm="1">
        <f t="array" aca="1" ref="BD48" ca="1">SUMPRODUCT(BD$55:BD$114,TRANSPOSE(SAP_Speadsheet!$E$39:$BL$39))</f>
        <v>#REF!</v>
      </c>
      <c r="BE48" s="367" t="e" cm="1">
        <f t="array" aca="1" ref="BE48" ca="1">SUMPRODUCT(BE$55:BE$114,TRANSPOSE(SAP_Speadsheet!$E$39:$BL$39))</f>
        <v>#REF!</v>
      </c>
      <c r="BF48" s="367" t="e" cm="1">
        <f t="array" aca="1" ref="BF48" ca="1">SUMPRODUCT(BF$55:BF$114,TRANSPOSE(SAP_Speadsheet!$E$39:$BL$39))</f>
        <v>#REF!</v>
      </c>
      <c r="BG48" s="367" t="e" cm="1">
        <f t="array" aca="1" ref="BG48" ca="1">SUMPRODUCT(BG$55:BG$114,TRANSPOSE(SAP_Speadsheet!$E$39:$BL$39))</f>
        <v>#REF!</v>
      </c>
      <c r="BH48" s="367" t="e" cm="1">
        <f t="array" aca="1" ref="BH48" ca="1">SUMPRODUCT(BH$55:BH$114,TRANSPOSE(SAP_Speadsheet!$E$39:$BL$39))</f>
        <v>#REF!</v>
      </c>
      <c r="BI48" s="367" t="e" cm="1">
        <f t="array" aca="1" ref="BI48" ca="1">SUMPRODUCT(BI$55:BI$114,TRANSPOSE(SAP_Speadsheet!$E$39:$BL$39))</f>
        <v>#REF!</v>
      </c>
    </row>
    <row r="49" spans="1:62" x14ac:dyDescent="0.15">
      <c r="A49" s="356" t="s">
        <v>466</v>
      </c>
      <c r="B49" s="367" cm="1">
        <f t="array" aca="1" ref="B49" ca="1">SUMPRODUCT(B$55:B$114,TRANSPOSE(SAP_Speadsheet!$E$40:$BL$40))</f>
        <v>0</v>
      </c>
      <c r="C49" s="367" cm="1">
        <f t="array" aca="1" ref="C49" ca="1">SUMPRODUCT(C$55:C$114,TRANSPOSE(SAP_Speadsheet!$E$40:$BL$40))</f>
        <v>0</v>
      </c>
      <c r="D49" s="367" cm="1">
        <f t="array" aca="1" ref="D49" ca="1">SUMPRODUCT(D$55:D$114,TRANSPOSE(SAP_Speadsheet!$E$40:$BL$40))</f>
        <v>0</v>
      </c>
      <c r="E49" s="367" cm="1">
        <f t="array" aca="1" ref="E49" ca="1">SUMPRODUCT(E$55:E$114,TRANSPOSE(SAP_Speadsheet!$E$40:$BL$40))</f>
        <v>0</v>
      </c>
      <c r="F49" s="367" cm="1">
        <f t="array" aca="1" ref="F49" ca="1">SUMPRODUCT(F$55:F$114,TRANSPOSE(SAP_Speadsheet!$E$40:$BL$40))</f>
        <v>0</v>
      </c>
      <c r="G49" s="367" cm="1">
        <f t="array" aca="1" ref="G49" ca="1">SUMPRODUCT(G$55:G$114,TRANSPOSE(SAP_Speadsheet!$E$40:$BL$40))</f>
        <v>0</v>
      </c>
      <c r="H49" s="367" t="e" cm="1">
        <f t="array" aca="1" ref="H49" ca="1">SUMPRODUCT(H$55:H$114,TRANSPOSE(SAP_Speadsheet!$E$40:$BL$40))</f>
        <v>#REF!</v>
      </c>
      <c r="I49" s="367" t="e" cm="1">
        <f t="array" aca="1" ref="I49" ca="1">SUMPRODUCT(I$55:I$114,TRANSPOSE(SAP_Speadsheet!$E$40:$BL$40))</f>
        <v>#REF!</v>
      </c>
      <c r="J49" s="367" t="e" cm="1">
        <f t="array" aca="1" ref="J49" ca="1">SUMPRODUCT(J$55:J$114,TRANSPOSE(SAP_Speadsheet!$E$40:$BL$40))</f>
        <v>#REF!</v>
      </c>
      <c r="K49" s="367" t="e" cm="1">
        <f t="array" aca="1" ref="K49" ca="1">SUMPRODUCT(K$55:K$114,TRANSPOSE(SAP_Speadsheet!$E$40:$BL$40))</f>
        <v>#REF!</v>
      </c>
      <c r="L49" s="367" t="e" cm="1">
        <f t="array" aca="1" ref="L49" ca="1">SUMPRODUCT(L$55:L$114,TRANSPOSE(SAP_Speadsheet!$E$40:$BL$40))</f>
        <v>#REF!</v>
      </c>
      <c r="M49" s="367" t="e" cm="1">
        <f t="array" aca="1" ref="M49" ca="1">SUMPRODUCT(M$55:M$114,TRANSPOSE(SAP_Speadsheet!$E$40:$BL$40))</f>
        <v>#REF!</v>
      </c>
      <c r="N49" s="367" t="e" cm="1">
        <f t="array" aca="1" ref="N49" ca="1">SUMPRODUCT(N$55:N$114,TRANSPOSE(SAP_Speadsheet!$E$40:$BL$40))</f>
        <v>#REF!</v>
      </c>
      <c r="O49" s="367" t="e" cm="1">
        <f t="array" aca="1" ref="O49" ca="1">SUMPRODUCT(O$55:O$114,TRANSPOSE(SAP_Speadsheet!$E$40:$BL$40))</f>
        <v>#REF!</v>
      </c>
      <c r="P49" s="367" t="e" cm="1">
        <f t="array" aca="1" ref="P49" ca="1">SUMPRODUCT(P$55:P$114,TRANSPOSE(SAP_Speadsheet!$E$40:$BL$40))</f>
        <v>#REF!</v>
      </c>
      <c r="Q49" s="367" t="e" cm="1">
        <f t="array" aca="1" ref="Q49" ca="1">SUMPRODUCT(Q$55:Q$114,TRANSPOSE(SAP_Speadsheet!$E$40:$BL$40))</f>
        <v>#REF!</v>
      </c>
      <c r="R49" s="367" t="e" cm="1">
        <f t="array" aca="1" ref="R49" ca="1">SUMPRODUCT(R$55:R$114,TRANSPOSE(SAP_Speadsheet!$E$40:$BL$40))</f>
        <v>#REF!</v>
      </c>
      <c r="S49" s="367" t="e" cm="1">
        <f t="array" aca="1" ref="S49" ca="1">SUMPRODUCT(S$55:S$114,TRANSPOSE(SAP_Speadsheet!$E$40:$BL$40))</f>
        <v>#REF!</v>
      </c>
      <c r="T49" s="367" t="e" cm="1">
        <f t="array" aca="1" ref="T49" ca="1">SUMPRODUCT(T$55:T$114,TRANSPOSE(SAP_Speadsheet!$E$40:$BL$40))</f>
        <v>#REF!</v>
      </c>
      <c r="U49" s="367" t="e" cm="1">
        <f t="array" aca="1" ref="U49" ca="1">SUMPRODUCT(U$55:U$114,TRANSPOSE(SAP_Speadsheet!$E$40:$BL$40))</f>
        <v>#REF!</v>
      </c>
      <c r="V49" s="367" t="e" cm="1">
        <f t="array" aca="1" ref="V49" ca="1">SUMPRODUCT(V$55:V$114,TRANSPOSE(SAP_Speadsheet!$E$40:$BL$40))</f>
        <v>#REF!</v>
      </c>
      <c r="W49" s="367" t="e" cm="1">
        <f t="array" aca="1" ref="W49" ca="1">SUMPRODUCT(W$55:W$114,TRANSPOSE(SAP_Speadsheet!$E$40:$BL$40))</f>
        <v>#REF!</v>
      </c>
      <c r="X49" s="367" t="e" cm="1">
        <f t="array" aca="1" ref="X49" ca="1">SUMPRODUCT(X$55:X$114,TRANSPOSE(SAP_Speadsheet!$E$40:$BL$40))</f>
        <v>#REF!</v>
      </c>
      <c r="Y49" s="367" t="e" cm="1">
        <f t="array" aca="1" ref="Y49" ca="1">SUMPRODUCT(Y$55:Y$114,TRANSPOSE(SAP_Speadsheet!$E$40:$BL$40))</f>
        <v>#REF!</v>
      </c>
      <c r="Z49" s="367" t="e" cm="1">
        <f t="array" aca="1" ref="Z49" ca="1">SUMPRODUCT(Z$55:Z$114,TRANSPOSE(SAP_Speadsheet!$E$40:$BL$40))</f>
        <v>#REF!</v>
      </c>
      <c r="AA49" s="367" t="e" cm="1">
        <f t="array" aca="1" ref="AA49" ca="1">SUMPRODUCT(AA$55:AA$114,TRANSPOSE(SAP_Speadsheet!$E$40:$BL$40))</f>
        <v>#REF!</v>
      </c>
      <c r="AB49" s="367" t="e" cm="1">
        <f t="array" aca="1" ref="AB49" ca="1">SUMPRODUCT(AB$55:AB$114,TRANSPOSE(SAP_Speadsheet!$E$40:$BL$40))</f>
        <v>#REF!</v>
      </c>
      <c r="AC49" s="367" t="e" cm="1">
        <f t="array" aca="1" ref="AC49" ca="1">SUMPRODUCT(AC$55:AC$114,TRANSPOSE(SAP_Speadsheet!$E$40:$BL$40))</f>
        <v>#REF!</v>
      </c>
      <c r="AD49" s="367" t="e" cm="1">
        <f t="array" aca="1" ref="AD49" ca="1">SUMPRODUCT(AD$55:AD$114,TRANSPOSE(SAP_Speadsheet!$E$40:$BL$40))</f>
        <v>#REF!</v>
      </c>
      <c r="AE49" s="367" t="e" cm="1">
        <f t="array" aca="1" ref="AE49" ca="1">SUMPRODUCT(AE$55:AE$114,TRANSPOSE(SAP_Speadsheet!$E$40:$BL$40))</f>
        <v>#REF!</v>
      </c>
      <c r="AF49" s="367" t="e" cm="1">
        <f t="array" aca="1" ref="AF49" ca="1">SUMPRODUCT(AF$55:AF$114,TRANSPOSE(SAP_Speadsheet!$E$40:$BL$40))</f>
        <v>#REF!</v>
      </c>
      <c r="AG49" s="367" t="e" cm="1">
        <f t="array" aca="1" ref="AG49" ca="1">SUMPRODUCT(AG$55:AG$114,TRANSPOSE(SAP_Speadsheet!$E$40:$BL$40))</f>
        <v>#REF!</v>
      </c>
      <c r="AH49" s="367" t="e" cm="1">
        <f t="array" aca="1" ref="AH49" ca="1">SUMPRODUCT(AH$55:AH$114,TRANSPOSE(SAP_Speadsheet!$E$40:$BL$40))</f>
        <v>#REF!</v>
      </c>
      <c r="AI49" s="367" t="e" cm="1">
        <f t="array" aca="1" ref="AI49" ca="1">SUMPRODUCT(AI$55:AI$114,TRANSPOSE(SAP_Speadsheet!$E$40:$BL$40))</f>
        <v>#REF!</v>
      </c>
      <c r="AJ49" s="367" t="e" cm="1">
        <f t="array" aca="1" ref="AJ49" ca="1">SUMPRODUCT(AJ$55:AJ$114,TRANSPOSE(SAP_Speadsheet!$E$40:$BL$40))</f>
        <v>#REF!</v>
      </c>
      <c r="AK49" s="367" t="e" cm="1">
        <f t="array" aca="1" ref="AK49" ca="1">SUMPRODUCT(AK$55:AK$114,TRANSPOSE(SAP_Speadsheet!$E$40:$BL$40))</f>
        <v>#REF!</v>
      </c>
      <c r="AL49" s="367" t="e" cm="1">
        <f t="array" aca="1" ref="AL49" ca="1">SUMPRODUCT(AL$55:AL$114,TRANSPOSE(SAP_Speadsheet!$E$40:$BL$40))</f>
        <v>#REF!</v>
      </c>
      <c r="AM49" s="367" t="e" cm="1">
        <f t="array" aca="1" ref="AM49" ca="1">SUMPRODUCT(AM$55:AM$114,TRANSPOSE(SAP_Speadsheet!$E$40:$BL$40))</f>
        <v>#REF!</v>
      </c>
      <c r="AN49" s="367" t="e" cm="1">
        <f t="array" aca="1" ref="AN49" ca="1">SUMPRODUCT(AN$55:AN$114,TRANSPOSE(SAP_Speadsheet!$E$40:$BL$40))</f>
        <v>#REF!</v>
      </c>
      <c r="AO49" s="367" t="e" cm="1">
        <f t="array" aca="1" ref="AO49" ca="1">SUMPRODUCT(AO$55:AO$114,TRANSPOSE(SAP_Speadsheet!$E$40:$BL$40))</f>
        <v>#REF!</v>
      </c>
      <c r="AP49" s="367" t="e" cm="1">
        <f t="array" aca="1" ref="AP49" ca="1">SUMPRODUCT(AP$55:AP$114,TRANSPOSE(SAP_Speadsheet!$E$40:$BL$40))</f>
        <v>#REF!</v>
      </c>
      <c r="AQ49" s="367" t="e" cm="1">
        <f t="array" aca="1" ref="AQ49" ca="1">SUMPRODUCT(AQ$55:AQ$114,TRANSPOSE(SAP_Speadsheet!$E$40:$BL$40))</f>
        <v>#REF!</v>
      </c>
      <c r="AR49" s="367" t="e" cm="1">
        <f t="array" aca="1" ref="AR49" ca="1">SUMPRODUCT(AR$55:AR$114,TRANSPOSE(SAP_Speadsheet!$E$40:$BL$40))</f>
        <v>#REF!</v>
      </c>
      <c r="AS49" s="367" t="e" cm="1">
        <f t="array" aca="1" ref="AS49" ca="1">SUMPRODUCT(AS$55:AS$114,TRANSPOSE(SAP_Speadsheet!$E$40:$BL$40))</f>
        <v>#REF!</v>
      </c>
      <c r="AT49" s="367" t="e" cm="1">
        <f t="array" aca="1" ref="AT49" ca="1">SUMPRODUCT(AT$55:AT$114,TRANSPOSE(SAP_Speadsheet!$E$40:$BL$40))</f>
        <v>#REF!</v>
      </c>
      <c r="AU49" s="367" t="e" cm="1">
        <f t="array" aca="1" ref="AU49" ca="1">SUMPRODUCT(AU$55:AU$114,TRANSPOSE(SAP_Speadsheet!$E$40:$BL$40))</f>
        <v>#REF!</v>
      </c>
      <c r="AV49" s="367" t="e" cm="1">
        <f t="array" aca="1" ref="AV49" ca="1">SUMPRODUCT(AV$55:AV$114,TRANSPOSE(SAP_Speadsheet!$E$40:$BL$40))</f>
        <v>#REF!</v>
      </c>
      <c r="AW49" s="367" t="e" cm="1">
        <f t="array" aca="1" ref="AW49" ca="1">SUMPRODUCT(AW$55:AW$114,TRANSPOSE(SAP_Speadsheet!$E$40:$BL$40))</f>
        <v>#REF!</v>
      </c>
      <c r="AX49" s="367" t="e" cm="1">
        <f t="array" aca="1" ref="AX49" ca="1">SUMPRODUCT(AX$55:AX$114,TRANSPOSE(SAP_Speadsheet!$E$40:$BL$40))</f>
        <v>#REF!</v>
      </c>
      <c r="AY49" s="367" t="e" cm="1">
        <f t="array" aca="1" ref="AY49" ca="1">SUMPRODUCT(AY$55:AY$114,TRANSPOSE(SAP_Speadsheet!$E$40:$BL$40))</f>
        <v>#REF!</v>
      </c>
      <c r="AZ49" s="367" t="e" cm="1">
        <f t="array" aca="1" ref="AZ49" ca="1">SUMPRODUCT(AZ$55:AZ$114,TRANSPOSE(SAP_Speadsheet!$E$40:$BL$40))</f>
        <v>#REF!</v>
      </c>
      <c r="BA49" s="367" t="e" cm="1">
        <f t="array" aca="1" ref="BA49" ca="1">SUMPRODUCT(BA$55:BA$114,TRANSPOSE(SAP_Speadsheet!$E$40:$BL$40))</f>
        <v>#REF!</v>
      </c>
      <c r="BB49" s="367" t="e" cm="1">
        <f t="array" aca="1" ref="BB49" ca="1">SUMPRODUCT(BB$55:BB$114,TRANSPOSE(SAP_Speadsheet!$E$40:$BL$40))</f>
        <v>#REF!</v>
      </c>
      <c r="BC49" s="367" t="e" cm="1">
        <f t="array" aca="1" ref="BC49" ca="1">SUMPRODUCT(BC$55:BC$114,TRANSPOSE(SAP_Speadsheet!$E$40:$BL$40))</f>
        <v>#REF!</v>
      </c>
      <c r="BD49" s="367" t="e" cm="1">
        <f t="array" aca="1" ref="BD49" ca="1">SUMPRODUCT(BD$55:BD$114,TRANSPOSE(SAP_Speadsheet!$E$40:$BL$40))</f>
        <v>#REF!</v>
      </c>
      <c r="BE49" s="367" t="e" cm="1">
        <f t="array" aca="1" ref="BE49" ca="1">SUMPRODUCT(BE$55:BE$114,TRANSPOSE(SAP_Speadsheet!$E$40:$BL$40))</f>
        <v>#REF!</v>
      </c>
      <c r="BF49" s="367" t="e" cm="1">
        <f t="array" aca="1" ref="BF49" ca="1">SUMPRODUCT(BF$55:BF$114,TRANSPOSE(SAP_Speadsheet!$E$40:$BL$40))</f>
        <v>#REF!</v>
      </c>
      <c r="BG49" s="367" t="e" cm="1">
        <f t="array" aca="1" ref="BG49" ca="1">SUMPRODUCT(BG$55:BG$114,TRANSPOSE(SAP_Speadsheet!$E$40:$BL$40))</f>
        <v>#REF!</v>
      </c>
      <c r="BH49" s="367" t="e" cm="1">
        <f t="array" aca="1" ref="BH49" ca="1">SUMPRODUCT(BH$55:BH$114,TRANSPOSE(SAP_Speadsheet!$E$40:$BL$40))</f>
        <v>#REF!</v>
      </c>
      <c r="BI49" s="367" t="e" cm="1">
        <f t="array" aca="1" ref="BI49" ca="1">SUMPRODUCT(BI$55:BI$114,TRANSPOSE(SAP_Speadsheet!$E$40:$BL$40))</f>
        <v>#REF!</v>
      </c>
    </row>
    <row r="50" spans="1:62" x14ac:dyDescent="0.15">
      <c r="A50" s="356" t="s">
        <v>387</v>
      </c>
      <c r="B50" s="367" cm="1">
        <f t="array" aca="1" ref="B50" ca="1">SUMPRODUCT(B$55:B$114,TRANSPOSE(SAP_Speadsheet!$E$41:$BL$41))</f>
        <v>0</v>
      </c>
      <c r="C50" s="367" cm="1">
        <f t="array" aca="1" ref="C50" ca="1">SUMPRODUCT(C$55:C$114,TRANSPOSE(SAP_Speadsheet!$E$41:$BL$41))</f>
        <v>0</v>
      </c>
      <c r="D50" s="367" cm="1">
        <f t="array" aca="1" ref="D50" ca="1">SUMPRODUCT(D$55:D$114,TRANSPOSE(SAP_Speadsheet!$E$41:$BL$41))</f>
        <v>0</v>
      </c>
      <c r="E50" s="367" cm="1">
        <f t="array" aca="1" ref="E50" ca="1">SUMPRODUCT(E$55:E$114,TRANSPOSE(SAP_Speadsheet!$E$41:$BL$41))</f>
        <v>0</v>
      </c>
      <c r="F50" s="367" cm="1">
        <f t="array" aca="1" ref="F50" ca="1">SUMPRODUCT(F$55:F$114,TRANSPOSE(SAP_Speadsheet!$E$41:$BL$41))</f>
        <v>0</v>
      </c>
      <c r="G50" s="367" cm="1">
        <f t="array" aca="1" ref="G50" ca="1">SUMPRODUCT(G$55:G$114,TRANSPOSE(SAP_Speadsheet!$E$41:$BL$41))</f>
        <v>0</v>
      </c>
      <c r="H50" s="367" t="e" cm="1">
        <f t="array" aca="1" ref="H50" ca="1">SUMPRODUCT(H$55:H$114,TRANSPOSE(SAP_Speadsheet!$E$41:$BL$41))</f>
        <v>#REF!</v>
      </c>
      <c r="I50" s="367" t="e" cm="1">
        <f t="array" aca="1" ref="I50" ca="1">SUMPRODUCT(I$55:I$114,TRANSPOSE(SAP_Speadsheet!$E$41:$BL$41))</f>
        <v>#REF!</v>
      </c>
      <c r="J50" s="367" t="e" cm="1">
        <f t="array" aca="1" ref="J50" ca="1">SUMPRODUCT(J$55:J$114,TRANSPOSE(SAP_Speadsheet!$E$41:$BL$41))</f>
        <v>#REF!</v>
      </c>
      <c r="K50" s="367" t="e" cm="1">
        <f t="array" aca="1" ref="K50" ca="1">SUMPRODUCT(K$55:K$114,TRANSPOSE(SAP_Speadsheet!$E$41:$BL$41))</f>
        <v>#REF!</v>
      </c>
      <c r="L50" s="367" t="e" cm="1">
        <f t="array" aca="1" ref="L50" ca="1">SUMPRODUCT(L$55:L$114,TRANSPOSE(SAP_Speadsheet!$E$41:$BL$41))</f>
        <v>#REF!</v>
      </c>
      <c r="M50" s="367" t="e" cm="1">
        <f t="array" aca="1" ref="M50" ca="1">SUMPRODUCT(M$55:M$114,TRANSPOSE(SAP_Speadsheet!$E$41:$BL$41))</f>
        <v>#REF!</v>
      </c>
      <c r="N50" s="367" t="e" cm="1">
        <f t="array" aca="1" ref="N50" ca="1">SUMPRODUCT(N$55:N$114,TRANSPOSE(SAP_Speadsheet!$E$41:$BL$41))</f>
        <v>#REF!</v>
      </c>
      <c r="O50" s="367" t="e" cm="1">
        <f t="array" aca="1" ref="O50" ca="1">SUMPRODUCT(O$55:O$114,TRANSPOSE(SAP_Speadsheet!$E$41:$BL$41))</f>
        <v>#REF!</v>
      </c>
      <c r="P50" s="367" t="e" cm="1">
        <f t="array" aca="1" ref="P50" ca="1">SUMPRODUCT(P$55:P$114,TRANSPOSE(SAP_Speadsheet!$E$41:$BL$41))</f>
        <v>#REF!</v>
      </c>
      <c r="Q50" s="367" t="e" cm="1">
        <f t="array" aca="1" ref="Q50" ca="1">SUMPRODUCT(Q$55:Q$114,TRANSPOSE(SAP_Speadsheet!$E$41:$BL$41))</f>
        <v>#REF!</v>
      </c>
      <c r="R50" s="367" t="e" cm="1">
        <f t="array" aca="1" ref="R50" ca="1">SUMPRODUCT(R$55:R$114,TRANSPOSE(SAP_Speadsheet!$E$41:$BL$41))</f>
        <v>#REF!</v>
      </c>
      <c r="S50" s="367" t="e" cm="1">
        <f t="array" aca="1" ref="S50" ca="1">SUMPRODUCT(S$55:S$114,TRANSPOSE(SAP_Speadsheet!$E$41:$BL$41))</f>
        <v>#REF!</v>
      </c>
      <c r="T50" s="367" t="e" cm="1">
        <f t="array" aca="1" ref="T50" ca="1">SUMPRODUCT(T$55:T$114,TRANSPOSE(SAP_Speadsheet!$E$41:$BL$41))</f>
        <v>#REF!</v>
      </c>
      <c r="U50" s="367" t="e" cm="1">
        <f t="array" aca="1" ref="U50" ca="1">SUMPRODUCT(U$55:U$114,TRANSPOSE(SAP_Speadsheet!$E$41:$BL$41))</f>
        <v>#REF!</v>
      </c>
      <c r="V50" s="367" t="e" cm="1">
        <f t="array" aca="1" ref="V50" ca="1">SUMPRODUCT(V$55:V$114,TRANSPOSE(SAP_Speadsheet!$E$41:$BL$41))</f>
        <v>#REF!</v>
      </c>
      <c r="W50" s="367" t="e" cm="1">
        <f t="array" aca="1" ref="W50" ca="1">SUMPRODUCT(W$55:W$114,TRANSPOSE(SAP_Speadsheet!$E$41:$BL$41))</f>
        <v>#REF!</v>
      </c>
      <c r="X50" s="367" t="e" cm="1">
        <f t="array" aca="1" ref="X50" ca="1">SUMPRODUCT(X$55:X$114,TRANSPOSE(SAP_Speadsheet!$E$41:$BL$41))</f>
        <v>#REF!</v>
      </c>
      <c r="Y50" s="367" t="e" cm="1">
        <f t="array" aca="1" ref="Y50" ca="1">SUMPRODUCT(Y$55:Y$114,TRANSPOSE(SAP_Speadsheet!$E$41:$BL$41))</f>
        <v>#REF!</v>
      </c>
      <c r="Z50" s="367" t="e" cm="1">
        <f t="array" aca="1" ref="Z50" ca="1">SUMPRODUCT(Z$55:Z$114,TRANSPOSE(SAP_Speadsheet!$E$41:$BL$41))</f>
        <v>#REF!</v>
      </c>
      <c r="AA50" s="367" t="e" cm="1">
        <f t="array" aca="1" ref="AA50" ca="1">SUMPRODUCT(AA$55:AA$114,TRANSPOSE(SAP_Speadsheet!$E$41:$BL$41))</f>
        <v>#REF!</v>
      </c>
      <c r="AB50" s="367" t="e" cm="1">
        <f t="array" aca="1" ref="AB50" ca="1">SUMPRODUCT(AB$55:AB$114,TRANSPOSE(SAP_Speadsheet!$E$41:$BL$41))</f>
        <v>#REF!</v>
      </c>
      <c r="AC50" s="367" t="e" cm="1">
        <f t="array" aca="1" ref="AC50" ca="1">SUMPRODUCT(AC$55:AC$114,TRANSPOSE(SAP_Speadsheet!$E$41:$BL$41))</f>
        <v>#REF!</v>
      </c>
      <c r="AD50" s="367" t="e" cm="1">
        <f t="array" aca="1" ref="AD50" ca="1">SUMPRODUCT(AD$55:AD$114,TRANSPOSE(SAP_Speadsheet!$E$41:$BL$41))</f>
        <v>#REF!</v>
      </c>
      <c r="AE50" s="367" t="e" cm="1">
        <f t="array" aca="1" ref="AE50" ca="1">SUMPRODUCT(AE$55:AE$114,TRANSPOSE(SAP_Speadsheet!$E$41:$BL$41))</f>
        <v>#REF!</v>
      </c>
      <c r="AF50" s="367" t="e" cm="1">
        <f t="array" aca="1" ref="AF50" ca="1">SUMPRODUCT(AF$55:AF$114,TRANSPOSE(SAP_Speadsheet!$E$41:$BL$41))</f>
        <v>#REF!</v>
      </c>
      <c r="AG50" s="367" t="e" cm="1">
        <f t="array" aca="1" ref="AG50" ca="1">SUMPRODUCT(AG$55:AG$114,TRANSPOSE(SAP_Speadsheet!$E$41:$BL$41))</f>
        <v>#REF!</v>
      </c>
      <c r="AH50" s="367" t="e" cm="1">
        <f t="array" aca="1" ref="AH50" ca="1">SUMPRODUCT(AH$55:AH$114,TRANSPOSE(SAP_Speadsheet!$E$41:$BL$41))</f>
        <v>#REF!</v>
      </c>
      <c r="AI50" s="367" t="e" cm="1">
        <f t="array" aca="1" ref="AI50" ca="1">SUMPRODUCT(AI$55:AI$114,TRANSPOSE(SAP_Speadsheet!$E$41:$BL$41))</f>
        <v>#REF!</v>
      </c>
      <c r="AJ50" s="367" t="e" cm="1">
        <f t="array" aca="1" ref="AJ50" ca="1">SUMPRODUCT(AJ$55:AJ$114,TRANSPOSE(SAP_Speadsheet!$E$41:$BL$41))</f>
        <v>#REF!</v>
      </c>
      <c r="AK50" s="367" t="e" cm="1">
        <f t="array" aca="1" ref="AK50" ca="1">SUMPRODUCT(AK$55:AK$114,TRANSPOSE(SAP_Speadsheet!$E$41:$BL$41))</f>
        <v>#REF!</v>
      </c>
      <c r="AL50" s="367" t="e" cm="1">
        <f t="array" aca="1" ref="AL50" ca="1">SUMPRODUCT(AL$55:AL$114,TRANSPOSE(SAP_Speadsheet!$E$41:$BL$41))</f>
        <v>#REF!</v>
      </c>
      <c r="AM50" s="367" t="e" cm="1">
        <f t="array" aca="1" ref="AM50" ca="1">SUMPRODUCT(AM$55:AM$114,TRANSPOSE(SAP_Speadsheet!$E$41:$BL$41))</f>
        <v>#REF!</v>
      </c>
      <c r="AN50" s="367" t="e" cm="1">
        <f t="array" aca="1" ref="AN50" ca="1">SUMPRODUCT(AN$55:AN$114,TRANSPOSE(SAP_Speadsheet!$E$41:$BL$41))</f>
        <v>#REF!</v>
      </c>
      <c r="AO50" s="367" t="e" cm="1">
        <f t="array" aca="1" ref="AO50" ca="1">SUMPRODUCT(AO$55:AO$114,TRANSPOSE(SAP_Speadsheet!$E$41:$BL$41))</f>
        <v>#REF!</v>
      </c>
      <c r="AP50" s="367" t="e" cm="1">
        <f t="array" aca="1" ref="AP50" ca="1">SUMPRODUCT(AP$55:AP$114,TRANSPOSE(SAP_Speadsheet!$E$41:$BL$41))</f>
        <v>#REF!</v>
      </c>
      <c r="AQ50" s="367" t="e" cm="1">
        <f t="array" aca="1" ref="AQ50" ca="1">SUMPRODUCT(AQ$55:AQ$114,TRANSPOSE(SAP_Speadsheet!$E$41:$BL$41))</f>
        <v>#REF!</v>
      </c>
      <c r="AR50" s="367" t="e" cm="1">
        <f t="array" aca="1" ref="AR50" ca="1">SUMPRODUCT(AR$55:AR$114,TRANSPOSE(SAP_Speadsheet!$E$41:$BL$41))</f>
        <v>#REF!</v>
      </c>
      <c r="AS50" s="367" t="e" cm="1">
        <f t="array" aca="1" ref="AS50" ca="1">SUMPRODUCT(AS$55:AS$114,TRANSPOSE(SAP_Speadsheet!$E$41:$BL$41))</f>
        <v>#REF!</v>
      </c>
      <c r="AT50" s="367" t="e" cm="1">
        <f t="array" aca="1" ref="AT50" ca="1">SUMPRODUCT(AT$55:AT$114,TRANSPOSE(SAP_Speadsheet!$E$41:$BL$41))</f>
        <v>#REF!</v>
      </c>
      <c r="AU50" s="367" t="e" cm="1">
        <f t="array" aca="1" ref="AU50" ca="1">SUMPRODUCT(AU$55:AU$114,TRANSPOSE(SAP_Speadsheet!$E$41:$BL$41))</f>
        <v>#REF!</v>
      </c>
      <c r="AV50" s="367" t="e" cm="1">
        <f t="array" aca="1" ref="AV50" ca="1">SUMPRODUCT(AV$55:AV$114,TRANSPOSE(SAP_Speadsheet!$E$41:$BL$41))</f>
        <v>#REF!</v>
      </c>
      <c r="AW50" s="367" t="e" cm="1">
        <f t="array" aca="1" ref="AW50" ca="1">SUMPRODUCT(AW$55:AW$114,TRANSPOSE(SAP_Speadsheet!$E$41:$BL$41))</f>
        <v>#REF!</v>
      </c>
      <c r="AX50" s="367" t="e" cm="1">
        <f t="array" aca="1" ref="AX50" ca="1">SUMPRODUCT(AX$55:AX$114,TRANSPOSE(SAP_Speadsheet!$E$41:$BL$41))</f>
        <v>#REF!</v>
      </c>
      <c r="AY50" s="367" t="e" cm="1">
        <f t="array" aca="1" ref="AY50" ca="1">SUMPRODUCT(AY$55:AY$114,TRANSPOSE(SAP_Speadsheet!$E$41:$BL$41))</f>
        <v>#REF!</v>
      </c>
      <c r="AZ50" s="367" t="e" cm="1">
        <f t="array" aca="1" ref="AZ50" ca="1">SUMPRODUCT(AZ$55:AZ$114,TRANSPOSE(SAP_Speadsheet!$E$41:$BL$41))</f>
        <v>#REF!</v>
      </c>
      <c r="BA50" s="367" t="e" cm="1">
        <f t="array" aca="1" ref="BA50" ca="1">SUMPRODUCT(BA$55:BA$114,TRANSPOSE(SAP_Speadsheet!$E$41:$BL$41))</f>
        <v>#REF!</v>
      </c>
      <c r="BB50" s="367" t="e" cm="1">
        <f t="array" aca="1" ref="BB50" ca="1">SUMPRODUCT(BB$55:BB$114,TRANSPOSE(SAP_Speadsheet!$E$41:$BL$41))</f>
        <v>#REF!</v>
      </c>
      <c r="BC50" s="367" t="e" cm="1">
        <f t="array" aca="1" ref="BC50" ca="1">SUMPRODUCT(BC$55:BC$114,TRANSPOSE(SAP_Speadsheet!$E$41:$BL$41))</f>
        <v>#REF!</v>
      </c>
      <c r="BD50" s="367" t="e" cm="1">
        <f t="array" aca="1" ref="BD50" ca="1">SUMPRODUCT(BD$55:BD$114,TRANSPOSE(SAP_Speadsheet!$E$41:$BL$41))</f>
        <v>#REF!</v>
      </c>
      <c r="BE50" s="367" t="e" cm="1">
        <f t="array" aca="1" ref="BE50" ca="1">SUMPRODUCT(BE$55:BE$114,TRANSPOSE(SAP_Speadsheet!$E$41:$BL$41))</f>
        <v>#REF!</v>
      </c>
      <c r="BF50" s="367" t="e" cm="1">
        <f t="array" aca="1" ref="BF50" ca="1">SUMPRODUCT(BF$55:BF$114,TRANSPOSE(SAP_Speadsheet!$E$41:$BL$41))</f>
        <v>#REF!</v>
      </c>
      <c r="BG50" s="367" t="e" cm="1">
        <f t="array" aca="1" ref="BG50" ca="1">SUMPRODUCT(BG$55:BG$114,TRANSPOSE(SAP_Speadsheet!$E$41:$BL$41))</f>
        <v>#REF!</v>
      </c>
      <c r="BH50" s="367" t="e" cm="1">
        <f t="array" aca="1" ref="BH50" ca="1">SUMPRODUCT(BH$55:BH$114,TRANSPOSE(SAP_Speadsheet!$E$41:$BL$41))</f>
        <v>#REF!</v>
      </c>
      <c r="BI50" s="367" t="e" cm="1">
        <f t="array" aca="1" ref="BI50" ca="1">SUMPRODUCT(BI$55:BI$114,TRANSPOSE(SAP_Speadsheet!$E$41:$BL$41))</f>
        <v>#REF!</v>
      </c>
    </row>
    <row r="51" spans="1:62" s="374" customFormat="1" x14ac:dyDescent="0.15">
      <c r="A51" s="369" t="s">
        <v>433</v>
      </c>
      <c r="B51" s="373">
        <f t="shared" ref="B51:BI51" ca="1" si="6">SUM(B36:B50)-B7</f>
        <v>0</v>
      </c>
      <c r="C51" s="373">
        <f t="shared" ca="1" si="6"/>
        <v>0</v>
      </c>
      <c r="D51" s="373">
        <f t="shared" ca="1" si="6"/>
        <v>0</v>
      </c>
      <c r="E51" s="373">
        <f t="shared" ca="1" si="6"/>
        <v>0</v>
      </c>
      <c r="F51" s="373">
        <f t="shared" ca="1" si="6"/>
        <v>0</v>
      </c>
      <c r="G51" s="373">
        <f t="shared" ca="1" si="6"/>
        <v>0</v>
      </c>
      <c r="H51" s="373" t="e">
        <f t="shared" ca="1" si="6"/>
        <v>#REF!</v>
      </c>
      <c r="I51" s="373" t="e">
        <f t="shared" ca="1" si="6"/>
        <v>#REF!</v>
      </c>
      <c r="J51" s="373" t="e">
        <f t="shared" ca="1" si="6"/>
        <v>#REF!</v>
      </c>
      <c r="K51" s="373" t="e">
        <f t="shared" ca="1" si="6"/>
        <v>#REF!</v>
      </c>
      <c r="L51" s="373" t="e">
        <f t="shared" ca="1" si="6"/>
        <v>#REF!</v>
      </c>
      <c r="M51" s="373" t="e">
        <f t="shared" ca="1" si="6"/>
        <v>#REF!</v>
      </c>
      <c r="N51" s="373" t="e">
        <f t="shared" ca="1" si="6"/>
        <v>#REF!</v>
      </c>
      <c r="O51" s="373" t="e">
        <f t="shared" ca="1" si="6"/>
        <v>#REF!</v>
      </c>
      <c r="P51" s="373" t="e">
        <f t="shared" ca="1" si="6"/>
        <v>#REF!</v>
      </c>
      <c r="Q51" s="373" t="e">
        <f t="shared" ca="1" si="6"/>
        <v>#REF!</v>
      </c>
      <c r="R51" s="373" t="e">
        <f t="shared" ca="1" si="6"/>
        <v>#REF!</v>
      </c>
      <c r="S51" s="373" t="e">
        <f t="shared" ca="1" si="6"/>
        <v>#REF!</v>
      </c>
      <c r="T51" s="373" t="e">
        <f t="shared" ca="1" si="6"/>
        <v>#REF!</v>
      </c>
      <c r="U51" s="373" t="e">
        <f t="shared" ca="1" si="6"/>
        <v>#REF!</v>
      </c>
      <c r="V51" s="373" t="e">
        <f t="shared" ca="1" si="6"/>
        <v>#REF!</v>
      </c>
      <c r="W51" s="373" t="e">
        <f t="shared" ca="1" si="6"/>
        <v>#REF!</v>
      </c>
      <c r="X51" s="373" t="e">
        <f t="shared" ca="1" si="6"/>
        <v>#REF!</v>
      </c>
      <c r="Y51" s="373" t="e">
        <f t="shared" ca="1" si="6"/>
        <v>#REF!</v>
      </c>
      <c r="Z51" s="373" t="e">
        <f t="shared" ca="1" si="6"/>
        <v>#REF!</v>
      </c>
      <c r="AA51" s="373" t="e">
        <f t="shared" ca="1" si="6"/>
        <v>#REF!</v>
      </c>
      <c r="AB51" s="373" t="e">
        <f t="shared" ca="1" si="6"/>
        <v>#REF!</v>
      </c>
      <c r="AC51" s="373" t="e">
        <f t="shared" ca="1" si="6"/>
        <v>#REF!</v>
      </c>
      <c r="AD51" s="373" t="e">
        <f t="shared" ca="1" si="6"/>
        <v>#REF!</v>
      </c>
      <c r="AE51" s="373" t="e">
        <f t="shared" ca="1" si="6"/>
        <v>#REF!</v>
      </c>
      <c r="AF51" s="373" t="e">
        <f t="shared" ca="1" si="6"/>
        <v>#REF!</v>
      </c>
      <c r="AG51" s="373" t="e">
        <f t="shared" ca="1" si="6"/>
        <v>#REF!</v>
      </c>
      <c r="AH51" s="373" t="e">
        <f t="shared" ca="1" si="6"/>
        <v>#REF!</v>
      </c>
      <c r="AI51" s="373" t="e">
        <f t="shared" ca="1" si="6"/>
        <v>#REF!</v>
      </c>
      <c r="AJ51" s="373" t="e">
        <f t="shared" ca="1" si="6"/>
        <v>#REF!</v>
      </c>
      <c r="AK51" s="373" t="e">
        <f t="shared" ca="1" si="6"/>
        <v>#REF!</v>
      </c>
      <c r="AL51" s="373" t="e">
        <f t="shared" ca="1" si="6"/>
        <v>#REF!</v>
      </c>
      <c r="AM51" s="373" t="e">
        <f t="shared" ca="1" si="6"/>
        <v>#REF!</v>
      </c>
      <c r="AN51" s="373" t="e">
        <f t="shared" ca="1" si="6"/>
        <v>#REF!</v>
      </c>
      <c r="AO51" s="373" t="e">
        <f t="shared" ca="1" si="6"/>
        <v>#REF!</v>
      </c>
      <c r="AP51" s="373" t="e">
        <f t="shared" ca="1" si="6"/>
        <v>#REF!</v>
      </c>
      <c r="AQ51" s="373" t="e">
        <f t="shared" ca="1" si="6"/>
        <v>#REF!</v>
      </c>
      <c r="AR51" s="373" t="e">
        <f t="shared" ca="1" si="6"/>
        <v>#REF!</v>
      </c>
      <c r="AS51" s="373" t="e">
        <f t="shared" ca="1" si="6"/>
        <v>#REF!</v>
      </c>
      <c r="AT51" s="373" t="e">
        <f t="shared" ca="1" si="6"/>
        <v>#REF!</v>
      </c>
      <c r="AU51" s="373" t="e">
        <f t="shared" ca="1" si="6"/>
        <v>#REF!</v>
      </c>
      <c r="AV51" s="373" t="e">
        <f t="shared" ca="1" si="6"/>
        <v>#REF!</v>
      </c>
      <c r="AW51" s="373" t="e">
        <f t="shared" ca="1" si="6"/>
        <v>#REF!</v>
      </c>
      <c r="AX51" s="373" t="e">
        <f t="shared" ca="1" si="6"/>
        <v>#REF!</v>
      </c>
      <c r="AY51" s="373" t="e">
        <f t="shared" ca="1" si="6"/>
        <v>#REF!</v>
      </c>
      <c r="AZ51" s="373" t="e">
        <f t="shared" ca="1" si="6"/>
        <v>#REF!</v>
      </c>
      <c r="BA51" s="373" t="e">
        <f t="shared" ca="1" si="6"/>
        <v>#REF!</v>
      </c>
      <c r="BB51" s="373" t="e">
        <f t="shared" ca="1" si="6"/>
        <v>#REF!</v>
      </c>
      <c r="BC51" s="373" t="e">
        <f t="shared" ca="1" si="6"/>
        <v>#REF!</v>
      </c>
      <c r="BD51" s="373" t="e">
        <f t="shared" ca="1" si="6"/>
        <v>#REF!</v>
      </c>
      <c r="BE51" s="373" t="e">
        <f t="shared" ca="1" si="6"/>
        <v>#REF!</v>
      </c>
      <c r="BF51" s="373" t="e">
        <f t="shared" ca="1" si="6"/>
        <v>#REF!</v>
      </c>
      <c r="BG51" s="373" t="e">
        <f t="shared" ca="1" si="6"/>
        <v>#REF!</v>
      </c>
      <c r="BH51" s="373" t="e">
        <f t="shared" ca="1" si="6"/>
        <v>#REF!</v>
      </c>
      <c r="BI51" s="373" t="e">
        <f t="shared" ca="1" si="6"/>
        <v>#REF!</v>
      </c>
    </row>
    <row r="52" spans="1:62" x14ac:dyDescent="0.15">
      <c r="A52" s="369"/>
      <c r="B52" s="373"/>
      <c r="C52" s="373"/>
      <c r="D52" s="373"/>
      <c r="E52" s="373"/>
      <c r="F52" s="373"/>
      <c r="G52" s="373"/>
      <c r="H52" s="373"/>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c r="BB52" s="373"/>
      <c r="BC52" s="373"/>
      <c r="BD52" s="373"/>
      <c r="BE52" s="373"/>
      <c r="BF52" s="373"/>
      <c r="BG52" s="373"/>
      <c r="BH52" s="373"/>
      <c r="BI52" s="373"/>
    </row>
    <row r="53" spans="1:62" s="374" customFormat="1" x14ac:dyDescent="0.15">
      <c r="A53" s="369"/>
    </row>
    <row r="54" spans="1:62" s="355" customFormat="1" outlineLevel="1" x14ac:dyDescent="0.15">
      <c r="A54" s="375" t="s">
        <v>467</v>
      </c>
      <c r="B54" s="376">
        <f>ROUND('Saleplan&amp;PnL'!D6*1000/Leadsheet!$E$10,0)</f>
        <v>0</v>
      </c>
      <c r="C54" s="376">
        <f>ROUND('Saleplan&amp;PnL'!E6*1000/Leadsheet!$E$10,0)</f>
        <v>0</v>
      </c>
      <c r="D54" s="376">
        <f>ROUND('Saleplan&amp;PnL'!F6*1000/Leadsheet!$E$10,0)</f>
        <v>0</v>
      </c>
      <c r="E54" s="376">
        <f>ROUND('Saleplan&amp;PnL'!G6*1000/Leadsheet!$E$10,0)</f>
        <v>0</v>
      </c>
      <c r="F54" s="376">
        <f>ROUND('Saleplan&amp;PnL'!H6*1000/Leadsheet!$E$10,0)</f>
        <v>0</v>
      </c>
      <c r="G54" s="376">
        <f>ROUND('Saleplan&amp;PnL'!I6*1000/Leadsheet!$E$10,0)</f>
        <v>0</v>
      </c>
      <c r="H54" s="376" t="e">
        <f>ROUND('Saleplan&amp;PnL'!J6*1000/Leadsheet!$E$10,0)</f>
        <v>#REF!</v>
      </c>
      <c r="I54" s="376" t="e">
        <f>ROUND('Saleplan&amp;PnL'!K6*1000/Leadsheet!$E$10,0)</f>
        <v>#REF!</v>
      </c>
      <c r="J54" s="376" t="e">
        <f>ROUND('Saleplan&amp;PnL'!L6*1000/Leadsheet!$E$10,0)</f>
        <v>#REF!</v>
      </c>
      <c r="K54" s="376">
        <f>ROUND('Saleplan&amp;PnL'!M6*1000/Leadsheet!$E$10,0)</f>
        <v>0</v>
      </c>
      <c r="L54" s="376">
        <f>ROUND('Saleplan&amp;PnL'!N6*1000/Leadsheet!$E$10,0)</f>
        <v>0</v>
      </c>
      <c r="M54" s="376">
        <f>ROUND('Saleplan&amp;PnL'!O6*1000/Leadsheet!$E$10,0)</f>
        <v>0</v>
      </c>
      <c r="N54" s="376">
        <f>ROUND('Saleplan&amp;PnL'!P6*1000/Leadsheet!$E$10,0)</f>
        <v>0</v>
      </c>
      <c r="O54" s="376">
        <f>ROUND('Saleplan&amp;PnL'!Q6*1000/Leadsheet!$E$10,0)</f>
        <v>0</v>
      </c>
      <c r="P54" s="376">
        <f>ROUND('Saleplan&amp;PnL'!R6*1000/Leadsheet!$E$10,0)</f>
        <v>0</v>
      </c>
      <c r="Q54" s="376">
        <f>ROUND('Saleplan&amp;PnL'!S6*1000/Leadsheet!$E$10,0)</f>
        <v>0</v>
      </c>
      <c r="R54" s="376">
        <f>ROUND('Saleplan&amp;PnL'!T6*1000/Leadsheet!$E$10,0)</f>
        <v>0</v>
      </c>
      <c r="S54" s="376">
        <f>ROUND('Saleplan&amp;PnL'!U6*1000/Leadsheet!$E$10,0)</f>
        <v>0</v>
      </c>
      <c r="T54" s="376">
        <f>ROUND('Saleplan&amp;PnL'!V6*1000/Leadsheet!$E$10,0)</f>
        <v>0</v>
      </c>
      <c r="U54" s="376">
        <f>ROUND('Saleplan&amp;PnL'!W6*1000/Leadsheet!$E$10,0)</f>
        <v>0</v>
      </c>
      <c r="V54" s="376">
        <f>ROUND('Saleplan&amp;PnL'!X6*1000/Leadsheet!$E$10,0)</f>
        <v>0</v>
      </c>
      <c r="W54" s="376">
        <f>ROUND('Saleplan&amp;PnL'!Y6*1000/Leadsheet!$E$10,0)</f>
        <v>0</v>
      </c>
      <c r="X54" s="376">
        <f>ROUND('Saleplan&amp;PnL'!Z6*1000/Leadsheet!$E$10,0)</f>
        <v>0</v>
      </c>
      <c r="Y54" s="376">
        <f>ROUND('Saleplan&amp;PnL'!AA6*1000/Leadsheet!$E$10,0)</f>
        <v>0</v>
      </c>
      <c r="Z54" s="376">
        <f>ROUND('Saleplan&amp;PnL'!AB6*1000/Leadsheet!$E$10,0)</f>
        <v>0</v>
      </c>
      <c r="AA54" s="376">
        <f>ROUND('Saleplan&amp;PnL'!AC6*1000/Leadsheet!$E$10,0)</f>
        <v>0</v>
      </c>
      <c r="AB54" s="376">
        <f>ROUND('Saleplan&amp;PnL'!AD6*1000/Leadsheet!$E$10,0)</f>
        <v>0</v>
      </c>
      <c r="AC54" s="376">
        <f>ROUND('Saleplan&amp;PnL'!AE6*1000/Leadsheet!$E$10,0)</f>
        <v>0</v>
      </c>
      <c r="AD54" s="376">
        <f>ROUND('Saleplan&amp;PnL'!AF6*1000/Leadsheet!$E$10,0)</f>
        <v>0</v>
      </c>
      <c r="AE54" s="376">
        <f>ROUND('Saleplan&amp;PnL'!AG6*1000/Leadsheet!$E$10,0)</f>
        <v>0</v>
      </c>
      <c r="AF54" s="376">
        <f>ROUND('Saleplan&amp;PnL'!AH6*1000/Leadsheet!$E$10,0)</f>
        <v>0</v>
      </c>
      <c r="AG54" s="376">
        <f>ROUND('Saleplan&amp;PnL'!AI6*1000/Leadsheet!$E$10,0)</f>
        <v>0</v>
      </c>
      <c r="AH54" s="376">
        <f>ROUND('Saleplan&amp;PnL'!AJ6*1000/Leadsheet!$E$10,0)</f>
        <v>0</v>
      </c>
      <c r="AI54" s="376">
        <f>ROUND('Saleplan&amp;PnL'!AK6*1000/Leadsheet!$E$10,0)</f>
        <v>0</v>
      </c>
      <c r="AJ54" s="376">
        <f>ROUND('Saleplan&amp;PnL'!AL6*1000/Leadsheet!$E$10,0)</f>
        <v>0</v>
      </c>
      <c r="AK54" s="376">
        <f>ROUND('Saleplan&amp;PnL'!AM6*1000/Leadsheet!$E$10,0)</f>
        <v>0</v>
      </c>
      <c r="AL54" s="376">
        <f>ROUND('Saleplan&amp;PnL'!AN6*1000/Leadsheet!$E$10,0)</f>
        <v>0</v>
      </c>
      <c r="AM54" s="376">
        <f>ROUND('Saleplan&amp;PnL'!AO6*1000/Leadsheet!$E$10,0)</f>
        <v>0</v>
      </c>
      <c r="AN54" s="376">
        <f>ROUND('Saleplan&amp;PnL'!AP6*1000/Leadsheet!$E$10,0)</f>
        <v>0</v>
      </c>
      <c r="AO54" s="376">
        <f>ROUND('Saleplan&amp;PnL'!AQ6*1000/Leadsheet!$E$10,0)</f>
        <v>0</v>
      </c>
      <c r="AP54" s="376">
        <f>ROUND('Saleplan&amp;PnL'!AR6*1000/Leadsheet!$E$10,0)</f>
        <v>0</v>
      </c>
      <c r="AQ54" s="376">
        <f>ROUND('Saleplan&amp;PnL'!AS6*1000/Leadsheet!$E$10,0)</f>
        <v>0</v>
      </c>
      <c r="AR54" s="376">
        <f>ROUND('Saleplan&amp;PnL'!AT6*1000/Leadsheet!$E$10,0)</f>
        <v>0</v>
      </c>
      <c r="AS54" s="376">
        <f>ROUND('Saleplan&amp;PnL'!AU6*1000/Leadsheet!$E$10,0)</f>
        <v>0</v>
      </c>
      <c r="AT54" s="376">
        <f>ROUND('Saleplan&amp;PnL'!AV6*1000/Leadsheet!$E$10,0)</f>
        <v>0</v>
      </c>
      <c r="AU54" s="376">
        <f>ROUND('Saleplan&amp;PnL'!AW6*1000/Leadsheet!$E$10,0)</f>
        <v>0</v>
      </c>
      <c r="AV54" s="376">
        <f>ROUND('Saleplan&amp;PnL'!AX6*1000/Leadsheet!$E$10,0)</f>
        <v>0</v>
      </c>
      <c r="AW54" s="376">
        <f>ROUND('Saleplan&amp;PnL'!AY6*1000/Leadsheet!$E$10,0)</f>
        <v>0</v>
      </c>
      <c r="AX54" s="376">
        <f>ROUND('Saleplan&amp;PnL'!AZ6*1000/Leadsheet!$E$10,0)</f>
        <v>0</v>
      </c>
      <c r="AY54" s="376">
        <f>ROUND('Saleplan&amp;PnL'!BA6*1000/Leadsheet!$E$10,0)</f>
        <v>0</v>
      </c>
      <c r="AZ54" s="376">
        <f>ROUND('Saleplan&amp;PnL'!BB6*1000/Leadsheet!$E$10,0)</f>
        <v>0</v>
      </c>
      <c r="BA54" s="376">
        <f>ROUND('Saleplan&amp;PnL'!BC6*1000/Leadsheet!$E$10,0)</f>
        <v>0</v>
      </c>
      <c r="BB54" s="376">
        <f>ROUND('Saleplan&amp;PnL'!BD6*1000/Leadsheet!$E$10,0)</f>
        <v>0</v>
      </c>
      <c r="BC54" s="376">
        <f>ROUND('Saleplan&amp;PnL'!BE6*1000/Leadsheet!$E$10,0)</f>
        <v>0</v>
      </c>
      <c r="BD54" s="376">
        <f>ROUND('Saleplan&amp;PnL'!BF6*1000/Leadsheet!$E$10,0)</f>
        <v>0</v>
      </c>
      <c r="BE54" s="376">
        <f>ROUND('Saleplan&amp;PnL'!BG6*1000/Leadsheet!$E$10,0)</f>
        <v>0</v>
      </c>
      <c r="BF54" s="376">
        <f>ROUND('Saleplan&amp;PnL'!BH6*1000/Leadsheet!$E$10,0)</f>
        <v>0</v>
      </c>
      <c r="BG54" s="376">
        <f>ROUND('Saleplan&amp;PnL'!BI6*1000/Leadsheet!$E$10,0)</f>
        <v>0</v>
      </c>
      <c r="BH54" s="376">
        <f>ROUND('Saleplan&amp;PnL'!BJ6*1000/Leadsheet!$E$10,0)</f>
        <v>0</v>
      </c>
      <c r="BI54" s="376">
        <f>ROUND('Saleplan&amp;PnL'!BK6*1000/Leadsheet!$E$10,0)</f>
        <v>0</v>
      </c>
    </row>
    <row r="55" spans="1:62" outlineLevel="1" x14ac:dyDescent="0.15">
      <c r="A55" s="377">
        <v>1</v>
      </c>
      <c r="B55" s="367">
        <f t="shared" ref="B55:Q86" ca="1" si="7">IF($A55&gt;B$5,"",OFFSET(B$54,0,-($A55-1)))</f>
        <v>0</v>
      </c>
      <c r="C55" s="367">
        <f t="shared" ca="1" si="7"/>
        <v>0</v>
      </c>
      <c r="D55" s="367">
        <f t="shared" ca="1" si="7"/>
        <v>0</v>
      </c>
      <c r="E55" s="367">
        <f t="shared" ca="1" si="7"/>
        <v>0</v>
      </c>
      <c r="F55" s="367">
        <f t="shared" ca="1" si="7"/>
        <v>0</v>
      </c>
      <c r="G55" s="367">
        <f t="shared" ca="1" si="7"/>
        <v>0</v>
      </c>
      <c r="H55" s="367" t="e">
        <f t="shared" ca="1" si="7"/>
        <v>#REF!</v>
      </c>
      <c r="I55" s="367" t="e">
        <f t="shared" ca="1" si="7"/>
        <v>#REF!</v>
      </c>
      <c r="J55" s="367" t="e">
        <f t="shared" ca="1" si="7"/>
        <v>#REF!</v>
      </c>
      <c r="K55" s="367">
        <f t="shared" ca="1" si="7"/>
        <v>0</v>
      </c>
      <c r="L55" s="367">
        <f t="shared" ca="1" si="7"/>
        <v>0</v>
      </c>
      <c r="M55" s="367">
        <f t="shared" ca="1" si="7"/>
        <v>0</v>
      </c>
      <c r="N55" s="367">
        <f t="shared" ca="1" si="7"/>
        <v>0</v>
      </c>
      <c r="O55" s="367">
        <f t="shared" ca="1" si="7"/>
        <v>0</v>
      </c>
      <c r="P55" s="367">
        <f t="shared" ca="1" si="7"/>
        <v>0</v>
      </c>
      <c r="Q55" s="367">
        <f t="shared" ca="1" si="7"/>
        <v>0</v>
      </c>
      <c r="R55" s="367">
        <f t="shared" ref="R55:BX60" ca="1" si="8">IF($A55&gt;R$5,"",OFFSET(R$54,0,-($A55-1)))</f>
        <v>0</v>
      </c>
      <c r="S55" s="367">
        <f t="shared" ca="1" si="8"/>
        <v>0</v>
      </c>
      <c r="T55" s="367">
        <f t="shared" ca="1" si="8"/>
        <v>0</v>
      </c>
      <c r="U55" s="367">
        <f t="shared" ca="1" si="8"/>
        <v>0</v>
      </c>
      <c r="V55" s="367">
        <f t="shared" ca="1" si="8"/>
        <v>0</v>
      </c>
      <c r="W55" s="367">
        <f t="shared" ca="1" si="8"/>
        <v>0</v>
      </c>
      <c r="X55" s="367">
        <f t="shared" ca="1" si="8"/>
        <v>0</v>
      </c>
      <c r="Y55" s="367">
        <f t="shared" ca="1" si="8"/>
        <v>0</v>
      </c>
      <c r="Z55" s="367">
        <f t="shared" ca="1" si="8"/>
        <v>0</v>
      </c>
      <c r="AA55" s="367">
        <f t="shared" ca="1" si="8"/>
        <v>0</v>
      </c>
      <c r="AB55" s="367">
        <f t="shared" ca="1" si="8"/>
        <v>0</v>
      </c>
      <c r="AC55" s="367">
        <f t="shared" ca="1" si="8"/>
        <v>0</v>
      </c>
      <c r="AD55" s="367">
        <f t="shared" ca="1" si="8"/>
        <v>0</v>
      </c>
      <c r="AE55" s="367">
        <f t="shared" ca="1" si="8"/>
        <v>0</v>
      </c>
      <c r="AF55" s="367">
        <f t="shared" ca="1" si="8"/>
        <v>0</v>
      </c>
      <c r="AG55" s="367">
        <f t="shared" ca="1" si="8"/>
        <v>0</v>
      </c>
      <c r="AH55" s="367">
        <f t="shared" ca="1" si="8"/>
        <v>0</v>
      </c>
      <c r="AI55" s="367">
        <f t="shared" ca="1" si="8"/>
        <v>0</v>
      </c>
      <c r="AJ55" s="367">
        <f t="shared" ca="1" si="8"/>
        <v>0</v>
      </c>
      <c r="AK55" s="367">
        <f t="shared" ca="1" si="8"/>
        <v>0</v>
      </c>
      <c r="AL55" s="367">
        <f t="shared" ca="1" si="8"/>
        <v>0</v>
      </c>
      <c r="AM55" s="367">
        <f t="shared" ca="1" si="8"/>
        <v>0</v>
      </c>
      <c r="AN55" s="367">
        <f t="shared" ca="1" si="8"/>
        <v>0</v>
      </c>
      <c r="AO55" s="367">
        <f t="shared" ca="1" si="8"/>
        <v>0</v>
      </c>
      <c r="AP55" s="367">
        <f t="shared" ca="1" si="8"/>
        <v>0</v>
      </c>
      <c r="AQ55" s="367">
        <f t="shared" ca="1" si="8"/>
        <v>0</v>
      </c>
      <c r="AR55" s="367">
        <f t="shared" ca="1" si="8"/>
        <v>0</v>
      </c>
      <c r="AS55" s="367">
        <f t="shared" ca="1" si="8"/>
        <v>0</v>
      </c>
      <c r="AT55" s="367">
        <f t="shared" ca="1" si="8"/>
        <v>0</v>
      </c>
      <c r="AU55" s="367">
        <f t="shared" ca="1" si="8"/>
        <v>0</v>
      </c>
      <c r="AV55" s="367">
        <f t="shared" ca="1" si="8"/>
        <v>0</v>
      </c>
      <c r="AW55" s="367">
        <f t="shared" ca="1" si="8"/>
        <v>0</v>
      </c>
      <c r="AX55" s="367">
        <f t="shared" ca="1" si="8"/>
        <v>0</v>
      </c>
      <c r="AY55" s="367">
        <f t="shared" ca="1" si="8"/>
        <v>0</v>
      </c>
      <c r="AZ55" s="367">
        <f t="shared" ca="1" si="8"/>
        <v>0</v>
      </c>
      <c r="BA55" s="367">
        <f t="shared" ca="1" si="8"/>
        <v>0</v>
      </c>
      <c r="BB55" s="367">
        <f t="shared" ca="1" si="8"/>
        <v>0</v>
      </c>
      <c r="BC55" s="367">
        <f t="shared" ca="1" si="8"/>
        <v>0</v>
      </c>
      <c r="BD55" s="367">
        <f t="shared" ca="1" si="8"/>
        <v>0</v>
      </c>
      <c r="BE55" s="367">
        <f t="shared" ca="1" si="8"/>
        <v>0</v>
      </c>
      <c r="BF55" s="367">
        <f t="shared" ca="1" si="8"/>
        <v>0</v>
      </c>
      <c r="BG55" s="367">
        <f t="shared" ca="1" si="8"/>
        <v>0</v>
      </c>
      <c r="BH55" s="367">
        <f t="shared" ca="1" si="8"/>
        <v>0</v>
      </c>
      <c r="BI55" s="367">
        <f t="shared" ca="1" si="8"/>
        <v>0</v>
      </c>
      <c r="BJ55" s="367"/>
    </row>
    <row r="56" spans="1:62" outlineLevel="1" x14ac:dyDescent="0.15">
      <c r="A56" s="377">
        <v>2</v>
      </c>
      <c r="B56" s="367" t="str">
        <f t="shared" ca="1" si="7"/>
        <v/>
      </c>
      <c r="C56" s="367">
        <f t="shared" ca="1" si="7"/>
        <v>0</v>
      </c>
      <c r="D56" s="367">
        <f t="shared" ca="1" si="7"/>
        <v>0</v>
      </c>
      <c r="E56" s="367">
        <f t="shared" ca="1" si="7"/>
        <v>0</v>
      </c>
      <c r="F56" s="367">
        <f t="shared" ca="1" si="7"/>
        <v>0</v>
      </c>
      <c r="G56" s="367">
        <f t="shared" ca="1" si="7"/>
        <v>0</v>
      </c>
      <c r="H56" s="367">
        <f t="shared" ca="1" si="7"/>
        <v>0</v>
      </c>
      <c r="I56" s="367" t="e">
        <f t="shared" ca="1" si="7"/>
        <v>#REF!</v>
      </c>
      <c r="J56" s="367" t="e">
        <f t="shared" ca="1" si="7"/>
        <v>#REF!</v>
      </c>
      <c r="K56" s="367" t="e">
        <f t="shared" ca="1" si="7"/>
        <v>#REF!</v>
      </c>
      <c r="L56" s="367">
        <f t="shared" ca="1" si="7"/>
        <v>0</v>
      </c>
      <c r="M56" s="367">
        <f t="shared" ca="1" si="7"/>
        <v>0</v>
      </c>
      <c r="N56" s="367">
        <f t="shared" ca="1" si="7"/>
        <v>0</v>
      </c>
      <c r="O56" s="367">
        <f t="shared" ca="1" si="7"/>
        <v>0</v>
      </c>
      <c r="P56" s="367">
        <f t="shared" ca="1" si="7"/>
        <v>0</v>
      </c>
      <c r="Q56" s="367">
        <f t="shared" ca="1" si="7"/>
        <v>0</v>
      </c>
      <c r="R56" s="367">
        <f t="shared" ca="1" si="8"/>
        <v>0</v>
      </c>
      <c r="S56" s="367">
        <f t="shared" ca="1" si="8"/>
        <v>0</v>
      </c>
      <c r="T56" s="367">
        <f t="shared" ca="1" si="8"/>
        <v>0</v>
      </c>
      <c r="U56" s="367">
        <f t="shared" ca="1" si="8"/>
        <v>0</v>
      </c>
      <c r="V56" s="367">
        <f t="shared" ca="1" si="8"/>
        <v>0</v>
      </c>
      <c r="W56" s="367">
        <f t="shared" ca="1" si="8"/>
        <v>0</v>
      </c>
      <c r="X56" s="367">
        <f t="shared" ca="1" si="8"/>
        <v>0</v>
      </c>
      <c r="Y56" s="367">
        <f t="shared" ca="1" si="8"/>
        <v>0</v>
      </c>
      <c r="Z56" s="367">
        <f t="shared" ca="1" si="8"/>
        <v>0</v>
      </c>
      <c r="AA56" s="367">
        <f t="shared" ca="1" si="8"/>
        <v>0</v>
      </c>
      <c r="AB56" s="367">
        <f t="shared" ca="1" si="8"/>
        <v>0</v>
      </c>
      <c r="AC56" s="367">
        <f t="shared" ca="1" si="8"/>
        <v>0</v>
      </c>
      <c r="AD56" s="367">
        <f t="shared" ca="1" si="8"/>
        <v>0</v>
      </c>
      <c r="AE56" s="367">
        <f t="shared" ca="1" si="8"/>
        <v>0</v>
      </c>
      <c r="AF56" s="367">
        <f t="shared" ca="1" si="8"/>
        <v>0</v>
      </c>
      <c r="AG56" s="367">
        <f t="shared" ca="1" si="8"/>
        <v>0</v>
      </c>
      <c r="AH56" s="367">
        <f t="shared" ca="1" si="8"/>
        <v>0</v>
      </c>
      <c r="AI56" s="367">
        <f t="shared" ca="1" si="8"/>
        <v>0</v>
      </c>
      <c r="AJ56" s="367">
        <f t="shared" ca="1" si="8"/>
        <v>0</v>
      </c>
      <c r="AK56" s="367">
        <f t="shared" ca="1" si="8"/>
        <v>0</v>
      </c>
      <c r="AL56" s="367">
        <f t="shared" ca="1" si="8"/>
        <v>0</v>
      </c>
      <c r="AM56" s="367">
        <f t="shared" ca="1" si="8"/>
        <v>0</v>
      </c>
      <c r="AN56" s="367">
        <f t="shared" ca="1" si="8"/>
        <v>0</v>
      </c>
      <c r="AO56" s="367">
        <f t="shared" ca="1" si="8"/>
        <v>0</v>
      </c>
      <c r="AP56" s="367">
        <f t="shared" ca="1" si="8"/>
        <v>0</v>
      </c>
      <c r="AQ56" s="367">
        <f t="shared" ca="1" si="8"/>
        <v>0</v>
      </c>
      <c r="AR56" s="367">
        <f t="shared" ca="1" si="8"/>
        <v>0</v>
      </c>
      <c r="AS56" s="367">
        <f t="shared" ca="1" si="8"/>
        <v>0</v>
      </c>
      <c r="AT56" s="367">
        <f t="shared" ca="1" si="8"/>
        <v>0</v>
      </c>
      <c r="AU56" s="367">
        <f t="shared" ca="1" si="8"/>
        <v>0</v>
      </c>
      <c r="AV56" s="367">
        <f t="shared" ca="1" si="8"/>
        <v>0</v>
      </c>
      <c r="AW56" s="367">
        <f t="shared" ca="1" si="8"/>
        <v>0</v>
      </c>
      <c r="AX56" s="367">
        <f t="shared" ca="1" si="8"/>
        <v>0</v>
      </c>
      <c r="AY56" s="367">
        <f t="shared" ca="1" si="8"/>
        <v>0</v>
      </c>
      <c r="AZ56" s="367">
        <f t="shared" ca="1" si="8"/>
        <v>0</v>
      </c>
      <c r="BA56" s="367">
        <f t="shared" ca="1" si="8"/>
        <v>0</v>
      </c>
      <c r="BB56" s="367">
        <f t="shared" ca="1" si="8"/>
        <v>0</v>
      </c>
      <c r="BC56" s="367">
        <f t="shared" ca="1" si="8"/>
        <v>0</v>
      </c>
      <c r="BD56" s="367">
        <f t="shared" ca="1" si="8"/>
        <v>0</v>
      </c>
      <c r="BE56" s="367">
        <f t="shared" ca="1" si="8"/>
        <v>0</v>
      </c>
      <c r="BF56" s="367">
        <f t="shared" ca="1" si="8"/>
        <v>0</v>
      </c>
      <c r="BG56" s="367">
        <f t="shared" ca="1" si="8"/>
        <v>0</v>
      </c>
      <c r="BH56" s="367">
        <f t="shared" ca="1" si="8"/>
        <v>0</v>
      </c>
      <c r="BI56" s="367">
        <f t="shared" ca="1" si="8"/>
        <v>0</v>
      </c>
      <c r="BJ56" s="367"/>
    </row>
    <row r="57" spans="1:62" outlineLevel="1" x14ac:dyDescent="0.15">
      <c r="A57" s="377">
        <v>3</v>
      </c>
      <c r="B57" s="367" t="str">
        <f t="shared" ca="1" si="7"/>
        <v/>
      </c>
      <c r="C57" s="367" t="str">
        <f t="shared" ca="1" si="7"/>
        <v/>
      </c>
      <c r="D57" s="367">
        <f t="shared" ca="1" si="7"/>
        <v>0</v>
      </c>
      <c r="E57" s="367">
        <f t="shared" ca="1" si="7"/>
        <v>0</v>
      </c>
      <c r="F57" s="367">
        <f t="shared" ca="1" si="7"/>
        <v>0</v>
      </c>
      <c r="G57" s="367">
        <f t="shared" ca="1" si="7"/>
        <v>0</v>
      </c>
      <c r="H57" s="367">
        <f t="shared" ca="1" si="7"/>
        <v>0</v>
      </c>
      <c r="I57" s="367">
        <f t="shared" ca="1" si="7"/>
        <v>0</v>
      </c>
      <c r="J57" s="367" t="e">
        <f t="shared" ca="1" si="7"/>
        <v>#REF!</v>
      </c>
      <c r="K57" s="367" t="e">
        <f t="shared" ca="1" si="7"/>
        <v>#REF!</v>
      </c>
      <c r="L57" s="367" t="e">
        <f t="shared" ca="1" si="7"/>
        <v>#REF!</v>
      </c>
      <c r="M57" s="367">
        <f t="shared" ca="1" si="7"/>
        <v>0</v>
      </c>
      <c r="N57" s="367">
        <f t="shared" ca="1" si="7"/>
        <v>0</v>
      </c>
      <c r="O57" s="367">
        <f t="shared" ca="1" si="7"/>
        <v>0</v>
      </c>
      <c r="P57" s="367">
        <f t="shared" ca="1" si="7"/>
        <v>0</v>
      </c>
      <c r="Q57" s="367">
        <f t="shared" ca="1" si="7"/>
        <v>0</v>
      </c>
      <c r="R57" s="367">
        <f t="shared" ca="1" si="8"/>
        <v>0</v>
      </c>
      <c r="S57" s="367">
        <f t="shared" ca="1" si="8"/>
        <v>0</v>
      </c>
      <c r="T57" s="367">
        <f t="shared" ca="1" si="8"/>
        <v>0</v>
      </c>
      <c r="U57" s="367">
        <f t="shared" ca="1" si="8"/>
        <v>0</v>
      </c>
      <c r="V57" s="367">
        <f t="shared" ca="1" si="8"/>
        <v>0</v>
      </c>
      <c r="W57" s="367">
        <f t="shared" ca="1" si="8"/>
        <v>0</v>
      </c>
      <c r="X57" s="367">
        <f t="shared" ca="1" si="8"/>
        <v>0</v>
      </c>
      <c r="Y57" s="367">
        <f t="shared" ca="1" si="8"/>
        <v>0</v>
      </c>
      <c r="Z57" s="367">
        <f t="shared" ca="1" si="8"/>
        <v>0</v>
      </c>
      <c r="AA57" s="367">
        <f t="shared" ca="1" si="8"/>
        <v>0</v>
      </c>
      <c r="AB57" s="367">
        <f t="shared" ca="1" si="8"/>
        <v>0</v>
      </c>
      <c r="AC57" s="367">
        <f t="shared" ca="1" si="8"/>
        <v>0</v>
      </c>
      <c r="AD57" s="367">
        <f t="shared" ca="1" si="8"/>
        <v>0</v>
      </c>
      <c r="AE57" s="367">
        <f t="shared" ca="1" si="8"/>
        <v>0</v>
      </c>
      <c r="AF57" s="367">
        <f t="shared" ca="1" si="8"/>
        <v>0</v>
      </c>
      <c r="AG57" s="367">
        <f t="shared" ca="1" si="8"/>
        <v>0</v>
      </c>
      <c r="AH57" s="367">
        <f t="shared" ca="1" si="8"/>
        <v>0</v>
      </c>
      <c r="AI57" s="367">
        <f t="shared" ca="1" si="8"/>
        <v>0</v>
      </c>
      <c r="AJ57" s="367">
        <f t="shared" ca="1" si="8"/>
        <v>0</v>
      </c>
      <c r="AK57" s="367">
        <f t="shared" ca="1" si="8"/>
        <v>0</v>
      </c>
      <c r="AL57" s="367">
        <f t="shared" ca="1" si="8"/>
        <v>0</v>
      </c>
      <c r="AM57" s="367">
        <f t="shared" ca="1" si="8"/>
        <v>0</v>
      </c>
      <c r="AN57" s="367">
        <f t="shared" ca="1" si="8"/>
        <v>0</v>
      </c>
      <c r="AO57" s="367">
        <f t="shared" ca="1" si="8"/>
        <v>0</v>
      </c>
      <c r="AP57" s="367">
        <f t="shared" ca="1" si="8"/>
        <v>0</v>
      </c>
      <c r="AQ57" s="367">
        <f t="shared" ca="1" si="8"/>
        <v>0</v>
      </c>
      <c r="AR57" s="367">
        <f t="shared" ca="1" si="8"/>
        <v>0</v>
      </c>
      <c r="AS57" s="367">
        <f t="shared" ca="1" si="8"/>
        <v>0</v>
      </c>
      <c r="AT57" s="367">
        <f t="shared" ca="1" si="8"/>
        <v>0</v>
      </c>
      <c r="AU57" s="367">
        <f t="shared" ca="1" si="8"/>
        <v>0</v>
      </c>
      <c r="AV57" s="367">
        <f t="shared" ca="1" si="8"/>
        <v>0</v>
      </c>
      <c r="AW57" s="367">
        <f t="shared" ca="1" si="8"/>
        <v>0</v>
      </c>
      <c r="AX57" s="367">
        <f t="shared" ca="1" si="8"/>
        <v>0</v>
      </c>
      <c r="AY57" s="367">
        <f t="shared" ca="1" si="8"/>
        <v>0</v>
      </c>
      <c r="AZ57" s="367">
        <f t="shared" ca="1" si="8"/>
        <v>0</v>
      </c>
      <c r="BA57" s="367">
        <f t="shared" ca="1" si="8"/>
        <v>0</v>
      </c>
      <c r="BB57" s="367">
        <f t="shared" ca="1" si="8"/>
        <v>0</v>
      </c>
      <c r="BC57" s="367">
        <f t="shared" ca="1" si="8"/>
        <v>0</v>
      </c>
      <c r="BD57" s="367">
        <f t="shared" ca="1" si="8"/>
        <v>0</v>
      </c>
      <c r="BE57" s="367">
        <f t="shared" ca="1" si="8"/>
        <v>0</v>
      </c>
      <c r="BF57" s="367">
        <f t="shared" ca="1" si="8"/>
        <v>0</v>
      </c>
      <c r="BG57" s="367">
        <f t="shared" ca="1" si="8"/>
        <v>0</v>
      </c>
      <c r="BH57" s="367">
        <f t="shared" ca="1" si="8"/>
        <v>0</v>
      </c>
      <c r="BI57" s="367">
        <f t="shared" ca="1" si="8"/>
        <v>0</v>
      </c>
      <c r="BJ57" s="367"/>
    </row>
    <row r="58" spans="1:62" outlineLevel="1" x14ac:dyDescent="0.15">
      <c r="A58" s="377">
        <v>4</v>
      </c>
      <c r="B58" s="367" t="str">
        <f t="shared" ca="1" si="7"/>
        <v/>
      </c>
      <c r="C58" s="367" t="str">
        <f t="shared" ca="1" si="7"/>
        <v/>
      </c>
      <c r="D58" s="367" t="str">
        <f t="shared" ca="1" si="7"/>
        <v/>
      </c>
      <c r="E58" s="367">
        <f t="shared" ca="1" si="7"/>
        <v>0</v>
      </c>
      <c r="F58" s="367">
        <f t="shared" ca="1" si="7"/>
        <v>0</v>
      </c>
      <c r="G58" s="367">
        <f t="shared" ca="1" si="7"/>
        <v>0</v>
      </c>
      <c r="H58" s="367">
        <f t="shared" ca="1" si="7"/>
        <v>0</v>
      </c>
      <c r="I58" s="367">
        <f t="shared" ca="1" si="7"/>
        <v>0</v>
      </c>
      <c r="J58" s="367">
        <f t="shared" ca="1" si="7"/>
        <v>0</v>
      </c>
      <c r="K58" s="367" t="e">
        <f t="shared" ca="1" si="7"/>
        <v>#REF!</v>
      </c>
      <c r="L58" s="367" t="e">
        <f t="shared" ca="1" si="7"/>
        <v>#REF!</v>
      </c>
      <c r="M58" s="367" t="e">
        <f t="shared" ca="1" si="7"/>
        <v>#REF!</v>
      </c>
      <c r="N58" s="367">
        <f t="shared" ca="1" si="7"/>
        <v>0</v>
      </c>
      <c r="O58" s="367">
        <f t="shared" ca="1" si="7"/>
        <v>0</v>
      </c>
      <c r="P58" s="367">
        <f t="shared" ca="1" si="7"/>
        <v>0</v>
      </c>
      <c r="Q58" s="367">
        <f t="shared" ca="1" si="7"/>
        <v>0</v>
      </c>
      <c r="R58" s="367">
        <f t="shared" ca="1" si="8"/>
        <v>0</v>
      </c>
      <c r="S58" s="367">
        <f t="shared" ca="1" si="8"/>
        <v>0</v>
      </c>
      <c r="T58" s="367">
        <f t="shared" ca="1" si="8"/>
        <v>0</v>
      </c>
      <c r="U58" s="367">
        <f t="shared" ca="1" si="8"/>
        <v>0</v>
      </c>
      <c r="V58" s="367">
        <f t="shared" ca="1" si="8"/>
        <v>0</v>
      </c>
      <c r="W58" s="367">
        <f t="shared" ca="1" si="8"/>
        <v>0</v>
      </c>
      <c r="X58" s="367">
        <f t="shared" ca="1" si="8"/>
        <v>0</v>
      </c>
      <c r="Y58" s="367">
        <f t="shared" ca="1" si="8"/>
        <v>0</v>
      </c>
      <c r="Z58" s="367">
        <f t="shared" ca="1" si="8"/>
        <v>0</v>
      </c>
      <c r="AA58" s="367">
        <f t="shared" ca="1" si="8"/>
        <v>0</v>
      </c>
      <c r="AB58" s="367">
        <f t="shared" ca="1" si="8"/>
        <v>0</v>
      </c>
      <c r="AC58" s="367">
        <f t="shared" ca="1" si="8"/>
        <v>0</v>
      </c>
      <c r="AD58" s="367">
        <f t="shared" ca="1" si="8"/>
        <v>0</v>
      </c>
      <c r="AE58" s="367">
        <f t="shared" ca="1" si="8"/>
        <v>0</v>
      </c>
      <c r="AF58" s="367">
        <f t="shared" ca="1" si="8"/>
        <v>0</v>
      </c>
      <c r="AG58" s="367">
        <f t="shared" ca="1" si="8"/>
        <v>0</v>
      </c>
      <c r="AH58" s="367">
        <f t="shared" ca="1" si="8"/>
        <v>0</v>
      </c>
      <c r="AI58" s="367">
        <f t="shared" ca="1" si="8"/>
        <v>0</v>
      </c>
      <c r="AJ58" s="367">
        <f t="shared" ca="1" si="8"/>
        <v>0</v>
      </c>
      <c r="AK58" s="367">
        <f t="shared" ca="1" si="8"/>
        <v>0</v>
      </c>
      <c r="AL58" s="367">
        <f t="shared" ca="1" si="8"/>
        <v>0</v>
      </c>
      <c r="AM58" s="367">
        <f t="shared" ca="1" si="8"/>
        <v>0</v>
      </c>
      <c r="AN58" s="367">
        <f t="shared" ca="1" si="8"/>
        <v>0</v>
      </c>
      <c r="AO58" s="367">
        <f t="shared" ca="1" si="8"/>
        <v>0</v>
      </c>
      <c r="AP58" s="367">
        <f t="shared" ca="1" si="8"/>
        <v>0</v>
      </c>
      <c r="AQ58" s="367">
        <f t="shared" ca="1" si="8"/>
        <v>0</v>
      </c>
      <c r="AR58" s="367">
        <f t="shared" ca="1" si="8"/>
        <v>0</v>
      </c>
      <c r="AS58" s="367">
        <f t="shared" ca="1" si="8"/>
        <v>0</v>
      </c>
      <c r="AT58" s="367">
        <f t="shared" ca="1" si="8"/>
        <v>0</v>
      </c>
      <c r="AU58" s="367">
        <f t="shared" ca="1" si="8"/>
        <v>0</v>
      </c>
      <c r="AV58" s="367">
        <f t="shared" ca="1" si="8"/>
        <v>0</v>
      </c>
      <c r="AW58" s="367">
        <f t="shared" ca="1" si="8"/>
        <v>0</v>
      </c>
      <c r="AX58" s="367">
        <f t="shared" ca="1" si="8"/>
        <v>0</v>
      </c>
      <c r="AY58" s="367">
        <f t="shared" ca="1" si="8"/>
        <v>0</v>
      </c>
      <c r="AZ58" s="367">
        <f t="shared" ca="1" si="8"/>
        <v>0</v>
      </c>
      <c r="BA58" s="367">
        <f t="shared" ca="1" si="8"/>
        <v>0</v>
      </c>
      <c r="BB58" s="367">
        <f t="shared" ca="1" si="8"/>
        <v>0</v>
      </c>
      <c r="BC58" s="367">
        <f t="shared" ca="1" si="8"/>
        <v>0</v>
      </c>
      <c r="BD58" s="367">
        <f t="shared" ca="1" si="8"/>
        <v>0</v>
      </c>
      <c r="BE58" s="367">
        <f t="shared" ca="1" si="8"/>
        <v>0</v>
      </c>
      <c r="BF58" s="367">
        <f t="shared" ca="1" si="8"/>
        <v>0</v>
      </c>
      <c r="BG58" s="367">
        <f t="shared" ca="1" si="8"/>
        <v>0</v>
      </c>
      <c r="BH58" s="367">
        <f t="shared" ca="1" si="8"/>
        <v>0</v>
      </c>
      <c r="BI58" s="367">
        <f t="shared" ca="1" si="8"/>
        <v>0</v>
      </c>
      <c r="BJ58" s="367"/>
    </row>
    <row r="59" spans="1:62" outlineLevel="1" x14ac:dyDescent="0.15">
      <c r="A59" s="377">
        <v>5</v>
      </c>
      <c r="B59" s="367" t="str">
        <f t="shared" ca="1" si="7"/>
        <v/>
      </c>
      <c r="C59" s="367" t="str">
        <f t="shared" ca="1" si="7"/>
        <v/>
      </c>
      <c r="D59" s="367" t="str">
        <f t="shared" ca="1" si="7"/>
        <v/>
      </c>
      <c r="E59" s="367" t="str">
        <f t="shared" ca="1" si="7"/>
        <v/>
      </c>
      <c r="F59" s="367">
        <f t="shared" ca="1" si="7"/>
        <v>0</v>
      </c>
      <c r="G59" s="367">
        <f t="shared" ca="1" si="7"/>
        <v>0</v>
      </c>
      <c r="H59" s="367">
        <f t="shared" ca="1" si="7"/>
        <v>0</v>
      </c>
      <c r="I59" s="367">
        <f t="shared" ca="1" si="7"/>
        <v>0</v>
      </c>
      <c r="J59" s="367">
        <f t="shared" ca="1" si="7"/>
        <v>0</v>
      </c>
      <c r="K59" s="367">
        <f t="shared" ca="1" si="7"/>
        <v>0</v>
      </c>
      <c r="L59" s="367" t="e">
        <f t="shared" ca="1" si="7"/>
        <v>#REF!</v>
      </c>
      <c r="M59" s="367" t="e">
        <f t="shared" ca="1" si="7"/>
        <v>#REF!</v>
      </c>
      <c r="N59" s="367" t="e">
        <f t="shared" ca="1" si="7"/>
        <v>#REF!</v>
      </c>
      <c r="O59" s="367">
        <f t="shared" ca="1" si="7"/>
        <v>0</v>
      </c>
      <c r="P59" s="367">
        <f t="shared" ca="1" si="7"/>
        <v>0</v>
      </c>
      <c r="Q59" s="367">
        <f t="shared" ca="1" si="7"/>
        <v>0</v>
      </c>
      <c r="R59" s="367">
        <f t="shared" ca="1" si="8"/>
        <v>0</v>
      </c>
      <c r="S59" s="367">
        <f t="shared" ca="1" si="8"/>
        <v>0</v>
      </c>
      <c r="T59" s="367">
        <f t="shared" ca="1" si="8"/>
        <v>0</v>
      </c>
      <c r="U59" s="367">
        <f t="shared" ca="1" si="8"/>
        <v>0</v>
      </c>
      <c r="V59" s="367">
        <f t="shared" ca="1" si="8"/>
        <v>0</v>
      </c>
      <c r="W59" s="367">
        <f t="shared" ca="1" si="8"/>
        <v>0</v>
      </c>
      <c r="X59" s="367">
        <f t="shared" ca="1" si="8"/>
        <v>0</v>
      </c>
      <c r="Y59" s="367">
        <f t="shared" ca="1" si="8"/>
        <v>0</v>
      </c>
      <c r="Z59" s="367">
        <f t="shared" ca="1" si="8"/>
        <v>0</v>
      </c>
      <c r="AA59" s="367">
        <f t="shared" ca="1" si="8"/>
        <v>0</v>
      </c>
      <c r="AB59" s="367">
        <f t="shared" ca="1" si="8"/>
        <v>0</v>
      </c>
      <c r="AC59" s="367">
        <f t="shared" ca="1" si="8"/>
        <v>0</v>
      </c>
      <c r="AD59" s="367">
        <f t="shared" ca="1" si="8"/>
        <v>0</v>
      </c>
      <c r="AE59" s="367">
        <f t="shared" ca="1" si="8"/>
        <v>0</v>
      </c>
      <c r="AF59" s="367">
        <f t="shared" ca="1" si="8"/>
        <v>0</v>
      </c>
      <c r="AG59" s="367">
        <f t="shared" ca="1" si="8"/>
        <v>0</v>
      </c>
      <c r="AH59" s="367">
        <f t="shared" ca="1" si="8"/>
        <v>0</v>
      </c>
      <c r="AI59" s="367">
        <f t="shared" ca="1" si="8"/>
        <v>0</v>
      </c>
      <c r="AJ59" s="367">
        <f t="shared" ca="1" si="8"/>
        <v>0</v>
      </c>
      <c r="AK59" s="367">
        <f t="shared" ca="1" si="8"/>
        <v>0</v>
      </c>
      <c r="AL59" s="367">
        <f t="shared" ca="1" si="8"/>
        <v>0</v>
      </c>
      <c r="AM59" s="367">
        <f t="shared" ca="1" si="8"/>
        <v>0</v>
      </c>
      <c r="AN59" s="367">
        <f t="shared" ca="1" si="8"/>
        <v>0</v>
      </c>
      <c r="AO59" s="367">
        <f t="shared" ca="1" si="8"/>
        <v>0</v>
      </c>
      <c r="AP59" s="367">
        <f t="shared" ca="1" si="8"/>
        <v>0</v>
      </c>
      <c r="AQ59" s="367">
        <f t="shared" ca="1" si="8"/>
        <v>0</v>
      </c>
      <c r="AR59" s="367">
        <f t="shared" ca="1" si="8"/>
        <v>0</v>
      </c>
      <c r="AS59" s="367">
        <f t="shared" ca="1" si="8"/>
        <v>0</v>
      </c>
      <c r="AT59" s="367">
        <f t="shared" ca="1" si="8"/>
        <v>0</v>
      </c>
      <c r="AU59" s="367">
        <f t="shared" ca="1" si="8"/>
        <v>0</v>
      </c>
      <c r="AV59" s="367">
        <f t="shared" ca="1" si="8"/>
        <v>0</v>
      </c>
      <c r="AW59" s="367">
        <f t="shared" ca="1" si="8"/>
        <v>0</v>
      </c>
      <c r="AX59" s="367">
        <f t="shared" ca="1" si="8"/>
        <v>0</v>
      </c>
      <c r="AY59" s="367">
        <f t="shared" ca="1" si="8"/>
        <v>0</v>
      </c>
      <c r="AZ59" s="367">
        <f t="shared" ca="1" si="8"/>
        <v>0</v>
      </c>
      <c r="BA59" s="367">
        <f t="shared" ca="1" si="8"/>
        <v>0</v>
      </c>
      <c r="BB59" s="367">
        <f t="shared" ca="1" si="8"/>
        <v>0</v>
      </c>
      <c r="BC59" s="367">
        <f t="shared" ca="1" si="8"/>
        <v>0</v>
      </c>
      <c r="BD59" s="367">
        <f t="shared" ca="1" si="8"/>
        <v>0</v>
      </c>
      <c r="BE59" s="367">
        <f t="shared" ca="1" si="8"/>
        <v>0</v>
      </c>
      <c r="BF59" s="367">
        <f t="shared" ca="1" si="8"/>
        <v>0</v>
      </c>
      <c r="BG59" s="367">
        <f t="shared" ca="1" si="8"/>
        <v>0</v>
      </c>
      <c r="BH59" s="367">
        <f t="shared" ca="1" si="8"/>
        <v>0</v>
      </c>
      <c r="BI59" s="367">
        <f t="shared" ca="1" si="8"/>
        <v>0</v>
      </c>
      <c r="BJ59" s="367"/>
    </row>
    <row r="60" spans="1:62" outlineLevel="1" x14ac:dyDescent="0.15">
      <c r="A60" s="377">
        <v>6</v>
      </c>
      <c r="B60" s="367" t="str">
        <f t="shared" ca="1" si="7"/>
        <v/>
      </c>
      <c r="C60" s="367" t="str">
        <f t="shared" ca="1" si="7"/>
        <v/>
      </c>
      <c r="D60" s="367" t="str">
        <f t="shared" ca="1" si="7"/>
        <v/>
      </c>
      <c r="E60" s="367" t="str">
        <f t="shared" ca="1" si="7"/>
        <v/>
      </c>
      <c r="F60" s="367" t="str">
        <f t="shared" ca="1" si="7"/>
        <v/>
      </c>
      <c r="G60" s="367">
        <f t="shared" ca="1" si="7"/>
        <v>0</v>
      </c>
      <c r="H60" s="367">
        <f t="shared" ca="1" si="7"/>
        <v>0</v>
      </c>
      <c r="I60" s="367">
        <f t="shared" ca="1" si="7"/>
        <v>0</v>
      </c>
      <c r="J60" s="367">
        <f t="shared" ca="1" si="7"/>
        <v>0</v>
      </c>
      <c r="K60" s="367">
        <f t="shared" ca="1" si="7"/>
        <v>0</v>
      </c>
      <c r="L60" s="367">
        <f t="shared" ca="1" si="7"/>
        <v>0</v>
      </c>
      <c r="M60" s="367" t="e">
        <f t="shared" ca="1" si="7"/>
        <v>#REF!</v>
      </c>
      <c r="N60" s="367" t="e">
        <f t="shared" ca="1" si="7"/>
        <v>#REF!</v>
      </c>
      <c r="O60" s="367" t="e">
        <f t="shared" ca="1" si="7"/>
        <v>#REF!</v>
      </c>
      <c r="P60" s="367">
        <f t="shared" ca="1" si="7"/>
        <v>0</v>
      </c>
      <c r="Q60" s="367">
        <f t="shared" ca="1" si="7"/>
        <v>0</v>
      </c>
      <c r="R60" s="367">
        <f t="shared" ca="1" si="8"/>
        <v>0</v>
      </c>
      <c r="S60" s="367">
        <f t="shared" ca="1" si="8"/>
        <v>0</v>
      </c>
      <c r="T60" s="367">
        <f t="shared" ca="1" si="8"/>
        <v>0</v>
      </c>
      <c r="U60" s="367">
        <f t="shared" ca="1" si="8"/>
        <v>0</v>
      </c>
      <c r="V60" s="367">
        <f t="shared" ca="1" si="8"/>
        <v>0</v>
      </c>
      <c r="W60" s="367">
        <f t="shared" ca="1" si="8"/>
        <v>0</v>
      </c>
      <c r="X60" s="367">
        <f t="shared" ca="1" si="8"/>
        <v>0</v>
      </c>
      <c r="Y60" s="367">
        <f t="shared" ca="1" si="8"/>
        <v>0</v>
      </c>
      <c r="Z60" s="367">
        <f t="shared" ca="1" si="8"/>
        <v>0</v>
      </c>
      <c r="AA60" s="367">
        <f t="shared" ca="1" si="8"/>
        <v>0</v>
      </c>
      <c r="AB60" s="367">
        <f t="shared" ca="1" si="8"/>
        <v>0</v>
      </c>
      <c r="AC60" s="367">
        <f t="shared" ca="1" si="8"/>
        <v>0</v>
      </c>
      <c r="AD60" s="367">
        <f t="shared" ca="1" si="8"/>
        <v>0</v>
      </c>
      <c r="AE60" s="367">
        <f t="shared" ca="1" si="8"/>
        <v>0</v>
      </c>
      <c r="AF60" s="367">
        <f t="shared" ca="1" si="8"/>
        <v>0</v>
      </c>
      <c r="AG60" s="367">
        <f t="shared" ca="1" si="8"/>
        <v>0</v>
      </c>
      <c r="AH60" s="367">
        <f t="shared" ca="1" si="8"/>
        <v>0</v>
      </c>
      <c r="AI60" s="367">
        <f t="shared" ca="1" si="8"/>
        <v>0</v>
      </c>
      <c r="AJ60" s="367">
        <f t="shared" ca="1" si="8"/>
        <v>0</v>
      </c>
      <c r="AK60" s="367">
        <f t="shared" ca="1" si="8"/>
        <v>0</v>
      </c>
      <c r="AL60" s="367">
        <f t="shared" ca="1" si="8"/>
        <v>0</v>
      </c>
      <c r="AM60" s="367">
        <f t="shared" ca="1" si="8"/>
        <v>0</v>
      </c>
      <c r="AN60" s="367">
        <f t="shared" ca="1" si="8"/>
        <v>0</v>
      </c>
      <c r="AO60" s="367">
        <f t="shared" ca="1" si="8"/>
        <v>0</v>
      </c>
      <c r="AP60" s="367">
        <f t="shared" ca="1" si="8"/>
        <v>0</v>
      </c>
      <c r="AQ60" s="367">
        <f t="shared" ca="1" si="8"/>
        <v>0</v>
      </c>
      <c r="AR60" s="367">
        <f t="shared" ca="1" si="8"/>
        <v>0</v>
      </c>
      <c r="AS60" s="367">
        <f t="shared" ca="1" si="8"/>
        <v>0</v>
      </c>
      <c r="AT60" s="367">
        <f t="shared" ca="1" si="8"/>
        <v>0</v>
      </c>
      <c r="AU60" s="367">
        <f t="shared" ca="1" si="8"/>
        <v>0</v>
      </c>
      <c r="AV60" s="367">
        <f t="shared" ca="1" si="8"/>
        <v>0</v>
      </c>
      <c r="AW60" s="367">
        <f t="shared" ca="1" si="8"/>
        <v>0</v>
      </c>
      <c r="AX60" s="367">
        <f t="shared" ca="1" si="8"/>
        <v>0</v>
      </c>
      <c r="AY60" s="367">
        <f t="shared" ca="1" si="8"/>
        <v>0</v>
      </c>
      <c r="AZ60" s="367">
        <f t="shared" ca="1" si="8"/>
        <v>0</v>
      </c>
      <c r="BA60" s="367">
        <f t="shared" ref="BA60:DG64" ca="1" si="9">IF($A60&gt;BA$5,"",OFFSET(BA$54,0,-($A60-1)))</f>
        <v>0</v>
      </c>
      <c r="BB60" s="367">
        <f t="shared" ca="1" si="9"/>
        <v>0</v>
      </c>
      <c r="BC60" s="367">
        <f t="shared" ca="1" si="9"/>
        <v>0</v>
      </c>
      <c r="BD60" s="367">
        <f t="shared" ca="1" si="9"/>
        <v>0</v>
      </c>
      <c r="BE60" s="367">
        <f t="shared" ca="1" si="9"/>
        <v>0</v>
      </c>
      <c r="BF60" s="367">
        <f t="shared" ca="1" si="9"/>
        <v>0</v>
      </c>
      <c r="BG60" s="367">
        <f t="shared" ca="1" si="9"/>
        <v>0</v>
      </c>
      <c r="BH60" s="367">
        <f t="shared" ca="1" si="9"/>
        <v>0</v>
      </c>
      <c r="BI60" s="367">
        <f t="shared" ca="1" si="9"/>
        <v>0</v>
      </c>
      <c r="BJ60" s="367"/>
    </row>
    <row r="61" spans="1:62" outlineLevel="1" x14ac:dyDescent="0.15">
      <c r="A61" s="377">
        <v>7</v>
      </c>
      <c r="B61" s="367" t="str">
        <f t="shared" ca="1" si="7"/>
        <v/>
      </c>
      <c r="C61" s="367" t="str">
        <f t="shared" ca="1" si="7"/>
        <v/>
      </c>
      <c r="D61" s="367" t="str">
        <f t="shared" ca="1" si="7"/>
        <v/>
      </c>
      <c r="E61" s="367" t="str">
        <f t="shared" ca="1" si="7"/>
        <v/>
      </c>
      <c r="F61" s="367" t="str">
        <f t="shared" ca="1" si="7"/>
        <v/>
      </c>
      <c r="G61" s="367" t="str">
        <f t="shared" ca="1" si="7"/>
        <v/>
      </c>
      <c r="H61" s="367">
        <f t="shared" ca="1" si="7"/>
        <v>0</v>
      </c>
      <c r="I61" s="367">
        <f t="shared" ca="1" si="7"/>
        <v>0</v>
      </c>
      <c r="J61" s="367">
        <f t="shared" ca="1" si="7"/>
        <v>0</v>
      </c>
      <c r="K61" s="367">
        <f t="shared" ca="1" si="7"/>
        <v>0</v>
      </c>
      <c r="L61" s="367">
        <f t="shared" ca="1" si="7"/>
        <v>0</v>
      </c>
      <c r="M61" s="367">
        <f t="shared" ca="1" si="7"/>
        <v>0</v>
      </c>
      <c r="N61" s="367" t="e">
        <f t="shared" ca="1" si="7"/>
        <v>#REF!</v>
      </c>
      <c r="O61" s="367" t="e">
        <f t="shared" ca="1" si="7"/>
        <v>#REF!</v>
      </c>
      <c r="P61" s="367" t="e">
        <f t="shared" ca="1" si="7"/>
        <v>#REF!</v>
      </c>
      <c r="Q61" s="367">
        <f t="shared" ca="1" si="7"/>
        <v>0</v>
      </c>
      <c r="R61" s="367">
        <f t="shared" ref="R61:BX66" ca="1" si="10">IF($A61&gt;R$5,"",OFFSET(R$54,0,-($A61-1)))</f>
        <v>0</v>
      </c>
      <c r="S61" s="367">
        <f t="shared" ca="1" si="10"/>
        <v>0</v>
      </c>
      <c r="T61" s="367">
        <f t="shared" ca="1" si="10"/>
        <v>0</v>
      </c>
      <c r="U61" s="367">
        <f t="shared" ca="1" si="10"/>
        <v>0</v>
      </c>
      <c r="V61" s="367">
        <f t="shared" ca="1" si="10"/>
        <v>0</v>
      </c>
      <c r="W61" s="367">
        <f t="shared" ca="1" si="10"/>
        <v>0</v>
      </c>
      <c r="X61" s="367">
        <f t="shared" ca="1" si="10"/>
        <v>0</v>
      </c>
      <c r="Y61" s="367">
        <f t="shared" ca="1" si="10"/>
        <v>0</v>
      </c>
      <c r="Z61" s="367">
        <f t="shared" ca="1" si="10"/>
        <v>0</v>
      </c>
      <c r="AA61" s="367">
        <f t="shared" ca="1" si="10"/>
        <v>0</v>
      </c>
      <c r="AB61" s="367">
        <f t="shared" ca="1" si="10"/>
        <v>0</v>
      </c>
      <c r="AC61" s="367">
        <f t="shared" ca="1" si="10"/>
        <v>0</v>
      </c>
      <c r="AD61" s="367">
        <f t="shared" ca="1" si="10"/>
        <v>0</v>
      </c>
      <c r="AE61" s="367">
        <f t="shared" ca="1" si="10"/>
        <v>0</v>
      </c>
      <c r="AF61" s="367">
        <f t="shared" ca="1" si="10"/>
        <v>0</v>
      </c>
      <c r="AG61" s="367">
        <f t="shared" ca="1" si="10"/>
        <v>0</v>
      </c>
      <c r="AH61" s="367">
        <f t="shared" ca="1" si="10"/>
        <v>0</v>
      </c>
      <c r="AI61" s="367">
        <f t="shared" ca="1" si="10"/>
        <v>0</v>
      </c>
      <c r="AJ61" s="367">
        <f t="shared" ca="1" si="10"/>
        <v>0</v>
      </c>
      <c r="AK61" s="367">
        <f t="shared" ca="1" si="10"/>
        <v>0</v>
      </c>
      <c r="AL61" s="367">
        <f t="shared" ca="1" si="10"/>
        <v>0</v>
      </c>
      <c r="AM61" s="367">
        <f t="shared" ca="1" si="10"/>
        <v>0</v>
      </c>
      <c r="AN61" s="367">
        <f t="shared" ca="1" si="10"/>
        <v>0</v>
      </c>
      <c r="AO61" s="367">
        <f t="shared" ca="1" si="10"/>
        <v>0</v>
      </c>
      <c r="AP61" s="367">
        <f t="shared" ca="1" si="10"/>
        <v>0</v>
      </c>
      <c r="AQ61" s="367">
        <f t="shared" ca="1" si="10"/>
        <v>0</v>
      </c>
      <c r="AR61" s="367">
        <f t="shared" ca="1" si="10"/>
        <v>0</v>
      </c>
      <c r="AS61" s="367">
        <f t="shared" ca="1" si="10"/>
        <v>0</v>
      </c>
      <c r="AT61" s="367">
        <f t="shared" ca="1" si="10"/>
        <v>0</v>
      </c>
      <c r="AU61" s="367">
        <f t="shared" ca="1" si="10"/>
        <v>0</v>
      </c>
      <c r="AV61" s="367">
        <f t="shared" ca="1" si="10"/>
        <v>0</v>
      </c>
      <c r="AW61" s="367">
        <f t="shared" ca="1" si="10"/>
        <v>0</v>
      </c>
      <c r="AX61" s="367">
        <f t="shared" ca="1" si="10"/>
        <v>0</v>
      </c>
      <c r="AY61" s="367">
        <f t="shared" ca="1" si="10"/>
        <v>0</v>
      </c>
      <c r="AZ61" s="367">
        <f t="shared" ca="1" si="10"/>
        <v>0</v>
      </c>
      <c r="BA61" s="367">
        <f t="shared" ca="1" si="10"/>
        <v>0</v>
      </c>
      <c r="BB61" s="367">
        <f t="shared" ca="1" si="10"/>
        <v>0</v>
      </c>
      <c r="BC61" s="367">
        <f t="shared" ca="1" si="10"/>
        <v>0</v>
      </c>
      <c r="BD61" s="367">
        <f t="shared" ca="1" si="10"/>
        <v>0</v>
      </c>
      <c r="BE61" s="367">
        <f t="shared" ca="1" si="10"/>
        <v>0</v>
      </c>
      <c r="BF61" s="367">
        <f t="shared" ca="1" si="10"/>
        <v>0</v>
      </c>
      <c r="BG61" s="367">
        <f t="shared" ca="1" si="10"/>
        <v>0</v>
      </c>
      <c r="BH61" s="367">
        <f t="shared" ca="1" si="10"/>
        <v>0</v>
      </c>
      <c r="BI61" s="367">
        <f t="shared" ca="1" si="10"/>
        <v>0</v>
      </c>
      <c r="BJ61" s="367"/>
    </row>
    <row r="62" spans="1:62" outlineLevel="1" x14ac:dyDescent="0.15">
      <c r="A62" s="377">
        <v>8</v>
      </c>
      <c r="B62" s="367" t="str">
        <f t="shared" ca="1" si="7"/>
        <v/>
      </c>
      <c r="C62" s="367" t="str">
        <f t="shared" ca="1" si="7"/>
        <v/>
      </c>
      <c r="D62" s="367" t="str">
        <f t="shared" ca="1" si="7"/>
        <v/>
      </c>
      <c r="E62" s="367" t="str">
        <f t="shared" ca="1" si="7"/>
        <v/>
      </c>
      <c r="F62" s="367" t="str">
        <f t="shared" ca="1" si="7"/>
        <v/>
      </c>
      <c r="G62" s="367" t="str">
        <f t="shared" ca="1" si="7"/>
        <v/>
      </c>
      <c r="H62" s="367" t="str">
        <f t="shared" ca="1" si="7"/>
        <v/>
      </c>
      <c r="I62" s="367">
        <f t="shared" ca="1" si="7"/>
        <v>0</v>
      </c>
      <c r="J62" s="367">
        <f t="shared" ca="1" si="7"/>
        <v>0</v>
      </c>
      <c r="K62" s="367">
        <f t="shared" ca="1" si="7"/>
        <v>0</v>
      </c>
      <c r="L62" s="367">
        <f t="shared" ca="1" si="7"/>
        <v>0</v>
      </c>
      <c r="M62" s="367">
        <f t="shared" ca="1" si="7"/>
        <v>0</v>
      </c>
      <c r="N62" s="367">
        <f t="shared" ca="1" si="7"/>
        <v>0</v>
      </c>
      <c r="O62" s="367" t="e">
        <f t="shared" ca="1" si="7"/>
        <v>#REF!</v>
      </c>
      <c r="P62" s="367" t="e">
        <f t="shared" ca="1" si="7"/>
        <v>#REF!</v>
      </c>
      <c r="Q62" s="367" t="e">
        <f t="shared" ca="1" si="7"/>
        <v>#REF!</v>
      </c>
      <c r="R62" s="367">
        <f t="shared" ca="1" si="10"/>
        <v>0</v>
      </c>
      <c r="S62" s="367">
        <f t="shared" ca="1" si="10"/>
        <v>0</v>
      </c>
      <c r="T62" s="367">
        <f t="shared" ca="1" si="10"/>
        <v>0</v>
      </c>
      <c r="U62" s="367">
        <f t="shared" ca="1" si="10"/>
        <v>0</v>
      </c>
      <c r="V62" s="367">
        <f t="shared" ca="1" si="10"/>
        <v>0</v>
      </c>
      <c r="W62" s="367">
        <f t="shared" ca="1" si="10"/>
        <v>0</v>
      </c>
      <c r="X62" s="367">
        <f t="shared" ca="1" si="10"/>
        <v>0</v>
      </c>
      <c r="Y62" s="367">
        <f t="shared" ca="1" si="10"/>
        <v>0</v>
      </c>
      <c r="Z62" s="367">
        <f t="shared" ca="1" si="10"/>
        <v>0</v>
      </c>
      <c r="AA62" s="367">
        <f t="shared" ca="1" si="10"/>
        <v>0</v>
      </c>
      <c r="AB62" s="367">
        <f t="shared" ca="1" si="10"/>
        <v>0</v>
      </c>
      <c r="AC62" s="367">
        <f t="shared" ca="1" si="10"/>
        <v>0</v>
      </c>
      <c r="AD62" s="367">
        <f t="shared" ca="1" si="10"/>
        <v>0</v>
      </c>
      <c r="AE62" s="367">
        <f t="shared" ca="1" si="10"/>
        <v>0</v>
      </c>
      <c r="AF62" s="367">
        <f t="shared" ca="1" si="10"/>
        <v>0</v>
      </c>
      <c r="AG62" s="367">
        <f t="shared" ca="1" si="10"/>
        <v>0</v>
      </c>
      <c r="AH62" s="367">
        <f t="shared" ca="1" si="10"/>
        <v>0</v>
      </c>
      <c r="AI62" s="367">
        <f t="shared" ca="1" si="10"/>
        <v>0</v>
      </c>
      <c r="AJ62" s="367">
        <f t="shared" ca="1" si="10"/>
        <v>0</v>
      </c>
      <c r="AK62" s="367">
        <f t="shared" ca="1" si="10"/>
        <v>0</v>
      </c>
      <c r="AL62" s="367">
        <f t="shared" ca="1" si="10"/>
        <v>0</v>
      </c>
      <c r="AM62" s="367">
        <f t="shared" ca="1" si="10"/>
        <v>0</v>
      </c>
      <c r="AN62" s="367">
        <f t="shared" ca="1" si="10"/>
        <v>0</v>
      </c>
      <c r="AO62" s="367">
        <f t="shared" ca="1" si="10"/>
        <v>0</v>
      </c>
      <c r="AP62" s="367">
        <f t="shared" ca="1" si="10"/>
        <v>0</v>
      </c>
      <c r="AQ62" s="367">
        <f t="shared" ca="1" si="10"/>
        <v>0</v>
      </c>
      <c r="AR62" s="367">
        <f t="shared" ca="1" si="10"/>
        <v>0</v>
      </c>
      <c r="AS62" s="367">
        <f t="shared" ca="1" si="10"/>
        <v>0</v>
      </c>
      <c r="AT62" s="367">
        <f t="shared" ca="1" si="10"/>
        <v>0</v>
      </c>
      <c r="AU62" s="367">
        <f t="shared" ca="1" si="10"/>
        <v>0</v>
      </c>
      <c r="AV62" s="367">
        <f t="shared" ca="1" si="10"/>
        <v>0</v>
      </c>
      <c r="AW62" s="367">
        <f t="shared" ca="1" si="10"/>
        <v>0</v>
      </c>
      <c r="AX62" s="367">
        <f t="shared" ca="1" si="10"/>
        <v>0</v>
      </c>
      <c r="AY62" s="367">
        <f t="shared" ca="1" si="10"/>
        <v>0</v>
      </c>
      <c r="AZ62" s="367">
        <f t="shared" ca="1" si="10"/>
        <v>0</v>
      </c>
      <c r="BA62" s="367">
        <f t="shared" ca="1" si="10"/>
        <v>0</v>
      </c>
      <c r="BB62" s="367">
        <f t="shared" ca="1" si="10"/>
        <v>0</v>
      </c>
      <c r="BC62" s="367">
        <f t="shared" ca="1" si="10"/>
        <v>0</v>
      </c>
      <c r="BD62" s="367">
        <f t="shared" ca="1" si="10"/>
        <v>0</v>
      </c>
      <c r="BE62" s="367">
        <f t="shared" ca="1" si="10"/>
        <v>0</v>
      </c>
      <c r="BF62" s="367">
        <f t="shared" ca="1" si="10"/>
        <v>0</v>
      </c>
      <c r="BG62" s="367">
        <f t="shared" ca="1" si="10"/>
        <v>0</v>
      </c>
      <c r="BH62" s="367">
        <f t="shared" ca="1" si="10"/>
        <v>0</v>
      </c>
      <c r="BI62" s="367">
        <f t="shared" ca="1" si="10"/>
        <v>0</v>
      </c>
      <c r="BJ62" s="367"/>
    </row>
    <row r="63" spans="1:62" outlineLevel="1" x14ac:dyDescent="0.15">
      <c r="A63" s="377">
        <v>9</v>
      </c>
      <c r="B63" s="367" t="str">
        <f t="shared" ca="1" si="7"/>
        <v/>
      </c>
      <c r="C63" s="367" t="str">
        <f t="shared" ca="1" si="7"/>
        <v/>
      </c>
      <c r="D63" s="367" t="str">
        <f t="shared" ca="1" si="7"/>
        <v/>
      </c>
      <c r="E63" s="367" t="str">
        <f t="shared" ca="1" si="7"/>
        <v/>
      </c>
      <c r="F63" s="367" t="str">
        <f t="shared" ca="1" si="7"/>
        <v/>
      </c>
      <c r="G63" s="367" t="str">
        <f t="shared" ca="1" si="7"/>
        <v/>
      </c>
      <c r="H63" s="367" t="str">
        <f t="shared" ca="1" si="7"/>
        <v/>
      </c>
      <c r="I63" s="367" t="str">
        <f t="shared" ca="1" si="7"/>
        <v/>
      </c>
      <c r="J63" s="367">
        <f t="shared" ca="1" si="7"/>
        <v>0</v>
      </c>
      <c r="K63" s="367">
        <f t="shared" ca="1" si="7"/>
        <v>0</v>
      </c>
      <c r="L63" s="367">
        <f t="shared" ca="1" si="7"/>
        <v>0</v>
      </c>
      <c r="M63" s="367">
        <f t="shared" ca="1" si="7"/>
        <v>0</v>
      </c>
      <c r="N63" s="367">
        <f t="shared" ca="1" si="7"/>
        <v>0</v>
      </c>
      <c r="O63" s="367">
        <f t="shared" ca="1" si="7"/>
        <v>0</v>
      </c>
      <c r="P63" s="367" t="e">
        <f t="shared" ca="1" si="7"/>
        <v>#REF!</v>
      </c>
      <c r="Q63" s="367" t="e">
        <f t="shared" ca="1" si="7"/>
        <v>#REF!</v>
      </c>
      <c r="R63" s="367" t="e">
        <f t="shared" ca="1" si="10"/>
        <v>#REF!</v>
      </c>
      <c r="S63" s="367">
        <f t="shared" ca="1" si="10"/>
        <v>0</v>
      </c>
      <c r="T63" s="367">
        <f t="shared" ca="1" si="10"/>
        <v>0</v>
      </c>
      <c r="U63" s="367">
        <f t="shared" ca="1" si="10"/>
        <v>0</v>
      </c>
      <c r="V63" s="367">
        <f t="shared" ca="1" si="10"/>
        <v>0</v>
      </c>
      <c r="W63" s="367">
        <f t="shared" ca="1" si="10"/>
        <v>0</v>
      </c>
      <c r="X63" s="367">
        <f t="shared" ca="1" si="10"/>
        <v>0</v>
      </c>
      <c r="Y63" s="367">
        <f t="shared" ca="1" si="10"/>
        <v>0</v>
      </c>
      <c r="Z63" s="367">
        <f t="shared" ca="1" si="10"/>
        <v>0</v>
      </c>
      <c r="AA63" s="367">
        <f t="shared" ca="1" si="10"/>
        <v>0</v>
      </c>
      <c r="AB63" s="367">
        <f t="shared" ca="1" si="10"/>
        <v>0</v>
      </c>
      <c r="AC63" s="367">
        <f t="shared" ca="1" si="10"/>
        <v>0</v>
      </c>
      <c r="AD63" s="367">
        <f t="shared" ca="1" si="10"/>
        <v>0</v>
      </c>
      <c r="AE63" s="367">
        <f t="shared" ca="1" si="10"/>
        <v>0</v>
      </c>
      <c r="AF63" s="367">
        <f t="shared" ca="1" si="10"/>
        <v>0</v>
      </c>
      <c r="AG63" s="367">
        <f t="shared" ca="1" si="10"/>
        <v>0</v>
      </c>
      <c r="AH63" s="367">
        <f t="shared" ca="1" si="10"/>
        <v>0</v>
      </c>
      <c r="AI63" s="367">
        <f t="shared" ca="1" si="10"/>
        <v>0</v>
      </c>
      <c r="AJ63" s="367">
        <f t="shared" ca="1" si="10"/>
        <v>0</v>
      </c>
      <c r="AK63" s="367">
        <f t="shared" ca="1" si="10"/>
        <v>0</v>
      </c>
      <c r="AL63" s="367">
        <f t="shared" ca="1" si="10"/>
        <v>0</v>
      </c>
      <c r="AM63" s="367">
        <f t="shared" ca="1" si="10"/>
        <v>0</v>
      </c>
      <c r="AN63" s="367">
        <f t="shared" ca="1" si="10"/>
        <v>0</v>
      </c>
      <c r="AO63" s="367">
        <f t="shared" ca="1" si="10"/>
        <v>0</v>
      </c>
      <c r="AP63" s="367">
        <f t="shared" ca="1" si="10"/>
        <v>0</v>
      </c>
      <c r="AQ63" s="367">
        <f t="shared" ca="1" si="10"/>
        <v>0</v>
      </c>
      <c r="AR63" s="367">
        <f t="shared" ca="1" si="10"/>
        <v>0</v>
      </c>
      <c r="AS63" s="367">
        <f t="shared" ca="1" si="10"/>
        <v>0</v>
      </c>
      <c r="AT63" s="367">
        <f t="shared" ca="1" si="10"/>
        <v>0</v>
      </c>
      <c r="AU63" s="367">
        <f t="shared" ca="1" si="10"/>
        <v>0</v>
      </c>
      <c r="AV63" s="367">
        <f t="shared" ca="1" si="10"/>
        <v>0</v>
      </c>
      <c r="AW63" s="367">
        <f t="shared" ca="1" si="10"/>
        <v>0</v>
      </c>
      <c r="AX63" s="367">
        <f t="shared" ca="1" si="10"/>
        <v>0</v>
      </c>
      <c r="AY63" s="367">
        <f t="shared" ca="1" si="10"/>
        <v>0</v>
      </c>
      <c r="AZ63" s="367">
        <f t="shared" ca="1" si="10"/>
        <v>0</v>
      </c>
      <c r="BA63" s="367">
        <f t="shared" ca="1" si="10"/>
        <v>0</v>
      </c>
      <c r="BB63" s="367">
        <f t="shared" ca="1" si="10"/>
        <v>0</v>
      </c>
      <c r="BC63" s="367">
        <f t="shared" ca="1" si="10"/>
        <v>0</v>
      </c>
      <c r="BD63" s="367">
        <f t="shared" ca="1" si="10"/>
        <v>0</v>
      </c>
      <c r="BE63" s="367">
        <f t="shared" ca="1" si="10"/>
        <v>0</v>
      </c>
      <c r="BF63" s="367">
        <f t="shared" ca="1" si="10"/>
        <v>0</v>
      </c>
      <c r="BG63" s="367">
        <f t="shared" ca="1" si="10"/>
        <v>0</v>
      </c>
      <c r="BH63" s="367">
        <f t="shared" ca="1" si="10"/>
        <v>0</v>
      </c>
      <c r="BI63" s="367">
        <f t="shared" ca="1" si="10"/>
        <v>0</v>
      </c>
      <c r="BJ63" s="367"/>
    </row>
    <row r="64" spans="1:62" outlineLevel="1" x14ac:dyDescent="0.15">
      <c r="A64" s="377">
        <v>10</v>
      </c>
      <c r="B64" s="367" t="str">
        <f t="shared" ca="1" si="7"/>
        <v/>
      </c>
      <c r="C64" s="367" t="str">
        <f t="shared" ca="1" si="7"/>
        <v/>
      </c>
      <c r="D64" s="367" t="str">
        <f t="shared" ca="1" si="7"/>
        <v/>
      </c>
      <c r="E64" s="367" t="str">
        <f t="shared" ca="1" si="7"/>
        <v/>
      </c>
      <c r="F64" s="367" t="str">
        <f t="shared" ca="1" si="7"/>
        <v/>
      </c>
      <c r="G64" s="367" t="str">
        <f t="shared" ca="1" si="7"/>
        <v/>
      </c>
      <c r="H64" s="367" t="str">
        <f t="shared" ca="1" si="7"/>
        <v/>
      </c>
      <c r="I64" s="367" t="str">
        <f t="shared" ca="1" si="7"/>
        <v/>
      </c>
      <c r="J64" s="367" t="str">
        <f t="shared" ca="1" si="7"/>
        <v/>
      </c>
      <c r="K64" s="367">
        <f t="shared" ca="1" si="7"/>
        <v>0</v>
      </c>
      <c r="L64" s="367">
        <f t="shared" ca="1" si="7"/>
        <v>0</v>
      </c>
      <c r="M64" s="367">
        <f t="shared" ca="1" si="7"/>
        <v>0</v>
      </c>
      <c r="N64" s="367">
        <f t="shared" ca="1" si="7"/>
        <v>0</v>
      </c>
      <c r="O64" s="367">
        <f t="shared" ca="1" si="7"/>
        <v>0</v>
      </c>
      <c r="P64" s="367">
        <f t="shared" ca="1" si="7"/>
        <v>0</v>
      </c>
      <c r="Q64" s="367" t="e">
        <f t="shared" ca="1" si="7"/>
        <v>#REF!</v>
      </c>
      <c r="R64" s="367" t="e">
        <f t="shared" ca="1" si="10"/>
        <v>#REF!</v>
      </c>
      <c r="S64" s="367" t="e">
        <f t="shared" ca="1" si="10"/>
        <v>#REF!</v>
      </c>
      <c r="T64" s="367">
        <f t="shared" ca="1" si="10"/>
        <v>0</v>
      </c>
      <c r="U64" s="367">
        <f t="shared" ca="1" si="10"/>
        <v>0</v>
      </c>
      <c r="V64" s="367">
        <f t="shared" ca="1" si="10"/>
        <v>0</v>
      </c>
      <c r="W64" s="367">
        <f t="shared" ca="1" si="10"/>
        <v>0</v>
      </c>
      <c r="X64" s="367">
        <f t="shared" ca="1" si="10"/>
        <v>0</v>
      </c>
      <c r="Y64" s="367">
        <f t="shared" ca="1" si="10"/>
        <v>0</v>
      </c>
      <c r="Z64" s="367">
        <f t="shared" ca="1" si="10"/>
        <v>0</v>
      </c>
      <c r="AA64" s="367">
        <f t="shared" ca="1" si="10"/>
        <v>0</v>
      </c>
      <c r="AB64" s="367">
        <f t="shared" ca="1" si="10"/>
        <v>0</v>
      </c>
      <c r="AC64" s="367">
        <f t="shared" ca="1" si="10"/>
        <v>0</v>
      </c>
      <c r="AD64" s="367">
        <f t="shared" ca="1" si="10"/>
        <v>0</v>
      </c>
      <c r="AE64" s="367">
        <f t="shared" ca="1" si="10"/>
        <v>0</v>
      </c>
      <c r="AF64" s="367">
        <f t="shared" ca="1" si="10"/>
        <v>0</v>
      </c>
      <c r="AG64" s="367">
        <f t="shared" ca="1" si="10"/>
        <v>0</v>
      </c>
      <c r="AH64" s="367">
        <f t="shared" ca="1" si="10"/>
        <v>0</v>
      </c>
      <c r="AI64" s="367">
        <f t="shared" ca="1" si="10"/>
        <v>0</v>
      </c>
      <c r="AJ64" s="367">
        <f t="shared" ca="1" si="10"/>
        <v>0</v>
      </c>
      <c r="AK64" s="367">
        <f t="shared" ca="1" si="10"/>
        <v>0</v>
      </c>
      <c r="AL64" s="367">
        <f t="shared" ca="1" si="10"/>
        <v>0</v>
      </c>
      <c r="AM64" s="367">
        <f t="shared" ca="1" si="10"/>
        <v>0</v>
      </c>
      <c r="AN64" s="367">
        <f t="shared" ca="1" si="10"/>
        <v>0</v>
      </c>
      <c r="AO64" s="367">
        <f t="shared" ca="1" si="10"/>
        <v>0</v>
      </c>
      <c r="AP64" s="367">
        <f t="shared" ca="1" si="10"/>
        <v>0</v>
      </c>
      <c r="AQ64" s="367">
        <f t="shared" ca="1" si="10"/>
        <v>0</v>
      </c>
      <c r="AR64" s="367">
        <f t="shared" ca="1" si="10"/>
        <v>0</v>
      </c>
      <c r="AS64" s="367">
        <f t="shared" ca="1" si="10"/>
        <v>0</v>
      </c>
      <c r="AT64" s="367">
        <f t="shared" ca="1" si="10"/>
        <v>0</v>
      </c>
      <c r="AU64" s="367">
        <f t="shared" ca="1" si="10"/>
        <v>0</v>
      </c>
      <c r="AV64" s="367">
        <f t="shared" ca="1" si="10"/>
        <v>0</v>
      </c>
      <c r="AW64" s="367">
        <f t="shared" ca="1" si="10"/>
        <v>0</v>
      </c>
      <c r="AX64" s="367">
        <f t="shared" ca="1" si="10"/>
        <v>0</v>
      </c>
      <c r="AY64" s="367">
        <f t="shared" ca="1" si="10"/>
        <v>0</v>
      </c>
      <c r="AZ64" s="367">
        <f t="shared" ca="1" si="10"/>
        <v>0</v>
      </c>
      <c r="BA64" s="367">
        <f t="shared" ca="1" si="10"/>
        <v>0</v>
      </c>
      <c r="BB64" s="367">
        <f t="shared" ca="1" si="10"/>
        <v>0</v>
      </c>
      <c r="BC64" s="367">
        <f t="shared" ca="1" si="10"/>
        <v>0</v>
      </c>
      <c r="BD64" s="367">
        <f t="shared" ca="1" si="10"/>
        <v>0</v>
      </c>
      <c r="BE64" s="367">
        <f t="shared" ca="1" si="10"/>
        <v>0</v>
      </c>
      <c r="BF64" s="367">
        <f t="shared" ca="1" si="10"/>
        <v>0</v>
      </c>
      <c r="BG64" s="367">
        <f t="shared" ca="1" si="10"/>
        <v>0</v>
      </c>
      <c r="BH64" s="367">
        <f t="shared" ca="1" si="10"/>
        <v>0</v>
      </c>
      <c r="BI64" s="367">
        <f t="shared" ca="1" si="10"/>
        <v>0</v>
      </c>
    </row>
    <row r="65" spans="1:61" outlineLevel="1" x14ac:dyDescent="0.15">
      <c r="A65" s="377">
        <v>11</v>
      </c>
      <c r="B65" s="367" t="str">
        <f t="shared" ca="1" si="7"/>
        <v/>
      </c>
      <c r="C65" s="367" t="str">
        <f t="shared" ca="1" si="7"/>
        <v/>
      </c>
      <c r="D65" s="367" t="str">
        <f t="shared" ca="1" si="7"/>
        <v/>
      </c>
      <c r="E65" s="367" t="str">
        <f t="shared" ca="1" si="7"/>
        <v/>
      </c>
      <c r="F65" s="367" t="str">
        <f t="shared" ca="1" si="7"/>
        <v/>
      </c>
      <c r="G65" s="367" t="str">
        <f t="shared" ca="1" si="7"/>
        <v/>
      </c>
      <c r="H65" s="367" t="str">
        <f t="shared" ca="1" si="7"/>
        <v/>
      </c>
      <c r="I65" s="367" t="str">
        <f t="shared" ca="1" si="7"/>
        <v/>
      </c>
      <c r="J65" s="367" t="str">
        <f t="shared" ca="1" si="7"/>
        <v/>
      </c>
      <c r="K65" s="367" t="str">
        <f t="shared" ca="1" si="7"/>
        <v/>
      </c>
      <c r="L65" s="367">
        <f t="shared" ca="1" si="7"/>
        <v>0</v>
      </c>
      <c r="M65" s="367">
        <f t="shared" ca="1" si="7"/>
        <v>0</v>
      </c>
      <c r="N65" s="367">
        <f t="shared" ca="1" si="7"/>
        <v>0</v>
      </c>
      <c r="O65" s="367">
        <f t="shared" ca="1" si="7"/>
        <v>0</v>
      </c>
      <c r="P65" s="367">
        <f t="shared" ca="1" si="7"/>
        <v>0</v>
      </c>
      <c r="Q65" s="367">
        <f t="shared" ca="1" si="7"/>
        <v>0</v>
      </c>
      <c r="R65" s="367" t="e">
        <f t="shared" ca="1" si="10"/>
        <v>#REF!</v>
      </c>
      <c r="S65" s="367" t="e">
        <f t="shared" ca="1" si="10"/>
        <v>#REF!</v>
      </c>
      <c r="T65" s="367" t="e">
        <f t="shared" ca="1" si="10"/>
        <v>#REF!</v>
      </c>
      <c r="U65" s="367">
        <f t="shared" ca="1" si="10"/>
        <v>0</v>
      </c>
      <c r="V65" s="367">
        <f t="shared" ca="1" si="10"/>
        <v>0</v>
      </c>
      <c r="W65" s="367">
        <f t="shared" ca="1" si="10"/>
        <v>0</v>
      </c>
      <c r="X65" s="367">
        <f t="shared" ca="1" si="10"/>
        <v>0</v>
      </c>
      <c r="Y65" s="367">
        <f t="shared" ca="1" si="10"/>
        <v>0</v>
      </c>
      <c r="Z65" s="367">
        <f t="shared" ca="1" si="10"/>
        <v>0</v>
      </c>
      <c r="AA65" s="367">
        <f t="shared" ca="1" si="10"/>
        <v>0</v>
      </c>
      <c r="AB65" s="367">
        <f t="shared" ca="1" si="10"/>
        <v>0</v>
      </c>
      <c r="AC65" s="367">
        <f t="shared" ca="1" si="10"/>
        <v>0</v>
      </c>
      <c r="AD65" s="367">
        <f t="shared" ca="1" si="10"/>
        <v>0</v>
      </c>
      <c r="AE65" s="367">
        <f t="shared" ca="1" si="10"/>
        <v>0</v>
      </c>
      <c r="AF65" s="367">
        <f t="shared" ca="1" si="10"/>
        <v>0</v>
      </c>
      <c r="AG65" s="367">
        <f t="shared" ca="1" si="10"/>
        <v>0</v>
      </c>
      <c r="AH65" s="367">
        <f t="shared" ca="1" si="10"/>
        <v>0</v>
      </c>
      <c r="AI65" s="367">
        <f t="shared" ca="1" si="10"/>
        <v>0</v>
      </c>
      <c r="AJ65" s="367">
        <f t="shared" ca="1" si="10"/>
        <v>0</v>
      </c>
      <c r="AK65" s="367">
        <f t="shared" ca="1" si="10"/>
        <v>0</v>
      </c>
      <c r="AL65" s="367">
        <f t="shared" ca="1" si="10"/>
        <v>0</v>
      </c>
      <c r="AM65" s="367">
        <f t="shared" ca="1" si="10"/>
        <v>0</v>
      </c>
      <c r="AN65" s="367">
        <f t="shared" ca="1" si="10"/>
        <v>0</v>
      </c>
      <c r="AO65" s="367">
        <f t="shared" ca="1" si="10"/>
        <v>0</v>
      </c>
      <c r="AP65" s="367">
        <f t="shared" ca="1" si="10"/>
        <v>0</v>
      </c>
      <c r="AQ65" s="367">
        <f t="shared" ca="1" si="10"/>
        <v>0</v>
      </c>
      <c r="AR65" s="367">
        <f t="shared" ca="1" si="10"/>
        <v>0</v>
      </c>
      <c r="AS65" s="367">
        <f t="shared" ca="1" si="10"/>
        <v>0</v>
      </c>
      <c r="AT65" s="367">
        <f t="shared" ca="1" si="10"/>
        <v>0</v>
      </c>
      <c r="AU65" s="367">
        <f t="shared" ca="1" si="10"/>
        <v>0</v>
      </c>
      <c r="AV65" s="367">
        <f t="shared" ca="1" si="10"/>
        <v>0</v>
      </c>
      <c r="AW65" s="367">
        <f t="shared" ca="1" si="10"/>
        <v>0</v>
      </c>
      <c r="AX65" s="367">
        <f t="shared" ca="1" si="10"/>
        <v>0</v>
      </c>
      <c r="AY65" s="367">
        <f t="shared" ca="1" si="10"/>
        <v>0</v>
      </c>
      <c r="AZ65" s="367">
        <f t="shared" ca="1" si="10"/>
        <v>0</v>
      </c>
      <c r="BA65" s="367">
        <f t="shared" ca="1" si="10"/>
        <v>0</v>
      </c>
      <c r="BB65" s="367">
        <f t="shared" ca="1" si="10"/>
        <v>0</v>
      </c>
      <c r="BC65" s="367">
        <f t="shared" ca="1" si="10"/>
        <v>0</v>
      </c>
      <c r="BD65" s="367">
        <f t="shared" ca="1" si="10"/>
        <v>0</v>
      </c>
      <c r="BE65" s="367">
        <f t="shared" ca="1" si="10"/>
        <v>0</v>
      </c>
      <c r="BF65" s="367">
        <f t="shared" ca="1" si="10"/>
        <v>0</v>
      </c>
      <c r="BG65" s="367">
        <f t="shared" ca="1" si="10"/>
        <v>0</v>
      </c>
      <c r="BH65" s="367">
        <f t="shared" ca="1" si="10"/>
        <v>0</v>
      </c>
      <c r="BI65" s="367">
        <f t="shared" ca="1" si="10"/>
        <v>0</v>
      </c>
    </row>
    <row r="66" spans="1:61" outlineLevel="1" x14ac:dyDescent="0.15">
      <c r="A66" s="377">
        <v>12</v>
      </c>
      <c r="B66" s="367" t="str">
        <f t="shared" ca="1" si="7"/>
        <v/>
      </c>
      <c r="C66" s="367" t="str">
        <f t="shared" ca="1" si="7"/>
        <v/>
      </c>
      <c r="D66" s="367" t="str">
        <f t="shared" ca="1" si="7"/>
        <v/>
      </c>
      <c r="E66" s="367" t="str">
        <f t="shared" ca="1" si="7"/>
        <v/>
      </c>
      <c r="F66" s="367" t="str">
        <f t="shared" ca="1" si="7"/>
        <v/>
      </c>
      <c r="G66" s="367" t="str">
        <f t="shared" ca="1" si="7"/>
        <v/>
      </c>
      <c r="H66" s="367" t="str">
        <f t="shared" ca="1" si="7"/>
        <v/>
      </c>
      <c r="I66" s="367" t="str">
        <f t="shared" ca="1" si="7"/>
        <v/>
      </c>
      <c r="J66" s="367" t="str">
        <f t="shared" ca="1" si="7"/>
        <v/>
      </c>
      <c r="K66" s="367" t="str">
        <f t="shared" ca="1" si="7"/>
        <v/>
      </c>
      <c r="L66" s="367" t="str">
        <f t="shared" ca="1" si="7"/>
        <v/>
      </c>
      <c r="M66" s="367">
        <f t="shared" ca="1" si="7"/>
        <v>0</v>
      </c>
      <c r="N66" s="367">
        <f t="shared" ca="1" si="7"/>
        <v>0</v>
      </c>
      <c r="O66" s="367">
        <f t="shared" ca="1" si="7"/>
        <v>0</v>
      </c>
      <c r="P66" s="367">
        <f t="shared" ca="1" si="7"/>
        <v>0</v>
      </c>
      <c r="Q66" s="367">
        <f t="shared" ca="1" si="7"/>
        <v>0</v>
      </c>
      <c r="R66" s="367">
        <f t="shared" ca="1" si="10"/>
        <v>0</v>
      </c>
      <c r="S66" s="367" t="e">
        <f t="shared" ca="1" si="10"/>
        <v>#REF!</v>
      </c>
      <c r="T66" s="367" t="e">
        <f t="shared" ca="1" si="10"/>
        <v>#REF!</v>
      </c>
      <c r="U66" s="367" t="e">
        <f t="shared" ca="1" si="10"/>
        <v>#REF!</v>
      </c>
      <c r="V66" s="367">
        <f t="shared" ca="1" si="10"/>
        <v>0</v>
      </c>
      <c r="W66" s="367">
        <f t="shared" ca="1" si="10"/>
        <v>0</v>
      </c>
      <c r="X66" s="367">
        <f t="shared" ca="1" si="10"/>
        <v>0</v>
      </c>
      <c r="Y66" s="367">
        <f t="shared" ca="1" si="10"/>
        <v>0</v>
      </c>
      <c r="Z66" s="367">
        <f t="shared" ca="1" si="10"/>
        <v>0</v>
      </c>
      <c r="AA66" s="367">
        <f t="shared" ca="1" si="10"/>
        <v>0</v>
      </c>
      <c r="AB66" s="367">
        <f t="shared" ca="1" si="10"/>
        <v>0</v>
      </c>
      <c r="AC66" s="367">
        <f t="shared" ca="1" si="10"/>
        <v>0</v>
      </c>
      <c r="AD66" s="367">
        <f t="shared" ca="1" si="10"/>
        <v>0</v>
      </c>
      <c r="AE66" s="367">
        <f t="shared" ca="1" si="10"/>
        <v>0</v>
      </c>
      <c r="AF66" s="367">
        <f t="shared" ca="1" si="10"/>
        <v>0</v>
      </c>
      <c r="AG66" s="367">
        <f t="shared" ca="1" si="10"/>
        <v>0</v>
      </c>
      <c r="AH66" s="367">
        <f t="shared" ca="1" si="10"/>
        <v>0</v>
      </c>
      <c r="AI66" s="367">
        <f t="shared" ca="1" si="10"/>
        <v>0</v>
      </c>
      <c r="AJ66" s="367">
        <f t="shared" ca="1" si="10"/>
        <v>0</v>
      </c>
      <c r="AK66" s="367">
        <f t="shared" ca="1" si="10"/>
        <v>0</v>
      </c>
      <c r="AL66" s="367">
        <f t="shared" ca="1" si="10"/>
        <v>0</v>
      </c>
      <c r="AM66" s="367">
        <f t="shared" ca="1" si="10"/>
        <v>0</v>
      </c>
      <c r="AN66" s="367">
        <f t="shared" ca="1" si="10"/>
        <v>0</v>
      </c>
      <c r="AO66" s="367">
        <f t="shared" ca="1" si="10"/>
        <v>0</v>
      </c>
      <c r="AP66" s="367">
        <f t="shared" ca="1" si="10"/>
        <v>0</v>
      </c>
      <c r="AQ66" s="367">
        <f t="shared" ca="1" si="10"/>
        <v>0</v>
      </c>
      <c r="AR66" s="367">
        <f t="shared" ca="1" si="10"/>
        <v>0</v>
      </c>
      <c r="AS66" s="367">
        <f t="shared" ca="1" si="10"/>
        <v>0</v>
      </c>
      <c r="AT66" s="367">
        <f t="shared" ca="1" si="10"/>
        <v>0</v>
      </c>
      <c r="AU66" s="367">
        <f t="shared" ca="1" si="10"/>
        <v>0</v>
      </c>
      <c r="AV66" s="367">
        <f t="shared" ca="1" si="10"/>
        <v>0</v>
      </c>
      <c r="AW66" s="367">
        <f t="shared" ca="1" si="10"/>
        <v>0</v>
      </c>
      <c r="AX66" s="367">
        <f t="shared" ca="1" si="10"/>
        <v>0</v>
      </c>
      <c r="AY66" s="367">
        <f t="shared" ca="1" si="10"/>
        <v>0</v>
      </c>
      <c r="AZ66" s="367">
        <f t="shared" ca="1" si="10"/>
        <v>0</v>
      </c>
      <c r="BA66" s="367">
        <f t="shared" ref="BA66:DG71" ca="1" si="11">IF($A66&gt;BA$5,"",OFFSET(BA$54,0,-($A66-1)))</f>
        <v>0</v>
      </c>
      <c r="BB66" s="367">
        <f t="shared" ca="1" si="11"/>
        <v>0</v>
      </c>
      <c r="BC66" s="367">
        <f t="shared" ca="1" si="11"/>
        <v>0</v>
      </c>
      <c r="BD66" s="367">
        <f t="shared" ca="1" si="11"/>
        <v>0</v>
      </c>
      <c r="BE66" s="367">
        <f t="shared" ca="1" si="11"/>
        <v>0</v>
      </c>
      <c r="BF66" s="367">
        <f t="shared" ca="1" si="11"/>
        <v>0</v>
      </c>
      <c r="BG66" s="367">
        <f t="shared" ca="1" si="11"/>
        <v>0</v>
      </c>
      <c r="BH66" s="367">
        <f t="shared" ca="1" si="11"/>
        <v>0</v>
      </c>
      <c r="BI66" s="367">
        <f t="shared" ca="1" si="11"/>
        <v>0</v>
      </c>
    </row>
    <row r="67" spans="1:61" outlineLevel="1" x14ac:dyDescent="0.15">
      <c r="A67" s="377">
        <v>13</v>
      </c>
      <c r="B67" s="367" t="str">
        <f t="shared" ca="1" si="7"/>
        <v/>
      </c>
      <c r="C67" s="367" t="str">
        <f t="shared" ca="1" si="7"/>
        <v/>
      </c>
      <c r="D67" s="367" t="str">
        <f t="shared" ca="1" si="7"/>
        <v/>
      </c>
      <c r="E67" s="367" t="str">
        <f t="shared" ca="1" si="7"/>
        <v/>
      </c>
      <c r="F67" s="367" t="str">
        <f t="shared" ca="1" si="7"/>
        <v/>
      </c>
      <c r="G67" s="367" t="str">
        <f t="shared" ca="1" si="7"/>
        <v/>
      </c>
      <c r="H67" s="367" t="str">
        <f t="shared" ca="1" si="7"/>
        <v/>
      </c>
      <c r="I67" s="367" t="str">
        <f t="shared" ca="1" si="7"/>
        <v/>
      </c>
      <c r="J67" s="367" t="str">
        <f t="shared" ca="1" si="7"/>
        <v/>
      </c>
      <c r="K67" s="367" t="str">
        <f t="shared" ca="1" si="7"/>
        <v/>
      </c>
      <c r="L67" s="367" t="str">
        <f t="shared" ca="1" si="7"/>
        <v/>
      </c>
      <c r="M67" s="367" t="str">
        <f t="shared" ca="1" si="7"/>
        <v/>
      </c>
      <c r="N67" s="367">
        <f t="shared" ca="1" si="7"/>
        <v>0</v>
      </c>
      <c r="O67" s="367">
        <f t="shared" ca="1" si="7"/>
        <v>0</v>
      </c>
      <c r="P67" s="367">
        <f t="shared" ca="1" si="7"/>
        <v>0</v>
      </c>
      <c r="Q67" s="367">
        <f t="shared" ca="1" si="7"/>
        <v>0</v>
      </c>
      <c r="R67" s="367">
        <f t="shared" ref="R67:BX72" ca="1" si="12">IF($A67&gt;R$5,"",OFFSET(R$54,0,-($A67-1)))</f>
        <v>0</v>
      </c>
      <c r="S67" s="367">
        <f t="shared" ca="1" si="12"/>
        <v>0</v>
      </c>
      <c r="T67" s="367" t="e">
        <f t="shared" ca="1" si="12"/>
        <v>#REF!</v>
      </c>
      <c r="U67" s="367" t="e">
        <f t="shared" ca="1" si="12"/>
        <v>#REF!</v>
      </c>
      <c r="V67" s="367" t="e">
        <f t="shared" ca="1" si="12"/>
        <v>#REF!</v>
      </c>
      <c r="W67" s="367">
        <f t="shared" ca="1" si="12"/>
        <v>0</v>
      </c>
      <c r="X67" s="367">
        <f t="shared" ca="1" si="12"/>
        <v>0</v>
      </c>
      <c r="Y67" s="367">
        <f t="shared" ca="1" si="12"/>
        <v>0</v>
      </c>
      <c r="Z67" s="367">
        <f t="shared" ca="1" si="12"/>
        <v>0</v>
      </c>
      <c r="AA67" s="367">
        <f t="shared" ca="1" si="12"/>
        <v>0</v>
      </c>
      <c r="AB67" s="367">
        <f t="shared" ca="1" si="12"/>
        <v>0</v>
      </c>
      <c r="AC67" s="367">
        <f t="shared" ca="1" si="12"/>
        <v>0</v>
      </c>
      <c r="AD67" s="367">
        <f t="shared" ca="1" si="12"/>
        <v>0</v>
      </c>
      <c r="AE67" s="367">
        <f t="shared" ca="1" si="12"/>
        <v>0</v>
      </c>
      <c r="AF67" s="367">
        <f t="shared" ca="1" si="12"/>
        <v>0</v>
      </c>
      <c r="AG67" s="367">
        <f t="shared" ca="1" si="12"/>
        <v>0</v>
      </c>
      <c r="AH67" s="367">
        <f t="shared" ca="1" si="12"/>
        <v>0</v>
      </c>
      <c r="AI67" s="367">
        <f t="shared" ca="1" si="12"/>
        <v>0</v>
      </c>
      <c r="AJ67" s="367">
        <f t="shared" ca="1" si="12"/>
        <v>0</v>
      </c>
      <c r="AK67" s="367">
        <f t="shared" ca="1" si="12"/>
        <v>0</v>
      </c>
      <c r="AL67" s="367">
        <f t="shared" ca="1" si="12"/>
        <v>0</v>
      </c>
      <c r="AM67" s="367">
        <f t="shared" ca="1" si="12"/>
        <v>0</v>
      </c>
      <c r="AN67" s="367">
        <f t="shared" ca="1" si="12"/>
        <v>0</v>
      </c>
      <c r="AO67" s="367">
        <f t="shared" ca="1" si="12"/>
        <v>0</v>
      </c>
      <c r="AP67" s="367">
        <f t="shared" ca="1" si="12"/>
        <v>0</v>
      </c>
      <c r="AQ67" s="367">
        <f t="shared" ca="1" si="12"/>
        <v>0</v>
      </c>
      <c r="AR67" s="367">
        <f t="shared" ca="1" si="12"/>
        <v>0</v>
      </c>
      <c r="AS67" s="367">
        <f t="shared" ca="1" si="12"/>
        <v>0</v>
      </c>
      <c r="AT67" s="367">
        <f t="shared" ca="1" si="12"/>
        <v>0</v>
      </c>
      <c r="AU67" s="367">
        <f t="shared" ca="1" si="12"/>
        <v>0</v>
      </c>
      <c r="AV67" s="367">
        <f t="shared" ca="1" si="12"/>
        <v>0</v>
      </c>
      <c r="AW67" s="367">
        <f t="shared" ca="1" si="12"/>
        <v>0</v>
      </c>
      <c r="AX67" s="367">
        <f t="shared" ca="1" si="12"/>
        <v>0</v>
      </c>
      <c r="AY67" s="367">
        <f t="shared" ca="1" si="12"/>
        <v>0</v>
      </c>
      <c r="AZ67" s="367">
        <f t="shared" ca="1" si="12"/>
        <v>0</v>
      </c>
      <c r="BA67" s="367">
        <f t="shared" ca="1" si="12"/>
        <v>0</v>
      </c>
      <c r="BB67" s="367">
        <f t="shared" ca="1" si="12"/>
        <v>0</v>
      </c>
      <c r="BC67" s="367">
        <f t="shared" ca="1" si="12"/>
        <v>0</v>
      </c>
      <c r="BD67" s="367">
        <f t="shared" ca="1" si="12"/>
        <v>0</v>
      </c>
      <c r="BE67" s="367">
        <f t="shared" ca="1" si="12"/>
        <v>0</v>
      </c>
      <c r="BF67" s="367">
        <f t="shared" ca="1" si="12"/>
        <v>0</v>
      </c>
      <c r="BG67" s="367">
        <f t="shared" ca="1" si="12"/>
        <v>0</v>
      </c>
      <c r="BH67" s="367">
        <f t="shared" ca="1" si="12"/>
        <v>0</v>
      </c>
      <c r="BI67" s="367">
        <f t="shared" ca="1" si="12"/>
        <v>0</v>
      </c>
    </row>
    <row r="68" spans="1:61" outlineLevel="1" x14ac:dyDescent="0.15">
      <c r="A68" s="377">
        <v>14</v>
      </c>
      <c r="B68" s="367" t="str">
        <f t="shared" ca="1" si="7"/>
        <v/>
      </c>
      <c r="C68" s="367" t="str">
        <f t="shared" ca="1" si="7"/>
        <v/>
      </c>
      <c r="D68" s="367" t="str">
        <f t="shared" ca="1" si="7"/>
        <v/>
      </c>
      <c r="E68" s="367" t="str">
        <f t="shared" ca="1" si="7"/>
        <v/>
      </c>
      <c r="F68" s="367" t="str">
        <f t="shared" ca="1" si="7"/>
        <v/>
      </c>
      <c r="G68" s="367" t="str">
        <f t="shared" ca="1" si="7"/>
        <v/>
      </c>
      <c r="H68" s="367" t="str">
        <f t="shared" ca="1" si="7"/>
        <v/>
      </c>
      <c r="I68" s="367" t="str">
        <f t="shared" ca="1" si="7"/>
        <v/>
      </c>
      <c r="J68" s="367" t="str">
        <f t="shared" ca="1" si="7"/>
        <v/>
      </c>
      <c r="K68" s="367" t="str">
        <f t="shared" ca="1" si="7"/>
        <v/>
      </c>
      <c r="L68" s="367" t="str">
        <f t="shared" ca="1" si="7"/>
        <v/>
      </c>
      <c r="M68" s="367" t="str">
        <f t="shared" ca="1" si="7"/>
        <v/>
      </c>
      <c r="N68" s="367" t="str">
        <f t="shared" ca="1" si="7"/>
        <v/>
      </c>
      <c r="O68" s="367">
        <f t="shared" ca="1" si="7"/>
        <v>0</v>
      </c>
      <c r="P68" s="367">
        <f t="shared" ca="1" si="7"/>
        <v>0</v>
      </c>
      <c r="Q68" s="367">
        <f t="shared" ca="1" si="7"/>
        <v>0</v>
      </c>
      <c r="R68" s="367">
        <f t="shared" ca="1" si="12"/>
        <v>0</v>
      </c>
      <c r="S68" s="367">
        <f t="shared" ca="1" si="12"/>
        <v>0</v>
      </c>
      <c r="T68" s="367">
        <f t="shared" ca="1" si="12"/>
        <v>0</v>
      </c>
      <c r="U68" s="367" t="e">
        <f t="shared" ca="1" si="12"/>
        <v>#REF!</v>
      </c>
      <c r="V68" s="367" t="e">
        <f t="shared" ca="1" si="12"/>
        <v>#REF!</v>
      </c>
      <c r="W68" s="367" t="e">
        <f t="shared" ca="1" si="12"/>
        <v>#REF!</v>
      </c>
      <c r="X68" s="367">
        <f t="shared" ca="1" si="12"/>
        <v>0</v>
      </c>
      <c r="Y68" s="367">
        <f t="shared" ca="1" si="12"/>
        <v>0</v>
      </c>
      <c r="Z68" s="367">
        <f t="shared" ca="1" si="12"/>
        <v>0</v>
      </c>
      <c r="AA68" s="367">
        <f t="shared" ca="1" si="12"/>
        <v>0</v>
      </c>
      <c r="AB68" s="367">
        <f t="shared" ca="1" si="12"/>
        <v>0</v>
      </c>
      <c r="AC68" s="367">
        <f t="shared" ca="1" si="12"/>
        <v>0</v>
      </c>
      <c r="AD68" s="367">
        <f t="shared" ca="1" si="12"/>
        <v>0</v>
      </c>
      <c r="AE68" s="367">
        <f t="shared" ca="1" si="12"/>
        <v>0</v>
      </c>
      <c r="AF68" s="367">
        <f t="shared" ca="1" si="12"/>
        <v>0</v>
      </c>
      <c r="AG68" s="367">
        <f t="shared" ca="1" si="12"/>
        <v>0</v>
      </c>
      <c r="AH68" s="367">
        <f t="shared" ca="1" si="12"/>
        <v>0</v>
      </c>
      <c r="AI68" s="367">
        <f t="shared" ca="1" si="12"/>
        <v>0</v>
      </c>
      <c r="AJ68" s="367">
        <f t="shared" ca="1" si="12"/>
        <v>0</v>
      </c>
      <c r="AK68" s="367">
        <f t="shared" ca="1" si="12"/>
        <v>0</v>
      </c>
      <c r="AL68" s="367">
        <f t="shared" ca="1" si="12"/>
        <v>0</v>
      </c>
      <c r="AM68" s="367">
        <f t="shared" ca="1" si="12"/>
        <v>0</v>
      </c>
      <c r="AN68" s="367">
        <f t="shared" ca="1" si="12"/>
        <v>0</v>
      </c>
      <c r="AO68" s="367">
        <f t="shared" ca="1" si="12"/>
        <v>0</v>
      </c>
      <c r="AP68" s="367">
        <f t="shared" ca="1" si="12"/>
        <v>0</v>
      </c>
      <c r="AQ68" s="367">
        <f t="shared" ca="1" si="12"/>
        <v>0</v>
      </c>
      <c r="AR68" s="367">
        <f t="shared" ca="1" si="12"/>
        <v>0</v>
      </c>
      <c r="AS68" s="367">
        <f t="shared" ca="1" si="12"/>
        <v>0</v>
      </c>
      <c r="AT68" s="367">
        <f t="shared" ca="1" si="12"/>
        <v>0</v>
      </c>
      <c r="AU68" s="367">
        <f t="shared" ca="1" si="12"/>
        <v>0</v>
      </c>
      <c r="AV68" s="367">
        <f t="shared" ca="1" si="12"/>
        <v>0</v>
      </c>
      <c r="AW68" s="367">
        <f t="shared" ca="1" si="12"/>
        <v>0</v>
      </c>
      <c r="AX68" s="367">
        <f t="shared" ca="1" si="12"/>
        <v>0</v>
      </c>
      <c r="AY68" s="367">
        <f t="shared" ca="1" si="12"/>
        <v>0</v>
      </c>
      <c r="AZ68" s="367">
        <f t="shared" ca="1" si="12"/>
        <v>0</v>
      </c>
      <c r="BA68" s="367">
        <f t="shared" ca="1" si="12"/>
        <v>0</v>
      </c>
      <c r="BB68" s="367">
        <f t="shared" ca="1" si="12"/>
        <v>0</v>
      </c>
      <c r="BC68" s="367">
        <f t="shared" ca="1" si="12"/>
        <v>0</v>
      </c>
      <c r="BD68" s="367">
        <f t="shared" ca="1" si="12"/>
        <v>0</v>
      </c>
      <c r="BE68" s="367">
        <f t="shared" ca="1" si="12"/>
        <v>0</v>
      </c>
      <c r="BF68" s="367">
        <f t="shared" ca="1" si="12"/>
        <v>0</v>
      </c>
      <c r="BG68" s="367">
        <f t="shared" ca="1" si="12"/>
        <v>0</v>
      </c>
      <c r="BH68" s="367">
        <f t="shared" ca="1" si="12"/>
        <v>0</v>
      </c>
      <c r="BI68" s="367">
        <f t="shared" ca="1" si="12"/>
        <v>0</v>
      </c>
    </row>
    <row r="69" spans="1:61" outlineLevel="1" x14ac:dyDescent="0.15">
      <c r="A69" s="377">
        <v>15</v>
      </c>
      <c r="B69" s="367" t="str">
        <f t="shared" ca="1" si="7"/>
        <v/>
      </c>
      <c r="C69" s="367" t="str">
        <f t="shared" ca="1" si="7"/>
        <v/>
      </c>
      <c r="D69" s="367" t="str">
        <f t="shared" ca="1" si="7"/>
        <v/>
      </c>
      <c r="E69" s="367" t="str">
        <f t="shared" ca="1" si="7"/>
        <v/>
      </c>
      <c r="F69" s="367" t="str">
        <f t="shared" ca="1" si="7"/>
        <v/>
      </c>
      <c r="G69" s="367" t="str">
        <f t="shared" ca="1" si="7"/>
        <v/>
      </c>
      <c r="H69" s="367" t="str">
        <f t="shared" ca="1" si="7"/>
        <v/>
      </c>
      <c r="I69" s="367" t="str">
        <f t="shared" ca="1" si="7"/>
        <v/>
      </c>
      <c r="J69" s="367" t="str">
        <f t="shared" ca="1" si="7"/>
        <v/>
      </c>
      <c r="K69" s="367" t="str">
        <f t="shared" ca="1" si="7"/>
        <v/>
      </c>
      <c r="L69" s="367" t="str">
        <f t="shared" ca="1" si="7"/>
        <v/>
      </c>
      <c r="M69" s="367" t="str">
        <f t="shared" ca="1" si="7"/>
        <v/>
      </c>
      <c r="N69" s="367" t="str">
        <f t="shared" ca="1" si="7"/>
        <v/>
      </c>
      <c r="O69" s="367" t="str">
        <f t="shared" ca="1" si="7"/>
        <v/>
      </c>
      <c r="P69" s="367">
        <f t="shared" ca="1" si="7"/>
        <v>0</v>
      </c>
      <c r="Q69" s="367">
        <f t="shared" ca="1" si="7"/>
        <v>0</v>
      </c>
      <c r="R69" s="367">
        <f t="shared" ca="1" si="12"/>
        <v>0</v>
      </c>
      <c r="S69" s="367">
        <f t="shared" ca="1" si="12"/>
        <v>0</v>
      </c>
      <c r="T69" s="367">
        <f t="shared" ca="1" si="12"/>
        <v>0</v>
      </c>
      <c r="U69" s="367">
        <f t="shared" ca="1" si="12"/>
        <v>0</v>
      </c>
      <c r="V69" s="367" t="e">
        <f t="shared" ca="1" si="12"/>
        <v>#REF!</v>
      </c>
      <c r="W69" s="367" t="e">
        <f t="shared" ca="1" si="12"/>
        <v>#REF!</v>
      </c>
      <c r="X69" s="367" t="e">
        <f t="shared" ca="1" si="12"/>
        <v>#REF!</v>
      </c>
      <c r="Y69" s="367">
        <f t="shared" ca="1" si="12"/>
        <v>0</v>
      </c>
      <c r="Z69" s="367">
        <f t="shared" ca="1" si="12"/>
        <v>0</v>
      </c>
      <c r="AA69" s="367">
        <f t="shared" ca="1" si="12"/>
        <v>0</v>
      </c>
      <c r="AB69" s="367">
        <f t="shared" ca="1" si="12"/>
        <v>0</v>
      </c>
      <c r="AC69" s="367">
        <f t="shared" ca="1" si="12"/>
        <v>0</v>
      </c>
      <c r="AD69" s="367">
        <f t="shared" ca="1" si="12"/>
        <v>0</v>
      </c>
      <c r="AE69" s="367">
        <f t="shared" ca="1" si="12"/>
        <v>0</v>
      </c>
      <c r="AF69" s="367">
        <f t="shared" ca="1" si="12"/>
        <v>0</v>
      </c>
      <c r="AG69" s="367">
        <f t="shared" ca="1" si="12"/>
        <v>0</v>
      </c>
      <c r="AH69" s="367">
        <f t="shared" ca="1" si="12"/>
        <v>0</v>
      </c>
      <c r="AI69" s="367">
        <f t="shared" ca="1" si="12"/>
        <v>0</v>
      </c>
      <c r="AJ69" s="367">
        <f t="shared" ca="1" si="12"/>
        <v>0</v>
      </c>
      <c r="AK69" s="367">
        <f t="shared" ca="1" si="12"/>
        <v>0</v>
      </c>
      <c r="AL69" s="367">
        <f t="shared" ca="1" si="12"/>
        <v>0</v>
      </c>
      <c r="AM69" s="367">
        <f t="shared" ca="1" si="12"/>
        <v>0</v>
      </c>
      <c r="AN69" s="367">
        <f t="shared" ca="1" si="12"/>
        <v>0</v>
      </c>
      <c r="AO69" s="367">
        <f t="shared" ca="1" si="12"/>
        <v>0</v>
      </c>
      <c r="AP69" s="367">
        <f t="shared" ca="1" si="12"/>
        <v>0</v>
      </c>
      <c r="AQ69" s="367">
        <f t="shared" ca="1" si="12"/>
        <v>0</v>
      </c>
      <c r="AR69" s="367">
        <f t="shared" ca="1" si="12"/>
        <v>0</v>
      </c>
      <c r="AS69" s="367">
        <f t="shared" ca="1" si="12"/>
        <v>0</v>
      </c>
      <c r="AT69" s="367">
        <f t="shared" ca="1" si="12"/>
        <v>0</v>
      </c>
      <c r="AU69" s="367">
        <f t="shared" ca="1" si="12"/>
        <v>0</v>
      </c>
      <c r="AV69" s="367">
        <f t="shared" ca="1" si="12"/>
        <v>0</v>
      </c>
      <c r="AW69" s="367">
        <f t="shared" ca="1" si="12"/>
        <v>0</v>
      </c>
      <c r="AX69" s="367">
        <f t="shared" ca="1" si="12"/>
        <v>0</v>
      </c>
      <c r="AY69" s="367">
        <f t="shared" ca="1" si="12"/>
        <v>0</v>
      </c>
      <c r="AZ69" s="367">
        <f t="shared" ca="1" si="12"/>
        <v>0</v>
      </c>
      <c r="BA69" s="367">
        <f t="shared" ca="1" si="12"/>
        <v>0</v>
      </c>
      <c r="BB69" s="367">
        <f t="shared" ca="1" si="12"/>
        <v>0</v>
      </c>
      <c r="BC69" s="367">
        <f t="shared" ca="1" si="12"/>
        <v>0</v>
      </c>
      <c r="BD69" s="367">
        <f t="shared" ca="1" si="12"/>
        <v>0</v>
      </c>
      <c r="BE69" s="367">
        <f t="shared" ca="1" si="12"/>
        <v>0</v>
      </c>
      <c r="BF69" s="367">
        <f t="shared" ca="1" si="12"/>
        <v>0</v>
      </c>
      <c r="BG69" s="367">
        <f t="shared" ca="1" si="12"/>
        <v>0</v>
      </c>
      <c r="BH69" s="367">
        <f t="shared" ca="1" si="12"/>
        <v>0</v>
      </c>
      <c r="BI69" s="367">
        <f t="shared" ca="1" si="12"/>
        <v>0</v>
      </c>
    </row>
    <row r="70" spans="1:61" outlineLevel="1" x14ac:dyDescent="0.15">
      <c r="A70" s="377">
        <v>16</v>
      </c>
      <c r="B70" s="367" t="str">
        <f t="shared" ca="1" si="7"/>
        <v/>
      </c>
      <c r="C70" s="367" t="str">
        <f t="shared" ca="1" si="7"/>
        <v/>
      </c>
      <c r="D70" s="367" t="str">
        <f t="shared" ca="1" si="7"/>
        <v/>
      </c>
      <c r="E70" s="367" t="str">
        <f t="shared" ca="1" si="7"/>
        <v/>
      </c>
      <c r="F70" s="367" t="str">
        <f t="shared" ca="1" si="7"/>
        <v/>
      </c>
      <c r="G70" s="367" t="str">
        <f t="shared" ca="1" si="7"/>
        <v/>
      </c>
      <c r="H70" s="367" t="str">
        <f t="shared" ca="1" si="7"/>
        <v/>
      </c>
      <c r="I70" s="367" t="str">
        <f t="shared" ca="1" si="7"/>
        <v/>
      </c>
      <c r="J70" s="367" t="str">
        <f t="shared" ca="1" si="7"/>
        <v/>
      </c>
      <c r="K70" s="367" t="str">
        <f t="shared" ca="1" si="7"/>
        <v/>
      </c>
      <c r="L70" s="367" t="str">
        <f t="shared" ca="1" si="7"/>
        <v/>
      </c>
      <c r="M70" s="367" t="str">
        <f t="shared" ca="1" si="7"/>
        <v/>
      </c>
      <c r="N70" s="367" t="str">
        <f t="shared" ca="1" si="7"/>
        <v/>
      </c>
      <c r="O70" s="367" t="str">
        <f t="shared" ca="1" si="7"/>
        <v/>
      </c>
      <c r="P70" s="367" t="str">
        <f t="shared" ca="1" si="7"/>
        <v/>
      </c>
      <c r="Q70" s="367">
        <f t="shared" ref="Q70:BW75" ca="1" si="13">IF($A70&gt;Q$5,"",OFFSET(Q$54,0,-($A70-1)))</f>
        <v>0</v>
      </c>
      <c r="R70" s="367">
        <f t="shared" ca="1" si="13"/>
        <v>0</v>
      </c>
      <c r="S70" s="367">
        <f t="shared" ca="1" si="13"/>
        <v>0</v>
      </c>
      <c r="T70" s="367">
        <f t="shared" ca="1" si="13"/>
        <v>0</v>
      </c>
      <c r="U70" s="367">
        <f t="shared" ca="1" si="13"/>
        <v>0</v>
      </c>
      <c r="V70" s="367">
        <f t="shared" ca="1" si="13"/>
        <v>0</v>
      </c>
      <c r="W70" s="367" t="e">
        <f t="shared" ca="1" si="13"/>
        <v>#REF!</v>
      </c>
      <c r="X70" s="367" t="e">
        <f t="shared" ca="1" si="13"/>
        <v>#REF!</v>
      </c>
      <c r="Y70" s="367" t="e">
        <f t="shared" ca="1" si="13"/>
        <v>#REF!</v>
      </c>
      <c r="Z70" s="367">
        <f t="shared" ca="1" si="13"/>
        <v>0</v>
      </c>
      <c r="AA70" s="367">
        <f t="shared" ca="1" si="13"/>
        <v>0</v>
      </c>
      <c r="AB70" s="367">
        <f t="shared" ca="1" si="13"/>
        <v>0</v>
      </c>
      <c r="AC70" s="367">
        <f t="shared" ca="1" si="13"/>
        <v>0</v>
      </c>
      <c r="AD70" s="367">
        <f t="shared" ca="1" si="13"/>
        <v>0</v>
      </c>
      <c r="AE70" s="367">
        <f t="shared" ca="1" si="13"/>
        <v>0</v>
      </c>
      <c r="AF70" s="367">
        <f t="shared" ca="1" si="13"/>
        <v>0</v>
      </c>
      <c r="AG70" s="367">
        <f t="shared" ca="1" si="13"/>
        <v>0</v>
      </c>
      <c r="AH70" s="367">
        <f t="shared" ca="1" si="13"/>
        <v>0</v>
      </c>
      <c r="AI70" s="367">
        <f t="shared" ca="1" si="13"/>
        <v>0</v>
      </c>
      <c r="AJ70" s="367">
        <f t="shared" ca="1" si="13"/>
        <v>0</v>
      </c>
      <c r="AK70" s="367">
        <f t="shared" ca="1" si="13"/>
        <v>0</v>
      </c>
      <c r="AL70" s="367">
        <f t="shared" ca="1" si="13"/>
        <v>0</v>
      </c>
      <c r="AM70" s="367">
        <f t="shared" ca="1" si="13"/>
        <v>0</v>
      </c>
      <c r="AN70" s="367">
        <f t="shared" ca="1" si="13"/>
        <v>0</v>
      </c>
      <c r="AO70" s="367">
        <f t="shared" ca="1" si="13"/>
        <v>0</v>
      </c>
      <c r="AP70" s="367">
        <f t="shared" ca="1" si="13"/>
        <v>0</v>
      </c>
      <c r="AQ70" s="367">
        <f t="shared" ca="1" si="13"/>
        <v>0</v>
      </c>
      <c r="AR70" s="367">
        <f t="shared" ca="1" si="13"/>
        <v>0</v>
      </c>
      <c r="AS70" s="367">
        <f t="shared" ca="1" si="13"/>
        <v>0</v>
      </c>
      <c r="AT70" s="367">
        <f t="shared" ca="1" si="13"/>
        <v>0</v>
      </c>
      <c r="AU70" s="367">
        <f t="shared" ca="1" si="13"/>
        <v>0</v>
      </c>
      <c r="AV70" s="367">
        <f t="shared" ca="1" si="13"/>
        <v>0</v>
      </c>
      <c r="AW70" s="367">
        <f t="shared" ca="1" si="13"/>
        <v>0</v>
      </c>
      <c r="AX70" s="367">
        <f t="shared" ca="1" si="13"/>
        <v>0</v>
      </c>
      <c r="AY70" s="367">
        <f t="shared" ca="1" si="13"/>
        <v>0</v>
      </c>
      <c r="AZ70" s="367">
        <f t="shared" ca="1" si="13"/>
        <v>0</v>
      </c>
      <c r="BA70" s="367">
        <f t="shared" ca="1" si="13"/>
        <v>0</v>
      </c>
      <c r="BB70" s="367">
        <f t="shared" ca="1" si="13"/>
        <v>0</v>
      </c>
      <c r="BC70" s="367">
        <f t="shared" ca="1" si="13"/>
        <v>0</v>
      </c>
      <c r="BD70" s="367">
        <f t="shared" ca="1" si="13"/>
        <v>0</v>
      </c>
      <c r="BE70" s="367">
        <f t="shared" ca="1" si="13"/>
        <v>0</v>
      </c>
      <c r="BF70" s="367">
        <f t="shared" ca="1" si="13"/>
        <v>0</v>
      </c>
      <c r="BG70" s="367">
        <f t="shared" ca="1" si="13"/>
        <v>0</v>
      </c>
      <c r="BH70" s="367">
        <f t="shared" ca="1" si="13"/>
        <v>0</v>
      </c>
      <c r="BI70" s="367">
        <f t="shared" ca="1" si="13"/>
        <v>0</v>
      </c>
    </row>
    <row r="71" spans="1:61" outlineLevel="1" x14ac:dyDescent="0.15">
      <c r="A71" s="377">
        <v>17</v>
      </c>
      <c r="B71" s="367" t="str">
        <f t="shared" ref="B71:Q102" ca="1" si="14">IF($A71&gt;B$5,"",OFFSET(B$54,0,-($A71-1)))</f>
        <v/>
      </c>
      <c r="C71" s="367" t="str">
        <f t="shared" ca="1" si="14"/>
        <v/>
      </c>
      <c r="D71" s="367" t="str">
        <f t="shared" ca="1" si="14"/>
        <v/>
      </c>
      <c r="E71" s="367" t="str">
        <f t="shared" ca="1" si="14"/>
        <v/>
      </c>
      <c r="F71" s="367" t="str">
        <f t="shared" ca="1" si="14"/>
        <v/>
      </c>
      <c r="G71" s="367" t="str">
        <f t="shared" ca="1" si="14"/>
        <v/>
      </c>
      <c r="H71" s="367" t="str">
        <f t="shared" ca="1" si="14"/>
        <v/>
      </c>
      <c r="I71" s="367" t="str">
        <f t="shared" ca="1" si="14"/>
        <v/>
      </c>
      <c r="J71" s="367" t="str">
        <f t="shared" ca="1" si="14"/>
        <v/>
      </c>
      <c r="K71" s="367" t="str">
        <f t="shared" ca="1" si="14"/>
        <v/>
      </c>
      <c r="L71" s="367" t="str">
        <f t="shared" ca="1" si="14"/>
        <v/>
      </c>
      <c r="M71" s="367" t="str">
        <f t="shared" ca="1" si="14"/>
        <v/>
      </c>
      <c r="N71" s="367" t="str">
        <f t="shared" ca="1" si="14"/>
        <v/>
      </c>
      <c r="O71" s="367" t="str">
        <f t="shared" ca="1" si="14"/>
        <v/>
      </c>
      <c r="P71" s="367" t="str">
        <f t="shared" ca="1" si="14"/>
        <v/>
      </c>
      <c r="Q71" s="367" t="str">
        <f t="shared" ca="1" si="14"/>
        <v/>
      </c>
      <c r="R71" s="367">
        <f t="shared" ca="1" si="13"/>
        <v>0</v>
      </c>
      <c r="S71" s="367">
        <f t="shared" ca="1" si="13"/>
        <v>0</v>
      </c>
      <c r="T71" s="367">
        <f t="shared" ca="1" si="13"/>
        <v>0</v>
      </c>
      <c r="U71" s="367">
        <f t="shared" ca="1" si="13"/>
        <v>0</v>
      </c>
      <c r="V71" s="367">
        <f t="shared" ca="1" si="13"/>
        <v>0</v>
      </c>
      <c r="W71" s="367">
        <f t="shared" ca="1" si="13"/>
        <v>0</v>
      </c>
      <c r="X71" s="367" t="e">
        <f t="shared" ca="1" si="13"/>
        <v>#REF!</v>
      </c>
      <c r="Y71" s="367" t="e">
        <f t="shared" ca="1" si="13"/>
        <v>#REF!</v>
      </c>
      <c r="Z71" s="367" t="e">
        <f t="shared" ca="1" si="13"/>
        <v>#REF!</v>
      </c>
      <c r="AA71" s="367">
        <f t="shared" ca="1" si="13"/>
        <v>0</v>
      </c>
      <c r="AB71" s="367">
        <f t="shared" ca="1" si="13"/>
        <v>0</v>
      </c>
      <c r="AC71" s="367">
        <f t="shared" ca="1" si="13"/>
        <v>0</v>
      </c>
      <c r="AD71" s="367">
        <f t="shared" ca="1" si="13"/>
        <v>0</v>
      </c>
      <c r="AE71" s="367">
        <f t="shared" ca="1" si="13"/>
        <v>0</v>
      </c>
      <c r="AF71" s="367">
        <f t="shared" ca="1" si="13"/>
        <v>0</v>
      </c>
      <c r="AG71" s="367">
        <f t="shared" ca="1" si="13"/>
        <v>0</v>
      </c>
      <c r="AH71" s="367">
        <f t="shared" ca="1" si="13"/>
        <v>0</v>
      </c>
      <c r="AI71" s="367">
        <f t="shared" ca="1" si="13"/>
        <v>0</v>
      </c>
      <c r="AJ71" s="367">
        <f t="shared" ca="1" si="13"/>
        <v>0</v>
      </c>
      <c r="AK71" s="367">
        <f t="shared" ca="1" si="13"/>
        <v>0</v>
      </c>
      <c r="AL71" s="367">
        <f t="shared" ca="1" si="13"/>
        <v>0</v>
      </c>
      <c r="AM71" s="367">
        <f t="shared" ca="1" si="13"/>
        <v>0</v>
      </c>
      <c r="AN71" s="367">
        <f t="shared" ca="1" si="13"/>
        <v>0</v>
      </c>
      <c r="AO71" s="367">
        <f t="shared" ca="1" si="13"/>
        <v>0</v>
      </c>
      <c r="AP71" s="367">
        <f t="shared" ca="1" si="13"/>
        <v>0</v>
      </c>
      <c r="AQ71" s="367">
        <f t="shared" ca="1" si="13"/>
        <v>0</v>
      </c>
      <c r="AR71" s="367">
        <f t="shared" ca="1" si="13"/>
        <v>0</v>
      </c>
      <c r="AS71" s="367">
        <f t="shared" ca="1" si="13"/>
        <v>0</v>
      </c>
      <c r="AT71" s="367">
        <f t="shared" ca="1" si="13"/>
        <v>0</v>
      </c>
      <c r="AU71" s="367">
        <f t="shared" ca="1" si="13"/>
        <v>0</v>
      </c>
      <c r="AV71" s="367">
        <f t="shared" ca="1" si="13"/>
        <v>0</v>
      </c>
      <c r="AW71" s="367">
        <f t="shared" ca="1" si="13"/>
        <v>0</v>
      </c>
      <c r="AX71" s="367">
        <f t="shared" ca="1" si="13"/>
        <v>0</v>
      </c>
      <c r="AY71" s="367">
        <f t="shared" ca="1" si="13"/>
        <v>0</v>
      </c>
      <c r="AZ71" s="367">
        <f t="shared" ca="1" si="13"/>
        <v>0</v>
      </c>
      <c r="BA71" s="367">
        <f t="shared" ca="1" si="13"/>
        <v>0</v>
      </c>
      <c r="BB71" s="367">
        <f t="shared" ca="1" si="13"/>
        <v>0</v>
      </c>
      <c r="BC71" s="367">
        <f t="shared" ca="1" si="13"/>
        <v>0</v>
      </c>
      <c r="BD71" s="367">
        <f t="shared" ca="1" si="13"/>
        <v>0</v>
      </c>
      <c r="BE71" s="367">
        <f t="shared" ca="1" si="13"/>
        <v>0</v>
      </c>
      <c r="BF71" s="367">
        <f t="shared" ca="1" si="13"/>
        <v>0</v>
      </c>
      <c r="BG71" s="367">
        <f t="shared" ca="1" si="13"/>
        <v>0</v>
      </c>
      <c r="BH71" s="367">
        <f t="shared" ca="1" si="13"/>
        <v>0</v>
      </c>
      <c r="BI71" s="367">
        <f t="shared" ca="1" si="13"/>
        <v>0</v>
      </c>
    </row>
    <row r="72" spans="1:61" outlineLevel="1" x14ac:dyDescent="0.15">
      <c r="A72" s="377">
        <v>18</v>
      </c>
      <c r="B72" s="367" t="str">
        <f t="shared" ca="1" si="14"/>
        <v/>
      </c>
      <c r="C72" s="367" t="str">
        <f t="shared" ca="1" si="14"/>
        <v/>
      </c>
      <c r="D72" s="367" t="str">
        <f t="shared" ca="1" si="14"/>
        <v/>
      </c>
      <c r="E72" s="367" t="str">
        <f t="shared" ca="1" si="14"/>
        <v/>
      </c>
      <c r="F72" s="367" t="str">
        <f t="shared" ca="1" si="14"/>
        <v/>
      </c>
      <c r="G72" s="367" t="str">
        <f t="shared" ca="1" si="14"/>
        <v/>
      </c>
      <c r="H72" s="367" t="str">
        <f t="shared" ca="1" si="14"/>
        <v/>
      </c>
      <c r="I72" s="367" t="str">
        <f t="shared" ca="1" si="14"/>
        <v/>
      </c>
      <c r="J72" s="367" t="str">
        <f t="shared" ca="1" si="14"/>
        <v/>
      </c>
      <c r="K72" s="367" t="str">
        <f t="shared" ca="1" si="14"/>
        <v/>
      </c>
      <c r="L72" s="367" t="str">
        <f t="shared" ca="1" si="14"/>
        <v/>
      </c>
      <c r="M72" s="367" t="str">
        <f t="shared" ca="1" si="14"/>
        <v/>
      </c>
      <c r="N72" s="367" t="str">
        <f t="shared" ca="1" si="14"/>
        <v/>
      </c>
      <c r="O72" s="367" t="str">
        <f t="shared" ca="1" si="14"/>
        <v/>
      </c>
      <c r="P72" s="367" t="str">
        <f t="shared" ca="1" si="14"/>
        <v/>
      </c>
      <c r="Q72" s="367" t="str">
        <f t="shared" ca="1" si="14"/>
        <v/>
      </c>
      <c r="R72" s="367" t="str">
        <f t="shared" ca="1" si="13"/>
        <v/>
      </c>
      <c r="S72" s="367">
        <f t="shared" ca="1" si="13"/>
        <v>0</v>
      </c>
      <c r="T72" s="367">
        <f t="shared" ca="1" si="13"/>
        <v>0</v>
      </c>
      <c r="U72" s="367">
        <f t="shared" ca="1" si="13"/>
        <v>0</v>
      </c>
      <c r="V72" s="367">
        <f t="shared" ca="1" si="13"/>
        <v>0</v>
      </c>
      <c r="W72" s="367">
        <f t="shared" ca="1" si="13"/>
        <v>0</v>
      </c>
      <c r="X72" s="367">
        <f t="shared" ca="1" si="13"/>
        <v>0</v>
      </c>
      <c r="Y72" s="367" t="e">
        <f t="shared" ca="1" si="13"/>
        <v>#REF!</v>
      </c>
      <c r="Z72" s="367" t="e">
        <f t="shared" ca="1" si="13"/>
        <v>#REF!</v>
      </c>
      <c r="AA72" s="367" t="e">
        <f t="shared" ca="1" si="13"/>
        <v>#REF!</v>
      </c>
      <c r="AB72" s="367">
        <f t="shared" ca="1" si="13"/>
        <v>0</v>
      </c>
      <c r="AC72" s="367">
        <f t="shared" ca="1" si="13"/>
        <v>0</v>
      </c>
      <c r="AD72" s="367">
        <f t="shared" ca="1" si="13"/>
        <v>0</v>
      </c>
      <c r="AE72" s="367">
        <f t="shared" ca="1" si="13"/>
        <v>0</v>
      </c>
      <c r="AF72" s="367">
        <f t="shared" ca="1" si="13"/>
        <v>0</v>
      </c>
      <c r="AG72" s="367">
        <f t="shared" ca="1" si="13"/>
        <v>0</v>
      </c>
      <c r="AH72" s="367">
        <f t="shared" ca="1" si="13"/>
        <v>0</v>
      </c>
      <c r="AI72" s="367">
        <f t="shared" ca="1" si="13"/>
        <v>0</v>
      </c>
      <c r="AJ72" s="367">
        <f t="shared" ca="1" si="13"/>
        <v>0</v>
      </c>
      <c r="AK72" s="367">
        <f t="shared" ca="1" si="13"/>
        <v>0</v>
      </c>
      <c r="AL72" s="367">
        <f t="shared" ca="1" si="13"/>
        <v>0</v>
      </c>
      <c r="AM72" s="367">
        <f t="shared" ca="1" si="13"/>
        <v>0</v>
      </c>
      <c r="AN72" s="367">
        <f t="shared" ca="1" si="13"/>
        <v>0</v>
      </c>
      <c r="AO72" s="367">
        <f t="shared" ca="1" si="13"/>
        <v>0</v>
      </c>
      <c r="AP72" s="367">
        <f t="shared" ca="1" si="13"/>
        <v>0</v>
      </c>
      <c r="AQ72" s="367">
        <f t="shared" ca="1" si="13"/>
        <v>0</v>
      </c>
      <c r="AR72" s="367">
        <f t="shared" ca="1" si="13"/>
        <v>0</v>
      </c>
      <c r="AS72" s="367">
        <f t="shared" ca="1" si="13"/>
        <v>0</v>
      </c>
      <c r="AT72" s="367">
        <f t="shared" ca="1" si="13"/>
        <v>0</v>
      </c>
      <c r="AU72" s="367">
        <f t="shared" ca="1" si="13"/>
        <v>0</v>
      </c>
      <c r="AV72" s="367">
        <f t="shared" ca="1" si="13"/>
        <v>0</v>
      </c>
      <c r="AW72" s="367">
        <f t="shared" ca="1" si="13"/>
        <v>0</v>
      </c>
      <c r="AX72" s="367">
        <f t="shared" ca="1" si="13"/>
        <v>0</v>
      </c>
      <c r="AY72" s="367">
        <f t="shared" ca="1" si="13"/>
        <v>0</v>
      </c>
      <c r="AZ72" s="367">
        <f t="shared" ca="1" si="13"/>
        <v>0</v>
      </c>
      <c r="BA72" s="367">
        <f t="shared" ca="1" si="13"/>
        <v>0</v>
      </c>
      <c r="BB72" s="367">
        <f t="shared" ca="1" si="13"/>
        <v>0</v>
      </c>
      <c r="BC72" s="367">
        <f t="shared" ca="1" si="13"/>
        <v>0</v>
      </c>
      <c r="BD72" s="367">
        <f t="shared" ca="1" si="13"/>
        <v>0</v>
      </c>
      <c r="BE72" s="367">
        <f t="shared" ca="1" si="13"/>
        <v>0</v>
      </c>
      <c r="BF72" s="367">
        <f t="shared" ca="1" si="13"/>
        <v>0</v>
      </c>
      <c r="BG72" s="367">
        <f t="shared" ca="1" si="13"/>
        <v>0</v>
      </c>
      <c r="BH72" s="367">
        <f t="shared" ca="1" si="13"/>
        <v>0</v>
      </c>
      <c r="BI72" s="367">
        <f t="shared" ca="1" si="13"/>
        <v>0</v>
      </c>
    </row>
    <row r="73" spans="1:61" outlineLevel="1" x14ac:dyDescent="0.15">
      <c r="A73" s="377">
        <v>19</v>
      </c>
      <c r="B73" s="367" t="str">
        <f t="shared" ca="1" si="14"/>
        <v/>
      </c>
      <c r="C73" s="367" t="str">
        <f t="shared" ca="1" si="14"/>
        <v/>
      </c>
      <c r="D73" s="367" t="str">
        <f t="shared" ca="1" si="14"/>
        <v/>
      </c>
      <c r="E73" s="367" t="str">
        <f t="shared" ca="1" si="14"/>
        <v/>
      </c>
      <c r="F73" s="367" t="str">
        <f t="shared" ca="1" si="14"/>
        <v/>
      </c>
      <c r="G73" s="367" t="str">
        <f t="shared" ca="1" si="14"/>
        <v/>
      </c>
      <c r="H73" s="367" t="str">
        <f t="shared" ca="1" si="14"/>
        <v/>
      </c>
      <c r="I73" s="367" t="str">
        <f t="shared" ca="1" si="14"/>
        <v/>
      </c>
      <c r="J73" s="367" t="str">
        <f t="shared" ca="1" si="14"/>
        <v/>
      </c>
      <c r="K73" s="367" t="str">
        <f t="shared" ca="1" si="14"/>
        <v/>
      </c>
      <c r="L73" s="367" t="str">
        <f t="shared" ca="1" si="14"/>
        <v/>
      </c>
      <c r="M73" s="367" t="str">
        <f t="shared" ca="1" si="14"/>
        <v/>
      </c>
      <c r="N73" s="367" t="str">
        <f t="shared" ca="1" si="14"/>
        <v/>
      </c>
      <c r="O73" s="367" t="str">
        <f t="shared" ca="1" si="14"/>
        <v/>
      </c>
      <c r="P73" s="367" t="str">
        <f t="shared" ca="1" si="14"/>
        <v/>
      </c>
      <c r="Q73" s="367" t="str">
        <f t="shared" ca="1" si="14"/>
        <v/>
      </c>
      <c r="R73" s="367" t="str">
        <f t="shared" ca="1" si="13"/>
        <v/>
      </c>
      <c r="S73" s="367" t="str">
        <f t="shared" ca="1" si="13"/>
        <v/>
      </c>
      <c r="T73" s="367">
        <f t="shared" ca="1" si="13"/>
        <v>0</v>
      </c>
      <c r="U73" s="367">
        <f t="shared" ca="1" si="13"/>
        <v>0</v>
      </c>
      <c r="V73" s="367">
        <f t="shared" ca="1" si="13"/>
        <v>0</v>
      </c>
      <c r="W73" s="367">
        <f t="shared" ca="1" si="13"/>
        <v>0</v>
      </c>
      <c r="X73" s="367">
        <f t="shared" ca="1" si="13"/>
        <v>0</v>
      </c>
      <c r="Y73" s="367">
        <f t="shared" ca="1" si="13"/>
        <v>0</v>
      </c>
      <c r="Z73" s="367" t="e">
        <f t="shared" ca="1" si="13"/>
        <v>#REF!</v>
      </c>
      <c r="AA73" s="367" t="e">
        <f t="shared" ca="1" si="13"/>
        <v>#REF!</v>
      </c>
      <c r="AB73" s="367" t="e">
        <f t="shared" ca="1" si="13"/>
        <v>#REF!</v>
      </c>
      <c r="AC73" s="367">
        <f t="shared" ca="1" si="13"/>
        <v>0</v>
      </c>
      <c r="AD73" s="367">
        <f t="shared" ca="1" si="13"/>
        <v>0</v>
      </c>
      <c r="AE73" s="367">
        <f t="shared" ca="1" si="13"/>
        <v>0</v>
      </c>
      <c r="AF73" s="367">
        <f t="shared" ca="1" si="13"/>
        <v>0</v>
      </c>
      <c r="AG73" s="367">
        <f t="shared" ca="1" si="13"/>
        <v>0</v>
      </c>
      <c r="AH73" s="367">
        <f t="shared" ca="1" si="13"/>
        <v>0</v>
      </c>
      <c r="AI73" s="367">
        <f t="shared" ca="1" si="13"/>
        <v>0</v>
      </c>
      <c r="AJ73" s="367">
        <f t="shared" ca="1" si="13"/>
        <v>0</v>
      </c>
      <c r="AK73" s="367">
        <f t="shared" ca="1" si="13"/>
        <v>0</v>
      </c>
      <c r="AL73" s="367">
        <f t="shared" ca="1" si="13"/>
        <v>0</v>
      </c>
      <c r="AM73" s="367">
        <f t="shared" ca="1" si="13"/>
        <v>0</v>
      </c>
      <c r="AN73" s="367">
        <f t="shared" ca="1" si="13"/>
        <v>0</v>
      </c>
      <c r="AO73" s="367">
        <f t="shared" ca="1" si="13"/>
        <v>0</v>
      </c>
      <c r="AP73" s="367">
        <f t="shared" ca="1" si="13"/>
        <v>0</v>
      </c>
      <c r="AQ73" s="367">
        <f t="shared" ca="1" si="13"/>
        <v>0</v>
      </c>
      <c r="AR73" s="367">
        <f t="shared" ca="1" si="13"/>
        <v>0</v>
      </c>
      <c r="AS73" s="367">
        <f t="shared" ca="1" si="13"/>
        <v>0</v>
      </c>
      <c r="AT73" s="367">
        <f t="shared" ca="1" si="13"/>
        <v>0</v>
      </c>
      <c r="AU73" s="367">
        <f t="shared" ca="1" si="13"/>
        <v>0</v>
      </c>
      <c r="AV73" s="367">
        <f t="shared" ca="1" si="13"/>
        <v>0</v>
      </c>
      <c r="AW73" s="367">
        <f t="shared" ca="1" si="13"/>
        <v>0</v>
      </c>
      <c r="AX73" s="367">
        <f t="shared" ca="1" si="13"/>
        <v>0</v>
      </c>
      <c r="AY73" s="367">
        <f t="shared" ca="1" si="13"/>
        <v>0</v>
      </c>
      <c r="AZ73" s="367">
        <f t="shared" ca="1" si="13"/>
        <v>0</v>
      </c>
      <c r="BA73" s="367">
        <f t="shared" ca="1" si="13"/>
        <v>0</v>
      </c>
      <c r="BB73" s="367">
        <f t="shared" ca="1" si="13"/>
        <v>0</v>
      </c>
      <c r="BC73" s="367">
        <f t="shared" ca="1" si="13"/>
        <v>0</v>
      </c>
      <c r="BD73" s="367">
        <f t="shared" ca="1" si="13"/>
        <v>0</v>
      </c>
      <c r="BE73" s="367">
        <f t="shared" ca="1" si="13"/>
        <v>0</v>
      </c>
      <c r="BF73" s="367">
        <f t="shared" ca="1" si="13"/>
        <v>0</v>
      </c>
      <c r="BG73" s="367">
        <f t="shared" ca="1" si="13"/>
        <v>0</v>
      </c>
      <c r="BH73" s="367">
        <f t="shared" ca="1" si="13"/>
        <v>0</v>
      </c>
      <c r="BI73" s="367">
        <f t="shared" ca="1" si="13"/>
        <v>0</v>
      </c>
    </row>
    <row r="74" spans="1:61" outlineLevel="1" x14ac:dyDescent="0.15">
      <c r="A74" s="377">
        <v>20</v>
      </c>
      <c r="B74" s="367" t="str">
        <f t="shared" ca="1" si="14"/>
        <v/>
      </c>
      <c r="C74" s="367" t="str">
        <f t="shared" ca="1" si="14"/>
        <v/>
      </c>
      <c r="D74" s="367" t="str">
        <f t="shared" ca="1" si="14"/>
        <v/>
      </c>
      <c r="E74" s="367" t="str">
        <f t="shared" ca="1" si="14"/>
        <v/>
      </c>
      <c r="F74" s="367" t="str">
        <f t="shared" ca="1" si="14"/>
        <v/>
      </c>
      <c r="G74" s="367" t="str">
        <f t="shared" ca="1" si="14"/>
        <v/>
      </c>
      <c r="H74" s="367" t="str">
        <f t="shared" ca="1" si="14"/>
        <v/>
      </c>
      <c r="I74" s="367" t="str">
        <f t="shared" ca="1" si="14"/>
        <v/>
      </c>
      <c r="J74" s="367" t="str">
        <f t="shared" ca="1" si="14"/>
        <v/>
      </c>
      <c r="K74" s="367" t="str">
        <f t="shared" ca="1" si="14"/>
        <v/>
      </c>
      <c r="L74" s="367" t="str">
        <f t="shared" ca="1" si="14"/>
        <v/>
      </c>
      <c r="M74" s="367" t="str">
        <f t="shared" ca="1" si="14"/>
        <v/>
      </c>
      <c r="N74" s="367" t="str">
        <f t="shared" ca="1" si="14"/>
        <v/>
      </c>
      <c r="O74" s="367" t="str">
        <f t="shared" ca="1" si="14"/>
        <v/>
      </c>
      <c r="P74" s="367" t="str">
        <f t="shared" ca="1" si="14"/>
        <v/>
      </c>
      <c r="Q74" s="367" t="str">
        <f t="shared" ca="1" si="14"/>
        <v/>
      </c>
      <c r="R74" s="367" t="str">
        <f t="shared" ca="1" si="13"/>
        <v/>
      </c>
      <c r="S74" s="367" t="str">
        <f t="shared" ca="1" si="13"/>
        <v/>
      </c>
      <c r="T74" s="367" t="str">
        <f t="shared" ca="1" si="13"/>
        <v/>
      </c>
      <c r="U74" s="367">
        <f t="shared" ca="1" si="13"/>
        <v>0</v>
      </c>
      <c r="V74" s="367">
        <f t="shared" ca="1" si="13"/>
        <v>0</v>
      </c>
      <c r="W74" s="367">
        <f t="shared" ca="1" si="13"/>
        <v>0</v>
      </c>
      <c r="X74" s="367">
        <f t="shared" ca="1" si="13"/>
        <v>0</v>
      </c>
      <c r="Y74" s="367">
        <f t="shared" ca="1" si="13"/>
        <v>0</v>
      </c>
      <c r="Z74" s="367">
        <f t="shared" ca="1" si="13"/>
        <v>0</v>
      </c>
      <c r="AA74" s="367" t="e">
        <f t="shared" ca="1" si="13"/>
        <v>#REF!</v>
      </c>
      <c r="AB74" s="367" t="e">
        <f t="shared" ca="1" si="13"/>
        <v>#REF!</v>
      </c>
      <c r="AC74" s="367" t="e">
        <f t="shared" ca="1" si="13"/>
        <v>#REF!</v>
      </c>
      <c r="AD74" s="367">
        <f t="shared" ca="1" si="13"/>
        <v>0</v>
      </c>
      <c r="AE74" s="367">
        <f t="shared" ca="1" si="13"/>
        <v>0</v>
      </c>
      <c r="AF74" s="367">
        <f t="shared" ca="1" si="13"/>
        <v>0</v>
      </c>
      <c r="AG74" s="367">
        <f t="shared" ca="1" si="13"/>
        <v>0</v>
      </c>
      <c r="AH74" s="367">
        <f t="shared" ca="1" si="13"/>
        <v>0</v>
      </c>
      <c r="AI74" s="367">
        <f t="shared" ca="1" si="13"/>
        <v>0</v>
      </c>
      <c r="AJ74" s="367">
        <f t="shared" ca="1" si="13"/>
        <v>0</v>
      </c>
      <c r="AK74" s="367">
        <f t="shared" ca="1" si="13"/>
        <v>0</v>
      </c>
      <c r="AL74" s="367">
        <f t="shared" ca="1" si="13"/>
        <v>0</v>
      </c>
      <c r="AM74" s="367">
        <f t="shared" ca="1" si="13"/>
        <v>0</v>
      </c>
      <c r="AN74" s="367">
        <f t="shared" ca="1" si="13"/>
        <v>0</v>
      </c>
      <c r="AO74" s="367">
        <f t="shared" ca="1" si="13"/>
        <v>0</v>
      </c>
      <c r="AP74" s="367">
        <f t="shared" ca="1" si="13"/>
        <v>0</v>
      </c>
      <c r="AQ74" s="367">
        <f t="shared" ca="1" si="13"/>
        <v>0</v>
      </c>
      <c r="AR74" s="367">
        <f t="shared" ca="1" si="13"/>
        <v>0</v>
      </c>
      <c r="AS74" s="367">
        <f t="shared" ca="1" si="13"/>
        <v>0</v>
      </c>
      <c r="AT74" s="367">
        <f t="shared" ca="1" si="13"/>
        <v>0</v>
      </c>
      <c r="AU74" s="367">
        <f t="shared" ca="1" si="13"/>
        <v>0</v>
      </c>
      <c r="AV74" s="367">
        <f t="shared" ca="1" si="13"/>
        <v>0</v>
      </c>
      <c r="AW74" s="367">
        <f t="shared" ca="1" si="13"/>
        <v>0</v>
      </c>
      <c r="AX74" s="367">
        <f t="shared" ca="1" si="13"/>
        <v>0</v>
      </c>
      <c r="AY74" s="367">
        <f t="shared" ca="1" si="13"/>
        <v>0</v>
      </c>
      <c r="AZ74" s="367">
        <f t="shared" ca="1" si="13"/>
        <v>0</v>
      </c>
      <c r="BA74" s="367">
        <f t="shared" ca="1" si="13"/>
        <v>0</v>
      </c>
      <c r="BB74" s="367">
        <f t="shared" ca="1" si="13"/>
        <v>0</v>
      </c>
      <c r="BC74" s="367">
        <f t="shared" ca="1" si="13"/>
        <v>0</v>
      </c>
      <c r="BD74" s="367">
        <f t="shared" ca="1" si="13"/>
        <v>0</v>
      </c>
      <c r="BE74" s="367">
        <f t="shared" ca="1" si="13"/>
        <v>0</v>
      </c>
      <c r="BF74" s="367">
        <f t="shared" ca="1" si="13"/>
        <v>0</v>
      </c>
      <c r="BG74" s="367">
        <f t="shared" ca="1" si="13"/>
        <v>0</v>
      </c>
      <c r="BH74" s="367">
        <f t="shared" ca="1" si="13"/>
        <v>0</v>
      </c>
      <c r="BI74" s="367">
        <f t="shared" ca="1" si="13"/>
        <v>0</v>
      </c>
    </row>
    <row r="75" spans="1:61" outlineLevel="1" x14ac:dyDescent="0.15">
      <c r="A75" s="377">
        <v>21</v>
      </c>
      <c r="B75" s="367" t="str">
        <f t="shared" ca="1" si="14"/>
        <v/>
      </c>
      <c r="C75" s="367" t="str">
        <f t="shared" ca="1" si="14"/>
        <v/>
      </c>
      <c r="D75" s="367" t="str">
        <f t="shared" ca="1" si="14"/>
        <v/>
      </c>
      <c r="E75" s="367" t="str">
        <f t="shared" ca="1" si="14"/>
        <v/>
      </c>
      <c r="F75" s="367" t="str">
        <f t="shared" ca="1" si="14"/>
        <v/>
      </c>
      <c r="G75" s="367" t="str">
        <f t="shared" ca="1" si="14"/>
        <v/>
      </c>
      <c r="H75" s="367" t="str">
        <f t="shared" ca="1" si="14"/>
        <v/>
      </c>
      <c r="I75" s="367" t="str">
        <f t="shared" ca="1" si="14"/>
        <v/>
      </c>
      <c r="J75" s="367" t="str">
        <f t="shared" ca="1" si="14"/>
        <v/>
      </c>
      <c r="K75" s="367" t="str">
        <f t="shared" ca="1" si="14"/>
        <v/>
      </c>
      <c r="L75" s="367" t="str">
        <f t="shared" ca="1" si="14"/>
        <v/>
      </c>
      <c r="M75" s="367" t="str">
        <f t="shared" ca="1" si="14"/>
        <v/>
      </c>
      <c r="N75" s="367" t="str">
        <f t="shared" ca="1" si="14"/>
        <v/>
      </c>
      <c r="O75" s="367" t="str">
        <f t="shared" ca="1" si="14"/>
        <v/>
      </c>
      <c r="P75" s="367" t="str">
        <f t="shared" ca="1" si="14"/>
        <v/>
      </c>
      <c r="Q75" s="367" t="str">
        <f t="shared" ca="1" si="14"/>
        <v/>
      </c>
      <c r="R75" s="367" t="str">
        <f t="shared" ca="1" si="13"/>
        <v/>
      </c>
      <c r="S75" s="367" t="str">
        <f t="shared" ca="1" si="13"/>
        <v/>
      </c>
      <c r="T75" s="367" t="str">
        <f t="shared" ca="1" si="13"/>
        <v/>
      </c>
      <c r="U75" s="367" t="str">
        <f t="shared" ca="1" si="13"/>
        <v/>
      </c>
      <c r="V75" s="367">
        <f t="shared" ca="1" si="13"/>
        <v>0</v>
      </c>
      <c r="W75" s="367">
        <f t="shared" ca="1" si="13"/>
        <v>0</v>
      </c>
      <c r="X75" s="367">
        <f t="shared" ca="1" si="13"/>
        <v>0</v>
      </c>
      <c r="Y75" s="367">
        <f t="shared" ca="1" si="13"/>
        <v>0</v>
      </c>
      <c r="Z75" s="367">
        <f t="shared" ca="1" si="13"/>
        <v>0</v>
      </c>
      <c r="AA75" s="367">
        <f t="shared" ca="1" si="13"/>
        <v>0</v>
      </c>
      <c r="AB75" s="367" t="e">
        <f t="shared" ca="1" si="13"/>
        <v>#REF!</v>
      </c>
      <c r="AC75" s="367" t="e">
        <f t="shared" ca="1" si="13"/>
        <v>#REF!</v>
      </c>
      <c r="AD75" s="367" t="e">
        <f t="shared" ca="1" si="13"/>
        <v>#REF!</v>
      </c>
      <c r="AE75" s="367">
        <f t="shared" ca="1" si="13"/>
        <v>0</v>
      </c>
      <c r="AF75" s="367">
        <f t="shared" ca="1" si="13"/>
        <v>0</v>
      </c>
      <c r="AG75" s="367">
        <f t="shared" ca="1" si="13"/>
        <v>0</v>
      </c>
      <c r="AH75" s="367">
        <f t="shared" ca="1" si="13"/>
        <v>0</v>
      </c>
      <c r="AI75" s="367">
        <f t="shared" ca="1" si="13"/>
        <v>0</v>
      </c>
      <c r="AJ75" s="367">
        <f t="shared" ca="1" si="13"/>
        <v>0</v>
      </c>
      <c r="AK75" s="367">
        <f t="shared" ca="1" si="13"/>
        <v>0</v>
      </c>
      <c r="AL75" s="367">
        <f t="shared" ca="1" si="13"/>
        <v>0</v>
      </c>
      <c r="AM75" s="367">
        <f t="shared" ca="1" si="13"/>
        <v>0</v>
      </c>
      <c r="AN75" s="367">
        <f t="shared" ca="1" si="13"/>
        <v>0</v>
      </c>
      <c r="AO75" s="367">
        <f t="shared" ca="1" si="13"/>
        <v>0</v>
      </c>
      <c r="AP75" s="367">
        <f t="shared" ca="1" si="13"/>
        <v>0</v>
      </c>
      <c r="AQ75" s="367">
        <f t="shared" ca="1" si="13"/>
        <v>0</v>
      </c>
      <c r="AR75" s="367">
        <f t="shared" ca="1" si="13"/>
        <v>0</v>
      </c>
      <c r="AS75" s="367">
        <f t="shared" ca="1" si="13"/>
        <v>0</v>
      </c>
      <c r="AT75" s="367">
        <f t="shared" ca="1" si="13"/>
        <v>0</v>
      </c>
      <c r="AU75" s="367">
        <f t="shared" ca="1" si="13"/>
        <v>0</v>
      </c>
      <c r="AV75" s="367">
        <f t="shared" ca="1" si="13"/>
        <v>0</v>
      </c>
      <c r="AW75" s="367">
        <f t="shared" ca="1" si="13"/>
        <v>0</v>
      </c>
      <c r="AX75" s="367">
        <f t="shared" ca="1" si="13"/>
        <v>0</v>
      </c>
      <c r="AY75" s="367">
        <f t="shared" ca="1" si="13"/>
        <v>0</v>
      </c>
      <c r="AZ75" s="367">
        <f t="shared" ref="AZ75:DF79" ca="1" si="15">IF($A75&gt;AZ$5,"",OFFSET(AZ$54,0,-($A75-1)))</f>
        <v>0</v>
      </c>
      <c r="BA75" s="367">
        <f t="shared" ca="1" si="15"/>
        <v>0</v>
      </c>
      <c r="BB75" s="367">
        <f t="shared" ca="1" si="15"/>
        <v>0</v>
      </c>
      <c r="BC75" s="367">
        <f t="shared" ca="1" si="15"/>
        <v>0</v>
      </c>
      <c r="BD75" s="367">
        <f t="shared" ca="1" si="15"/>
        <v>0</v>
      </c>
      <c r="BE75" s="367">
        <f t="shared" ca="1" si="15"/>
        <v>0</v>
      </c>
      <c r="BF75" s="367">
        <f t="shared" ca="1" si="15"/>
        <v>0</v>
      </c>
      <c r="BG75" s="367">
        <f t="shared" ca="1" si="15"/>
        <v>0</v>
      </c>
      <c r="BH75" s="367">
        <f t="shared" ca="1" si="15"/>
        <v>0</v>
      </c>
      <c r="BI75" s="367">
        <f t="shared" ca="1" si="15"/>
        <v>0</v>
      </c>
    </row>
    <row r="76" spans="1:61" outlineLevel="1" x14ac:dyDescent="0.15">
      <c r="A76" s="377">
        <v>22</v>
      </c>
      <c r="B76" s="367" t="str">
        <f t="shared" ca="1" si="14"/>
        <v/>
      </c>
      <c r="C76" s="367" t="str">
        <f t="shared" ca="1" si="14"/>
        <v/>
      </c>
      <c r="D76" s="367" t="str">
        <f t="shared" ca="1" si="14"/>
        <v/>
      </c>
      <c r="E76" s="367" t="str">
        <f t="shared" ca="1" si="14"/>
        <v/>
      </c>
      <c r="F76" s="367" t="str">
        <f t="shared" ca="1" si="14"/>
        <v/>
      </c>
      <c r="G76" s="367" t="str">
        <f t="shared" ca="1" si="14"/>
        <v/>
      </c>
      <c r="H76" s="367" t="str">
        <f t="shared" ca="1" si="14"/>
        <v/>
      </c>
      <c r="I76" s="367" t="str">
        <f t="shared" ca="1" si="14"/>
        <v/>
      </c>
      <c r="J76" s="367" t="str">
        <f t="shared" ca="1" si="14"/>
        <v/>
      </c>
      <c r="K76" s="367" t="str">
        <f t="shared" ca="1" si="14"/>
        <v/>
      </c>
      <c r="L76" s="367" t="str">
        <f t="shared" ca="1" si="14"/>
        <v/>
      </c>
      <c r="M76" s="367" t="str">
        <f t="shared" ca="1" si="14"/>
        <v/>
      </c>
      <c r="N76" s="367" t="str">
        <f t="shared" ca="1" si="14"/>
        <v/>
      </c>
      <c r="O76" s="367" t="str">
        <f t="shared" ca="1" si="14"/>
        <v/>
      </c>
      <c r="P76" s="367" t="str">
        <f t="shared" ca="1" si="14"/>
        <v/>
      </c>
      <c r="Q76" s="367" t="str">
        <f t="shared" ca="1" si="14"/>
        <v/>
      </c>
      <c r="R76" s="367" t="str">
        <f t="shared" ref="R76:BX81" ca="1" si="16">IF($A76&gt;R$5,"",OFFSET(R$54,0,-($A76-1)))</f>
        <v/>
      </c>
      <c r="S76" s="367" t="str">
        <f t="shared" ca="1" si="16"/>
        <v/>
      </c>
      <c r="T76" s="367" t="str">
        <f t="shared" ca="1" si="16"/>
        <v/>
      </c>
      <c r="U76" s="367" t="str">
        <f t="shared" ca="1" si="16"/>
        <v/>
      </c>
      <c r="V76" s="367" t="str">
        <f t="shared" ca="1" si="16"/>
        <v/>
      </c>
      <c r="W76" s="367">
        <f t="shared" ca="1" si="16"/>
        <v>0</v>
      </c>
      <c r="X76" s="367">
        <f t="shared" ca="1" si="16"/>
        <v>0</v>
      </c>
      <c r="Y76" s="367">
        <f t="shared" ca="1" si="16"/>
        <v>0</v>
      </c>
      <c r="Z76" s="367">
        <f t="shared" ca="1" si="16"/>
        <v>0</v>
      </c>
      <c r="AA76" s="367">
        <f t="shared" ca="1" si="16"/>
        <v>0</v>
      </c>
      <c r="AB76" s="367">
        <f t="shared" ca="1" si="16"/>
        <v>0</v>
      </c>
      <c r="AC76" s="367" t="e">
        <f t="shared" ca="1" si="16"/>
        <v>#REF!</v>
      </c>
      <c r="AD76" s="367" t="e">
        <f t="shared" ca="1" si="16"/>
        <v>#REF!</v>
      </c>
      <c r="AE76" s="367" t="e">
        <f t="shared" ca="1" si="16"/>
        <v>#REF!</v>
      </c>
      <c r="AF76" s="367">
        <f t="shared" ca="1" si="16"/>
        <v>0</v>
      </c>
      <c r="AG76" s="367">
        <f t="shared" ca="1" si="16"/>
        <v>0</v>
      </c>
      <c r="AH76" s="367">
        <f t="shared" ca="1" si="16"/>
        <v>0</v>
      </c>
      <c r="AI76" s="367">
        <f t="shared" ca="1" si="16"/>
        <v>0</v>
      </c>
      <c r="AJ76" s="367">
        <f t="shared" ca="1" si="16"/>
        <v>0</v>
      </c>
      <c r="AK76" s="367">
        <f t="shared" ca="1" si="16"/>
        <v>0</v>
      </c>
      <c r="AL76" s="367">
        <f t="shared" ca="1" si="16"/>
        <v>0</v>
      </c>
      <c r="AM76" s="367">
        <f t="shared" ca="1" si="16"/>
        <v>0</v>
      </c>
      <c r="AN76" s="367">
        <f t="shared" ca="1" si="16"/>
        <v>0</v>
      </c>
      <c r="AO76" s="367">
        <f t="shared" ca="1" si="16"/>
        <v>0</v>
      </c>
      <c r="AP76" s="367">
        <f t="shared" ca="1" si="16"/>
        <v>0</v>
      </c>
      <c r="AQ76" s="367">
        <f t="shared" ca="1" si="16"/>
        <v>0</v>
      </c>
      <c r="AR76" s="367">
        <f t="shared" ca="1" si="16"/>
        <v>0</v>
      </c>
      <c r="AS76" s="367">
        <f t="shared" ca="1" si="16"/>
        <v>0</v>
      </c>
      <c r="AT76" s="367">
        <f t="shared" ca="1" si="16"/>
        <v>0</v>
      </c>
      <c r="AU76" s="367">
        <f t="shared" ca="1" si="16"/>
        <v>0</v>
      </c>
      <c r="AV76" s="367">
        <f t="shared" ca="1" si="16"/>
        <v>0</v>
      </c>
      <c r="AW76" s="367">
        <f t="shared" ca="1" si="16"/>
        <v>0</v>
      </c>
      <c r="AX76" s="367">
        <f t="shared" ca="1" si="16"/>
        <v>0</v>
      </c>
      <c r="AY76" s="367">
        <f t="shared" ca="1" si="16"/>
        <v>0</v>
      </c>
      <c r="AZ76" s="367">
        <f t="shared" ca="1" si="16"/>
        <v>0</v>
      </c>
      <c r="BA76" s="367">
        <f t="shared" ca="1" si="16"/>
        <v>0</v>
      </c>
      <c r="BB76" s="367">
        <f t="shared" ca="1" si="15"/>
        <v>0</v>
      </c>
      <c r="BC76" s="367">
        <f t="shared" ca="1" si="15"/>
        <v>0</v>
      </c>
      <c r="BD76" s="367">
        <f t="shared" ca="1" si="15"/>
        <v>0</v>
      </c>
      <c r="BE76" s="367">
        <f t="shared" ca="1" si="15"/>
        <v>0</v>
      </c>
      <c r="BF76" s="367">
        <f t="shared" ca="1" si="15"/>
        <v>0</v>
      </c>
      <c r="BG76" s="367">
        <f t="shared" ca="1" si="15"/>
        <v>0</v>
      </c>
      <c r="BH76" s="367">
        <f t="shared" ca="1" si="15"/>
        <v>0</v>
      </c>
      <c r="BI76" s="367">
        <f t="shared" ca="1" si="15"/>
        <v>0</v>
      </c>
    </row>
    <row r="77" spans="1:61" outlineLevel="1" x14ac:dyDescent="0.15">
      <c r="A77" s="377">
        <v>23</v>
      </c>
      <c r="B77" s="367" t="str">
        <f t="shared" ca="1" si="14"/>
        <v/>
      </c>
      <c r="C77" s="367" t="str">
        <f t="shared" ca="1" si="14"/>
        <v/>
      </c>
      <c r="D77" s="367" t="str">
        <f t="shared" ca="1" si="14"/>
        <v/>
      </c>
      <c r="E77" s="367" t="str">
        <f t="shared" ca="1" si="14"/>
        <v/>
      </c>
      <c r="F77" s="367" t="str">
        <f t="shared" ca="1" si="14"/>
        <v/>
      </c>
      <c r="G77" s="367" t="str">
        <f t="shared" ca="1" si="14"/>
        <v/>
      </c>
      <c r="H77" s="367" t="str">
        <f t="shared" ca="1" si="14"/>
        <v/>
      </c>
      <c r="I77" s="367" t="str">
        <f t="shared" ca="1" si="14"/>
        <v/>
      </c>
      <c r="J77" s="367" t="str">
        <f t="shared" ca="1" si="14"/>
        <v/>
      </c>
      <c r="K77" s="367" t="str">
        <f t="shared" ca="1" si="14"/>
        <v/>
      </c>
      <c r="L77" s="367" t="str">
        <f t="shared" ca="1" si="14"/>
        <v/>
      </c>
      <c r="M77" s="367" t="str">
        <f t="shared" ca="1" si="14"/>
        <v/>
      </c>
      <c r="N77" s="367" t="str">
        <f t="shared" ca="1" si="14"/>
        <v/>
      </c>
      <c r="O77" s="367" t="str">
        <f t="shared" ca="1" si="14"/>
        <v/>
      </c>
      <c r="P77" s="367" t="str">
        <f t="shared" ca="1" si="14"/>
        <v/>
      </c>
      <c r="Q77" s="367" t="str">
        <f t="shared" ca="1" si="14"/>
        <v/>
      </c>
      <c r="R77" s="367" t="str">
        <f t="shared" ca="1" si="16"/>
        <v/>
      </c>
      <c r="S77" s="367" t="str">
        <f t="shared" ca="1" si="16"/>
        <v/>
      </c>
      <c r="T77" s="367" t="str">
        <f t="shared" ca="1" si="16"/>
        <v/>
      </c>
      <c r="U77" s="367" t="str">
        <f t="shared" ca="1" si="16"/>
        <v/>
      </c>
      <c r="V77" s="367" t="str">
        <f t="shared" ca="1" si="16"/>
        <v/>
      </c>
      <c r="W77" s="367" t="str">
        <f t="shared" ca="1" si="16"/>
        <v/>
      </c>
      <c r="X77" s="367">
        <f t="shared" ca="1" si="16"/>
        <v>0</v>
      </c>
      <c r="Y77" s="367">
        <f t="shared" ca="1" si="16"/>
        <v>0</v>
      </c>
      <c r="Z77" s="367">
        <f t="shared" ca="1" si="16"/>
        <v>0</v>
      </c>
      <c r="AA77" s="367">
        <f t="shared" ca="1" si="16"/>
        <v>0</v>
      </c>
      <c r="AB77" s="367">
        <f t="shared" ca="1" si="16"/>
        <v>0</v>
      </c>
      <c r="AC77" s="367">
        <f t="shared" ca="1" si="16"/>
        <v>0</v>
      </c>
      <c r="AD77" s="367" t="e">
        <f t="shared" ca="1" si="16"/>
        <v>#REF!</v>
      </c>
      <c r="AE77" s="367" t="e">
        <f t="shared" ca="1" si="16"/>
        <v>#REF!</v>
      </c>
      <c r="AF77" s="367" t="e">
        <f t="shared" ca="1" si="16"/>
        <v>#REF!</v>
      </c>
      <c r="AG77" s="367">
        <f t="shared" ca="1" si="16"/>
        <v>0</v>
      </c>
      <c r="AH77" s="367">
        <f t="shared" ca="1" si="16"/>
        <v>0</v>
      </c>
      <c r="AI77" s="367">
        <f t="shared" ca="1" si="16"/>
        <v>0</v>
      </c>
      <c r="AJ77" s="367">
        <f t="shared" ca="1" si="16"/>
        <v>0</v>
      </c>
      <c r="AK77" s="367">
        <f t="shared" ca="1" si="16"/>
        <v>0</v>
      </c>
      <c r="AL77" s="367">
        <f t="shared" ca="1" si="16"/>
        <v>0</v>
      </c>
      <c r="AM77" s="367">
        <f t="shared" ca="1" si="16"/>
        <v>0</v>
      </c>
      <c r="AN77" s="367">
        <f t="shared" ca="1" si="16"/>
        <v>0</v>
      </c>
      <c r="AO77" s="367">
        <f t="shared" ca="1" si="16"/>
        <v>0</v>
      </c>
      <c r="AP77" s="367">
        <f t="shared" ca="1" si="16"/>
        <v>0</v>
      </c>
      <c r="AQ77" s="367">
        <f t="shared" ca="1" si="16"/>
        <v>0</v>
      </c>
      <c r="AR77" s="367">
        <f t="shared" ca="1" si="16"/>
        <v>0</v>
      </c>
      <c r="AS77" s="367">
        <f t="shared" ca="1" si="16"/>
        <v>0</v>
      </c>
      <c r="AT77" s="367">
        <f t="shared" ca="1" si="16"/>
        <v>0</v>
      </c>
      <c r="AU77" s="367">
        <f t="shared" ca="1" si="16"/>
        <v>0</v>
      </c>
      <c r="AV77" s="367">
        <f t="shared" ca="1" si="16"/>
        <v>0</v>
      </c>
      <c r="AW77" s="367">
        <f t="shared" ca="1" si="16"/>
        <v>0</v>
      </c>
      <c r="AX77" s="367">
        <f t="shared" ca="1" si="16"/>
        <v>0</v>
      </c>
      <c r="AY77" s="367">
        <f t="shared" ca="1" si="16"/>
        <v>0</v>
      </c>
      <c r="AZ77" s="367">
        <f t="shared" ca="1" si="16"/>
        <v>0</v>
      </c>
      <c r="BA77" s="367">
        <f t="shared" ca="1" si="16"/>
        <v>0</v>
      </c>
      <c r="BB77" s="367">
        <f t="shared" ca="1" si="16"/>
        <v>0</v>
      </c>
      <c r="BC77" s="367">
        <f t="shared" ca="1" si="16"/>
        <v>0</v>
      </c>
      <c r="BD77" s="367">
        <f t="shared" ca="1" si="16"/>
        <v>0</v>
      </c>
      <c r="BE77" s="367">
        <f t="shared" ca="1" si="16"/>
        <v>0</v>
      </c>
      <c r="BF77" s="367">
        <f t="shared" ca="1" si="16"/>
        <v>0</v>
      </c>
      <c r="BG77" s="367">
        <f t="shared" ca="1" si="16"/>
        <v>0</v>
      </c>
      <c r="BH77" s="367">
        <f t="shared" ca="1" si="16"/>
        <v>0</v>
      </c>
      <c r="BI77" s="367">
        <f t="shared" ca="1" si="16"/>
        <v>0</v>
      </c>
    </row>
    <row r="78" spans="1:61" outlineLevel="1" x14ac:dyDescent="0.15">
      <c r="A78" s="377">
        <v>24</v>
      </c>
      <c r="B78" s="367" t="str">
        <f t="shared" ca="1" si="14"/>
        <v/>
      </c>
      <c r="C78" s="367" t="str">
        <f t="shared" ca="1" si="14"/>
        <v/>
      </c>
      <c r="D78" s="367" t="str">
        <f t="shared" ca="1" si="14"/>
        <v/>
      </c>
      <c r="E78" s="367" t="str">
        <f t="shared" ca="1" si="14"/>
        <v/>
      </c>
      <c r="F78" s="367" t="str">
        <f t="shared" ca="1" si="14"/>
        <v/>
      </c>
      <c r="G78" s="367" t="str">
        <f t="shared" ca="1" si="14"/>
        <v/>
      </c>
      <c r="H78" s="367" t="str">
        <f t="shared" ca="1" si="14"/>
        <v/>
      </c>
      <c r="I78" s="367" t="str">
        <f t="shared" ca="1" si="14"/>
        <v/>
      </c>
      <c r="J78" s="367" t="str">
        <f t="shared" ca="1" si="14"/>
        <v/>
      </c>
      <c r="K78" s="367" t="str">
        <f t="shared" ca="1" si="14"/>
        <v/>
      </c>
      <c r="L78" s="367" t="str">
        <f t="shared" ca="1" si="14"/>
        <v/>
      </c>
      <c r="M78" s="367" t="str">
        <f t="shared" ca="1" si="14"/>
        <v/>
      </c>
      <c r="N78" s="367" t="str">
        <f t="shared" ca="1" si="14"/>
        <v/>
      </c>
      <c r="O78" s="367" t="str">
        <f t="shared" ca="1" si="14"/>
        <v/>
      </c>
      <c r="P78" s="367" t="str">
        <f t="shared" ca="1" si="14"/>
        <v/>
      </c>
      <c r="Q78" s="367" t="str">
        <f t="shared" ca="1" si="14"/>
        <v/>
      </c>
      <c r="R78" s="367" t="str">
        <f t="shared" ca="1" si="16"/>
        <v/>
      </c>
      <c r="S78" s="367" t="str">
        <f t="shared" ca="1" si="16"/>
        <v/>
      </c>
      <c r="T78" s="367" t="str">
        <f t="shared" ca="1" si="16"/>
        <v/>
      </c>
      <c r="U78" s="367" t="str">
        <f t="shared" ca="1" si="16"/>
        <v/>
      </c>
      <c r="V78" s="367" t="str">
        <f t="shared" ca="1" si="16"/>
        <v/>
      </c>
      <c r="W78" s="367" t="str">
        <f t="shared" ca="1" si="16"/>
        <v/>
      </c>
      <c r="X78" s="367" t="str">
        <f t="shared" ca="1" si="16"/>
        <v/>
      </c>
      <c r="Y78" s="367">
        <f t="shared" ca="1" si="16"/>
        <v>0</v>
      </c>
      <c r="Z78" s="367">
        <f t="shared" ca="1" si="16"/>
        <v>0</v>
      </c>
      <c r="AA78" s="367">
        <f t="shared" ca="1" si="16"/>
        <v>0</v>
      </c>
      <c r="AB78" s="367">
        <f t="shared" ca="1" si="16"/>
        <v>0</v>
      </c>
      <c r="AC78" s="367">
        <f t="shared" ca="1" si="16"/>
        <v>0</v>
      </c>
      <c r="AD78" s="367">
        <f t="shared" ca="1" si="16"/>
        <v>0</v>
      </c>
      <c r="AE78" s="367" t="e">
        <f t="shared" ca="1" si="16"/>
        <v>#REF!</v>
      </c>
      <c r="AF78" s="367" t="e">
        <f t="shared" ca="1" si="16"/>
        <v>#REF!</v>
      </c>
      <c r="AG78" s="367" t="e">
        <f t="shared" ca="1" si="16"/>
        <v>#REF!</v>
      </c>
      <c r="AH78" s="367">
        <f t="shared" ca="1" si="16"/>
        <v>0</v>
      </c>
      <c r="AI78" s="367">
        <f t="shared" ca="1" si="16"/>
        <v>0</v>
      </c>
      <c r="AJ78" s="367">
        <f t="shared" ca="1" si="16"/>
        <v>0</v>
      </c>
      <c r="AK78" s="367">
        <f t="shared" ca="1" si="16"/>
        <v>0</v>
      </c>
      <c r="AL78" s="367">
        <f t="shared" ca="1" si="16"/>
        <v>0</v>
      </c>
      <c r="AM78" s="367">
        <f t="shared" ca="1" si="16"/>
        <v>0</v>
      </c>
      <c r="AN78" s="367">
        <f t="shared" ca="1" si="16"/>
        <v>0</v>
      </c>
      <c r="AO78" s="367">
        <f t="shared" ca="1" si="16"/>
        <v>0</v>
      </c>
      <c r="AP78" s="367">
        <f t="shared" ca="1" si="16"/>
        <v>0</v>
      </c>
      <c r="AQ78" s="367">
        <f t="shared" ca="1" si="16"/>
        <v>0</v>
      </c>
      <c r="AR78" s="367">
        <f t="shared" ca="1" si="16"/>
        <v>0</v>
      </c>
      <c r="AS78" s="367">
        <f t="shared" ca="1" si="16"/>
        <v>0</v>
      </c>
      <c r="AT78" s="367">
        <f t="shared" ca="1" si="16"/>
        <v>0</v>
      </c>
      <c r="AU78" s="367">
        <f t="shared" ca="1" si="16"/>
        <v>0</v>
      </c>
      <c r="AV78" s="367">
        <f t="shared" ca="1" si="16"/>
        <v>0</v>
      </c>
      <c r="AW78" s="367">
        <f t="shared" ca="1" si="16"/>
        <v>0</v>
      </c>
      <c r="AX78" s="367">
        <f t="shared" ca="1" si="16"/>
        <v>0</v>
      </c>
      <c r="AY78" s="367">
        <f t="shared" ca="1" si="16"/>
        <v>0</v>
      </c>
      <c r="AZ78" s="367">
        <f t="shared" ca="1" si="16"/>
        <v>0</v>
      </c>
      <c r="BA78" s="367">
        <f t="shared" ca="1" si="16"/>
        <v>0</v>
      </c>
      <c r="BB78" s="367">
        <f t="shared" ca="1" si="16"/>
        <v>0</v>
      </c>
      <c r="BC78" s="367">
        <f t="shared" ca="1" si="16"/>
        <v>0</v>
      </c>
      <c r="BD78" s="367">
        <f t="shared" ca="1" si="16"/>
        <v>0</v>
      </c>
      <c r="BE78" s="367">
        <f t="shared" ca="1" si="16"/>
        <v>0</v>
      </c>
      <c r="BF78" s="367">
        <f t="shared" ca="1" si="16"/>
        <v>0</v>
      </c>
      <c r="BG78" s="367">
        <f t="shared" ca="1" si="16"/>
        <v>0</v>
      </c>
      <c r="BH78" s="367">
        <f t="shared" ca="1" si="16"/>
        <v>0</v>
      </c>
      <c r="BI78" s="367">
        <f t="shared" ca="1" si="16"/>
        <v>0</v>
      </c>
    </row>
    <row r="79" spans="1:61" outlineLevel="1" x14ac:dyDescent="0.15">
      <c r="A79" s="377">
        <v>25</v>
      </c>
      <c r="B79" s="367" t="str">
        <f t="shared" ca="1" si="14"/>
        <v/>
      </c>
      <c r="C79" s="367" t="str">
        <f t="shared" ca="1" si="14"/>
        <v/>
      </c>
      <c r="D79" s="367" t="str">
        <f t="shared" ca="1" si="14"/>
        <v/>
      </c>
      <c r="E79" s="367" t="str">
        <f t="shared" ca="1" si="14"/>
        <v/>
      </c>
      <c r="F79" s="367" t="str">
        <f t="shared" ca="1" si="14"/>
        <v/>
      </c>
      <c r="G79" s="367" t="str">
        <f t="shared" ca="1" si="14"/>
        <v/>
      </c>
      <c r="H79" s="367" t="str">
        <f t="shared" ca="1" si="14"/>
        <v/>
      </c>
      <c r="I79" s="367" t="str">
        <f t="shared" ca="1" si="14"/>
        <v/>
      </c>
      <c r="J79" s="367" t="str">
        <f t="shared" ca="1" si="14"/>
        <v/>
      </c>
      <c r="K79" s="367" t="str">
        <f t="shared" ca="1" si="14"/>
        <v/>
      </c>
      <c r="L79" s="367" t="str">
        <f t="shared" ca="1" si="14"/>
        <v/>
      </c>
      <c r="M79" s="367" t="str">
        <f t="shared" ca="1" si="14"/>
        <v/>
      </c>
      <c r="N79" s="367" t="str">
        <f t="shared" ca="1" si="14"/>
        <v/>
      </c>
      <c r="O79" s="367" t="str">
        <f t="shared" ca="1" si="14"/>
        <v/>
      </c>
      <c r="P79" s="367" t="str">
        <f t="shared" ca="1" si="14"/>
        <v/>
      </c>
      <c r="Q79" s="367" t="str">
        <f t="shared" ca="1" si="14"/>
        <v/>
      </c>
      <c r="R79" s="367" t="str">
        <f t="shared" ca="1" si="16"/>
        <v/>
      </c>
      <c r="S79" s="367" t="str">
        <f t="shared" ca="1" si="16"/>
        <v/>
      </c>
      <c r="T79" s="367" t="str">
        <f t="shared" ca="1" si="16"/>
        <v/>
      </c>
      <c r="U79" s="367" t="str">
        <f t="shared" ca="1" si="16"/>
        <v/>
      </c>
      <c r="V79" s="367" t="str">
        <f t="shared" ca="1" si="16"/>
        <v/>
      </c>
      <c r="W79" s="367" t="str">
        <f t="shared" ca="1" si="16"/>
        <v/>
      </c>
      <c r="X79" s="367" t="str">
        <f t="shared" ca="1" si="16"/>
        <v/>
      </c>
      <c r="Y79" s="367" t="str">
        <f t="shared" ca="1" si="16"/>
        <v/>
      </c>
      <c r="Z79" s="367">
        <f t="shared" ca="1" si="16"/>
        <v>0</v>
      </c>
      <c r="AA79" s="367">
        <f t="shared" ca="1" si="16"/>
        <v>0</v>
      </c>
      <c r="AB79" s="367">
        <f t="shared" ca="1" si="16"/>
        <v>0</v>
      </c>
      <c r="AC79" s="367">
        <f t="shared" ca="1" si="16"/>
        <v>0</v>
      </c>
      <c r="AD79" s="367">
        <f t="shared" ca="1" si="16"/>
        <v>0</v>
      </c>
      <c r="AE79" s="367">
        <f t="shared" ca="1" si="16"/>
        <v>0</v>
      </c>
      <c r="AF79" s="367" t="e">
        <f t="shared" ca="1" si="16"/>
        <v>#REF!</v>
      </c>
      <c r="AG79" s="367" t="e">
        <f t="shared" ca="1" si="16"/>
        <v>#REF!</v>
      </c>
      <c r="AH79" s="367" t="e">
        <f t="shared" ca="1" si="16"/>
        <v>#REF!</v>
      </c>
      <c r="AI79" s="367">
        <f t="shared" ca="1" si="16"/>
        <v>0</v>
      </c>
      <c r="AJ79" s="367">
        <f t="shared" ca="1" si="16"/>
        <v>0</v>
      </c>
      <c r="AK79" s="367">
        <f t="shared" ca="1" si="16"/>
        <v>0</v>
      </c>
      <c r="AL79" s="367">
        <f t="shared" ca="1" si="16"/>
        <v>0</v>
      </c>
      <c r="AM79" s="367">
        <f t="shared" ca="1" si="16"/>
        <v>0</v>
      </c>
      <c r="AN79" s="367">
        <f t="shared" ca="1" si="16"/>
        <v>0</v>
      </c>
      <c r="AO79" s="367">
        <f t="shared" ca="1" si="16"/>
        <v>0</v>
      </c>
      <c r="AP79" s="367">
        <f t="shared" ca="1" si="16"/>
        <v>0</v>
      </c>
      <c r="AQ79" s="367">
        <f t="shared" ca="1" si="16"/>
        <v>0</v>
      </c>
      <c r="AR79" s="367">
        <f t="shared" ca="1" si="16"/>
        <v>0</v>
      </c>
      <c r="AS79" s="367">
        <f t="shared" ca="1" si="16"/>
        <v>0</v>
      </c>
      <c r="AT79" s="367">
        <f t="shared" ca="1" si="16"/>
        <v>0</v>
      </c>
      <c r="AU79" s="367">
        <f t="shared" ca="1" si="16"/>
        <v>0</v>
      </c>
      <c r="AV79" s="367">
        <f t="shared" ca="1" si="16"/>
        <v>0</v>
      </c>
      <c r="AW79" s="367">
        <f t="shared" ca="1" si="16"/>
        <v>0</v>
      </c>
      <c r="AX79" s="367">
        <f t="shared" ca="1" si="16"/>
        <v>0</v>
      </c>
      <c r="AY79" s="367">
        <f t="shared" ca="1" si="16"/>
        <v>0</v>
      </c>
      <c r="AZ79" s="367">
        <f t="shared" ca="1" si="16"/>
        <v>0</v>
      </c>
      <c r="BA79" s="367">
        <f t="shared" ca="1" si="16"/>
        <v>0</v>
      </c>
      <c r="BB79" s="367">
        <f t="shared" ca="1" si="16"/>
        <v>0</v>
      </c>
      <c r="BC79" s="367">
        <f t="shared" ca="1" si="16"/>
        <v>0</v>
      </c>
      <c r="BD79" s="367">
        <f t="shared" ca="1" si="16"/>
        <v>0</v>
      </c>
      <c r="BE79" s="367">
        <f t="shared" ca="1" si="16"/>
        <v>0</v>
      </c>
      <c r="BF79" s="367">
        <f t="shared" ca="1" si="16"/>
        <v>0</v>
      </c>
      <c r="BG79" s="367">
        <f t="shared" ca="1" si="16"/>
        <v>0</v>
      </c>
      <c r="BH79" s="367">
        <f t="shared" ca="1" si="16"/>
        <v>0</v>
      </c>
      <c r="BI79" s="367">
        <f t="shared" ca="1" si="16"/>
        <v>0</v>
      </c>
    </row>
    <row r="80" spans="1:61" outlineLevel="1" x14ac:dyDescent="0.15">
      <c r="A80" s="377">
        <v>26</v>
      </c>
      <c r="B80" s="367" t="str">
        <f t="shared" ca="1" si="14"/>
        <v/>
      </c>
      <c r="C80" s="367" t="str">
        <f t="shared" ca="1" si="14"/>
        <v/>
      </c>
      <c r="D80" s="367" t="str">
        <f t="shared" ca="1" si="14"/>
        <v/>
      </c>
      <c r="E80" s="367" t="str">
        <f t="shared" ca="1" si="14"/>
        <v/>
      </c>
      <c r="F80" s="367" t="str">
        <f t="shared" ca="1" si="14"/>
        <v/>
      </c>
      <c r="G80" s="367" t="str">
        <f t="shared" ca="1" si="14"/>
        <v/>
      </c>
      <c r="H80" s="367" t="str">
        <f t="shared" ca="1" si="14"/>
        <v/>
      </c>
      <c r="I80" s="367" t="str">
        <f t="shared" ca="1" si="14"/>
        <v/>
      </c>
      <c r="J80" s="367" t="str">
        <f t="shared" ca="1" si="14"/>
        <v/>
      </c>
      <c r="K80" s="367" t="str">
        <f t="shared" ca="1" si="14"/>
        <v/>
      </c>
      <c r="L80" s="367" t="str">
        <f t="shared" ca="1" si="14"/>
        <v/>
      </c>
      <c r="M80" s="367" t="str">
        <f t="shared" ca="1" si="14"/>
        <v/>
      </c>
      <c r="N80" s="367" t="str">
        <f t="shared" ca="1" si="14"/>
        <v/>
      </c>
      <c r="O80" s="367" t="str">
        <f t="shared" ca="1" si="14"/>
        <v/>
      </c>
      <c r="P80" s="367" t="str">
        <f t="shared" ca="1" si="14"/>
        <v/>
      </c>
      <c r="Q80" s="367" t="str">
        <f t="shared" ca="1" si="14"/>
        <v/>
      </c>
      <c r="R80" s="367" t="str">
        <f t="shared" ca="1" si="16"/>
        <v/>
      </c>
      <c r="S80" s="367" t="str">
        <f t="shared" ca="1" si="16"/>
        <v/>
      </c>
      <c r="T80" s="367" t="str">
        <f t="shared" ca="1" si="16"/>
        <v/>
      </c>
      <c r="U80" s="367" t="str">
        <f t="shared" ca="1" si="16"/>
        <v/>
      </c>
      <c r="V80" s="367" t="str">
        <f t="shared" ca="1" si="16"/>
        <v/>
      </c>
      <c r="W80" s="367" t="str">
        <f t="shared" ca="1" si="16"/>
        <v/>
      </c>
      <c r="X80" s="367" t="str">
        <f t="shared" ca="1" si="16"/>
        <v/>
      </c>
      <c r="Y80" s="367" t="str">
        <f t="shared" ca="1" si="16"/>
        <v/>
      </c>
      <c r="Z80" s="367" t="str">
        <f t="shared" ca="1" si="16"/>
        <v/>
      </c>
      <c r="AA80" s="367">
        <f t="shared" ca="1" si="16"/>
        <v>0</v>
      </c>
      <c r="AB80" s="367">
        <f t="shared" ca="1" si="16"/>
        <v>0</v>
      </c>
      <c r="AC80" s="367">
        <f t="shared" ca="1" si="16"/>
        <v>0</v>
      </c>
      <c r="AD80" s="367">
        <f t="shared" ca="1" si="16"/>
        <v>0</v>
      </c>
      <c r="AE80" s="367">
        <f t="shared" ca="1" si="16"/>
        <v>0</v>
      </c>
      <c r="AF80" s="367">
        <f t="shared" ca="1" si="16"/>
        <v>0</v>
      </c>
      <c r="AG80" s="367" t="e">
        <f t="shared" ca="1" si="16"/>
        <v>#REF!</v>
      </c>
      <c r="AH80" s="367" t="e">
        <f t="shared" ca="1" si="16"/>
        <v>#REF!</v>
      </c>
      <c r="AI80" s="367" t="e">
        <f t="shared" ca="1" si="16"/>
        <v>#REF!</v>
      </c>
      <c r="AJ80" s="367">
        <f t="shared" ca="1" si="16"/>
        <v>0</v>
      </c>
      <c r="AK80" s="367">
        <f t="shared" ca="1" si="16"/>
        <v>0</v>
      </c>
      <c r="AL80" s="367">
        <f t="shared" ca="1" si="16"/>
        <v>0</v>
      </c>
      <c r="AM80" s="367">
        <f t="shared" ca="1" si="16"/>
        <v>0</v>
      </c>
      <c r="AN80" s="367">
        <f t="shared" ca="1" si="16"/>
        <v>0</v>
      </c>
      <c r="AO80" s="367">
        <f t="shared" ca="1" si="16"/>
        <v>0</v>
      </c>
      <c r="AP80" s="367">
        <f t="shared" ca="1" si="16"/>
        <v>0</v>
      </c>
      <c r="AQ80" s="367">
        <f t="shared" ca="1" si="16"/>
        <v>0</v>
      </c>
      <c r="AR80" s="367">
        <f t="shared" ca="1" si="16"/>
        <v>0</v>
      </c>
      <c r="AS80" s="367">
        <f t="shared" ca="1" si="16"/>
        <v>0</v>
      </c>
      <c r="AT80" s="367">
        <f t="shared" ca="1" si="16"/>
        <v>0</v>
      </c>
      <c r="AU80" s="367">
        <f t="shared" ca="1" si="16"/>
        <v>0</v>
      </c>
      <c r="AV80" s="367">
        <f t="shared" ca="1" si="16"/>
        <v>0</v>
      </c>
      <c r="AW80" s="367">
        <f t="shared" ca="1" si="16"/>
        <v>0</v>
      </c>
      <c r="AX80" s="367">
        <f t="shared" ca="1" si="16"/>
        <v>0</v>
      </c>
      <c r="AY80" s="367">
        <f t="shared" ca="1" si="16"/>
        <v>0</v>
      </c>
      <c r="AZ80" s="367">
        <f t="shared" ca="1" si="16"/>
        <v>0</v>
      </c>
      <c r="BA80" s="367">
        <f t="shared" ca="1" si="16"/>
        <v>0</v>
      </c>
      <c r="BB80" s="367">
        <f t="shared" ca="1" si="16"/>
        <v>0</v>
      </c>
      <c r="BC80" s="367">
        <f t="shared" ca="1" si="16"/>
        <v>0</v>
      </c>
      <c r="BD80" s="367">
        <f t="shared" ca="1" si="16"/>
        <v>0</v>
      </c>
      <c r="BE80" s="367">
        <f t="shared" ca="1" si="16"/>
        <v>0</v>
      </c>
      <c r="BF80" s="367">
        <f t="shared" ca="1" si="16"/>
        <v>0</v>
      </c>
      <c r="BG80" s="367">
        <f t="shared" ca="1" si="16"/>
        <v>0</v>
      </c>
      <c r="BH80" s="367">
        <f t="shared" ca="1" si="16"/>
        <v>0</v>
      </c>
      <c r="BI80" s="367">
        <f t="shared" ca="1" si="16"/>
        <v>0</v>
      </c>
    </row>
    <row r="81" spans="1:61" outlineLevel="1" x14ac:dyDescent="0.15">
      <c r="A81" s="377">
        <v>27</v>
      </c>
      <c r="B81" s="367" t="str">
        <f t="shared" ca="1" si="14"/>
        <v/>
      </c>
      <c r="C81" s="367" t="str">
        <f t="shared" ca="1" si="14"/>
        <v/>
      </c>
      <c r="D81" s="367" t="str">
        <f t="shared" ca="1" si="14"/>
        <v/>
      </c>
      <c r="E81" s="367" t="str">
        <f t="shared" ca="1" si="14"/>
        <v/>
      </c>
      <c r="F81" s="367" t="str">
        <f t="shared" ca="1" si="14"/>
        <v/>
      </c>
      <c r="G81" s="367" t="str">
        <f t="shared" ca="1" si="14"/>
        <v/>
      </c>
      <c r="H81" s="367" t="str">
        <f t="shared" ca="1" si="14"/>
        <v/>
      </c>
      <c r="I81" s="367" t="str">
        <f t="shared" ca="1" si="14"/>
        <v/>
      </c>
      <c r="J81" s="367" t="str">
        <f t="shared" ca="1" si="14"/>
        <v/>
      </c>
      <c r="K81" s="367" t="str">
        <f t="shared" ca="1" si="14"/>
        <v/>
      </c>
      <c r="L81" s="367" t="str">
        <f t="shared" ca="1" si="14"/>
        <v/>
      </c>
      <c r="M81" s="367" t="str">
        <f t="shared" ca="1" si="14"/>
        <v/>
      </c>
      <c r="N81" s="367" t="str">
        <f t="shared" ca="1" si="14"/>
        <v/>
      </c>
      <c r="O81" s="367" t="str">
        <f t="shared" ca="1" si="14"/>
        <v/>
      </c>
      <c r="P81" s="367" t="str">
        <f t="shared" ca="1" si="14"/>
        <v/>
      </c>
      <c r="Q81" s="367" t="str">
        <f t="shared" ca="1" si="14"/>
        <v/>
      </c>
      <c r="R81" s="367" t="str">
        <f t="shared" ca="1" si="16"/>
        <v/>
      </c>
      <c r="S81" s="367" t="str">
        <f t="shared" ca="1" si="16"/>
        <v/>
      </c>
      <c r="T81" s="367" t="str">
        <f t="shared" ca="1" si="16"/>
        <v/>
      </c>
      <c r="U81" s="367" t="str">
        <f t="shared" ca="1" si="16"/>
        <v/>
      </c>
      <c r="V81" s="367" t="str">
        <f t="shared" ca="1" si="16"/>
        <v/>
      </c>
      <c r="W81" s="367" t="str">
        <f t="shared" ca="1" si="16"/>
        <v/>
      </c>
      <c r="X81" s="367" t="str">
        <f t="shared" ca="1" si="16"/>
        <v/>
      </c>
      <c r="Y81" s="367" t="str">
        <f t="shared" ca="1" si="16"/>
        <v/>
      </c>
      <c r="Z81" s="367" t="str">
        <f t="shared" ca="1" si="16"/>
        <v/>
      </c>
      <c r="AA81" s="367" t="str">
        <f t="shared" ca="1" si="16"/>
        <v/>
      </c>
      <c r="AB81" s="367">
        <f t="shared" ca="1" si="16"/>
        <v>0</v>
      </c>
      <c r="AC81" s="367">
        <f t="shared" ca="1" si="16"/>
        <v>0</v>
      </c>
      <c r="AD81" s="367">
        <f t="shared" ca="1" si="16"/>
        <v>0</v>
      </c>
      <c r="AE81" s="367">
        <f t="shared" ca="1" si="16"/>
        <v>0</v>
      </c>
      <c r="AF81" s="367">
        <f t="shared" ca="1" si="16"/>
        <v>0</v>
      </c>
      <c r="AG81" s="367">
        <f t="shared" ca="1" si="16"/>
        <v>0</v>
      </c>
      <c r="AH81" s="367" t="e">
        <f t="shared" ca="1" si="16"/>
        <v>#REF!</v>
      </c>
      <c r="AI81" s="367" t="e">
        <f t="shared" ca="1" si="16"/>
        <v>#REF!</v>
      </c>
      <c r="AJ81" s="367" t="e">
        <f t="shared" ca="1" si="16"/>
        <v>#REF!</v>
      </c>
      <c r="AK81" s="367">
        <f t="shared" ca="1" si="16"/>
        <v>0</v>
      </c>
      <c r="AL81" s="367">
        <f t="shared" ca="1" si="16"/>
        <v>0</v>
      </c>
      <c r="AM81" s="367">
        <f t="shared" ca="1" si="16"/>
        <v>0</v>
      </c>
      <c r="AN81" s="367">
        <f t="shared" ca="1" si="16"/>
        <v>0</v>
      </c>
      <c r="AO81" s="367">
        <f t="shared" ca="1" si="16"/>
        <v>0</v>
      </c>
      <c r="AP81" s="367">
        <f t="shared" ca="1" si="16"/>
        <v>0</v>
      </c>
      <c r="AQ81" s="367">
        <f t="shared" ca="1" si="16"/>
        <v>0</v>
      </c>
      <c r="AR81" s="367">
        <f t="shared" ca="1" si="16"/>
        <v>0</v>
      </c>
      <c r="AS81" s="367">
        <f t="shared" ca="1" si="16"/>
        <v>0</v>
      </c>
      <c r="AT81" s="367">
        <f t="shared" ca="1" si="16"/>
        <v>0</v>
      </c>
      <c r="AU81" s="367">
        <f t="shared" ca="1" si="16"/>
        <v>0</v>
      </c>
      <c r="AV81" s="367">
        <f t="shared" ca="1" si="16"/>
        <v>0</v>
      </c>
      <c r="AW81" s="367">
        <f t="shared" ca="1" si="16"/>
        <v>0</v>
      </c>
      <c r="AX81" s="367">
        <f t="shared" ca="1" si="16"/>
        <v>0</v>
      </c>
      <c r="AY81" s="367">
        <f t="shared" ca="1" si="16"/>
        <v>0</v>
      </c>
      <c r="AZ81" s="367">
        <f t="shared" ca="1" si="16"/>
        <v>0</v>
      </c>
      <c r="BA81" s="367">
        <f t="shared" ca="1" si="16"/>
        <v>0</v>
      </c>
      <c r="BB81" s="367">
        <f t="shared" ca="1" si="16"/>
        <v>0</v>
      </c>
      <c r="BC81" s="367">
        <f t="shared" ca="1" si="16"/>
        <v>0</v>
      </c>
      <c r="BD81" s="367">
        <f t="shared" ca="1" si="16"/>
        <v>0</v>
      </c>
      <c r="BE81" s="367">
        <f t="shared" ca="1" si="16"/>
        <v>0</v>
      </c>
      <c r="BF81" s="367">
        <f t="shared" ca="1" si="16"/>
        <v>0</v>
      </c>
      <c r="BG81" s="367">
        <f t="shared" ca="1" si="16"/>
        <v>0</v>
      </c>
      <c r="BH81" s="367">
        <f t="shared" ca="1" si="16"/>
        <v>0</v>
      </c>
      <c r="BI81" s="367">
        <f t="shared" ref="BI81:DO85" ca="1" si="17">IF($A81&gt;BI$5,"",OFFSET(BI$54,0,-($A81-1)))</f>
        <v>0</v>
      </c>
    </row>
    <row r="82" spans="1:61" outlineLevel="1" x14ac:dyDescent="0.15">
      <c r="A82" s="377">
        <v>28</v>
      </c>
      <c r="B82" s="367" t="str">
        <f t="shared" ca="1" si="14"/>
        <v/>
      </c>
      <c r="C82" s="367" t="str">
        <f t="shared" ca="1" si="14"/>
        <v/>
      </c>
      <c r="D82" s="367" t="str">
        <f t="shared" ca="1" si="14"/>
        <v/>
      </c>
      <c r="E82" s="367" t="str">
        <f t="shared" ca="1" si="14"/>
        <v/>
      </c>
      <c r="F82" s="367" t="str">
        <f t="shared" ca="1" si="14"/>
        <v/>
      </c>
      <c r="G82" s="367" t="str">
        <f t="shared" ca="1" si="14"/>
        <v/>
      </c>
      <c r="H82" s="367" t="str">
        <f t="shared" ca="1" si="14"/>
        <v/>
      </c>
      <c r="I82" s="367" t="str">
        <f t="shared" ca="1" si="14"/>
        <v/>
      </c>
      <c r="J82" s="367" t="str">
        <f t="shared" ca="1" si="14"/>
        <v/>
      </c>
      <c r="K82" s="367" t="str">
        <f t="shared" ca="1" si="14"/>
        <v/>
      </c>
      <c r="L82" s="367" t="str">
        <f t="shared" ca="1" si="14"/>
        <v/>
      </c>
      <c r="M82" s="367" t="str">
        <f t="shared" ca="1" si="14"/>
        <v/>
      </c>
      <c r="N82" s="367" t="str">
        <f t="shared" ca="1" si="14"/>
        <v/>
      </c>
      <c r="O82" s="367" t="str">
        <f t="shared" ca="1" si="14"/>
        <v/>
      </c>
      <c r="P82" s="367" t="str">
        <f t="shared" ca="1" si="14"/>
        <v/>
      </c>
      <c r="Q82" s="367" t="str">
        <f t="shared" ca="1" si="14"/>
        <v/>
      </c>
      <c r="R82" s="367" t="str">
        <f t="shared" ref="R82:BX86" ca="1" si="18">IF($A82&gt;R$5,"",OFFSET(R$54,0,-($A82-1)))</f>
        <v/>
      </c>
      <c r="S82" s="367" t="str">
        <f t="shared" ca="1" si="18"/>
        <v/>
      </c>
      <c r="T82" s="367" t="str">
        <f t="shared" ca="1" si="18"/>
        <v/>
      </c>
      <c r="U82" s="367" t="str">
        <f t="shared" ca="1" si="18"/>
        <v/>
      </c>
      <c r="V82" s="367" t="str">
        <f t="shared" ca="1" si="18"/>
        <v/>
      </c>
      <c r="W82" s="367" t="str">
        <f t="shared" ca="1" si="18"/>
        <v/>
      </c>
      <c r="X82" s="367" t="str">
        <f t="shared" ca="1" si="18"/>
        <v/>
      </c>
      <c r="Y82" s="367" t="str">
        <f t="shared" ca="1" si="18"/>
        <v/>
      </c>
      <c r="Z82" s="367" t="str">
        <f t="shared" ca="1" si="18"/>
        <v/>
      </c>
      <c r="AA82" s="367" t="str">
        <f t="shared" ca="1" si="18"/>
        <v/>
      </c>
      <c r="AB82" s="367" t="str">
        <f t="shared" ca="1" si="18"/>
        <v/>
      </c>
      <c r="AC82" s="367">
        <f t="shared" ca="1" si="18"/>
        <v>0</v>
      </c>
      <c r="AD82" s="367">
        <f t="shared" ca="1" si="18"/>
        <v>0</v>
      </c>
      <c r="AE82" s="367">
        <f t="shared" ca="1" si="18"/>
        <v>0</v>
      </c>
      <c r="AF82" s="367">
        <f t="shared" ca="1" si="18"/>
        <v>0</v>
      </c>
      <c r="AG82" s="367">
        <f t="shared" ca="1" si="18"/>
        <v>0</v>
      </c>
      <c r="AH82" s="367">
        <f t="shared" ca="1" si="18"/>
        <v>0</v>
      </c>
      <c r="AI82" s="367" t="e">
        <f t="shared" ca="1" si="18"/>
        <v>#REF!</v>
      </c>
      <c r="AJ82" s="367" t="e">
        <f t="shared" ca="1" si="18"/>
        <v>#REF!</v>
      </c>
      <c r="AK82" s="367" t="e">
        <f t="shared" ca="1" si="18"/>
        <v>#REF!</v>
      </c>
      <c r="AL82" s="367">
        <f t="shared" ca="1" si="18"/>
        <v>0</v>
      </c>
      <c r="AM82" s="367">
        <f t="shared" ca="1" si="18"/>
        <v>0</v>
      </c>
      <c r="AN82" s="367">
        <f t="shared" ca="1" si="18"/>
        <v>0</v>
      </c>
      <c r="AO82" s="367">
        <f t="shared" ca="1" si="18"/>
        <v>0</v>
      </c>
      <c r="AP82" s="367">
        <f t="shared" ca="1" si="18"/>
        <v>0</v>
      </c>
      <c r="AQ82" s="367">
        <f t="shared" ca="1" si="18"/>
        <v>0</v>
      </c>
      <c r="AR82" s="367">
        <f t="shared" ca="1" si="18"/>
        <v>0</v>
      </c>
      <c r="AS82" s="367">
        <f t="shared" ca="1" si="18"/>
        <v>0</v>
      </c>
      <c r="AT82" s="367">
        <f t="shared" ca="1" si="18"/>
        <v>0</v>
      </c>
      <c r="AU82" s="367">
        <f t="shared" ca="1" si="18"/>
        <v>0</v>
      </c>
      <c r="AV82" s="367">
        <f t="shared" ca="1" si="18"/>
        <v>0</v>
      </c>
      <c r="AW82" s="367">
        <f t="shared" ca="1" si="18"/>
        <v>0</v>
      </c>
      <c r="AX82" s="367">
        <f t="shared" ca="1" si="18"/>
        <v>0</v>
      </c>
      <c r="AY82" s="367">
        <f t="shared" ca="1" si="18"/>
        <v>0</v>
      </c>
      <c r="AZ82" s="367">
        <f t="shared" ca="1" si="18"/>
        <v>0</v>
      </c>
      <c r="BA82" s="367">
        <f t="shared" ca="1" si="18"/>
        <v>0</v>
      </c>
      <c r="BB82" s="367">
        <f t="shared" ca="1" si="18"/>
        <v>0</v>
      </c>
      <c r="BC82" s="367">
        <f t="shared" ca="1" si="18"/>
        <v>0</v>
      </c>
      <c r="BD82" s="367">
        <f t="shared" ca="1" si="18"/>
        <v>0</v>
      </c>
      <c r="BE82" s="367">
        <f t="shared" ca="1" si="18"/>
        <v>0</v>
      </c>
      <c r="BF82" s="367">
        <f t="shared" ca="1" si="18"/>
        <v>0</v>
      </c>
      <c r="BG82" s="367">
        <f t="shared" ca="1" si="18"/>
        <v>0</v>
      </c>
      <c r="BH82" s="367">
        <f t="shared" ca="1" si="18"/>
        <v>0</v>
      </c>
      <c r="BI82" s="367">
        <f t="shared" ca="1" si="18"/>
        <v>0</v>
      </c>
    </row>
    <row r="83" spans="1:61" outlineLevel="1" x14ac:dyDescent="0.15">
      <c r="A83" s="377">
        <v>29</v>
      </c>
      <c r="B83" s="367" t="str">
        <f t="shared" ca="1" si="14"/>
        <v/>
      </c>
      <c r="C83" s="367" t="str">
        <f t="shared" ca="1" si="14"/>
        <v/>
      </c>
      <c r="D83" s="367" t="str">
        <f t="shared" ca="1" si="14"/>
        <v/>
      </c>
      <c r="E83" s="367" t="str">
        <f t="shared" ca="1" si="14"/>
        <v/>
      </c>
      <c r="F83" s="367" t="str">
        <f t="shared" ca="1" si="14"/>
        <v/>
      </c>
      <c r="G83" s="367" t="str">
        <f t="shared" ca="1" si="14"/>
        <v/>
      </c>
      <c r="H83" s="367" t="str">
        <f t="shared" ca="1" si="14"/>
        <v/>
      </c>
      <c r="I83" s="367" t="str">
        <f t="shared" ca="1" si="14"/>
        <v/>
      </c>
      <c r="J83" s="367" t="str">
        <f t="shared" ca="1" si="14"/>
        <v/>
      </c>
      <c r="K83" s="367" t="str">
        <f t="shared" ca="1" si="14"/>
        <v/>
      </c>
      <c r="L83" s="367" t="str">
        <f t="shared" ca="1" si="14"/>
        <v/>
      </c>
      <c r="M83" s="367" t="str">
        <f t="shared" ca="1" si="14"/>
        <v/>
      </c>
      <c r="N83" s="367" t="str">
        <f t="shared" ca="1" si="14"/>
        <v/>
      </c>
      <c r="O83" s="367" t="str">
        <f t="shared" ca="1" si="14"/>
        <v/>
      </c>
      <c r="P83" s="367" t="str">
        <f t="shared" ca="1" si="14"/>
        <v/>
      </c>
      <c r="Q83" s="367" t="str">
        <f t="shared" ca="1" si="14"/>
        <v/>
      </c>
      <c r="R83" s="367" t="str">
        <f t="shared" ca="1" si="18"/>
        <v/>
      </c>
      <c r="S83" s="367" t="str">
        <f t="shared" ca="1" si="18"/>
        <v/>
      </c>
      <c r="T83" s="367" t="str">
        <f t="shared" ca="1" si="18"/>
        <v/>
      </c>
      <c r="U83" s="367" t="str">
        <f t="shared" ca="1" si="18"/>
        <v/>
      </c>
      <c r="V83" s="367" t="str">
        <f t="shared" ca="1" si="18"/>
        <v/>
      </c>
      <c r="W83" s="367" t="str">
        <f t="shared" ca="1" si="18"/>
        <v/>
      </c>
      <c r="X83" s="367" t="str">
        <f t="shared" ca="1" si="18"/>
        <v/>
      </c>
      <c r="Y83" s="367" t="str">
        <f t="shared" ca="1" si="18"/>
        <v/>
      </c>
      <c r="Z83" s="367" t="str">
        <f t="shared" ca="1" si="18"/>
        <v/>
      </c>
      <c r="AA83" s="367" t="str">
        <f t="shared" ca="1" si="18"/>
        <v/>
      </c>
      <c r="AB83" s="367" t="str">
        <f t="shared" ca="1" si="18"/>
        <v/>
      </c>
      <c r="AC83" s="367" t="str">
        <f t="shared" ca="1" si="18"/>
        <v/>
      </c>
      <c r="AD83" s="367">
        <f t="shared" ca="1" si="18"/>
        <v>0</v>
      </c>
      <c r="AE83" s="367">
        <f t="shared" ca="1" si="18"/>
        <v>0</v>
      </c>
      <c r="AF83" s="367">
        <f t="shared" ca="1" si="18"/>
        <v>0</v>
      </c>
      <c r="AG83" s="367">
        <f t="shared" ca="1" si="18"/>
        <v>0</v>
      </c>
      <c r="AH83" s="367">
        <f t="shared" ca="1" si="18"/>
        <v>0</v>
      </c>
      <c r="AI83" s="367">
        <f t="shared" ca="1" si="18"/>
        <v>0</v>
      </c>
      <c r="AJ83" s="367" t="e">
        <f t="shared" ca="1" si="18"/>
        <v>#REF!</v>
      </c>
      <c r="AK83" s="367" t="e">
        <f t="shared" ca="1" si="18"/>
        <v>#REF!</v>
      </c>
      <c r="AL83" s="367" t="e">
        <f t="shared" ca="1" si="18"/>
        <v>#REF!</v>
      </c>
      <c r="AM83" s="367">
        <f t="shared" ca="1" si="18"/>
        <v>0</v>
      </c>
      <c r="AN83" s="367">
        <f t="shared" ca="1" si="18"/>
        <v>0</v>
      </c>
      <c r="AO83" s="367">
        <f t="shared" ca="1" si="18"/>
        <v>0</v>
      </c>
      <c r="AP83" s="367">
        <f t="shared" ca="1" si="18"/>
        <v>0</v>
      </c>
      <c r="AQ83" s="367">
        <f t="shared" ca="1" si="18"/>
        <v>0</v>
      </c>
      <c r="AR83" s="367">
        <f t="shared" ca="1" si="18"/>
        <v>0</v>
      </c>
      <c r="AS83" s="367">
        <f t="shared" ca="1" si="18"/>
        <v>0</v>
      </c>
      <c r="AT83" s="367">
        <f t="shared" ca="1" si="18"/>
        <v>0</v>
      </c>
      <c r="AU83" s="367">
        <f t="shared" ca="1" si="18"/>
        <v>0</v>
      </c>
      <c r="AV83" s="367">
        <f t="shared" ca="1" si="18"/>
        <v>0</v>
      </c>
      <c r="AW83" s="367">
        <f t="shared" ca="1" si="18"/>
        <v>0</v>
      </c>
      <c r="AX83" s="367">
        <f t="shared" ca="1" si="18"/>
        <v>0</v>
      </c>
      <c r="AY83" s="367">
        <f t="shared" ca="1" si="18"/>
        <v>0</v>
      </c>
      <c r="AZ83" s="367">
        <f t="shared" ca="1" si="18"/>
        <v>0</v>
      </c>
      <c r="BA83" s="367">
        <f t="shared" ca="1" si="18"/>
        <v>0</v>
      </c>
      <c r="BB83" s="367">
        <f t="shared" ca="1" si="18"/>
        <v>0</v>
      </c>
      <c r="BC83" s="367">
        <f t="shared" ca="1" si="18"/>
        <v>0</v>
      </c>
      <c r="BD83" s="367">
        <f t="shared" ca="1" si="18"/>
        <v>0</v>
      </c>
      <c r="BE83" s="367">
        <f t="shared" ca="1" si="18"/>
        <v>0</v>
      </c>
      <c r="BF83" s="367">
        <f t="shared" ca="1" si="18"/>
        <v>0</v>
      </c>
      <c r="BG83" s="367">
        <f t="shared" ca="1" si="18"/>
        <v>0</v>
      </c>
      <c r="BH83" s="367">
        <f t="shared" ca="1" si="18"/>
        <v>0</v>
      </c>
      <c r="BI83" s="367">
        <f t="shared" ca="1" si="18"/>
        <v>0</v>
      </c>
    </row>
    <row r="84" spans="1:61" outlineLevel="1" x14ac:dyDescent="0.15">
      <c r="A84" s="377">
        <v>30</v>
      </c>
      <c r="B84" s="367" t="str">
        <f t="shared" ca="1" si="14"/>
        <v/>
      </c>
      <c r="C84" s="367" t="str">
        <f t="shared" ca="1" si="14"/>
        <v/>
      </c>
      <c r="D84" s="367" t="str">
        <f t="shared" ca="1" si="14"/>
        <v/>
      </c>
      <c r="E84" s="367" t="str">
        <f t="shared" ca="1" si="14"/>
        <v/>
      </c>
      <c r="F84" s="367" t="str">
        <f t="shared" ca="1" si="14"/>
        <v/>
      </c>
      <c r="G84" s="367" t="str">
        <f t="shared" ca="1" si="14"/>
        <v/>
      </c>
      <c r="H84" s="367" t="str">
        <f t="shared" ca="1" si="14"/>
        <v/>
      </c>
      <c r="I84" s="367" t="str">
        <f t="shared" ca="1" si="14"/>
        <v/>
      </c>
      <c r="J84" s="367" t="str">
        <f t="shared" ca="1" si="14"/>
        <v/>
      </c>
      <c r="K84" s="367" t="str">
        <f t="shared" ca="1" si="14"/>
        <v/>
      </c>
      <c r="L84" s="367" t="str">
        <f t="shared" ca="1" si="14"/>
        <v/>
      </c>
      <c r="M84" s="367" t="str">
        <f t="shared" ca="1" si="14"/>
        <v/>
      </c>
      <c r="N84" s="367" t="str">
        <f t="shared" ca="1" si="14"/>
        <v/>
      </c>
      <c r="O84" s="367" t="str">
        <f t="shared" ca="1" si="14"/>
        <v/>
      </c>
      <c r="P84" s="367" t="str">
        <f t="shared" ca="1" si="14"/>
        <v/>
      </c>
      <c r="Q84" s="367" t="str">
        <f t="shared" ca="1" si="14"/>
        <v/>
      </c>
      <c r="R84" s="367" t="str">
        <f t="shared" ca="1" si="18"/>
        <v/>
      </c>
      <c r="S84" s="367" t="str">
        <f t="shared" ca="1" si="18"/>
        <v/>
      </c>
      <c r="T84" s="367" t="str">
        <f t="shared" ca="1" si="18"/>
        <v/>
      </c>
      <c r="U84" s="367" t="str">
        <f t="shared" ca="1" si="18"/>
        <v/>
      </c>
      <c r="V84" s="367" t="str">
        <f t="shared" ca="1" si="18"/>
        <v/>
      </c>
      <c r="W84" s="367" t="str">
        <f t="shared" ca="1" si="18"/>
        <v/>
      </c>
      <c r="X84" s="367" t="str">
        <f t="shared" ca="1" si="18"/>
        <v/>
      </c>
      <c r="Y84" s="367" t="str">
        <f t="shared" ca="1" si="18"/>
        <v/>
      </c>
      <c r="Z84" s="367" t="str">
        <f t="shared" ca="1" si="18"/>
        <v/>
      </c>
      <c r="AA84" s="367" t="str">
        <f t="shared" ca="1" si="18"/>
        <v/>
      </c>
      <c r="AB84" s="367" t="str">
        <f t="shared" ca="1" si="18"/>
        <v/>
      </c>
      <c r="AC84" s="367" t="str">
        <f t="shared" ca="1" si="18"/>
        <v/>
      </c>
      <c r="AD84" s="367" t="str">
        <f t="shared" ca="1" si="18"/>
        <v/>
      </c>
      <c r="AE84" s="367">
        <f t="shared" ca="1" si="18"/>
        <v>0</v>
      </c>
      <c r="AF84" s="367">
        <f t="shared" ca="1" si="18"/>
        <v>0</v>
      </c>
      <c r="AG84" s="367">
        <f t="shared" ca="1" si="18"/>
        <v>0</v>
      </c>
      <c r="AH84" s="367">
        <f t="shared" ca="1" si="18"/>
        <v>0</v>
      </c>
      <c r="AI84" s="367">
        <f t="shared" ca="1" si="18"/>
        <v>0</v>
      </c>
      <c r="AJ84" s="367">
        <f t="shared" ca="1" si="18"/>
        <v>0</v>
      </c>
      <c r="AK84" s="367" t="e">
        <f t="shared" ca="1" si="18"/>
        <v>#REF!</v>
      </c>
      <c r="AL84" s="367" t="e">
        <f t="shared" ca="1" si="18"/>
        <v>#REF!</v>
      </c>
      <c r="AM84" s="367" t="e">
        <f t="shared" ca="1" si="18"/>
        <v>#REF!</v>
      </c>
      <c r="AN84" s="367">
        <f t="shared" ca="1" si="18"/>
        <v>0</v>
      </c>
      <c r="AO84" s="367">
        <f t="shared" ca="1" si="18"/>
        <v>0</v>
      </c>
      <c r="AP84" s="367">
        <f t="shared" ca="1" si="18"/>
        <v>0</v>
      </c>
      <c r="AQ84" s="367">
        <f t="shared" ca="1" si="18"/>
        <v>0</v>
      </c>
      <c r="AR84" s="367">
        <f t="shared" ca="1" si="18"/>
        <v>0</v>
      </c>
      <c r="AS84" s="367">
        <f t="shared" ca="1" si="18"/>
        <v>0</v>
      </c>
      <c r="AT84" s="367">
        <f t="shared" ca="1" si="18"/>
        <v>0</v>
      </c>
      <c r="AU84" s="367">
        <f t="shared" ca="1" si="18"/>
        <v>0</v>
      </c>
      <c r="AV84" s="367">
        <f t="shared" ca="1" si="18"/>
        <v>0</v>
      </c>
      <c r="AW84" s="367">
        <f t="shared" ca="1" si="18"/>
        <v>0</v>
      </c>
      <c r="AX84" s="367">
        <f t="shared" ca="1" si="18"/>
        <v>0</v>
      </c>
      <c r="AY84" s="367">
        <f t="shared" ca="1" si="18"/>
        <v>0</v>
      </c>
      <c r="AZ84" s="367">
        <f t="shared" ca="1" si="18"/>
        <v>0</v>
      </c>
      <c r="BA84" s="367">
        <f t="shared" ca="1" si="18"/>
        <v>0</v>
      </c>
      <c r="BB84" s="367">
        <f t="shared" ca="1" si="18"/>
        <v>0</v>
      </c>
      <c r="BC84" s="367">
        <f t="shared" ca="1" si="18"/>
        <v>0</v>
      </c>
      <c r="BD84" s="367">
        <f t="shared" ca="1" si="18"/>
        <v>0</v>
      </c>
      <c r="BE84" s="367">
        <f t="shared" ca="1" si="18"/>
        <v>0</v>
      </c>
      <c r="BF84" s="367">
        <f t="shared" ca="1" si="18"/>
        <v>0</v>
      </c>
      <c r="BG84" s="367">
        <f t="shared" ca="1" si="18"/>
        <v>0</v>
      </c>
      <c r="BH84" s="367">
        <f t="shared" ca="1" si="18"/>
        <v>0</v>
      </c>
      <c r="BI84" s="367">
        <f t="shared" ca="1" si="18"/>
        <v>0</v>
      </c>
    </row>
    <row r="85" spans="1:61" outlineLevel="1" x14ac:dyDescent="0.15">
      <c r="A85" s="377">
        <v>31</v>
      </c>
      <c r="B85" s="367" t="str">
        <f t="shared" ca="1" si="14"/>
        <v/>
      </c>
      <c r="C85" s="367" t="str">
        <f t="shared" ca="1" si="14"/>
        <v/>
      </c>
      <c r="D85" s="367" t="str">
        <f t="shared" ca="1" si="14"/>
        <v/>
      </c>
      <c r="E85" s="367" t="str">
        <f t="shared" ca="1" si="14"/>
        <v/>
      </c>
      <c r="F85" s="367" t="str">
        <f t="shared" ca="1" si="14"/>
        <v/>
      </c>
      <c r="G85" s="367" t="str">
        <f t="shared" ca="1" si="14"/>
        <v/>
      </c>
      <c r="H85" s="367" t="str">
        <f t="shared" ca="1" si="14"/>
        <v/>
      </c>
      <c r="I85" s="367" t="str">
        <f t="shared" ca="1" si="14"/>
        <v/>
      </c>
      <c r="J85" s="367" t="str">
        <f t="shared" ca="1" si="14"/>
        <v/>
      </c>
      <c r="K85" s="367" t="str">
        <f t="shared" ca="1" si="14"/>
        <v/>
      </c>
      <c r="L85" s="367" t="str">
        <f t="shared" ca="1" si="14"/>
        <v/>
      </c>
      <c r="M85" s="367" t="str">
        <f t="shared" ca="1" si="14"/>
        <v/>
      </c>
      <c r="N85" s="367" t="str">
        <f t="shared" ca="1" si="14"/>
        <v/>
      </c>
      <c r="O85" s="367" t="str">
        <f t="shared" ca="1" si="14"/>
        <v/>
      </c>
      <c r="P85" s="367" t="str">
        <f t="shared" ca="1" si="14"/>
        <v/>
      </c>
      <c r="Q85" s="367" t="str">
        <f t="shared" ca="1" si="14"/>
        <v/>
      </c>
      <c r="R85" s="367" t="str">
        <f t="shared" ca="1" si="18"/>
        <v/>
      </c>
      <c r="S85" s="367" t="str">
        <f t="shared" ca="1" si="18"/>
        <v/>
      </c>
      <c r="T85" s="367" t="str">
        <f t="shared" ca="1" si="18"/>
        <v/>
      </c>
      <c r="U85" s="367" t="str">
        <f t="shared" ca="1" si="18"/>
        <v/>
      </c>
      <c r="V85" s="367" t="str">
        <f t="shared" ca="1" si="18"/>
        <v/>
      </c>
      <c r="W85" s="367" t="str">
        <f t="shared" ca="1" si="18"/>
        <v/>
      </c>
      <c r="X85" s="367" t="str">
        <f t="shared" ca="1" si="18"/>
        <v/>
      </c>
      <c r="Y85" s="367" t="str">
        <f t="shared" ca="1" si="18"/>
        <v/>
      </c>
      <c r="Z85" s="367" t="str">
        <f t="shared" ca="1" si="18"/>
        <v/>
      </c>
      <c r="AA85" s="367" t="str">
        <f t="shared" ca="1" si="18"/>
        <v/>
      </c>
      <c r="AB85" s="367" t="str">
        <f t="shared" ca="1" si="18"/>
        <v/>
      </c>
      <c r="AC85" s="367" t="str">
        <f t="shared" ca="1" si="18"/>
        <v/>
      </c>
      <c r="AD85" s="367" t="str">
        <f t="shared" ca="1" si="18"/>
        <v/>
      </c>
      <c r="AE85" s="367" t="str">
        <f t="shared" ca="1" si="18"/>
        <v/>
      </c>
      <c r="AF85" s="367">
        <f t="shared" ca="1" si="18"/>
        <v>0</v>
      </c>
      <c r="AG85" s="367">
        <f t="shared" ca="1" si="18"/>
        <v>0</v>
      </c>
      <c r="AH85" s="367">
        <f t="shared" ca="1" si="18"/>
        <v>0</v>
      </c>
      <c r="AI85" s="367">
        <f t="shared" ca="1" si="18"/>
        <v>0</v>
      </c>
      <c r="AJ85" s="367">
        <f t="shared" ca="1" si="18"/>
        <v>0</v>
      </c>
      <c r="AK85" s="367">
        <f t="shared" ca="1" si="18"/>
        <v>0</v>
      </c>
      <c r="AL85" s="367" t="e">
        <f t="shared" ca="1" si="18"/>
        <v>#REF!</v>
      </c>
      <c r="AM85" s="367" t="e">
        <f t="shared" ca="1" si="18"/>
        <v>#REF!</v>
      </c>
      <c r="AN85" s="367" t="e">
        <f t="shared" ca="1" si="18"/>
        <v>#REF!</v>
      </c>
      <c r="AO85" s="367">
        <f t="shared" ca="1" si="18"/>
        <v>0</v>
      </c>
      <c r="AP85" s="367">
        <f t="shared" ca="1" si="18"/>
        <v>0</v>
      </c>
      <c r="AQ85" s="367">
        <f t="shared" ca="1" si="18"/>
        <v>0</v>
      </c>
      <c r="AR85" s="367">
        <f t="shared" ca="1" si="18"/>
        <v>0</v>
      </c>
      <c r="AS85" s="367">
        <f t="shared" ca="1" si="18"/>
        <v>0</v>
      </c>
      <c r="AT85" s="367">
        <f t="shared" ca="1" si="18"/>
        <v>0</v>
      </c>
      <c r="AU85" s="367">
        <f t="shared" ca="1" si="18"/>
        <v>0</v>
      </c>
      <c r="AV85" s="367">
        <f t="shared" ca="1" si="18"/>
        <v>0</v>
      </c>
      <c r="AW85" s="367">
        <f t="shared" ca="1" si="18"/>
        <v>0</v>
      </c>
      <c r="AX85" s="367">
        <f t="shared" ca="1" si="18"/>
        <v>0</v>
      </c>
      <c r="AY85" s="367">
        <f t="shared" ca="1" si="18"/>
        <v>0</v>
      </c>
      <c r="AZ85" s="367">
        <f t="shared" ca="1" si="18"/>
        <v>0</v>
      </c>
      <c r="BA85" s="367">
        <f t="shared" ca="1" si="18"/>
        <v>0</v>
      </c>
      <c r="BB85" s="367">
        <f t="shared" ca="1" si="18"/>
        <v>0</v>
      </c>
      <c r="BC85" s="367">
        <f t="shared" ca="1" si="18"/>
        <v>0</v>
      </c>
      <c r="BD85" s="367">
        <f t="shared" ca="1" si="18"/>
        <v>0</v>
      </c>
      <c r="BE85" s="367">
        <f t="shared" ca="1" si="18"/>
        <v>0</v>
      </c>
      <c r="BF85" s="367">
        <f t="shared" ca="1" si="18"/>
        <v>0</v>
      </c>
      <c r="BG85" s="367">
        <f t="shared" ca="1" si="18"/>
        <v>0</v>
      </c>
      <c r="BH85" s="367">
        <f t="shared" ca="1" si="18"/>
        <v>0</v>
      </c>
      <c r="BI85" s="367">
        <f t="shared" ca="1" si="18"/>
        <v>0</v>
      </c>
    </row>
    <row r="86" spans="1:61" outlineLevel="1" x14ac:dyDescent="0.15">
      <c r="A86" s="377">
        <v>32</v>
      </c>
      <c r="B86" s="367" t="str">
        <f t="shared" ca="1" si="14"/>
        <v/>
      </c>
      <c r="C86" s="367" t="str">
        <f t="shared" ca="1" si="14"/>
        <v/>
      </c>
      <c r="D86" s="367" t="str">
        <f t="shared" ca="1" si="14"/>
        <v/>
      </c>
      <c r="E86" s="367" t="str">
        <f t="shared" ca="1" si="14"/>
        <v/>
      </c>
      <c r="F86" s="367" t="str">
        <f t="shared" ca="1" si="14"/>
        <v/>
      </c>
      <c r="G86" s="367" t="str">
        <f t="shared" ca="1" si="14"/>
        <v/>
      </c>
      <c r="H86" s="367" t="str">
        <f t="shared" ca="1" si="14"/>
        <v/>
      </c>
      <c r="I86" s="367" t="str">
        <f t="shared" ca="1" si="14"/>
        <v/>
      </c>
      <c r="J86" s="367" t="str">
        <f t="shared" ca="1" si="14"/>
        <v/>
      </c>
      <c r="K86" s="367" t="str">
        <f t="shared" ca="1" si="14"/>
        <v/>
      </c>
      <c r="L86" s="367" t="str">
        <f t="shared" ca="1" si="14"/>
        <v/>
      </c>
      <c r="M86" s="367" t="str">
        <f t="shared" ca="1" si="14"/>
        <v/>
      </c>
      <c r="N86" s="367" t="str">
        <f t="shared" ca="1" si="14"/>
        <v/>
      </c>
      <c r="O86" s="367" t="str">
        <f t="shared" ca="1" si="14"/>
        <v/>
      </c>
      <c r="P86" s="367" t="str">
        <f t="shared" ca="1" si="14"/>
        <v/>
      </c>
      <c r="Q86" s="367" t="str">
        <f t="shared" ref="Q86:BW91" ca="1" si="19">IF($A86&gt;Q$5,"",OFFSET(Q$54,0,-($A86-1)))</f>
        <v/>
      </c>
      <c r="R86" s="367" t="str">
        <f t="shared" ca="1" si="19"/>
        <v/>
      </c>
      <c r="S86" s="367" t="str">
        <f t="shared" ca="1" si="19"/>
        <v/>
      </c>
      <c r="T86" s="367" t="str">
        <f t="shared" ca="1" si="19"/>
        <v/>
      </c>
      <c r="U86" s="367" t="str">
        <f t="shared" ca="1" si="19"/>
        <v/>
      </c>
      <c r="V86" s="367" t="str">
        <f t="shared" ca="1" si="19"/>
        <v/>
      </c>
      <c r="W86" s="367" t="str">
        <f t="shared" ca="1" si="19"/>
        <v/>
      </c>
      <c r="X86" s="367" t="str">
        <f t="shared" ca="1" si="19"/>
        <v/>
      </c>
      <c r="Y86" s="367" t="str">
        <f t="shared" ca="1" si="19"/>
        <v/>
      </c>
      <c r="Z86" s="367" t="str">
        <f t="shared" ca="1" si="19"/>
        <v/>
      </c>
      <c r="AA86" s="367" t="str">
        <f t="shared" ca="1" si="19"/>
        <v/>
      </c>
      <c r="AB86" s="367" t="str">
        <f t="shared" ca="1" si="19"/>
        <v/>
      </c>
      <c r="AC86" s="367" t="str">
        <f t="shared" ca="1" si="19"/>
        <v/>
      </c>
      <c r="AD86" s="367" t="str">
        <f t="shared" ca="1" si="19"/>
        <v/>
      </c>
      <c r="AE86" s="367" t="str">
        <f t="shared" ca="1" si="19"/>
        <v/>
      </c>
      <c r="AF86" s="367" t="str">
        <f t="shared" ca="1" si="19"/>
        <v/>
      </c>
      <c r="AG86" s="367">
        <f t="shared" ca="1" si="19"/>
        <v>0</v>
      </c>
      <c r="AH86" s="367">
        <f t="shared" ca="1" si="19"/>
        <v>0</v>
      </c>
      <c r="AI86" s="367">
        <f t="shared" ca="1" si="19"/>
        <v>0</v>
      </c>
      <c r="AJ86" s="367">
        <f t="shared" ca="1" si="19"/>
        <v>0</v>
      </c>
      <c r="AK86" s="367">
        <f t="shared" ca="1" si="19"/>
        <v>0</v>
      </c>
      <c r="AL86" s="367">
        <f t="shared" ca="1" si="19"/>
        <v>0</v>
      </c>
      <c r="AM86" s="367" t="e">
        <f t="shared" ca="1" si="19"/>
        <v>#REF!</v>
      </c>
      <c r="AN86" s="367" t="e">
        <f t="shared" ca="1" si="19"/>
        <v>#REF!</v>
      </c>
      <c r="AO86" s="367" t="e">
        <f t="shared" ca="1" si="19"/>
        <v>#REF!</v>
      </c>
      <c r="AP86" s="367">
        <f t="shared" ca="1" si="19"/>
        <v>0</v>
      </c>
      <c r="AQ86" s="367">
        <f t="shared" ca="1" si="19"/>
        <v>0</v>
      </c>
      <c r="AR86" s="367">
        <f t="shared" ca="1" si="19"/>
        <v>0</v>
      </c>
      <c r="AS86" s="367">
        <f t="shared" ca="1" si="19"/>
        <v>0</v>
      </c>
      <c r="AT86" s="367">
        <f t="shared" ca="1" si="19"/>
        <v>0</v>
      </c>
      <c r="AU86" s="367">
        <f t="shared" ca="1" si="19"/>
        <v>0</v>
      </c>
      <c r="AV86" s="367">
        <f t="shared" ca="1" si="19"/>
        <v>0</v>
      </c>
      <c r="AW86" s="367">
        <f t="shared" ca="1" si="19"/>
        <v>0</v>
      </c>
      <c r="AX86" s="367">
        <f t="shared" ca="1" si="19"/>
        <v>0</v>
      </c>
      <c r="AY86" s="367">
        <f t="shared" ca="1" si="19"/>
        <v>0</v>
      </c>
      <c r="AZ86" s="367">
        <f t="shared" ca="1" si="19"/>
        <v>0</v>
      </c>
      <c r="BA86" s="367">
        <f t="shared" ca="1" si="19"/>
        <v>0</v>
      </c>
      <c r="BB86" s="367">
        <f t="shared" ca="1" si="19"/>
        <v>0</v>
      </c>
      <c r="BC86" s="367">
        <f t="shared" ca="1" si="19"/>
        <v>0</v>
      </c>
      <c r="BD86" s="367">
        <f t="shared" ca="1" si="19"/>
        <v>0</v>
      </c>
      <c r="BE86" s="367">
        <f t="shared" ca="1" si="19"/>
        <v>0</v>
      </c>
      <c r="BF86" s="367">
        <f t="shared" ca="1" si="19"/>
        <v>0</v>
      </c>
      <c r="BG86" s="367">
        <f t="shared" ca="1" si="19"/>
        <v>0</v>
      </c>
      <c r="BH86" s="367">
        <f t="shared" ca="1" si="19"/>
        <v>0</v>
      </c>
      <c r="BI86" s="367">
        <f t="shared" ca="1" si="19"/>
        <v>0</v>
      </c>
    </row>
    <row r="87" spans="1:61" outlineLevel="1" x14ac:dyDescent="0.15">
      <c r="A87" s="377">
        <v>33</v>
      </c>
      <c r="B87" s="367" t="str">
        <f t="shared" ref="B87:Q114" ca="1" si="20">IF($A87&gt;B$5,"",OFFSET(B$54,0,-($A87-1)))</f>
        <v/>
      </c>
      <c r="C87" s="367" t="str">
        <f t="shared" ca="1" si="20"/>
        <v/>
      </c>
      <c r="D87" s="367" t="str">
        <f t="shared" ca="1" si="20"/>
        <v/>
      </c>
      <c r="E87" s="367" t="str">
        <f t="shared" ca="1" si="20"/>
        <v/>
      </c>
      <c r="F87" s="367" t="str">
        <f t="shared" ca="1" si="20"/>
        <v/>
      </c>
      <c r="G87" s="367" t="str">
        <f t="shared" ca="1" si="20"/>
        <v/>
      </c>
      <c r="H87" s="367" t="str">
        <f t="shared" ca="1" si="20"/>
        <v/>
      </c>
      <c r="I87" s="367" t="str">
        <f t="shared" ca="1" si="20"/>
        <v/>
      </c>
      <c r="J87" s="367" t="str">
        <f t="shared" ca="1" si="20"/>
        <v/>
      </c>
      <c r="K87" s="367" t="str">
        <f t="shared" ca="1" si="20"/>
        <v/>
      </c>
      <c r="L87" s="367" t="str">
        <f t="shared" ca="1" si="20"/>
        <v/>
      </c>
      <c r="M87" s="367" t="str">
        <f t="shared" ca="1" si="20"/>
        <v/>
      </c>
      <c r="N87" s="367" t="str">
        <f t="shared" ca="1" si="20"/>
        <v/>
      </c>
      <c r="O87" s="367" t="str">
        <f t="shared" ca="1" si="20"/>
        <v/>
      </c>
      <c r="P87" s="367" t="str">
        <f t="shared" ca="1" si="20"/>
        <v/>
      </c>
      <c r="Q87" s="367" t="str">
        <f t="shared" ca="1" si="20"/>
        <v/>
      </c>
      <c r="R87" s="367" t="str">
        <f t="shared" ca="1" si="19"/>
        <v/>
      </c>
      <c r="S87" s="367" t="str">
        <f t="shared" ca="1" si="19"/>
        <v/>
      </c>
      <c r="T87" s="367" t="str">
        <f t="shared" ca="1" si="19"/>
        <v/>
      </c>
      <c r="U87" s="367" t="str">
        <f t="shared" ca="1" si="19"/>
        <v/>
      </c>
      <c r="V87" s="367" t="str">
        <f t="shared" ca="1" si="19"/>
        <v/>
      </c>
      <c r="W87" s="367" t="str">
        <f t="shared" ca="1" si="19"/>
        <v/>
      </c>
      <c r="X87" s="367" t="str">
        <f t="shared" ca="1" si="19"/>
        <v/>
      </c>
      <c r="Y87" s="367" t="str">
        <f t="shared" ca="1" si="19"/>
        <v/>
      </c>
      <c r="Z87" s="367" t="str">
        <f t="shared" ca="1" si="19"/>
        <v/>
      </c>
      <c r="AA87" s="367" t="str">
        <f t="shared" ca="1" si="19"/>
        <v/>
      </c>
      <c r="AB87" s="367" t="str">
        <f t="shared" ca="1" si="19"/>
        <v/>
      </c>
      <c r="AC87" s="367" t="str">
        <f t="shared" ca="1" si="19"/>
        <v/>
      </c>
      <c r="AD87" s="367" t="str">
        <f t="shared" ca="1" si="19"/>
        <v/>
      </c>
      <c r="AE87" s="367" t="str">
        <f t="shared" ca="1" si="19"/>
        <v/>
      </c>
      <c r="AF87" s="367" t="str">
        <f t="shared" ca="1" si="19"/>
        <v/>
      </c>
      <c r="AG87" s="367" t="str">
        <f t="shared" ca="1" si="19"/>
        <v/>
      </c>
      <c r="AH87" s="367">
        <f t="shared" ca="1" si="19"/>
        <v>0</v>
      </c>
      <c r="AI87" s="367">
        <f t="shared" ca="1" si="19"/>
        <v>0</v>
      </c>
      <c r="AJ87" s="367">
        <f t="shared" ca="1" si="19"/>
        <v>0</v>
      </c>
      <c r="AK87" s="367">
        <f t="shared" ca="1" si="19"/>
        <v>0</v>
      </c>
      <c r="AL87" s="367">
        <f t="shared" ca="1" si="19"/>
        <v>0</v>
      </c>
      <c r="AM87" s="367">
        <f t="shared" ca="1" si="19"/>
        <v>0</v>
      </c>
      <c r="AN87" s="367" t="e">
        <f t="shared" ca="1" si="19"/>
        <v>#REF!</v>
      </c>
      <c r="AO87" s="367" t="e">
        <f t="shared" ca="1" si="19"/>
        <v>#REF!</v>
      </c>
      <c r="AP87" s="367" t="e">
        <f t="shared" ca="1" si="19"/>
        <v>#REF!</v>
      </c>
      <c r="AQ87" s="367">
        <f t="shared" ca="1" si="19"/>
        <v>0</v>
      </c>
      <c r="AR87" s="367">
        <f t="shared" ca="1" si="19"/>
        <v>0</v>
      </c>
      <c r="AS87" s="367">
        <f t="shared" ca="1" si="19"/>
        <v>0</v>
      </c>
      <c r="AT87" s="367">
        <f t="shared" ca="1" si="19"/>
        <v>0</v>
      </c>
      <c r="AU87" s="367">
        <f t="shared" ca="1" si="19"/>
        <v>0</v>
      </c>
      <c r="AV87" s="367">
        <f t="shared" ca="1" si="19"/>
        <v>0</v>
      </c>
      <c r="AW87" s="367">
        <f t="shared" ca="1" si="19"/>
        <v>0</v>
      </c>
      <c r="AX87" s="367">
        <f t="shared" ca="1" si="19"/>
        <v>0</v>
      </c>
      <c r="AY87" s="367">
        <f t="shared" ca="1" si="19"/>
        <v>0</v>
      </c>
      <c r="AZ87" s="367">
        <f t="shared" ca="1" si="19"/>
        <v>0</v>
      </c>
      <c r="BA87" s="367">
        <f t="shared" ca="1" si="19"/>
        <v>0</v>
      </c>
      <c r="BB87" s="367">
        <f t="shared" ca="1" si="19"/>
        <v>0</v>
      </c>
      <c r="BC87" s="367">
        <f t="shared" ca="1" si="19"/>
        <v>0</v>
      </c>
      <c r="BD87" s="367">
        <f t="shared" ca="1" si="19"/>
        <v>0</v>
      </c>
      <c r="BE87" s="367">
        <f t="shared" ca="1" si="19"/>
        <v>0</v>
      </c>
      <c r="BF87" s="367">
        <f t="shared" ca="1" si="19"/>
        <v>0</v>
      </c>
      <c r="BG87" s="367">
        <f t="shared" ca="1" si="19"/>
        <v>0</v>
      </c>
      <c r="BH87" s="367">
        <f t="shared" ca="1" si="19"/>
        <v>0</v>
      </c>
      <c r="BI87" s="367">
        <f t="shared" ca="1" si="19"/>
        <v>0</v>
      </c>
    </row>
    <row r="88" spans="1:61" outlineLevel="1" x14ac:dyDescent="0.15">
      <c r="A88" s="377">
        <v>34</v>
      </c>
      <c r="B88" s="367" t="str">
        <f t="shared" ca="1" si="20"/>
        <v/>
      </c>
      <c r="C88" s="367" t="str">
        <f t="shared" ca="1" si="20"/>
        <v/>
      </c>
      <c r="D88" s="367" t="str">
        <f t="shared" ca="1" si="20"/>
        <v/>
      </c>
      <c r="E88" s="367" t="str">
        <f t="shared" ca="1" si="20"/>
        <v/>
      </c>
      <c r="F88" s="367" t="str">
        <f t="shared" ca="1" si="20"/>
        <v/>
      </c>
      <c r="G88" s="367" t="str">
        <f t="shared" ca="1" si="20"/>
        <v/>
      </c>
      <c r="H88" s="367" t="str">
        <f t="shared" ca="1" si="20"/>
        <v/>
      </c>
      <c r="I88" s="367" t="str">
        <f t="shared" ca="1" si="20"/>
        <v/>
      </c>
      <c r="J88" s="367" t="str">
        <f t="shared" ca="1" si="20"/>
        <v/>
      </c>
      <c r="K88" s="367" t="str">
        <f t="shared" ca="1" si="20"/>
        <v/>
      </c>
      <c r="L88" s="367" t="str">
        <f t="shared" ca="1" si="20"/>
        <v/>
      </c>
      <c r="M88" s="367" t="str">
        <f t="shared" ca="1" si="20"/>
        <v/>
      </c>
      <c r="N88" s="367" t="str">
        <f t="shared" ca="1" si="20"/>
        <v/>
      </c>
      <c r="O88" s="367" t="str">
        <f t="shared" ca="1" si="20"/>
        <v/>
      </c>
      <c r="P88" s="367" t="str">
        <f t="shared" ca="1" si="20"/>
        <v/>
      </c>
      <c r="Q88" s="367" t="str">
        <f t="shared" ca="1" si="20"/>
        <v/>
      </c>
      <c r="R88" s="367" t="str">
        <f t="shared" ca="1" si="19"/>
        <v/>
      </c>
      <c r="S88" s="367" t="str">
        <f t="shared" ca="1" si="19"/>
        <v/>
      </c>
      <c r="T88" s="367" t="str">
        <f t="shared" ca="1" si="19"/>
        <v/>
      </c>
      <c r="U88" s="367" t="str">
        <f t="shared" ca="1" si="19"/>
        <v/>
      </c>
      <c r="V88" s="367" t="str">
        <f t="shared" ca="1" si="19"/>
        <v/>
      </c>
      <c r="W88" s="367" t="str">
        <f t="shared" ca="1" si="19"/>
        <v/>
      </c>
      <c r="X88" s="367" t="str">
        <f t="shared" ca="1" si="19"/>
        <v/>
      </c>
      <c r="Y88" s="367" t="str">
        <f t="shared" ca="1" si="19"/>
        <v/>
      </c>
      <c r="Z88" s="367" t="str">
        <f t="shared" ca="1" si="19"/>
        <v/>
      </c>
      <c r="AA88" s="367" t="str">
        <f t="shared" ca="1" si="19"/>
        <v/>
      </c>
      <c r="AB88" s="367" t="str">
        <f t="shared" ca="1" si="19"/>
        <v/>
      </c>
      <c r="AC88" s="367" t="str">
        <f t="shared" ca="1" si="19"/>
        <v/>
      </c>
      <c r="AD88" s="367" t="str">
        <f t="shared" ca="1" si="19"/>
        <v/>
      </c>
      <c r="AE88" s="367" t="str">
        <f t="shared" ca="1" si="19"/>
        <v/>
      </c>
      <c r="AF88" s="367" t="str">
        <f t="shared" ca="1" si="19"/>
        <v/>
      </c>
      <c r="AG88" s="367" t="str">
        <f t="shared" ca="1" si="19"/>
        <v/>
      </c>
      <c r="AH88" s="367" t="str">
        <f t="shared" ca="1" si="19"/>
        <v/>
      </c>
      <c r="AI88" s="367">
        <f t="shared" ca="1" si="19"/>
        <v>0</v>
      </c>
      <c r="AJ88" s="367">
        <f t="shared" ca="1" si="19"/>
        <v>0</v>
      </c>
      <c r="AK88" s="367">
        <f t="shared" ca="1" si="19"/>
        <v>0</v>
      </c>
      <c r="AL88" s="367">
        <f t="shared" ca="1" si="19"/>
        <v>0</v>
      </c>
      <c r="AM88" s="367">
        <f t="shared" ca="1" si="19"/>
        <v>0</v>
      </c>
      <c r="AN88" s="367">
        <f t="shared" ca="1" si="19"/>
        <v>0</v>
      </c>
      <c r="AO88" s="367" t="e">
        <f t="shared" ca="1" si="19"/>
        <v>#REF!</v>
      </c>
      <c r="AP88" s="367" t="e">
        <f t="shared" ca="1" si="19"/>
        <v>#REF!</v>
      </c>
      <c r="AQ88" s="367" t="e">
        <f t="shared" ca="1" si="19"/>
        <v>#REF!</v>
      </c>
      <c r="AR88" s="367">
        <f t="shared" ca="1" si="19"/>
        <v>0</v>
      </c>
      <c r="AS88" s="367">
        <f t="shared" ca="1" si="19"/>
        <v>0</v>
      </c>
      <c r="AT88" s="367">
        <f t="shared" ca="1" si="19"/>
        <v>0</v>
      </c>
      <c r="AU88" s="367">
        <f t="shared" ca="1" si="19"/>
        <v>0</v>
      </c>
      <c r="AV88" s="367">
        <f t="shared" ca="1" si="19"/>
        <v>0</v>
      </c>
      <c r="AW88" s="367">
        <f t="shared" ca="1" si="19"/>
        <v>0</v>
      </c>
      <c r="AX88" s="367">
        <f t="shared" ca="1" si="19"/>
        <v>0</v>
      </c>
      <c r="AY88" s="367">
        <f t="shared" ca="1" si="19"/>
        <v>0</v>
      </c>
      <c r="AZ88" s="367">
        <f t="shared" ca="1" si="19"/>
        <v>0</v>
      </c>
      <c r="BA88" s="367">
        <f t="shared" ca="1" si="19"/>
        <v>0</v>
      </c>
      <c r="BB88" s="367">
        <f t="shared" ca="1" si="19"/>
        <v>0</v>
      </c>
      <c r="BC88" s="367">
        <f t="shared" ca="1" si="19"/>
        <v>0</v>
      </c>
      <c r="BD88" s="367">
        <f t="shared" ca="1" si="19"/>
        <v>0</v>
      </c>
      <c r="BE88" s="367">
        <f t="shared" ca="1" si="19"/>
        <v>0</v>
      </c>
      <c r="BF88" s="367">
        <f t="shared" ca="1" si="19"/>
        <v>0</v>
      </c>
      <c r="BG88" s="367">
        <f t="shared" ca="1" si="19"/>
        <v>0</v>
      </c>
      <c r="BH88" s="367">
        <f t="shared" ca="1" si="19"/>
        <v>0</v>
      </c>
      <c r="BI88" s="367">
        <f t="shared" ca="1" si="19"/>
        <v>0</v>
      </c>
    </row>
    <row r="89" spans="1:61" outlineLevel="1" x14ac:dyDescent="0.15">
      <c r="A89" s="377">
        <v>35</v>
      </c>
      <c r="B89" s="367" t="str">
        <f t="shared" ca="1" si="20"/>
        <v/>
      </c>
      <c r="C89" s="367" t="str">
        <f t="shared" ca="1" si="20"/>
        <v/>
      </c>
      <c r="D89" s="367" t="str">
        <f t="shared" ca="1" si="20"/>
        <v/>
      </c>
      <c r="E89" s="367" t="str">
        <f t="shared" ca="1" si="20"/>
        <v/>
      </c>
      <c r="F89" s="367" t="str">
        <f t="shared" ca="1" si="20"/>
        <v/>
      </c>
      <c r="G89" s="367" t="str">
        <f t="shared" ca="1" si="20"/>
        <v/>
      </c>
      <c r="H89" s="367" t="str">
        <f t="shared" ca="1" si="20"/>
        <v/>
      </c>
      <c r="I89" s="367" t="str">
        <f t="shared" ca="1" si="20"/>
        <v/>
      </c>
      <c r="J89" s="367" t="str">
        <f t="shared" ca="1" si="20"/>
        <v/>
      </c>
      <c r="K89" s="367" t="str">
        <f t="shared" ca="1" si="20"/>
        <v/>
      </c>
      <c r="L89" s="367" t="str">
        <f t="shared" ca="1" si="20"/>
        <v/>
      </c>
      <c r="M89" s="367" t="str">
        <f t="shared" ca="1" si="20"/>
        <v/>
      </c>
      <c r="N89" s="367" t="str">
        <f t="shared" ca="1" si="20"/>
        <v/>
      </c>
      <c r="O89" s="367" t="str">
        <f t="shared" ca="1" si="20"/>
        <v/>
      </c>
      <c r="P89" s="367" t="str">
        <f t="shared" ca="1" si="20"/>
        <v/>
      </c>
      <c r="Q89" s="367" t="str">
        <f t="shared" ca="1" si="20"/>
        <v/>
      </c>
      <c r="R89" s="367" t="str">
        <f t="shared" ca="1" si="19"/>
        <v/>
      </c>
      <c r="S89" s="367" t="str">
        <f t="shared" ca="1" si="19"/>
        <v/>
      </c>
      <c r="T89" s="367" t="str">
        <f t="shared" ca="1" si="19"/>
        <v/>
      </c>
      <c r="U89" s="367" t="str">
        <f t="shared" ca="1" si="19"/>
        <v/>
      </c>
      <c r="V89" s="367" t="str">
        <f t="shared" ca="1" si="19"/>
        <v/>
      </c>
      <c r="W89" s="367" t="str">
        <f t="shared" ca="1" si="19"/>
        <v/>
      </c>
      <c r="X89" s="367" t="str">
        <f t="shared" ca="1" si="19"/>
        <v/>
      </c>
      <c r="Y89" s="367" t="str">
        <f t="shared" ca="1" si="19"/>
        <v/>
      </c>
      <c r="Z89" s="367" t="str">
        <f t="shared" ca="1" si="19"/>
        <v/>
      </c>
      <c r="AA89" s="367" t="str">
        <f t="shared" ca="1" si="19"/>
        <v/>
      </c>
      <c r="AB89" s="367" t="str">
        <f t="shared" ca="1" si="19"/>
        <v/>
      </c>
      <c r="AC89" s="367" t="str">
        <f t="shared" ca="1" si="19"/>
        <v/>
      </c>
      <c r="AD89" s="367" t="str">
        <f t="shared" ca="1" si="19"/>
        <v/>
      </c>
      <c r="AE89" s="367" t="str">
        <f t="shared" ca="1" si="19"/>
        <v/>
      </c>
      <c r="AF89" s="367" t="str">
        <f t="shared" ca="1" si="19"/>
        <v/>
      </c>
      <c r="AG89" s="367" t="str">
        <f t="shared" ca="1" si="19"/>
        <v/>
      </c>
      <c r="AH89" s="367" t="str">
        <f t="shared" ca="1" si="19"/>
        <v/>
      </c>
      <c r="AI89" s="367" t="str">
        <f t="shared" ca="1" si="19"/>
        <v/>
      </c>
      <c r="AJ89" s="367">
        <f t="shared" ca="1" si="19"/>
        <v>0</v>
      </c>
      <c r="AK89" s="367">
        <f t="shared" ca="1" si="19"/>
        <v>0</v>
      </c>
      <c r="AL89" s="367">
        <f t="shared" ca="1" si="19"/>
        <v>0</v>
      </c>
      <c r="AM89" s="367">
        <f t="shared" ca="1" si="19"/>
        <v>0</v>
      </c>
      <c r="AN89" s="367">
        <f t="shared" ca="1" si="19"/>
        <v>0</v>
      </c>
      <c r="AO89" s="367">
        <f t="shared" ca="1" si="19"/>
        <v>0</v>
      </c>
      <c r="AP89" s="367" t="e">
        <f t="shared" ca="1" si="19"/>
        <v>#REF!</v>
      </c>
      <c r="AQ89" s="367" t="e">
        <f t="shared" ca="1" si="19"/>
        <v>#REF!</v>
      </c>
      <c r="AR89" s="367" t="e">
        <f t="shared" ca="1" si="19"/>
        <v>#REF!</v>
      </c>
      <c r="AS89" s="367">
        <f t="shared" ca="1" si="19"/>
        <v>0</v>
      </c>
      <c r="AT89" s="367">
        <f t="shared" ca="1" si="19"/>
        <v>0</v>
      </c>
      <c r="AU89" s="367">
        <f t="shared" ca="1" si="19"/>
        <v>0</v>
      </c>
      <c r="AV89" s="367">
        <f t="shared" ca="1" si="19"/>
        <v>0</v>
      </c>
      <c r="AW89" s="367">
        <f t="shared" ca="1" si="19"/>
        <v>0</v>
      </c>
      <c r="AX89" s="367">
        <f t="shared" ca="1" si="19"/>
        <v>0</v>
      </c>
      <c r="AY89" s="367">
        <f t="shared" ca="1" si="19"/>
        <v>0</v>
      </c>
      <c r="AZ89" s="367">
        <f t="shared" ca="1" si="19"/>
        <v>0</v>
      </c>
      <c r="BA89" s="367">
        <f t="shared" ca="1" si="19"/>
        <v>0</v>
      </c>
      <c r="BB89" s="367">
        <f t="shared" ca="1" si="19"/>
        <v>0</v>
      </c>
      <c r="BC89" s="367">
        <f t="shared" ca="1" si="19"/>
        <v>0</v>
      </c>
      <c r="BD89" s="367">
        <f t="shared" ca="1" si="19"/>
        <v>0</v>
      </c>
      <c r="BE89" s="367">
        <f t="shared" ca="1" si="19"/>
        <v>0</v>
      </c>
      <c r="BF89" s="367">
        <f t="shared" ca="1" si="19"/>
        <v>0</v>
      </c>
      <c r="BG89" s="367">
        <f t="shared" ca="1" si="19"/>
        <v>0</v>
      </c>
      <c r="BH89" s="367">
        <f t="shared" ca="1" si="19"/>
        <v>0</v>
      </c>
      <c r="BI89" s="367">
        <f t="shared" ca="1" si="19"/>
        <v>0</v>
      </c>
    </row>
    <row r="90" spans="1:61" outlineLevel="1" x14ac:dyDescent="0.15">
      <c r="A90" s="377">
        <v>36</v>
      </c>
      <c r="B90" s="367" t="str">
        <f t="shared" ca="1" si="20"/>
        <v/>
      </c>
      <c r="C90" s="367" t="str">
        <f t="shared" ca="1" si="20"/>
        <v/>
      </c>
      <c r="D90" s="367" t="str">
        <f t="shared" ca="1" si="20"/>
        <v/>
      </c>
      <c r="E90" s="367" t="str">
        <f t="shared" ca="1" si="20"/>
        <v/>
      </c>
      <c r="F90" s="367" t="str">
        <f t="shared" ca="1" si="20"/>
        <v/>
      </c>
      <c r="G90" s="367" t="str">
        <f t="shared" ca="1" si="20"/>
        <v/>
      </c>
      <c r="H90" s="367" t="str">
        <f t="shared" ca="1" si="20"/>
        <v/>
      </c>
      <c r="I90" s="367" t="str">
        <f t="shared" ca="1" si="20"/>
        <v/>
      </c>
      <c r="J90" s="367" t="str">
        <f t="shared" ca="1" si="20"/>
        <v/>
      </c>
      <c r="K90" s="367" t="str">
        <f t="shared" ca="1" si="20"/>
        <v/>
      </c>
      <c r="L90" s="367" t="str">
        <f t="shared" ca="1" si="20"/>
        <v/>
      </c>
      <c r="M90" s="367" t="str">
        <f t="shared" ca="1" si="20"/>
        <v/>
      </c>
      <c r="N90" s="367" t="str">
        <f t="shared" ca="1" si="20"/>
        <v/>
      </c>
      <c r="O90" s="367" t="str">
        <f t="shared" ca="1" si="20"/>
        <v/>
      </c>
      <c r="P90" s="367" t="str">
        <f t="shared" ca="1" si="20"/>
        <v/>
      </c>
      <c r="Q90" s="367" t="str">
        <f t="shared" ca="1" si="20"/>
        <v/>
      </c>
      <c r="R90" s="367" t="str">
        <f t="shared" ca="1" si="19"/>
        <v/>
      </c>
      <c r="S90" s="367" t="str">
        <f t="shared" ca="1" si="19"/>
        <v/>
      </c>
      <c r="T90" s="367" t="str">
        <f t="shared" ca="1" si="19"/>
        <v/>
      </c>
      <c r="U90" s="367" t="str">
        <f t="shared" ca="1" si="19"/>
        <v/>
      </c>
      <c r="V90" s="367" t="str">
        <f t="shared" ca="1" si="19"/>
        <v/>
      </c>
      <c r="W90" s="367" t="str">
        <f t="shared" ca="1" si="19"/>
        <v/>
      </c>
      <c r="X90" s="367" t="str">
        <f t="shared" ca="1" si="19"/>
        <v/>
      </c>
      <c r="Y90" s="367" t="str">
        <f t="shared" ca="1" si="19"/>
        <v/>
      </c>
      <c r="Z90" s="367" t="str">
        <f t="shared" ca="1" si="19"/>
        <v/>
      </c>
      <c r="AA90" s="367" t="str">
        <f t="shared" ca="1" si="19"/>
        <v/>
      </c>
      <c r="AB90" s="367" t="str">
        <f t="shared" ca="1" si="19"/>
        <v/>
      </c>
      <c r="AC90" s="367" t="str">
        <f t="shared" ca="1" si="19"/>
        <v/>
      </c>
      <c r="AD90" s="367" t="str">
        <f t="shared" ca="1" si="19"/>
        <v/>
      </c>
      <c r="AE90" s="367" t="str">
        <f t="shared" ca="1" si="19"/>
        <v/>
      </c>
      <c r="AF90" s="367" t="str">
        <f t="shared" ca="1" si="19"/>
        <v/>
      </c>
      <c r="AG90" s="367" t="str">
        <f t="shared" ca="1" si="19"/>
        <v/>
      </c>
      <c r="AH90" s="367" t="str">
        <f t="shared" ca="1" si="19"/>
        <v/>
      </c>
      <c r="AI90" s="367" t="str">
        <f t="shared" ca="1" si="19"/>
        <v/>
      </c>
      <c r="AJ90" s="367" t="str">
        <f t="shared" ca="1" si="19"/>
        <v/>
      </c>
      <c r="AK90" s="367">
        <f t="shared" ca="1" si="19"/>
        <v>0</v>
      </c>
      <c r="AL90" s="367">
        <f t="shared" ca="1" si="19"/>
        <v>0</v>
      </c>
      <c r="AM90" s="367">
        <f t="shared" ca="1" si="19"/>
        <v>0</v>
      </c>
      <c r="AN90" s="367">
        <f t="shared" ca="1" si="19"/>
        <v>0</v>
      </c>
      <c r="AO90" s="367">
        <f t="shared" ca="1" si="19"/>
        <v>0</v>
      </c>
      <c r="AP90" s="367">
        <f t="shared" ca="1" si="19"/>
        <v>0</v>
      </c>
      <c r="AQ90" s="367" t="e">
        <f t="shared" ca="1" si="19"/>
        <v>#REF!</v>
      </c>
      <c r="AR90" s="367" t="e">
        <f t="shared" ca="1" si="19"/>
        <v>#REF!</v>
      </c>
      <c r="AS90" s="367" t="e">
        <f t="shared" ca="1" si="19"/>
        <v>#REF!</v>
      </c>
      <c r="AT90" s="367">
        <f t="shared" ca="1" si="19"/>
        <v>0</v>
      </c>
      <c r="AU90" s="367">
        <f t="shared" ca="1" si="19"/>
        <v>0</v>
      </c>
      <c r="AV90" s="367">
        <f t="shared" ca="1" si="19"/>
        <v>0</v>
      </c>
      <c r="AW90" s="367">
        <f t="shared" ca="1" si="19"/>
        <v>0</v>
      </c>
      <c r="AX90" s="367">
        <f t="shared" ca="1" si="19"/>
        <v>0</v>
      </c>
      <c r="AY90" s="367">
        <f t="shared" ca="1" si="19"/>
        <v>0</v>
      </c>
      <c r="AZ90" s="367">
        <f t="shared" ca="1" si="19"/>
        <v>0</v>
      </c>
      <c r="BA90" s="367">
        <f t="shared" ca="1" si="19"/>
        <v>0</v>
      </c>
      <c r="BB90" s="367">
        <f t="shared" ca="1" si="19"/>
        <v>0</v>
      </c>
      <c r="BC90" s="367">
        <f t="shared" ca="1" si="19"/>
        <v>0</v>
      </c>
      <c r="BD90" s="367">
        <f t="shared" ca="1" si="19"/>
        <v>0</v>
      </c>
      <c r="BE90" s="367">
        <f t="shared" ca="1" si="19"/>
        <v>0</v>
      </c>
      <c r="BF90" s="367">
        <f t="shared" ca="1" si="19"/>
        <v>0</v>
      </c>
      <c r="BG90" s="367">
        <f t="shared" ca="1" si="19"/>
        <v>0</v>
      </c>
      <c r="BH90" s="367">
        <f t="shared" ca="1" si="19"/>
        <v>0</v>
      </c>
      <c r="BI90" s="367">
        <f t="shared" ca="1" si="19"/>
        <v>0</v>
      </c>
    </row>
    <row r="91" spans="1:61" outlineLevel="1" x14ac:dyDescent="0.15">
      <c r="A91" s="377">
        <v>37</v>
      </c>
      <c r="B91" s="367" t="str">
        <f t="shared" ca="1" si="20"/>
        <v/>
      </c>
      <c r="C91" s="367" t="str">
        <f t="shared" ca="1" si="20"/>
        <v/>
      </c>
      <c r="D91" s="367" t="str">
        <f t="shared" ca="1" si="20"/>
        <v/>
      </c>
      <c r="E91" s="367" t="str">
        <f t="shared" ca="1" si="20"/>
        <v/>
      </c>
      <c r="F91" s="367" t="str">
        <f t="shared" ca="1" si="20"/>
        <v/>
      </c>
      <c r="G91" s="367" t="str">
        <f t="shared" ca="1" si="20"/>
        <v/>
      </c>
      <c r="H91" s="367" t="str">
        <f t="shared" ca="1" si="20"/>
        <v/>
      </c>
      <c r="I91" s="367" t="str">
        <f t="shared" ca="1" si="20"/>
        <v/>
      </c>
      <c r="J91" s="367" t="str">
        <f t="shared" ca="1" si="20"/>
        <v/>
      </c>
      <c r="K91" s="367" t="str">
        <f t="shared" ca="1" si="20"/>
        <v/>
      </c>
      <c r="L91" s="367" t="str">
        <f t="shared" ca="1" si="20"/>
        <v/>
      </c>
      <c r="M91" s="367" t="str">
        <f t="shared" ca="1" si="20"/>
        <v/>
      </c>
      <c r="N91" s="367" t="str">
        <f t="shared" ca="1" si="20"/>
        <v/>
      </c>
      <c r="O91" s="367" t="str">
        <f t="shared" ca="1" si="20"/>
        <v/>
      </c>
      <c r="P91" s="367" t="str">
        <f t="shared" ca="1" si="20"/>
        <v/>
      </c>
      <c r="Q91" s="367" t="str">
        <f t="shared" ca="1" si="20"/>
        <v/>
      </c>
      <c r="R91" s="367" t="str">
        <f t="shared" ca="1" si="19"/>
        <v/>
      </c>
      <c r="S91" s="367" t="str">
        <f t="shared" ca="1" si="19"/>
        <v/>
      </c>
      <c r="T91" s="367" t="str">
        <f t="shared" ca="1" si="19"/>
        <v/>
      </c>
      <c r="U91" s="367" t="str">
        <f t="shared" ca="1" si="19"/>
        <v/>
      </c>
      <c r="V91" s="367" t="str">
        <f t="shared" ca="1" si="19"/>
        <v/>
      </c>
      <c r="W91" s="367" t="str">
        <f t="shared" ca="1" si="19"/>
        <v/>
      </c>
      <c r="X91" s="367" t="str">
        <f t="shared" ca="1" si="19"/>
        <v/>
      </c>
      <c r="Y91" s="367" t="str">
        <f t="shared" ca="1" si="19"/>
        <v/>
      </c>
      <c r="Z91" s="367" t="str">
        <f t="shared" ca="1" si="19"/>
        <v/>
      </c>
      <c r="AA91" s="367" t="str">
        <f t="shared" ca="1" si="19"/>
        <v/>
      </c>
      <c r="AB91" s="367" t="str">
        <f t="shared" ca="1" si="19"/>
        <v/>
      </c>
      <c r="AC91" s="367" t="str">
        <f t="shared" ca="1" si="19"/>
        <v/>
      </c>
      <c r="AD91" s="367" t="str">
        <f t="shared" ca="1" si="19"/>
        <v/>
      </c>
      <c r="AE91" s="367" t="str">
        <f t="shared" ca="1" si="19"/>
        <v/>
      </c>
      <c r="AF91" s="367" t="str">
        <f t="shared" ca="1" si="19"/>
        <v/>
      </c>
      <c r="AG91" s="367" t="str">
        <f t="shared" ca="1" si="19"/>
        <v/>
      </c>
      <c r="AH91" s="367" t="str">
        <f t="shared" ca="1" si="19"/>
        <v/>
      </c>
      <c r="AI91" s="367" t="str">
        <f t="shared" ca="1" si="19"/>
        <v/>
      </c>
      <c r="AJ91" s="367" t="str">
        <f t="shared" ca="1" si="19"/>
        <v/>
      </c>
      <c r="AK91" s="367" t="str">
        <f t="shared" ca="1" si="19"/>
        <v/>
      </c>
      <c r="AL91" s="367">
        <f t="shared" ca="1" si="19"/>
        <v>0</v>
      </c>
      <c r="AM91" s="367">
        <f t="shared" ca="1" si="19"/>
        <v>0</v>
      </c>
      <c r="AN91" s="367">
        <f t="shared" ca="1" si="19"/>
        <v>0</v>
      </c>
      <c r="AO91" s="367">
        <f t="shared" ca="1" si="19"/>
        <v>0</v>
      </c>
      <c r="AP91" s="367">
        <f t="shared" ca="1" si="19"/>
        <v>0</v>
      </c>
      <c r="AQ91" s="367">
        <f t="shared" ca="1" si="19"/>
        <v>0</v>
      </c>
      <c r="AR91" s="367" t="e">
        <f t="shared" ca="1" si="19"/>
        <v>#REF!</v>
      </c>
      <c r="AS91" s="367" t="e">
        <f t="shared" ca="1" si="19"/>
        <v>#REF!</v>
      </c>
      <c r="AT91" s="367" t="e">
        <f t="shared" ca="1" si="19"/>
        <v>#REF!</v>
      </c>
      <c r="AU91" s="367">
        <f t="shared" ca="1" si="19"/>
        <v>0</v>
      </c>
      <c r="AV91" s="367">
        <f t="shared" ca="1" si="19"/>
        <v>0</v>
      </c>
      <c r="AW91" s="367">
        <f t="shared" ca="1" si="19"/>
        <v>0</v>
      </c>
      <c r="AX91" s="367">
        <f t="shared" ca="1" si="19"/>
        <v>0</v>
      </c>
      <c r="AY91" s="367">
        <f t="shared" ca="1" si="19"/>
        <v>0</v>
      </c>
      <c r="AZ91" s="367">
        <f t="shared" ref="AZ91:DF96" ca="1" si="21">IF($A91&gt;AZ$5,"",OFFSET(AZ$54,0,-($A91-1)))</f>
        <v>0</v>
      </c>
      <c r="BA91" s="367">
        <f t="shared" ca="1" si="21"/>
        <v>0</v>
      </c>
      <c r="BB91" s="367">
        <f t="shared" ca="1" si="21"/>
        <v>0</v>
      </c>
      <c r="BC91" s="367">
        <f t="shared" ca="1" si="21"/>
        <v>0</v>
      </c>
      <c r="BD91" s="367">
        <f t="shared" ca="1" si="21"/>
        <v>0</v>
      </c>
      <c r="BE91" s="367">
        <f t="shared" ca="1" si="21"/>
        <v>0</v>
      </c>
      <c r="BF91" s="367">
        <f t="shared" ca="1" si="21"/>
        <v>0</v>
      </c>
      <c r="BG91" s="367">
        <f t="shared" ca="1" si="21"/>
        <v>0</v>
      </c>
      <c r="BH91" s="367">
        <f t="shared" ca="1" si="21"/>
        <v>0</v>
      </c>
      <c r="BI91" s="367">
        <f t="shared" ca="1" si="21"/>
        <v>0</v>
      </c>
    </row>
    <row r="92" spans="1:61" outlineLevel="1" x14ac:dyDescent="0.15">
      <c r="A92" s="377">
        <v>38</v>
      </c>
      <c r="B92" s="367" t="str">
        <f t="shared" ca="1" si="20"/>
        <v/>
      </c>
      <c r="C92" s="367" t="str">
        <f t="shared" ca="1" si="20"/>
        <v/>
      </c>
      <c r="D92" s="367" t="str">
        <f t="shared" ca="1" si="20"/>
        <v/>
      </c>
      <c r="E92" s="367" t="str">
        <f t="shared" ca="1" si="20"/>
        <v/>
      </c>
      <c r="F92" s="367" t="str">
        <f t="shared" ca="1" si="20"/>
        <v/>
      </c>
      <c r="G92" s="367" t="str">
        <f t="shared" ca="1" si="20"/>
        <v/>
      </c>
      <c r="H92" s="367" t="str">
        <f t="shared" ca="1" si="20"/>
        <v/>
      </c>
      <c r="I92" s="367" t="str">
        <f t="shared" ca="1" si="20"/>
        <v/>
      </c>
      <c r="J92" s="367" t="str">
        <f t="shared" ca="1" si="20"/>
        <v/>
      </c>
      <c r="K92" s="367" t="str">
        <f t="shared" ca="1" si="20"/>
        <v/>
      </c>
      <c r="L92" s="367" t="str">
        <f t="shared" ca="1" si="20"/>
        <v/>
      </c>
      <c r="M92" s="367" t="str">
        <f t="shared" ca="1" si="20"/>
        <v/>
      </c>
      <c r="N92" s="367" t="str">
        <f t="shared" ca="1" si="20"/>
        <v/>
      </c>
      <c r="O92" s="367" t="str">
        <f t="shared" ca="1" si="20"/>
        <v/>
      </c>
      <c r="P92" s="367" t="str">
        <f t="shared" ca="1" si="20"/>
        <v/>
      </c>
      <c r="Q92" s="367" t="str">
        <f t="shared" ca="1" si="20"/>
        <v/>
      </c>
      <c r="R92" s="367" t="str">
        <f t="shared" ref="R92:BX97" ca="1" si="22">IF($A92&gt;R$5,"",OFFSET(R$54,0,-($A92-1)))</f>
        <v/>
      </c>
      <c r="S92" s="367" t="str">
        <f t="shared" ca="1" si="22"/>
        <v/>
      </c>
      <c r="T92" s="367" t="str">
        <f t="shared" ca="1" si="22"/>
        <v/>
      </c>
      <c r="U92" s="367" t="str">
        <f t="shared" ca="1" si="22"/>
        <v/>
      </c>
      <c r="V92" s="367" t="str">
        <f t="shared" ca="1" si="22"/>
        <v/>
      </c>
      <c r="W92" s="367" t="str">
        <f t="shared" ca="1" si="22"/>
        <v/>
      </c>
      <c r="X92" s="367" t="str">
        <f t="shared" ca="1" si="22"/>
        <v/>
      </c>
      <c r="Y92" s="367" t="str">
        <f t="shared" ca="1" si="22"/>
        <v/>
      </c>
      <c r="Z92" s="367" t="str">
        <f t="shared" ca="1" si="22"/>
        <v/>
      </c>
      <c r="AA92" s="367" t="str">
        <f t="shared" ca="1" si="22"/>
        <v/>
      </c>
      <c r="AB92" s="367" t="str">
        <f t="shared" ca="1" si="22"/>
        <v/>
      </c>
      <c r="AC92" s="367" t="str">
        <f t="shared" ca="1" si="22"/>
        <v/>
      </c>
      <c r="AD92" s="367" t="str">
        <f t="shared" ca="1" si="22"/>
        <v/>
      </c>
      <c r="AE92" s="367" t="str">
        <f t="shared" ca="1" si="22"/>
        <v/>
      </c>
      <c r="AF92" s="367" t="str">
        <f t="shared" ca="1" si="22"/>
        <v/>
      </c>
      <c r="AG92" s="367" t="str">
        <f t="shared" ca="1" si="22"/>
        <v/>
      </c>
      <c r="AH92" s="367" t="str">
        <f t="shared" ca="1" si="22"/>
        <v/>
      </c>
      <c r="AI92" s="367" t="str">
        <f t="shared" ca="1" si="22"/>
        <v/>
      </c>
      <c r="AJ92" s="367" t="str">
        <f t="shared" ca="1" si="22"/>
        <v/>
      </c>
      <c r="AK92" s="367" t="str">
        <f t="shared" ca="1" si="22"/>
        <v/>
      </c>
      <c r="AL92" s="367" t="str">
        <f t="shared" ca="1" si="22"/>
        <v/>
      </c>
      <c r="AM92" s="367">
        <f t="shared" ca="1" si="22"/>
        <v>0</v>
      </c>
      <c r="AN92" s="367">
        <f t="shared" ca="1" si="22"/>
        <v>0</v>
      </c>
      <c r="AO92" s="367">
        <f t="shared" ca="1" si="22"/>
        <v>0</v>
      </c>
      <c r="AP92" s="367">
        <f t="shared" ca="1" si="22"/>
        <v>0</v>
      </c>
      <c r="AQ92" s="367">
        <f t="shared" ca="1" si="22"/>
        <v>0</v>
      </c>
      <c r="AR92" s="367">
        <f t="shared" ca="1" si="22"/>
        <v>0</v>
      </c>
      <c r="AS92" s="367" t="e">
        <f t="shared" ca="1" si="22"/>
        <v>#REF!</v>
      </c>
      <c r="AT92" s="367" t="e">
        <f t="shared" ca="1" si="22"/>
        <v>#REF!</v>
      </c>
      <c r="AU92" s="367" t="e">
        <f t="shared" ca="1" si="22"/>
        <v>#REF!</v>
      </c>
      <c r="AV92" s="367">
        <f t="shared" ca="1" si="22"/>
        <v>0</v>
      </c>
      <c r="AW92" s="367">
        <f t="shared" ca="1" si="22"/>
        <v>0</v>
      </c>
      <c r="AX92" s="367">
        <f t="shared" ca="1" si="22"/>
        <v>0</v>
      </c>
      <c r="AY92" s="367">
        <f t="shared" ca="1" si="22"/>
        <v>0</v>
      </c>
      <c r="AZ92" s="367">
        <f t="shared" ca="1" si="22"/>
        <v>0</v>
      </c>
      <c r="BA92" s="367">
        <f t="shared" ca="1" si="22"/>
        <v>0</v>
      </c>
      <c r="BB92" s="367">
        <f t="shared" ca="1" si="22"/>
        <v>0</v>
      </c>
      <c r="BC92" s="367">
        <f t="shared" ca="1" si="22"/>
        <v>0</v>
      </c>
      <c r="BD92" s="367">
        <f t="shared" ca="1" si="22"/>
        <v>0</v>
      </c>
      <c r="BE92" s="367">
        <f t="shared" ca="1" si="22"/>
        <v>0</v>
      </c>
      <c r="BF92" s="367">
        <f t="shared" ca="1" si="22"/>
        <v>0</v>
      </c>
      <c r="BG92" s="367">
        <f t="shared" ca="1" si="22"/>
        <v>0</v>
      </c>
      <c r="BH92" s="367">
        <f t="shared" ca="1" si="22"/>
        <v>0</v>
      </c>
      <c r="BI92" s="367">
        <f t="shared" ca="1" si="22"/>
        <v>0</v>
      </c>
    </row>
    <row r="93" spans="1:61" outlineLevel="1" x14ac:dyDescent="0.15">
      <c r="A93" s="377">
        <v>39</v>
      </c>
      <c r="B93" s="367" t="str">
        <f t="shared" ca="1" si="20"/>
        <v/>
      </c>
      <c r="C93" s="367" t="str">
        <f t="shared" ca="1" si="20"/>
        <v/>
      </c>
      <c r="D93" s="367" t="str">
        <f t="shared" ca="1" si="20"/>
        <v/>
      </c>
      <c r="E93" s="367" t="str">
        <f t="shared" ca="1" si="20"/>
        <v/>
      </c>
      <c r="F93" s="367" t="str">
        <f t="shared" ca="1" si="20"/>
        <v/>
      </c>
      <c r="G93" s="367" t="str">
        <f t="shared" ca="1" si="20"/>
        <v/>
      </c>
      <c r="H93" s="367" t="str">
        <f t="shared" ca="1" si="20"/>
        <v/>
      </c>
      <c r="I93" s="367" t="str">
        <f t="shared" ca="1" si="20"/>
        <v/>
      </c>
      <c r="J93" s="367" t="str">
        <f t="shared" ca="1" si="20"/>
        <v/>
      </c>
      <c r="K93" s="367" t="str">
        <f t="shared" ca="1" si="20"/>
        <v/>
      </c>
      <c r="L93" s="367" t="str">
        <f t="shared" ca="1" si="20"/>
        <v/>
      </c>
      <c r="M93" s="367" t="str">
        <f t="shared" ca="1" si="20"/>
        <v/>
      </c>
      <c r="N93" s="367" t="str">
        <f t="shared" ca="1" si="20"/>
        <v/>
      </c>
      <c r="O93" s="367" t="str">
        <f t="shared" ca="1" si="20"/>
        <v/>
      </c>
      <c r="P93" s="367" t="str">
        <f t="shared" ca="1" si="20"/>
        <v/>
      </c>
      <c r="Q93" s="367" t="str">
        <f t="shared" ca="1" si="20"/>
        <v/>
      </c>
      <c r="R93" s="367" t="str">
        <f t="shared" ca="1" si="22"/>
        <v/>
      </c>
      <c r="S93" s="367" t="str">
        <f t="shared" ca="1" si="22"/>
        <v/>
      </c>
      <c r="T93" s="367" t="str">
        <f t="shared" ca="1" si="22"/>
        <v/>
      </c>
      <c r="U93" s="367" t="str">
        <f t="shared" ca="1" si="22"/>
        <v/>
      </c>
      <c r="V93" s="367" t="str">
        <f t="shared" ca="1" si="22"/>
        <v/>
      </c>
      <c r="W93" s="367" t="str">
        <f t="shared" ca="1" si="22"/>
        <v/>
      </c>
      <c r="X93" s="367" t="str">
        <f t="shared" ca="1" si="22"/>
        <v/>
      </c>
      <c r="Y93" s="367" t="str">
        <f t="shared" ca="1" si="22"/>
        <v/>
      </c>
      <c r="Z93" s="367" t="str">
        <f t="shared" ca="1" si="22"/>
        <v/>
      </c>
      <c r="AA93" s="367" t="str">
        <f t="shared" ca="1" si="22"/>
        <v/>
      </c>
      <c r="AB93" s="367" t="str">
        <f t="shared" ca="1" si="22"/>
        <v/>
      </c>
      <c r="AC93" s="367" t="str">
        <f t="shared" ca="1" si="22"/>
        <v/>
      </c>
      <c r="AD93" s="367" t="str">
        <f t="shared" ca="1" si="22"/>
        <v/>
      </c>
      <c r="AE93" s="367" t="str">
        <f t="shared" ca="1" si="22"/>
        <v/>
      </c>
      <c r="AF93" s="367" t="str">
        <f t="shared" ca="1" si="22"/>
        <v/>
      </c>
      <c r="AG93" s="367" t="str">
        <f t="shared" ca="1" si="22"/>
        <v/>
      </c>
      <c r="AH93" s="367" t="str">
        <f t="shared" ca="1" si="22"/>
        <v/>
      </c>
      <c r="AI93" s="367" t="str">
        <f t="shared" ca="1" si="22"/>
        <v/>
      </c>
      <c r="AJ93" s="367" t="str">
        <f t="shared" ca="1" si="22"/>
        <v/>
      </c>
      <c r="AK93" s="367" t="str">
        <f t="shared" ca="1" si="22"/>
        <v/>
      </c>
      <c r="AL93" s="367" t="str">
        <f t="shared" ca="1" si="22"/>
        <v/>
      </c>
      <c r="AM93" s="367" t="str">
        <f t="shared" ca="1" si="22"/>
        <v/>
      </c>
      <c r="AN93" s="367">
        <f t="shared" ca="1" si="22"/>
        <v>0</v>
      </c>
      <c r="AO93" s="367">
        <f t="shared" ca="1" si="22"/>
        <v>0</v>
      </c>
      <c r="AP93" s="367">
        <f t="shared" ca="1" si="22"/>
        <v>0</v>
      </c>
      <c r="AQ93" s="367">
        <f t="shared" ca="1" si="22"/>
        <v>0</v>
      </c>
      <c r="AR93" s="367">
        <f t="shared" ca="1" si="22"/>
        <v>0</v>
      </c>
      <c r="AS93" s="367">
        <f t="shared" ca="1" si="22"/>
        <v>0</v>
      </c>
      <c r="AT93" s="367" t="e">
        <f t="shared" ca="1" si="22"/>
        <v>#REF!</v>
      </c>
      <c r="AU93" s="367" t="e">
        <f t="shared" ca="1" si="22"/>
        <v>#REF!</v>
      </c>
      <c r="AV93" s="367" t="e">
        <f t="shared" ca="1" si="22"/>
        <v>#REF!</v>
      </c>
      <c r="AW93" s="367">
        <f t="shared" ca="1" si="22"/>
        <v>0</v>
      </c>
      <c r="AX93" s="367">
        <f t="shared" ca="1" si="22"/>
        <v>0</v>
      </c>
      <c r="AY93" s="367">
        <f t="shared" ca="1" si="22"/>
        <v>0</v>
      </c>
      <c r="AZ93" s="367">
        <f t="shared" ca="1" si="22"/>
        <v>0</v>
      </c>
      <c r="BA93" s="367">
        <f t="shared" ca="1" si="22"/>
        <v>0</v>
      </c>
      <c r="BB93" s="367">
        <f t="shared" ca="1" si="22"/>
        <v>0</v>
      </c>
      <c r="BC93" s="367">
        <f t="shared" ca="1" si="22"/>
        <v>0</v>
      </c>
      <c r="BD93" s="367">
        <f t="shared" ca="1" si="22"/>
        <v>0</v>
      </c>
      <c r="BE93" s="367">
        <f t="shared" ca="1" si="22"/>
        <v>0</v>
      </c>
      <c r="BF93" s="367">
        <f t="shared" ca="1" si="22"/>
        <v>0</v>
      </c>
      <c r="BG93" s="367">
        <f t="shared" ca="1" si="22"/>
        <v>0</v>
      </c>
      <c r="BH93" s="367">
        <f t="shared" ca="1" si="22"/>
        <v>0</v>
      </c>
      <c r="BI93" s="367">
        <f t="shared" ca="1" si="22"/>
        <v>0</v>
      </c>
    </row>
    <row r="94" spans="1:61" outlineLevel="1" x14ac:dyDescent="0.15">
      <c r="A94" s="377">
        <v>40</v>
      </c>
      <c r="B94" s="367" t="str">
        <f t="shared" ca="1" si="20"/>
        <v/>
      </c>
      <c r="C94" s="367" t="str">
        <f t="shared" ca="1" si="20"/>
        <v/>
      </c>
      <c r="D94" s="367" t="str">
        <f t="shared" ca="1" si="20"/>
        <v/>
      </c>
      <c r="E94" s="367" t="str">
        <f t="shared" ca="1" si="20"/>
        <v/>
      </c>
      <c r="F94" s="367" t="str">
        <f t="shared" ca="1" si="20"/>
        <v/>
      </c>
      <c r="G94" s="367" t="str">
        <f t="shared" ca="1" si="20"/>
        <v/>
      </c>
      <c r="H94" s="367" t="str">
        <f t="shared" ca="1" si="20"/>
        <v/>
      </c>
      <c r="I94" s="367" t="str">
        <f t="shared" ca="1" si="20"/>
        <v/>
      </c>
      <c r="J94" s="367" t="str">
        <f t="shared" ca="1" si="20"/>
        <v/>
      </c>
      <c r="K94" s="367" t="str">
        <f t="shared" ca="1" si="20"/>
        <v/>
      </c>
      <c r="L94" s="367" t="str">
        <f t="shared" ca="1" si="20"/>
        <v/>
      </c>
      <c r="M94" s="367" t="str">
        <f t="shared" ca="1" si="20"/>
        <v/>
      </c>
      <c r="N94" s="367" t="str">
        <f t="shared" ca="1" si="20"/>
        <v/>
      </c>
      <c r="O94" s="367" t="str">
        <f t="shared" ca="1" si="20"/>
        <v/>
      </c>
      <c r="P94" s="367" t="str">
        <f t="shared" ca="1" si="20"/>
        <v/>
      </c>
      <c r="Q94" s="367" t="str">
        <f t="shared" ca="1" si="20"/>
        <v/>
      </c>
      <c r="R94" s="367" t="str">
        <f t="shared" ca="1" si="22"/>
        <v/>
      </c>
      <c r="S94" s="367" t="str">
        <f t="shared" ca="1" si="22"/>
        <v/>
      </c>
      <c r="T94" s="367" t="str">
        <f t="shared" ca="1" si="22"/>
        <v/>
      </c>
      <c r="U94" s="367" t="str">
        <f t="shared" ca="1" si="22"/>
        <v/>
      </c>
      <c r="V94" s="367" t="str">
        <f t="shared" ca="1" si="22"/>
        <v/>
      </c>
      <c r="W94" s="367" t="str">
        <f t="shared" ca="1" si="22"/>
        <v/>
      </c>
      <c r="X94" s="367" t="str">
        <f t="shared" ca="1" si="22"/>
        <v/>
      </c>
      <c r="Y94" s="367" t="str">
        <f t="shared" ca="1" si="22"/>
        <v/>
      </c>
      <c r="Z94" s="367" t="str">
        <f t="shared" ca="1" si="22"/>
        <v/>
      </c>
      <c r="AA94" s="367" t="str">
        <f t="shared" ca="1" si="22"/>
        <v/>
      </c>
      <c r="AB94" s="367" t="str">
        <f t="shared" ca="1" si="22"/>
        <v/>
      </c>
      <c r="AC94" s="367" t="str">
        <f t="shared" ca="1" si="22"/>
        <v/>
      </c>
      <c r="AD94" s="367" t="str">
        <f t="shared" ca="1" si="22"/>
        <v/>
      </c>
      <c r="AE94" s="367" t="str">
        <f t="shared" ca="1" si="22"/>
        <v/>
      </c>
      <c r="AF94" s="367" t="str">
        <f t="shared" ca="1" si="22"/>
        <v/>
      </c>
      <c r="AG94" s="367" t="str">
        <f t="shared" ca="1" si="22"/>
        <v/>
      </c>
      <c r="AH94" s="367" t="str">
        <f t="shared" ca="1" si="22"/>
        <v/>
      </c>
      <c r="AI94" s="367" t="str">
        <f t="shared" ca="1" si="22"/>
        <v/>
      </c>
      <c r="AJ94" s="367" t="str">
        <f t="shared" ca="1" si="22"/>
        <v/>
      </c>
      <c r="AK94" s="367" t="str">
        <f t="shared" ca="1" si="22"/>
        <v/>
      </c>
      <c r="AL94" s="367" t="str">
        <f t="shared" ca="1" si="22"/>
        <v/>
      </c>
      <c r="AM94" s="367" t="str">
        <f t="shared" ca="1" si="22"/>
        <v/>
      </c>
      <c r="AN94" s="367" t="str">
        <f t="shared" ca="1" si="22"/>
        <v/>
      </c>
      <c r="AO94" s="367">
        <f t="shared" ca="1" si="22"/>
        <v>0</v>
      </c>
      <c r="AP94" s="367">
        <f t="shared" ca="1" si="22"/>
        <v>0</v>
      </c>
      <c r="AQ94" s="367">
        <f t="shared" ca="1" si="22"/>
        <v>0</v>
      </c>
      <c r="AR94" s="367">
        <f t="shared" ca="1" si="22"/>
        <v>0</v>
      </c>
      <c r="AS94" s="367">
        <f t="shared" ca="1" si="22"/>
        <v>0</v>
      </c>
      <c r="AT94" s="367">
        <f t="shared" ca="1" si="22"/>
        <v>0</v>
      </c>
      <c r="AU94" s="367" t="e">
        <f t="shared" ca="1" si="22"/>
        <v>#REF!</v>
      </c>
      <c r="AV94" s="367" t="e">
        <f t="shared" ca="1" si="22"/>
        <v>#REF!</v>
      </c>
      <c r="AW94" s="367" t="e">
        <f t="shared" ca="1" si="22"/>
        <v>#REF!</v>
      </c>
      <c r="AX94" s="367">
        <f t="shared" ca="1" si="22"/>
        <v>0</v>
      </c>
      <c r="AY94" s="367">
        <f t="shared" ca="1" si="22"/>
        <v>0</v>
      </c>
      <c r="AZ94" s="367">
        <f t="shared" ca="1" si="22"/>
        <v>0</v>
      </c>
      <c r="BA94" s="367">
        <f t="shared" ca="1" si="22"/>
        <v>0</v>
      </c>
      <c r="BB94" s="367">
        <f t="shared" ca="1" si="22"/>
        <v>0</v>
      </c>
      <c r="BC94" s="367">
        <f t="shared" ca="1" si="22"/>
        <v>0</v>
      </c>
      <c r="BD94" s="367">
        <f t="shared" ca="1" si="22"/>
        <v>0</v>
      </c>
      <c r="BE94" s="367">
        <f t="shared" ca="1" si="22"/>
        <v>0</v>
      </c>
      <c r="BF94" s="367">
        <f t="shared" ca="1" si="22"/>
        <v>0</v>
      </c>
      <c r="BG94" s="367">
        <f t="shared" ca="1" si="22"/>
        <v>0</v>
      </c>
      <c r="BH94" s="367">
        <f t="shared" ca="1" si="22"/>
        <v>0</v>
      </c>
      <c r="BI94" s="367">
        <f t="shared" ca="1" si="22"/>
        <v>0</v>
      </c>
    </row>
    <row r="95" spans="1:61" outlineLevel="1" x14ac:dyDescent="0.15">
      <c r="A95" s="377">
        <v>41</v>
      </c>
      <c r="B95" s="367" t="str">
        <f t="shared" ca="1" si="20"/>
        <v/>
      </c>
      <c r="C95" s="367" t="str">
        <f t="shared" ca="1" si="20"/>
        <v/>
      </c>
      <c r="D95" s="367" t="str">
        <f t="shared" ca="1" si="20"/>
        <v/>
      </c>
      <c r="E95" s="367" t="str">
        <f t="shared" ca="1" si="20"/>
        <v/>
      </c>
      <c r="F95" s="367" t="str">
        <f t="shared" ca="1" si="20"/>
        <v/>
      </c>
      <c r="G95" s="367" t="str">
        <f t="shared" ca="1" si="20"/>
        <v/>
      </c>
      <c r="H95" s="367" t="str">
        <f t="shared" ca="1" si="20"/>
        <v/>
      </c>
      <c r="I95" s="367" t="str">
        <f t="shared" ca="1" si="20"/>
        <v/>
      </c>
      <c r="J95" s="367" t="str">
        <f t="shared" ca="1" si="20"/>
        <v/>
      </c>
      <c r="K95" s="367" t="str">
        <f t="shared" ca="1" si="20"/>
        <v/>
      </c>
      <c r="L95" s="367" t="str">
        <f t="shared" ca="1" si="20"/>
        <v/>
      </c>
      <c r="M95" s="367" t="str">
        <f t="shared" ca="1" si="20"/>
        <v/>
      </c>
      <c r="N95" s="367" t="str">
        <f t="shared" ca="1" si="20"/>
        <v/>
      </c>
      <c r="O95" s="367" t="str">
        <f t="shared" ca="1" si="20"/>
        <v/>
      </c>
      <c r="P95" s="367" t="str">
        <f t="shared" ca="1" si="20"/>
        <v/>
      </c>
      <c r="Q95" s="367" t="str">
        <f t="shared" ca="1" si="20"/>
        <v/>
      </c>
      <c r="R95" s="367" t="str">
        <f t="shared" ca="1" si="22"/>
        <v/>
      </c>
      <c r="S95" s="367" t="str">
        <f t="shared" ca="1" si="22"/>
        <v/>
      </c>
      <c r="T95" s="367" t="str">
        <f t="shared" ca="1" si="22"/>
        <v/>
      </c>
      <c r="U95" s="367" t="str">
        <f t="shared" ca="1" si="22"/>
        <v/>
      </c>
      <c r="V95" s="367" t="str">
        <f t="shared" ca="1" si="22"/>
        <v/>
      </c>
      <c r="W95" s="367" t="str">
        <f t="shared" ca="1" si="22"/>
        <v/>
      </c>
      <c r="X95" s="367" t="str">
        <f t="shared" ca="1" si="22"/>
        <v/>
      </c>
      <c r="Y95" s="367" t="str">
        <f t="shared" ca="1" si="22"/>
        <v/>
      </c>
      <c r="Z95" s="367" t="str">
        <f t="shared" ca="1" si="22"/>
        <v/>
      </c>
      <c r="AA95" s="367" t="str">
        <f t="shared" ca="1" si="22"/>
        <v/>
      </c>
      <c r="AB95" s="367" t="str">
        <f t="shared" ca="1" si="22"/>
        <v/>
      </c>
      <c r="AC95" s="367" t="str">
        <f t="shared" ca="1" si="22"/>
        <v/>
      </c>
      <c r="AD95" s="367" t="str">
        <f t="shared" ca="1" si="22"/>
        <v/>
      </c>
      <c r="AE95" s="367" t="str">
        <f t="shared" ca="1" si="22"/>
        <v/>
      </c>
      <c r="AF95" s="367" t="str">
        <f t="shared" ca="1" si="22"/>
        <v/>
      </c>
      <c r="AG95" s="367" t="str">
        <f t="shared" ca="1" si="22"/>
        <v/>
      </c>
      <c r="AH95" s="367" t="str">
        <f t="shared" ca="1" si="22"/>
        <v/>
      </c>
      <c r="AI95" s="367" t="str">
        <f t="shared" ca="1" si="22"/>
        <v/>
      </c>
      <c r="AJ95" s="367" t="str">
        <f t="shared" ca="1" si="22"/>
        <v/>
      </c>
      <c r="AK95" s="367" t="str">
        <f t="shared" ca="1" si="22"/>
        <v/>
      </c>
      <c r="AL95" s="367" t="str">
        <f t="shared" ca="1" si="22"/>
        <v/>
      </c>
      <c r="AM95" s="367" t="str">
        <f t="shared" ca="1" si="22"/>
        <v/>
      </c>
      <c r="AN95" s="367" t="str">
        <f t="shared" ca="1" si="22"/>
        <v/>
      </c>
      <c r="AO95" s="367" t="str">
        <f t="shared" ca="1" si="22"/>
        <v/>
      </c>
      <c r="AP95" s="367">
        <f t="shared" ca="1" si="22"/>
        <v>0</v>
      </c>
      <c r="AQ95" s="367">
        <f t="shared" ca="1" si="22"/>
        <v>0</v>
      </c>
      <c r="AR95" s="367">
        <f t="shared" ca="1" si="22"/>
        <v>0</v>
      </c>
      <c r="AS95" s="367">
        <f t="shared" ca="1" si="22"/>
        <v>0</v>
      </c>
      <c r="AT95" s="367">
        <f t="shared" ca="1" si="22"/>
        <v>0</v>
      </c>
      <c r="AU95" s="367">
        <f t="shared" ca="1" si="22"/>
        <v>0</v>
      </c>
      <c r="AV95" s="367" t="e">
        <f t="shared" ca="1" si="22"/>
        <v>#REF!</v>
      </c>
      <c r="AW95" s="367" t="e">
        <f t="shared" ca="1" si="22"/>
        <v>#REF!</v>
      </c>
      <c r="AX95" s="367" t="e">
        <f t="shared" ca="1" si="22"/>
        <v>#REF!</v>
      </c>
      <c r="AY95" s="367">
        <f t="shared" ca="1" si="22"/>
        <v>0</v>
      </c>
      <c r="AZ95" s="367">
        <f t="shared" ca="1" si="22"/>
        <v>0</v>
      </c>
      <c r="BA95" s="367">
        <f t="shared" ca="1" si="22"/>
        <v>0</v>
      </c>
      <c r="BB95" s="367">
        <f t="shared" ca="1" si="22"/>
        <v>0</v>
      </c>
      <c r="BC95" s="367">
        <f t="shared" ca="1" si="22"/>
        <v>0</v>
      </c>
      <c r="BD95" s="367">
        <f t="shared" ca="1" si="22"/>
        <v>0</v>
      </c>
      <c r="BE95" s="367">
        <f t="shared" ca="1" si="22"/>
        <v>0</v>
      </c>
      <c r="BF95" s="367">
        <f t="shared" ca="1" si="22"/>
        <v>0</v>
      </c>
      <c r="BG95" s="367">
        <f t="shared" ca="1" si="22"/>
        <v>0</v>
      </c>
      <c r="BH95" s="367">
        <f t="shared" ca="1" si="22"/>
        <v>0</v>
      </c>
      <c r="BI95" s="367">
        <f t="shared" ca="1" si="22"/>
        <v>0</v>
      </c>
    </row>
    <row r="96" spans="1:61" outlineLevel="1" x14ac:dyDescent="0.15">
      <c r="A96" s="377">
        <v>42</v>
      </c>
      <c r="B96" s="367" t="str">
        <f t="shared" ca="1" si="20"/>
        <v/>
      </c>
      <c r="C96" s="367" t="str">
        <f t="shared" ca="1" si="20"/>
        <v/>
      </c>
      <c r="D96" s="367" t="str">
        <f t="shared" ca="1" si="20"/>
        <v/>
      </c>
      <c r="E96" s="367" t="str">
        <f t="shared" ca="1" si="20"/>
        <v/>
      </c>
      <c r="F96" s="367" t="str">
        <f t="shared" ca="1" si="20"/>
        <v/>
      </c>
      <c r="G96" s="367" t="str">
        <f t="shared" ca="1" si="20"/>
        <v/>
      </c>
      <c r="H96" s="367" t="str">
        <f t="shared" ca="1" si="20"/>
        <v/>
      </c>
      <c r="I96" s="367" t="str">
        <f t="shared" ca="1" si="20"/>
        <v/>
      </c>
      <c r="J96" s="367" t="str">
        <f t="shared" ca="1" si="20"/>
        <v/>
      </c>
      <c r="K96" s="367" t="str">
        <f t="shared" ca="1" si="20"/>
        <v/>
      </c>
      <c r="L96" s="367" t="str">
        <f t="shared" ca="1" si="20"/>
        <v/>
      </c>
      <c r="M96" s="367" t="str">
        <f t="shared" ca="1" si="20"/>
        <v/>
      </c>
      <c r="N96" s="367" t="str">
        <f t="shared" ca="1" si="20"/>
        <v/>
      </c>
      <c r="O96" s="367" t="str">
        <f t="shared" ca="1" si="20"/>
        <v/>
      </c>
      <c r="P96" s="367" t="str">
        <f t="shared" ca="1" si="20"/>
        <v/>
      </c>
      <c r="Q96" s="367" t="str">
        <f t="shared" ca="1" si="20"/>
        <v/>
      </c>
      <c r="R96" s="367" t="str">
        <f t="shared" ca="1" si="22"/>
        <v/>
      </c>
      <c r="S96" s="367" t="str">
        <f t="shared" ca="1" si="22"/>
        <v/>
      </c>
      <c r="T96" s="367" t="str">
        <f t="shared" ca="1" si="22"/>
        <v/>
      </c>
      <c r="U96" s="367" t="str">
        <f t="shared" ca="1" si="22"/>
        <v/>
      </c>
      <c r="V96" s="367" t="str">
        <f t="shared" ca="1" si="22"/>
        <v/>
      </c>
      <c r="W96" s="367" t="str">
        <f t="shared" ca="1" si="22"/>
        <v/>
      </c>
      <c r="X96" s="367" t="str">
        <f t="shared" ca="1" si="22"/>
        <v/>
      </c>
      <c r="Y96" s="367" t="str">
        <f t="shared" ca="1" si="22"/>
        <v/>
      </c>
      <c r="Z96" s="367" t="str">
        <f t="shared" ca="1" si="22"/>
        <v/>
      </c>
      <c r="AA96" s="367" t="str">
        <f t="shared" ca="1" si="22"/>
        <v/>
      </c>
      <c r="AB96" s="367" t="str">
        <f t="shared" ca="1" si="22"/>
        <v/>
      </c>
      <c r="AC96" s="367" t="str">
        <f t="shared" ca="1" si="22"/>
        <v/>
      </c>
      <c r="AD96" s="367" t="str">
        <f t="shared" ca="1" si="22"/>
        <v/>
      </c>
      <c r="AE96" s="367" t="str">
        <f t="shared" ca="1" si="22"/>
        <v/>
      </c>
      <c r="AF96" s="367" t="str">
        <f t="shared" ca="1" si="22"/>
        <v/>
      </c>
      <c r="AG96" s="367" t="str">
        <f t="shared" ca="1" si="22"/>
        <v/>
      </c>
      <c r="AH96" s="367" t="str">
        <f t="shared" ca="1" si="22"/>
        <v/>
      </c>
      <c r="AI96" s="367" t="str">
        <f t="shared" ca="1" si="22"/>
        <v/>
      </c>
      <c r="AJ96" s="367" t="str">
        <f t="shared" ca="1" si="22"/>
        <v/>
      </c>
      <c r="AK96" s="367" t="str">
        <f t="shared" ca="1" si="22"/>
        <v/>
      </c>
      <c r="AL96" s="367" t="str">
        <f t="shared" ca="1" si="22"/>
        <v/>
      </c>
      <c r="AM96" s="367" t="str">
        <f t="shared" ca="1" si="22"/>
        <v/>
      </c>
      <c r="AN96" s="367" t="str">
        <f t="shared" ca="1" si="22"/>
        <v/>
      </c>
      <c r="AO96" s="367" t="str">
        <f t="shared" ca="1" si="22"/>
        <v/>
      </c>
      <c r="AP96" s="367" t="str">
        <f t="shared" ca="1" si="22"/>
        <v/>
      </c>
      <c r="AQ96" s="367">
        <f t="shared" ca="1" si="22"/>
        <v>0</v>
      </c>
      <c r="AR96" s="367">
        <f t="shared" ca="1" si="22"/>
        <v>0</v>
      </c>
      <c r="AS96" s="367">
        <f t="shared" ca="1" si="22"/>
        <v>0</v>
      </c>
      <c r="AT96" s="367">
        <f t="shared" ca="1" si="22"/>
        <v>0</v>
      </c>
      <c r="AU96" s="367">
        <f t="shared" ca="1" si="22"/>
        <v>0</v>
      </c>
      <c r="AV96" s="367">
        <f t="shared" ca="1" si="22"/>
        <v>0</v>
      </c>
      <c r="AW96" s="367" t="e">
        <f t="shared" ca="1" si="22"/>
        <v>#REF!</v>
      </c>
      <c r="AX96" s="367" t="e">
        <f t="shared" ca="1" si="22"/>
        <v>#REF!</v>
      </c>
      <c r="AY96" s="367" t="e">
        <f t="shared" ca="1" si="22"/>
        <v>#REF!</v>
      </c>
      <c r="AZ96" s="367">
        <f t="shared" ca="1" si="22"/>
        <v>0</v>
      </c>
      <c r="BA96" s="367">
        <f t="shared" ca="1" si="22"/>
        <v>0</v>
      </c>
      <c r="BB96" s="367">
        <f t="shared" ca="1" si="22"/>
        <v>0</v>
      </c>
      <c r="BC96" s="367">
        <f t="shared" ca="1" si="22"/>
        <v>0</v>
      </c>
      <c r="BD96" s="367">
        <f t="shared" ca="1" si="22"/>
        <v>0</v>
      </c>
      <c r="BE96" s="367">
        <f t="shared" ca="1" si="22"/>
        <v>0</v>
      </c>
      <c r="BF96" s="367">
        <f t="shared" ca="1" si="22"/>
        <v>0</v>
      </c>
      <c r="BG96" s="367">
        <f t="shared" ca="1" si="22"/>
        <v>0</v>
      </c>
      <c r="BH96" s="367">
        <f t="shared" ca="1" si="22"/>
        <v>0</v>
      </c>
      <c r="BI96" s="367">
        <f t="shared" ca="1" si="22"/>
        <v>0</v>
      </c>
    </row>
    <row r="97" spans="1:61" outlineLevel="1" x14ac:dyDescent="0.15">
      <c r="A97" s="377">
        <v>43</v>
      </c>
      <c r="B97" s="367" t="str">
        <f t="shared" ca="1" si="20"/>
        <v/>
      </c>
      <c r="C97" s="367" t="str">
        <f t="shared" ca="1" si="20"/>
        <v/>
      </c>
      <c r="D97" s="367" t="str">
        <f t="shared" ca="1" si="20"/>
        <v/>
      </c>
      <c r="E97" s="367" t="str">
        <f t="shared" ca="1" si="20"/>
        <v/>
      </c>
      <c r="F97" s="367" t="str">
        <f t="shared" ca="1" si="20"/>
        <v/>
      </c>
      <c r="G97" s="367" t="str">
        <f t="shared" ca="1" si="20"/>
        <v/>
      </c>
      <c r="H97" s="367" t="str">
        <f t="shared" ca="1" si="20"/>
        <v/>
      </c>
      <c r="I97" s="367" t="str">
        <f t="shared" ca="1" si="20"/>
        <v/>
      </c>
      <c r="J97" s="367" t="str">
        <f t="shared" ca="1" si="20"/>
        <v/>
      </c>
      <c r="K97" s="367" t="str">
        <f t="shared" ca="1" si="20"/>
        <v/>
      </c>
      <c r="L97" s="367" t="str">
        <f t="shared" ca="1" si="20"/>
        <v/>
      </c>
      <c r="M97" s="367" t="str">
        <f t="shared" ca="1" si="20"/>
        <v/>
      </c>
      <c r="N97" s="367" t="str">
        <f t="shared" ca="1" si="20"/>
        <v/>
      </c>
      <c r="O97" s="367" t="str">
        <f t="shared" ca="1" si="20"/>
        <v/>
      </c>
      <c r="P97" s="367" t="str">
        <f t="shared" ca="1" si="20"/>
        <v/>
      </c>
      <c r="Q97" s="367" t="str">
        <f t="shared" ca="1" si="20"/>
        <v/>
      </c>
      <c r="R97" s="367" t="str">
        <f t="shared" ca="1" si="22"/>
        <v/>
      </c>
      <c r="S97" s="367" t="str">
        <f t="shared" ca="1" si="22"/>
        <v/>
      </c>
      <c r="T97" s="367" t="str">
        <f t="shared" ca="1" si="22"/>
        <v/>
      </c>
      <c r="U97" s="367" t="str">
        <f t="shared" ca="1" si="22"/>
        <v/>
      </c>
      <c r="V97" s="367" t="str">
        <f t="shared" ca="1" si="22"/>
        <v/>
      </c>
      <c r="W97" s="367" t="str">
        <f t="shared" ca="1" si="22"/>
        <v/>
      </c>
      <c r="X97" s="367" t="str">
        <f t="shared" ca="1" si="22"/>
        <v/>
      </c>
      <c r="Y97" s="367" t="str">
        <f t="shared" ca="1" si="22"/>
        <v/>
      </c>
      <c r="Z97" s="367" t="str">
        <f t="shared" ca="1" si="22"/>
        <v/>
      </c>
      <c r="AA97" s="367" t="str">
        <f t="shared" ca="1" si="22"/>
        <v/>
      </c>
      <c r="AB97" s="367" t="str">
        <f t="shared" ca="1" si="22"/>
        <v/>
      </c>
      <c r="AC97" s="367" t="str">
        <f t="shared" ca="1" si="22"/>
        <v/>
      </c>
      <c r="AD97" s="367" t="str">
        <f t="shared" ca="1" si="22"/>
        <v/>
      </c>
      <c r="AE97" s="367" t="str">
        <f t="shared" ca="1" si="22"/>
        <v/>
      </c>
      <c r="AF97" s="367" t="str">
        <f t="shared" ca="1" si="22"/>
        <v/>
      </c>
      <c r="AG97" s="367" t="str">
        <f t="shared" ca="1" si="22"/>
        <v/>
      </c>
      <c r="AH97" s="367" t="str">
        <f t="shared" ca="1" si="22"/>
        <v/>
      </c>
      <c r="AI97" s="367" t="str">
        <f t="shared" ca="1" si="22"/>
        <v/>
      </c>
      <c r="AJ97" s="367" t="str">
        <f t="shared" ca="1" si="22"/>
        <v/>
      </c>
      <c r="AK97" s="367" t="str">
        <f t="shared" ca="1" si="22"/>
        <v/>
      </c>
      <c r="AL97" s="367" t="str">
        <f t="shared" ca="1" si="22"/>
        <v/>
      </c>
      <c r="AM97" s="367" t="str">
        <f t="shared" ca="1" si="22"/>
        <v/>
      </c>
      <c r="AN97" s="367" t="str">
        <f t="shared" ca="1" si="22"/>
        <v/>
      </c>
      <c r="AO97" s="367" t="str">
        <f t="shared" ca="1" si="22"/>
        <v/>
      </c>
      <c r="AP97" s="367" t="str">
        <f t="shared" ca="1" si="22"/>
        <v/>
      </c>
      <c r="AQ97" s="367" t="str">
        <f t="shared" ca="1" si="22"/>
        <v/>
      </c>
      <c r="AR97" s="367">
        <f t="shared" ca="1" si="22"/>
        <v>0</v>
      </c>
      <c r="AS97" s="367">
        <f t="shared" ca="1" si="22"/>
        <v>0</v>
      </c>
      <c r="AT97" s="367">
        <f t="shared" ca="1" si="22"/>
        <v>0</v>
      </c>
      <c r="AU97" s="367">
        <f t="shared" ca="1" si="22"/>
        <v>0</v>
      </c>
      <c r="AV97" s="367">
        <f t="shared" ca="1" si="22"/>
        <v>0</v>
      </c>
      <c r="AW97" s="367">
        <f t="shared" ca="1" si="22"/>
        <v>0</v>
      </c>
      <c r="AX97" s="367" t="e">
        <f t="shared" ca="1" si="22"/>
        <v>#REF!</v>
      </c>
      <c r="AY97" s="367" t="e">
        <f t="shared" ca="1" si="22"/>
        <v>#REF!</v>
      </c>
      <c r="AZ97" s="367" t="e">
        <f t="shared" ca="1" si="22"/>
        <v>#REF!</v>
      </c>
      <c r="BA97" s="367">
        <f t="shared" ref="BA97:DG101" ca="1" si="23">IF($A97&gt;BA$5,"",OFFSET(BA$54,0,-($A97-1)))</f>
        <v>0</v>
      </c>
      <c r="BB97" s="367">
        <f t="shared" ca="1" si="23"/>
        <v>0</v>
      </c>
      <c r="BC97" s="367">
        <f t="shared" ca="1" si="23"/>
        <v>0</v>
      </c>
      <c r="BD97" s="367">
        <f t="shared" ca="1" si="23"/>
        <v>0</v>
      </c>
      <c r="BE97" s="367">
        <f t="shared" ca="1" si="23"/>
        <v>0</v>
      </c>
      <c r="BF97" s="367">
        <f t="shared" ca="1" si="23"/>
        <v>0</v>
      </c>
      <c r="BG97" s="367">
        <f t="shared" ca="1" si="23"/>
        <v>0</v>
      </c>
      <c r="BH97" s="367">
        <f t="shared" ca="1" si="23"/>
        <v>0</v>
      </c>
      <c r="BI97" s="367">
        <f t="shared" ca="1" si="23"/>
        <v>0</v>
      </c>
    </row>
    <row r="98" spans="1:61" outlineLevel="1" x14ac:dyDescent="0.15">
      <c r="A98" s="377">
        <v>44</v>
      </c>
      <c r="B98" s="367" t="str">
        <f t="shared" ca="1" si="20"/>
        <v/>
      </c>
      <c r="C98" s="367" t="str">
        <f t="shared" ca="1" si="20"/>
        <v/>
      </c>
      <c r="D98" s="367" t="str">
        <f t="shared" ca="1" si="20"/>
        <v/>
      </c>
      <c r="E98" s="367" t="str">
        <f t="shared" ca="1" si="20"/>
        <v/>
      </c>
      <c r="F98" s="367" t="str">
        <f t="shared" ca="1" si="20"/>
        <v/>
      </c>
      <c r="G98" s="367" t="str">
        <f t="shared" ca="1" si="20"/>
        <v/>
      </c>
      <c r="H98" s="367" t="str">
        <f t="shared" ca="1" si="20"/>
        <v/>
      </c>
      <c r="I98" s="367" t="str">
        <f t="shared" ca="1" si="20"/>
        <v/>
      </c>
      <c r="J98" s="367" t="str">
        <f t="shared" ca="1" si="20"/>
        <v/>
      </c>
      <c r="K98" s="367" t="str">
        <f t="shared" ca="1" si="20"/>
        <v/>
      </c>
      <c r="L98" s="367" t="str">
        <f t="shared" ca="1" si="20"/>
        <v/>
      </c>
      <c r="M98" s="367" t="str">
        <f t="shared" ca="1" si="20"/>
        <v/>
      </c>
      <c r="N98" s="367" t="str">
        <f t="shared" ca="1" si="20"/>
        <v/>
      </c>
      <c r="O98" s="367" t="str">
        <f t="shared" ca="1" si="20"/>
        <v/>
      </c>
      <c r="P98" s="367" t="str">
        <f t="shared" ca="1" si="20"/>
        <v/>
      </c>
      <c r="Q98" s="367" t="str">
        <f t="shared" ca="1" si="20"/>
        <v/>
      </c>
      <c r="R98" s="367" t="str">
        <f t="shared" ref="R98:BX102" ca="1" si="24">IF($A98&gt;R$5,"",OFFSET(R$54,0,-($A98-1)))</f>
        <v/>
      </c>
      <c r="S98" s="367" t="str">
        <f t="shared" ca="1" si="24"/>
        <v/>
      </c>
      <c r="T98" s="367" t="str">
        <f t="shared" ca="1" si="24"/>
        <v/>
      </c>
      <c r="U98" s="367" t="str">
        <f t="shared" ca="1" si="24"/>
        <v/>
      </c>
      <c r="V98" s="367" t="str">
        <f t="shared" ca="1" si="24"/>
        <v/>
      </c>
      <c r="W98" s="367" t="str">
        <f t="shared" ca="1" si="24"/>
        <v/>
      </c>
      <c r="X98" s="367" t="str">
        <f t="shared" ca="1" si="24"/>
        <v/>
      </c>
      <c r="Y98" s="367" t="str">
        <f t="shared" ca="1" si="24"/>
        <v/>
      </c>
      <c r="Z98" s="367" t="str">
        <f t="shared" ca="1" si="24"/>
        <v/>
      </c>
      <c r="AA98" s="367" t="str">
        <f t="shared" ca="1" si="24"/>
        <v/>
      </c>
      <c r="AB98" s="367" t="str">
        <f t="shared" ca="1" si="24"/>
        <v/>
      </c>
      <c r="AC98" s="367" t="str">
        <f t="shared" ca="1" si="24"/>
        <v/>
      </c>
      <c r="AD98" s="367" t="str">
        <f t="shared" ca="1" si="24"/>
        <v/>
      </c>
      <c r="AE98" s="367" t="str">
        <f t="shared" ca="1" si="24"/>
        <v/>
      </c>
      <c r="AF98" s="367" t="str">
        <f t="shared" ca="1" si="24"/>
        <v/>
      </c>
      <c r="AG98" s="367" t="str">
        <f t="shared" ca="1" si="24"/>
        <v/>
      </c>
      <c r="AH98" s="367" t="str">
        <f t="shared" ca="1" si="24"/>
        <v/>
      </c>
      <c r="AI98" s="367" t="str">
        <f t="shared" ca="1" si="24"/>
        <v/>
      </c>
      <c r="AJ98" s="367" t="str">
        <f t="shared" ca="1" si="24"/>
        <v/>
      </c>
      <c r="AK98" s="367" t="str">
        <f t="shared" ca="1" si="24"/>
        <v/>
      </c>
      <c r="AL98" s="367" t="str">
        <f t="shared" ca="1" si="24"/>
        <v/>
      </c>
      <c r="AM98" s="367" t="str">
        <f t="shared" ca="1" si="24"/>
        <v/>
      </c>
      <c r="AN98" s="367" t="str">
        <f t="shared" ca="1" si="24"/>
        <v/>
      </c>
      <c r="AO98" s="367" t="str">
        <f t="shared" ca="1" si="24"/>
        <v/>
      </c>
      <c r="AP98" s="367" t="str">
        <f t="shared" ca="1" si="24"/>
        <v/>
      </c>
      <c r="AQ98" s="367" t="str">
        <f t="shared" ca="1" si="24"/>
        <v/>
      </c>
      <c r="AR98" s="367" t="str">
        <f t="shared" ca="1" si="24"/>
        <v/>
      </c>
      <c r="AS98" s="367">
        <f t="shared" ca="1" si="24"/>
        <v>0</v>
      </c>
      <c r="AT98" s="367">
        <f t="shared" ca="1" si="24"/>
        <v>0</v>
      </c>
      <c r="AU98" s="367">
        <f t="shared" ca="1" si="24"/>
        <v>0</v>
      </c>
      <c r="AV98" s="367">
        <f t="shared" ca="1" si="24"/>
        <v>0</v>
      </c>
      <c r="AW98" s="367">
        <f t="shared" ca="1" si="24"/>
        <v>0</v>
      </c>
      <c r="AX98" s="367">
        <f t="shared" ca="1" si="24"/>
        <v>0</v>
      </c>
      <c r="AY98" s="367" t="e">
        <f t="shared" ca="1" si="24"/>
        <v>#REF!</v>
      </c>
      <c r="AZ98" s="367" t="e">
        <f t="shared" ca="1" si="24"/>
        <v>#REF!</v>
      </c>
      <c r="BA98" s="367" t="e">
        <f t="shared" ca="1" si="24"/>
        <v>#REF!</v>
      </c>
      <c r="BB98" s="367">
        <f t="shared" ca="1" si="24"/>
        <v>0</v>
      </c>
      <c r="BC98" s="367">
        <f t="shared" ca="1" si="24"/>
        <v>0</v>
      </c>
      <c r="BD98" s="367">
        <f t="shared" ca="1" si="24"/>
        <v>0</v>
      </c>
      <c r="BE98" s="367">
        <f t="shared" ca="1" si="24"/>
        <v>0</v>
      </c>
      <c r="BF98" s="367">
        <f t="shared" ca="1" si="24"/>
        <v>0</v>
      </c>
      <c r="BG98" s="367">
        <f t="shared" ca="1" si="24"/>
        <v>0</v>
      </c>
      <c r="BH98" s="367">
        <f t="shared" ca="1" si="24"/>
        <v>0</v>
      </c>
      <c r="BI98" s="367">
        <f t="shared" ca="1" si="24"/>
        <v>0</v>
      </c>
    </row>
    <row r="99" spans="1:61" outlineLevel="1" x14ac:dyDescent="0.15">
      <c r="A99" s="377">
        <v>45</v>
      </c>
      <c r="B99" s="367" t="str">
        <f t="shared" ca="1" si="20"/>
        <v/>
      </c>
      <c r="C99" s="367" t="str">
        <f t="shared" ca="1" si="20"/>
        <v/>
      </c>
      <c r="D99" s="367" t="str">
        <f t="shared" ca="1" si="20"/>
        <v/>
      </c>
      <c r="E99" s="367" t="str">
        <f t="shared" ca="1" si="20"/>
        <v/>
      </c>
      <c r="F99" s="367" t="str">
        <f t="shared" ca="1" si="20"/>
        <v/>
      </c>
      <c r="G99" s="367" t="str">
        <f t="shared" ca="1" si="20"/>
        <v/>
      </c>
      <c r="H99" s="367" t="str">
        <f t="shared" ca="1" si="20"/>
        <v/>
      </c>
      <c r="I99" s="367" t="str">
        <f t="shared" ca="1" si="20"/>
        <v/>
      </c>
      <c r="J99" s="367" t="str">
        <f t="shared" ca="1" si="20"/>
        <v/>
      </c>
      <c r="K99" s="367" t="str">
        <f t="shared" ca="1" si="20"/>
        <v/>
      </c>
      <c r="L99" s="367" t="str">
        <f t="shared" ca="1" si="20"/>
        <v/>
      </c>
      <c r="M99" s="367" t="str">
        <f t="shared" ca="1" si="20"/>
        <v/>
      </c>
      <c r="N99" s="367" t="str">
        <f t="shared" ca="1" si="20"/>
        <v/>
      </c>
      <c r="O99" s="367" t="str">
        <f t="shared" ca="1" si="20"/>
        <v/>
      </c>
      <c r="P99" s="367" t="str">
        <f t="shared" ca="1" si="20"/>
        <v/>
      </c>
      <c r="Q99" s="367" t="str">
        <f t="shared" ca="1" si="20"/>
        <v/>
      </c>
      <c r="R99" s="367" t="str">
        <f t="shared" ca="1" si="24"/>
        <v/>
      </c>
      <c r="S99" s="367" t="str">
        <f t="shared" ca="1" si="24"/>
        <v/>
      </c>
      <c r="T99" s="367" t="str">
        <f t="shared" ca="1" si="24"/>
        <v/>
      </c>
      <c r="U99" s="367" t="str">
        <f t="shared" ca="1" si="24"/>
        <v/>
      </c>
      <c r="V99" s="367" t="str">
        <f t="shared" ca="1" si="24"/>
        <v/>
      </c>
      <c r="W99" s="367" t="str">
        <f t="shared" ca="1" si="24"/>
        <v/>
      </c>
      <c r="X99" s="367" t="str">
        <f t="shared" ca="1" si="24"/>
        <v/>
      </c>
      <c r="Y99" s="367" t="str">
        <f t="shared" ca="1" si="24"/>
        <v/>
      </c>
      <c r="Z99" s="367" t="str">
        <f t="shared" ca="1" si="24"/>
        <v/>
      </c>
      <c r="AA99" s="367" t="str">
        <f t="shared" ca="1" si="24"/>
        <v/>
      </c>
      <c r="AB99" s="367" t="str">
        <f t="shared" ca="1" si="24"/>
        <v/>
      </c>
      <c r="AC99" s="367" t="str">
        <f t="shared" ca="1" si="24"/>
        <v/>
      </c>
      <c r="AD99" s="367" t="str">
        <f t="shared" ca="1" si="24"/>
        <v/>
      </c>
      <c r="AE99" s="367" t="str">
        <f t="shared" ca="1" si="24"/>
        <v/>
      </c>
      <c r="AF99" s="367" t="str">
        <f t="shared" ca="1" si="24"/>
        <v/>
      </c>
      <c r="AG99" s="367" t="str">
        <f t="shared" ca="1" si="24"/>
        <v/>
      </c>
      <c r="AH99" s="367" t="str">
        <f t="shared" ca="1" si="24"/>
        <v/>
      </c>
      <c r="AI99" s="367" t="str">
        <f t="shared" ca="1" si="24"/>
        <v/>
      </c>
      <c r="AJ99" s="367" t="str">
        <f t="shared" ca="1" si="24"/>
        <v/>
      </c>
      <c r="AK99" s="367" t="str">
        <f t="shared" ca="1" si="24"/>
        <v/>
      </c>
      <c r="AL99" s="367" t="str">
        <f t="shared" ca="1" si="24"/>
        <v/>
      </c>
      <c r="AM99" s="367" t="str">
        <f t="shared" ca="1" si="24"/>
        <v/>
      </c>
      <c r="AN99" s="367" t="str">
        <f t="shared" ca="1" si="24"/>
        <v/>
      </c>
      <c r="AO99" s="367" t="str">
        <f t="shared" ca="1" si="24"/>
        <v/>
      </c>
      <c r="AP99" s="367" t="str">
        <f t="shared" ca="1" si="24"/>
        <v/>
      </c>
      <c r="AQ99" s="367" t="str">
        <f t="shared" ca="1" si="24"/>
        <v/>
      </c>
      <c r="AR99" s="367" t="str">
        <f t="shared" ca="1" si="24"/>
        <v/>
      </c>
      <c r="AS99" s="367" t="str">
        <f t="shared" ca="1" si="24"/>
        <v/>
      </c>
      <c r="AT99" s="367">
        <f t="shared" ca="1" si="24"/>
        <v>0</v>
      </c>
      <c r="AU99" s="367">
        <f t="shared" ca="1" si="24"/>
        <v>0</v>
      </c>
      <c r="AV99" s="367">
        <f t="shared" ca="1" si="24"/>
        <v>0</v>
      </c>
      <c r="AW99" s="367">
        <f t="shared" ca="1" si="24"/>
        <v>0</v>
      </c>
      <c r="AX99" s="367">
        <f t="shared" ca="1" si="24"/>
        <v>0</v>
      </c>
      <c r="AY99" s="367">
        <f t="shared" ca="1" si="24"/>
        <v>0</v>
      </c>
      <c r="AZ99" s="367" t="e">
        <f t="shared" ca="1" si="24"/>
        <v>#REF!</v>
      </c>
      <c r="BA99" s="367" t="e">
        <f t="shared" ca="1" si="24"/>
        <v>#REF!</v>
      </c>
      <c r="BB99" s="367" t="e">
        <f t="shared" ca="1" si="24"/>
        <v>#REF!</v>
      </c>
      <c r="BC99" s="367">
        <f t="shared" ca="1" si="24"/>
        <v>0</v>
      </c>
      <c r="BD99" s="367">
        <f t="shared" ca="1" si="24"/>
        <v>0</v>
      </c>
      <c r="BE99" s="367">
        <f t="shared" ca="1" si="24"/>
        <v>0</v>
      </c>
      <c r="BF99" s="367">
        <f t="shared" ca="1" si="24"/>
        <v>0</v>
      </c>
      <c r="BG99" s="367">
        <f t="shared" ca="1" si="24"/>
        <v>0</v>
      </c>
      <c r="BH99" s="367">
        <f t="shared" ca="1" si="24"/>
        <v>0</v>
      </c>
      <c r="BI99" s="367">
        <f t="shared" ca="1" si="24"/>
        <v>0</v>
      </c>
    </row>
    <row r="100" spans="1:61" outlineLevel="1" x14ac:dyDescent="0.15">
      <c r="A100" s="377">
        <v>46</v>
      </c>
      <c r="B100" s="367" t="str">
        <f t="shared" ca="1" si="20"/>
        <v/>
      </c>
      <c r="C100" s="367" t="str">
        <f t="shared" ca="1" si="20"/>
        <v/>
      </c>
      <c r="D100" s="367" t="str">
        <f t="shared" ca="1" si="20"/>
        <v/>
      </c>
      <c r="E100" s="367" t="str">
        <f t="shared" ca="1" si="20"/>
        <v/>
      </c>
      <c r="F100" s="367" t="str">
        <f t="shared" ca="1" si="20"/>
        <v/>
      </c>
      <c r="G100" s="367" t="str">
        <f t="shared" ca="1" si="20"/>
        <v/>
      </c>
      <c r="H100" s="367" t="str">
        <f t="shared" ca="1" si="20"/>
        <v/>
      </c>
      <c r="I100" s="367" t="str">
        <f t="shared" ca="1" si="20"/>
        <v/>
      </c>
      <c r="J100" s="367" t="str">
        <f t="shared" ca="1" si="20"/>
        <v/>
      </c>
      <c r="K100" s="367" t="str">
        <f t="shared" ca="1" si="20"/>
        <v/>
      </c>
      <c r="L100" s="367" t="str">
        <f t="shared" ca="1" si="20"/>
        <v/>
      </c>
      <c r="M100" s="367" t="str">
        <f t="shared" ca="1" si="20"/>
        <v/>
      </c>
      <c r="N100" s="367" t="str">
        <f t="shared" ca="1" si="20"/>
        <v/>
      </c>
      <c r="O100" s="367" t="str">
        <f t="shared" ca="1" si="20"/>
        <v/>
      </c>
      <c r="P100" s="367" t="str">
        <f t="shared" ca="1" si="20"/>
        <v/>
      </c>
      <c r="Q100" s="367" t="str">
        <f t="shared" ca="1" si="20"/>
        <v/>
      </c>
      <c r="R100" s="367" t="str">
        <f t="shared" ca="1" si="24"/>
        <v/>
      </c>
      <c r="S100" s="367" t="str">
        <f t="shared" ca="1" si="24"/>
        <v/>
      </c>
      <c r="T100" s="367" t="str">
        <f t="shared" ca="1" si="24"/>
        <v/>
      </c>
      <c r="U100" s="367" t="str">
        <f t="shared" ca="1" si="24"/>
        <v/>
      </c>
      <c r="V100" s="367" t="str">
        <f t="shared" ca="1" si="24"/>
        <v/>
      </c>
      <c r="W100" s="367" t="str">
        <f t="shared" ca="1" si="24"/>
        <v/>
      </c>
      <c r="X100" s="367" t="str">
        <f t="shared" ca="1" si="24"/>
        <v/>
      </c>
      <c r="Y100" s="367" t="str">
        <f t="shared" ca="1" si="24"/>
        <v/>
      </c>
      <c r="Z100" s="367" t="str">
        <f t="shared" ca="1" si="24"/>
        <v/>
      </c>
      <c r="AA100" s="367" t="str">
        <f t="shared" ca="1" si="24"/>
        <v/>
      </c>
      <c r="AB100" s="367" t="str">
        <f t="shared" ca="1" si="24"/>
        <v/>
      </c>
      <c r="AC100" s="367" t="str">
        <f t="shared" ca="1" si="24"/>
        <v/>
      </c>
      <c r="AD100" s="367" t="str">
        <f t="shared" ca="1" si="24"/>
        <v/>
      </c>
      <c r="AE100" s="367" t="str">
        <f t="shared" ca="1" si="24"/>
        <v/>
      </c>
      <c r="AF100" s="367" t="str">
        <f t="shared" ca="1" si="24"/>
        <v/>
      </c>
      <c r="AG100" s="367" t="str">
        <f t="shared" ca="1" si="24"/>
        <v/>
      </c>
      <c r="AH100" s="367" t="str">
        <f t="shared" ca="1" si="24"/>
        <v/>
      </c>
      <c r="AI100" s="367" t="str">
        <f t="shared" ca="1" si="24"/>
        <v/>
      </c>
      <c r="AJ100" s="367" t="str">
        <f t="shared" ca="1" si="24"/>
        <v/>
      </c>
      <c r="AK100" s="367" t="str">
        <f t="shared" ca="1" si="24"/>
        <v/>
      </c>
      <c r="AL100" s="367" t="str">
        <f t="shared" ca="1" si="24"/>
        <v/>
      </c>
      <c r="AM100" s="367" t="str">
        <f t="shared" ca="1" si="24"/>
        <v/>
      </c>
      <c r="AN100" s="367" t="str">
        <f t="shared" ca="1" si="24"/>
        <v/>
      </c>
      <c r="AO100" s="367" t="str">
        <f t="shared" ca="1" si="24"/>
        <v/>
      </c>
      <c r="AP100" s="367" t="str">
        <f t="shared" ca="1" si="24"/>
        <v/>
      </c>
      <c r="AQ100" s="367" t="str">
        <f t="shared" ca="1" si="24"/>
        <v/>
      </c>
      <c r="AR100" s="367" t="str">
        <f t="shared" ca="1" si="24"/>
        <v/>
      </c>
      <c r="AS100" s="367" t="str">
        <f t="shared" ca="1" si="24"/>
        <v/>
      </c>
      <c r="AT100" s="367" t="str">
        <f t="shared" ca="1" si="24"/>
        <v/>
      </c>
      <c r="AU100" s="367">
        <f t="shared" ca="1" si="24"/>
        <v>0</v>
      </c>
      <c r="AV100" s="367">
        <f t="shared" ca="1" si="24"/>
        <v>0</v>
      </c>
      <c r="AW100" s="367">
        <f t="shared" ca="1" si="24"/>
        <v>0</v>
      </c>
      <c r="AX100" s="367">
        <f t="shared" ca="1" si="24"/>
        <v>0</v>
      </c>
      <c r="AY100" s="367">
        <f t="shared" ca="1" si="24"/>
        <v>0</v>
      </c>
      <c r="AZ100" s="367">
        <f t="shared" ca="1" si="24"/>
        <v>0</v>
      </c>
      <c r="BA100" s="367" t="e">
        <f t="shared" ca="1" si="24"/>
        <v>#REF!</v>
      </c>
      <c r="BB100" s="367" t="e">
        <f t="shared" ca="1" si="24"/>
        <v>#REF!</v>
      </c>
      <c r="BC100" s="367" t="e">
        <f t="shared" ca="1" si="24"/>
        <v>#REF!</v>
      </c>
      <c r="BD100" s="367">
        <f t="shared" ca="1" si="24"/>
        <v>0</v>
      </c>
      <c r="BE100" s="367">
        <f t="shared" ca="1" si="24"/>
        <v>0</v>
      </c>
      <c r="BF100" s="367">
        <f t="shared" ca="1" si="24"/>
        <v>0</v>
      </c>
      <c r="BG100" s="367">
        <f t="shared" ca="1" si="24"/>
        <v>0</v>
      </c>
      <c r="BH100" s="367">
        <f t="shared" ca="1" si="24"/>
        <v>0</v>
      </c>
      <c r="BI100" s="367">
        <f t="shared" ca="1" si="24"/>
        <v>0</v>
      </c>
    </row>
    <row r="101" spans="1:61" outlineLevel="1" x14ac:dyDescent="0.15">
      <c r="A101" s="377">
        <v>47</v>
      </c>
      <c r="B101" s="367" t="str">
        <f t="shared" ca="1" si="20"/>
        <v/>
      </c>
      <c r="C101" s="367" t="str">
        <f t="shared" ca="1" si="20"/>
        <v/>
      </c>
      <c r="D101" s="367" t="str">
        <f t="shared" ca="1" si="20"/>
        <v/>
      </c>
      <c r="E101" s="367" t="str">
        <f t="shared" ca="1" si="20"/>
        <v/>
      </c>
      <c r="F101" s="367" t="str">
        <f t="shared" ca="1" si="20"/>
        <v/>
      </c>
      <c r="G101" s="367" t="str">
        <f t="shared" ca="1" si="20"/>
        <v/>
      </c>
      <c r="H101" s="367" t="str">
        <f t="shared" ca="1" si="20"/>
        <v/>
      </c>
      <c r="I101" s="367" t="str">
        <f t="shared" ca="1" si="20"/>
        <v/>
      </c>
      <c r="J101" s="367" t="str">
        <f t="shared" ca="1" si="20"/>
        <v/>
      </c>
      <c r="K101" s="367" t="str">
        <f t="shared" ca="1" si="20"/>
        <v/>
      </c>
      <c r="L101" s="367" t="str">
        <f t="shared" ca="1" si="20"/>
        <v/>
      </c>
      <c r="M101" s="367" t="str">
        <f t="shared" ca="1" si="20"/>
        <v/>
      </c>
      <c r="N101" s="367" t="str">
        <f t="shared" ca="1" si="20"/>
        <v/>
      </c>
      <c r="O101" s="367" t="str">
        <f t="shared" ca="1" si="20"/>
        <v/>
      </c>
      <c r="P101" s="367" t="str">
        <f t="shared" ca="1" si="20"/>
        <v/>
      </c>
      <c r="Q101" s="367" t="str">
        <f t="shared" ca="1" si="20"/>
        <v/>
      </c>
      <c r="R101" s="367" t="str">
        <f t="shared" ca="1" si="24"/>
        <v/>
      </c>
      <c r="S101" s="367" t="str">
        <f t="shared" ca="1" si="24"/>
        <v/>
      </c>
      <c r="T101" s="367" t="str">
        <f t="shared" ca="1" si="24"/>
        <v/>
      </c>
      <c r="U101" s="367" t="str">
        <f t="shared" ca="1" si="24"/>
        <v/>
      </c>
      <c r="V101" s="367" t="str">
        <f t="shared" ca="1" si="24"/>
        <v/>
      </c>
      <c r="W101" s="367" t="str">
        <f t="shared" ca="1" si="24"/>
        <v/>
      </c>
      <c r="X101" s="367" t="str">
        <f t="shared" ca="1" si="24"/>
        <v/>
      </c>
      <c r="Y101" s="367" t="str">
        <f t="shared" ca="1" si="24"/>
        <v/>
      </c>
      <c r="Z101" s="367" t="str">
        <f t="shared" ca="1" si="24"/>
        <v/>
      </c>
      <c r="AA101" s="367" t="str">
        <f t="shared" ca="1" si="24"/>
        <v/>
      </c>
      <c r="AB101" s="367" t="str">
        <f t="shared" ca="1" si="24"/>
        <v/>
      </c>
      <c r="AC101" s="367" t="str">
        <f t="shared" ca="1" si="24"/>
        <v/>
      </c>
      <c r="AD101" s="367" t="str">
        <f t="shared" ca="1" si="24"/>
        <v/>
      </c>
      <c r="AE101" s="367" t="str">
        <f t="shared" ca="1" si="24"/>
        <v/>
      </c>
      <c r="AF101" s="367" t="str">
        <f t="shared" ca="1" si="24"/>
        <v/>
      </c>
      <c r="AG101" s="367" t="str">
        <f t="shared" ca="1" si="24"/>
        <v/>
      </c>
      <c r="AH101" s="367" t="str">
        <f t="shared" ca="1" si="24"/>
        <v/>
      </c>
      <c r="AI101" s="367" t="str">
        <f t="shared" ca="1" si="24"/>
        <v/>
      </c>
      <c r="AJ101" s="367" t="str">
        <f t="shared" ca="1" si="24"/>
        <v/>
      </c>
      <c r="AK101" s="367" t="str">
        <f t="shared" ca="1" si="24"/>
        <v/>
      </c>
      <c r="AL101" s="367" t="str">
        <f t="shared" ca="1" si="24"/>
        <v/>
      </c>
      <c r="AM101" s="367" t="str">
        <f t="shared" ca="1" si="24"/>
        <v/>
      </c>
      <c r="AN101" s="367" t="str">
        <f t="shared" ca="1" si="24"/>
        <v/>
      </c>
      <c r="AO101" s="367" t="str">
        <f t="shared" ca="1" si="24"/>
        <v/>
      </c>
      <c r="AP101" s="367" t="str">
        <f t="shared" ca="1" si="24"/>
        <v/>
      </c>
      <c r="AQ101" s="367" t="str">
        <f t="shared" ca="1" si="24"/>
        <v/>
      </c>
      <c r="AR101" s="367" t="str">
        <f t="shared" ca="1" si="24"/>
        <v/>
      </c>
      <c r="AS101" s="367" t="str">
        <f t="shared" ca="1" si="24"/>
        <v/>
      </c>
      <c r="AT101" s="367" t="str">
        <f t="shared" ca="1" si="24"/>
        <v/>
      </c>
      <c r="AU101" s="367" t="str">
        <f t="shared" ca="1" si="24"/>
        <v/>
      </c>
      <c r="AV101" s="367">
        <f t="shared" ca="1" si="24"/>
        <v>0</v>
      </c>
      <c r="AW101" s="367">
        <f t="shared" ca="1" si="24"/>
        <v>0</v>
      </c>
      <c r="AX101" s="367">
        <f t="shared" ca="1" si="24"/>
        <v>0</v>
      </c>
      <c r="AY101" s="367">
        <f t="shared" ca="1" si="24"/>
        <v>0</v>
      </c>
      <c r="AZ101" s="367">
        <f t="shared" ca="1" si="24"/>
        <v>0</v>
      </c>
      <c r="BA101" s="367">
        <f t="shared" ca="1" si="24"/>
        <v>0</v>
      </c>
      <c r="BB101" s="367" t="e">
        <f t="shared" ca="1" si="24"/>
        <v>#REF!</v>
      </c>
      <c r="BC101" s="367" t="e">
        <f t="shared" ca="1" si="24"/>
        <v>#REF!</v>
      </c>
      <c r="BD101" s="367" t="e">
        <f t="shared" ca="1" si="24"/>
        <v>#REF!</v>
      </c>
      <c r="BE101" s="367">
        <f t="shared" ca="1" si="24"/>
        <v>0</v>
      </c>
      <c r="BF101" s="367">
        <f t="shared" ca="1" si="24"/>
        <v>0</v>
      </c>
      <c r="BG101" s="367">
        <f t="shared" ca="1" si="24"/>
        <v>0</v>
      </c>
      <c r="BH101" s="367">
        <f t="shared" ca="1" si="24"/>
        <v>0</v>
      </c>
      <c r="BI101" s="367">
        <f t="shared" ca="1" si="24"/>
        <v>0</v>
      </c>
    </row>
    <row r="102" spans="1:61" outlineLevel="1" x14ac:dyDescent="0.15">
      <c r="A102" s="377">
        <v>48</v>
      </c>
      <c r="B102" s="367" t="str">
        <f t="shared" ca="1" si="20"/>
        <v/>
      </c>
      <c r="C102" s="367" t="str">
        <f t="shared" ca="1" si="20"/>
        <v/>
      </c>
      <c r="D102" s="367" t="str">
        <f t="shared" ca="1" si="20"/>
        <v/>
      </c>
      <c r="E102" s="367" t="str">
        <f t="shared" ca="1" si="20"/>
        <v/>
      </c>
      <c r="F102" s="367" t="str">
        <f t="shared" ca="1" si="20"/>
        <v/>
      </c>
      <c r="G102" s="367" t="str">
        <f t="shared" ca="1" si="20"/>
        <v/>
      </c>
      <c r="H102" s="367" t="str">
        <f t="shared" ca="1" si="20"/>
        <v/>
      </c>
      <c r="I102" s="367" t="str">
        <f t="shared" ca="1" si="20"/>
        <v/>
      </c>
      <c r="J102" s="367" t="str">
        <f t="shared" ca="1" si="20"/>
        <v/>
      </c>
      <c r="K102" s="367" t="str">
        <f t="shared" ca="1" si="20"/>
        <v/>
      </c>
      <c r="L102" s="367" t="str">
        <f t="shared" ca="1" si="20"/>
        <v/>
      </c>
      <c r="M102" s="367" t="str">
        <f t="shared" ca="1" si="20"/>
        <v/>
      </c>
      <c r="N102" s="367" t="str">
        <f t="shared" ca="1" si="20"/>
        <v/>
      </c>
      <c r="O102" s="367" t="str">
        <f t="shared" ca="1" si="20"/>
        <v/>
      </c>
      <c r="P102" s="367" t="str">
        <f t="shared" ca="1" si="20"/>
        <v/>
      </c>
      <c r="Q102" s="367" t="str">
        <f t="shared" ref="Q102:BW108" ca="1" si="25">IF($A102&gt;Q$5,"",OFFSET(Q$54,0,-($A102-1)))</f>
        <v/>
      </c>
      <c r="R102" s="367" t="str">
        <f t="shared" ca="1" si="25"/>
        <v/>
      </c>
      <c r="S102" s="367" t="str">
        <f t="shared" ca="1" si="25"/>
        <v/>
      </c>
      <c r="T102" s="367" t="str">
        <f t="shared" ca="1" si="25"/>
        <v/>
      </c>
      <c r="U102" s="367" t="str">
        <f t="shared" ca="1" si="25"/>
        <v/>
      </c>
      <c r="V102" s="367" t="str">
        <f t="shared" ca="1" si="25"/>
        <v/>
      </c>
      <c r="W102" s="367" t="str">
        <f t="shared" ca="1" si="25"/>
        <v/>
      </c>
      <c r="X102" s="367" t="str">
        <f t="shared" ca="1" si="25"/>
        <v/>
      </c>
      <c r="Y102" s="367" t="str">
        <f t="shared" ca="1" si="25"/>
        <v/>
      </c>
      <c r="Z102" s="367" t="str">
        <f t="shared" ca="1" si="25"/>
        <v/>
      </c>
      <c r="AA102" s="367" t="str">
        <f t="shared" ca="1" si="25"/>
        <v/>
      </c>
      <c r="AB102" s="367" t="str">
        <f t="shared" ca="1" si="25"/>
        <v/>
      </c>
      <c r="AC102" s="367" t="str">
        <f t="shared" ca="1" si="25"/>
        <v/>
      </c>
      <c r="AD102" s="367" t="str">
        <f t="shared" ca="1" si="25"/>
        <v/>
      </c>
      <c r="AE102" s="367" t="str">
        <f t="shared" ca="1" si="25"/>
        <v/>
      </c>
      <c r="AF102" s="367" t="str">
        <f t="shared" ca="1" si="25"/>
        <v/>
      </c>
      <c r="AG102" s="367" t="str">
        <f t="shared" ca="1" si="25"/>
        <v/>
      </c>
      <c r="AH102" s="367" t="str">
        <f t="shared" ca="1" si="25"/>
        <v/>
      </c>
      <c r="AI102" s="367" t="str">
        <f t="shared" ca="1" si="25"/>
        <v/>
      </c>
      <c r="AJ102" s="367" t="str">
        <f t="shared" ca="1" si="25"/>
        <v/>
      </c>
      <c r="AK102" s="367" t="str">
        <f t="shared" ca="1" si="25"/>
        <v/>
      </c>
      <c r="AL102" s="367" t="str">
        <f t="shared" ca="1" si="25"/>
        <v/>
      </c>
      <c r="AM102" s="367" t="str">
        <f t="shared" ca="1" si="25"/>
        <v/>
      </c>
      <c r="AN102" s="367" t="str">
        <f t="shared" ca="1" si="25"/>
        <v/>
      </c>
      <c r="AO102" s="367" t="str">
        <f t="shared" ca="1" si="25"/>
        <v/>
      </c>
      <c r="AP102" s="367" t="str">
        <f t="shared" ca="1" si="25"/>
        <v/>
      </c>
      <c r="AQ102" s="367" t="str">
        <f t="shared" ca="1" si="25"/>
        <v/>
      </c>
      <c r="AR102" s="367" t="str">
        <f t="shared" ca="1" si="25"/>
        <v/>
      </c>
      <c r="AS102" s="367" t="str">
        <f t="shared" ca="1" si="25"/>
        <v/>
      </c>
      <c r="AT102" s="367" t="str">
        <f t="shared" ca="1" si="25"/>
        <v/>
      </c>
      <c r="AU102" s="367" t="str">
        <f t="shared" ca="1" si="25"/>
        <v/>
      </c>
      <c r="AV102" s="367" t="str">
        <f t="shared" ca="1" si="25"/>
        <v/>
      </c>
      <c r="AW102" s="367">
        <f t="shared" ca="1" si="25"/>
        <v>0</v>
      </c>
      <c r="AX102" s="367">
        <f t="shared" ca="1" si="24"/>
        <v>0</v>
      </c>
      <c r="AY102" s="367">
        <f t="shared" ca="1" si="24"/>
        <v>0</v>
      </c>
      <c r="AZ102" s="367">
        <f t="shared" ca="1" si="24"/>
        <v>0</v>
      </c>
      <c r="BA102" s="367">
        <f t="shared" ca="1" si="24"/>
        <v>0</v>
      </c>
      <c r="BB102" s="367">
        <f t="shared" ca="1" si="24"/>
        <v>0</v>
      </c>
      <c r="BC102" s="367" t="e">
        <f t="shared" ca="1" si="24"/>
        <v>#REF!</v>
      </c>
      <c r="BD102" s="367" t="e">
        <f t="shared" ca="1" si="24"/>
        <v>#REF!</v>
      </c>
      <c r="BE102" s="367" t="e">
        <f t="shared" ca="1" si="24"/>
        <v>#REF!</v>
      </c>
      <c r="BF102" s="367">
        <f t="shared" ca="1" si="24"/>
        <v>0</v>
      </c>
      <c r="BG102" s="367">
        <f t="shared" ca="1" si="24"/>
        <v>0</v>
      </c>
      <c r="BH102" s="367">
        <f t="shared" ca="1" si="24"/>
        <v>0</v>
      </c>
      <c r="BI102" s="367">
        <f t="shared" ca="1" si="24"/>
        <v>0</v>
      </c>
    </row>
    <row r="103" spans="1:61" outlineLevel="1" x14ac:dyDescent="0.15">
      <c r="A103" s="377">
        <v>49</v>
      </c>
      <c r="B103" s="367" t="str">
        <f t="shared" ref="B103:Q130" ca="1" si="26">IF($A103&gt;B$5,"",OFFSET(B$54,0,-($A103-1)))</f>
        <v/>
      </c>
      <c r="C103" s="367" t="str">
        <f t="shared" ca="1" si="26"/>
        <v/>
      </c>
      <c r="D103" s="367" t="str">
        <f t="shared" ca="1" si="26"/>
        <v/>
      </c>
      <c r="E103" s="367" t="str">
        <f t="shared" ca="1" si="26"/>
        <v/>
      </c>
      <c r="F103" s="367" t="str">
        <f t="shared" ca="1" si="26"/>
        <v/>
      </c>
      <c r="G103" s="367" t="str">
        <f t="shared" ca="1" si="26"/>
        <v/>
      </c>
      <c r="H103" s="367" t="str">
        <f t="shared" ca="1" si="26"/>
        <v/>
      </c>
      <c r="I103" s="367" t="str">
        <f t="shared" ca="1" si="26"/>
        <v/>
      </c>
      <c r="J103" s="367" t="str">
        <f t="shared" ca="1" si="26"/>
        <v/>
      </c>
      <c r="K103" s="367" t="str">
        <f t="shared" ca="1" si="26"/>
        <v/>
      </c>
      <c r="L103" s="367" t="str">
        <f t="shared" ca="1" si="26"/>
        <v/>
      </c>
      <c r="M103" s="367" t="str">
        <f t="shared" ca="1" si="26"/>
        <v/>
      </c>
      <c r="N103" s="367" t="str">
        <f t="shared" ca="1" si="26"/>
        <v/>
      </c>
      <c r="O103" s="367" t="str">
        <f t="shared" ca="1" si="26"/>
        <v/>
      </c>
      <c r="P103" s="367" t="str">
        <f t="shared" ca="1" si="26"/>
        <v/>
      </c>
      <c r="Q103" s="367" t="str">
        <f t="shared" ca="1" si="26"/>
        <v/>
      </c>
      <c r="R103" s="367" t="str">
        <f t="shared" ca="1" si="25"/>
        <v/>
      </c>
      <c r="S103" s="367" t="str">
        <f t="shared" ca="1" si="25"/>
        <v/>
      </c>
      <c r="T103" s="367" t="str">
        <f t="shared" ca="1" si="25"/>
        <v/>
      </c>
      <c r="U103" s="367" t="str">
        <f t="shared" ca="1" si="25"/>
        <v/>
      </c>
      <c r="V103" s="367" t="str">
        <f t="shared" ca="1" si="25"/>
        <v/>
      </c>
      <c r="W103" s="367" t="str">
        <f t="shared" ca="1" si="25"/>
        <v/>
      </c>
      <c r="X103" s="367" t="str">
        <f t="shared" ca="1" si="25"/>
        <v/>
      </c>
      <c r="Y103" s="367" t="str">
        <f t="shared" ca="1" si="25"/>
        <v/>
      </c>
      <c r="Z103" s="367" t="str">
        <f t="shared" ca="1" si="25"/>
        <v/>
      </c>
      <c r="AA103" s="367" t="str">
        <f t="shared" ca="1" si="25"/>
        <v/>
      </c>
      <c r="AB103" s="367" t="str">
        <f t="shared" ca="1" si="25"/>
        <v/>
      </c>
      <c r="AC103" s="367" t="str">
        <f t="shared" ca="1" si="25"/>
        <v/>
      </c>
      <c r="AD103" s="367" t="str">
        <f t="shared" ca="1" si="25"/>
        <v/>
      </c>
      <c r="AE103" s="367" t="str">
        <f t="shared" ca="1" si="25"/>
        <v/>
      </c>
      <c r="AF103" s="367" t="str">
        <f t="shared" ca="1" si="25"/>
        <v/>
      </c>
      <c r="AG103" s="367" t="str">
        <f t="shared" ca="1" si="25"/>
        <v/>
      </c>
      <c r="AH103" s="367" t="str">
        <f t="shared" ca="1" si="25"/>
        <v/>
      </c>
      <c r="AI103" s="367" t="str">
        <f t="shared" ca="1" si="25"/>
        <v/>
      </c>
      <c r="AJ103" s="367" t="str">
        <f t="shared" ca="1" si="25"/>
        <v/>
      </c>
      <c r="AK103" s="367" t="str">
        <f t="shared" ca="1" si="25"/>
        <v/>
      </c>
      <c r="AL103" s="367" t="str">
        <f t="shared" ca="1" si="25"/>
        <v/>
      </c>
      <c r="AM103" s="367" t="str">
        <f t="shared" ca="1" si="25"/>
        <v/>
      </c>
      <c r="AN103" s="367" t="str">
        <f t="shared" ca="1" si="25"/>
        <v/>
      </c>
      <c r="AO103" s="367" t="str">
        <f t="shared" ca="1" si="25"/>
        <v/>
      </c>
      <c r="AP103" s="367" t="str">
        <f t="shared" ca="1" si="25"/>
        <v/>
      </c>
      <c r="AQ103" s="367" t="str">
        <f t="shared" ca="1" si="25"/>
        <v/>
      </c>
      <c r="AR103" s="367" t="str">
        <f t="shared" ca="1" si="25"/>
        <v/>
      </c>
      <c r="AS103" s="367" t="str">
        <f t="shared" ca="1" si="25"/>
        <v/>
      </c>
      <c r="AT103" s="367" t="str">
        <f t="shared" ca="1" si="25"/>
        <v/>
      </c>
      <c r="AU103" s="367" t="str">
        <f t="shared" ca="1" si="25"/>
        <v/>
      </c>
      <c r="AV103" s="367" t="str">
        <f t="shared" ca="1" si="25"/>
        <v/>
      </c>
      <c r="AW103" s="367" t="str">
        <f t="shared" ca="1" si="25"/>
        <v/>
      </c>
      <c r="AX103" s="367">
        <f t="shared" ca="1" si="25"/>
        <v>0</v>
      </c>
      <c r="AY103" s="367">
        <f t="shared" ca="1" si="25"/>
        <v>0</v>
      </c>
      <c r="AZ103" s="367">
        <f t="shared" ca="1" si="25"/>
        <v>0</v>
      </c>
      <c r="BA103" s="367">
        <f t="shared" ca="1" si="25"/>
        <v>0</v>
      </c>
      <c r="BB103" s="367">
        <f t="shared" ca="1" si="25"/>
        <v>0</v>
      </c>
      <c r="BC103" s="367">
        <f t="shared" ca="1" si="25"/>
        <v>0</v>
      </c>
      <c r="BD103" s="367" t="e">
        <f t="shared" ca="1" si="25"/>
        <v>#REF!</v>
      </c>
      <c r="BE103" s="367" t="e">
        <f t="shared" ca="1" si="25"/>
        <v>#REF!</v>
      </c>
      <c r="BF103" s="367" t="e">
        <f t="shared" ca="1" si="25"/>
        <v>#REF!</v>
      </c>
      <c r="BG103" s="367">
        <f t="shared" ca="1" si="25"/>
        <v>0</v>
      </c>
      <c r="BH103" s="367">
        <f t="shared" ca="1" si="25"/>
        <v>0</v>
      </c>
      <c r="BI103" s="367">
        <f t="shared" ca="1" si="25"/>
        <v>0</v>
      </c>
    </row>
    <row r="104" spans="1:61" outlineLevel="1" x14ac:dyDescent="0.15">
      <c r="A104" s="377">
        <v>50</v>
      </c>
      <c r="B104" s="367" t="str">
        <f t="shared" ca="1" si="26"/>
        <v/>
      </c>
      <c r="C104" s="367" t="str">
        <f t="shared" ca="1" si="26"/>
        <v/>
      </c>
      <c r="D104" s="367" t="str">
        <f t="shared" ca="1" si="26"/>
        <v/>
      </c>
      <c r="E104" s="367" t="str">
        <f t="shared" ca="1" si="26"/>
        <v/>
      </c>
      <c r="F104" s="367" t="str">
        <f t="shared" ca="1" si="26"/>
        <v/>
      </c>
      <c r="G104" s="367" t="str">
        <f t="shared" ca="1" si="26"/>
        <v/>
      </c>
      <c r="H104" s="367" t="str">
        <f t="shared" ca="1" si="26"/>
        <v/>
      </c>
      <c r="I104" s="367" t="str">
        <f t="shared" ca="1" si="26"/>
        <v/>
      </c>
      <c r="J104" s="367" t="str">
        <f t="shared" ca="1" si="26"/>
        <v/>
      </c>
      <c r="K104" s="367" t="str">
        <f t="shared" ca="1" si="26"/>
        <v/>
      </c>
      <c r="L104" s="367" t="str">
        <f t="shared" ca="1" si="26"/>
        <v/>
      </c>
      <c r="M104" s="367" t="str">
        <f t="shared" ca="1" si="26"/>
        <v/>
      </c>
      <c r="N104" s="367" t="str">
        <f t="shared" ca="1" si="26"/>
        <v/>
      </c>
      <c r="O104" s="367" t="str">
        <f t="shared" ca="1" si="26"/>
        <v/>
      </c>
      <c r="P104" s="367" t="str">
        <f t="shared" ca="1" si="26"/>
        <v/>
      </c>
      <c r="Q104" s="367" t="str">
        <f t="shared" ca="1" si="26"/>
        <v/>
      </c>
      <c r="R104" s="367" t="str">
        <f t="shared" ca="1" si="25"/>
        <v/>
      </c>
      <c r="S104" s="367" t="str">
        <f t="shared" ca="1" si="25"/>
        <v/>
      </c>
      <c r="T104" s="367" t="str">
        <f t="shared" ca="1" si="25"/>
        <v/>
      </c>
      <c r="U104" s="367" t="str">
        <f t="shared" ca="1" si="25"/>
        <v/>
      </c>
      <c r="V104" s="367" t="str">
        <f t="shared" ca="1" si="25"/>
        <v/>
      </c>
      <c r="W104" s="367" t="str">
        <f t="shared" ca="1" si="25"/>
        <v/>
      </c>
      <c r="X104" s="367" t="str">
        <f t="shared" ca="1" si="25"/>
        <v/>
      </c>
      <c r="Y104" s="367" t="str">
        <f t="shared" ca="1" si="25"/>
        <v/>
      </c>
      <c r="Z104" s="367" t="str">
        <f t="shared" ca="1" si="25"/>
        <v/>
      </c>
      <c r="AA104" s="367" t="str">
        <f t="shared" ca="1" si="25"/>
        <v/>
      </c>
      <c r="AB104" s="367" t="str">
        <f t="shared" ca="1" si="25"/>
        <v/>
      </c>
      <c r="AC104" s="367" t="str">
        <f t="shared" ca="1" si="25"/>
        <v/>
      </c>
      <c r="AD104" s="367" t="str">
        <f t="shared" ca="1" si="25"/>
        <v/>
      </c>
      <c r="AE104" s="367" t="str">
        <f t="shared" ca="1" si="25"/>
        <v/>
      </c>
      <c r="AF104" s="367" t="str">
        <f t="shared" ca="1" si="25"/>
        <v/>
      </c>
      <c r="AG104" s="367" t="str">
        <f t="shared" ca="1" si="25"/>
        <v/>
      </c>
      <c r="AH104" s="367" t="str">
        <f t="shared" ca="1" si="25"/>
        <v/>
      </c>
      <c r="AI104" s="367" t="str">
        <f t="shared" ca="1" si="25"/>
        <v/>
      </c>
      <c r="AJ104" s="367" t="str">
        <f t="shared" ca="1" si="25"/>
        <v/>
      </c>
      <c r="AK104" s="367" t="str">
        <f t="shared" ca="1" si="25"/>
        <v/>
      </c>
      <c r="AL104" s="367" t="str">
        <f t="shared" ca="1" si="25"/>
        <v/>
      </c>
      <c r="AM104" s="367" t="str">
        <f t="shared" ca="1" si="25"/>
        <v/>
      </c>
      <c r="AN104" s="367" t="str">
        <f t="shared" ca="1" si="25"/>
        <v/>
      </c>
      <c r="AO104" s="367" t="str">
        <f t="shared" ca="1" si="25"/>
        <v/>
      </c>
      <c r="AP104" s="367" t="str">
        <f t="shared" ca="1" si="25"/>
        <v/>
      </c>
      <c r="AQ104" s="367" t="str">
        <f t="shared" ca="1" si="25"/>
        <v/>
      </c>
      <c r="AR104" s="367" t="str">
        <f t="shared" ca="1" si="25"/>
        <v/>
      </c>
      <c r="AS104" s="367" t="str">
        <f t="shared" ca="1" si="25"/>
        <v/>
      </c>
      <c r="AT104" s="367" t="str">
        <f t="shared" ca="1" si="25"/>
        <v/>
      </c>
      <c r="AU104" s="367" t="str">
        <f t="shared" ca="1" si="25"/>
        <v/>
      </c>
      <c r="AV104" s="367" t="str">
        <f t="shared" ca="1" si="25"/>
        <v/>
      </c>
      <c r="AW104" s="367" t="str">
        <f t="shared" ca="1" si="25"/>
        <v/>
      </c>
      <c r="AX104" s="367" t="str">
        <f t="shared" ca="1" si="25"/>
        <v/>
      </c>
      <c r="AY104" s="367">
        <f t="shared" ca="1" si="25"/>
        <v>0</v>
      </c>
      <c r="AZ104" s="367">
        <f t="shared" ca="1" si="25"/>
        <v>0</v>
      </c>
      <c r="BA104" s="367">
        <f t="shared" ca="1" si="25"/>
        <v>0</v>
      </c>
      <c r="BB104" s="367">
        <f t="shared" ca="1" si="25"/>
        <v>0</v>
      </c>
      <c r="BC104" s="367">
        <f t="shared" ca="1" si="25"/>
        <v>0</v>
      </c>
      <c r="BD104" s="367">
        <f t="shared" ca="1" si="25"/>
        <v>0</v>
      </c>
      <c r="BE104" s="367" t="e">
        <f t="shared" ca="1" si="25"/>
        <v>#REF!</v>
      </c>
      <c r="BF104" s="367" t="e">
        <f t="shared" ca="1" si="25"/>
        <v>#REF!</v>
      </c>
      <c r="BG104" s="367" t="e">
        <f t="shared" ca="1" si="25"/>
        <v>#REF!</v>
      </c>
      <c r="BH104" s="367">
        <f t="shared" ca="1" si="25"/>
        <v>0</v>
      </c>
      <c r="BI104" s="367">
        <f t="shared" ca="1" si="25"/>
        <v>0</v>
      </c>
    </row>
    <row r="105" spans="1:61" outlineLevel="1" x14ac:dyDescent="0.15">
      <c r="A105" s="377">
        <v>51</v>
      </c>
      <c r="B105" s="367" t="str">
        <f t="shared" ca="1" si="26"/>
        <v/>
      </c>
      <c r="C105" s="367" t="str">
        <f t="shared" ca="1" si="26"/>
        <v/>
      </c>
      <c r="D105" s="367" t="str">
        <f t="shared" ca="1" si="26"/>
        <v/>
      </c>
      <c r="E105" s="367" t="str">
        <f t="shared" ca="1" si="26"/>
        <v/>
      </c>
      <c r="F105" s="367" t="str">
        <f t="shared" ca="1" si="26"/>
        <v/>
      </c>
      <c r="G105" s="367" t="str">
        <f t="shared" ca="1" si="26"/>
        <v/>
      </c>
      <c r="H105" s="367" t="str">
        <f t="shared" ca="1" si="26"/>
        <v/>
      </c>
      <c r="I105" s="367" t="str">
        <f t="shared" ca="1" si="26"/>
        <v/>
      </c>
      <c r="J105" s="367" t="str">
        <f t="shared" ca="1" si="26"/>
        <v/>
      </c>
      <c r="K105" s="367" t="str">
        <f t="shared" ca="1" si="26"/>
        <v/>
      </c>
      <c r="L105" s="367" t="str">
        <f t="shared" ca="1" si="26"/>
        <v/>
      </c>
      <c r="M105" s="367" t="str">
        <f t="shared" ca="1" si="26"/>
        <v/>
      </c>
      <c r="N105" s="367" t="str">
        <f t="shared" ca="1" si="26"/>
        <v/>
      </c>
      <c r="O105" s="367" t="str">
        <f t="shared" ca="1" si="26"/>
        <v/>
      </c>
      <c r="P105" s="367" t="str">
        <f t="shared" ca="1" si="26"/>
        <v/>
      </c>
      <c r="Q105" s="367" t="str">
        <f t="shared" ca="1" si="26"/>
        <v/>
      </c>
      <c r="R105" s="367" t="str">
        <f t="shared" ca="1" si="25"/>
        <v/>
      </c>
      <c r="S105" s="367" t="str">
        <f t="shared" ca="1" si="25"/>
        <v/>
      </c>
      <c r="T105" s="367" t="str">
        <f t="shared" ca="1" si="25"/>
        <v/>
      </c>
      <c r="U105" s="367" t="str">
        <f t="shared" ca="1" si="25"/>
        <v/>
      </c>
      <c r="V105" s="367" t="str">
        <f t="shared" ca="1" si="25"/>
        <v/>
      </c>
      <c r="W105" s="367" t="str">
        <f t="shared" ca="1" si="25"/>
        <v/>
      </c>
      <c r="X105" s="367" t="str">
        <f t="shared" ca="1" si="25"/>
        <v/>
      </c>
      <c r="Y105" s="367" t="str">
        <f t="shared" ca="1" si="25"/>
        <v/>
      </c>
      <c r="Z105" s="367" t="str">
        <f t="shared" ca="1" si="25"/>
        <v/>
      </c>
      <c r="AA105" s="367" t="str">
        <f t="shared" ca="1" si="25"/>
        <v/>
      </c>
      <c r="AB105" s="367" t="str">
        <f t="shared" ca="1" si="25"/>
        <v/>
      </c>
      <c r="AC105" s="367" t="str">
        <f t="shared" ca="1" si="25"/>
        <v/>
      </c>
      <c r="AD105" s="367" t="str">
        <f t="shared" ca="1" si="25"/>
        <v/>
      </c>
      <c r="AE105" s="367" t="str">
        <f t="shared" ca="1" si="25"/>
        <v/>
      </c>
      <c r="AF105" s="367" t="str">
        <f t="shared" ca="1" si="25"/>
        <v/>
      </c>
      <c r="AG105" s="367" t="str">
        <f t="shared" ca="1" si="25"/>
        <v/>
      </c>
      <c r="AH105" s="367" t="str">
        <f t="shared" ca="1" si="25"/>
        <v/>
      </c>
      <c r="AI105" s="367" t="str">
        <f t="shared" ca="1" si="25"/>
        <v/>
      </c>
      <c r="AJ105" s="367" t="str">
        <f t="shared" ca="1" si="25"/>
        <v/>
      </c>
      <c r="AK105" s="367" t="str">
        <f t="shared" ca="1" si="25"/>
        <v/>
      </c>
      <c r="AL105" s="367" t="str">
        <f t="shared" ca="1" si="25"/>
        <v/>
      </c>
      <c r="AM105" s="367" t="str">
        <f t="shared" ca="1" si="25"/>
        <v/>
      </c>
      <c r="AN105" s="367" t="str">
        <f t="shared" ca="1" si="25"/>
        <v/>
      </c>
      <c r="AO105" s="367" t="str">
        <f t="shared" ca="1" si="25"/>
        <v/>
      </c>
      <c r="AP105" s="367" t="str">
        <f t="shared" ca="1" si="25"/>
        <v/>
      </c>
      <c r="AQ105" s="367" t="str">
        <f t="shared" ca="1" si="25"/>
        <v/>
      </c>
      <c r="AR105" s="367" t="str">
        <f t="shared" ca="1" si="25"/>
        <v/>
      </c>
      <c r="AS105" s="367" t="str">
        <f t="shared" ca="1" si="25"/>
        <v/>
      </c>
      <c r="AT105" s="367" t="str">
        <f t="shared" ca="1" si="25"/>
        <v/>
      </c>
      <c r="AU105" s="367" t="str">
        <f t="shared" ca="1" si="25"/>
        <v/>
      </c>
      <c r="AV105" s="367" t="str">
        <f t="shared" ca="1" si="25"/>
        <v/>
      </c>
      <c r="AW105" s="367" t="str">
        <f t="shared" ca="1" si="25"/>
        <v/>
      </c>
      <c r="AX105" s="367" t="str">
        <f t="shared" ca="1" si="25"/>
        <v/>
      </c>
      <c r="AY105" s="367" t="str">
        <f t="shared" ca="1" si="25"/>
        <v/>
      </c>
      <c r="AZ105" s="367">
        <f t="shared" ca="1" si="25"/>
        <v>0</v>
      </c>
      <c r="BA105" s="367">
        <f t="shared" ca="1" si="25"/>
        <v>0</v>
      </c>
      <c r="BB105" s="367">
        <f t="shared" ca="1" si="25"/>
        <v>0</v>
      </c>
      <c r="BC105" s="367">
        <f t="shared" ca="1" si="25"/>
        <v>0</v>
      </c>
      <c r="BD105" s="367">
        <f t="shared" ca="1" si="25"/>
        <v>0</v>
      </c>
      <c r="BE105" s="367">
        <f t="shared" ca="1" si="25"/>
        <v>0</v>
      </c>
      <c r="BF105" s="367" t="e">
        <f t="shared" ca="1" si="25"/>
        <v>#REF!</v>
      </c>
      <c r="BG105" s="367" t="e">
        <f t="shared" ca="1" si="25"/>
        <v>#REF!</v>
      </c>
      <c r="BH105" s="367" t="e">
        <f t="shared" ca="1" si="25"/>
        <v>#REF!</v>
      </c>
      <c r="BI105" s="367">
        <f t="shared" ca="1" si="25"/>
        <v>0</v>
      </c>
    </row>
    <row r="106" spans="1:61" outlineLevel="1" x14ac:dyDescent="0.15">
      <c r="A106" s="377">
        <v>52</v>
      </c>
      <c r="B106" s="367" t="str">
        <f t="shared" ca="1" si="26"/>
        <v/>
      </c>
      <c r="C106" s="367" t="str">
        <f t="shared" ca="1" si="26"/>
        <v/>
      </c>
      <c r="D106" s="367" t="str">
        <f t="shared" ca="1" si="26"/>
        <v/>
      </c>
      <c r="E106" s="367" t="str">
        <f t="shared" ca="1" si="26"/>
        <v/>
      </c>
      <c r="F106" s="367" t="str">
        <f t="shared" ca="1" si="26"/>
        <v/>
      </c>
      <c r="G106" s="367" t="str">
        <f t="shared" ca="1" si="26"/>
        <v/>
      </c>
      <c r="H106" s="367" t="str">
        <f t="shared" ca="1" si="26"/>
        <v/>
      </c>
      <c r="I106" s="367" t="str">
        <f t="shared" ca="1" si="26"/>
        <v/>
      </c>
      <c r="J106" s="367" t="str">
        <f t="shared" ca="1" si="26"/>
        <v/>
      </c>
      <c r="K106" s="367" t="str">
        <f t="shared" ca="1" si="26"/>
        <v/>
      </c>
      <c r="L106" s="367" t="str">
        <f t="shared" ca="1" si="26"/>
        <v/>
      </c>
      <c r="M106" s="367" t="str">
        <f t="shared" ca="1" si="26"/>
        <v/>
      </c>
      <c r="N106" s="367" t="str">
        <f t="shared" ca="1" si="26"/>
        <v/>
      </c>
      <c r="O106" s="367" t="str">
        <f t="shared" ca="1" si="26"/>
        <v/>
      </c>
      <c r="P106" s="367" t="str">
        <f t="shared" ca="1" si="26"/>
        <v/>
      </c>
      <c r="Q106" s="367" t="str">
        <f t="shared" ca="1" si="26"/>
        <v/>
      </c>
      <c r="R106" s="367" t="str">
        <f t="shared" ca="1" si="25"/>
        <v/>
      </c>
      <c r="S106" s="367" t="str">
        <f t="shared" ca="1" si="25"/>
        <v/>
      </c>
      <c r="T106" s="367" t="str">
        <f t="shared" ca="1" si="25"/>
        <v/>
      </c>
      <c r="U106" s="367" t="str">
        <f t="shared" ca="1" si="25"/>
        <v/>
      </c>
      <c r="V106" s="367" t="str">
        <f t="shared" ca="1" si="25"/>
        <v/>
      </c>
      <c r="W106" s="367" t="str">
        <f t="shared" ca="1" si="25"/>
        <v/>
      </c>
      <c r="X106" s="367" t="str">
        <f t="shared" ca="1" si="25"/>
        <v/>
      </c>
      <c r="Y106" s="367" t="str">
        <f t="shared" ca="1" si="25"/>
        <v/>
      </c>
      <c r="Z106" s="367" t="str">
        <f t="shared" ca="1" si="25"/>
        <v/>
      </c>
      <c r="AA106" s="367" t="str">
        <f t="shared" ca="1" si="25"/>
        <v/>
      </c>
      <c r="AB106" s="367" t="str">
        <f t="shared" ca="1" si="25"/>
        <v/>
      </c>
      <c r="AC106" s="367" t="str">
        <f t="shared" ca="1" si="25"/>
        <v/>
      </c>
      <c r="AD106" s="367" t="str">
        <f t="shared" ca="1" si="25"/>
        <v/>
      </c>
      <c r="AE106" s="367" t="str">
        <f t="shared" ca="1" si="25"/>
        <v/>
      </c>
      <c r="AF106" s="367" t="str">
        <f t="shared" ca="1" si="25"/>
        <v/>
      </c>
      <c r="AG106" s="367" t="str">
        <f t="shared" ca="1" si="25"/>
        <v/>
      </c>
      <c r="AH106" s="367" t="str">
        <f t="shared" ca="1" si="25"/>
        <v/>
      </c>
      <c r="AI106" s="367" t="str">
        <f t="shared" ca="1" si="25"/>
        <v/>
      </c>
      <c r="AJ106" s="367" t="str">
        <f t="shared" ca="1" si="25"/>
        <v/>
      </c>
      <c r="AK106" s="367" t="str">
        <f t="shared" ca="1" si="25"/>
        <v/>
      </c>
      <c r="AL106" s="367" t="str">
        <f t="shared" ca="1" si="25"/>
        <v/>
      </c>
      <c r="AM106" s="367" t="str">
        <f t="shared" ca="1" si="25"/>
        <v/>
      </c>
      <c r="AN106" s="367" t="str">
        <f t="shared" ca="1" si="25"/>
        <v/>
      </c>
      <c r="AO106" s="367" t="str">
        <f t="shared" ca="1" si="25"/>
        <v/>
      </c>
      <c r="AP106" s="367" t="str">
        <f t="shared" ca="1" si="25"/>
        <v/>
      </c>
      <c r="AQ106" s="367" t="str">
        <f t="shared" ca="1" si="25"/>
        <v/>
      </c>
      <c r="AR106" s="367" t="str">
        <f t="shared" ca="1" si="25"/>
        <v/>
      </c>
      <c r="AS106" s="367" t="str">
        <f t="shared" ca="1" si="25"/>
        <v/>
      </c>
      <c r="AT106" s="367" t="str">
        <f t="shared" ca="1" si="25"/>
        <v/>
      </c>
      <c r="AU106" s="367" t="str">
        <f t="shared" ca="1" si="25"/>
        <v/>
      </c>
      <c r="AV106" s="367" t="str">
        <f t="shared" ca="1" si="25"/>
        <v/>
      </c>
      <c r="AW106" s="367" t="str">
        <f t="shared" ca="1" si="25"/>
        <v/>
      </c>
      <c r="AX106" s="367" t="str">
        <f t="shared" ca="1" si="25"/>
        <v/>
      </c>
      <c r="AY106" s="367" t="str">
        <f t="shared" ca="1" si="25"/>
        <v/>
      </c>
      <c r="AZ106" s="367" t="str">
        <f t="shared" ca="1" si="25"/>
        <v/>
      </c>
      <c r="BA106" s="367">
        <f t="shared" ca="1" si="25"/>
        <v>0</v>
      </c>
      <c r="BB106" s="367">
        <f t="shared" ca="1" si="25"/>
        <v>0</v>
      </c>
      <c r="BC106" s="367">
        <f t="shared" ca="1" si="25"/>
        <v>0</v>
      </c>
      <c r="BD106" s="367">
        <f t="shared" ca="1" si="25"/>
        <v>0</v>
      </c>
      <c r="BE106" s="367">
        <f t="shared" ca="1" si="25"/>
        <v>0</v>
      </c>
      <c r="BF106" s="367">
        <f t="shared" ca="1" si="25"/>
        <v>0</v>
      </c>
      <c r="BG106" s="367" t="e">
        <f t="shared" ca="1" si="25"/>
        <v>#REF!</v>
      </c>
      <c r="BH106" s="367" t="e">
        <f t="shared" ca="1" si="25"/>
        <v>#REF!</v>
      </c>
      <c r="BI106" s="367" t="e">
        <f t="shared" ca="1" si="25"/>
        <v>#REF!</v>
      </c>
    </row>
    <row r="107" spans="1:61" outlineLevel="1" x14ac:dyDescent="0.15">
      <c r="A107" s="377">
        <v>53</v>
      </c>
      <c r="B107" s="367" t="str">
        <f t="shared" ca="1" si="26"/>
        <v/>
      </c>
      <c r="C107" s="367" t="str">
        <f t="shared" ca="1" si="26"/>
        <v/>
      </c>
      <c r="D107" s="367" t="str">
        <f t="shared" ca="1" si="26"/>
        <v/>
      </c>
      <c r="E107" s="367" t="str">
        <f t="shared" ca="1" si="26"/>
        <v/>
      </c>
      <c r="F107" s="367" t="str">
        <f t="shared" ca="1" si="26"/>
        <v/>
      </c>
      <c r="G107" s="367" t="str">
        <f t="shared" ca="1" si="26"/>
        <v/>
      </c>
      <c r="H107" s="367" t="str">
        <f t="shared" ca="1" si="26"/>
        <v/>
      </c>
      <c r="I107" s="367" t="str">
        <f t="shared" ca="1" si="26"/>
        <v/>
      </c>
      <c r="J107" s="367" t="str">
        <f t="shared" ca="1" si="26"/>
        <v/>
      </c>
      <c r="K107" s="367" t="str">
        <f t="shared" ca="1" si="26"/>
        <v/>
      </c>
      <c r="L107" s="367" t="str">
        <f t="shared" ca="1" si="26"/>
        <v/>
      </c>
      <c r="M107" s="367" t="str">
        <f t="shared" ca="1" si="26"/>
        <v/>
      </c>
      <c r="N107" s="367" t="str">
        <f t="shared" ca="1" si="26"/>
        <v/>
      </c>
      <c r="O107" s="367" t="str">
        <f t="shared" ca="1" si="26"/>
        <v/>
      </c>
      <c r="P107" s="367" t="str">
        <f t="shared" ca="1" si="26"/>
        <v/>
      </c>
      <c r="Q107" s="367" t="str">
        <f t="shared" ca="1" si="26"/>
        <v/>
      </c>
      <c r="R107" s="367" t="str">
        <f t="shared" ca="1" si="25"/>
        <v/>
      </c>
      <c r="S107" s="367" t="str">
        <f t="shared" ca="1" si="25"/>
        <v/>
      </c>
      <c r="T107" s="367" t="str">
        <f t="shared" ca="1" si="25"/>
        <v/>
      </c>
      <c r="U107" s="367" t="str">
        <f t="shared" ca="1" si="25"/>
        <v/>
      </c>
      <c r="V107" s="367" t="str">
        <f t="shared" ca="1" si="25"/>
        <v/>
      </c>
      <c r="W107" s="367" t="str">
        <f t="shared" ca="1" si="25"/>
        <v/>
      </c>
      <c r="X107" s="367" t="str">
        <f t="shared" ca="1" si="25"/>
        <v/>
      </c>
      <c r="Y107" s="367" t="str">
        <f t="shared" ca="1" si="25"/>
        <v/>
      </c>
      <c r="Z107" s="367" t="str">
        <f t="shared" ca="1" si="25"/>
        <v/>
      </c>
      <c r="AA107" s="367" t="str">
        <f t="shared" ca="1" si="25"/>
        <v/>
      </c>
      <c r="AB107" s="367" t="str">
        <f t="shared" ca="1" si="25"/>
        <v/>
      </c>
      <c r="AC107" s="367" t="str">
        <f t="shared" ca="1" si="25"/>
        <v/>
      </c>
      <c r="AD107" s="367" t="str">
        <f t="shared" ca="1" si="25"/>
        <v/>
      </c>
      <c r="AE107" s="367" t="str">
        <f t="shared" ca="1" si="25"/>
        <v/>
      </c>
      <c r="AF107" s="367" t="str">
        <f t="shared" ca="1" si="25"/>
        <v/>
      </c>
      <c r="AG107" s="367" t="str">
        <f t="shared" ca="1" si="25"/>
        <v/>
      </c>
      <c r="AH107" s="367" t="str">
        <f t="shared" ca="1" si="25"/>
        <v/>
      </c>
      <c r="AI107" s="367" t="str">
        <f t="shared" ca="1" si="25"/>
        <v/>
      </c>
      <c r="AJ107" s="367" t="str">
        <f t="shared" ca="1" si="25"/>
        <v/>
      </c>
      <c r="AK107" s="367" t="str">
        <f t="shared" ca="1" si="25"/>
        <v/>
      </c>
      <c r="AL107" s="367" t="str">
        <f t="shared" ca="1" si="25"/>
        <v/>
      </c>
      <c r="AM107" s="367" t="str">
        <f t="shared" ca="1" si="25"/>
        <v/>
      </c>
      <c r="AN107" s="367" t="str">
        <f t="shared" ca="1" si="25"/>
        <v/>
      </c>
      <c r="AO107" s="367" t="str">
        <f t="shared" ca="1" si="25"/>
        <v/>
      </c>
      <c r="AP107" s="367" t="str">
        <f t="shared" ca="1" si="25"/>
        <v/>
      </c>
      <c r="AQ107" s="367" t="str">
        <f t="shared" ca="1" si="25"/>
        <v/>
      </c>
      <c r="AR107" s="367" t="str">
        <f t="shared" ca="1" si="25"/>
        <v/>
      </c>
      <c r="AS107" s="367" t="str">
        <f t="shared" ca="1" si="25"/>
        <v/>
      </c>
      <c r="AT107" s="367" t="str">
        <f t="shared" ca="1" si="25"/>
        <v/>
      </c>
      <c r="AU107" s="367" t="str">
        <f t="shared" ca="1" si="25"/>
        <v/>
      </c>
      <c r="AV107" s="367" t="str">
        <f t="shared" ca="1" si="25"/>
        <v/>
      </c>
      <c r="AW107" s="367" t="str">
        <f t="shared" ca="1" si="25"/>
        <v/>
      </c>
      <c r="AX107" s="367" t="str">
        <f t="shared" ca="1" si="25"/>
        <v/>
      </c>
      <c r="AY107" s="367" t="str">
        <f t="shared" ca="1" si="25"/>
        <v/>
      </c>
      <c r="AZ107" s="367" t="str">
        <f t="shared" ca="1" si="25"/>
        <v/>
      </c>
      <c r="BA107" s="367" t="str">
        <f t="shared" ca="1" si="25"/>
        <v/>
      </c>
      <c r="BB107" s="367">
        <f t="shared" ca="1" si="25"/>
        <v>0</v>
      </c>
      <c r="BC107" s="367">
        <f t="shared" ca="1" si="25"/>
        <v>0</v>
      </c>
      <c r="BD107" s="367">
        <f t="shared" ca="1" si="25"/>
        <v>0</v>
      </c>
      <c r="BE107" s="367">
        <f t="shared" ca="1" si="25"/>
        <v>0</v>
      </c>
      <c r="BF107" s="367">
        <f t="shared" ca="1" si="25"/>
        <v>0</v>
      </c>
      <c r="BG107" s="367">
        <f t="shared" ca="1" si="25"/>
        <v>0</v>
      </c>
      <c r="BH107" s="367" t="e">
        <f t="shared" ca="1" si="25"/>
        <v>#REF!</v>
      </c>
      <c r="BI107" s="367" t="e">
        <f t="shared" ca="1" si="25"/>
        <v>#REF!</v>
      </c>
    </row>
    <row r="108" spans="1:61" outlineLevel="1" x14ac:dyDescent="0.15">
      <c r="A108" s="377">
        <v>54</v>
      </c>
      <c r="B108" s="367" t="str">
        <f t="shared" ca="1" si="26"/>
        <v/>
      </c>
      <c r="C108" s="367" t="str">
        <f t="shared" ca="1" si="26"/>
        <v/>
      </c>
      <c r="D108" s="367" t="str">
        <f t="shared" ca="1" si="26"/>
        <v/>
      </c>
      <c r="E108" s="367" t="str">
        <f t="shared" ca="1" si="26"/>
        <v/>
      </c>
      <c r="F108" s="367" t="str">
        <f t="shared" ca="1" si="26"/>
        <v/>
      </c>
      <c r="G108" s="367" t="str">
        <f t="shared" ca="1" si="26"/>
        <v/>
      </c>
      <c r="H108" s="367" t="str">
        <f t="shared" ca="1" si="26"/>
        <v/>
      </c>
      <c r="I108" s="367" t="str">
        <f t="shared" ca="1" si="26"/>
        <v/>
      </c>
      <c r="J108" s="367" t="str">
        <f t="shared" ca="1" si="26"/>
        <v/>
      </c>
      <c r="K108" s="367" t="str">
        <f t="shared" ca="1" si="26"/>
        <v/>
      </c>
      <c r="L108" s="367" t="str">
        <f t="shared" ca="1" si="26"/>
        <v/>
      </c>
      <c r="M108" s="367" t="str">
        <f t="shared" ca="1" si="26"/>
        <v/>
      </c>
      <c r="N108" s="367" t="str">
        <f t="shared" ca="1" si="26"/>
        <v/>
      </c>
      <c r="O108" s="367" t="str">
        <f t="shared" ca="1" si="26"/>
        <v/>
      </c>
      <c r="P108" s="367" t="str">
        <f t="shared" ca="1" si="26"/>
        <v/>
      </c>
      <c r="Q108" s="367" t="str">
        <f t="shared" ca="1" si="26"/>
        <v/>
      </c>
      <c r="R108" s="367" t="str">
        <f t="shared" ca="1" si="25"/>
        <v/>
      </c>
      <c r="S108" s="367" t="str">
        <f t="shared" ca="1" si="25"/>
        <v/>
      </c>
      <c r="T108" s="367" t="str">
        <f t="shared" ref="T108:BZ112" ca="1" si="27">IF($A108&gt;T$5,"",OFFSET(T$54,0,-($A108-1)))</f>
        <v/>
      </c>
      <c r="U108" s="367" t="str">
        <f t="shared" ca="1" si="27"/>
        <v/>
      </c>
      <c r="V108" s="367" t="str">
        <f t="shared" ca="1" si="27"/>
        <v/>
      </c>
      <c r="W108" s="367" t="str">
        <f t="shared" ca="1" si="27"/>
        <v/>
      </c>
      <c r="X108" s="367" t="str">
        <f t="shared" ca="1" si="27"/>
        <v/>
      </c>
      <c r="Y108" s="367" t="str">
        <f t="shared" ca="1" si="27"/>
        <v/>
      </c>
      <c r="Z108" s="367" t="str">
        <f t="shared" ca="1" si="27"/>
        <v/>
      </c>
      <c r="AA108" s="367" t="str">
        <f t="shared" ca="1" si="27"/>
        <v/>
      </c>
      <c r="AB108" s="367" t="str">
        <f t="shared" ca="1" si="27"/>
        <v/>
      </c>
      <c r="AC108" s="367" t="str">
        <f t="shared" ca="1" si="27"/>
        <v/>
      </c>
      <c r="AD108" s="367" t="str">
        <f t="shared" ca="1" si="27"/>
        <v/>
      </c>
      <c r="AE108" s="367" t="str">
        <f t="shared" ca="1" si="27"/>
        <v/>
      </c>
      <c r="AF108" s="367" t="str">
        <f t="shared" ca="1" si="27"/>
        <v/>
      </c>
      <c r="AG108" s="367" t="str">
        <f t="shared" ca="1" si="27"/>
        <v/>
      </c>
      <c r="AH108" s="367" t="str">
        <f t="shared" ca="1" si="27"/>
        <v/>
      </c>
      <c r="AI108" s="367" t="str">
        <f t="shared" ca="1" si="27"/>
        <v/>
      </c>
      <c r="AJ108" s="367" t="str">
        <f t="shared" ca="1" si="27"/>
        <v/>
      </c>
      <c r="AK108" s="367" t="str">
        <f t="shared" ca="1" si="27"/>
        <v/>
      </c>
      <c r="AL108" s="367" t="str">
        <f t="shared" ca="1" si="27"/>
        <v/>
      </c>
      <c r="AM108" s="367" t="str">
        <f t="shared" ca="1" si="27"/>
        <v/>
      </c>
      <c r="AN108" s="367" t="str">
        <f t="shared" ca="1" si="27"/>
        <v/>
      </c>
      <c r="AO108" s="367" t="str">
        <f t="shared" ca="1" si="27"/>
        <v/>
      </c>
      <c r="AP108" s="367" t="str">
        <f t="shared" ca="1" si="27"/>
        <v/>
      </c>
      <c r="AQ108" s="367" t="str">
        <f t="shared" ca="1" si="27"/>
        <v/>
      </c>
      <c r="AR108" s="367" t="str">
        <f t="shared" ca="1" si="27"/>
        <v/>
      </c>
      <c r="AS108" s="367" t="str">
        <f t="shared" ca="1" si="27"/>
        <v/>
      </c>
      <c r="AT108" s="367" t="str">
        <f t="shared" ca="1" si="27"/>
        <v/>
      </c>
      <c r="AU108" s="367" t="str">
        <f t="shared" ca="1" si="27"/>
        <v/>
      </c>
      <c r="AV108" s="367" t="str">
        <f t="shared" ca="1" si="27"/>
        <v/>
      </c>
      <c r="AW108" s="367" t="str">
        <f t="shared" ca="1" si="27"/>
        <v/>
      </c>
      <c r="AX108" s="367" t="str">
        <f t="shared" ca="1" si="27"/>
        <v/>
      </c>
      <c r="AY108" s="367" t="str">
        <f t="shared" ca="1" si="27"/>
        <v/>
      </c>
      <c r="AZ108" s="367" t="str">
        <f t="shared" ca="1" si="27"/>
        <v/>
      </c>
      <c r="BA108" s="367" t="str">
        <f t="shared" ca="1" si="27"/>
        <v/>
      </c>
      <c r="BB108" s="367" t="str">
        <f t="shared" ca="1" si="27"/>
        <v/>
      </c>
      <c r="BC108" s="367">
        <f t="shared" ca="1" si="27"/>
        <v>0</v>
      </c>
      <c r="BD108" s="367">
        <f t="shared" ca="1" si="27"/>
        <v>0</v>
      </c>
      <c r="BE108" s="367">
        <f t="shared" ca="1" si="27"/>
        <v>0</v>
      </c>
      <c r="BF108" s="367">
        <f t="shared" ca="1" si="27"/>
        <v>0</v>
      </c>
      <c r="BG108" s="367">
        <f t="shared" ca="1" si="27"/>
        <v>0</v>
      </c>
      <c r="BH108" s="367">
        <f t="shared" ca="1" si="27"/>
        <v>0</v>
      </c>
      <c r="BI108" s="367" t="e">
        <f t="shared" ca="1" si="27"/>
        <v>#REF!</v>
      </c>
    </row>
    <row r="109" spans="1:61" outlineLevel="1" x14ac:dyDescent="0.15">
      <c r="A109" s="377">
        <v>55</v>
      </c>
      <c r="B109" s="367" t="str">
        <f t="shared" ca="1" si="26"/>
        <v/>
      </c>
      <c r="C109" s="367" t="str">
        <f t="shared" ca="1" si="26"/>
        <v/>
      </c>
      <c r="D109" s="367" t="str">
        <f t="shared" ca="1" si="26"/>
        <v/>
      </c>
      <c r="E109" s="367" t="str">
        <f t="shared" ca="1" si="26"/>
        <v/>
      </c>
      <c r="F109" s="367" t="str">
        <f t="shared" ca="1" si="26"/>
        <v/>
      </c>
      <c r="G109" s="367" t="str">
        <f t="shared" ca="1" si="26"/>
        <v/>
      </c>
      <c r="H109" s="367" t="str">
        <f t="shared" ca="1" si="26"/>
        <v/>
      </c>
      <c r="I109" s="367" t="str">
        <f t="shared" ca="1" si="26"/>
        <v/>
      </c>
      <c r="J109" s="367" t="str">
        <f t="shared" ca="1" si="26"/>
        <v/>
      </c>
      <c r="K109" s="367" t="str">
        <f t="shared" ca="1" si="26"/>
        <v/>
      </c>
      <c r="L109" s="367" t="str">
        <f t="shared" ca="1" si="26"/>
        <v/>
      </c>
      <c r="M109" s="367" t="str">
        <f t="shared" ca="1" si="26"/>
        <v/>
      </c>
      <c r="N109" s="367" t="str">
        <f t="shared" ca="1" si="26"/>
        <v/>
      </c>
      <c r="O109" s="367" t="str">
        <f t="shared" ca="1" si="26"/>
        <v/>
      </c>
      <c r="P109" s="367" t="str">
        <f t="shared" ca="1" si="26"/>
        <v/>
      </c>
      <c r="Q109" s="367" t="str">
        <f t="shared" ca="1" si="26"/>
        <v/>
      </c>
      <c r="R109" s="367" t="str">
        <f t="shared" ref="R109:BX114" ca="1" si="28">IF($A109&gt;R$5,"",OFFSET(R$54,0,-($A109-1)))</f>
        <v/>
      </c>
      <c r="S109" s="367" t="str">
        <f t="shared" ca="1" si="28"/>
        <v/>
      </c>
      <c r="T109" s="367" t="str">
        <f t="shared" ca="1" si="28"/>
        <v/>
      </c>
      <c r="U109" s="367" t="str">
        <f t="shared" ca="1" si="28"/>
        <v/>
      </c>
      <c r="V109" s="367" t="str">
        <f t="shared" ca="1" si="28"/>
        <v/>
      </c>
      <c r="W109" s="367" t="str">
        <f t="shared" ca="1" si="28"/>
        <v/>
      </c>
      <c r="X109" s="367" t="str">
        <f t="shared" ca="1" si="28"/>
        <v/>
      </c>
      <c r="Y109" s="367" t="str">
        <f t="shared" ca="1" si="28"/>
        <v/>
      </c>
      <c r="Z109" s="367" t="str">
        <f t="shared" ca="1" si="28"/>
        <v/>
      </c>
      <c r="AA109" s="367" t="str">
        <f t="shared" ca="1" si="28"/>
        <v/>
      </c>
      <c r="AB109" s="367" t="str">
        <f t="shared" ca="1" si="28"/>
        <v/>
      </c>
      <c r="AC109" s="367" t="str">
        <f t="shared" ca="1" si="28"/>
        <v/>
      </c>
      <c r="AD109" s="367" t="str">
        <f t="shared" ca="1" si="28"/>
        <v/>
      </c>
      <c r="AE109" s="367" t="str">
        <f t="shared" ca="1" si="28"/>
        <v/>
      </c>
      <c r="AF109" s="367" t="str">
        <f t="shared" ca="1" si="28"/>
        <v/>
      </c>
      <c r="AG109" s="367" t="str">
        <f t="shared" ca="1" si="28"/>
        <v/>
      </c>
      <c r="AH109" s="367" t="str">
        <f t="shared" ca="1" si="28"/>
        <v/>
      </c>
      <c r="AI109" s="367" t="str">
        <f t="shared" ca="1" si="28"/>
        <v/>
      </c>
      <c r="AJ109" s="367" t="str">
        <f t="shared" ca="1" si="28"/>
        <v/>
      </c>
      <c r="AK109" s="367" t="str">
        <f t="shared" ca="1" si="28"/>
        <v/>
      </c>
      <c r="AL109" s="367" t="str">
        <f t="shared" ca="1" si="28"/>
        <v/>
      </c>
      <c r="AM109" s="367" t="str">
        <f t="shared" ca="1" si="28"/>
        <v/>
      </c>
      <c r="AN109" s="367" t="str">
        <f t="shared" ca="1" si="28"/>
        <v/>
      </c>
      <c r="AO109" s="367" t="str">
        <f t="shared" ca="1" si="28"/>
        <v/>
      </c>
      <c r="AP109" s="367" t="str">
        <f t="shared" ca="1" si="28"/>
        <v/>
      </c>
      <c r="AQ109" s="367" t="str">
        <f t="shared" ca="1" si="28"/>
        <v/>
      </c>
      <c r="AR109" s="367" t="str">
        <f t="shared" ca="1" si="28"/>
        <v/>
      </c>
      <c r="AS109" s="367" t="str">
        <f t="shared" ca="1" si="28"/>
        <v/>
      </c>
      <c r="AT109" s="367" t="str">
        <f t="shared" ca="1" si="28"/>
        <v/>
      </c>
      <c r="AU109" s="367" t="str">
        <f t="shared" ca="1" si="28"/>
        <v/>
      </c>
      <c r="AV109" s="367" t="str">
        <f t="shared" ca="1" si="28"/>
        <v/>
      </c>
      <c r="AW109" s="367" t="str">
        <f t="shared" ca="1" si="28"/>
        <v/>
      </c>
      <c r="AX109" s="367" t="str">
        <f t="shared" ca="1" si="28"/>
        <v/>
      </c>
      <c r="AY109" s="367" t="str">
        <f t="shared" ca="1" si="28"/>
        <v/>
      </c>
      <c r="AZ109" s="367" t="str">
        <f t="shared" ca="1" si="28"/>
        <v/>
      </c>
      <c r="BA109" s="367" t="str">
        <f t="shared" ca="1" si="28"/>
        <v/>
      </c>
      <c r="BB109" s="367" t="str">
        <f t="shared" ca="1" si="28"/>
        <v/>
      </c>
      <c r="BC109" s="367" t="str">
        <f t="shared" ca="1" si="28"/>
        <v/>
      </c>
      <c r="BD109" s="367">
        <f t="shared" ca="1" si="28"/>
        <v>0</v>
      </c>
      <c r="BE109" s="367">
        <f t="shared" ca="1" si="28"/>
        <v>0</v>
      </c>
      <c r="BF109" s="367">
        <f t="shared" ca="1" si="28"/>
        <v>0</v>
      </c>
      <c r="BG109" s="367">
        <f t="shared" ca="1" si="28"/>
        <v>0</v>
      </c>
      <c r="BH109" s="367">
        <f t="shared" ca="1" si="28"/>
        <v>0</v>
      </c>
      <c r="BI109" s="367">
        <f t="shared" ca="1" si="28"/>
        <v>0</v>
      </c>
    </row>
    <row r="110" spans="1:61" outlineLevel="1" x14ac:dyDescent="0.15">
      <c r="A110" s="377">
        <v>56</v>
      </c>
      <c r="B110" s="367" t="str">
        <f t="shared" ca="1" si="26"/>
        <v/>
      </c>
      <c r="C110" s="367" t="str">
        <f t="shared" ca="1" si="26"/>
        <v/>
      </c>
      <c r="D110" s="367" t="str">
        <f t="shared" ca="1" si="26"/>
        <v/>
      </c>
      <c r="E110" s="367" t="str">
        <f t="shared" ca="1" si="26"/>
        <v/>
      </c>
      <c r="F110" s="367" t="str">
        <f t="shared" ca="1" si="26"/>
        <v/>
      </c>
      <c r="G110" s="367" t="str">
        <f t="shared" ca="1" si="26"/>
        <v/>
      </c>
      <c r="H110" s="367" t="str">
        <f t="shared" ca="1" si="26"/>
        <v/>
      </c>
      <c r="I110" s="367" t="str">
        <f t="shared" ca="1" si="26"/>
        <v/>
      </c>
      <c r="J110" s="367" t="str">
        <f t="shared" ca="1" si="26"/>
        <v/>
      </c>
      <c r="K110" s="367" t="str">
        <f t="shared" ca="1" si="26"/>
        <v/>
      </c>
      <c r="L110" s="367" t="str">
        <f t="shared" ca="1" si="26"/>
        <v/>
      </c>
      <c r="M110" s="367" t="str">
        <f t="shared" ca="1" si="26"/>
        <v/>
      </c>
      <c r="N110" s="367" t="str">
        <f t="shared" ca="1" si="26"/>
        <v/>
      </c>
      <c r="O110" s="367" t="str">
        <f t="shared" ca="1" si="26"/>
        <v/>
      </c>
      <c r="P110" s="367" t="str">
        <f t="shared" ca="1" si="26"/>
        <v/>
      </c>
      <c r="Q110" s="367" t="str">
        <f t="shared" ca="1" si="26"/>
        <v/>
      </c>
      <c r="R110" s="367" t="str">
        <f t="shared" ca="1" si="28"/>
        <v/>
      </c>
      <c r="S110" s="367" t="str">
        <f t="shared" ca="1" si="28"/>
        <v/>
      </c>
      <c r="T110" s="367" t="str">
        <f t="shared" ca="1" si="28"/>
        <v/>
      </c>
      <c r="U110" s="367" t="str">
        <f t="shared" ca="1" si="28"/>
        <v/>
      </c>
      <c r="V110" s="367" t="str">
        <f t="shared" ca="1" si="28"/>
        <v/>
      </c>
      <c r="W110" s="367" t="str">
        <f t="shared" ca="1" si="28"/>
        <v/>
      </c>
      <c r="X110" s="367" t="str">
        <f t="shared" ca="1" si="28"/>
        <v/>
      </c>
      <c r="Y110" s="367" t="str">
        <f t="shared" ca="1" si="28"/>
        <v/>
      </c>
      <c r="Z110" s="367" t="str">
        <f t="shared" ca="1" si="28"/>
        <v/>
      </c>
      <c r="AA110" s="367" t="str">
        <f t="shared" ca="1" si="28"/>
        <v/>
      </c>
      <c r="AB110" s="367" t="str">
        <f t="shared" ca="1" si="28"/>
        <v/>
      </c>
      <c r="AC110" s="367" t="str">
        <f t="shared" ca="1" si="28"/>
        <v/>
      </c>
      <c r="AD110" s="367" t="str">
        <f t="shared" ca="1" si="28"/>
        <v/>
      </c>
      <c r="AE110" s="367" t="str">
        <f t="shared" ca="1" si="28"/>
        <v/>
      </c>
      <c r="AF110" s="367" t="str">
        <f t="shared" ca="1" si="28"/>
        <v/>
      </c>
      <c r="AG110" s="367" t="str">
        <f t="shared" ca="1" si="28"/>
        <v/>
      </c>
      <c r="AH110" s="367" t="str">
        <f t="shared" ca="1" si="28"/>
        <v/>
      </c>
      <c r="AI110" s="367" t="str">
        <f t="shared" ca="1" si="28"/>
        <v/>
      </c>
      <c r="AJ110" s="367" t="str">
        <f t="shared" ca="1" si="28"/>
        <v/>
      </c>
      <c r="AK110" s="367" t="str">
        <f t="shared" ca="1" si="28"/>
        <v/>
      </c>
      <c r="AL110" s="367" t="str">
        <f t="shared" ca="1" si="28"/>
        <v/>
      </c>
      <c r="AM110" s="367" t="str">
        <f t="shared" ca="1" si="28"/>
        <v/>
      </c>
      <c r="AN110" s="367" t="str">
        <f t="shared" ca="1" si="28"/>
        <v/>
      </c>
      <c r="AO110" s="367" t="str">
        <f t="shared" ca="1" si="28"/>
        <v/>
      </c>
      <c r="AP110" s="367" t="str">
        <f t="shared" ca="1" si="28"/>
        <v/>
      </c>
      <c r="AQ110" s="367" t="str">
        <f t="shared" ca="1" si="28"/>
        <v/>
      </c>
      <c r="AR110" s="367" t="str">
        <f t="shared" ca="1" si="28"/>
        <v/>
      </c>
      <c r="AS110" s="367" t="str">
        <f t="shared" ca="1" si="28"/>
        <v/>
      </c>
      <c r="AT110" s="367" t="str">
        <f t="shared" ca="1" si="28"/>
        <v/>
      </c>
      <c r="AU110" s="367" t="str">
        <f t="shared" ca="1" si="28"/>
        <v/>
      </c>
      <c r="AV110" s="367" t="str">
        <f t="shared" ca="1" si="28"/>
        <v/>
      </c>
      <c r="AW110" s="367" t="str">
        <f t="shared" ca="1" si="28"/>
        <v/>
      </c>
      <c r="AX110" s="367" t="str">
        <f t="shared" ca="1" si="28"/>
        <v/>
      </c>
      <c r="AY110" s="367" t="str">
        <f t="shared" ca="1" si="28"/>
        <v/>
      </c>
      <c r="AZ110" s="367" t="str">
        <f t="shared" ca="1" si="28"/>
        <v/>
      </c>
      <c r="BA110" s="367" t="str">
        <f t="shared" ca="1" si="28"/>
        <v/>
      </c>
      <c r="BB110" s="367" t="str">
        <f t="shared" ca="1" si="28"/>
        <v/>
      </c>
      <c r="BC110" s="367" t="str">
        <f t="shared" ca="1" si="28"/>
        <v/>
      </c>
      <c r="BD110" s="367" t="str">
        <f t="shared" ca="1" si="28"/>
        <v/>
      </c>
      <c r="BE110" s="367">
        <f t="shared" ca="1" si="28"/>
        <v>0</v>
      </c>
      <c r="BF110" s="367">
        <f t="shared" ca="1" si="28"/>
        <v>0</v>
      </c>
      <c r="BG110" s="367">
        <f t="shared" ca="1" si="28"/>
        <v>0</v>
      </c>
      <c r="BH110" s="367">
        <f t="shared" ca="1" si="28"/>
        <v>0</v>
      </c>
      <c r="BI110" s="367">
        <f t="shared" ca="1" si="28"/>
        <v>0</v>
      </c>
    </row>
    <row r="111" spans="1:61" outlineLevel="1" x14ac:dyDescent="0.15">
      <c r="A111" s="377">
        <v>57</v>
      </c>
      <c r="B111" s="367" t="str">
        <f t="shared" ca="1" si="26"/>
        <v/>
      </c>
      <c r="C111" s="367" t="str">
        <f t="shared" ca="1" si="26"/>
        <v/>
      </c>
      <c r="D111" s="367" t="str">
        <f t="shared" ca="1" si="26"/>
        <v/>
      </c>
      <c r="E111" s="367" t="str">
        <f t="shared" ca="1" si="26"/>
        <v/>
      </c>
      <c r="F111" s="367" t="str">
        <f t="shared" ca="1" si="26"/>
        <v/>
      </c>
      <c r="G111" s="367" t="str">
        <f t="shared" ca="1" si="26"/>
        <v/>
      </c>
      <c r="H111" s="367" t="str">
        <f t="shared" ca="1" si="26"/>
        <v/>
      </c>
      <c r="I111" s="367" t="str">
        <f t="shared" ca="1" si="26"/>
        <v/>
      </c>
      <c r="J111" s="367" t="str">
        <f t="shared" ca="1" si="26"/>
        <v/>
      </c>
      <c r="K111" s="367" t="str">
        <f t="shared" ca="1" si="26"/>
        <v/>
      </c>
      <c r="L111" s="367" t="str">
        <f t="shared" ca="1" si="26"/>
        <v/>
      </c>
      <c r="M111" s="367" t="str">
        <f t="shared" ca="1" si="26"/>
        <v/>
      </c>
      <c r="N111" s="367" t="str">
        <f t="shared" ca="1" si="26"/>
        <v/>
      </c>
      <c r="O111" s="367" t="str">
        <f t="shared" ca="1" si="26"/>
        <v/>
      </c>
      <c r="P111" s="367" t="str">
        <f t="shared" ca="1" si="26"/>
        <v/>
      </c>
      <c r="Q111" s="367" t="str">
        <f t="shared" ca="1" si="26"/>
        <v/>
      </c>
      <c r="R111" s="367" t="str">
        <f t="shared" ca="1" si="28"/>
        <v/>
      </c>
      <c r="S111" s="367" t="str">
        <f t="shared" ca="1" si="28"/>
        <v/>
      </c>
      <c r="T111" s="367" t="str">
        <f t="shared" ca="1" si="28"/>
        <v/>
      </c>
      <c r="U111" s="367" t="str">
        <f t="shared" ca="1" si="28"/>
        <v/>
      </c>
      <c r="V111" s="367" t="str">
        <f t="shared" ca="1" si="28"/>
        <v/>
      </c>
      <c r="W111" s="367" t="str">
        <f t="shared" ca="1" si="28"/>
        <v/>
      </c>
      <c r="X111" s="367" t="str">
        <f t="shared" ca="1" si="28"/>
        <v/>
      </c>
      <c r="Y111" s="367" t="str">
        <f t="shared" ca="1" si="28"/>
        <v/>
      </c>
      <c r="Z111" s="367" t="str">
        <f t="shared" ca="1" si="28"/>
        <v/>
      </c>
      <c r="AA111" s="367" t="str">
        <f t="shared" ca="1" si="28"/>
        <v/>
      </c>
      <c r="AB111" s="367" t="str">
        <f t="shared" ca="1" si="28"/>
        <v/>
      </c>
      <c r="AC111" s="367" t="str">
        <f t="shared" ca="1" si="28"/>
        <v/>
      </c>
      <c r="AD111" s="367" t="str">
        <f t="shared" ca="1" si="28"/>
        <v/>
      </c>
      <c r="AE111" s="367" t="str">
        <f t="shared" ca="1" si="28"/>
        <v/>
      </c>
      <c r="AF111" s="367" t="str">
        <f t="shared" ca="1" si="28"/>
        <v/>
      </c>
      <c r="AG111" s="367" t="str">
        <f t="shared" ca="1" si="28"/>
        <v/>
      </c>
      <c r="AH111" s="367" t="str">
        <f t="shared" ca="1" si="28"/>
        <v/>
      </c>
      <c r="AI111" s="367" t="str">
        <f t="shared" ca="1" si="28"/>
        <v/>
      </c>
      <c r="AJ111" s="367" t="str">
        <f t="shared" ca="1" si="28"/>
        <v/>
      </c>
      <c r="AK111" s="367" t="str">
        <f t="shared" ca="1" si="28"/>
        <v/>
      </c>
      <c r="AL111" s="367" t="str">
        <f t="shared" ca="1" si="28"/>
        <v/>
      </c>
      <c r="AM111" s="367" t="str">
        <f t="shared" ca="1" si="28"/>
        <v/>
      </c>
      <c r="AN111" s="367" t="str">
        <f t="shared" ca="1" si="28"/>
        <v/>
      </c>
      <c r="AO111" s="367" t="str">
        <f t="shared" ca="1" si="28"/>
        <v/>
      </c>
      <c r="AP111" s="367" t="str">
        <f t="shared" ca="1" si="28"/>
        <v/>
      </c>
      <c r="AQ111" s="367" t="str">
        <f t="shared" ca="1" si="28"/>
        <v/>
      </c>
      <c r="AR111" s="367" t="str">
        <f t="shared" ca="1" si="28"/>
        <v/>
      </c>
      <c r="AS111" s="367" t="str">
        <f t="shared" ca="1" si="28"/>
        <v/>
      </c>
      <c r="AT111" s="367" t="str">
        <f t="shared" ca="1" si="28"/>
        <v/>
      </c>
      <c r="AU111" s="367" t="str">
        <f t="shared" ca="1" si="28"/>
        <v/>
      </c>
      <c r="AV111" s="367" t="str">
        <f t="shared" ca="1" si="28"/>
        <v/>
      </c>
      <c r="AW111" s="367" t="str">
        <f t="shared" ca="1" si="28"/>
        <v/>
      </c>
      <c r="AX111" s="367" t="str">
        <f t="shared" ca="1" si="28"/>
        <v/>
      </c>
      <c r="AY111" s="367" t="str">
        <f t="shared" ca="1" si="28"/>
        <v/>
      </c>
      <c r="AZ111" s="367" t="str">
        <f t="shared" ca="1" si="28"/>
        <v/>
      </c>
      <c r="BA111" s="367" t="str">
        <f t="shared" ca="1" si="28"/>
        <v/>
      </c>
      <c r="BB111" s="367" t="str">
        <f t="shared" ca="1" si="28"/>
        <v/>
      </c>
      <c r="BC111" s="367" t="str">
        <f t="shared" ca="1" si="28"/>
        <v/>
      </c>
      <c r="BD111" s="367" t="str">
        <f t="shared" ca="1" si="28"/>
        <v/>
      </c>
      <c r="BE111" s="367" t="str">
        <f t="shared" ca="1" si="28"/>
        <v/>
      </c>
      <c r="BF111" s="367">
        <f t="shared" ca="1" si="28"/>
        <v>0</v>
      </c>
      <c r="BG111" s="367">
        <f t="shared" ca="1" si="28"/>
        <v>0</v>
      </c>
      <c r="BH111" s="367">
        <f t="shared" ca="1" si="28"/>
        <v>0</v>
      </c>
      <c r="BI111" s="367">
        <f t="shared" ca="1" si="28"/>
        <v>0</v>
      </c>
    </row>
    <row r="112" spans="1:61" outlineLevel="1" x14ac:dyDescent="0.15">
      <c r="A112" s="377">
        <v>58</v>
      </c>
      <c r="B112" s="367" t="str">
        <f t="shared" ca="1" si="26"/>
        <v/>
      </c>
      <c r="C112" s="367" t="str">
        <f t="shared" ca="1" si="26"/>
        <v/>
      </c>
      <c r="D112" s="367" t="str">
        <f t="shared" ca="1" si="26"/>
        <v/>
      </c>
      <c r="E112" s="367" t="str">
        <f t="shared" ca="1" si="26"/>
        <v/>
      </c>
      <c r="F112" s="367" t="str">
        <f t="shared" ca="1" si="26"/>
        <v/>
      </c>
      <c r="G112" s="367" t="str">
        <f t="shared" ca="1" si="26"/>
        <v/>
      </c>
      <c r="H112" s="367" t="str">
        <f t="shared" ca="1" si="26"/>
        <v/>
      </c>
      <c r="I112" s="367" t="str">
        <f t="shared" ca="1" si="26"/>
        <v/>
      </c>
      <c r="J112" s="367" t="str">
        <f t="shared" ca="1" si="26"/>
        <v/>
      </c>
      <c r="K112" s="367" t="str">
        <f t="shared" ca="1" si="26"/>
        <v/>
      </c>
      <c r="L112" s="367" t="str">
        <f t="shared" ca="1" si="26"/>
        <v/>
      </c>
      <c r="M112" s="367" t="str">
        <f t="shared" ca="1" si="26"/>
        <v/>
      </c>
      <c r="N112" s="367" t="str">
        <f t="shared" ca="1" si="26"/>
        <v/>
      </c>
      <c r="O112" s="367" t="str">
        <f t="shared" ca="1" si="26"/>
        <v/>
      </c>
      <c r="P112" s="367" t="str">
        <f t="shared" ca="1" si="26"/>
        <v/>
      </c>
      <c r="Q112" s="367" t="str">
        <f t="shared" ca="1" si="26"/>
        <v/>
      </c>
      <c r="R112" s="367" t="str">
        <f t="shared" ca="1" si="28"/>
        <v/>
      </c>
      <c r="S112" s="367" t="str">
        <f t="shared" ca="1" si="28"/>
        <v/>
      </c>
      <c r="T112" s="367" t="str">
        <f t="shared" ca="1" si="28"/>
        <v/>
      </c>
      <c r="U112" s="367" t="str">
        <f t="shared" ca="1" si="28"/>
        <v/>
      </c>
      <c r="V112" s="367" t="str">
        <f t="shared" ca="1" si="28"/>
        <v/>
      </c>
      <c r="W112" s="367" t="str">
        <f t="shared" ca="1" si="28"/>
        <v/>
      </c>
      <c r="X112" s="367" t="str">
        <f t="shared" ca="1" si="28"/>
        <v/>
      </c>
      <c r="Y112" s="367" t="str">
        <f t="shared" ca="1" si="28"/>
        <v/>
      </c>
      <c r="Z112" s="367" t="str">
        <f t="shared" ca="1" si="28"/>
        <v/>
      </c>
      <c r="AA112" s="367" t="str">
        <f t="shared" ca="1" si="28"/>
        <v/>
      </c>
      <c r="AB112" s="367" t="str">
        <f t="shared" ca="1" si="28"/>
        <v/>
      </c>
      <c r="AC112" s="367" t="str">
        <f t="shared" ca="1" si="28"/>
        <v/>
      </c>
      <c r="AD112" s="367" t="str">
        <f t="shared" ca="1" si="28"/>
        <v/>
      </c>
      <c r="AE112" s="367" t="str">
        <f t="shared" ca="1" si="28"/>
        <v/>
      </c>
      <c r="AF112" s="367" t="str">
        <f t="shared" ca="1" si="28"/>
        <v/>
      </c>
      <c r="AG112" s="367" t="str">
        <f t="shared" ca="1" si="28"/>
        <v/>
      </c>
      <c r="AH112" s="367" t="str">
        <f t="shared" ca="1" si="28"/>
        <v/>
      </c>
      <c r="AI112" s="367" t="str">
        <f t="shared" ca="1" si="28"/>
        <v/>
      </c>
      <c r="AJ112" s="367" t="str">
        <f t="shared" ca="1" si="28"/>
        <v/>
      </c>
      <c r="AK112" s="367" t="str">
        <f t="shared" ca="1" si="28"/>
        <v/>
      </c>
      <c r="AL112" s="367" t="str">
        <f t="shared" ca="1" si="28"/>
        <v/>
      </c>
      <c r="AM112" s="367" t="str">
        <f t="shared" ca="1" si="28"/>
        <v/>
      </c>
      <c r="AN112" s="367" t="str">
        <f t="shared" ca="1" si="28"/>
        <v/>
      </c>
      <c r="AO112" s="367" t="str">
        <f t="shared" ca="1" si="28"/>
        <v/>
      </c>
      <c r="AP112" s="367" t="str">
        <f t="shared" ca="1" si="28"/>
        <v/>
      </c>
      <c r="AQ112" s="367" t="str">
        <f t="shared" ca="1" si="28"/>
        <v/>
      </c>
      <c r="AR112" s="367" t="str">
        <f t="shared" ca="1" si="28"/>
        <v/>
      </c>
      <c r="AS112" s="367" t="str">
        <f t="shared" ca="1" si="28"/>
        <v/>
      </c>
      <c r="AT112" s="367" t="str">
        <f t="shared" ca="1" si="28"/>
        <v/>
      </c>
      <c r="AU112" s="367" t="str">
        <f t="shared" ca="1" si="28"/>
        <v/>
      </c>
      <c r="AV112" s="367" t="str">
        <f t="shared" ca="1" si="28"/>
        <v/>
      </c>
      <c r="AW112" s="367" t="str">
        <f t="shared" ca="1" si="28"/>
        <v/>
      </c>
      <c r="AX112" s="367" t="str">
        <f t="shared" ca="1" si="28"/>
        <v/>
      </c>
      <c r="AY112" s="367" t="str">
        <f t="shared" ca="1" si="28"/>
        <v/>
      </c>
      <c r="AZ112" s="367" t="str">
        <f t="shared" ca="1" si="28"/>
        <v/>
      </c>
      <c r="BA112" s="367" t="str">
        <f t="shared" ca="1" si="28"/>
        <v/>
      </c>
      <c r="BB112" s="367" t="str">
        <f t="shared" ca="1" si="28"/>
        <v/>
      </c>
      <c r="BC112" s="367" t="str">
        <f t="shared" ca="1" si="28"/>
        <v/>
      </c>
      <c r="BD112" s="367" t="str">
        <f t="shared" ca="1" si="28"/>
        <v/>
      </c>
      <c r="BE112" s="367" t="str">
        <f t="shared" ca="1" si="28"/>
        <v/>
      </c>
      <c r="BF112" s="367" t="str">
        <f t="shared" ca="1" si="28"/>
        <v/>
      </c>
      <c r="BG112" s="367">
        <f t="shared" ca="1" si="28"/>
        <v>0</v>
      </c>
      <c r="BH112" s="367">
        <f t="shared" ca="1" si="28"/>
        <v>0</v>
      </c>
      <c r="BI112" s="367">
        <f t="shared" ca="1" si="28"/>
        <v>0</v>
      </c>
    </row>
    <row r="113" spans="1:61" outlineLevel="1" x14ac:dyDescent="0.15">
      <c r="A113" s="377">
        <v>59</v>
      </c>
      <c r="B113" s="367" t="str">
        <f t="shared" ca="1" si="26"/>
        <v/>
      </c>
      <c r="C113" s="367" t="str">
        <f t="shared" ca="1" si="26"/>
        <v/>
      </c>
      <c r="D113" s="367" t="str">
        <f t="shared" ca="1" si="26"/>
        <v/>
      </c>
      <c r="E113" s="367" t="str">
        <f t="shared" ca="1" si="26"/>
        <v/>
      </c>
      <c r="F113" s="367" t="str">
        <f t="shared" ca="1" si="26"/>
        <v/>
      </c>
      <c r="G113" s="367" t="str">
        <f t="shared" ca="1" si="26"/>
        <v/>
      </c>
      <c r="H113" s="367" t="str">
        <f t="shared" ca="1" si="26"/>
        <v/>
      </c>
      <c r="I113" s="367" t="str">
        <f t="shared" ca="1" si="26"/>
        <v/>
      </c>
      <c r="J113" s="367" t="str">
        <f t="shared" ca="1" si="26"/>
        <v/>
      </c>
      <c r="K113" s="367" t="str">
        <f t="shared" ca="1" si="26"/>
        <v/>
      </c>
      <c r="L113" s="367" t="str">
        <f t="shared" ca="1" si="26"/>
        <v/>
      </c>
      <c r="M113" s="367" t="str">
        <f t="shared" ca="1" si="26"/>
        <v/>
      </c>
      <c r="N113" s="367" t="str">
        <f t="shared" ca="1" si="26"/>
        <v/>
      </c>
      <c r="O113" s="367" t="str">
        <f t="shared" ca="1" si="26"/>
        <v/>
      </c>
      <c r="P113" s="367" t="str">
        <f t="shared" ca="1" si="26"/>
        <v/>
      </c>
      <c r="Q113" s="367" t="str">
        <f t="shared" ca="1" si="26"/>
        <v/>
      </c>
      <c r="R113" s="367" t="str">
        <f t="shared" ca="1" si="28"/>
        <v/>
      </c>
      <c r="S113" s="367" t="str">
        <f t="shared" ca="1" si="28"/>
        <v/>
      </c>
      <c r="T113" s="367" t="str">
        <f t="shared" ca="1" si="28"/>
        <v/>
      </c>
      <c r="U113" s="367" t="str">
        <f t="shared" ca="1" si="28"/>
        <v/>
      </c>
      <c r="V113" s="367" t="str">
        <f t="shared" ca="1" si="28"/>
        <v/>
      </c>
      <c r="W113" s="367" t="str">
        <f t="shared" ca="1" si="28"/>
        <v/>
      </c>
      <c r="X113" s="367" t="str">
        <f t="shared" ca="1" si="28"/>
        <v/>
      </c>
      <c r="Y113" s="367" t="str">
        <f t="shared" ca="1" si="28"/>
        <v/>
      </c>
      <c r="Z113" s="367" t="str">
        <f t="shared" ca="1" si="28"/>
        <v/>
      </c>
      <c r="AA113" s="367" t="str">
        <f t="shared" ca="1" si="28"/>
        <v/>
      </c>
      <c r="AB113" s="367" t="str">
        <f t="shared" ca="1" si="28"/>
        <v/>
      </c>
      <c r="AC113" s="367" t="str">
        <f t="shared" ca="1" si="28"/>
        <v/>
      </c>
      <c r="AD113" s="367" t="str">
        <f t="shared" ca="1" si="28"/>
        <v/>
      </c>
      <c r="AE113" s="367" t="str">
        <f t="shared" ca="1" si="28"/>
        <v/>
      </c>
      <c r="AF113" s="367" t="str">
        <f t="shared" ca="1" si="28"/>
        <v/>
      </c>
      <c r="AG113" s="367" t="str">
        <f t="shared" ca="1" si="28"/>
        <v/>
      </c>
      <c r="AH113" s="367" t="str">
        <f t="shared" ca="1" si="28"/>
        <v/>
      </c>
      <c r="AI113" s="367" t="str">
        <f t="shared" ca="1" si="28"/>
        <v/>
      </c>
      <c r="AJ113" s="367" t="str">
        <f t="shared" ca="1" si="28"/>
        <v/>
      </c>
      <c r="AK113" s="367" t="str">
        <f t="shared" ca="1" si="28"/>
        <v/>
      </c>
      <c r="AL113" s="367" t="str">
        <f t="shared" ca="1" si="28"/>
        <v/>
      </c>
      <c r="AM113" s="367" t="str">
        <f t="shared" ca="1" si="28"/>
        <v/>
      </c>
      <c r="AN113" s="367" t="str">
        <f t="shared" ca="1" si="28"/>
        <v/>
      </c>
      <c r="AO113" s="367" t="str">
        <f t="shared" ca="1" si="28"/>
        <v/>
      </c>
      <c r="AP113" s="367" t="str">
        <f t="shared" ca="1" si="28"/>
        <v/>
      </c>
      <c r="AQ113" s="367" t="str">
        <f t="shared" ca="1" si="28"/>
        <v/>
      </c>
      <c r="AR113" s="367" t="str">
        <f t="shared" ca="1" si="28"/>
        <v/>
      </c>
      <c r="AS113" s="367" t="str">
        <f t="shared" ca="1" si="28"/>
        <v/>
      </c>
      <c r="AT113" s="367" t="str">
        <f t="shared" ca="1" si="28"/>
        <v/>
      </c>
      <c r="AU113" s="367" t="str">
        <f t="shared" ca="1" si="28"/>
        <v/>
      </c>
      <c r="AV113" s="367" t="str">
        <f t="shared" ca="1" si="28"/>
        <v/>
      </c>
      <c r="AW113" s="367" t="str">
        <f t="shared" ca="1" si="28"/>
        <v/>
      </c>
      <c r="AX113" s="367" t="str">
        <f t="shared" ca="1" si="28"/>
        <v/>
      </c>
      <c r="AY113" s="367" t="str">
        <f t="shared" ca="1" si="28"/>
        <v/>
      </c>
      <c r="AZ113" s="367" t="str">
        <f t="shared" ca="1" si="28"/>
        <v/>
      </c>
      <c r="BA113" s="367" t="str">
        <f t="shared" ca="1" si="28"/>
        <v/>
      </c>
      <c r="BB113" s="367" t="str">
        <f t="shared" ca="1" si="28"/>
        <v/>
      </c>
      <c r="BC113" s="367" t="str">
        <f t="shared" ca="1" si="28"/>
        <v/>
      </c>
      <c r="BD113" s="367" t="str">
        <f t="shared" ca="1" si="28"/>
        <v/>
      </c>
      <c r="BE113" s="367" t="str">
        <f t="shared" ca="1" si="28"/>
        <v/>
      </c>
      <c r="BF113" s="367" t="str">
        <f t="shared" ca="1" si="28"/>
        <v/>
      </c>
      <c r="BG113" s="367" t="str">
        <f t="shared" ca="1" si="28"/>
        <v/>
      </c>
      <c r="BH113" s="367">
        <f t="shared" ca="1" si="28"/>
        <v>0</v>
      </c>
      <c r="BI113" s="367">
        <f t="shared" ca="1" si="28"/>
        <v>0</v>
      </c>
    </row>
    <row r="114" spans="1:61" s="374" customFormat="1" x14ac:dyDescent="0.15">
      <c r="A114" s="377">
        <v>60</v>
      </c>
      <c r="B114" s="367" t="str">
        <f t="shared" ca="1" si="26"/>
        <v/>
      </c>
      <c r="C114" s="367" t="str">
        <f t="shared" ca="1" si="26"/>
        <v/>
      </c>
      <c r="D114" s="367" t="str">
        <f t="shared" ca="1" si="26"/>
        <v/>
      </c>
      <c r="E114" s="367" t="str">
        <f t="shared" ca="1" si="26"/>
        <v/>
      </c>
      <c r="F114" s="367" t="str">
        <f t="shared" ca="1" si="26"/>
        <v/>
      </c>
      <c r="G114" s="367" t="str">
        <f t="shared" ca="1" si="26"/>
        <v/>
      </c>
      <c r="H114" s="367" t="str">
        <f t="shared" ca="1" si="26"/>
        <v/>
      </c>
      <c r="I114" s="367" t="str">
        <f t="shared" ca="1" si="26"/>
        <v/>
      </c>
      <c r="J114" s="367" t="str">
        <f t="shared" ca="1" si="26"/>
        <v/>
      </c>
      <c r="K114" s="367" t="str">
        <f t="shared" ca="1" si="26"/>
        <v/>
      </c>
      <c r="L114" s="367" t="str">
        <f t="shared" ca="1" si="26"/>
        <v/>
      </c>
      <c r="M114" s="367" t="str">
        <f t="shared" ca="1" si="26"/>
        <v/>
      </c>
      <c r="N114" s="367" t="str">
        <f t="shared" ca="1" si="26"/>
        <v/>
      </c>
      <c r="O114" s="367" t="str">
        <f t="shared" ca="1" si="26"/>
        <v/>
      </c>
      <c r="P114" s="367" t="str">
        <f t="shared" ca="1" si="26"/>
        <v/>
      </c>
      <c r="Q114" s="367" t="str">
        <f t="shared" ca="1" si="26"/>
        <v/>
      </c>
      <c r="R114" s="367" t="str">
        <f t="shared" ca="1" si="28"/>
        <v/>
      </c>
      <c r="S114" s="367" t="str">
        <f t="shared" ca="1" si="28"/>
        <v/>
      </c>
      <c r="T114" s="367" t="str">
        <f t="shared" ca="1" si="28"/>
        <v/>
      </c>
      <c r="U114" s="367" t="str">
        <f t="shared" ca="1" si="28"/>
        <v/>
      </c>
      <c r="V114" s="367" t="str">
        <f t="shared" ca="1" si="28"/>
        <v/>
      </c>
      <c r="W114" s="367" t="str">
        <f t="shared" ca="1" si="28"/>
        <v/>
      </c>
      <c r="X114" s="367" t="str">
        <f t="shared" ca="1" si="28"/>
        <v/>
      </c>
      <c r="Y114" s="367" t="str">
        <f t="shared" ca="1" si="28"/>
        <v/>
      </c>
      <c r="Z114" s="367" t="str">
        <f t="shared" ca="1" si="28"/>
        <v/>
      </c>
      <c r="AA114" s="367" t="str">
        <f t="shared" ca="1" si="28"/>
        <v/>
      </c>
      <c r="AB114" s="367" t="str">
        <f t="shared" ca="1" si="28"/>
        <v/>
      </c>
      <c r="AC114" s="367" t="str">
        <f t="shared" ca="1" si="28"/>
        <v/>
      </c>
      <c r="AD114" s="367" t="str">
        <f t="shared" ca="1" si="28"/>
        <v/>
      </c>
      <c r="AE114" s="367" t="str">
        <f t="shared" ca="1" si="28"/>
        <v/>
      </c>
      <c r="AF114" s="367" t="str">
        <f t="shared" ca="1" si="28"/>
        <v/>
      </c>
      <c r="AG114" s="367" t="str">
        <f t="shared" ca="1" si="28"/>
        <v/>
      </c>
      <c r="AH114" s="367" t="str">
        <f t="shared" ca="1" si="28"/>
        <v/>
      </c>
      <c r="AI114" s="367" t="str">
        <f t="shared" ca="1" si="28"/>
        <v/>
      </c>
      <c r="AJ114" s="367" t="str">
        <f t="shared" ca="1" si="28"/>
        <v/>
      </c>
      <c r="AK114" s="367" t="str">
        <f t="shared" ca="1" si="28"/>
        <v/>
      </c>
      <c r="AL114" s="367" t="str">
        <f t="shared" ca="1" si="28"/>
        <v/>
      </c>
      <c r="AM114" s="367" t="str">
        <f t="shared" ca="1" si="28"/>
        <v/>
      </c>
      <c r="AN114" s="367" t="str">
        <f t="shared" ca="1" si="28"/>
        <v/>
      </c>
      <c r="AO114" s="367" t="str">
        <f t="shared" ca="1" si="28"/>
        <v/>
      </c>
      <c r="AP114" s="367" t="str">
        <f t="shared" ca="1" si="28"/>
        <v/>
      </c>
      <c r="AQ114" s="367" t="str">
        <f t="shared" ca="1" si="28"/>
        <v/>
      </c>
      <c r="AR114" s="367" t="str">
        <f t="shared" ca="1" si="28"/>
        <v/>
      </c>
      <c r="AS114" s="367" t="str">
        <f t="shared" ca="1" si="28"/>
        <v/>
      </c>
      <c r="AT114" s="367" t="str">
        <f t="shared" ca="1" si="28"/>
        <v/>
      </c>
      <c r="AU114" s="367" t="str">
        <f t="shared" ca="1" si="28"/>
        <v/>
      </c>
      <c r="AV114" s="367" t="str">
        <f t="shared" ca="1" si="28"/>
        <v/>
      </c>
      <c r="AW114" s="367" t="str">
        <f t="shared" ca="1" si="28"/>
        <v/>
      </c>
      <c r="AX114" s="367" t="str">
        <f t="shared" ca="1" si="28"/>
        <v/>
      </c>
      <c r="AY114" s="367" t="str">
        <f t="shared" ca="1" si="28"/>
        <v/>
      </c>
      <c r="AZ114" s="367" t="str">
        <f t="shared" ca="1" si="28"/>
        <v/>
      </c>
      <c r="BA114" s="367" t="str">
        <f t="shared" ref="BA114:DG117" ca="1" si="29">IF($A114&gt;BA$5,"",OFFSET(BA$54,0,-($A114-1)))</f>
        <v/>
      </c>
      <c r="BB114" s="367" t="str">
        <f t="shared" ca="1" si="29"/>
        <v/>
      </c>
      <c r="BC114" s="367" t="str">
        <f t="shared" ca="1" si="29"/>
        <v/>
      </c>
      <c r="BD114" s="367" t="str">
        <f t="shared" ca="1" si="29"/>
        <v/>
      </c>
      <c r="BE114" s="367" t="str">
        <f t="shared" ca="1" si="29"/>
        <v/>
      </c>
      <c r="BF114" s="367" t="str">
        <f t="shared" ca="1" si="29"/>
        <v/>
      </c>
      <c r="BG114" s="367" t="str">
        <f t="shared" ca="1" si="29"/>
        <v/>
      </c>
      <c r="BH114" s="367" t="str">
        <f t="shared" ca="1" si="29"/>
        <v/>
      </c>
      <c r="BI114" s="367">
        <f t="shared" ca="1" si="29"/>
        <v>0</v>
      </c>
    </row>
    <row r="115" spans="1:61" s="374" customFormat="1" x14ac:dyDescent="0.15">
      <c r="A115" s="377"/>
    </row>
    <row r="116" spans="1:61" x14ac:dyDescent="0.15">
      <c r="B116" s="367"/>
      <c r="C116" s="367"/>
      <c r="D116" s="367"/>
      <c r="E116" s="367"/>
      <c r="F116" s="367"/>
      <c r="G116" s="367"/>
      <c r="H116" s="367"/>
      <c r="I116" s="367"/>
      <c r="J116" s="367"/>
      <c r="K116" s="367"/>
      <c r="L116" s="367"/>
      <c r="M116" s="367"/>
      <c r="N116" s="367"/>
      <c r="O116" s="367"/>
      <c r="P116" s="367"/>
      <c r="Q116" s="367"/>
      <c r="R116" s="367"/>
      <c r="S116" s="367"/>
      <c r="T116" s="367"/>
      <c r="U116" s="367"/>
      <c r="V116" s="367"/>
      <c r="W116" s="367"/>
      <c r="X116" s="367"/>
      <c r="Y116" s="367"/>
      <c r="Z116" s="367"/>
      <c r="AA116" s="367"/>
      <c r="AB116" s="367"/>
      <c r="AC116" s="367"/>
      <c r="AD116" s="367"/>
      <c r="AE116" s="367"/>
      <c r="AF116" s="367"/>
      <c r="AG116" s="367"/>
      <c r="AH116" s="367"/>
      <c r="AI116" s="367"/>
      <c r="AJ116" s="367"/>
      <c r="AK116" s="367"/>
      <c r="AL116" s="367"/>
      <c r="AM116" s="367"/>
      <c r="AN116" s="367"/>
      <c r="AO116" s="367"/>
      <c r="AP116" s="367"/>
      <c r="AQ116" s="367"/>
      <c r="AR116" s="367"/>
      <c r="AS116" s="367"/>
      <c r="AT116" s="367"/>
      <c r="AU116" s="367"/>
      <c r="AV116" s="367"/>
      <c r="AW116" s="367"/>
      <c r="AX116" s="367"/>
      <c r="AY116" s="367"/>
      <c r="AZ116" s="367"/>
      <c r="BA116" s="367"/>
      <c r="BB116" s="367"/>
      <c r="BC116" s="367"/>
      <c r="BD116" s="367"/>
      <c r="BE116" s="367"/>
      <c r="BF116" s="367"/>
      <c r="BG116" s="367"/>
      <c r="BH116" s="367"/>
      <c r="BI116" s="367"/>
    </row>
    <row r="117" spans="1:61" x14ac:dyDescent="0.15">
      <c r="A117" s="378"/>
    </row>
    <row r="121" spans="1:61" x14ac:dyDescent="0.15">
      <c r="D121" s="372"/>
      <c r="E121" s="372"/>
      <c r="F121" s="372"/>
      <c r="G121" s="372"/>
      <c r="H121" s="372"/>
      <c r="I121" s="372"/>
      <c r="J121" s="372"/>
      <c r="N121" s="357"/>
      <c r="O121" s="357"/>
      <c r="S121" s="379"/>
    </row>
    <row r="122" spans="1:61" x14ac:dyDescent="0.15">
      <c r="E122" s="372"/>
      <c r="F122" s="372"/>
      <c r="G122" s="372"/>
      <c r="H122" s="372"/>
      <c r="I122" s="372"/>
      <c r="J122" s="372"/>
      <c r="S122" s="379"/>
    </row>
    <row r="123" spans="1:61" x14ac:dyDescent="0.15">
      <c r="F123" s="372"/>
      <c r="G123" s="372"/>
      <c r="H123" s="372"/>
      <c r="I123" s="372"/>
      <c r="J123" s="372"/>
      <c r="S123" s="379"/>
    </row>
    <row r="124" spans="1:61" x14ac:dyDescent="0.15">
      <c r="G124" s="372"/>
      <c r="H124" s="372"/>
      <c r="I124" s="372"/>
      <c r="J124" s="372"/>
      <c r="S124" s="379"/>
    </row>
    <row r="125" spans="1:61" x14ac:dyDescent="0.15">
      <c r="H125" s="372"/>
      <c r="I125" s="372"/>
      <c r="J125" s="372"/>
      <c r="S125" s="379"/>
    </row>
    <row r="126" spans="1:61" x14ac:dyDescent="0.15">
      <c r="S126" s="379"/>
    </row>
    <row r="127" spans="1:61" x14ac:dyDescent="0.15">
      <c r="S127" s="379"/>
    </row>
    <row r="128" spans="1:61" x14ac:dyDescent="0.15">
      <c r="S128" s="379"/>
    </row>
    <row r="129" spans="19:19" x14ac:dyDescent="0.15">
      <c r="S129" s="379"/>
    </row>
    <row r="130" spans="19:19" x14ac:dyDescent="0.15">
      <c r="S130" s="379"/>
    </row>
    <row r="131" spans="19:19" x14ac:dyDescent="0.15">
      <c r="S131" s="379"/>
    </row>
    <row r="132" spans="19:19" x14ac:dyDescent="0.15">
      <c r="S132" s="379"/>
    </row>
    <row r="133" spans="19:19" x14ac:dyDescent="0.15">
      <c r="S133" s="379"/>
    </row>
    <row r="134" spans="19:19" x14ac:dyDescent="0.15">
      <c r="S134" s="379"/>
    </row>
    <row r="135" spans="19:19" x14ac:dyDescent="0.15">
      <c r="S135" s="379"/>
    </row>
    <row r="136" spans="19:19" x14ac:dyDescent="0.15">
      <c r="S136" s="379"/>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C181-EB9A-7F47-BD59-579D682E6D06}">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2026-05-13T03:10:07Z</dcterms:created>
  <dcterms:modified xsi:type="dcterms:W3CDTF">2026-05-13T03:10:48Z</dcterms:modified>
</cp:coreProperties>
</file>