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Paylater/"/>
    </mc:Choice>
  </mc:AlternateContent>
  <xr:revisionPtr revIDLastSave="0" documentId="13_ncr:101_{2221DD72-CB6F-0840-8610-A634E6EED307}" xr6:coauthVersionLast="47" xr6:coauthVersionMax="47" xr10:uidLastSave="{00000000-0000-0000-0000-000000000000}"/>
  <bookViews>
    <workbookView xWindow="1080" yWindow="1240" windowWidth="27640" windowHeight="16760" xr2:uid="{755525EE-6678-4E4F-91E1-2043BA54ECA7}"/>
  </bookViews>
  <sheets>
    <sheet name="NOTE" sheetId="2" r:id="rId1"/>
    <sheet name="SAP_Leadsheet" sheetId="3" r:id="rId2"/>
    <sheet name="DATA" sheetId="4" r:id="rId3"/>
    <sheet name="SAP_Spreadsheet" sheetId="5" r:id="rId4"/>
    <sheet name="Sales plan&amp; PnL" sheetId="6" r:id="rId5"/>
    <sheet name="PnL_Speadsheet" sheetId="7" r:id="rId6"/>
    <sheet name="Sheet1" sheetId="1" r:id="rId7"/>
  </sheets>
  <externalReferences>
    <externalReference r:id="rId8"/>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(PeriodInActual*(#REF!&gt;0))*PeriodInPlan</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4" i="7" l="1"/>
  <c r="BL62" i="7"/>
  <c r="BK62" i="7"/>
  <c r="BJ62" i="7"/>
  <c r="BI62" i="7"/>
  <c r="BH62" i="7"/>
  <c r="BG62" i="7"/>
  <c r="BF62" i="7"/>
  <c r="BE62" i="7"/>
  <c r="BD62" i="7"/>
  <c r="BC62" i="7"/>
  <c r="BB62" i="7"/>
  <c r="BA62" i="7"/>
  <c r="AZ62" i="7"/>
  <c r="AY62" i="7"/>
  <c r="AX62" i="7"/>
  <c r="AW62" i="7"/>
  <c r="AV62" i="7"/>
  <c r="AU62" i="7"/>
  <c r="AT62" i="7"/>
  <c r="AS62" i="7"/>
  <c r="AR62" i="7"/>
  <c r="AQ62" i="7"/>
  <c r="AP62" i="7"/>
  <c r="AO62" i="7"/>
  <c r="AN62" i="7"/>
  <c r="AM62" i="7"/>
  <c r="AL62" i="7"/>
  <c r="AK62" i="7"/>
  <c r="AJ62" i="7"/>
  <c r="AI62" i="7"/>
  <c r="AH62" i="7"/>
  <c r="AG62" i="7"/>
  <c r="AF62" i="7"/>
  <c r="AE62" i="7"/>
  <c r="AD62" i="7"/>
  <c r="AC62" i="7"/>
  <c r="AB62" i="7"/>
  <c r="AA62" i="7"/>
  <c r="Z62" i="7"/>
  <c r="Y62" i="7"/>
  <c r="X62" i="7"/>
  <c r="W62" i="7"/>
  <c r="V62" i="7"/>
  <c r="U62" i="7"/>
  <c r="T62" i="7"/>
  <c r="S62" i="7"/>
  <c r="R62" i="7"/>
  <c r="Q62" i="7"/>
  <c r="P62" i="7"/>
  <c r="O62" i="7"/>
  <c r="N62" i="7"/>
  <c r="M62" i="7"/>
  <c r="L62" i="7"/>
  <c r="K62" i="7"/>
  <c r="J62" i="7"/>
  <c r="I62" i="7"/>
  <c r="H62" i="7"/>
  <c r="G62" i="7"/>
  <c r="F62" i="7"/>
  <c r="E62" i="7"/>
  <c r="C61" i="7"/>
  <c r="E5" i="7"/>
  <c r="E4" i="7"/>
  <c r="E3" i="7"/>
  <c r="P20" i="6"/>
  <c r="J18" i="6"/>
  <c r="K14" i="6"/>
  <c r="A10" i="6"/>
  <c r="M9" i="6"/>
  <c r="K9" i="6"/>
  <c r="J9" i="6"/>
  <c r="M8" i="6"/>
  <c r="L8" i="6"/>
  <c r="K8" i="6"/>
  <c r="F4" i="7" s="1"/>
  <c r="F3" i="7" s="1"/>
  <c r="A8" i="6"/>
  <c r="A6" i="6"/>
  <c r="A4" i="6"/>
  <c r="H1" i="6"/>
  <c r="C1" i="7" s="1"/>
  <c r="G328" i="5" a="1"/>
  <c r="G328" i="5" s="1"/>
  <c r="G327" i="5" a="1"/>
  <c r="G327" i="5" s="1"/>
  <c r="G326" i="5" a="1"/>
  <c r="G326" i="5" s="1"/>
  <c r="G325" i="5" a="1"/>
  <c r="G325" i="5" s="1"/>
  <c r="G324" i="5" a="1"/>
  <c r="G324" i="5" s="1"/>
  <c r="G323" i="5" a="1"/>
  <c r="G323" i="5" s="1"/>
  <c r="G322" i="5" a="1"/>
  <c r="G322" i="5" s="1"/>
  <c r="G321" i="5" a="1"/>
  <c r="G321" i="5" s="1"/>
  <c r="G314" i="5"/>
  <c r="G314" i="5" a="1"/>
  <c r="G313" i="5" a="1"/>
  <c r="G313" i="5" s="1"/>
  <c r="G312" i="5" a="1"/>
  <c r="G312" i="5" s="1"/>
  <c r="G311" i="5" a="1"/>
  <c r="G311" i="5" s="1"/>
  <c r="G310" i="5" a="1"/>
  <c r="G310" i="5" s="1"/>
  <c r="G309" i="5" a="1"/>
  <c r="G309" i="5" s="1"/>
  <c r="G308" i="5" a="1"/>
  <c r="G308" i="5" s="1"/>
  <c r="G307" i="5" a="1"/>
  <c r="G307" i="5" s="1"/>
  <c r="G306" i="5" a="1"/>
  <c r="G306" i="5" s="1"/>
  <c r="G305" i="5" a="1"/>
  <c r="G305" i="5" s="1"/>
  <c r="G304" i="5" a="1"/>
  <c r="G304" i="5" s="1"/>
  <c r="G303" i="5" a="1"/>
  <c r="G303" i="5" s="1"/>
  <c r="G302" i="5" a="1"/>
  <c r="G302" i="5" s="1"/>
  <c r="G301" i="5" a="1"/>
  <c r="G301" i="5" s="1"/>
  <c r="G294" i="5"/>
  <c r="G258" i="5"/>
  <c r="G255" i="5"/>
  <c r="G250" i="5"/>
  <c r="G249" i="5"/>
  <c r="G244" i="5"/>
  <c r="G232" i="5"/>
  <c r="G228" i="5"/>
  <c r="G212" i="5"/>
  <c r="G198" i="5"/>
  <c r="H195"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G105" i="5"/>
  <c r="G107" i="5" s="1"/>
  <c r="G104"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BN37" i="5"/>
  <c r="BM37" i="5"/>
  <c r="BL37" i="5"/>
  <c r="BK37" i="5"/>
  <c r="BJ37" i="5"/>
  <c r="BI37" i="5"/>
  <c r="BH37" i="5"/>
  <c r="BG37" i="5"/>
  <c r="BF37" i="5"/>
  <c r="BE37" i="5"/>
  <c r="BD37" i="5"/>
  <c r="BC37" i="5"/>
  <c r="BB37" i="5"/>
  <c r="BA37" i="5"/>
  <c r="AZ37"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H37" i="5"/>
  <c r="G37" i="5"/>
  <c r="G30" i="5"/>
  <c r="H25" i="5"/>
  <c r="H10" i="5"/>
  <c r="H7" i="5"/>
  <c r="G6" i="5"/>
  <c r="E5" i="5"/>
  <c r="C4" i="5"/>
  <c r="M64" i="4"/>
  <c r="L64" i="4"/>
  <c r="K64" i="4"/>
  <c r="J64" i="4"/>
  <c r="I64" i="4"/>
  <c r="L63" i="4"/>
  <c r="K63" i="4"/>
  <c r="J63" i="4"/>
  <c r="M63" i="4" s="1"/>
  <c r="I63" i="4"/>
  <c r="L62" i="4"/>
  <c r="K62" i="4"/>
  <c r="J62" i="4"/>
  <c r="I62" i="4"/>
  <c r="M61" i="4"/>
  <c r="L61" i="4"/>
  <c r="K61" i="4"/>
  <c r="J61" i="4"/>
  <c r="I61" i="4"/>
  <c r="M59" i="4"/>
  <c r="D20" i="4" s="1"/>
  <c r="E27" i="3" s="1"/>
  <c r="M58" i="4"/>
  <c r="M57" i="4"/>
  <c r="M56" i="4"/>
  <c r="H54" i="4"/>
  <c r="H53" i="4"/>
  <c r="H52" i="4"/>
  <c r="H51" i="4"/>
  <c r="K50" i="4"/>
  <c r="H49" i="4"/>
  <c r="H48" i="4"/>
  <c r="E6" i="4" s="1"/>
  <c r="H18" i="3" s="1"/>
  <c r="H47" i="4"/>
  <c r="H46" i="4"/>
  <c r="D33" i="4"/>
  <c r="I16" i="4"/>
  <c r="J16" i="4" s="1"/>
  <c r="K16" i="4" s="1"/>
  <c r="L16" i="4" s="1"/>
  <c r="M16" i="4" s="1"/>
  <c r="J14" i="4"/>
  <c r="J13" i="4"/>
  <c r="K13" i="4" s="1"/>
  <c r="L13" i="4" s="1"/>
  <c r="M13" i="4" s="1"/>
  <c r="C13" i="4"/>
  <c r="F25" i="3" s="1"/>
  <c r="F6" i="4"/>
  <c r="I18" i="3" s="1"/>
  <c r="D6" i="4"/>
  <c r="G18" i="3" s="1"/>
  <c r="W118" i="3"/>
  <c r="V118" i="3"/>
  <c r="U118" i="3"/>
  <c r="T118" i="3"/>
  <c r="S118" i="3"/>
  <c r="V116" i="3"/>
  <c r="U116" i="3"/>
  <c r="T116" i="3"/>
  <c r="P116" i="3"/>
  <c r="W116" i="3" s="1"/>
  <c r="O116" i="3"/>
  <c r="N116" i="3"/>
  <c r="M116" i="3"/>
  <c r="L116" i="3"/>
  <c r="S116" i="3" s="1"/>
  <c r="G293" i="5" s="1"/>
  <c r="W115" i="3"/>
  <c r="V115" i="3"/>
  <c r="T115" i="3"/>
  <c r="P115" i="3"/>
  <c r="O115" i="3"/>
  <c r="N115" i="3"/>
  <c r="U115" i="3" s="1"/>
  <c r="M115" i="3"/>
  <c r="L115" i="3"/>
  <c r="S115" i="3" s="1"/>
  <c r="G292" i="5" s="1"/>
  <c r="V114" i="3"/>
  <c r="P114" i="3"/>
  <c r="W114" i="3" s="1"/>
  <c r="O114" i="3"/>
  <c r="N114" i="3"/>
  <c r="U114" i="3" s="1"/>
  <c r="M114" i="3"/>
  <c r="T114" i="3" s="1"/>
  <c r="L114" i="3"/>
  <c r="S114" i="3" s="1"/>
  <c r="G291" i="5" s="1"/>
  <c r="T113" i="3"/>
  <c r="S113" i="3"/>
  <c r="G290" i="5" s="1"/>
  <c r="P113" i="3"/>
  <c r="W113" i="3" s="1"/>
  <c r="O113" i="3"/>
  <c r="V113" i="3" s="1"/>
  <c r="N113" i="3"/>
  <c r="U113" i="3" s="1"/>
  <c r="M113" i="3"/>
  <c r="L113" i="3"/>
  <c r="V112" i="3"/>
  <c r="U112" i="3"/>
  <c r="T112" i="3"/>
  <c r="P112" i="3"/>
  <c r="W112" i="3" s="1"/>
  <c r="O112" i="3"/>
  <c r="N112" i="3"/>
  <c r="M112" i="3"/>
  <c r="L112" i="3"/>
  <c r="S112" i="3" s="1"/>
  <c r="G289" i="5" s="1"/>
  <c r="W111" i="3"/>
  <c r="V111" i="3"/>
  <c r="T111" i="3"/>
  <c r="P111" i="3"/>
  <c r="O111" i="3"/>
  <c r="N111" i="3"/>
  <c r="U111" i="3" s="1"/>
  <c r="M111" i="3"/>
  <c r="L111" i="3"/>
  <c r="S111" i="3" s="1"/>
  <c r="G288" i="5" s="1"/>
  <c r="V110" i="3"/>
  <c r="P110" i="3"/>
  <c r="W110" i="3" s="1"/>
  <c r="O110" i="3"/>
  <c r="N110" i="3"/>
  <c r="U110" i="3" s="1"/>
  <c r="M110" i="3"/>
  <c r="T110" i="3" s="1"/>
  <c r="L110" i="3"/>
  <c r="S110" i="3" s="1"/>
  <c r="G287" i="5" s="1"/>
  <c r="T109" i="3"/>
  <c r="S109" i="3"/>
  <c r="G286" i="5" s="1"/>
  <c r="P109" i="3"/>
  <c r="W109" i="3" s="1"/>
  <c r="O109" i="3"/>
  <c r="V109" i="3" s="1"/>
  <c r="N109" i="3"/>
  <c r="U109" i="3" s="1"/>
  <c r="M109" i="3"/>
  <c r="L109" i="3"/>
  <c r="V108" i="3"/>
  <c r="U108" i="3"/>
  <c r="T108" i="3"/>
  <c r="P108" i="3"/>
  <c r="W108" i="3" s="1"/>
  <c r="O108" i="3"/>
  <c r="N108" i="3"/>
  <c r="M108" i="3"/>
  <c r="L108" i="3"/>
  <c r="S108" i="3" s="1"/>
  <c r="G285" i="5" s="1"/>
  <c r="W107" i="3"/>
  <c r="V107" i="3"/>
  <c r="T107" i="3"/>
  <c r="P107" i="3"/>
  <c r="O107" i="3"/>
  <c r="N107" i="3"/>
  <c r="U107" i="3" s="1"/>
  <c r="M107" i="3"/>
  <c r="L107" i="3"/>
  <c r="S107" i="3" s="1"/>
  <c r="G284" i="5" s="1"/>
  <c r="V106" i="3"/>
  <c r="P106" i="3"/>
  <c r="W106" i="3" s="1"/>
  <c r="O106" i="3"/>
  <c r="N106" i="3"/>
  <c r="U106" i="3" s="1"/>
  <c r="M106" i="3"/>
  <c r="T106" i="3" s="1"/>
  <c r="L106" i="3"/>
  <c r="S106" i="3" s="1"/>
  <c r="G283" i="5" s="1"/>
  <c r="T105" i="3"/>
  <c r="S105" i="3"/>
  <c r="G282" i="5" s="1"/>
  <c r="P105" i="3"/>
  <c r="W105" i="3" s="1"/>
  <c r="O105" i="3"/>
  <c r="V105" i="3" s="1"/>
  <c r="N105" i="3"/>
  <c r="U105" i="3" s="1"/>
  <c r="M105" i="3"/>
  <c r="L105" i="3"/>
  <c r="V104" i="3"/>
  <c r="U104" i="3"/>
  <c r="T104" i="3"/>
  <c r="P104" i="3"/>
  <c r="W104" i="3" s="1"/>
  <c r="O104" i="3"/>
  <c r="N104" i="3"/>
  <c r="M104" i="3"/>
  <c r="L104" i="3"/>
  <c r="S104" i="3" s="1"/>
  <c r="G281" i="5" s="1"/>
  <c r="W103" i="3"/>
  <c r="V103" i="3"/>
  <c r="T103" i="3"/>
  <c r="P103" i="3"/>
  <c r="O103" i="3"/>
  <c r="N103" i="3"/>
  <c r="U103" i="3" s="1"/>
  <c r="M103" i="3"/>
  <c r="L103" i="3"/>
  <c r="S103" i="3" s="1"/>
  <c r="E79" i="3"/>
  <c r="G254" i="5" s="1"/>
  <c r="T74" i="3"/>
  <c r="T71" i="3"/>
  <c r="T70" i="3"/>
  <c r="T69" i="3"/>
  <c r="T68" i="3"/>
  <c r="E66" i="3"/>
  <c r="E62" i="3"/>
  <c r="S47" i="3"/>
  <c r="R47" i="3"/>
  <c r="Q47" i="3"/>
  <c r="P47" i="3"/>
  <c r="O47" i="3"/>
  <c r="N47" i="3"/>
  <c r="S44" i="3"/>
  <c r="R44" i="3"/>
  <c r="Q44" i="3"/>
  <c r="P44" i="3"/>
  <c r="O44" i="3"/>
  <c r="N44" i="3"/>
  <c r="S43" i="3"/>
  <c r="S42" i="3" s="1"/>
  <c r="R43" i="3"/>
  <c r="Q43" i="3"/>
  <c r="Q42" i="3" s="1"/>
  <c r="P43" i="3"/>
  <c r="O43" i="3"/>
  <c r="R42" i="3"/>
  <c r="P42" i="3"/>
  <c r="O42" i="3"/>
  <c r="S41" i="3"/>
  <c r="R41" i="3"/>
  <c r="Q41" i="3"/>
  <c r="P41" i="3"/>
  <c r="O41" i="3"/>
  <c r="N41" i="3"/>
  <c r="S40" i="3"/>
  <c r="R40" i="3"/>
  <c r="Q40" i="3"/>
  <c r="P40" i="3"/>
  <c r="O40" i="3"/>
  <c r="N40" i="3"/>
  <c r="S37" i="3"/>
  <c r="R37" i="3"/>
  <c r="Q37" i="3"/>
  <c r="P37" i="3"/>
  <c r="O37" i="3"/>
  <c r="N37" i="3"/>
  <c r="S32" i="3"/>
  <c r="R32" i="3"/>
  <c r="Q32" i="3"/>
  <c r="P32" i="3"/>
  <c r="O32" i="3"/>
  <c r="N32" i="3"/>
  <c r="S31" i="3"/>
  <c r="R31" i="3"/>
  <c r="Q31" i="3"/>
  <c r="P31" i="3"/>
  <c r="O31" i="3"/>
  <c r="N31" i="3"/>
  <c r="S27" i="3"/>
  <c r="R27" i="3"/>
  <c r="Q27" i="3"/>
  <c r="P27" i="3"/>
  <c r="O27" i="3"/>
  <c r="N27" i="3"/>
  <c r="S26" i="3"/>
  <c r="R26" i="3"/>
  <c r="Q26" i="3"/>
  <c r="P26" i="3"/>
  <c r="O26" i="3"/>
  <c r="N26" i="3"/>
  <c r="D3" i="3"/>
  <c r="C3" i="3"/>
  <c r="G207" i="5" l="1"/>
  <c r="BK19" i="5"/>
  <c r="BK18" i="5" s="1"/>
  <c r="BC19" i="5"/>
  <c r="BC18" i="5" s="1"/>
  <c r="AU19" i="5"/>
  <c r="AU18" i="5" s="1"/>
  <c r="AM19" i="5"/>
  <c r="AM18" i="5" s="1"/>
  <c r="AE19" i="5"/>
  <c r="AE18" i="5" s="1"/>
  <c r="W19" i="5"/>
  <c r="W18" i="5" s="1"/>
  <c r="O19" i="5"/>
  <c r="O18" i="5" s="1"/>
  <c r="G19" i="5"/>
  <c r="G18" i="5" s="1"/>
  <c r="BJ19" i="5"/>
  <c r="BJ18" i="5" s="1"/>
  <c r="BB19" i="5"/>
  <c r="BB18" i="5" s="1"/>
  <c r="AT19" i="5"/>
  <c r="AT18" i="5" s="1"/>
  <c r="AL19" i="5"/>
  <c r="AL18" i="5" s="1"/>
  <c r="AD19" i="5"/>
  <c r="AD18" i="5" s="1"/>
  <c r="V19" i="5"/>
  <c r="V18" i="5" s="1"/>
  <c r="N19" i="5"/>
  <c r="N18" i="5" s="1"/>
  <c r="BI19" i="5"/>
  <c r="BI18" i="5" s="1"/>
  <c r="BA19" i="5"/>
  <c r="BA18" i="5" s="1"/>
  <c r="AS19" i="5"/>
  <c r="AS18" i="5" s="1"/>
  <c r="AK19" i="5"/>
  <c r="AK18" i="5" s="1"/>
  <c r="AC19" i="5"/>
  <c r="AC18" i="5" s="1"/>
  <c r="U19" i="5"/>
  <c r="U18" i="5" s="1"/>
  <c r="M19" i="5"/>
  <c r="M18" i="5" s="1"/>
  <c r="BG19" i="5"/>
  <c r="BG18" i="5" s="1"/>
  <c r="AY19" i="5"/>
  <c r="AY18" i="5" s="1"/>
  <c r="AQ19" i="5"/>
  <c r="AQ18" i="5" s="1"/>
  <c r="AI19" i="5"/>
  <c r="AI18" i="5" s="1"/>
  <c r="AA19" i="5"/>
  <c r="AA18" i="5" s="1"/>
  <c r="S19" i="5"/>
  <c r="S18" i="5" s="1"/>
  <c r="K19" i="5"/>
  <c r="K18" i="5" s="1"/>
  <c r="BF19" i="5"/>
  <c r="BF18" i="5" s="1"/>
  <c r="AP19" i="5"/>
  <c r="AP18" i="5" s="1"/>
  <c r="Z19" i="5"/>
  <c r="Z18" i="5" s="1"/>
  <c r="J19" i="5"/>
  <c r="J18" i="5" s="1"/>
  <c r="AJ19" i="5"/>
  <c r="AJ18" i="5" s="1"/>
  <c r="BE19" i="5"/>
  <c r="BE18" i="5" s="1"/>
  <c r="AO19" i="5"/>
  <c r="AO18" i="5" s="1"/>
  <c r="Y19" i="5"/>
  <c r="Y18" i="5" s="1"/>
  <c r="I19" i="5"/>
  <c r="I18" i="5" s="1"/>
  <c r="T19" i="5"/>
  <c r="T18" i="5" s="1"/>
  <c r="BD19" i="5"/>
  <c r="BD18" i="5" s="1"/>
  <c r="AN19" i="5"/>
  <c r="AN18" i="5" s="1"/>
  <c r="X19" i="5"/>
  <c r="X18" i="5" s="1"/>
  <c r="H19" i="5"/>
  <c r="H18" i="5" s="1"/>
  <c r="AZ19" i="5"/>
  <c r="AZ18" i="5" s="1"/>
  <c r="BN19" i="5"/>
  <c r="BN18" i="5" s="1"/>
  <c r="AX19" i="5"/>
  <c r="AX18" i="5" s="1"/>
  <c r="R19" i="5"/>
  <c r="R18" i="5" s="1"/>
  <c r="AG19" i="5"/>
  <c r="AG18" i="5" s="1"/>
  <c r="AH19" i="5"/>
  <c r="AH18" i="5" s="1"/>
  <c r="BM19" i="5"/>
  <c r="BM18" i="5" s="1"/>
  <c r="Q19" i="5"/>
  <c r="Q18" i="5" s="1"/>
  <c r="BL19" i="5"/>
  <c r="BL18" i="5" s="1"/>
  <c r="AV19" i="5"/>
  <c r="AV18" i="5" s="1"/>
  <c r="AF19" i="5"/>
  <c r="AF18" i="5" s="1"/>
  <c r="P19" i="5"/>
  <c r="P18" i="5" s="1"/>
  <c r="AR19" i="5"/>
  <c r="AR18" i="5" s="1"/>
  <c r="L19" i="5"/>
  <c r="L18" i="5" s="1"/>
  <c r="AW19" i="5"/>
  <c r="AW18" i="5" s="1"/>
  <c r="BH19" i="5"/>
  <c r="BH18" i="5" s="1"/>
  <c r="AB19" i="5"/>
  <c r="AB18" i="5" s="1"/>
  <c r="I10" i="5"/>
  <c r="M62" i="4"/>
  <c r="D22" i="4" s="1"/>
  <c r="E31" i="3" s="1"/>
  <c r="H258" i="5"/>
  <c r="H314" i="5" a="1"/>
  <c r="H314" i="5" s="1"/>
  <c r="H207" i="5"/>
  <c r="H198" i="5"/>
  <c r="H199" i="5" s="1"/>
  <c r="H294" i="5"/>
  <c r="H240" i="5"/>
  <c r="H222" i="5"/>
  <c r="H104" i="5"/>
  <c r="I7" i="5"/>
  <c r="H6" i="5"/>
  <c r="F13" i="4"/>
  <c r="I25" i="3" s="1"/>
  <c r="C6" i="4"/>
  <c r="F18" i="3" s="1"/>
  <c r="E13" i="4"/>
  <c r="H25" i="3" s="1"/>
  <c r="B6" i="4"/>
  <c r="E18" i="3" s="1"/>
  <c r="G12" i="5" s="1"/>
  <c r="D26" i="4"/>
  <c r="E36" i="3" s="1"/>
  <c r="D13" i="4"/>
  <c r="G25" i="3" s="1"/>
  <c r="B5" i="4"/>
  <c r="E17" i="3" s="1"/>
  <c r="B13" i="4"/>
  <c r="E25" i="3" s="1"/>
  <c r="G15" i="5" s="1"/>
  <c r="G256" i="5"/>
  <c r="N43" i="3"/>
  <c r="D36" i="4"/>
  <c r="E69" i="3" s="1"/>
  <c r="D21" i="4"/>
  <c r="E28" i="3" s="1"/>
  <c r="F28" i="3" s="1"/>
  <c r="G28" i="3" s="1"/>
  <c r="H28" i="3" s="1"/>
  <c r="I28" i="3" s="1"/>
  <c r="G233" i="5"/>
  <c r="G199" i="5"/>
  <c r="G231" i="5"/>
  <c r="G217" i="5"/>
  <c r="G216" i="5" s="1"/>
  <c r="H4" i="7"/>
  <c r="H3" i="7" s="1"/>
  <c r="N8" i="6"/>
  <c r="L9" i="6"/>
  <c r="G4" i="7"/>
  <c r="G3" i="7" s="1"/>
  <c r="L14" i="6"/>
  <c r="E63" i="7"/>
  <c r="F5" i="7"/>
  <c r="F64" i="7" s="1"/>
  <c r="E64" i="7"/>
  <c r="D65" i="7"/>
  <c r="N9" i="6" l="1"/>
  <c r="O8" i="6"/>
  <c r="I4" i="7"/>
  <c r="N42" i="3"/>
  <c r="J10" i="5"/>
  <c r="H105" i="5"/>
  <c r="H107" i="5"/>
  <c r="F65" i="7"/>
  <c r="D66" i="7"/>
  <c r="E65" i="7"/>
  <c r="M14" i="6"/>
  <c r="H194" i="5"/>
  <c r="H186" i="5"/>
  <c r="H187" i="5"/>
  <c r="H188" i="5"/>
  <c r="H193" i="5"/>
  <c r="H185" i="5"/>
  <c r="H191" i="5"/>
  <c r="H184" i="5"/>
  <c r="H190" i="5"/>
  <c r="H183" i="5"/>
  <c r="H192" i="5"/>
  <c r="H189" i="5"/>
  <c r="H12" i="5"/>
  <c r="H15" i="5"/>
  <c r="I258" i="5"/>
  <c r="I207" i="5"/>
  <c r="I198" i="5"/>
  <c r="I199" i="5" s="1"/>
  <c r="I222" i="5"/>
  <c r="I240" i="5"/>
  <c r="I104" i="5"/>
  <c r="J7" i="5"/>
  <c r="I6" i="5"/>
  <c r="F63" i="7"/>
  <c r="G5" i="7"/>
  <c r="G65" i="7" s="1"/>
  <c r="G11" i="5"/>
  <c r="J18" i="3"/>
  <c r="I193" i="5" l="1"/>
  <c r="H311" i="5" a="1"/>
  <c r="H311" i="5" s="1"/>
  <c r="H291" i="5"/>
  <c r="K10" i="5"/>
  <c r="P8" i="6"/>
  <c r="O9" i="6"/>
  <c r="J4" i="7"/>
  <c r="G272" i="5"/>
  <c r="G265" i="5"/>
  <c r="G270" i="5"/>
  <c r="G269" i="5"/>
  <c r="G260" i="5"/>
  <c r="G263" i="5" s="1"/>
  <c r="G271" i="5"/>
  <c r="H11" i="5"/>
  <c r="I12" i="5"/>
  <c r="I15" i="5"/>
  <c r="I184" i="5"/>
  <c r="H322" i="5" a="1"/>
  <c r="H322" i="5" s="1"/>
  <c r="H302" i="5" a="1"/>
  <c r="H302" i="5" s="1"/>
  <c r="H282" i="5"/>
  <c r="I189" i="5"/>
  <c r="H307" i="5" a="1"/>
  <c r="H307" i="5" s="1"/>
  <c r="H327" i="5" a="1"/>
  <c r="H327" i="5" s="1"/>
  <c r="H287" i="5"/>
  <c r="G63" i="7"/>
  <c r="H5" i="7"/>
  <c r="G64" i="7"/>
  <c r="J258" i="5"/>
  <c r="J240" i="5"/>
  <c r="J222" i="5"/>
  <c r="J207" i="5"/>
  <c r="J199" i="5"/>
  <c r="J198" i="5"/>
  <c r="J104" i="5"/>
  <c r="K7" i="5"/>
  <c r="J6" i="5"/>
  <c r="I191" i="5"/>
  <c r="H309" i="5" a="1"/>
  <c r="H309" i="5" s="1"/>
  <c r="H289" i="5"/>
  <c r="I188" i="5"/>
  <c r="H306" i="5" a="1"/>
  <c r="H306" i="5" s="1"/>
  <c r="H286" i="5"/>
  <c r="H326" i="5" a="1"/>
  <c r="H326" i="5" s="1"/>
  <c r="I187" i="5"/>
  <c r="H285" i="5"/>
  <c r="H305" i="5" a="1"/>
  <c r="H305" i="5" s="1"/>
  <c r="H325" i="5" a="1"/>
  <c r="H325" i="5" s="1"/>
  <c r="I185" i="5"/>
  <c r="H323" i="5" a="1"/>
  <c r="H323" i="5" s="1"/>
  <c r="H283" i="5"/>
  <c r="H303" i="5" a="1"/>
  <c r="H303" i="5" s="1"/>
  <c r="H313" i="5" a="1"/>
  <c r="H313" i="5" s="1"/>
  <c r="H293" i="5"/>
  <c r="I195" i="5"/>
  <c r="H233" i="5"/>
  <c r="I192" i="5"/>
  <c r="H290" i="5"/>
  <c r="H310" i="5" a="1"/>
  <c r="H310" i="5" s="1"/>
  <c r="G66" i="7"/>
  <c r="E66" i="7"/>
  <c r="D67" i="7"/>
  <c r="H66" i="7"/>
  <c r="F66" i="7"/>
  <c r="I105" i="5"/>
  <c r="I107" i="5"/>
  <c r="I233" i="5" s="1"/>
  <c r="I186" i="5"/>
  <c r="H284" i="5"/>
  <c r="H249" i="5"/>
  <c r="H324" i="5" a="1"/>
  <c r="H324" i="5" s="1"/>
  <c r="H304" i="5" a="1"/>
  <c r="H304" i="5" s="1"/>
  <c r="N14" i="6"/>
  <c r="I190" i="5"/>
  <c r="H328" i="5" a="1"/>
  <c r="H328" i="5" s="1"/>
  <c r="H308" i="5" a="1"/>
  <c r="H308" i="5" s="1"/>
  <c r="H288" i="5"/>
  <c r="I194" i="5"/>
  <c r="H312" i="5" a="1"/>
  <c r="H312" i="5" s="1"/>
  <c r="H292" i="5"/>
  <c r="I3" i="7"/>
  <c r="G24" i="5"/>
  <c r="J192" i="5" l="1"/>
  <c r="I290" i="5"/>
  <c r="I310" i="5" a="1"/>
  <c r="I310" i="5" s="1"/>
  <c r="K240" i="5"/>
  <c r="K258" i="5"/>
  <c r="K222" i="5"/>
  <c r="K198" i="5"/>
  <c r="K207" i="5"/>
  <c r="K199" i="5"/>
  <c r="K104" i="5"/>
  <c r="L7" i="5"/>
  <c r="K6" i="5"/>
  <c r="J190" i="5"/>
  <c r="I308" i="5" a="1"/>
  <c r="I308" i="5" s="1"/>
  <c r="I288" i="5"/>
  <c r="I328" i="5" a="1"/>
  <c r="I328" i="5" s="1"/>
  <c r="G267" i="5"/>
  <c r="Q8" i="6"/>
  <c r="P9" i="6"/>
  <c r="K4" i="7"/>
  <c r="J188" i="5"/>
  <c r="I326" i="5" a="1"/>
  <c r="I326" i="5" s="1"/>
  <c r="I306" i="5" a="1"/>
  <c r="I306" i="5" s="1"/>
  <c r="I286" i="5"/>
  <c r="I5" i="7"/>
  <c r="H63" i="7"/>
  <c r="H64" i="7"/>
  <c r="H65" i="7"/>
  <c r="L10" i="5"/>
  <c r="H270" i="5"/>
  <c r="H271" i="5"/>
  <c r="I11" i="5"/>
  <c r="H269" i="5"/>
  <c r="H272" i="5"/>
  <c r="H260" i="5"/>
  <c r="H263" i="5" s="1"/>
  <c r="H265" i="5"/>
  <c r="H267" i="5" s="1"/>
  <c r="J186" i="5"/>
  <c r="I284" i="5"/>
  <c r="I249" i="5"/>
  <c r="I304" i="5" a="1"/>
  <c r="I304" i="5" s="1"/>
  <c r="I324" i="5" a="1"/>
  <c r="I324" i="5" s="1"/>
  <c r="J105" i="5"/>
  <c r="J107" i="5" s="1"/>
  <c r="J187" i="5"/>
  <c r="I325" i="5" a="1"/>
  <c r="I325" i="5" s="1"/>
  <c r="I305" i="5" a="1"/>
  <c r="I305" i="5" s="1"/>
  <c r="I285" i="5"/>
  <c r="H67" i="7"/>
  <c r="F67" i="7"/>
  <c r="E67" i="7"/>
  <c r="D68" i="7"/>
  <c r="G67" i="7"/>
  <c r="I67" i="7"/>
  <c r="J193" i="5"/>
  <c r="I311" i="5" a="1"/>
  <c r="I311" i="5" s="1"/>
  <c r="I291" i="5"/>
  <c r="J195" i="5"/>
  <c r="I314" i="5" a="1"/>
  <c r="I314" i="5" s="1"/>
  <c r="I294" i="5"/>
  <c r="J189" i="5"/>
  <c r="I287" i="5"/>
  <c r="I307" i="5" a="1"/>
  <c r="I307" i="5" s="1"/>
  <c r="I327" i="5" a="1"/>
  <c r="I327" i="5" s="1"/>
  <c r="I24" i="5"/>
  <c r="J194" i="5"/>
  <c r="I292" i="5"/>
  <c r="I312" i="5" a="1"/>
  <c r="I312" i="5" s="1"/>
  <c r="G224" i="5"/>
  <c r="G39" i="5"/>
  <c r="H24" i="5"/>
  <c r="G273" i="5"/>
  <c r="J3" i="7"/>
  <c r="O14" i="6"/>
  <c r="I293" i="5"/>
  <c r="I313" i="5" a="1"/>
  <c r="I313" i="5" s="1"/>
  <c r="J185" i="5"/>
  <c r="I323" i="5" a="1"/>
  <c r="I323" i="5" s="1"/>
  <c r="I303" i="5" a="1"/>
  <c r="I303" i="5" s="1"/>
  <c r="I283" i="5"/>
  <c r="J191" i="5"/>
  <c r="I289" i="5"/>
  <c r="I309" i="5" a="1"/>
  <c r="I309" i="5" s="1"/>
  <c r="J12" i="5"/>
  <c r="J15" i="5"/>
  <c r="J233" i="5" l="1"/>
  <c r="K195" i="5"/>
  <c r="J294" i="5"/>
  <c r="J314" i="5" a="1"/>
  <c r="J314" i="5" s="1"/>
  <c r="I68" i="7"/>
  <c r="G68" i="7"/>
  <c r="F68" i="7"/>
  <c r="D69" i="7"/>
  <c r="E68" i="7"/>
  <c r="H68" i="7"/>
  <c r="K188" i="5"/>
  <c r="J286" i="5"/>
  <c r="J306" i="5" a="1"/>
  <c r="J306" i="5" s="1"/>
  <c r="J326" i="5" a="1"/>
  <c r="J326" i="5" s="1"/>
  <c r="I270" i="5"/>
  <c r="I271" i="5"/>
  <c r="J11" i="5"/>
  <c r="I269" i="5"/>
  <c r="I260" i="5"/>
  <c r="I263" i="5" s="1"/>
  <c r="I272" i="5"/>
  <c r="I265" i="5"/>
  <c r="I267" i="5" s="1"/>
  <c r="M10" i="5"/>
  <c r="K189" i="5"/>
  <c r="J327" i="5" a="1"/>
  <c r="J327" i="5" s="1"/>
  <c r="J307" i="5" a="1"/>
  <c r="J307" i="5" s="1"/>
  <c r="J287" i="5"/>
  <c r="L240" i="5"/>
  <c r="L258" i="5"/>
  <c r="L222" i="5"/>
  <c r="L198" i="5"/>
  <c r="L207" i="5"/>
  <c r="L199" i="5"/>
  <c r="L104" i="5"/>
  <c r="M7" i="5"/>
  <c r="L6" i="5"/>
  <c r="K3" i="7"/>
  <c r="K186" i="5"/>
  <c r="J304" i="5" a="1"/>
  <c r="J304" i="5" s="1"/>
  <c r="J324" i="5" a="1"/>
  <c r="J324" i="5" s="1"/>
  <c r="J249" i="5"/>
  <c r="J284" i="5"/>
  <c r="R8" i="6"/>
  <c r="Q9" i="6"/>
  <c r="L4" i="7"/>
  <c r="K191" i="5"/>
  <c r="J309" i="5" a="1"/>
  <c r="J309" i="5" s="1"/>
  <c r="J289" i="5"/>
  <c r="J24" i="5"/>
  <c r="P14" i="6"/>
  <c r="G101" i="5"/>
  <c r="G31" i="5"/>
  <c r="G26" i="5" s="1"/>
  <c r="G28" i="5" s="1"/>
  <c r="K190" i="5"/>
  <c r="J328" i="5" a="1"/>
  <c r="J328" i="5" s="1"/>
  <c r="J308" i="5" a="1"/>
  <c r="J308" i="5" s="1"/>
  <c r="J288" i="5"/>
  <c r="H224" i="5"/>
  <c r="H39" i="5"/>
  <c r="H31" i="5" s="1"/>
  <c r="H26" i="5" s="1"/>
  <c r="I39" i="5"/>
  <c r="I31" i="5" s="1"/>
  <c r="I26" i="5" s="1"/>
  <c r="I224" i="5"/>
  <c r="K192" i="5"/>
  <c r="J310" i="5" a="1"/>
  <c r="J310" i="5" s="1"/>
  <c r="J290" i="5"/>
  <c r="K194" i="5"/>
  <c r="J312" i="5" a="1"/>
  <c r="J312" i="5" s="1"/>
  <c r="J292" i="5"/>
  <c r="J5" i="7"/>
  <c r="J68" i="7" s="1"/>
  <c r="I63" i="7"/>
  <c r="I64" i="7"/>
  <c r="I65" i="7"/>
  <c r="I66" i="7"/>
  <c r="K105" i="5"/>
  <c r="K107" i="5"/>
  <c r="K233" i="5" s="1"/>
  <c r="K193" i="5"/>
  <c r="J311" i="5" a="1"/>
  <c r="J311" i="5" s="1"/>
  <c r="J291" i="5"/>
  <c r="K12" i="5"/>
  <c r="K15" i="5"/>
  <c r="K187" i="5"/>
  <c r="J325" i="5" a="1"/>
  <c r="J325" i="5" s="1"/>
  <c r="J285" i="5"/>
  <c r="J305" i="5" a="1"/>
  <c r="J305" i="5" s="1"/>
  <c r="J293" i="5"/>
  <c r="J313" i="5" a="1"/>
  <c r="J313" i="5" s="1"/>
  <c r="H273" i="5"/>
  <c r="L193" i="5" l="1"/>
  <c r="K311" i="5" a="1"/>
  <c r="K311" i="5" s="1"/>
  <c r="K291" i="5"/>
  <c r="J224" i="5"/>
  <c r="J39" i="5"/>
  <c r="J31" i="5" s="1"/>
  <c r="J26" i="5" s="1"/>
  <c r="L187" i="5"/>
  <c r="K325" i="5" a="1"/>
  <c r="K325" i="5" s="1"/>
  <c r="K285" i="5"/>
  <c r="K305" i="5" a="1"/>
  <c r="K305" i="5" s="1"/>
  <c r="J69" i="7"/>
  <c r="I69" i="7"/>
  <c r="F69" i="7"/>
  <c r="E69" i="7"/>
  <c r="H69" i="7"/>
  <c r="D70" i="7"/>
  <c r="G69" i="7"/>
  <c r="L188" i="5"/>
  <c r="K306" i="5" a="1"/>
  <c r="K306" i="5" s="1"/>
  <c r="K326" i="5" a="1"/>
  <c r="K326" i="5" s="1"/>
  <c r="K286" i="5"/>
  <c r="L191" i="5"/>
  <c r="K309" i="5" a="1"/>
  <c r="K309" i="5" s="1"/>
  <c r="K289" i="5"/>
  <c r="L194" i="5"/>
  <c r="K292" i="5"/>
  <c r="K312" i="5" a="1"/>
  <c r="K312" i="5" s="1"/>
  <c r="H23" i="5"/>
  <c r="M258" i="5"/>
  <c r="M240" i="5"/>
  <c r="M198" i="5"/>
  <c r="M222" i="5"/>
  <c r="M207" i="5"/>
  <c r="M199" i="5"/>
  <c r="M104" i="5"/>
  <c r="N7" i="5"/>
  <c r="M6" i="5"/>
  <c r="N10" i="5"/>
  <c r="K5" i="7"/>
  <c r="J63" i="7"/>
  <c r="J64" i="7"/>
  <c r="J65" i="7"/>
  <c r="J66" i="7"/>
  <c r="J67" i="7"/>
  <c r="H38" i="5"/>
  <c r="I273" i="5"/>
  <c r="L189" i="5"/>
  <c r="K307" i="5" a="1"/>
  <c r="K307" i="5" s="1"/>
  <c r="K287" i="5"/>
  <c r="K327" i="5" a="1"/>
  <c r="K327" i="5" s="1"/>
  <c r="K313" i="5" a="1"/>
  <c r="K313" i="5" s="1"/>
  <c r="K293" i="5"/>
  <c r="L192" i="5"/>
  <c r="K290" i="5"/>
  <c r="K310" i="5" a="1"/>
  <c r="K310" i="5" s="1"/>
  <c r="L3" i="7"/>
  <c r="L105" i="5"/>
  <c r="L107" i="5"/>
  <c r="L233" i="5" s="1"/>
  <c r="J271" i="5"/>
  <c r="J270" i="5"/>
  <c r="K11" i="5"/>
  <c r="K24" i="5" s="1"/>
  <c r="J260" i="5"/>
  <c r="J263" i="5" s="1"/>
  <c r="J269" i="5"/>
  <c r="J272" i="5"/>
  <c r="J265" i="5"/>
  <c r="L195" i="5"/>
  <c r="K314" i="5" a="1"/>
  <c r="K314" i="5" s="1"/>
  <c r="K294" i="5"/>
  <c r="S8" i="6"/>
  <c r="R9" i="6"/>
  <c r="M4" i="7"/>
  <c r="L15" i="5"/>
  <c r="L12" i="5"/>
  <c r="L190" i="5"/>
  <c r="K308" i="5" a="1"/>
  <c r="K308" i="5" s="1"/>
  <c r="K288" i="5"/>
  <c r="K328" i="5" a="1"/>
  <c r="K328" i="5" s="1"/>
  <c r="K39" i="5" l="1"/>
  <c r="K31" i="5" s="1"/>
  <c r="K26" i="5" s="1"/>
  <c r="K224" i="5"/>
  <c r="L5" i="7"/>
  <c r="K64" i="7"/>
  <c r="K63" i="7"/>
  <c r="K65" i="7"/>
  <c r="K66" i="7"/>
  <c r="K67" i="7"/>
  <c r="K68" i="7"/>
  <c r="M188" i="5"/>
  <c r="L286" i="5"/>
  <c r="L306" i="5" a="1"/>
  <c r="L306" i="5" s="1"/>
  <c r="L326" i="5" a="1"/>
  <c r="L326" i="5" s="1"/>
  <c r="N4" i="7"/>
  <c r="S9" i="6"/>
  <c r="T8" i="6"/>
  <c r="M191" i="5"/>
  <c r="L309" i="5" a="1"/>
  <c r="L309" i="5" s="1"/>
  <c r="L289" i="5"/>
  <c r="K271" i="5"/>
  <c r="K270" i="5"/>
  <c r="L11" i="5"/>
  <c r="K265" i="5"/>
  <c r="K267" i="5" s="1"/>
  <c r="K260" i="5"/>
  <c r="K263" i="5" s="1"/>
  <c r="K272" i="5"/>
  <c r="K269" i="5"/>
  <c r="K273" i="5" s="1"/>
  <c r="N240" i="5"/>
  <c r="N258" i="5"/>
  <c r="N198" i="5"/>
  <c r="N222" i="5"/>
  <c r="N207" i="5"/>
  <c r="N199" i="5"/>
  <c r="N104" i="5"/>
  <c r="O7" i="5"/>
  <c r="N6" i="5"/>
  <c r="M192" i="5"/>
  <c r="L290" i="5"/>
  <c r="L310" i="5" a="1"/>
  <c r="L310" i="5" s="1"/>
  <c r="M195" i="5"/>
  <c r="L314" i="5" a="1"/>
  <c r="L314" i="5" s="1"/>
  <c r="L294" i="5"/>
  <c r="O10" i="5"/>
  <c r="L24" i="5"/>
  <c r="J267" i="5"/>
  <c r="M193" i="5"/>
  <c r="L311" i="5" a="1"/>
  <c r="L311" i="5" s="1"/>
  <c r="L291" i="5"/>
  <c r="M190" i="5"/>
  <c r="L288" i="5"/>
  <c r="L308" i="5" a="1"/>
  <c r="L308" i="5" s="1"/>
  <c r="L328" i="5" a="1"/>
  <c r="L328" i="5" s="1"/>
  <c r="D71" i="7"/>
  <c r="K70" i="7"/>
  <c r="J70" i="7"/>
  <c r="G70" i="7"/>
  <c r="L70" i="7"/>
  <c r="I70" i="7"/>
  <c r="H70" i="7"/>
  <c r="F70" i="7"/>
  <c r="E70" i="7"/>
  <c r="M15" i="5"/>
  <c r="M12" i="5"/>
  <c r="M107" i="5"/>
  <c r="M105" i="5"/>
  <c r="M189" i="5"/>
  <c r="L287" i="5"/>
  <c r="L307" i="5" a="1"/>
  <c r="L307" i="5" s="1"/>
  <c r="L327" i="5" a="1"/>
  <c r="L327" i="5" s="1"/>
  <c r="M3" i="7"/>
  <c r="J273" i="5"/>
  <c r="L293" i="5"/>
  <c r="L313" i="5" a="1"/>
  <c r="L313" i="5" s="1"/>
  <c r="K69" i="7"/>
  <c r="M194" i="5"/>
  <c r="L312" i="5" a="1"/>
  <c r="L312" i="5" s="1"/>
  <c r="L292" i="5"/>
  <c r="N190" i="5" l="1"/>
  <c r="M288" i="5"/>
  <c r="M328" i="5" a="1"/>
  <c r="M328" i="5" s="1"/>
  <c r="M308" i="5" a="1"/>
  <c r="M308" i="5" s="1"/>
  <c r="P10" i="5"/>
  <c r="O240" i="5"/>
  <c r="O207" i="5"/>
  <c r="O199" i="5"/>
  <c r="O198" i="5"/>
  <c r="O258" i="5"/>
  <c r="O222" i="5"/>
  <c r="O104" i="5"/>
  <c r="O6" i="5"/>
  <c r="P7" i="5"/>
  <c r="L271" i="5"/>
  <c r="L270" i="5"/>
  <c r="M11" i="5"/>
  <c r="L260" i="5"/>
  <c r="L263" i="5" s="1"/>
  <c r="L272" i="5"/>
  <c r="L269" i="5"/>
  <c r="L265" i="5"/>
  <c r="L267" i="5" s="1"/>
  <c r="M293" i="5"/>
  <c r="M313" i="5" a="1"/>
  <c r="M313" i="5" s="1"/>
  <c r="M233" i="5"/>
  <c r="N194" i="5"/>
  <c r="M292" i="5"/>
  <c r="M312" i="5" a="1"/>
  <c r="M312" i="5" s="1"/>
  <c r="L224" i="5"/>
  <c r="L39" i="5"/>
  <c r="N193" i="5"/>
  <c r="M291" i="5"/>
  <c r="M311" i="5" a="1"/>
  <c r="M311" i="5" s="1"/>
  <c r="N192" i="5"/>
  <c r="M290" i="5"/>
  <c r="M310" i="5" a="1"/>
  <c r="M310" i="5" s="1"/>
  <c r="T9" i="6"/>
  <c r="O4" i="7"/>
  <c r="U8" i="6"/>
  <c r="N189" i="5"/>
  <c r="M307" i="5" a="1"/>
  <c r="M307" i="5" s="1"/>
  <c r="M287" i="5"/>
  <c r="M327" i="5" a="1"/>
  <c r="M327" i="5" s="1"/>
  <c r="M5" i="7"/>
  <c r="L63" i="7"/>
  <c r="L64" i="7"/>
  <c r="L65" i="7"/>
  <c r="L66" i="7"/>
  <c r="L67" i="7"/>
  <c r="L68" i="7"/>
  <c r="L69" i="7"/>
  <c r="L71" i="7"/>
  <c r="K71" i="7"/>
  <c r="H71" i="7"/>
  <c r="J71" i="7"/>
  <c r="I71" i="7"/>
  <c r="G71" i="7"/>
  <c r="F71" i="7"/>
  <c r="E71" i="7"/>
  <c r="D72" i="7"/>
  <c r="N191" i="5"/>
  <c r="M309" i="5" a="1"/>
  <c r="M309" i="5" s="1"/>
  <c r="M289" i="5"/>
  <c r="N105" i="5"/>
  <c r="N107" i="5" s="1"/>
  <c r="N233" i="5" s="1"/>
  <c r="N195" i="5"/>
  <c r="M314" i="5" a="1"/>
  <c r="M314" i="5" s="1"/>
  <c r="M294" i="5"/>
  <c r="N3" i="7"/>
  <c r="N15" i="5"/>
  <c r="N12" i="5"/>
  <c r="O192" i="5" l="1"/>
  <c r="N310" i="5" a="1"/>
  <c r="N310" i="5" s="1"/>
  <c r="N290" i="5"/>
  <c r="P4" i="7"/>
  <c r="P3" i="7" s="1"/>
  <c r="U9" i="6"/>
  <c r="V8" i="6"/>
  <c r="L273" i="5"/>
  <c r="P258" i="5"/>
  <c r="P240" i="5"/>
  <c r="P207" i="5"/>
  <c r="P199" i="5"/>
  <c r="P198" i="5"/>
  <c r="P222" i="5"/>
  <c r="P104" i="5"/>
  <c r="Q7" i="5"/>
  <c r="P6" i="5"/>
  <c r="O105" i="5"/>
  <c r="O107" i="5"/>
  <c r="O233" i="5" s="1"/>
  <c r="O191" i="5"/>
  <c r="N309" i="5" a="1"/>
  <c r="N309" i="5" s="1"/>
  <c r="N289" i="5"/>
  <c r="O193" i="5"/>
  <c r="N311" i="5" a="1"/>
  <c r="N311" i="5" s="1"/>
  <c r="N291" i="5"/>
  <c r="M271" i="5"/>
  <c r="M270" i="5"/>
  <c r="N11" i="5"/>
  <c r="M272" i="5"/>
  <c r="M269" i="5"/>
  <c r="M273" i="5" s="1"/>
  <c r="M265" i="5"/>
  <c r="M260" i="5"/>
  <c r="M263" i="5" s="1"/>
  <c r="M63" i="7"/>
  <c r="N5" i="7"/>
  <c r="M64" i="7"/>
  <c r="M65" i="7"/>
  <c r="M66" i="7"/>
  <c r="M67" i="7"/>
  <c r="M68" i="7"/>
  <c r="M69" i="7"/>
  <c r="M70" i="7"/>
  <c r="O195" i="5"/>
  <c r="N294" i="5"/>
  <c r="N314" i="5" a="1"/>
  <c r="N314" i="5" s="1"/>
  <c r="F72" i="7"/>
  <c r="J72" i="7"/>
  <c r="I72" i="7"/>
  <c r="M72" i="7"/>
  <c r="L72" i="7"/>
  <c r="D73" i="7"/>
  <c r="K72" i="7"/>
  <c r="H72" i="7"/>
  <c r="G72" i="7"/>
  <c r="E72" i="7"/>
  <c r="L31" i="5"/>
  <c r="L26" i="5" s="1"/>
  <c r="O15" i="5"/>
  <c r="O12" i="5"/>
  <c r="O194" i="5"/>
  <c r="N292" i="5"/>
  <c r="N312" i="5" a="1"/>
  <c r="N312" i="5" s="1"/>
  <c r="M24" i="5"/>
  <c r="N24" i="5"/>
  <c r="M71" i="7"/>
  <c r="Q10" i="5"/>
  <c r="O3" i="7"/>
  <c r="O190" i="5"/>
  <c r="N328" i="5" a="1"/>
  <c r="N328" i="5" s="1"/>
  <c r="N308" i="5" a="1"/>
  <c r="N308" i="5" s="1"/>
  <c r="N288" i="5"/>
  <c r="N293" i="5"/>
  <c r="N313" i="5" a="1"/>
  <c r="N313" i="5" s="1"/>
  <c r="P195" i="5" l="1"/>
  <c r="O314" i="5" a="1"/>
  <c r="O314" i="5" s="1"/>
  <c r="O294" i="5"/>
  <c r="N63" i="7"/>
  <c r="N64" i="7"/>
  <c r="O5" i="7"/>
  <c r="N65" i="7"/>
  <c r="N66" i="7"/>
  <c r="N67" i="7"/>
  <c r="N68" i="7"/>
  <c r="N69" i="7"/>
  <c r="N70" i="7"/>
  <c r="N71" i="7"/>
  <c r="M224" i="5"/>
  <c r="M39" i="5"/>
  <c r="O293" i="5"/>
  <c r="O313" i="5" a="1"/>
  <c r="O313" i="5" s="1"/>
  <c r="M267" i="5"/>
  <c r="P192" i="5"/>
  <c r="O310" i="5" a="1"/>
  <c r="O310" i="5" s="1"/>
  <c r="O290" i="5"/>
  <c r="P105" i="5"/>
  <c r="P107" i="5" s="1"/>
  <c r="P233" i="5" s="1"/>
  <c r="N270" i="5"/>
  <c r="N271" i="5"/>
  <c r="O11" i="5"/>
  <c r="N265" i="5"/>
  <c r="N267" i="5" s="1"/>
  <c r="N260" i="5"/>
  <c r="N263" i="5" s="1"/>
  <c r="N272" i="5"/>
  <c r="N269" i="5"/>
  <c r="N273" i="5" s="1"/>
  <c r="P15" i="5"/>
  <c r="P12" i="5"/>
  <c r="P191" i="5"/>
  <c r="O289" i="5"/>
  <c r="O309" i="5" a="1"/>
  <c r="O309" i="5" s="1"/>
  <c r="N39" i="5"/>
  <c r="N31" i="5" s="1"/>
  <c r="N26" i="5" s="1"/>
  <c r="N224" i="5"/>
  <c r="O73" i="7"/>
  <c r="G73" i="7"/>
  <c r="D74" i="7"/>
  <c r="K73" i="7"/>
  <c r="J73" i="7"/>
  <c r="M73" i="7"/>
  <c r="F73" i="7"/>
  <c r="E73" i="7"/>
  <c r="N73" i="7"/>
  <c r="L73" i="7"/>
  <c r="I73" i="7"/>
  <c r="H73" i="7"/>
  <c r="R10" i="5"/>
  <c r="P194" i="5"/>
  <c r="O292" i="5"/>
  <c r="O312" i="5" a="1"/>
  <c r="O312" i="5" s="1"/>
  <c r="Q258" i="5"/>
  <c r="Q240" i="5"/>
  <c r="Q207" i="5"/>
  <c r="Q198" i="5"/>
  <c r="Q199" i="5" s="1"/>
  <c r="Q222" i="5"/>
  <c r="Q104" i="5"/>
  <c r="R7" i="5"/>
  <c r="Q6" i="5"/>
  <c r="V9" i="6"/>
  <c r="Q4" i="7"/>
  <c r="Q3" i="7" s="1"/>
  <c r="W8" i="6"/>
  <c r="O24" i="5"/>
  <c r="N72" i="7"/>
  <c r="P193" i="5"/>
  <c r="O311" i="5" a="1"/>
  <c r="O311" i="5" s="1"/>
  <c r="O291" i="5"/>
  <c r="Q12" i="5" l="1"/>
  <c r="Q15" i="5"/>
  <c r="R4" i="7"/>
  <c r="R3" i="7" s="1"/>
  <c r="W9" i="6"/>
  <c r="X8" i="6"/>
  <c r="Q105" i="5"/>
  <c r="Q107" i="5" s="1"/>
  <c r="Q233" i="5" s="1"/>
  <c r="S10" i="5"/>
  <c r="M31" i="5"/>
  <c r="M26" i="5" s="1"/>
  <c r="Q194" i="5"/>
  <c r="P292" i="5"/>
  <c r="P312" i="5" a="1"/>
  <c r="P312" i="5" s="1"/>
  <c r="Q195" i="5"/>
  <c r="P314" i="5" a="1"/>
  <c r="P314" i="5" s="1"/>
  <c r="P294" i="5"/>
  <c r="H74" i="7"/>
  <c r="J74" i="7"/>
  <c r="N74" i="7"/>
  <c r="D75" i="7"/>
  <c r="M74" i="7"/>
  <c r="L74" i="7"/>
  <c r="O74" i="7"/>
  <c r="K74" i="7"/>
  <c r="I74" i="7"/>
  <c r="G74" i="7"/>
  <c r="E74" i="7"/>
  <c r="F74" i="7"/>
  <c r="O224" i="5"/>
  <c r="O39" i="5"/>
  <c r="O31" i="5" s="1"/>
  <c r="O26" i="5" s="1"/>
  <c r="R258" i="5"/>
  <c r="R240" i="5"/>
  <c r="O33" i="3" s="1"/>
  <c r="O70" i="3" s="1"/>
  <c r="R222" i="5"/>
  <c r="R207" i="5"/>
  <c r="R199" i="5"/>
  <c r="R198" i="5"/>
  <c r="R104" i="5"/>
  <c r="S7" i="5"/>
  <c r="R6" i="5"/>
  <c r="O271" i="5"/>
  <c r="O270" i="5"/>
  <c r="P11" i="5"/>
  <c r="P24" i="5" s="1"/>
  <c r="O272" i="5"/>
  <c r="O265" i="5"/>
  <c r="O267" i="5" s="1"/>
  <c r="O269" i="5"/>
  <c r="O273" i="5" s="1"/>
  <c r="O260" i="5"/>
  <c r="O263" i="5" s="1"/>
  <c r="Q192" i="5"/>
  <c r="P310" i="5" a="1"/>
  <c r="P310" i="5" s="1"/>
  <c r="P290" i="5"/>
  <c r="Q193" i="5"/>
  <c r="P291" i="5"/>
  <c r="P311" i="5" a="1"/>
  <c r="P311" i="5" s="1"/>
  <c r="O63" i="7"/>
  <c r="O64" i="7"/>
  <c r="P5" i="7"/>
  <c r="O65" i="7"/>
  <c r="O66" i="7"/>
  <c r="O67" i="7"/>
  <c r="O68" i="7"/>
  <c r="O69" i="7"/>
  <c r="O70" i="7"/>
  <c r="O71" i="7"/>
  <c r="O72" i="7"/>
  <c r="P293" i="5"/>
  <c r="P313" i="5" a="1"/>
  <c r="P313" i="5" s="1"/>
  <c r="P224" i="5" l="1"/>
  <c r="P39" i="5"/>
  <c r="P31" i="5" s="1"/>
  <c r="P26" i="5" s="1"/>
  <c r="R12" i="5"/>
  <c r="R15" i="5"/>
  <c r="S240" i="5"/>
  <c r="S258" i="5"/>
  <c r="S207" i="5"/>
  <c r="S198" i="5"/>
  <c r="S199" i="5" s="1"/>
  <c r="S104" i="5"/>
  <c r="S6" i="5"/>
  <c r="T7" i="5"/>
  <c r="Q5" i="7"/>
  <c r="P64" i="7"/>
  <c r="P63" i="7"/>
  <c r="P65" i="7"/>
  <c r="P66" i="7"/>
  <c r="P67" i="7"/>
  <c r="P68" i="7"/>
  <c r="P69" i="7"/>
  <c r="P70" i="7"/>
  <c r="P71" i="7"/>
  <c r="P72" i="7"/>
  <c r="P73" i="7"/>
  <c r="P74" i="7"/>
  <c r="R195" i="5"/>
  <c r="Q314" i="5" a="1"/>
  <c r="Q314" i="5" s="1"/>
  <c r="Q294" i="5"/>
  <c r="Y8" i="6"/>
  <c r="S4" i="7"/>
  <c r="S3" i="7" s="1"/>
  <c r="X9" i="6"/>
  <c r="Q75" i="7"/>
  <c r="I75" i="7"/>
  <c r="D76" i="7"/>
  <c r="K75" i="7"/>
  <c r="O75" i="7"/>
  <c r="E75" i="7"/>
  <c r="N75" i="7"/>
  <c r="G75" i="7"/>
  <c r="M75" i="7"/>
  <c r="H75" i="7"/>
  <c r="F75" i="7"/>
  <c r="P75" i="7"/>
  <c r="L75" i="7"/>
  <c r="J75" i="7"/>
  <c r="R194" i="5"/>
  <c r="Q312" i="5" a="1"/>
  <c r="Q312" i="5" s="1"/>
  <c r="Q292" i="5"/>
  <c r="Q24" i="5"/>
  <c r="Q313" i="5" a="1"/>
  <c r="Q313" i="5" s="1"/>
  <c r="Q293" i="5"/>
  <c r="T10" i="5"/>
  <c r="R105" i="5"/>
  <c r="R107" i="5"/>
  <c r="R233" i="5" s="1"/>
  <c r="P270" i="5"/>
  <c r="P271" i="5"/>
  <c r="Q11" i="5"/>
  <c r="P260" i="5"/>
  <c r="P263" i="5" s="1"/>
  <c r="P272" i="5"/>
  <c r="P269" i="5"/>
  <c r="P265" i="5"/>
  <c r="P267" i="5" s="1"/>
  <c r="R193" i="5"/>
  <c r="Q311" i="5" a="1"/>
  <c r="Q311" i="5" s="1"/>
  <c r="Q291" i="5"/>
  <c r="Q224" i="5" l="1"/>
  <c r="Q39" i="5"/>
  <c r="Q31" i="5" s="1"/>
  <c r="Q26" i="5" s="1"/>
  <c r="T240" i="5"/>
  <c r="T258" i="5"/>
  <c r="T222" i="5"/>
  <c r="T207" i="5"/>
  <c r="T198" i="5"/>
  <c r="T199" i="5" s="1"/>
  <c r="T104" i="5"/>
  <c r="T6" i="5"/>
  <c r="U7" i="5"/>
  <c r="R313" i="5" a="1"/>
  <c r="R313" i="5" s="1"/>
  <c r="R293" i="5"/>
  <c r="S12" i="5"/>
  <c r="S15" i="5"/>
  <c r="P273" i="5"/>
  <c r="U10" i="5"/>
  <c r="Z8" i="6"/>
  <c r="T4" i="7"/>
  <c r="T3" i="7" s="1"/>
  <c r="Y9" i="6"/>
  <c r="S194" i="5"/>
  <c r="R312" i="5" a="1"/>
  <c r="R312" i="5" s="1"/>
  <c r="R292" i="5"/>
  <c r="J76" i="7"/>
  <c r="Q76" i="7"/>
  <c r="L76" i="7"/>
  <c r="P76" i="7"/>
  <c r="F76" i="7"/>
  <c r="D77" i="7"/>
  <c r="O76" i="7"/>
  <c r="E76" i="7"/>
  <c r="H76" i="7"/>
  <c r="I76" i="7"/>
  <c r="M76" i="7"/>
  <c r="K76" i="7"/>
  <c r="G76" i="7"/>
  <c r="N76" i="7"/>
  <c r="S195" i="5"/>
  <c r="R294" i="5"/>
  <c r="R314" i="5" a="1"/>
  <c r="R314" i="5" s="1"/>
  <c r="Q271" i="5"/>
  <c r="Q270" i="5"/>
  <c r="R11" i="5"/>
  <c r="R24" i="5" s="1"/>
  <c r="Q272" i="5"/>
  <c r="Q265" i="5"/>
  <c r="Q267" i="5" s="1"/>
  <c r="Q269" i="5"/>
  <c r="Q273" i="5" s="1"/>
  <c r="Q260" i="5"/>
  <c r="Q263" i="5" s="1"/>
  <c r="R5" i="7"/>
  <c r="Q64" i="7"/>
  <c r="Q63" i="7"/>
  <c r="Q65" i="7"/>
  <c r="Q66" i="7"/>
  <c r="Q67" i="7"/>
  <c r="Q68" i="7"/>
  <c r="Q69" i="7"/>
  <c r="Q70" i="7"/>
  <c r="Q71" i="7"/>
  <c r="Q72" i="7"/>
  <c r="Q73" i="7"/>
  <c r="Q74" i="7"/>
  <c r="S105" i="5"/>
  <c r="S107" i="5" s="1"/>
  <c r="S233" i="5" s="1"/>
  <c r="O16" i="3" l="1"/>
  <c r="R224" i="5"/>
  <c r="O25" i="3" s="1"/>
  <c r="R39" i="5"/>
  <c r="R31" i="5" s="1"/>
  <c r="R26" i="5" s="1"/>
  <c r="S5" i="7"/>
  <c r="R63" i="7"/>
  <c r="R64" i="7"/>
  <c r="R65" i="7"/>
  <c r="R66" i="7"/>
  <c r="R67" i="7"/>
  <c r="R68" i="7"/>
  <c r="R69" i="7"/>
  <c r="R70" i="7"/>
  <c r="R71" i="7"/>
  <c r="R72" i="7"/>
  <c r="R73" i="7"/>
  <c r="R74" i="7"/>
  <c r="R75" i="7"/>
  <c r="R76" i="7"/>
  <c r="S313" i="5" a="1"/>
  <c r="S313" i="5" s="1"/>
  <c r="S293" i="5"/>
  <c r="D78" i="7"/>
  <c r="S77" i="7"/>
  <c r="K77" i="7"/>
  <c r="R77" i="7"/>
  <c r="J77" i="7"/>
  <c r="M77" i="7"/>
  <c r="E77" i="7"/>
  <c r="Q77" i="7"/>
  <c r="F77" i="7"/>
  <c r="P77" i="7"/>
  <c r="H77" i="7"/>
  <c r="G77" i="7"/>
  <c r="O77" i="7"/>
  <c r="N77" i="7"/>
  <c r="L77" i="7"/>
  <c r="I77" i="7"/>
  <c r="T105" i="5"/>
  <c r="T107" i="5"/>
  <c r="T233" i="5" s="1"/>
  <c r="R271" i="5"/>
  <c r="R270" i="5"/>
  <c r="S11" i="5"/>
  <c r="R272" i="5"/>
  <c r="R260" i="5"/>
  <c r="R263" i="5" s="1"/>
  <c r="O48" i="3" s="1"/>
  <c r="R269" i="5"/>
  <c r="R265" i="5"/>
  <c r="AA8" i="6"/>
  <c r="U4" i="7"/>
  <c r="U3" i="7" s="1"/>
  <c r="Z9" i="6"/>
  <c r="T12" i="5"/>
  <c r="T15" i="5"/>
  <c r="T195" i="5"/>
  <c r="S314" i="5" a="1"/>
  <c r="S314" i="5" s="1"/>
  <c r="S294" i="5"/>
  <c r="V10" i="5"/>
  <c r="U258" i="5"/>
  <c r="U240" i="5"/>
  <c r="U207" i="5"/>
  <c r="U199" i="5"/>
  <c r="U198" i="5"/>
  <c r="U222" i="5"/>
  <c r="U104" i="5"/>
  <c r="U6" i="5"/>
  <c r="V7" i="5"/>
  <c r="V258" i="5" l="1"/>
  <c r="V240" i="5"/>
  <c r="V207" i="5"/>
  <c r="V199" i="5"/>
  <c r="V198" i="5"/>
  <c r="V222" i="5"/>
  <c r="V104" i="5"/>
  <c r="W7" i="5"/>
  <c r="V6" i="5"/>
  <c r="S270" i="5"/>
  <c r="S271" i="5"/>
  <c r="T11" i="5"/>
  <c r="S272" i="5"/>
  <c r="S260" i="5"/>
  <c r="S263" i="5" s="1"/>
  <c r="S269" i="5"/>
  <c r="S265" i="5"/>
  <c r="U15" i="5"/>
  <c r="U12" i="5"/>
  <c r="S24" i="5"/>
  <c r="T314" i="5" a="1"/>
  <c r="T314" i="5" s="1"/>
  <c r="T294" i="5"/>
  <c r="W10" i="5"/>
  <c r="V4" i="7"/>
  <c r="V3" i="7" s="1"/>
  <c r="AB8" i="6"/>
  <c r="AA9" i="6"/>
  <c r="R267" i="5"/>
  <c r="O46" i="3"/>
  <c r="O45" i="3" s="1"/>
  <c r="T24" i="5"/>
  <c r="R273" i="5"/>
  <c r="T5" i="7"/>
  <c r="S63" i="7"/>
  <c r="S64" i="7"/>
  <c r="S65" i="7"/>
  <c r="S66" i="7"/>
  <c r="S67" i="7"/>
  <c r="S68" i="7"/>
  <c r="S69" i="7"/>
  <c r="S70" i="7"/>
  <c r="S71" i="7"/>
  <c r="S72" i="7"/>
  <c r="S73" i="7"/>
  <c r="S74" i="7"/>
  <c r="S75" i="7"/>
  <c r="S76" i="7"/>
  <c r="U107" i="5"/>
  <c r="U233" i="5" s="1"/>
  <c r="U105" i="5"/>
  <c r="O49" i="3"/>
  <c r="O74" i="3" s="1"/>
  <c r="L78" i="7"/>
  <c r="D79" i="7"/>
  <c r="S78" i="7"/>
  <c r="K78" i="7"/>
  <c r="N78" i="7"/>
  <c r="F78" i="7"/>
  <c r="R78" i="7"/>
  <c r="G78" i="7"/>
  <c r="Q78" i="7"/>
  <c r="E78" i="7"/>
  <c r="I78" i="7"/>
  <c r="P78" i="7"/>
  <c r="O78" i="7"/>
  <c r="M78" i="7"/>
  <c r="J78" i="7"/>
  <c r="H78" i="7"/>
  <c r="S273" i="5" l="1"/>
  <c r="X10" i="5"/>
  <c r="U5" i="7"/>
  <c r="T63" i="7"/>
  <c r="T64" i="7"/>
  <c r="T65" i="7"/>
  <c r="T66" i="7"/>
  <c r="T67" i="7"/>
  <c r="T68" i="7"/>
  <c r="T69" i="7"/>
  <c r="T70" i="7"/>
  <c r="T71" i="7"/>
  <c r="T72" i="7"/>
  <c r="T73" i="7"/>
  <c r="T74" i="7"/>
  <c r="T75" i="7"/>
  <c r="T76" i="7"/>
  <c r="T77" i="7"/>
  <c r="AB9" i="6"/>
  <c r="AC8" i="6"/>
  <c r="W4" i="7"/>
  <c r="W3" i="7" s="1"/>
  <c r="S224" i="5"/>
  <c r="S39" i="5"/>
  <c r="S31" i="5" s="1"/>
  <c r="S26" i="5" s="1"/>
  <c r="T271" i="5"/>
  <c r="T270" i="5"/>
  <c r="U11" i="5"/>
  <c r="T260" i="5"/>
  <c r="T263" i="5" s="1"/>
  <c r="T272" i="5"/>
  <c r="T269" i="5"/>
  <c r="T265" i="5"/>
  <c r="T267" i="5" s="1"/>
  <c r="V15" i="5"/>
  <c r="V12" i="5"/>
  <c r="U79" i="7"/>
  <c r="M79" i="7"/>
  <c r="E79" i="7"/>
  <c r="T79" i="7"/>
  <c r="L79" i="7"/>
  <c r="O79" i="7"/>
  <c r="G79" i="7"/>
  <c r="S79" i="7"/>
  <c r="H79" i="7"/>
  <c r="R79" i="7"/>
  <c r="F79" i="7"/>
  <c r="J79" i="7"/>
  <c r="P79" i="7"/>
  <c r="D80" i="7"/>
  <c r="N79" i="7"/>
  <c r="K79" i="7"/>
  <c r="I79" i="7"/>
  <c r="Q79" i="7"/>
  <c r="W258" i="5"/>
  <c r="W207" i="5"/>
  <c r="W198" i="5"/>
  <c r="W199" i="5" s="1"/>
  <c r="W240" i="5"/>
  <c r="W222" i="5"/>
  <c r="W104" i="5"/>
  <c r="X7" i="5"/>
  <c r="W6" i="5"/>
  <c r="T78" i="7"/>
  <c r="U24" i="5"/>
  <c r="T224" i="5"/>
  <c r="T39" i="5"/>
  <c r="T31" i="5" s="1"/>
  <c r="T26" i="5" s="1"/>
  <c r="S267" i="5"/>
  <c r="V105" i="5"/>
  <c r="V107" i="5" s="1"/>
  <c r="V233" i="5" s="1"/>
  <c r="U39" i="5" l="1"/>
  <c r="U31" i="5" s="1"/>
  <c r="U26" i="5" s="1"/>
  <c r="U224" i="5"/>
  <c r="W15" i="5"/>
  <c r="W12" i="5"/>
  <c r="X4" i="7"/>
  <c r="X3" i="7" s="1"/>
  <c r="AC9" i="6"/>
  <c r="AD8" i="6"/>
  <c r="V24" i="5"/>
  <c r="V5" i="7"/>
  <c r="V80" i="7" s="1"/>
  <c r="U64" i="7"/>
  <c r="U63" i="7"/>
  <c r="U65" i="7"/>
  <c r="U66" i="7"/>
  <c r="U67" i="7"/>
  <c r="U68" i="7"/>
  <c r="U69" i="7"/>
  <c r="U70" i="7"/>
  <c r="U71" i="7"/>
  <c r="U72" i="7"/>
  <c r="U73" i="7"/>
  <c r="U74" i="7"/>
  <c r="U75" i="7"/>
  <c r="U76" i="7"/>
  <c r="U77" i="7"/>
  <c r="U78" i="7"/>
  <c r="Y10" i="5"/>
  <c r="N80" i="7"/>
  <c r="F80" i="7"/>
  <c r="U80" i="7"/>
  <c r="M80" i="7"/>
  <c r="E80" i="7"/>
  <c r="P80" i="7"/>
  <c r="H80" i="7"/>
  <c r="T80" i="7"/>
  <c r="I80" i="7"/>
  <c r="S80" i="7"/>
  <c r="G80" i="7"/>
  <c r="K80" i="7"/>
  <c r="O80" i="7"/>
  <c r="R80" i="7"/>
  <c r="Q80" i="7"/>
  <c r="L80" i="7"/>
  <c r="D81" i="7"/>
  <c r="J80" i="7"/>
  <c r="U270" i="5"/>
  <c r="U271" i="5"/>
  <c r="V11" i="5"/>
  <c r="U269" i="5"/>
  <c r="U265" i="5"/>
  <c r="U272" i="5"/>
  <c r="U260" i="5"/>
  <c r="U263" i="5" s="1"/>
  <c r="W105" i="5"/>
  <c r="W107" i="5" s="1"/>
  <c r="W233" i="5" s="1"/>
  <c r="T273" i="5"/>
  <c r="X258" i="5"/>
  <c r="X207" i="5"/>
  <c r="X198" i="5"/>
  <c r="X199" i="5" s="1"/>
  <c r="X240" i="5"/>
  <c r="X222" i="5"/>
  <c r="X104" i="5"/>
  <c r="Y7" i="5"/>
  <c r="X6" i="5"/>
  <c r="Y258" i="5" l="1"/>
  <c r="Y207" i="5"/>
  <c r="Y198" i="5"/>
  <c r="Y199" i="5" s="1"/>
  <c r="Y222" i="5"/>
  <c r="Y240" i="5"/>
  <c r="Y104" i="5"/>
  <c r="Z7" i="5"/>
  <c r="Y6" i="5"/>
  <c r="V270" i="5"/>
  <c r="V271" i="5"/>
  <c r="W11" i="5"/>
  <c r="V265" i="5"/>
  <c r="V267" i="5" s="1"/>
  <c r="V272" i="5"/>
  <c r="V269" i="5"/>
  <c r="V260" i="5"/>
  <c r="V263" i="5" s="1"/>
  <c r="W24" i="5"/>
  <c r="V224" i="5"/>
  <c r="V39" i="5"/>
  <c r="V31" i="5" s="1"/>
  <c r="V26" i="5" s="1"/>
  <c r="AD9" i="6"/>
  <c r="Y4" i="7"/>
  <c r="Y3" i="7" s="1"/>
  <c r="AE8" i="6"/>
  <c r="X105" i="5"/>
  <c r="X107" i="5" s="1"/>
  <c r="X233" i="5" s="1"/>
  <c r="U267" i="5"/>
  <c r="U81" i="7"/>
  <c r="M81" i="7"/>
  <c r="E81" i="7"/>
  <c r="R81" i="7"/>
  <c r="I81" i="7"/>
  <c r="Q81" i="7"/>
  <c r="H81" i="7"/>
  <c r="T81" i="7"/>
  <c r="K81" i="7"/>
  <c r="L81" i="7"/>
  <c r="J81" i="7"/>
  <c r="O81" i="7"/>
  <c r="W81" i="7"/>
  <c r="P81" i="7"/>
  <c r="V81" i="7"/>
  <c r="S81" i="7"/>
  <c r="N81" i="7"/>
  <c r="G81" i="7"/>
  <c r="D82" i="7"/>
  <c r="F81" i="7"/>
  <c r="V63" i="7"/>
  <c r="W5" i="7"/>
  <c r="V64" i="7"/>
  <c r="V65" i="7"/>
  <c r="V66" i="7"/>
  <c r="V67" i="7"/>
  <c r="V68" i="7"/>
  <c r="V69" i="7"/>
  <c r="V70" i="7"/>
  <c r="V71" i="7"/>
  <c r="V72" i="7"/>
  <c r="V73" i="7"/>
  <c r="V74" i="7"/>
  <c r="V75" i="7"/>
  <c r="V76" i="7"/>
  <c r="V77" i="7"/>
  <c r="V78" i="7"/>
  <c r="V79" i="7"/>
  <c r="U273" i="5"/>
  <c r="X12" i="5"/>
  <c r="X15" i="5"/>
  <c r="Z10" i="5"/>
  <c r="W271" i="5" l="1"/>
  <c r="W270" i="5"/>
  <c r="X11" i="5"/>
  <c r="W260" i="5"/>
  <c r="W263" i="5" s="1"/>
  <c r="W272" i="5"/>
  <c r="W265" i="5"/>
  <c r="W269" i="5"/>
  <c r="Y105" i="5"/>
  <c r="Y107" i="5"/>
  <c r="Y233" i="5" s="1"/>
  <c r="Z4" i="7"/>
  <c r="Z3" i="7" s="1"/>
  <c r="AE9" i="6"/>
  <c r="AF8" i="6"/>
  <c r="Y12" i="5"/>
  <c r="Y15" i="5"/>
  <c r="W63" i="7"/>
  <c r="X5" i="7"/>
  <c r="W64" i="7"/>
  <c r="W65" i="7"/>
  <c r="W66" i="7"/>
  <c r="W67" i="7"/>
  <c r="W68" i="7"/>
  <c r="W69" i="7"/>
  <c r="W70" i="7"/>
  <c r="W71" i="7"/>
  <c r="W72" i="7"/>
  <c r="W73" i="7"/>
  <c r="W74" i="7"/>
  <c r="W75" i="7"/>
  <c r="W76" i="7"/>
  <c r="W77" i="7"/>
  <c r="W78" i="7"/>
  <c r="W79" i="7"/>
  <c r="W80" i="7"/>
  <c r="V273" i="5"/>
  <c r="Z258" i="5"/>
  <c r="Z240" i="5"/>
  <c r="Z222" i="5"/>
  <c r="Z207" i="5"/>
  <c r="Z198" i="5"/>
  <c r="Z199" i="5" s="1"/>
  <c r="Z104" i="5"/>
  <c r="AA7" i="5"/>
  <c r="Z6" i="5"/>
  <c r="V82" i="7"/>
  <c r="N82" i="7"/>
  <c r="F82" i="7"/>
  <c r="S82" i="7"/>
  <c r="J82" i="7"/>
  <c r="R82" i="7"/>
  <c r="I82" i="7"/>
  <c r="D83" i="7"/>
  <c r="U82" i="7"/>
  <c r="L82" i="7"/>
  <c r="W82" i="7"/>
  <c r="G82" i="7"/>
  <c r="T82" i="7"/>
  <c r="E82" i="7"/>
  <c r="K82" i="7"/>
  <c r="H82" i="7"/>
  <c r="X82" i="7"/>
  <c r="Q82" i="7"/>
  <c r="P82" i="7"/>
  <c r="O82" i="7"/>
  <c r="M82" i="7"/>
  <c r="AA10" i="5"/>
  <c r="X24" i="5"/>
  <c r="W224" i="5"/>
  <c r="W39" i="5"/>
  <c r="W31" i="5" s="1"/>
  <c r="W26" i="5" s="1"/>
  <c r="Z12" i="5" l="1"/>
  <c r="Z15" i="5"/>
  <c r="Z105" i="5"/>
  <c r="Z107" i="5" s="1"/>
  <c r="Z233" i="5" s="1"/>
  <c r="W83" i="7"/>
  <c r="O83" i="7"/>
  <c r="G83" i="7"/>
  <c r="T83" i="7"/>
  <c r="K83" i="7"/>
  <c r="S83" i="7"/>
  <c r="J83" i="7"/>
  <c r="V83" i="7"/>
  <c r="M83" i="7"/>
  <c r="Q83" i="7"/>
  <c r="P83" i="7"/>
  <c r="U83" i="7"/>
  <c r="F83" i="7"/>
  <c r="N83" i="7"/>
  <c r="H83" i="7"/>
  <c r="Y83" i="7"/>
  <c r="X83" i="7"/>
  <c r="R83" i="7"/>
  <c r="L83" i="7"/>
  <c r="I83" i="7"/>
  <c r="E83" i="7"/>
  <c r="D84" i="7"/>
  <c r="X63" i="7"/>
  <c r="Y5" i="7"/>
  <c r="X64" i="7"/>
  <c r="X65" i="7"/>
  <c r="X66" i="7"/>
  <c r="X67" i="7"/>
  <c r="X68" i="7"/>
  <c r="X69" i="7"/>
  <c r="X70" i="7"/>
  <c r="X71" i="7"/>
  <c r="X72" i="7"/>
  <c r="X73" i="7"/>
  <c r="X74" i="7"/>
  <c r="X75" i="7"/>
  <c r="X76" i="7"/>
  <c r="X77" i="7"/>
  <c r="X78" i="7"/>
  <c r="X79" i="7"/>
  <c r="X80" i="7"/>
  <c r="X81" i="7"/>
  <c r="AG8" i="6"/>
  <c r="AF9" i="6"/>
  <c r="AA4" i="7"/>
  <c r="AA3" i="7" s="1"/>
  <c r="W273" i="5"/>
  <c r="W267" i="5"/>
  <c r="X39" i="5"/>
  <c r="X31" i="5" s="1"/>
  <c r="X26" i="5" s="1"/>
  <c r="X224" i="5"/>
  <c r="AB10" i="5"/>
  <c r="AA240" i="5"/>
  <c r="AA258" i="5"/>
  <c r="AA222" i="5"/>
  <c r="AA198" i="5"/>
  <c r="AA199" i="5" s="1"/>
  <c r="AA207" i="5"/>
  <c r="AA104" i="5"/>
  <c r="AB7" i="5"/>
  <c r="AA6" i="5"/>
  <c r="X270" i="5"/>
  <c r="X271" i="5"/>
  <c r="Y11" i="5"/>
  <c r="X265" i="5"/>
  <c r="X267" i="5" s="1"/>
  <c r="X269" i="5"/>
  <c r="X272" i="5"/>
  <c r="X260" i="5"/>
  <c r="X263" i="5" s="1"/>
  <c r="X84" i="7" l="1"/>
  <c r="P84" i="7"/>
  <c r="H84" i="7"/>
  <c r="D85" i="7"/>
  <c r="U84" i="7"/>
  <c r="L84" i="7"/>
  <c r="T84" i="7"/>
  <c r="K84" i="7"/>
  <c r="W84" i="7"/>
  <c r="N84" i="7"/>
  <c r="E84" i="7"/>
  <c r="M84" i="7"/>
  <c r="J84" i="7"/>
  <c r="Q84" i="7"/>
  <c r="V84" i="7"/>
  <c r="O84" i="7"/>
  <c r="Y84" i="7"/>
  <c r="S84" i="7"/>
  <c r="R84" i="7"/>
  <c r="I84" i="7"/>
  <c r="G84" i="7"/>
  <c r="F84" i="7"/>
  <c r="Y271" i="5"/>
  <c r="Y270" i="5"/>
  <c r="Z11" i="5"/>
  <c r="Y269" i="5"/>
  <c r="Y272" i="5"/>
  <c r="Y260" i="5"/>
  <c r="Y263" i="5" s="1"/>
  <c r="Y265" i="5"/>
  <c r="Y267" i="5" s="1"/>
  <c r="Y24" i="5"/>
  <c r="AC10" i="5"/>
  <c r="AB4" i="7"/>
  <c r="AB3" i="7" s="1"/>
  <c r="AG9" i="6"/>
  <c r="AH8" i="6"/>
  <c r="Z5" i="7"/>
  <c r="Z84" i="7" s="1"/>
  <c r="Y63" i="7"/>
  <c r="Y64" i="7"/>
  <c r="Y65" i="7"/>
  <c r="Y66" i="7"/>
  <c r="Y67" i="7"/>
  <c r="Y68" i="7"/>
  <c r="Y69" i="7"/>
  <c r="Y70" i="7"/>
  <c r="Y71" i="7"/>
  <c r="Y72" i="7"/>
  <c r="Y73" i="7"/>
  <c r="Y74" i="7"/>
  <c r="Y75" i="7"/>
  <c r="Y76" i="7"/>
  <c r="Y77" i="7"/>
  <c r="Y78" i="7"/>
  <c r="Y79" i="7"/>
  <c r="Y80" i="7"/>
  <c r="Y81" i="7"/>
  <c r="Y82" i="7"/>
  <c r="AA105" i="5"/>
  <c r="AA107" i="5" s="1"/>
  <c r="AA233" i="5" s="1"/>
  <c r="X273" i="5"/>
  <c r="AB240" i="5"/>
  <c r="AB258" i="5"/>
  <c r="AB222" i="5"/>
  <c r="AB198" i="5"/>
  <c r="AB207" i="5"/>
  <c r="AB199" i="5"/>
  <c r="AB104" i="5"/>
  <c r="AC7" i="5"/>
  <c r="AB6" i="5"/>
  <c r="AA12" i="5"/>
  <c r="AA15" i="5"/>
  <c r="AB12" i="5" l="1"/>
  <c r="AB15" i="5"/>
  <c r="AI8" i="6"/>
  <c r="AC4" i="7"/>
  <c r="AC3" i="7" s="1"/>
  <c r="AH9" i="6"/>
  <c r="AA24" i="5"/>
  <c r="AC258" i="5"/>
  <c r="AC240" i="5"/>
  <c r="AC198" i="5"/>
  <c r="AC222" i="5"/>
  <c r="AC207" i="5"/>
  <c r="AC199" i="5"/>
  <c r="AC104" i="5"/>
  <c r="AD7" i="5"/>
  <c r="AC6" i="5"/>
  <c r="AD10" i="5"/>
  <c r="Y273" i="5"/>
  <c r="Z271" i="5"/>
  <c r="Z270" i="5"/>
  <c r="AA11" i="5"/>
  <c r="Z269" i="5"/>
  <c r="Z272" i="5"/>
  <c r="Z260" i="5"/>
  <c r="Z263" i="5" s="1"/>
  <c r="Z265" i="5"/>
  <c r="Z267" i="5" s="1"/>
  <c r="Y224" i="5"/>
  <c r="Y39" i="5"/>
  <c r="Y31" i="5" s="1"/>
  <c r="Y26" i="5" s="1"/>
  <c r="Y85" i="7"/>
  <c r="Q85" i="7"/>
  <c r="I85" i="7"/>
  <c r="V85" i="7"/>
  <c r="M85" i="7"/>
  <c r="U85" i="7"/>
  <c r="L85" i="7"/>
  <c r="X85" i="7"/>
  <c r="O85" i="7"/>
  <c r="F85" i="7"/>
  <c r="W85" i="7"/>
  <c r="H85" i="7"/>
  <c r="T85" i="7"/>
  <c r="G85" i="7"/>
  <c r="K85" i="7"/>
  <c r="E85" i="7"/>
  <c r="S85" i="7"/>
  <c r="Z85" i="7"/>
  <c r="R85" i="7"/>
  <c r="P85" i="7"/>
  <c r="N85" i="7"/>
  <c r="J85" i="7"/>
  <c r="D86" i="7"/>
  <c r="AB105" i="5"/>
  <c r="AB107" i="5"/>
  <c r="AB233" i="5" s="1"/>
  <c r="AA5" i="7"/>
  <c r="Z63" i="7"/>
  <c r="Z64" i="7"/>
  <c r="Z65" i="7"/>
  <c r="Z66" i="7"/>
  <c r="Z67" i="7"/>
  <c r="Z68" i="7"/>
  <c r="Z69" i="7"/>
  <c r="Z70" i="7"/>
  <c r="Z71" i="7"/>
  <c r="Z72" i="7"/>
  <c r="Z73" i="7"/>
  <c r="Z74" i="7"/>
  <c r="Z75" i="7"/>
  <c r="Z76" i="7"/>
  <c r="Z77" i="7"/>
  <c r="Z78" i="7"/>
  <c r="Z79" i="7"/>
  <c r="Z80" i="7"/>
  <c r="Z81" i="7"/>
  <c r="Z82" i="7"/>
  <c r="Z83" i="7"/>
  <c r="Z24" i="5"/>
  <c r="Z39" i="5" l="1"/>
  <c r="Z31" i="5" s="1"/>
  <c r="Z26" i="5" s="1"/>
  <c r="Z224" i="5"/>
  <c r="D87" i="7"/>
  <c r="Z86" i="7"/>
  <c r="R86" i="7"/>
  <c r="J86" i="7"/>
  <c r="Y86" i="7"/>
  <c r="Q86" i="7"/>
  <c r="I86" i="7"/>
  <c r="T86" i="7"/>
  <c r="H86" i="7"/>
  <c r="S86" i="7"/>
  <c r="G86" i="7"/>
  <c r="V86" i="7"/>
  <c r="L86" i="7"/>
  <c r="X86" i="7"/>
  <c r="F86" i="7"/>
  <c r="W86" i="7"/>
  <c r="E86" i="7"/>
  <c r="M86" i="7"/>
  <c r="P86" i="7"/>
  <c r="K86" i="7"/>
  <c r="AA86" i="7"/>
  <c r="U86" i="7"/>
  <c r="O86" i="7"/>
  <c r="N86" i="7"/>
  <c r="AE10" i="5"/>
  <c r="AB5" i="7"/>
  <c r="AB86" i="7" s="1"/>
  <c r="AA63" i="7"/>
  <c r="AA64" i="7"/>
  <c r="AA65" i="7"/>
  <c r="AA66" i="7"/>
  <c r="AA67" i="7"/>
  <c r="AA68" i="7"/>
  <c r="AA69" i="7"/>
  <c r="AA70" i="7"/>
  <c r="AA71" i="7"/>
  <c r="AA72" i="7"/>
  <c r="AA73" i="7"/>
  <c r="AA74" i="7"/>
  <c r="AA75" i="7"/>
  <c r="AA76" i="7"/>
  <c r="AA77" i="7"/>
  <c r="AA78" i="7"/>
  <c r="AA79" i="7"/>
  <c r="AA80" i="7"/>
  <c r="AA81" i="7"/>
  <c r="AA82" i="7"/>
  <c r="AA83" i="7"/>
  <c r="AA84" i="7"/>
  <c r="AD240" i="5"/>
  <c r="P33" i="3" s="1"/>
  <c r="P70" i="3" s="1"/>
  <c r="AD258" i="5"/>
  <c r="AD198" i="5"/>
  <c r="AD222" i="5"/>
  <c r="AD207" i="5"/>
  <c r="AD199" i="5"/>
  <c r="AD104" i="5"/>
  <c r="AE7" i="5"/>
  <c r="AD6" i="5"/>
  <c r="AA224" i="5"/>
  <c r="AA39" i="5"/>
  <c r="AA31" i="5" s="1"/>
  <c r="AA26" i="5" s="1"/>
  <c r="AA85" i="7"/>
  <c r="AB24" i="5"/>
  <c r="Z273" i="5"/>
  <c r="AC15" i="5"/>
  <c r="AC12" i="5"/>
  <c r="AC107" i="5"/>
  <c r="AC233" i="5" s="1"/>
  <c r="AC105" i="5"/>
  <c r="AD4" i="7"/>
  <c r="AD3" i="7" s="1"/>
  <c r="AI9" i="6"/>
  <c r="AJ8" i="6"/>
  <c r="AA270" i="5"/>
  <c r="AA271" i="5"/>
  <c r="AB11" i="5"/>
  <c r="AA265" i="5"/>
  <c r="AA267" i="5" s="1"/>
  <c r="AA269" i="5"/>
  <c r="AA272" i="5"/>
  <c r="AA260" i="5"/>
  <c r="AA263" i="5" s="1"/>
  <c r="AD15" i="5" l="1"/>
  <c r="AD12" i="5"/>
  <c r="AF10" i="5"/>
  <c r="AB87" i="7"/>
  <c r="T87" i="7"/>
  <c r="L87" i="7"/>
  <c r="W87" i="7"/>
  <c r="N87" i="7"/>
  <c r="E87" i="7"/>
  <c r="D88" i="7"/>
  <c r="V87" i="7"/>
  <c r="M87" i="7"/>
  <c r="Y87" i="7"/>
  <c r="K87" i="7"/>
  <c r="X87" i="7"/>
  <c r="J87" i="7"/>
  <c r="AA87" i="7"/>
  <c r="P87" i="7"/>
  <c r="Q87" i="7"/>
  <c r="O87" i="7"/>
  <c r="S87" i="7"/>
  <c r="I87" i="7"/>
  <c r="F87" i="7"/>
  <c r="H87" i="7"/>
  <c r="G87" i="7"/>
  <c r="Z87" i="7"/>
  <c r="U87" i="7"/>
  <c r="R87" i="7"/>
  <c r="AB39" i="5"/>
  <c r="AB31" i="5" s="1"/>
  <c r="AB26" i="5" s="1"/>
  <c r="AB224" i="5"/>
  <c r="AE240" i="5"/>
  <c r="AE207" i="5"/>
  <c r="AE198" i="5"/>
  <c r="AE199" i="5" s="1"/>
  <c r="AE258" i="5"/>
  <c r="AE104" i="5"/>
  <c r="AE8" i="5"/>
  <c r="AE4" i="5"/>
  <c r="AE6" i="5"/>
  <c r="AF7" i="5"/>
  <c r="AA273" i="5"/>
  <c r="AJ9" i="6"/>
  <c r="AE4" i="7"/>
  <c r="AE3" i="7" s="1"/>
  <c r="AK8" i="6"/>
  <c r="AB271" i="5"/>
  <c r="AB270" i="5"/>
  <c r="AC11" i="5"/>
  <c r="AB265" i="5"/>
  <c r="AB267" i="5" s="1"/>
  <c r="AB260" i="5"/>
  <c r="AB263" i="5" s="1"/>
  <c r="AB272" i="5"/>
  <c r="AB269" i="5"/>
  <c r="AD105" i="5"/>
  <c r="AD107" i="5"/>
  <c r="AD233" i="5" s="1"/>
  <c r="AC5" i="7"/>
  <c r="AC87" i="7" s="1"/>
  <c r="AB63" i="7"/>
  <c r="AB64" i="7"/>
  <c r="AB65" i="7"/>
  <c r="AB66" i="7"/>
  <c r="AB67" i="7"/>
  <c r="AB68" i="7"/>
  <c r="AB69" i="7"/>
  <c r="AB70" i="7"/>
  <c r="AB71" i="7"/>
  <c r="AB72" i="7"/>
  <c r="AB73" i="7"/>
  <c r="AB74" i="7"/>
  <c r="AB75" i="7"/>
  <c r="AB76" i="7"/>
  <c r="AB77" i="7"/>
  <c r="AB78" i="7"/>
  <c r="AB79" i="7"/>
  <c r="AB80" i="7"/>
  <c r="AB81" i="7"/>
  <c r="AB82" i="7"/>
  <c r="AB83" i="7"/>
  <c r="AB84" i="7"/>
  <c r="AB85" i="7"/>
  <c r="AC270" i="5" l="1"/>
  <c r="AC271" i="5"/>
  <c r="AD11" i="5"/>
  <c r="AC265" i="5"/>
  <c r="AC267" i="5" s="1"/>
  <c r="AC269" i="5"/>
  <c r="AC272" i="5"/>
  <c r="AC260" i="5"/>
  <c r="AC263" i="5" s="1"/>
  <c r="AF258" i="5"/>
  <c r="AF207" i="5"/>
  <c r="AF198" i="5"/>
  <c r="AF199" i="5" s="1"/>
  <c r="AF240" i="5"/>
  <c r="AF222" i="5"/>
  <c r="AF104" i="5"/>
  <c r="AG7" i="5"/>
  <c r="AF6" i="5"/>
  <c r="AC24" i="5"/>
  <c r="AE15" i="5"/>
  <c r="AE12" i="5"/>
  <c r="AE105" i="5"/>
  <c r="AE107" i="5"/>
  <c r="AE233" i="5" s="1"/>
  <c r="AD24" i="5"/>
  <c r="AG10" i="5"/>
  <c r="AC88" i="7"/>
  <c r="U88" i="7"/>
  <c r="M88" i="7"/>
  <c r="E88" i="7"/>
  <c r="AB88" i="7"/>
  <c r="T88" i="7"/>
  <c r="D89" i="7"/>
  <c r="Y88" i="7"/>
  <c r="O88" i="7"/>
  <c r="F88" i="7"/>
  <c r="X88" i="7"/>
  <c r="N88" i="7"/>
  <c r="W88" i="7"/>
  <c r="J88" i="7"/>
  <c r="V88" i="7"/>
  <c r="I88" i="7"/>
  <c r="AA88" i="7"/>
  <c r="L88" i="7"/>
  <c r="K88" i="7"/>
  <c r="H88" i="7"/>
  <c r="Q88" i="7"/>
  <c r="P88" i="7"/>
  <c r="AD88" i="7"/>
  <c r="Z88" i="7"/>
  <c r="S88" i="7"/>
  <c r="R88" i="7"/>
  <c r="G88" i="7"/>
  <c r="AD5" i="7"/>
  <c r="AC63" i="7"/>
  <c r="AC64" i="7"/>
  <c r="AC65" i="7"/>
  <c r="AC66" i="7"/>
  <c r="AC67" i="7"/>
  <c r="AC68" i="7"/>
  <c r="AC69" i="7"/>
  <c r="AC70" i="7"/>
  <c r="AC71" i="7"/>
  <c r="AC72" i="7"/>
  <c r="AC73" i="7"/>
  <c r="AC74" i="7"/>
  <c r="AC75" i="7"/>
  <c r="AC76" i="7"/>
  <c r="AC77" i="7"/>
  <c r="AC78" i="7"/>
  <c r="AC79" i="7"/>
  <c r="AC80" i="7"/>
  <c r="AC81" i="7"/>
  <c r="AC82" i="7"/>
  <c r="AC83" i="7"/>
  <c r="AC84" i="7"/>
  <c r="AC85" i="7"/>
  <c r="AC86" i="7"/>
  <c r="AB273" i="5"/>
  <c r="AF4" i="7"/>
  <c r="AF3" i="7" s="1"/>
  <c r="AL8" i="6"/>
  <c r="AK9" i="6"/>
  <c r="AD89" i="7" l="1"/>
  <c r="V89" i="7"/>
  <c r="N89" i="7"/>
  <c r="F89" i="7"/>
  <c r="AC89" i="7"/>
  <c r="U89" i="7"/>
  <c r="M89" i="7"/>
  <c r="E89" i="7"/>
  <c r="Z89" i="7"/>
  <c r="P89" i="7"/>
  <c r="D90" i="7"/>
  <c r="Y89" i="7"/>
  <c r="O89" i="7"/>
  <c r="X89" i="7"/>
  <c r="L89" i="7"/>
  <c r="AB89" i="7"/>
  <c r="J89" i="7"/>
  <c r="AA89" i="7"/>
  <c r="I89" i="7"/>
  <c r="Q89" i="7"/>
  <c r="W89" i="7"/>
  <c r="T89" i="7"/>
  <c r="G89" i="7"/>
  <c r="R89" i="7"/>
  <c r="S89" i="7"/>
  <c r="K89" i="7"/>
  <c r="H89" i="7"/>
  <c r="AD270" i="5"/>
  <c r="AD271" i="5"/>
  <c r="AE11" i="5"/>
  <c r="AD265" i="5"/>
  <c r="AD260" i="5"/>
  <c r="AD263" i="5" s="1"/>
  <c r="P48" i="3" s="1"/>
  <c r="AD269" i="5"/>
  <c r="AD272" i="5"/>
  <c r="AF105" i="5"/>
  <c r="AF107" i="5" s="1"/>
  <c r="AF233" i="5" s="1"/>
  <c r="AH10" i="5"/>
  <c r="AC39" i="5"/>
  <c r="AC31" i="5" s="1"/>
  <c r="AC26" i="5" s="1"/>
  <c r="AC224" i="5"/>
  <c r="AG258" i="5"/>
  <c r="AG207" i="5"/>
  <c r="AG198" i="5"/>
  <c r="AG199" i="5" s="1"/>
  <c r="AG222" i="5"/>
  <c r="AG240" i="5"/>
  <c r="AG104" i="5"/>
  <c r="AH7" i="5"/>
  <c r="AG6" i="5"/>
  <c r="P16" i="3"/>
  <c r="AD39" i="5"/>
  <c r="AD31" i="5" s="1"/>
  <c r="AD26" i="5" s="1"/>
  <c r="AD224" i="5"/>
  <c r="P25" i="3" s="1"/>
  <c r="AL9" i="6"/>
  <c r="AM8" i="6"/>
  <c r="AG4" i="7"/>
  <c r="AG3" i="7" s="1"/>
  <c r="AE5" i="7"/>
  <c r="AD63" i="7"/>
  <c r="AD64" i="7"/>
  <c r="AD65" i="7"/>
  <c r="AD66" i="7"/>
  <c r="AD67" i="7"/>
  <c r="AD68" i="7"/>
  <c r="AD69" i="7"/>
  <c r="AD70" i="7"/>
  <c r="AD71" i="7"/>
  <c r="AD72" i="7"/>
  <c r="AD73" i="7"/>
  <c r="AD74" i="7"/>
  <c r="AD75" i="7"/>
  <c r="AD76" i="7"/>
  <c r="AD77" i="7"/>
  <c r="AD78" i="7"/>
  <c r="AD79" i="7"/>
  <c r="AD80" i="7"/>
  <c r="AD81" i="7"/>
  <c r="AD82" i="7"/>
  <c r="AD83" i="7"/>
  <c r="AD84" i="7"/>
  <c r="AD85" i="7"/>
  <c r="AD86" i="7"/>
  <c r="AD87" i="7"/>
  <c r="AC273" i="5"/>
  <c r="AF15" i="5"/>
  <c r="AF12" i="5"/>
  <c r="AE24" i="5"/>
  <c r="AG105" i="5" l="1"/>
  <c r="AG107" i="5" s="1"/>
  <c r="AG233" i="5" s="1"/>
  <c r="AE271" i="5"/>
  <c r="AF11" i="5"/>
  <c r="AE260" i="5"/>
  <c r="AE263" i="5" s="1"/>
  <c r="AE272" i="5"/>
  <c r="AE269" i="5"/>
  <c r="AE265" i="5"/>
  <c r="AE270" i="5"/>
  <c r="AE90" i="7"/>
  <c r="W90" i="7"/>
  <c r="O90" i="7"/>
  <c r="G90" i="7"/>
  <c r="AD90" i="7"/>
  <c r="V90" i="7"/>
  <c r="N90" i="7"/>
  <c r="F90" i="7"/>
  <c r="AA90" i="7"/>
  <c r="Q90" i="7"/>
  <c r="E90" i="7"/>
  <c r="Z90" i="7"/>
  <c r="P90" i="7"/>
  <c r="D91" i="7"/>
  <c r="Y90" i="7"/>
  <c r="M90" i="7"/>
  <c r="AB90" i="7"/>
  <c r="R90" i="7"/>
  <c r="H90" i="7"/>
  <c r="U90" i="7"/>
  <c r="T90" i="7"/>
  <c r="AC90" i="7"/>
  <c r="I90" i="7"/>
  <c r="X90" i="7"/>
  <c r="S90" i="7"/>
  <c r="L90" i="7"/>
  <c r="K90" i="7"/>
  <c r="J90" i="7"/>
  <c r="AI10" i="5"/>
  <c r="P49" i="3"/>
  <c r="P74" i="3" s="1"/>
  <c r="AF24" i="5"/>
  <c r="AG12" i="5"/>
  <c r="AG15" i="5"/>
  <c r="AD273" i="5"/>
  <c r="AE39" i="5"/>
  <c r="AE31" i="5" s="1"/>
  <c r="AE26" i="5" s="1"/>
  <c r="AE224" i="5"/>
  <c r="AE63" i="7"/>
  <c r="AF5" i="7"/>
  <c r="AE64" i="7"/>
  <c r="AE65" i="7"/>
  <c r="AE66" i="7"/>
  <c r="AE67" i="7"/>
  <c r="AE68" i="7"/>
  <c r="AE69" i="7"/>
  <c r="AE70" i="7"/>
  <c r="AE71" i="7"/>
  <c r="AE72" i="7"/>
  <c r="AE73" i="7"/>
  <c r="AE74" i="7"/>
  <c r="AE75" i="7"/>
  <c r="AE76" i="7"/>
  <c r="AE77" i="7"/>
  <c r="AE78" i="7"/>
  <c r="AE79" i="7"/>
  <c r="AE80" i="7"/>
  <c r="AE81" i="7"/>
  <c r="AE82" i="7"/>
  <c r="AE83" i="7"/>
  <c r="AE84" i="7"/>
  <c r="AE85" i="7"/>
  <c r="AE86" i="7"/>
  <c r="AE87" i="7"/>
  <c r="AE88" i="7"/>
  <c r="AH258" i="5"/>
  <c r="AH240" i="5"/>
  <c r="AH222" i="5"/>
  <c r="AH207" i="5"/>
  <c r="AH199" i="5"/>
  <c r="AH198" i="5"/>
  <c r="AH104" i="5"/>
  <c r="AI7" i="5"/>
  <c r="AH6" i="5"/>
  <c r="AN8" i="6"/>
  <c r="AM9" i="6"/>
  <c r="AH4" i="7"/>
  <c r="AH3" i="7" s="1"/>
  <c r="AD267" i="5"/>
  <c r="P46" i="3"/>
  <c r="P45" i="3" s="1"/>
  <c r="AE89" i="7"/>
  <c r="AO8" i="6" l="1"/>
  <c r="AN9" i="6"/>
  <c r="AI4" i="7"/>
  <c r="AI3" i="7" s="1"/>
  <c r="AH12" i="5"/>
  <c r="AH15" i="5"/>
  <c r="AF63" i="7"/>
  <c r="AF64" i="7"/>
  <c r="AG5" i="7"/>
  <c r="AF65" i="7"/>
  <c r="AF66" i="7"/>
  <c r="AF67" i="7"/>
  <c r="AF68" i="7"/>
  <c r="AF69" i="7"/>
  <c r="AF70" i="7"/>
  <c r="AF71" i="7"/>
  <c r="AF72" i="7"/>
  <c r="AF73" i="7"/>
  <c r="AF74" i="7"/>
  <c r="AF75" i="7"/>
  <c r="AF76" i="7"/>
  <c r="AF77" i="7"/>
  <c r="AF78" i="7"/>
  <c r="AF79" i="7"/>
  <c r="AF80" i="7"/>
  <c r="AF81" i="7"/>
  <c r="AF82" i="7"/>
  <c r="AF83" i="7"/>
  <c r="AF84" i="7"/>
  <c r="AF85" i="7"/>
  <c r="AF86" i="7"/>
  <c r="AF87" i="7"/>
  <c r="AF88" i="7"/>
  <c r="AF89" i="7"/>
  <c r="AF270" i="5"/>
  <c r="AF271" i="5"/>
  <c r="AG11" i="5"/>
  <c r="AF269" i="5"/>
  <c r="AF260" i="5"/>
  <c r="AF263" i="5" s="1"/>
  <c r="AF265" i="5"/>
  <c r="AF267" i="5" s="1"/>
  <c r="AF272" i="5"/>
  <c r="AI240" i="5"/>
  <c r="AI258" i="5"/>
  <c r="AI222" i="5"/>
  <c r="AI207" i="5"/>
  <c r="AI199" i="5"/>
  <c r="AI198" i="5"/>
  <c r="AI104" i="5"/>
  <c r="AI6" i="5"/>
  <c r="AJ7" i="5"/>
  <c r="AF91" i="7"/>
  <c r="X91" i="7"/>
  <c r="P91" i="7"/>
  <c r="H91" i="7"/>
  <c r="AE91" i="7"/>
  <c r="W91" i="7"/>
  <c r="O91" i="7"/>
  <c r="G91" i="7"/>
  <c r="AB91" i="7"/>
  <c r="R91" i="7"/>
  <c r="F91" i="7"/>
  <c r="AA91" i="7"/>
  <c r="Q91" i="7"/>
  <c r="E91" i="7"/>
  <c r="Z91" i="7"/>
  <c r="N91" i="7"/>
  <c r="AC91" i="7"/>
  <c r="S91" i="7"/>
  <c r="I91" i="7"/>
  <c r="D92" i="7"/>
  <c r="Y91" i="7"/>
  <c r="V91" i="7"/>
  <c r="U91" i="7"/>
  <c r="AD91" i="7"/>
  <c r="J91" i="7"/>
  <c r="L91" i="7"/>
  <c r="T91" i="7"/>
  <c r="AG91" i="7"/>
  <c r="M91" i="7"/>
  <c r="K91" i="7"/>
  <c r="AE267" i="5"/>
  <c r="AG24" i="5"/>
  <c r="AF90" i="7"/>
  <c r="AH105" i="5"/>
  <c r="AH107" i="5"/>
  <c r="AH233" i="5" s="1"/>
  <c r="AF224" i="5"/>
  <c r="AF39" i="5"/>
  <c r="AF31" i="5" s="1"/>
  <c r="AF26" i="5" s="1"/>
  <c r="AJ10" i="5"/>
  <c r="AE273" i="5"/>
  <c r="AK10" i="5" l="1"/>
  <c r="AI12" i="5"/>
  <c r="AI15" i="5"/>
  <c r="AF273" i="5"/>
  <c r="AJ4" i="7"/>
  <c r="AJ3" i="7" s="1"/>
  <c r="AO9" i="6"/>
  <c r="AP8" i="6"/>
  <c r="AI105" i="5"/>
  <c r="AI107" i="5"/>
  <c r="AI233" i="5" s="1"/>
  <c r="AG271" i="5"/>
  <c r="AG270" i="5"/>
  <c r="AH11" i="5"/>
  <c r="AG265" i="5"/>
  <c r="AG267" i="5" s="1"/>
  <c r="AG269" i="5"/>
  <c r="AG260" i="5"/>
  <c r="AG263" i="5" s="1"/>
  <c r="AG272" i="5"/>
  <c r="AJ240" i="5"/>
  <c r="AJ258" i="5"/>
  <c r="AJ222" i="5"/>
  <c r="AJ207" i="5"/>
  <c r="AJ199" i="5"/>
  <c r="AJ198" i="5"/>
  <c r="AJ104" i="5"/>
  <c r="AJ6" i="5"/>
  <c r="AK7" i="5"/>
  <c r="AG224" i="5"/>
  <c r="AG39" i="5"/>
  <c r="AG31" i="5" s="1"/>
  <c r="AG26" i="5" s="1"/>
  <c r="AG92" i="7"/>
  <c r="Y92" i="7"/>
  <c r="Q92" i="7"/>
  <c r="I92" i="7"/>
  <c r="AF92" i="7"/>
  <c r="X92" i="7"/>
  <c r="P92" i="7"/>
  <c r="H92" i="7"/>
  <c r="AC92" i="7"/>
  <c r="S92" i="7"/>
  <c r="G92" i="7"/>
  <c r="AB92" i="7"/>
  <c r="R92" i="7"/>
  <c r="F92" i="7"/>
  <c r="AA92" i="7"/>
  <c r="O92" i="7"/>
  <c r="E92" i="7"/>
  <c r="AD92" i="7"/>
  <c r="T92" i="7"/>
  <c r="J92" i="7"/>
  <c r="Z92" i="7"/>
  <c r="W92" i="7"/>
  <c r="D93" i="7"/>
  <c r="V92" i="7"/>
  <c r="AE92" i="7"/>
  <c r="K92" i="7"/>
  <c r="U92" i="7"/>
  <c r="N92" i="7"/>
  <c r="M92" i="7"/>
  <c r="L92" i="7"/>
  <c r="AG63" i="7"/>
  <c r="AG64" i="7"/>
  <c r="AH5"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J105" i="5" l="1"/>
  <c r="AJ107" i="5"/>
  <c r="AJ233" i="5" s="1"/>
  <c r="AI5" i="7"/>
  <c r="AH64" i="7"/>
  <c r="AH63" i="7"/>
  <c r="AH65" i="7"/>
  <c r="AH66" i="7"/>
  <c r="AH67" i="7"/>
  <c r="AH68" i="7"/>
  <c r="AH69" i="7"/>
  <c r="AH70" i="7"/>
  <c r="AH71" i="7"/>
  <c r="AH72" i="7"/>
  <c r="AH73" i="7"/>
  <c r="AH74" i="7"/>
  <c r="AH75" i="7"/>
  <c r="AH76" i="7"/>
  <c r="AH77" i="7"/>
  <c r="AH78" i="7"/>
  <c r="AH79" i="7"/>
  <c r="AH80" i="7"/>
  <c r="AH81" i="7"/>
  <c r="AH82" i="7"/>
  <c r="AH83" i="7"/>
  <c r="AH84" i="7"/>
  <c r="AH85" i="7"/>
  <c r="AH86" i="7"/>
  <c r="AH87" i="7"/>
  <c r="AH88" i="7"/>
  <c r="AH89" i="7"/>
  <c r="AH90" i="7"/>
  <c r="AH91" i="7"/>
  <c r="AH92" i="7"/>
  <c r="AK258" i="5"/>
  <c r="AK240" i="5"/>
  <c r="AK207" i="5"/>
  <c r="AK199" i="5"/>
  <c r="AK198" i="5"/>
  <c r="AK222" i="5"/>
  <c r="AK104" i="5"/>
  <c r="AK6" i="5"/>
  <c r="AL7" i="5"/>
  <c r="AJ12" i="5"/>
  <c r="AJ15" i="5"/>
  <c r="AL10" i="5"/>
  <c r="AH93" i="7"/>
  <c r="Z93" i="7"/>
  <c r="R93" i="7"/>
  <c r="J93" i="7"/>
  <c r="AG93" i="7"/>
  <c r="Y93" i="7"/>
  <c r="Q93" i="7"/>
  <c r="I93" i="7"/>
  <c r="AF93" i="7"/>
  <c r="X93" i="7"/>
  <c r="P93" i="7"/>
  <c r="H93" i="7"/>
  <c r="W93" i="7"/>
  <c r="L93" i="7"/>
  <c r="V93" i="7"/>
  <c r="K93" i="7"/>
  <c r="AI93" i="7"/>
  <c r="U93" i="7"/>
  <c r="G93" i="7"/>
  <c r="AA93" i="7"/>
  <c r="M93" i="7"/>
  <c r="AE93" i="7"/>
  <c r="F93" i="7"/>
  <c r="AD93" i="7"/>
  <c r="E93" i="7"/>
  <c r="AC93" i="7"/>
  <c r="D94" i="7"/>
  <c r="N93" i="7"/>
  <c r="S93" i="7"/>
  <c r="O93" i="7"/>
  <c r="AB93" i="7"/>
  <c r="T93" i="7"/>
  <c r="AH271" i="5"/>
  <c r="AH270" i="5"/>
  <c r="AI11" i="5"/>
  <c r="AH269" i="5"/>
  <c r="AH273" i="5" s="1"/>
  <c r="AH265" i="5"/>
  <c r="AH267" i="5" s="1"/>
  <c r="AH260" i="5"/>
  <c r="AH263" i="5" s="1"/>
  <c r="AH272" i="5"/>
  <c r="AQ8" i="6"/>
  <c r="AP9" i="6"/>
  <c r="AK4" i="7"/>
  <c r="AK3" i="7" s="1"/>
  <c r="AG273" i="5"/>
  <c r="AH24" i="5"/>
  <c r="AL258" i="5" l="1"/>
  <c r="AL240" i="5"/>
  <c r="AL207" i="5"/>
  <c r="AL199" i="5"/>
  <c r="AL198" i="5"/>
  <c r="AL222" i="5"/>
  <c r="AL104" i="5"/>
  <c r="AM7" i="5"/>
  <c r="AL6" i="5"/>
  <c r="AK107" i="5"/>
  <c r="AK233" i="5" s="1"/>
  <c r="AK105" i="5"/>
  <c r="AK15" i="5"/>
  <c r="AK12" i="5"/>
  <c r="AJ5" i="7"/>
  <c r="AI63"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D95" i="7"/>
  <c r="AI94" i="7"/>
  <c r="AA94" i="7"/>
  <c r="S94" i="7"/>
  <c r="K94" i="7"/>
  <c r="AH94" i="7"/>
  <c r="Z94" i="7"/>
  <c r="R94" i="7"/>
  <c r="J94" i="7"/>
  <c r="AG94" i="7"/>
  <c r="Y94" i="7"/>
  <c r="Q94" i="7"/>
  <c r="I94" i="7"/>
  <c r="X94" i="7"/>
  <c r="M94" i="7"/>
  <c r="W94" i="7"/>
  <c r="L94" i="7"/>
  <c r="AJ94" i="7"/>
  <c r="V94" i="7"/>
  <c r="H94" i="7"/>
  <c r="AB94" i="7"/>
  <c r="N94" i="7"/>
  <c r="U94" i="7"/>
  <c r="T94" i="7"/>
  <c r="P94" i="7"/>
  <c r="AC94" i="7"/>
  <c r="AF94" i="7"/>
  <c r="F94" i="7"/>
  <c r="AD94" i="7"/>
  <c r="AE94" i="7"/>
  <c r="O94" i="7"/>
  <c r="G94" i="7"/>
  <c r="E94" i="7"/>
  <c r="AH39" i="5"/>
  <c r="AH31" i="5" s="1"/>
  <c r="AH26" i="5" s="1"/>
  <c r="AH224" i="5"/>
  <c r="AI271" i="5"/>
  <c r="AI270" i="5"/>
  <c r="AJ11" i="5"/>
  <c r="AI269" i="5"/>
  <c r="AI273" i="5" s="1"/>
  <c r="AI260" i="5"/>
  <c r="AI263" i="5" s="1"/>
  <c r="AI265" i="5"/>
  <c r="AI267" i="5" s="1"/>
  <c r="AI272" i="5"/>
  <c r="AI24" i="5"/>
  <c r="AL4" i="7"/>
  <c r="AL3" i="7" s="1"/>
  <c r="AQ9" i="6"/>
  <c r="AR8" i="6"/>
  <c r="AM10" i="5"/>
  <c r="AL15" i="5" l="1"/>
  <c r="AL12" i="5"/>
  <c r="AM258" i="5"/>
  <c r="AM207" i="5"/>
  <c r="AM198" i="5"/>
  <c r="AM199" i="5" s="1"/>
  <c r="AM240" i="5"/>
  <c r="AM222" i="5"/>
  <c r="AM104" i="5"/>
  <c r="AN7" i="5"/>
  <c r="AM6" i="5"/>
  <c r="AJ95" i="7"/>
  <c r="AB95" i="7"/>
  <c r="T95" i="7"/>
  <c r="L95" i="7"/>
  <c r="D96" i="7"/>
  <c r="AI95" i="7"/>
  <c r="AA95" i="7"/>
  <c r="S95" i="7"/>
  <c r="K95" i="7"/>
  <c r="AH95" i="7"/>
  <c r="Z95" i="7"/>
  <c r="R95" i="7"/>
  <c r="J95" i="7"/>
  <c r="Y95" i="7"/>
  <c r="N95" i="7"/>
  <c r="X95" i="7"/>
  <c r="M95" i="7"/>
  <c r="W95" i="7"/>
  <c r="I95" i="7"/>
  <c r="AC95" i="7"/>
  <c r="O95" i="7"/>
  <c r="AG95" i="7"/>
  <c r="H95" i="7"/>
  <c r="AF95" i="7"/>
  <c r="G95" i="7"/>
  <c r="AE95" i="7"/>
  <c r="F95" i="7"/>
  <c r="P95" i="7"/>
  <c r="AD95" i="7"/>
  <c r="V95" i="7"/>
  <c r="Q95" i="7"/>
  <c r="E95" i="7"/>
  <c r="U95" i="7"/>
  <c r="AJ271" i="5"/>
  <c r="AJ270" i="5"/>
  <c r="AK11" i="5"/>
  <c r="AK24" i="5" s="1"/>
  <c r="AJ269" i="5"/>
  <c r="AJ273" i="5" s="1"/>
  <c r="AJ272" i="5"/>
  <c r="AJ265" i="5"/>
  <c r="AJ267" i="5" s="1"/>
  <c r="AJ260" i="5"/>
  <c r="AJ263" i="5" s="1"/>
  <c r="AJ24" i="5"/>
  <c r="AI224" i="5"/>
  <c r="AI39" i="5"/>
  <c r="AI31" i="5" s="1"/>
  <c r="AI26" i="5" s="1"/>
  <c r="AL105" i="5"/>
  <c r="AL107" i="5"/>
  <c r="AL233" i="5" s="1"/>
  <c r="AR9" i="6"/>
  <c r="AM4" i="7"/>
  <c r="AM3" i="7" s="1"/>
  <c r="AS8" i="6"/>
  <c r="AN10" i="5"/>
  <c r="AK5" i="7"/>
  <c r="AK95" i="7" s="1"/>
  <c r="AJ63" i="7"/>
  <c r="AJ64" i="7"/>
  <c r="AJ65" i="7"/>
  <c r="AJ66" i="7"/>
  <c r="AJ67" i="7"/>
  <c r="AJ68" i="7"/>
  <c r="AJ69" i="7"/>
  <c r="AJ70" i="7"/>
  <c r="AJ71" i="7"/>
  <c r="AJ72" i="7"/>
  <c r="AJ73" i="7"/>
  <c r="AJ74" i="7"/>
  <c r="AJ75" i="7"/>
  <c r="AJ76" i="7"/>
  <c r="AJ77" i="7"/>
  <c r="AJ78" i="7"/>
  <c r="AJ79" i="7"/>
  <c r="AJ80" i="7"/>
  <c r="AJ81" i="7"/>
  <c r="AJ82" i="7"/>
  <c r="AJ83" i="7"/>
  <c r="AJ84" i="7"/>
  <c r="AJ85" i="7"/>
  <c r="AJ86" i="7"/>
  <c r="AJ87" i="7"/>
  <c r="AJ88" i="7"/>
  <c r="AJ89" i="7"/>
  <c r="AJ90" i="7"/>
  <c r="AJ91" i="7"/>
  <c r="AJ92" i="7"/>
  <c r="AJ93" i="7"/>
  <c r="AK39" i="5" l="1"/>
  <c r="AK31" i="5" s="1"/>
  <c r="AK26" i="5" s="1"/>
  <c r="AK224" i="5"/>
  <c r="AJ39" i="5"/>
  <c r="AJ31" i="5" s="1"/>
  <c r="AJ26" i="5" s="1"/>
  <c r="AJ224" i="5"/>
  <c r="AO10" i="5"/>
  <c r="AN4" i="7"/>
  <c r="AN3" i="7" s="1"/>
  <c r="AS9" i="6"/>
  <c r="AT8" i="6"/>
  <c r="AM15" i="5"/>
  <c r="AM12" i="5"/>
  <c r="AM105" i="5"/>
  <c r="AM107" i="5"/>
  <c r="AM233" i="5" s="1"/>
  <c r="AL5" i="7"/>
  <c r="AK63"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6" i="7"/>
  <c r="AC96" i="7"/>
  <c r="U96" i="7"/>
  <c r="M96" i="7"/>
  <c r="E96" i="7"/>
  <c r="AJ96" i="7"/>
  <c r="AB96" i="7"/>
  <c r="T96" i="7"/>
  <c r="L96" i="7"/>
  <c r="D97" i="7"/>
  <c r="AI96" i="7"/>
  <c r="AA96" i="7"/>
  <c r="S96" i="7"/>
  <c r="K96" i="7"/>
  <c r="Z96" i="7"/>
  <c r="O96" i="7"/>
  <c r="Y96" i="7"/>
  <c r="N96" i="7"/>
  <c r="AL96" i="7"/>
  <c r="X96" i="7"/>
  <c r="J96" i="7"/>
  <c r="AD96" i="7"/>
  <c r="P96" i="7"/>
  <c r="W96" i="7"/>
  <c r="V96" i="7"/>
  <c r="R96" i="7"/>
  <c r="AE96" i="7"/>
  <c r="F96" i="7"/>
  <c r="Q96" i="7"/>
  <c r="I96" i="7"/>
  <c r="H96" i="7"/>
  <c r="G96" i="7"/>
  <c r="AG96" i="7"/>
  <c r="AH96" i="7"/>
  <c r="AF96" i="7"/>
  <c r="AK271" i="5"/>
  <c r="AK270" i="5"/>
  <c r="AL11" i="5"/>
  <c r="AK269" i="5"/>
  <c r="AK272" i="5"/>
  <c r="AK265" i="5"/>
  <c r="AK267" i="5" s="1"/>
  <c r="AK260" i="5"/>
  <c r="AK263" i="5" s="1"/>
  <c r="AN258" i="5"/>
  <c r="AN207" i="5"/>
  <c r="AN198" i="5"/>
  <c r="AN199" i="5" s="1"/>
  <c r="AN240" i="5"/>
  <c r="AN222" i="5"/>
  <c r="AN104" i="5"/>
  <c r="AO7" i="5"/>
  <c r="AN6" i="5"/>
  <c r="AN105" i="5" l="1"/>
  <c r="AN107" i="5"/>
  <c r="AN233" i="5" s="1"/>
  <c r="AL97" i="7"/>
  <c r="AD97" i="7"/>
  <c r="V97" i="7"/>
  <c r="N97" i="7"/>
  <c r="F97" i="7"/>
  <c r="AK97" i="7"/>
  <c r="AC97" i="7"/>
  <c r="U97" i="7"/>
  <c r="M97" i="7"/>
  <c r="E97" i="7"/>
  <c r="AJ97" i="7"/>
  <c r="AB97" i="7"/>
  <c r="T97" i="7"/>
  <c r="L97" i="7"/>
  <c r="AA97" i="7"/>
  <c r="P97" i="7"/>
  <c r="Z97" i="7"/>
  <c r="O97" i="7"/>
  <c r="Y97" i="7"/>
  <c r="K97" i="7"/>
  <c r="D98" i="7"/>
  <c r="AE97" i="7"/>
  <c r="Q97" i="7"/>
  <c r="AI97" i="7"/>
  <c r="J97" i="7"/>
  <c r="AH97" i="7"/>
  <c r="I97" i="7"/>
  <c r="AG97" i="7"/>
  <c r="H97" i="7"/>
  <c r="R97" i="7"/>
  <c r="G97" i="7"/>
  <c r="AF97" i="7"/>
  <c r="W97" i="7"/>
  <c r="S97" i="7"/>
  <c r="X97" i="7"/>
  <c r="AO258" i="5"/>
  <c r="AO207" i="5"/>
  <c r="AO198" i="5"/>
  <c r="AO199" i="5" s="1"/>
  <c r="AO240" i="5"/>
  <c r="AO222" i="5"/>
  <c r="AO104" i="5"/>
  <c r="AP7" i="5"/>
  <c r="AO6" i="5"/>
  <c r="AK273" i="5"/>
  <c r="AP10" i="5"/>
  <c r="AN12" i="5"/>
  <c r="AN15" i="5"/>
  <c r="AL270" i="5"/>
  <c r="AL271" i="5"/>
  <c r="AM11" i="5"/>
  <c r="AL260" i="5"/>
  <c r="AL263" i="5" s="1"/>
  <c r="AL269" i="5"/>
  <c r="AL265" i="5"/>
  <c r="AL267" i="5" s="1"/>
  <c r="AL272" i="5"/>
  <c r="AM5" i="7"/>
  <c r="AL63" i="7"/>
  <c r="AL64" i="7"/>
  <c r="AL65"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L91" i="7"/>
  <c r="AL92" i="7"/>
  <c r="AL93" i="7"/>
  <c r="AL94" i="7"/>
  <c r="AL95" i="7"/>
  <c r="AM24" i="5"/>
  <c r="AL24" i="5"/>
  <c r="AT9" i="6"/>
  <c r="AO4" i="7"/>
  <c r="AO3" i="7" s="1"/>
  <c r="AU8" i="6"/>
  <c r="AP258" i="5" l="1"/>
  <c r="AP240" i="5"/>
  <c r="Q33" i="3" s="1"/>
  <c r="Q70" i="3" s="1"/>
  <c r="AP222" i="5"/>
  <c r="AP207" i="5"/>
  <c r="AP199" i="5"/>
  <c r="AP198" i="5"/>
  <c r="AP104" i="5"/>
  <c r="AQ7" i="5"/>
  <c r="AP6" i="5"/>
  <c r="AN5"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O105" i="5"/>
  <c r="AO107" i="5" s="1"/>
  <c r="AO233" i="5" s="1"/>
  <c r="AM98" i="7"/>
  <c r="AE98" i="7"/>
  <c r="W98" i="7"/>
  <c r="O98" i="7"/>
  <c r="G98" i="7"/>
  <c r="AL98" i="7"/>
  <c r="AD98" i="7"/>
  <c r="V98" i="7"/>
  <c r="N98" i="7"/>
  <c r="F98" i="7"/>
  <c r="AK98" i="7"/>
  <c r="AC98" i="7"/>
  <c r="U98" i="7"/>
  <c r="M98" i="7"/>
  <c r="E98" i="7"/>
  <c r="D99" i="7"/>
  <c r="AB98" i="7"/>
  <c r="Q98" i="7"/>
  <c r="AA98" i="7"/>
  <c r="P98" i="7"/>
  <c r="AN98" i="7"/>
  <c r="Z98" i="7"/>
  <c r="L98" i="7"/>
  <c r="AF98" i="7"/>
  <c r="R98" i="7"/>
  <c r="Y98" i="7"/>
  <c r="X98" i="7"/>
  <c r="T98" i="7"/>
  <c r="AG98" i="7"/>
  <c r="H98" i="7"/>
  <c r="AJ98" i="7"/>
  <c r="AI98" i="7"/>
  <c r="AH98" i="7"/>
  <c r="S98" i="7"/>
  <c r="J98" i="7"/>
  <c r="K98" i="7"/>
  <c r="I98" i="7"/>
  <c r="AL273" i="5"/>
  <c r="AM39" i="5"/>
  <c r="AM31" i="5" s="1"/>
  <c r="AM26" i="5" s="1"/>
  <c r="AM224" i="5"/>
  <c r="AM270" i="5"/>
  <c r="AM271" i="5"/>
  <c r="AN11" i="5"/>
  <c r="AM260" i="5"/>
  <c r="AM263" i="5" s="1"/>
  <c r="AM269" i="5"/>
  <c r="AM265" i="5"/>
  <c r="AM267" i="5" s="1"/>
  <c r="AM272" i="5"/>
  <c r="AP4" i="7"/>
  <c r="AP3" i="7" s="1"/>
  <c r="AV8" i="6"/>
  <c r="AU9" i="6"/>
  <c r="AM97" i="7"/>
  <c r="AQ10" i="5"/>
  <c r="AL224" i="5"/>
  <c r="AL39" i="5"/>
  <c r="AL31" i="5" s="1"/>
  <c r="AL26" i="5" s="1"/>
  <c r="AO12" i="5"/>
  <c r="AO15" i="5"/>
  <c r="AM273" i="5" l="1"/>
  <c r="AP12" i="5"/>
  <c r="AP15" i="5"/>
  <c r="AR10" i="5"/>
  <c r="AQ240" i="5"/>
  <c r="AQ258" i="5"/>
  <c r="AQ198" i="5"/>
  <c r="AQ207" i="5"/>
  <c r="AQ199" i="5"/>
  <c r="AQ104" i="5"/>
  <c r="AR7" i="5"/>
  <c r="AQ6" i="5"/>
  <c r="AP105" i="5"/>
  <c r="AP107" i="5"/>
  <c r="AP233" i="5" s="1"/>
  <c r="AN270" i="5"/>
  <c r="AN271" i="5"/>
  <c r="AO11" i="5"/>
  <c r="AO24" i="5" s="1"/>
  <c r="AN260" i="5"/>
  <c r="AN263" i="5" s="1"/>
  <c r="AN265" i="5"/>
  <c r="AN267" i="5" s="1"/>
  <c r="AN269" i="5"/>
  <c r="AN272" i="5"/>
  <c r="AN24" i="5"/>
  <c r="AN63" i="7"/>
  <c r="AO5" i="7"/>
  <c r="AN64" i="7"/>
  <c r="AN65" i="7"/>
  <c r="AN66" i="7"/>
  <c r="AN67" i="7"/>
  <c r="AN68" i="7"/>
  <c r="AN69" i="7"/>
  <c r="AN70" i="7"/>
  <c r="AN71" i="7"/>
  <c r="AN72" i="7"/>
  <c r="AN73" i="7"/>
  <c r="AN74" i="7"/>
  <c r="AN75" i="7"/>
  <c r="AN76" i="7"/>
  <c r="AN77" i="7"/>
  <c r="AN78" i="7"/>
  <c r="AN79" i="7"/>
  <c r="AN80" i="7"/>
  <c r="AN81" i="7"/>
  <c r="AN82" i="7"/>
  <c r="AN83" i="7"/>
  <c r="AN84" i="7"/>
  <c r="AN85" i="7"/>
  <c r="AN86" i="7"/>
  <c r="AN87" i="7"/>
  <c r="AN88" i="7"/>
  <c r="AN89" i="7"/>
  <c r="AN90" i="7"/>
  <c r="AN91" i="7"/>
  <c r="AN92" i="7"/>
  <c r="AN93" i="7"/>
  <c r="AN94" i="7"/>
  <c r="AN95" i="7"/>
  <c r="AN96" i="7"/>
  <c r="AN97" i="7"/>
  <c r="AW8" i="6"/>
  <c r="AQ4" i="7"/>
  <c r="AQ3" i="7" s="1"/>
  <c r="AV9" i="6"/>
  <c r="AN99" i="7"/>
  <c r="AF99" i="7"/>
  <c r="X99" i="7"/>
  <c r="P99" i="7"/>
  <c r="H99" i="7"/>
  <c r="AM99" i="7"/>
  <c r="AE99" i="7"/>
  <c r="W99" i="7"/>
  <c r="O99" i="7"/>
  <c r="G99" i="7"/>
  <c r="AL99" i="7"/>
  <c r="AD99" i="7"/>
  <c r="V99" i="7"/>
  <c r="N99" i="7"/>
  <c r="F99" i="7"/>
  <c r="AC99" i="7"/>
  <c r="R99" i="7"/>
  <c r="D100" i="7"/>
  <c r="AB99" i="7"/>
  <c r="Q99" i="7"/>
  <c r="AO99" i="7"/>
  <c r="AA99" i="7"/>
  <c r="M99" i="7"/>
  <c r="AG99" i="7"/>
  <c r="S99" i="7"/>
  <c r="E99" i="7"/>
  <c r="AK99" i="7"/>
  <c r="L99" i="7"/>
  <c r="AJ99" i="7"/>
  <c r="K99" i="7"/>
  <c r="AI99" i="7"/>
  <c r="J99" i="7"/>
  <c r="AH99" i="7"/>
  <c r="I99" i="7"/>
  <c r="T99" i="7"/>
  <c r="Z99" i="7"/>
  <c r="Y99" i="7"/>
  <c r="U99" i="7"/>
  <c r="AO224" i="5" l="1"/>
  <c r="AO39" i="5"/>
  <c r="AO31" i="5" s="1"/>
  <c r="AO26" i="5" s="1"/>
  <c r="AX8" i="6"/>
  <c r="AR4" i="7"/>
  <c r="AR3" i="7" s="1"/>
  <c r="AW9" i="6"/>
  <c r="AN273" i="5"/>
  <c r="AS10" i="5"/>
  <c r="AO100" i="7"/>
  <c r="AG100" i="7"/>
  <c r="Y100" i="7"/>
  <c r="Q100" i="7"/>
  <c r="AN100" i="7"/>
  <c r="AJ100" i="7"/>
  <c r="AA100" i="7"/>
  <c r="R100" i="7"/>
  <c r="I100" i="7"/>
  <c r="D101" i="7"/>
  <c r="AI100" i="7"/>
  <c r="Z100" i="7"/>
  <c r="P100" i="7"/>
  <c r="H100" i="7"/>
  <c r="AH100" i="7"/>
  <c r="X100" i="7"/>
  <c r="O100" i="7"/>
  <c r="G100" i="7"/>
  <c r="AF100" i="7"/>
  <c r="T100" i="7"/>
  <c r="E100" i="7"/>
  <c r="AE100" i="7"/>
  <c r="S100" i="7"/>
  <c r="AD100" i="7"/>
  <c r="N100" i="7"/>
  <c r="AK100" i="7"/>
  <c r="U100" i="7"/>
  <c r="F100" i="7"/>
  <c r="AC100" i="7"/>
  <c r="AB100" i="7"/>
  <c r="W100" i="7"/>
  <c r="V100" i="7"/>
  <c r="AL100" i="7"/>
  <c r="J100" i="7"/>
  <c r="AM100" i="7"/>
  <c r="L100" i="7"/>
  <c r="M100" i="7"/>
  <c r="K100" i="7"/>
  <c r="AN224" i="5"/>
  <c r="AN39" i="5"/>
  <c r="AN31" i="5" s="1"/>
  <c r="AN26" i="5" s="1"/>
  <c r="AO270" i="5"/>
  <c r="AO271" i="5"/>
  <c r="AP11" i="5"/>
  <c r="AO260" i="5"/>
  <c r="AO263" i="5" s="1"/>
  <c r="AO269" i="5"/>
  <c r="AO265" i="5"/>
  <c r="AO267" i="5" s="1"/>
  <c r="AO272" i="5"/>
  <c r="AQ105" i="5"/>
  <c r="AQ107" i="5"/>
  <c r="AQ233" i="5" s="1"/>
  <c r="AR240" i="5"/>
  <c r="AR258" i="5"/>
  <c r="AR222" i="5"/>
  <c r="AR198" i="5"/>
  <c r="AR207" i="5"/>
  <c r="AR199" i="5"/>
  <c r="AR104" i="5"/>
  <c r="AS7" i="5"/>
  <c r="AR6" i="5"/>
  <c r="AO63" i="7"/>
  <c r="AP5"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Q12" i="5"/>
  <c r="AQ15" i="5"/>
  <c r="AP63" i="7" l="1"/>
  <c r="AQ5" i="7"/>
  <c r="AP64" i="7"/>
  <c r="AP65" i="7"/>
  <c r="AP66" i="7"/>
  <c r="AP67" i="7"/>
  <c r="AP68" i="7"/>
  <c r="AP69" i="7"/>
  <c r="AP70" i="7"/>
  <c r="AP71" i="7"/>
  <c r="AP72" i="7"/>
  <c r="AP73" i="7"/>
  <c r="AP74" i="7"/>
  <c r="AP75" i="7"/>
  <c r="AP76" i="7"/>
  <c r="AP77" i="7"/>
  <c r="AP78" i="7"/>
  <c r="AP79" i="7"/>
  <c r="AP80" i="7"/>
  <c r="AP81" i="7"/>
  <c r="AP82" i="7"/>
  <c r="AP83" i="7"/>
  <c r="AP84" i="7"/>
  <c r="AP85" i="7"/>
  <c r="AP86" i="7"/>
  <c r="AP87" i="7"/>
  <c r="AP88" i="7"/>
  <c r="AP89" i="7"/>
  <c r="AP90" i="7"/>
  <c r="AP91" i="7"/>
  <c r="AP92" i="7"/>
  <c r="AP93" i="7"/>
  <c r="AP94" i="7"/>
  <c r="AP95" i="7"/>
  <c r="AP96" i="7"/>
  <c r="AP97" i="7"/>
  <c r="AP98" i="7"/>
  <c r="AP99" i="7"/>
  <c r="AR15" i="5"/>
  <c r="AR12" i="5"/>
  <c r="AP271" i="5"/>
  <c r="AP270" i="5"/>
  <c r="AQ11" i="5"/>
  <c r="AP272" i="5"/>
  <c r="AP269" i="5"/>
  <c r="AP273" i="5" s="1"/>
  <c r="AP265" i="5"/>
  <c r="AP260" i="5"/>
  <c r="AP263" i="5" s="1"/>
  <c r="Q48" i="3" s="1"/>
  <c r="AP101" i="7"/>
  <c r="AH101" i="7"/>
  <c r="Z101" i="7"/>
  <c r="R101" i="7"/>
  <c r="J101" i="7"/>
  <c r="AO101" i="7"/>
  <c r="AG101" i="7"/>
  <c r="Y101" i="7"/>
  <c r="Q101" i="7"/>
  <c r="I101" i="7"/>
  <c r="AK101" i="7"/>
  <c r="AA101" i="7"/>
  <c r="O101" i="7"/>
  <c r="E101" i="7"/>
  <c r="AJ101" i="7"/>
  <c r="X101" i="7"/>
  <c r="N101" i="7"/>
  <c r="D102" i="7"/>
  <c r="AI101" i="7"/>
  <c r="W101" i="7"/>
  <c r="M101" i="7"/>
  <c r="AL101" i="7"/>
  <c r="AB101" i="7"/>
  <c r="P101" i="7"/>
  <c r="F101" i="7"/>
  <c r="AD101" i="7"/>
  <c r="H101" i="7"/>
  <c r="AC101" i="7"/>
  <c r="G101" i="7"/>
  <c r="V101" i="7"/>
  <c r="AE101" i="7"/>
  <c r="K101" i="7"/>
  <c r="AQ101" i="7"/>
  <c r="AN101" i="7"/>
  <c r="AM101" i="7"/>
  <c r="AF101" i="7"/>
  <c r="L101" i="7"/>
  <c r="T101" i="7"/>
  <c r="S101" i="7"/>
  <c r="U101" i="7"/>
  <c r="AS258" i="5"/>
  <c r="AS240" i="5"/>
  <c r="AS198" i="5"/>
  <c r="AS222" i="5"/>
  <c r="AS207" i="5"/>
  <c r="AS199" i="5"/>
  <c r="AS104" i="5"/>
  <c r="AT7" i="5"/>
  <c r="AS6" i="5"/>
  <c r="AR105" i="5"/>
  <c r="AR107" i="5"/>
  <c r="AR233" i="5" s="1"/>
  <c r="AO273" i="5"/>
  <c r="AP100" i="7"/>
  <c r="AP24" i="5"/>
  <c r="AT10" i="5"/>
  <c r="AY8" i="6"/>
  <c r="AX9" i="6"/>
  <c r="AS4" i="7"/>
  <c r="AS3" i="7" s="1"/>
  <c r="Q49" i="3" l="1"/>
  <c r="Q74" i="3" s="1"/>
  <c r="AP267" i="5"/>
  <c r="Q46" i="3"/>
  <c r="Q45" i="3" s="1"/>
  <c r="AT4" i="7"/>
  <c r="AT3" i="7" s="1"/>
  <c r="AY9" i="6"/>
  <c r="AZ8" i="6"/>
  <c r="AQ271" i="5"/>
  <c r="AQ270" i="5"/>
  <c r="AR11" i="5"/>
  <c r="AR24" i="5" s="1"/>
  <c r="AQ272" i="5"/>
  <c r="AQ265" i="5"/>
  <c r="AQ260" i="5"/>
  <c r="AQ263" i="5" s="1"/>
  <c r="AQ269" i="5"/>
  <c r="AS15" i="5"/>
  <c r="AS12" i="5"/>
  <c r="AS107" i="5"/>
  <c r="AS233" i="5" s="1"/>
  <c r="AS105" i="5"/>
  <c r="AQ24" i="5"/>
  <c r="Q16" i="3"/>
  <c r="AP224" i="5"/>
  <c r="Q25" i="3" s="1"/>
  <c r="AP39" i="5"/>
  <c r="AP31" i="5" s="1"/>
  <c r="AP26" i="5" s="1"/>
  <c r="AR5" i="7"/>
  <c r="AQ64" i="7"/>
  <c r="AQ63"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U10" i="5"/>
  <c r="D103" i="7"/>
  <c r="AQ102" i="7"/>
  <c r="AI102" i="7"/>
  <c r="AA102" i="7"/>
  <c r="S102" i="7"/>
  <c r="K102" i="7"/>
  <c r="AP102" i="7"/>
  <c r="AH102" i="7"/>
  <c r="Z102" i="7"/>
  <c r="R102" i="7"/>
  <c r="J102" i="7"/>
  <c r="AL102" i="7"/>
  <c r="AB102" i="7"/>
  <c r="P102" i="7"/>
  <c r="F102" i="7"/>
  <c r="AK102" i="7"/>
  <c r="Y102" i="7"/>
  <c r="O102" i="7"/>
  <c r="E102" i="7"/>
  <c r="AJ102" i="7"/>
  <c r="X102" i="7"/>
  <c r="N102" i="7"/>
  <c r="AM102" i="7"/>
  <c r="AC102" i="7"/>
  <c r="Q102" i="7"/>
  <c r="G102" i="7"/>
  <c r="AE102" i="7"/>
  <c r="I102" i="7"/>
  <c r="AD102" i="7"/>
  <c r="H102" i="7"/>
  <c r="W102" i="7"/>
  <c r="AF102" i="7"/>
  <c r="L102" i="7"/>
  <c r="V102" i="7"/>
  <c r="U102" i="7"/>
  <c r="T102" i="7"/>
  <c r="M102" i="7"/>
  <c r="AG102" i="7"/>
  <c r="AO102" i="7"/>
  <c r="AN102" i="7"/>
  <c r="AT258" i="5"/>
  <c r="AT240" i="5"/>
  <c r="AT198" i="5"/>
  <c r="AT199" i="5" s="1"/>
  <c r="AT222" i="5"/>
  <c r="AT207" i="5"/>
  <c r="AT104" i="5"/>
  <c r="AU7" i="5"/>
  <c r="AT6" i="5"/>
  <c r="AR39" i="5" l="1"/>
  <c r="AR31" i="5" s="1"/>
  <c r="AR26" i="5" s="1"/>
  <c r="AR224" i="5"/>
  <c r="AZ9" i="6"/>
  <c r="AU4" i="7"/>
  <c r="AU3" i="7" s="1"/>
  <c r="BA8" i="6"/>
  <c r="AQ267" i="5"/>
  <c r="AV10" i="5"/>
  <c r="AR103" i="7"/>
  <c r="AJ103" i="7"/>
  <c r="AB103" i="7"/>
  <c r="T103" i="7"/>
  <c r="L103" i="7"/>
  <c r="D104" i="7"/>
  <c r="AQ103" i="7"/>
  <c r="AI103" i="7"/>
  <c r="AA103" i="7"/>
  <c r="S103" i="7"/>
  <c r="K103" i="7"/>
  <c r="AP103" i="7"/>
  <c r="AH103" i="7"/>
  <c r="Z103" i="7"/>
  <c r="R103" i="7"/>
  <c r="J103" i="7"/>
  <c r="AK103" i="7"/>
  <c r="W103" i="7"/>
  <c r="I103" i="7"/>
  <c r="AG103" i="7"/>
  <c r="V103" i="7"/>
  <c r="H103" i="7"/>
  <c r="AF103" i="7"/>
  <c r="U103" i="7"/>
  <c r="G103" i="7"/>
  <c r="AL103" i="7"/>
  <c r="X103" i="7"/>
  <c r="M103" i="7"/>
  <c r="AN103" i="7"/>
  <c r="O103" i="7"/>
  <c r="AM103" i="7"/>
  <c r="N103" i="7"/>
  <c r="AE103" i="7"/>
  <c r="F103" i="7"/>
  <c r="AO103" i="7"/>
  <c r="P103" i="7"/>
  <c r="E103" i="7"/>
  <c r="Q103" i="7"/>
  <c r="Y103" i="7"/>
  <c r="AD103" i="7"/>
  <c r="AC103" i="7"/>
  <c r="AS5" i="7"/>
  <c r="AR63" i="7"/>
  <c r="AR64" i="7"/>
  <c r="AR65" i="7"/>
  <c r="AR66" i="7"/>
  <c r="AR67" i="7"/>
  <c r="AR68" i="7"/>
  <c r="AR69" i="7"/>
  <c r="AR70" i="7"/>
  <c r="AR71" i="7"/>
  <c r="AR72" i="7"/>
  <c r="AR73" i="7"/>
  <c r="AR74" i="7"/>
  <c r="AR75" i="7"/>
  <c r="AR76" i="7"/>
  <c r="AR77" i="7"/>
  <c r="AR78" i="7"/>
  <c r="AR79" i="7"/>
  <c r="AR80" i="7"/>
  <c r="AR81" i="7"/>
  <c r="AR82" i="7"/>
  <c r="AR83" i="7"/>
  <c r="AR84" i="7"/>
  <c r="AR85" i="7"/>
  <c r="AR86" i="7"/>
  <c r="AR87" i="7"/>
  <c r="AR88" i="7"/>
  <c r="AR89" i="7"/>
  <c r="AR90" i="7"/>
  <c r="AR91" i="7"/>
  <c r="AR92" i="7"/>
  <c r="AR93" i="7"/>
  <c r="AR94" i="7"/>
  <c r="AR95" i="7"/>
  <c r="AR96" i="7"/>
  <c r="AR97" i="7"/>
  <c r="AR98" i="7"/>
  <c r="AR99" i="7"/>
  <c r="AR100" i="7"/>
  <c r="AR101" i="7"/>
  <c r="AR271" i="5"/>
  <c r="AR270" i="5"/>
  <c r="AS11" i="5"/>
  <c r="AR265" i="5"/>
  <c r="AR267" i="5" s="1"/>
  <c r="AR260" i="5"/>
  <c r="AR263" i="5" s="1"/>
  <c r="AR272" i="5"/>
  <c r="AR269" i="5"/>
  <c r="AT15" i="5"/>
  <c r="AT12" i="5"/>
  <c r="AT105" i="5"/>
  <c r="AT107" i="5" s="1"/>
  <c r="AT233" i="5" s="1"/>
  <c r="AR102" i="7"/>
  <c r="AU207" i="5"/>
  <c r="AU199" i="5"/>
  <c r="AU198" i="5"/>
  <c r="AU258" i="5"/>
  <c r="AU240" i="5"/>
  <c r="AU222" i="5"/>
  <c r="AU104" i="5"/>
  <c r="AU6" i="5"/>
  <c r="AV7" i="5"/>
  <c r="AQ224" i="5"/>
  <c r="AQ39" i="5"/>
  <c r="AQ31" i="5" s="1"/>
  <c r="AQ26" i="5" s="1"/>
  <c r="AQ273" i="5"/>
  <c r="AV258" i="5" l="1"/>
  <c r="AV207" i="5"/>
  <c r="AV198" i="5"/>
  <c r="AV199" i="5" s="1"/>
  <c r="AV240" i="5"/>
  <c r="AV222" i="5"/>
  <c r="AV104" i="5"/>
  <c r="AW7" i="5"/>
  <c r="AV6" i="5"/>
  <c r="AU105" i="5"/>
  <c r="AU107" i="5"/>
  <c r="AU233" i="5" s="1"/>
  <c r="AS271" i="5"/>
  <c r="AS270" i="5"/>
  <c r="AT11" i="5"/>
  <c r="AS260" i="5"/>
  <c r="AS263" i="5" s="1"/>
  <c r="AS269" i="5"/>
  <c r="AS265" i="5"/>
  <c r="AS267" i="5" s="1"/>
  <c r="AS272" i="5"/>
  <c r="AW10" i="5"/>
  <c r="AS104" i="7"/>
  <c r="AK104" i="7"/>
  <c r="AC104" i="7"/>
  <c r="U104" i="7"/>
  <c r="M104" i="7"/>
  <c r="E104" i="7"/>
  <c r="AR104" i="7"/>
  <c r="AJ104" i="7"/>
  <c r="AB104" i="7"/>
  <c r="T104" i="7"/>
  <c r="L104" i="7"/>
  <c r="D105" i="7"/>
  <c r="AQ104" i="7"/>
  <c r="AI104" i="7"/>
  <c r="AA104" i="7"/>
  <c r="S104" i="7"/>
  <c r="K104" i="7"/>
  <c r="AL104" i="7"/>
  <c r="X104" i="7"/>
  <c r="J104" i="7"/>
  <c r="AH104" i="7"/>
  <c r="W104" i="7"/>
  <c r="I104" i="7"/>
  <c r="AG104" i="7"/>
  <c r="V104" i="7"/>
  <c r="H104" i="7"/>
  <c r="AM104" i="7"/>
  <c r="Y104" i="7"/>
  <c r="N104" i="7"/>
  <c r="AD104" i="7"/>
  <c r="Z104" i="7"/>
  <c r="AT104" i="7"/>
  <c r="R104" i="7"/>
  <c r="AE104" i="7"/>
  <c r="F104" i="7"/>
  <c r="AP104" i="7"/>
  <c r="AO104" i="7"/>
  <c r="AN104" i="7"/>
  <c r="AF104" i="7"/>
  <c r="G104" i="7"/>
  <c r="Q104" i="7"/>
  <c r="P104" i="7"/>
  <c r="O104" i="7"/>
  <c r="AT24" i="5"/>
  <c r="AS24" i="5"/>
  <c r="AT5" i="7"/>
  <c r="AS63" i="7"/>
  <c r="AS64" i="7"/>
  <c r="AS65" i="7"/>
  <c r="AS66" i="7"/>
  <c r="AS67" i="7"/>
  <c r="AS68" i="7"/>
  <c r="AS69" i="7"/>
  <c r="AS70" i="7"/>
  <c r="AS71" i="7"/>
  <c r="AS72" i="7"/>
  <c r="AS73" i="7"/>
  <c r="AS74" i="7"/>
  <c r="AS75" i="7"/>
  <c r="AS76" i="7"/>
  <c r="AS77" i="7"/>
  <c r="AS78" i="7"/>
  <c r="AS79" i="7"/>
  <c r="AS80" i="7"/>
  <c r="AS81" i="7"/>
  <c r="AS82" i="7"/>
  <c r="AS83" i="7"/>
  <c r="AS84" i="7"/>
  <c r="AS85" i="7"/>
  <c r="AS86" i="7"/>
  <c r="AS87" i="7"/>
  <c r="AS88" i="7"/>
  <c r="AS89" i="7"/>
  <c r="AS90" i="7"/>
  <c r="AS91" i="7"/>
  <c r="AS92" i="7"/>
  <c r="AS93" i="7"/>
  <c r="AS94" i="7"/>
  <c r="AS95" i="7"/>
  <c r="AS96" i="7"/>
  <c r="AS97" i="7"/>
  <c r="AS98" i="7"/>
  <c r="AS99" i="7"/>
  <c r="AS100" i="7"/>
  <c r="AS101" i="7"/>
  <c r="AS102" i="7"/>
  <c r="AV4" i="7"/>
  <c r="AV3" i="7" s="1"/>
  <c r="BA9" i="6"/>
  <c r="BB8" i="6"/>
  <c r="AR273" i="5"/>
  <c r="AU15" i="5"/>
  <c r="AU12" i="5"/>
  <c r="AS103" i="7"/>
  <c r="AS224" i="5" l="1"/>
  <c r="AS39" i="5"/>
  <c r="AS31" i="5" s="1"/>
  <c r="AS26" i="5" s="1"/>
  <c r="AV15" i="5"/>
  <c r="AV12" i="5"/>
  <c r="AV105" i="5"/>
  <c r="AV107" i="5"/>
  <c r="AV233" i="5" s="1"/>
  <c r="AX10" i="5"/>
  <c r="AT270" i="5"/>
  <c r="AT271" i="5"/>
  <c r="AU11" i="5"/>
  <c r="AT260" i="5"/>
  <c r="AT263" i="5" s="1"/>
  <c r="AT265" i="5"/>
  <c r="AT267" i="5" s="1"/>
  <c r="AT272" i="5"/>
  <c r="AT269" i="5"/>
  <c r="AW258" i="5"/>
  <c r="AW207" i="5"/>
  <c r="AW198" i="5"/>
  <c r="AW199" i="5" s="1"/>
  <c r="AW222" i="5"/>
  <c r="AW240" i="5"/>
  <c r="AW104" i="5"/>
  <c r="AX7" i="5"/>
  <c r="AW6" i="5"/>
  <c r="AT224" i="5"/>
  <c r="AT39" i="5"/>
  <c r="AT31" i="5" s="1"/>
  <c r="AT26" i="5" s="1"/>
  <c r="AS273" i="5"/>
  <c r="BB9" i="6"/>
  <c r="AW4" i="7"/>
  <c r="AW3" i="7" s="1"/>
  <c r="BC8" i="6"/>
  <c r="AU5" i="7"/>
  <c r="AU105" i="7" s="1"/>
  <c r="AT63" i="7"/>
  <c r="AT64" i="7"/>
  <c r="AT65" i="7"/>
  <c r="AT66" i="7"/>
  <c r="AT67" i="7"/>
  <c r="AT68" i="7"/>
  <c r="AT69" i="7"/>
  <c r="AT70" i="7"/>
  <c r="AT71" i="7"/>
  <c r="AT72" i="7"/>
  <c r="AT73" i="7"/>
  <c r="AT74" i="7"/>
  <c r="AT75" i="7"/>
  <c r="AT76" i="7"/>
  <c r="AT77" i="7"/>
  <c r="AT78" i="7"/>
  <c r="AT79" i="7"/>
  <c r="AT80" i="7"/>
  <c r="AT81" i="7"/>
  <c r="AT82" i="7"/>
  <c r="AT83" i="7"/>
  <c r="AT84" i="7"/>
  <c r="AT85" i="7"/>
  <c r="AT86" i="7"/>
  <c r="AT87" i="7"/>
  <c r="AT88" i="7"/>
  <c r="AT89" i="7"/>
  <c r="AT90" i="7"/>
  <c r="AT91" i="7"/>
  <c r="AT92" i="7"/>
  <c r="AT93" i="7"/>
  <c r="AT94" i="7"/>
  <c r="AT95" i="7"/>
  <c r="AT96" i="7"/>
  <c r="AT97" i="7"/>
  <c r="AT98" i="7"/>
  <c r="AT99" i="7"/>
  <c r="AT100" i="7"/>
  <c r="AT101" i="7"/>
  <c r="AT102" i="7"/>
  <c r="AT103" i="7"/>
  <c r="AT105" i="7"/>
  <c r="AL105" i="7"/>
  <c r="AD105" i="7"/>
  <c r="V105" i="7"/>
  <c r="N105" i="7"/>
  <c r="F105" i="7"/>
  <c r="AS105" i="7"/>
  <c r="AK105" i="7"/>
  <c r="AC105" i="7"/>
  <c r="U105" i="7"/>
  <c r="M105" i="7"/>
  <c r="E105" i="7"/>
  <c r="AR105" i="7"/>
  <c r="AJ105" i="7"/>
  <c r="AB105" i="7"/>
  <c r="T105" i="7"/>
  <c r="L105" i="7"/>
  <c r="AM105" i="7"/>
  <c r="Y105" i="7"/>
  <c r="K105" i="7"/>
  <c r="AI105" i="7"/>
  <c r="X105" i="7"/>
  <c r="J105" i="7"/>
  <c r="AH105" i="7"/>
  <c r="W105" i="7"/>
  <c r="I105" i="7"/>
  <c r="AN105" i="7"/>
  <c r="Z105" i="7"/>
  <c r="O105" i="7"/>
  <c r="AP105" i="7"/>
  <c r="Q105" i="7"/>
  <c r="D106" i="7"/>
  <c r="AO105" i="7"/>
  <c r="P105" i="7"/>
  <c r="AG105" i="7"/>
  <c r="H105" i="7"/>
  <c r="AQ105" i="7"/>
  <c r="R105" i="7"/>
  <c r="AF105" i="7"/>
  <c r="AE105" i="7"/>
  <c r="AA105" i="7"/>
  <c r="S105" i="7"/>
  <c r="G105" i="7"/>
  <c r="AU271" i="5" l="1"/>
  <c r="AU270" i="5"/>
  <c r="AV11" i="5"/>
  <c r="AV24" i="5" s="1"/>
  <c r="AU265" i="5"/>
  <c r="AU272" i="5"/>
  <c r="AU260" i="5"/>
  <c r="AU263" i="5" s="1"/>
  <c r="AU269" i="5"/>
  <c r="AS106" i="7"/>
  <c r="AK106" i="7"/>
  <c r="AC106" i="7"/>
  <c r="U106" i="7"/>
  <c r="M106" i="7"/>
  <c r="E106" i="7"/>
  <c r="AT106" i="7"/>
  <c r="AJ106" i="7"/>
  <c r="AA106" i="7"/>
  <c r="R106" i="7"/>
  <c r="I106" i="7"/>
  <c r="AR106" i="7"/>
  <c r="AI106" i="7"/>
  <c r="Z106" i="7"/>
  <c r="Q106" i="7"/>
  <c r="H106" i="7"/>
  <c r="AQ106" i="7"/>
  <c r="AH106" i="7"/>
  <c r="Y106" i="7"/>
  <c r="P106" i="7"/>
  <c r="G106" i="7"/>
  <c r="AU106" i="7"/>
  <c r="AE106" i="7"/>
  <c r="O106" i="7"/>
  <c r="AP106" i="7"/>
  <c r="AD106" i="7"/>
  <c r="N106" i="7"/>
  <c r="AO106" i="7"/>
  <c r="AB106" i="7"/>
  <c r="L106" i="7"/>
  <c r="AF106" i="7"/>
  <c r="S106" i="7"/>
  <c r="AL106" i="7"/>
  <c r="F106" i="7"/>
  <c r="AG106" i="7"/>
  <c r="X106" i="7"/>
  <c r="D107" i="7"/>
  <c r="AM106" i="7"/>
  <c r="J106" i="7"/>
  <c r="W106" i="7"/>
  <c r="V106" i="7"/>
  <c r="T106" i="7"/>
  <c r="K106" i="7"/>
  <c r="AN106" i="7"/>
  <c r="AW105" i="5"/>
  <c r="AW107" i="5"/>
  <c r="AW233" i="5" s="1"/>
  <c r="AW12" i="5"/>
  <c r="AW15" i="5"/>
  <c r="AT273" i="5"/>
  <c r="AY10" i="5"/>
  <c r="AU24" i="5"/>
  <c r="AX258" i="5"/>
  <c r="AX240" i="5"/>
  <c r="AX222" i="5"/>
  <c r="AX207" i="5"/>
  <c r="AX198" i="5"/>
  <c r="AX199" i="5" s="1"/>
  <c r="AX104" i="5"/>
  <c r="AY7" i="5"/>
  <c r="AX6" i="5"/>
  <c r="BC9" i="6"/>
  <c r="BD8" i="6"/>
  <c r="AX4" i="7"/>
  <c r="AX3" i="7" s="1"/>
  <c r="AV5" i="7"/>
  <c r="AU63" i="7"/>
  <c r="AU64" i="7"/>
  <c r="AU65" i="7"/>
  <c r="AU66" i="7"/>
  <c r="AU67" i="7"/>
  <c r="AU68" i="7"/>
  <c r="AU69" i="7"/>
  <c r="AU70" i="7"/>
  <c r="AU71" i="7"/>
  <c r="AU72" i="7"/>
  <c r="AU73" i="7"/>
  <c r="AU74" i="7"/>
  <c r="AU75" i="7"/>
  <c r="AU76" i="7"/>
  <c r="AU77" i="7"/>
  <c r="AU78" i="7"/>
  <c r="AU79" i="7"/>
  <c r="AU80" i="7"/>
  <c r="AU81" i="7"/>
  <c r="AU82" i="7"/>
  <c r="AU83" i="7"/>
  <c r="AU84" i="7"/>
  <c r="AU85" i="7"/>
  <c r="AU86" i="7"/>
  <c r="AU87" i="7"/>
  <c r="AU88" i="7"/>
  <c r="AU89" i="7"/>
  <c r="AU90" i="7"/>
  <c r="AU91" i="7"/>
  <c r="AU92" i="7"/>
  <c r="AU93" i="7"/>
  <c r="AU94" i="7"/>
  <c r="AU95" i="7"/>
  <c r="AU96" i="7"/>
  <c r="AU97" i="7"/>
  <c r="AU98" i="7"/>
  <c r="AU99" i="7"/>
  <c r="AU100" i="7"/>
  <c r="AU101" i="7"/>
  <c r="AU102" i="7"/>
  <c r="AU103" i="7"/>
  <c r="AU104" i="7"/>
  <c r="AV224" i="5" l="1"/>
  <c r="AV39" i="5"/>
  <c r="AV31" i="5" s="1"/>
  <c r="AV26" i="5" s="1"/>
  <c r="AX105" i="5"/>
  <c r="AX107" i="5"/>
  <c r="AX233" i="5" s="1"/>
  <c r="AU267" i="5"/>
  <c r="AW5" i="7"/>
  <c r="AV63" i="7"/>
  <c r="AV64" i="7"/>
  <c r="AV65" i="7"/>
  <c r="AV66" i="7"/>
  <c r="AV67" i="7"/>
  <c r="AV68" i="7"/>
  <c r="AV69" i="7"/>
  <c r="AV70" i="7"/>
  <c r="AV71" i="7"/>
  <c r="AV72" i="7"/>
  <c r="AV73" i="7"/>
  <c r="AV74" i="7"/>
  <c r="AV75" i="7"/>
  <c r="AV76" i="7"/>
  <c r="AV77" i="7"/>
  <c r="AV78" i="7"/>
  <c r="AV79" i="7"/>
  <c r="AV80" i="7"/>
  <c r="AV81" i="7"/>
  <c r="AV82" i="7"/>
  <c r="AV83" i="7"/>
  <c r="AV84" i="7"/>
  <c r="AV85" i="7"/>
  <c r="AV86" i="7"/>
  <c r="AV87" i="7"/>
  <c r="AV88" i="7"/>
  <c r="AV89" i="7"/>
  <c r="AV90" i="7"/>
  <c r="AV91" i="7"/>
  <c r="AV92" i="7"/>
  <c r="AV93" i="7"/>
  <c r="AV94" i="7"/>
  <c r="AV95" i="7"/>
  <c r="AV96" i="7"/>
  <c r="AV97" i="7"/>
  <c r="AV98" i="7"/>
  <c r="AV99" i="7"/>
  <c r="AV100" i="7"/>
  <c r="AV101" i="7"/>
  <c r="AV102" i="7"/>
  <c r="AV103" i="7"/>
  <c r="AV104" i="7"/>
  <c r="AV105" i="7"/>
  <c r="AU224" i="5"/>
  <c r="AU39" i="5"/>
  <c r="AU31" i="5" s="1"/>
  <c r="AU26" i="5" s="1"/>
  <c r="AV270" i="5"/>
  <c r="AV271" i="5"/>
  <c r="AW11" i="5"/>
  <c r="AW24" i="5" s="1"/>
  <c r="AV269" i="5"/>
  <c r="AV273" i="5" s="1"/>
  <c r="AV265" i="5"/>
  <c r="AV267" i="5" s="1"/>
  <c r="AV272" i="5"/>
  <c r="AV260" i="5"/>
  <c r="AV263" i="5" s="1"/>
  <c r="AU273" i="5"/>
  <c r="AX12" i="5"/>
  <c r="AX15" i="5"/>
  <c r="AY240" i="5"/>
  <c r="AY258" i="5"/>
  <c r="AY222" i="5"/>
  <c r="AY207" i="5"/>
  <c r="AY199" i="5"/>
  <c r="AY198" i="5"/>
  <c r="AY104" i="5"/>
  <c r="AY6" i="5"/>
  <c r="AZ7" i="5"/>
  <c r="AZ10" i="5"/>
  <c r="BE8" i="6"/>
  <c r="BD9" i="6"/>
  <c r="AY4" i="7"/>
  <c r="AY3" i="7" s="1"/>
  <c r="AT107" i="7"/>
  <c r="AL107" i="7"/>
  <c r="AD107" i="7"/>
  <c r="V107" i="7"/>
  <c r="N107" i="7"/>
  <c r="F107" i="7"/>
  <c r="AS107" i="7"/>
  <c r="AK107" i="7"/>
  <c r="AC107" i="7"/>
  <c r="AN107" i="7"/>
  <c r="AB107" i="7"/>
  <c r="S107" i="7"/>
  <c r="J107" i="7"/>
  <c r="AM107" i="7"/>
  <c r="AA107" i="7"/>
  <c r="R107" i="7"/>
  <c r="I107" i="7"/>
  <c r="AV107" i="7"/>
  <c r="AJ107" i="7"/>
  <c r="Z107" i="7"/>
  <c r="Q107" i="7"/>
  <c r="H107" i="7"/>
  <c r="AQ107" i="7"/>
  <c r="Y107" i="7"/>
  <c r="L107" i="7"/>
  <c r="AP107" i="7"/>
  <c r="X107" i="7"/>
  <c r="K107" i="7"/>
  <c r="AO107" i="7"/>
  <c r="W107" i="7"/>
  <c r="G107" i="7"/>
  <c r="AR107" i="7"/>
  <c r="AE107" i="7"/>
  <c r="M107" i="7"/>
  <c r="AG107" i="7"/>
  <c r="AF107" i="7"/>
  <c r="U107" i="7"/>
  <c r="D108" i="7"/>
  <c r="AH107" i="7"/>
  <c r="T107" i="7"/>
  <c r="P107" i="7"/>
  <c r="O107" i="7"/>
  <c r="E107" i="7"/>
  <c r="AI107" i="7"/>
  <c r="AU107" i="7"/>
  <c r="AV106" i="7"/>
  <c r="AW224" i="5" l="1"/>
  <c r="AW39" i="5"/>
  <c r="AW31" i="5" s="1"/>
  <c r="AW26" i="5" s="1"/>
  <c r="AZ4" i="7"/>
  <c r="AZ3" i="7" s="1"/>
  <c r="BF8" i="6"/>
  <c r="BE9" i="6"/>
  <c r="AW270" i="5"/>
  <c r="AW271" i="5"/>
  <c r="AX11" i="5"/>
  <c r="AW265" i="5"/>
  <c r="AW267" i="5" s="1"/>
  <c r="AW272" i="5"/>
  <c r="AW269" i="5"/>
  <c r="AW260" i="5"/>
  <c r="AW263" i="5" s="1"/>
  <c r="AW63" i="7"/>
  <c r="AX5" i="7"/>
  <c r="AX108" i="7" s="1"/>
  <c r="AW64" i="7"/>
  <c r="AW65" i="7"/>
  <c r="AW66" i="7"/>
  <c r="AW67" i="7"/>
  <c r="AW68" i="7"/>
  <c r="AW69" i="7"/>
  <c r="AW70" i="7"/>
  <c r="AW71" i="7"/>
  <c r="AW72" i="7"/>
  <c r="AW73" i="7"/>
  <c r="AW74" i="7"/>
  <c r="AW75" i="7"/>
  <c r="AW76" i="7"/>
  <c r="AW77" i="7"/>
  <c r="AW78" i="7"/>
  <c r="AW79" i="7"/>
  <c r="AW80" i="7"/>
  <c r="AW81" i="7"/>
  <c r="AW82" i="7"/>
  <c r="AW83" i="7"/>
  <c r="AW84" i="7"/>
  <c r="AW85" i="7"/>
  <c r="AW86" i="7"/>
  <c r="AW87" i="7"/>
  <c r="AW88" i="7"/>
  <c r="AW89" i="7"/>
  <c r="AW90" i="7"/>
  <c r="AW91" i="7"/>
  <c r="AW92" i="7"/>
  <c r="AW93" i="7"/>
  <c r="AW94" i="7"/>
  <c r="AW95" i="7"/>
  <c r="AW96" i="7"/>
  <c r="AW97" i="7"/>
  <c r="AW98" i="7"/>
  <c r="AW99" i="7"/>
  <c r="AW100" i="7"/>
  <c r="AW101" i="7"/>
  <c r="AW102" i="7"/>
  <c r="AW103" i="7"/>
  <c r="AW104" i="7"/>
  <c r="AW105" i="7"/>
  <c r="AW106" i="7"/>
  <c r="AY105" i="5"/>
  <c r="AY107" i="5" s="1"/>
  <c r="AY233" i="5" s="1"/>
  <c r="BA10" i="5"/>
  <c r="AU108" i="7"/>
  <c r="AM108" i="7"/>
  <c r="AE108" i="7"/>
  <c r="W108" i="7"/>
  <c r="O108" i="7"/>
  <c r="G108" i="7"/>
  <c r="AT108" i="7"/>
  <c r="AL108" i="7"/>
  <c r="AD108" i="7"/>
  <c r="V108" i="7"/>
  <c r="N108" i="7"/>
  <c r="F108" i="7"/>
  <c r="AO108" i="7"/>
  <c r="AC108" i="7"/>
  <c r="S108" i="7"/>
  <c r="I108" i="7"/>
  <c r="AN108" i="7"/>
  <c r="AB108" i="7"/>
  <c r="R108" i="7"/>
  <c r="H108" i="7"/>
  <c r="AW108" i="7"/>
  <c r="AK108" i="7"/>
  <c r="AA108" i="7"/>
  <c r="Q108" i="7"/>
  <c r="E108" i="7"/>
  <c r="AV108" i="7"/>
  <c r="AG108" i="7"/>
  <c r="M108" i="7"/>
  <c r="AS108" i="7"/>
  <c r="AF108" i="7"/>
  <c r="L108" i="7"/>
  <c r="AR108" i="7"/>
  <c r="Z108" i="7"/>
  <c r="K108" i="7"/>
  <c r="D109" i="7"/>
  <c r="AH108" i="7"/>
  <c r="P108" i="7"/>
  <c r="AJ108" i="7"/>
  <c r="AI108" i="7"/>
  <c r="Y108" i="7"/>
  <c r="AP108" i="7"/>
  <c r="X108" i="7"/>
  <c r="U108" i="7"/>
  <c r="T108" i="7"/>
  <c r="J108" i="7"/>
  <c r="AQ108" i="7"/>
  <c r="AX24" i="5"/>
  <c r="AW107" i="7"/>
  <c r="AY12" i="5"/>
  <c r="AY15" i="5"/>
  <c r="AZ240" i="5"/>
  <c r="AZ258" i="5"/>
  <c r="AZ222" i="5"/>
  <c r="AZ207" i="5"/>
  <c r="AZ198" i="5"/>
  <c r="AZ199" i="5" s="1"/>
  <c r="AZ104" i="5"/>
  <c r="AZ6" i="5"/>
  <c r="BA7" i="5"/>
  <c r="AX224" i="5" l="1"/>
  <c r="AX39" i="5"/>
  <c r="AX31" i="5" s="1"/>
  <c r="AX26" i="5" s="1"/>
  <c r="AZ105" i="5"/>
  <c r="AZ107" i="5"/>
  <c r="AZ233" i="5" s="1"/>
  <c r="AZ12" i="5"/>
  <c r="AZ15" i="5"/>
  <c r="BA240" i="5"/>
  <c r="BA258" i="5"/>
  <c r="BA207" i="5"/>
  <c r="BA199" i="5"/>
  <c r="BA198" i="5"/>
  <c r="BA222" i="5"/>
  <c r="BA104" i="5"/>
  <c r="BA6" i="5"/>
  <c r="BB7" i="5"/>
  <c r="AX271" i="5"/>
  <c r="AX270" i="5"/>
  <c r="AY11" i="5"/>
  <c r="AX265" i="5"/>
  <c r="AX267" i="5" s="1"/>
  <c r="AX272" i="5"/>
  <c r="AX260" i="5"/>
  <c r="AX263" i="5" s="1"/>
  <c r="AX269" i="5"/>
  <c r="AV109" i="7"/>
  <c r="AN109" i="7"/>
  <c r="AF109" i="7"/>
  <c r="X109" i="7"/>
  <c r="P109" i="7"/>
  <c r="H109" i="7"/>
  <c r="AU109" i="7"/>
  <c r="AM109" i="7"/>
  <c r="AE109" i="7"/>
  <c r="W109" i="7"/>
  <c r="O109" i="7"/>
  <c r="G109" i="7"/>
  <c r="AP109" i="7"/>
  <c r="AD109" i="7"/>
  <c r="T109" i="7"/>
  <c r="J109" i="7"/>
  <c r="AO109" i="7"/>
  <c r="AC109" i="7"/>
  <c r="S109" i="7"/>
  <c r="I109" i="7"/>
  <c r="AX109" i="7"/>
  <c r="AL109" i="7"/>
  <c r="AB109" i="7"/>
  <c r="R109" i="7"/>
  <c r="F109" i="7"/>
  <c r="AJ109" i="7"/>
  <c r="U109" i="7"/>
  <c r="AI109" i="7"/>
  <c r="Q109" i="7"/>
  <c r="D110" i="7"/>
  <c r="AW109" i="7"/>
  <c r="AH109" i="7"/>
  <c r="N109" i="7"/>
  <c r="AK109" i="7"/>
  <c r="V109" i="7"/>
  <c r="AR109" i="7"/>
  <c r="K109" i="7"/>
  <c r="AQ109" i="7"/>
  <c r="E109" i="7"/>
  <c r="AG109" i="7"/>
  <c r="AS109" i="7"/>
  <c r="L109" i="7"/>
  <c r="AA109" i="7"/>
  <c r="Z109" i="7"/>
  <c r="Y109" i="7"/>
  <c r="M109" i="7"/>
  <c r="AT109" i="7"/>
  <c r="BG8" i="6"/>
  <c r="BA4" i="7"/>
  <c r="BA3" i="7" s="1"/>
  <c r="BF9" i="6"/>
  <c r="BB10" i="5"/>
  <c r="AX63" i="7"/>
  <c r="AX64" i="7"/>
  <c r="AY5" i="7"/>
  <c r="AY109" i="7" s="1"/>
  <c r="AX65" i="7"/>
  <c r="AX66" i="7"/>
  <c r="AX67" i="7"/>
  <c r="AX68" i="7"/>
  <c r="AX69" i="7"/>
  <c r="AX70" i="7"/>
  <c r="AX71" i="7"/>
  <c r="AX72" i="7"/>
  <c r="AX73" i="7"/>
  <c r="AX74" i="7"/>
  <c r="AX75" i="7"/>
  <c r="AX76" i="7"/>
  <c r="AX77" i="7"/>
  <c r="AX78" i="7"/>
  <c r="AX79" i="7"/>
  <c r="AX80" i="7"/>
  <c r="AX81" i="7"/>
  <c r="AX82" i="7"/>
  <c r="AX83" i="7"/>
  <c r="AX84" i="7"/>
  <c r="AX85" i="7"/>
  <c r="AX86" i="7"/>
  <c r="AX87" i="7"/>
  <c r="AX88" i="7"/>
  <c r="AX89" i="7"/>
  <c r="AX90" i="7"/>
  <c r="AX91" i="7"/>
  <c r="AX92" i="7"/>
  <c r="AX93" i="7"/>
  <c r="AX94" i="7"/>
  <c r="AX95" i="7"/>
  <c r="AX96" i="7"/>
  <c r="AX97" i="7"/>
  <c r="AX98" i="7"/>
  <c r="AX99" i="7"/>
  <c r="AX100" i="7"/>
  <c r="AX101" i="7"/>
  <c r="AX102" i="7"/>
  <c r="AX103" i="7"/>
  <c r="AX104" i="7"/>
  <c r="AX105" i="7"/>
  <c r="AX106" i="7"/>
  <c r="AX107" i="7"/>
  <c r="AW273" i="5"/>
  <c r="BA15" i="5" l="1"/>
  <c r="BA12" i="5"/>
  <c r="BC10" i="5"/>
  <c r="BB240" i="5"/>
  <c r="R33" i="3" s="1"/>
  <c r="R70" i="3" s="1"/>
  <c r="BB258" i="5"/>
  <c r="BB207" i="5"/>
  <c r="BB198" i="5"/>
  <c r="BB199" i="5" s="1"/>
  <c r="BB222" i="5"/>
  <c r="BB104" i="5"/>
  <c r="BC7" i="5"/>
  <c r="BB6" i="5"/>
  <c r="AW110" i="7"/>
  <c r="AO110" i="7"/>
  <c r="AG110" i="7"/>
  <c r="Y110" i="7"/>
  <c r="Q110" i="7"/>
  <c r="I110" i="7"/>
  <c r="AV110" i="7"/>
  <c r="AN110" i="7"/>
  <c r="AF110" i="7"/>
  <c r="X110" i="7"/>
  <c r="P110" i="7"/>
  <c r="H110" i="7"/>
  <c r="AS110" i="7"/>
  <c r="AK110" i="7"/>
  <c r="AC110" i="7"/>
  <c r="AT110" i="7"/>
  <c r="AH110" i="7"/>
  <c r="U110" i="7"/>
  <c r="K110" i="7"/>
  <c r="AR110" i="7"/>
  <c r="AE110" i="7"/>
  <c r="T110" i="7"/>
  <c r="J110" i="7"/>
  <c r="AQ110" i="7"/>
  <c r="AD110" i="7"/>
  <c r="S110" i="7"/>
  <c r="G110" i="7"/>
  <c r="AZ110" i="7"/>
  <c r="AM110" i="7"/>
  <c r="AA110" i="7"/>
  <c r="O110" i="7"/>
  <c r="AB110" i="7"/>
  <c r="F110" i="7"/>
  <c r="AY110" i="7"/>
  <c r="Z110" i="7"/>
  <c r="E110" i="7"/>
  <c r="AX110" i="7"/>
  <c r="W110" i="7"/>
  <c r="AI110" i="7"/>
  <c r="L110" i="7"/>
  <c r="N110" i="7"/>
  <c r="M110" i="7"/>
  <c r="AU110" i="7"/>
  <c r="D111" i="7"/>
  <c r="R110" i="7"/>
  <c r="AP110" i="7"/>
  <c r="AL110" i="7"/>
  <c r="AJ110" i="7"/>
  <c r="V110" i="7"/>
  <c r="AY63" i="7"/>
  <c r="AY64" i="7"/>
  <c r="AZ5" i="7"/>
  <c r="AY65" i="7"/>
  <c r="AY66" i="7"/>
  <c r="AY67" i="7"/>
  <c r="AY68" i="7"/>
  <c r="AY69" i="7"/>
  <c r="AY70" i="7"/>
  <c r="AY71" i="7"/>
  <c r="AY72" i="7"/>
  <c r="AY73" i="7"/>
  <c r="AY74" i="7"/>
  <c r="AY75" i="7"/>
  <c r="AY76" i="7"/>
  <c r="AY77" i="7"/>
  <c r="AY78" i="7"/>
  <c r="AY79" i="7"/>
  <c r="AY80" i="7"/>
  <c r="AY81" i="7"/>
  <c r="AY82" i="7"/>
  <c r="AY83" i="7"/>
  <c r="AY84" i="7"/>
  <c r="AY85" i="7"/>
  <c r="AY86" i="7"/>
  <c r="AY87" i="7"/>
  <c r="AY88" i="7"/>
  <c r="AY89" i="7"/>
  <c r="AY90" i="7"/>
  <c r="AY91" i="7"/>
  <c r="AY92" i="7"/>
  <c r="AY93" i="7"/>
  <c r="AY94" i="7"/>
  <c r="AY95" i="7"/>
  <c r="AY96" i="7"/>
  <c r="AY97" i="7"/>
  <c r="AY98" i="7"/>
  <c r="AY99" i="7"/>
  <c r="AY100" i="7"/>
  <c r="AY101" i="7"/>
  <c r="AY102" i="7"/>
  <c r="AY103" i="7"/>
  <c r="AY104" i="7"/>
  <c r="AY105" i="7"/>
  <c r="AY106" i="7"/>
  <c r="AY107" i="7"/>
  <c r="AY108" i="7"/>
  <c r="AY270" i="5"/>
  <c r="AY271" i="5"/>
  <c r="AZ11" i="5"/>
  <c r="AY269" i="5"/>
  <c r="AY265" i="5"/>
  <c r="AY267" i="5" s="1"/>
  <c r="AY260" i="5"/>
  <c r="AY263" i="5" s="1"/>
  <c r="AY272" i="5"/>
  <c r="BB4" i="7"/>
  <c r="BB3" i="7" s="1"/>
  <c r="BH8" i="6"/>
  <c r="BG9" i="6"/>
  <c r="AX273" i="5"/>
  <c r="BA105" i="5"/>
  <c r="BA107" i="5" s="1"/>
  <c r="BA233" i="5" s="1"/>
  <c r="AZ24" i="5"/>
  <c r="AY24" i="5"/>
  <c r="BD10" i="5" l="1"/>
  <c r="BB15" i="5"/>
  <c r="BB12" i="5"/>
  <c r="BC240" i="5"/>
  <c r="BC258" i="5"/>
  <c r="BC207" i="5"/>
  <c r="BC198" i="5"/>
  <c r="BC199" i="5" s="1"/>
  <c r="BC104" i="5"/>
  <c r="BD7" i="5"/>
  <c r="BC6" i="5"/>
  <c r="AZ224" i="5"/>
  <c r="AZ39" i="5"/>
  <c r="AZ31" i="5" s="1"/>
  <c r="AZ26" i="5" s="1"/>
  <c r="AX111" i="7"/>
  <c r="AP111" i="7"/>
  <c r="AH111" i="7"/>
  <c r="Z111" i="7"/>
  <c r="R111" i="7"/>
  <c r="J111" i="7"/>
  <c r="AW111" i="7"/>
  <c r="AO111" i="7"/>
  <c r="AG111" i="7"/>
  <c r="Y111" i="7"/>
  <c r="Q111" i="7"/>
  <c r="I111" i="7"/>
  <c r="AT111" i="7"/>
  <c r="AL111" i="7"/>
  <c r="AD111" i="7"/>
  <c r="V111" i="7"/>
  <c r="N111" i="7"/>
  <c r="F111" i="7"/>
  <c r="AU111" i="7"/>
  <c r="AI111" i="7"/>
  <c r="U111" i="7"/>
  <c r="H111" i="7"/>
  <c r="AS111" i="7"/>
  <c r="AF111" i="7"/>
  <c r="T111" i="7"/>
  <c r="G111" i="7"/>
  <c r="AR111" i="7"/>
  <c r="AE111" i="7"/>
  <c r="S111" i="7"/>
  <c r="E111" i="7"/>
  <c r="D112" i="7"/>
  <c r="AN111" i="7"/>
  <c r="AB111" i="7"/>
  <c r="O111" i="7"/>
  <c r="AQ111" i="7"/>
  <c r="P111" i="7"/>
  <c r="AM111" i="7"/>
  <c r="M111" i="7"/>
  <c r="AK111" i="7"/>
  <c r="L111" i="7"/>
  <c r="AV111" i="7"/>
  <c r="W111" i="7"/>
  <c r="AZ111" i="7"/>
  <c r="AY111" i="7"/>
  <c r="AJ111" i="7"/>
  <c r="K111" i="7"/>
  <c r="X111" i="7"/>
  <c r="AC111" i="7"/>
  <c r="AA111" i="7"/>
  <c r="AY224" i="5"/>
  <c r="AY39" i="5"/>
  <c r="AY31" i="5" s="1"/>
  <c r="AY26" i="5" s="1"/>
  <c r="BH9" i="6"/>
  <c r="BC4" i="7"/>
  <c r="BC3" i="7" s="1"/>
  <c r="BI8" i="6"/>
  <c r="AY273" i="5"/>
  <c r="BA5" i="7"/>
  <c r="AZ64" i="7"/>
  <c r="AZ63" i="7"/>
  <c r="AZ65" i="7"/>
  <c r="AZ66" i="7"/>
  <c r="AZ67" i="7"/>
  <c r="AZ68" i="7"/>
  <c r="AZ69" i="7"/>
  <c r="AZ70" i="7"/>
  <c r="AZ71" i="7"/>
  <c r="AZ72" i="7"/>
  <c r="AZ73" i="7"/>
  <c r="AZ74" i="7"/>
  <c r="AZ75" i="7"/>
  <c r="AZ76" i="7"/>
  <c r="AZ77" i="7"/>
  <c r="AZ78" i="7"/>
  <c r="AZ79" i="7"/>
  <c r="AZ80" i="7"/>
  <c r="AZ81" i="7"/>
  <c r="AZ82" i="7"/>
  <c r="AZ83" i="7"/>
  <c r="AZ84" i="7"/>
  <c r="AZ85" i="7"/>
  <c r="AZ86" i="7"/>
  <c r="AZ87" i="7"/>
  <c r="AZ88" i="7"/>
  <c r="AZ89" i="7"/>
  <c r="AZ90" i="7"/>
  <c r="AZ91" i="7"/>
  <c r="AZ92" i="7"/>
  <c r="AZ93" i="7"/>
  <c r="AZ94" i="7"/>
  <c r="AZ95" i="7"/>
  <c r="AZ96" i="7"/>
  <c r="AZ97" i="7"/>
  <c r="AZ98" i="7"/>
  <c r="AZ99" i="7"/>
  <c r="AZ100" i="7"/>
  <c r="AZ101" i="7"/>
  <c r="AZ102" i="7"/>
  <c r="AZ103" i="7"/>
  <c r="AZ104" i="7"/>
  <c r="AZ105" i="7"/>
  <c r="AZ106" i="7"/>
  <c r="AZ107" i="7"/>
  <c r="AZ108" i="7"/>
  <c r="AZ109" i="7"/>
  <c r="BB105" i="5"/>
  <c r="BB107" i="5" s="1"/>
  <c r="BB233" i="5" s="1"/>
  <c r="AZ271" i="5"/>
  <c r="AZ270" i="5"/>
  <c r="BA11" i="5"/>
  <c r="BA24" i="5" s="1"/>
  <c r="AZ272" i="5"/>
  <c r="AZ269" i="5"/>
  <c r="AZ265" i="5"/>
  <c r="AZ267" i="5" s="1"/>
  <c r="AZ260" i="5"/>
  <c r="AZ263" i="5" s="1"/>
  <c r="BA39" i="5" l="1"/>
  <c r="BA31" i="5" s="1"/>
  <c r="BA26" i="5" s="1"/>
  <c r="BA224" i="5"/>
  <c r="BB5" i="7"/>
  <c r="BA64" i="7"/>
  <c r="BA63" i="7"/>
  <c r="BA65" i="7"/>
  <c r="BA66" i="7"/>
  <c r="BA67" i="7"/>
  <c r="BA68" i="7"/>
  <c r="BA69" i="7"/>
  <c r="BA70" i="7"/>
  <c r="BA71" i="7"/>
  <c r="BA72" i="7"/>
  <c r="BA73" i="7"/>
  <c r="BA74" i="7"/>
  <c r="BA75" i="7"/>
  <c r="BA76" i="7"/>
  <c r="BA77" i="7"/>
  <c r="BA78" i="7"/>
  <c r="BA79" i="7"/>
  <c r="BA80" i="7"/>
  <c r="BA81" i="7"/>
  <c r="BA82" i="7"/>
  <c r="BA83" i="7"/>
  <c r="BA84" i="7"/>
  <c r="BA85" i="7"/>
  <c r="BA86" i="7"/>
  <c r="BA87" i="7"/>
  <c r="BA88" i="7"/>
  <c r="BA89" i="7"/>
  <c r="BA90" i="7"/>
  <c r="BA91" i="7"/>
  <c r="BA92" i="7"/>
  <c r="BA93" i="7"/>
  <c r="BA94" i="7"/>
  <c r="BA95" i="7"/>
  <c r="BA96" i="7"/>
  <c r="BA97" i="7"/>
  <c r="BA98" i="7"/>
  <c r="BA99" i="7"/>
  <c r="BA100" i="7"/>
  <c r="BA101" i="7"/>
  <c r="BA102" i="7"/>
  <c r="BA103" i="7"/>
  <c r="BA104" i="7"/>
  <c r="BA105" i="7"/>
  <c r="BA106" i="7"/>
  <c r="BA107" i="7"/>
  <c r="BA108" i="7"/>
  <c r="BA109" i="7"/>
  <c r="BA110" i="7"/>
  <c r="BD258" i="5"/>
  <c r="BD240" i="5"/>
  <c r="BD207" i="5"/>
  <c r="BD199" i="5"/>
  <c r="BD198" i="5"/>
  <c r="BD222" i="5"/>
  <c r="BD104" i="5"/>
  <c r="BE7" i="5"/>
  <c r="BD6" i="5"/>
  <c r="BC15" i="5"/>
  <c r="BC12" i="5"/>
  <c r="BC105" i="5"/>
  <c r="BC107" i="5"/>
  <c r="BC233" i="5" s="1"/>
  <c r="BB24" i="5"/>
  <c r="AZ273" i="5"/>
  <c r="BA111" i="7"/>
  <c r="BD4" i="7"/>
  <c r="BD3" i="7" s="1"/>
  <c r="BI9" i="6"/>
  <c r="BJ8" i="6"/>
  <c r="BB112" i="7"/>
  <c r="AT112" i="7"/>
  <c r="AL112" i="7"/>
  <c r="AD112" i="7"/>
  <c r="V112" i="7"/>
  <c r="AZ112" i="7"/>
  <c r="AR112" i="7"/>
  <c r="AJ112" i="7"/>
  <c r="AB112" i="7"/>
  <c r="AX112" i="7"/>
  <c r="AN112" i="7"/>
  <c r="AC112" i="7"/>
  <c r="S112" i="7"/>
  <c r="K112" i="7"/>
  <c r="AW112" i="7"/>
  <c r="AM112" i="7"/>
  <c r="AA112" i="7"/>
  <c r="R112" i="7"/>
  <c r="J112" i="7"/>
  <c r="AS112" i="7"/>
  <c r="AH112" i="7"/>
  <c r="X112" i="7"/>
  <c r="O112" i="7"/>
  <c r="G112" i="7"/>
  <c r="AO112" i="7"/>
  <c r="W112" i="7"/>
  <c r="I112" i="7"/>
  <c r="AK112" i="7"/>
  <c r="U112" i="7"/>
  <c r="H112" i="7"/>
  <c r="BA112" i="7"/>
  <c r="AI112" i="7"/>
  <c r="T112" i="7"/>
  <c r="F112" i="7"/>
  <c r="AV112" i="7"/>
  <c r="AF112" i="7"/>
  <c r="P112" i="7"/>
  <c r="D113" i="7"/>
  <c r="AG112" i="7"/>
  <c r="E112" i="7"/>
  <c r="AE112" i="7"/>
  <c r="Z112" i="7"/>
  <c r="AP112" i="7"/>
  <c r="L112" i="7"/>
  <c r="AU112" i="7"/>
  <c r="AQ112" i="7"/>
  <c r="Y112" i="7"/>
  <c r="AY112" i="7"/>
  <c r="Q112" i="7"/>
  <c r="N112" i="7"/>
  <c r="M112" i="7"/>
  <c r="BA270" i="5"/>
  <c r="BA271" i="5"/>
  <c r="BB11" i="5"/>
  <c r="BA265" i="5"/>
  <c r="BA267" i="5" s="1"/>
  <c r="BA269" i="5"/>
  <c r="BA260" i="5"/>
  <c r="BA263" i="5" s="1"/>
  <c r="BA272" i="5"/>
  <c r="BE10" i="5"/>
  <c r="BB270" i="5" l="1"/>
  <c r="BB271" i="5"/>
  <c r="BC11" i="5"/>
  <c r="BB265" i="5"/>
  <c r="BB269" i="5"/>
  <c r="BB272" i="5"/>
  <c r="BB260" i="5"/>
  <c r="BB263" i="5" s="1"/>
  <c r="R48" i="3" s="1"/>
  <c r="BA273" i="5"/>
  <c r="R16" i="3"/>
  <c r="BB224" i="5"/>
  <c r="R25" i="3" s="1"/>
  <c r="BB39" i="5"/>
  <c r="BB31" i="5" s="1"/>
  <c r="BB26" i="5" s="1"/>
  <c r="BC5" i="7"/>
  <c r="BB64" i="7"/>
  <c r="BB63" i="7"/>
  <c r="BB65" i="7"/>
  <c r="BB66" i="7"/>
  <c r="BB67" i="7"/>
  <c r="BB68" i="7"/>
  <c r="BB69" i="7"/>
  <c r="BB70" i="7"/>
  <c r="BB71" i="7"/>
  <c r="BB72" i="7"/>
  <c r="BB73" i="7"/>
  <c r="BB74" i="7"/>
  <c r="BB75" i="7"/>
  <c r="BB76" i="7"/>
  <c r="BB77" i="7"/>
  <c r="BB78" i="7"/>
  <c r="BB79" i="7"/>
  <c r="BB80" i="7"/>
  <c r="BB81" i="7"/>
  <c r="BB82" i="7"/>
  <c r="BB83" i="7"/>
  <c r="BB84" i="7"/>
  <c r="BB85" i="7"/>
  <c r="BB86" i="7"/>
  <c r="BB87" i="7"/>
  <c r="BB88" i="7"/>
  <c r="BB89" i="7"/>
  <c r="BB90" i="7"/>
  <c r="BB91" i="7"/>
  <c r="BB92" i="7"/>
  <c r="BB93" i="7"/>
  <c r="BB94" i="7"/>
  <c r="BB95" i="7"/>
  <c r="BB96" i="7"/>
  <c r="BB97" i="7"/>
  <c r="BB98" i="7"/>
  <c r="BB99" i="7"/>
  <c r="BB100" i="7"/>
  <c r="BB101" i="7"/>
  <c r="BB102" i="7"/>
  <c r="BB103" i="7"/>
  <c r="BB104" i="7"/>
  <c r="BB105" i="7"/>
  <c r="BB106" i="7"/>
  <c r="BB107" i="7"/>
  <c r="BB108" i="7"/>
  <c r="BB109" i="7"/>
  <c r="BB110" i="7"/>
  <c r="BB111" i="7"/>
  <c r="BF10" i="5"/>
  <c r="BD105" i="5"/>
  <c r="BD107" i="5"/>
  <c r="BD233" i="5" s="1"/>
  <c r="BJ9" i="6"/>
  <c r="BE4" i="7"/>
  <c r="BE3" i="7" s="1"/>
  <c r="BK8" i="6"/>
  <c r="BD12" i="5"/>
  <c r="BD15" i="5"/>
  <c r="AU113" i="7"/>
  <c r="AM113" i="7"/>
  <c r="AE113" i="7"/>
  <c r="W113" i="7"/>
  <c r="O113" i="7"/>
  <c r="G113" i="7"/>
  <c r="BB113" i="7"/>
  <c r="AT113" i="7"/>
  <c r="AL113" i="7"/>
  <c r="AD113" i="7"/>
  <c r="BA113" i="7"/>
  <c r="AS113" i="7"/>
  <c r="AK113" i="7"/>
  <c r="AC113" i="7"/>
  <c r="U113" i="7"/>
  <c r="M113" i="7"/>
  <c r="E113" i="7"/>
  <c r="AQ113" i="7"/>
  <c r="AF113" i="7"/>
  <c r="S113" i="7"/>
  <c r="I113" i="7"/>
  <c r="D114" i="7"/>
  <c r="AP113" i="7"/>
  <c r="AB113" i="7"/>
  <c r="R113" i="7"/>
  <c r="H113" i="7"/>
  <c r="AX113" i="7"/>
  <c r="AJ113" i="7"/>
  <c r="Y113" i="7"/>
  <c r="N113" i="7"/>
  <c r="AR113" i="7"/>
  <c r="AG113" i="7"/>
  <c r="T113" i="7"/>
  <c r="J113" i="7"/>
  <c r="AI113" i="7"/>
  <c r="L113" i="7"/>
  <c r="AH113" i="7"/>
  <c r="K113" i="7"/>
  <c r="AZ113" i="7"/>
  <c r="AA113" i="7"/>
  <c r="F113" i="7"/>
  <c r="AW113" i="7"/>
  <c r="X113" i="7"/>
  <c r="AY113" i="7"/>
  <c r="AV113" i="7"/>
  <c r="AO113" i="7"/>
  <c r="P113" i="7"/>
  <c r="AN113" i="7"/>
  <c r="Z113" i="7"/>
  <c r="V113" i="7"/>
  <c r="Q113" i="7"/>
  <c r="BE258" i="5"/>
  <c r="BE240" i="5"/>
  <c r="BE207" i="5"/>
  <c r="BE198" i="5"/>
  <c r="BE199" i="5" s="1"/>
  <c r="BE222" i="5"/>
  <c r="BE104" i="5"/>
  <c r="BF7" i="5"/>
  <c r="BE6" i="5"/>
  <c r="BE105" i="5" l="1"/>
  <c r="BE107" i="5" s="1"/>
  <c r="BE233" i="5" s="1"/>
  <c r="BB267" i="5"/>
  <c r="R46" i="3"/>
  <c r="R45" i="3" s="1"/>
  <c r="BC271" i="5"/>
  <c r="BC270" i="5"/>
  <c r="BD11" i="5"/>
  <c r="BC269" i="5"/>
  <c r="BC260" i="5"/>
  <c r="BC263" i="5" s="1"/>
  <c r="BC272" i="5"/>
  <c r="BC265" i="5"/>
  <c r="BG10" i="5"/>
  <c r="BF4" i="7"/>
  <c r="BF3" i="7" s="1"/>
  <c r="BK9" i="6"/>
  <c r="BL8" i="6"/>
  <c r="BE12" i="5"/>
  <c r="BE15" i="5"/>
  <c r="BD5" i="7"/>
  <c r="BC63" i="7"/>
  <c r="BC64" i="7"/>
  <c r="BC65" i="7"/>
  <c r="BC66" i="7"/>
  <c r="BC67" i="7"/>
  <c r="BC68" i="7"/>
  <c r="BC69" i="7"/>
  <c r="BC70" i="7"/>
  <c r="BC71" i="7"/>
  <c r="BC72" i="7"/>
  <c r="BC73" i="7"/>
  <c r="BC74" i="7"/>
  <c r="BC75" i="7"/>
  <c r="BC76" i="7"/>
  <c r="BC77" i="7"/>
  <c r="BC78" i="7"/>
  <c r="BC79" i="7"/>
  <c r="BC80" i="7"/>
  <c r="BC81" i="7"/>
  <c r="BC82" i="7"/>
  <c r="BC83" i="7"/>
  <c r="BC84" i="7"/>
  <c r="BC85" i="7"/>
  <c r="BC86" i="7"/>
  <c r="BC87" i="7"/>
  <c r="BC88" i="7"/>
  <c r="BC89" i="7"/>
  <c r="BC90" i="7"/>
  <c r="BC91" i="7"/>
  <c r="BC92" i="7"/>
  <c r="BC93" i="7"/>
  <c r="BC94" i="7"/>
  <c r="BC95" i="7"/>
  <c r="BC96" i="7"/>
  <c r="BC97" i="7"/>
  <c r="BC98" i="7"/>
  <c r="BC99" i="7"/>
  <c r="BC100" i="7"/>
  <c r="BC101" i="7"/>
  <c r="BC102" i="7"/>
  <c r="BC103" i="7"/>
  <c r="BC104" i="7"/>
  <c r="BC105" i="7"/>
  <c r="BC106" i="7"/>
  <c r="BC107" i="7"/>
  <c r="BC108" i="7"/>
  <c r="BC109" i="7"/>
  <c r="BC110" i="7"/>
  <c r="BC111" i="7"/>
  <c r="BC112" i="7"/>
  <c r="BF258" i="5"/>
  <c r="BF240" i="5"/>
  <c r="BF222" i="5"/>
  <c r="BF207" i="5"/>
  <c r="BF199" i="5"/>
  <c r="BF198" i="5"/>
  <c r="BF104" i="5"/>
  <c r="BG7" i="5"/>
  <c r="BF6" i="5"/>
  <c r="BC24" i="5"/>
  <c r="BD24" i="5"/>
  <c r="BD114" i="7"/>
  <c r="AV114" i="7"/>
  <c r="AN114" i="7"/>
  <c r="AF114" i="7"/>
  <c r="X114" i="7"/>
  <c r="P114" i="7"/>
  <c r="H114" i="7"/>
  <c r="BC114" i="7"/>
  <c r="AU114" i="7"/>
  <c r="AM114" i="7"/>
  <c r="AE114" i="7"/>
  <c r="W114" i="7"/>
  <c r="O114" i="7"/>
  <c r="G114" i="7"/>
  <c r="BB114" i="7"/>
  <c r="AT114" i="7"/>
  <c r="AL114" i="7"/>
  <c r="AD114" i="7"/>
  <c r="V114" i="7"/>
  <c r="N114" i="7"/>
  <c r="F114" i="7"/>
  <c r="AR114" i="7"/>
  <c r="AG114" i="7"/>
  <c r="S114" i="7"/>
  <c r="E114" i="7"/>
  <c r="AQ114" i="7"/>
  <c r="AC114" i="7"/>
  <c r="R114" i="7"/>
  <c r="AY114" i="7"/>
  <c r="AK114" i="7"/>
  <c r="Z114" i="7"/>
  <c r="L114" i="7"/>
  <c r="AS114" i="7"/>
  <c r="AH114" i="7"/>
  <c r="T114" i="7"/>
  <c r="I114" i="7"/>
  <c r="AX114" i="7"/>
  <c r="Y114" i="7"/>
  <c r="AW114" i="7"/>
  <c r="U114" i="7"/>
  <c r="D115" i="7"/>
  <c r="AP114" i="7"/>
  <c r="Q114" i="7"/>
  <c r="AJ114" i="7"/>
  <c r="K114" i="7"/>
  <c r="AO114" i="7"/>
  <c r="AI114" i="7"/>
  <c r="AB114" i="7"/>
  <c r="AZ114" i="7"/>
  <c r="J114" i="7"/>
  <c r="M114" i="7"/>
  <c r="BA114" i="7"/>
  <c r="AA114" i="7"/>
  <c r="R49" i="3"/>
  <c r="R74" i="3" s="1"/>
  <c r="BC113" i="7"/>
  <c r="BB273" i="5"/>
  <c r="BF12" i="5" l="1"/>
  <c r="BF15" i="5"/>
  <c r="BG240" i="5"/>
  <c r="BG258" i="5"/>
  <c r="BG222" i="5"/>
  <c r="BG198" i="5"/>
  <c r="BG199" i="5" s="1"/>
  <c r="BG207" i="5"/>
  <c r="BG104" i="5"/>
  <c r="BH7" i="5"/>
  <c r="BG6" i="5"/>
  <c r="BM8" i="6"/>
  <c r="BL9" i="6"/>
  <c r="BG4" i="7"/>
  <c r="BG3" i="7" s="1"/>
  <c r="BH10" i="5"/>
  <c r="BC273" i="5"/>
  <c r="BF105" i="5"/>
  <c r="BF107" i="5"/>
  <c r="BF233" i="5" s="1"/>
  <c r="BD270" i="5"/>
  <c r="BD271" i="5"/>
  <c r="BE11" i="5"/>
  <c r="BE24" i="5" s="1"/>
  <c r="BD272" i="5"/>
  <c r="BD260" i="5"/>
  <c r="BD263" i="5" s="1"/>
  <c r="BD265" i="5"/>
  <c r="BD267" i="5" s="1"/>
  <c r="BD269" i="5"/>
  <c r="BE5" i="7"/>
  <c r="BD63" i="7"/>
  <c r="BD64" i="7"/>
  <c r="BD65" i="7"/>
  <c r="BD66" i="7"/>
  <c r="BD67" i="7"/>
  <c r="BD68" i="7"/>
  <c r="BD69" i="7"/>
  <c r="BD70" i="7"/>
  <c r="BD71" i="7"/>
  <c r="BD72" i="7"/>
  <c r="BD73" i="7"/>
  <c r="BD74" i="7"/>
  <c r="BD75" i="7"/>
  <c r="BD76" i="7"/>
  <c r="BD77" i="7"/>
  <c r="BD78" i="7"/>
  <c r="BD79" i="7"/>
  <c r="BD80" i="7"/>
  <c r="BD81" i="7"/>
  <c r="BD82" i="7"/>
  <c r="BD83" i="7"/>
  <c r="BD84" i="7"/>
  <c r="BD85" i="7"/>
  <c r="BD86" i="7"/>
  <c r="BD87" i="7"/>
  <c r="BD88" i="7"/>
  <c r="BD89" i="7"/>
  <c r="BD90" i="7"/>
  <c r="BD91" i="7"/>
  <c r="BD92" i="7"/>
  <c r="BD93" i="7"/>
  <c r="BD94" i="7"/>
  <c r="BD95" i="7"/>
  <c r="BD96" i="7"/>
  <c r="BD97" i="7"/>
  <c r="BD98" i="7"/>
  <c r="BD99" i="7"/>
  <c r="BD100" i="7"/>
  <c r="BD101" i="7"/>
  <c r="BD102" i="7"/>
  <c r="BD103" i="7"/>
  <c r="BD104" i="7"/>
  <c r="BD105" i="7"/>
  <c r="BD106" i="7"/>
  <c r="BD107" i="7"/>
  <c r="BD108" i="7"/>
  <c r="BD109" i="7"/>
  <c r="BD110" i="7"/>
  <c r="BD111" i="7"/>
  <c r="BD112" i="7"/>
  <c r="BD113" i="7"/>
  <c r="BD224" i="5"/>
  <c r="BD39" i="5"/>
  <c r="BD31" i="5" s="1"/>
  <c r="BD26" i="5" s="1"/>
  <c r="BC267" i="5"/>
  <c r="AW115" i="7"/>
  <c r="AO115" i="7"/>
  <c r="AG115" i="7"/>
  <c r="Y115" i="7"/>
  <c r="Q115" i="7"/>
  <c r="I115" i="7"/>
  <c r="BD115" i="7"/>
  <c r="AV115" i="7"/>
  <c r="AN115" i="7"/>
  <c r="AF115" i="7"/>
  <c r="X115" i="7"/>
  <c r="P115" i="7"/>
  <c r="H115" i="7"/>
  <c r="BC115" i="7"/>
  <c r="AU115" i="7"/>
  <c r="AM115" i="7"/>
  <c r="AE115" i="7"/>
  <c r="W115" i="7"/>
  <c r="O115" i="7"/>
  <c r="G115" i="7"/>
  <c r="AX115" i="7"/>
  <c r="AP115" i="7"/>
  <c r="AH115" i="7"/>
  <c r="Z115" i="7"/>
  <c r="R115" i="7"/>
  <c r="J115" i="7"/>
  <c r="BB115" i="7"/>
  <c r="AL115" i="7"/>
  <c r="V115" i="7"/>
  <c r="F115" i="7"/>
  <c r="BA115" i="7"/>
  <c r="AK115" i="7"/>
  <c r="U115" i="7"/>
  <c r="E115" i="7"/>
  <c r="AT115" i="7"/>
  <c r="AD115" i="7"/>
  <c r="N115" i="7"/>
  <c r="AQ115" i="7"/>
  <c r="AA115" i="7"/>
  <c r="K115" i="7"/>
  <c r="AS115" i="7"/>
  <c r="M115" i="7"/>
  <c r="AR115" i="7"/>
  <c r="L115" i="7"/>
  <c r="AJ115" i="7"/>
  <c r="AC115" i="7"/>
  <c r="AI115" i="7"/>
  <c r="AB115" i="7"/>
  <c r="T115" i="7"/>
  <c r="AY115" i="7"/>
  <c r="AZ115" i="7"/>
  <c r="S115" i="7"/>
  <c r="D116" i="7"/>
  <c r="BC224" i="5"/>
  <c r="BC39" i="5"/>
  <c r="BC31" i="5" s="1"/>
  <c r="BC26" i="5" s="1"/>
  <c r="BE224" i="5" l="1"/>
  <c r="BE39" i="5"/>
  <c r="BE31" i="5" s="1"/>
  <c r="BE26" i="5" s="1"/>
  <c r="BH240" i="5"/>
  <c r="BH258" i="5"/>
  <c r="BH222" i="5"/>
  <c r="BH198" i="5"/>
  <c r="BH199" i="5" s="1"/>
  <c r="BH207" i="5"/>
  <c r="BH104" i="5"/>
  <c r="BI7" i="5"/>
  <c r="BH6" i="5"/>
  <c r="AX116" i="7"/>
  <c r="AP116" i="7"/>
  <c r="AH116" i="7"/>
  <c r="Z116" i="7"/>
  <c r="R116" i="7"/>
  <c r="J116" i="7"/>
  <c r="BE116" i="7"/>
  <c r="AW116" i="7"/>
  <c r="AO116" i="7"/>
  <c r="AG116" i="7"/>
  <c r="Y116" i="7"/>
  <c r="Q116" i="7"/>
  <c r="I116" i="7"/>
  <c r="BD116" i="7"/>
  <c r="AV116" i="7"/>
  <c r="AN116" i="7"/>
  <c r="AF116" i="7"/>
  <c r="X116" i="7"/>
  <c r="P116" i="7"/>
  <c r="H116" i="7"/>
  <c r="D117" i="7"/>
  <c r="AY116" i="7"/>
  <c r="AQ116" i="7"/>
  <c r="AI116" i="7"/>
  <c r="AA116" i="7"/>
  <c r="S116" i="7"/>
  <c r="K116" i="7"/>
  <c r="BC116" i="7"/>
  <c r="AM116" i="7"/>
  <c r="W116" i="7"/>
  <c r="G116" i="7"/>
  <c r="BB116" i="7"/>
  <c r="AL116" i="7"/>
  <c r="V116" i="7"/>
  <c r="F116" i="7"/>
  <c r="AU116" i="7"/>
  <c r="AE116" i="7"/>
  <c r="O116" i="7"/>
  <c r="AR116" i="7"/>
  <c r="AB116" i="7"/>
  <c r="L116" i="7"/>
  <c r="AT116" i="7"/>
  <c r="N116" i="7"/>
  <c r="AS116" i="7"/>
  <c r="M116" i="7"/>
  <c r="AK116" i="7"/>
  <c r="E116" i="7"/>
  <c r="AD116" i="7"/>
  <c r="AJ116" i="7"/>
  <c r="AC116" i="7"/>
  <c r="U116" i="7"/>
  <c r="AZ116" i="7"/>
  <c r="T116" i="7"/>
  <c r="BA116" i="7"/>
  <c r="BF5" i="7"/>
  <c r="BF116" i="7" s="1"/>
  <c r="BE63" i="7"/>
  <c r="BE64" i="7"/>
  <c r="BE65" i="7"/>
  <c r="BE66" i="7"/>
  <c r="BE67" i="7"/>
  <c r="BE68" i="7"/>
  <c r="BE69" i="7"/>
  <c r="BE70" i="7"/>
  <c r="BE71" i="7"/>
  <c r="BE72" i="7"/>
  <c r="BE73" i="7"/>
  <c r="BE74" i="7"/>
  <c r="BE75" i="7"/>
  <c r="BE76" i="7"/>
  <c r="BE77" i="7"/>
  <c r="BE78" i="7"/>
  <c r="BE79" i="7"/>
  <c r="BE80" i="7"/>
  <c r="BE81" i="7"/>
  <c r="BE82" i="7"/>
  <c r="BE83" i="7"/>
  <c r="BE84" i="7"/>
  <c r="BE85" i="7"/>
  <c r="BE86" i="7"/>
  <c r="BE87" i="7"/>
  <c r="BE88" i="7"/>
  <c r="BE89" i="7"/>
  <c r="BE90" i="7"/>
  <c r="BE91" i="7"/>
  <c r="BE92" i="7"/>
  <c r="BE93" i="7"/>
  <c r="BE94" i="7"/>
  <c r="BE95" i="7"/>
  <c r="BE96" i="7"/>
  <c r="BE97" i="7"/>
  <c r="BE98" i="7"/>
  <c r="BE99" i="7"/>
  <c r="BE100" i="7"/>
  <c r="BE101" i="7"/>
  <c r="BE102" i="7"/>
  <c r="BE103" i="7"/>
  <c r="BE104" i="7"/>
  <c r="BE105" i="7"/>
  <c r="BE106" i="7"/>
  <c r="BE107" i="7"/>
  <c r="BE108" i="7"/>
  <c r="BE109" i="7"/>
  <c r="BE110" i="7"/>
  <c r="BE111" i="7"/>
  <c r="BE112" i="7"/>
  <c r="BE113" i="7"/>
  <c r="BE114" i="7"/>
  <c r="BM9" i="6"/>
  <c r="BH4" i="7"/>
  <c r="BH3" i="7" s="1"/>
  <c r="BN8" i="6"/>
  <c r="BI10" i="5"/>
  <c r="BD273" i="5"/>
  <c r="BE271" i="5"/>
  <c r="BE270" i="5"/>
  <c r="BF11" i="5"/>
  <c r="BE260" i="5"/>
  <c r="BE263" i="5" s="1"/>
  <c r="BE265" i="5"/>
  <c r="BE272" i="5"/>
  <c r="BE269" i="5"/>
  <c r="BE115" i="7"/>
  <c r="BG12" i="5"/>
  <c r="BG15" i="5"/>
  <c r="BG105" i="5"/>
  <c r="BG107" i="5" s="1"/>
  <c r="BG233" i="5" s="1"/>
  <c r="BH105" i="5" l="1"/>
  <c r="BH107" i="5"/>
  <c r="BH233" i="5" s="1"/>
  <c r="BH15" i="5"/>
  <c r="BH12" i="5"/>
  <c r="BO8" i="6"/>
  <c r="BN9" i="6"/>
  <c r="BI4" i="7"/>
  <c r="BI3" i="7" s="1"/>
  <c r="D118" i="7"/>
  <c r="AY117" i="7"/>
  <c r="AQ117" i="7"/>
  <c r="AI117" i="7"/>
  <c r="AA117" i="7"/>
  <c r="S117" i="7"/>
  <c r="K117" i="7"/>
  <c r="BF117" i="7"/>
  <c r="AX117" i="7"/>
  <c r="AP117" i="7"/>
  <c r="AH117" i="7"/>
  <c r="Z117" i="7"/>
  <c r="R117" i="7"/>
  <c r="J117" i="7"/>
  <c r="BE117" i="7"/>
  <c r="AW117" i="7"/>
  <c r="AO117" i="7"/>
  <c r="AG117" i="7"/>
  <c r="Y117" i="7"/>
  <c r="Q117" i="7"/>
  <c r="I117" i="7"/>
  <c r="AZ117" i="7"/>
  <c r="AR117" i="7"/>
  <c r="AJ117" i="7"/>
  <c r="AB117" i="7"/>
  <c r="T117" i="7"/>
  <c r="L117" i="7"/>
  <c r="BD117" i="7"/>
  <c r="AN117" i="7"/>
  <c r="X117" i="7"/>
  <c r="H117" i="7"/>
  <c r="BC117" i="7"/>
  <c r="AM117" i="7"/>
  <c r="W117" i="7"/>
  <c r="G117" i="7"/>
  <c r="AV117" i="7"/>
  <c r="AF117" i="7"/>
  <c r="P117" i="7"/>
  <c r="AS117" i="7"/>
  <c r="AC117" i="7"/>
  <c r="M117" i="7"/>
  <c r="AU117" i="7"/>
  <c r="O117" i="7"/>
  <c r="AT117" i="7"/>
  <c r="N117" i="7"/>
  <c r="AL117" i="7"/>
  <c r="F117" i="7"/>
  <c r="AE117" i="7"/>
  <c r="AK117" i="7"/>
  <c r="AD117" i="7"/>
  <c r="V117" i="7"/>
  <c r="BA117" i="7"/>
  <c r="BB117" i="7"/>
  <c r="U117" i="7"/>
  <c r="E117" i="7"/>
  <c r="BF271" i="5"/>
  <c r="BF270" i="5"/>
  <c r="BG11" i="5"/>
  <c r="BF272" i="5"/>
  <c r="BF269" i="5"/>
  <c r="BF265" i="5"/>
  <c r="BF267" i="5" s="1"/>
  <c r="BF260" i="5"/>
  <c r="BF263" i="5" s="1"/>
  <c r="BG24" i="5"/>
  <c r="BJ10" i="5"/>
  <c r="BI258" i="5"/>
  <c r="BI240" i="5"/>
  <c r="BI198" i="5"/>
  <c r="BI199" i="5" s="1"/>
  <c r="BI222" i="5"/>
  <c r="BI207" i="5"/>
  <c r="BI104" i="5"/>
  <c r="BJ7" i="5"/>
  <c r="BI6" i="5"/>
  <c r="BE273" i="5"/>
  <c r="BE267" i="5"/>
  <c r="BF24" i="5"/>
  <c r="BF63" i="7"/>
  <c r="BG5" i="7"/>
  <c r="BG117" i="7" s="1"/>
  <c r="BF64" i="7"/>
  <c r="BF65" i="7"/>
  <c r="BF66" i="7"/>
  <c r="BF67" i="7"/>
  <c r="BF68" i="7"/>
  <c r="BF69" i="7"/>
  <c r="BF70" i="7"/>
  <c r="BF71" i="7"/>
  <c r="BF72" i="7"/>
  <c r="BF73" i="7"/>
  <c r="BF74" i="7"/>
  <c r="BF75" i="7"/>
  <c r="BF76" i="7"/>
  <c r="BF77" i="7"/>
  <c r="BF78" i="7"/>
  <c r="BF79" i="7"/>
  <c r="BF80" i="7"/>
  <c r="BF81" i="7"/>
  <c r="BF82" i="7"/>
  <c r="BF83" i="7"/>
  <c r="BF84" i="7"/>
  <c r="BF85" i="7"/>
  <c r="BF86" i="7"/>
  <c r="BF87" i="7"/>
  <c r="BF88" i="7"/>
  <c r="BF89" i="7"/>
  <c r="BF90" i="7"/>
  <c r="BF91" i="7"/>
  <c r="BF92" i="7"/>
  <c r="BF93" i="7"/>
  <c r="BF94" i="7"/>
  <c r="BF95" i="7"/>
  <c r="BF96" i="7"/>
  <c r="BF97" i="7"/>
  <c r="BF98" i="7"/>
  <c r="BF99" i="7"/>
  <c r="BF100" i="7"/>
  <c r="BF101" i="7"/>
  <c r="BF102" i="7"/>
  <c r="BF103" i="7"/>
  <c r="BF104" i="7"/>
  <c r="BF105" i="7"/>
  <c r="BF106" i="7"/>
  <c r="BF107" i="7"/>
  <c r="BF108" i="7"/>
  <c r="BF109" i="7"/>
  <c r="BF110" i="7"/>
  <c r="BF111" i="7"/>
  <c r="BF112" i="7"/>
  <c r="BF113" i="7"/>
  <c r="BF114" i="7"/>
  <c r="BF115" i="7"/>
  <c r="BF224" i="5" l="1"/>
  <c r="BF39" i="5"/>
  <c r="BF31" i="5" s="1"/>
  <c r="BF26" i="5" s="1"/>
  <c r="BI107" i="5"/>
  <c r="BI233" i="5" s="1"/>
  <c r="BI105" i="5"/>
  <c r="AZ118" i="7"/>
  <c r="AR118" i="7"/>
  <c r="AJ118" i="7"/>
  <c r="AB118" i="7"/>
  <c r="T118" i="7"/>
  <c r="L118" i="7"/>
  <c r="D119" i="7"/>
  <c r="BG118" i="7"/>
  <c r="AY118" i="7"/>
  <c r="AQ118" i="7"/>
  <c r="AI118" i="7"/>
  <c r="AA118" i="7"/>
  <c r="S118" i="7"/>
  <c r="K118" i="7"/>
  <c r="BF118" i="7"/>
  <c r="AX118" i="7"/>
  <c r="AP118" i="7"/>
  <c r="AH118" i="7"/>
  <c r="Z118" i="7"/>
  <c r="R118" i="7"/>
  <c r="J118" i="7"/>
  <c r="BA118" i="7"/>
  <c r="AS118" i="7"/>
  <c r="AK118" i="7"/>
  <c r="AC118" i="7"/>
  <c r="U118" i="7"/>
  <c r="M118" i="7"/>
  <c r="E118" i="7"/>
  <c r="BE118" i="7"/>
  <c r="AO118" i="7"/>
  <c r="Y118" i="7"/>
  <c r="I118" i="7"/>
  <c r="BD118" i="7"/>
  <c r="AN118" i="7"/>
  <c r="X118" i="7"/>
  <c r="H118" i="7"/>
  <c r="AW118" i="7"/>
  <c r="AG118" i="7"/>
  <c r="Q118" i="7"/>
  <c r="AT118" i="7"/>
  <c r="AD118" i="7"/>
  <c r="N118" i="7"/>
  <c r="AV118" i="7"/>
  <c r="P118" i="7"/>
  <c r="AU118" i="7"/>
  <c r="O118" i="7"/>
  <c r="AM118" i="7"/>
  <c r="G118" i="7"/>
  <c r="AF118" i="7"/>
  <c r="AL118" i="7"/>
  <c r="AE118" i="7"/>
  <c r="W118" i="7"/>
  <c r="V118" i="7"/>
  <c r="F118" i="7"/>
  <c r="BB118" i="7"/>
  <c r="BC118" i="7"/>
  <c r="BH24" i="5"/>
  <c r="BI15" i="5"/>
  <c r="BI12" i="5"/>
  <c r="BK10" i="5"/>
  <c r="BF273" i="5"/>
  <c r="BJ240" i="5"/>
  <c r="BJ258" i="5"/>
  <c r="BJ198" i="5"/>
  <c r="BJ222" i="5"/>
  <c r="BJ207" i="5"/>
  <c r="BJ199" i="5"/>
  <c r="BJ104" i="5"/>
  <c r="BK7" i="5"/>
  <c r="BJ6" i="5"/>
  <c r="BG39" i="5"/>
  <c r="BG31" i="5" s="1"/>
  <c r="BG26" i="5" s="1"/>
  <c r="BG224" i="5"/>
  <c r="BG271" i="5"/>
  <c r="BG270" i="5"/>
  <c r="BH11" i="5"/>
  <c r="BG260" i="5"/>
  <c r="BG263" i="5" s="1"/>
  <c r="BG269" i="5"/>
  <c r="BG272" i="5"/>
  <c r="BG265" i="5"/>
  <c r="BG267" i="5" s="1"/>
  <c r="BJ4" i="7"/>
  <c r="BJ3" i="7" s="1"/>
  <c r="BO9" i="6"/>
  <c r="BP8" i="6"/>
  <c r="BG63" i="7"/>
  <c r="BH5" i="7"/>
  <c r="BH118" i="7" s="1"/>
  <c r="BG64" i="7"/>
  <c r="BG65" i="7"/>
  <c r="BG66" i="7"/>
  <c r="BG67" i="7"/>
  <c r="BG68" i="7"/>
  <c r="BG69" i="7"/>
  <c r="BG70" i="7"/>
  <c r="BG71" i="7"/>
  <c r="BG72" i="7"/>
  <c r="BG73" i="7"/>
  <c r="BG74" i="7"/>
  <c r="BG75" i="7"/>
  <c r="BG76" i="7"/>
  <c r="BG77" i="7"/>
  <c r="BG78" i="7"/>
  <c r="BG79" i="7"/>
  <c r="BG80" i="7"/>
  <c r="BG81" i="7"/>
  <c r="BG82" i="7"/>
  <c r="BG83" i="7"/>
  <c r="BG84" i="7"/>
  <c r="BG85" i="7"/>
  <c r="BG86" i="7"/>
  <c r="BG87" i="7"/>
  <c r="BG88" i="7"/>
  <c r="BG89" i="7"/>
  <c r="BG90" i="7"/>
  <c r="BG91" i="7"/>
  <c r="BG92" i="7"/>
  <c r="BG93" i="7"/>
  <c r="BG94" i="7"/>
  <c r="BG95" i="7"/>
  <c r="BG96" i="7"/>
  <c r="BG97" i="7"/>
  <c r="BG98" i="7"/>
  <c r="BG99" i="7"/>
  <c r="BG100" i="7"/>
  <c r="BG101" i="7"/>
  <c r="BG102" i="7"/>
  <c r="BG103" i="7"/>
  <c r="BG104" i="7"/>
  <c r="BG105" i="7"/>
  <c r="BG106" i="7"/>
  <c r="BG107" i="7"/>
  <c r="BG108" i="7"/>
  <c r="BG109" i="7"/>
  <c r="BG110" i="7"/>
  <c r="BG111" i="7"/>
  <c r="BG112" i="7"/>
  <c r="BG113" i="7"/>
  <c r="BG114" i="7"/>
  <c r="BG115" i="7"/>
  <c r="BG116" i="7"/>
  <c r="BH271" i="5" l="1"/>
  <c r="BH270" i="5"/>
  <c r="BI11" i="5"/>
  <c r="BH272" i="5"/>
  <c r="BH269" i="5"/>
  <c r="BH265" i="5"/>
  <c r="BH267" i="5" s="1"/>
  <c r="BH260" i="5"/>
  <c r="BH263" i="5" s="1"/>
  <c r="BP9" i="6"/>
  <c r="BQ8" i="6"/>
  <c r="BK4" i="7"/>
  <c r="BK3" i="7" s="1"/>
  <c r="BH39" i="5"/>
  <c r="BH31" i="5" s="1"/>
  <c r="BH26" i="5" s="1"/>
  <c r="BH224" i="5"/>
  <c r="BA119" i="7"/>
  <c r="AS119" i="7"/>
  <c r="AK119" i="7"/>
  <c r="AC119" i="7"/>
  <c r="U119" i="7"/>
  <c r="M119" i="7"/>
  <c r="E119" i="7"/>
  <c r="BH119" i="7"/>
  <c r="AZ119" i="7"/>
  <c r="AR119" i="7"/>
  <c r="AJ119" i="7"/>
  <c r="AB119" i="7"/>
  <c r="T119" i="7"/>
  <c r="L119" i="7"/>
  <c r="D120" i="7"/>
  <c r="BG119" i="7"/>
  <c r="AY119" i="7"/>
  <c r="AQ119" i="7"/>
  <c r="AI119" i="7"/>
  <c r="AA119" i="7"/>
  <c r="S119" i="7"/>
  <c r="K119" i="7"/>
  <c r="BB119" i="7"/>
  <c r="AT119" i="7"/>
  <c r="AL119" i="7"/>
  <c r="AD119" i="7"/>
  <c r="V119" i="7"/>
  <c r="N119" i="7"/>
  <c r="F119" i="7"/>
  <c r="BF119" i="7"/>
  <c r="AP119" i="7"/>
  <c r="Z119" i="7"/>
  <c r="J119" i="7"/>
  <c r="BE119" i="7"/>
  <c r="AO119" i="7"/>
  <c r="Y119" i="7"/>
  <c r="I119" i="7"/>
  <c r="AX119" i="7"/>
  <c r="AH119" i="7"/>
  <c r="R119" i="7"/>
  <c r="AU119" i="7"/>
  <c r="AE119" i="7"/>
  <c r="O119" i="7"/>
  <c r="AW119" i="7"/>
  <c r="Q119" i="7"/>
  <c r="AV119" i="7"/>
  <c r="P119" i="7"/>
  <c r="AN119" i="7"/>
  <c r="H119" i="7"/>
  <c r="AG119" i="7"/>
  <c r="AM119" i="7"/>
  <c r="AF119" i="7"/>
  <c r="X119" i="7"/>
  <c r="W119" i="7"/>
  <c r="G119" i="7"/>
  <c r="BC119" i="7"/>
  <c r="BD119" i="7"/>
  <c r="BJ107" i="5"/>
  <c r="BJ233" i="5" s="1"/>
  <c r="BJ105" i="5"/>
  <c r="BL10" i="5"/>
  <c r="BG273" i="5"/>
  <c r="BI5" i="7"/>
  <c r="BI119" i="7" s="1"/>
  <c r="BH63" i="7"/>
  <c r="BH64" i="7"/>
  <c r="BH65" i="7"/>
  <c r="BH66" i="7"/>
  <c r="BH67" i="7"/>
  <c r="BH68" i="7"/>
  <c r="BH69" i="7"/>
  <c r="BH70" i="7"/>
  <c r="BH71" i="7"/>
  <c r="BH72" i="7"/>
  <c r="BH73" i="7"/>
  <c r="BH74" i="7"/>
  <c r="BH75" i="7"/>
  <c r="BH76" i="7"/>
  <c r="BH77" i="7"/>
  <c r="BH78" i="7"/>
  <c r="BH79" i="7"/>
  <c r="BH80" i="7"/>
  <c r="BH81" i="7"/>
  <c r="BH82" i="7"/>
  <c r="BH83" i="7"/>
  <c r="BH84" i="7"/>
  <c r="BH85" i="7"/>
  <c r="BH86" i="7"/>
  <c r="BH87" i="7"/>
  <c r="BH88" i="7"/>
  <c r="BH89" i="7"/>
  <c r="BH90" i="7"/>
  <c r="BH91" i="7"/>
  <c r="BH92" i="7"/>
  <c r="BH93" i="7"/>
  <c r="BH94" i="7"/>
  <c r="BH95" i="7"/>
  <c r="BH96" i="7"/>
  <c r="BH97" i="7"/>
  <c r="BH98" i="7"/>
  <c r="BH99" i="7"/>
  <c r="BH100" i="7"/>
  <c r="BH101" i="7"/>
  <c r="BH102" i="7"/>
  <c r="BH103" i="7"/>
  <c r="BH104" i="7"/>
  <c r="BH105" i="7"/>
  <c r="BH106" i="7"/>
  <c r="BH107" i="7"/>
  <c r="BH108" i="7"/>
  <c r="BH109" i="7"/>
  <c r="BH110" i="7"/>
  <c r="BH111" i="7"/>
  <c r="BH112" i="7"/>
  <c r="BH113" i="7"/>
  <c r="BH114" i="7"/>
  <c r="BH115" i="7"/>
  <c r="BH116" i="7"/>
  <c r="BH117" i="7"/>
  <c r="BJ15" i="5"/>
  <c r="BJ12" i="5"/>
  <c r="BI24" i="5"/>
  <c r="BK207" i="5"/>
  <c r="BK199" i="5"/>
  <c r="BK198" i="5"/>
  <c r="BK240" i="5"/>
  <c r="BK258" i="5"/>
  <c r="BK222" i="5"/>
  <c r="BK104" i="5"/>
  <c r="BK6" i="5"/>
  <c r="BL7" i="5"/>
  <c r="BL258" i="5" l="1"/>
  <c r="BL207" i="5"/>
  <c r="BL198" i="5"/>
  <c r="BL199" i="5" s="1"/>
  <c r="BL240" i="5"/>
  <c r="BL222" i="5"/>
  <c r="BL104" i="5"/>
  <c r="BM7" i="5"/>
  <c r="BL6" i="5"/>
  <c r="BK15" i="5"/>
  <c r="BK12" i="5"/>
  <c r="BH273" i="5"/>
  <c r="BJ120" i="7"/>
  <c r="BB120" i="7"/>
  <c r="AT120" i="7"/>
  <c r="AL120" i="7"/>
  <c r="AD120" i="7"/>
  <c r="V120" i="7"/>
  <c r="N120" i="7"/>
  <c r="F120" i="7"/>
  <c r="BI120" i="7"/>
  <c r="BA120" i="7"/>
  <c r="AS120" i="7"/>
  <c r="AK120" i="7"/>
  <c r="AC120" i="7"/>
  <c r="U120" i="7"/>
  <c r="M120" i="7"/>
  <c r="E120" i="7"/>
  <c r="BH120" i="7"/>
  <c r="AZ120" i="7"/>
  <c r="AR120" i="7"/>
  <c r="AJ120" i="7"/>
  <c r="AB120" i="7"/>
  <c r="T120" i="7"/>
  <c r="L120" i="7"/>
  <c r="BC120" i="7"/>
  <c r="AU120" i="7"/>
  <c r="AM120" i="7"/>
  <c r="AE120" i="7"/>
  <c r="W120" i="7"/>
  <c r="O120" i="7"/>
  <c r="G120" i="7"/>
  <c r="BG120" i="7"/>
  <c r="AQ120" i="7"/>
  <c r="AA120" i="7"/>
  <c r="K120" i="7"/>
  <c r="BF120" i="7"/>
  <c r="AP120" i="7"/>
  <c r="Z120" i="7"/>
  <c r="J120" i="7"/>
  <c r="D121" i="7"/>
  <c r="AY120" i="7"/>
  <c r="AI120" i="7"/>
  <c r="S120" i="7"/>
  <c r="AV120" i="7"/>
  <c r="AF120" i="7"/>
  <c r="P120" i="7"/>
  <c r="AX120" i="7"/>
  <c r="R120" i="7"/>
  <c r="AW120" i="7"/>
  <c r="Q120" i="7"/>
  <c r="AO120" i="7"/>
  <c r="I120" i="7"/>
  <c r="AH120" i="7"/>
  <c r="AN120" i="7"/>
  <c r="AG120" i="7"/>
  <c r="Y120" i="7"/>
  <c r="X120" i="7"/>
  <c r="H120" i="7"/>
  <c r="BD120" i="7"/>
  <c r="BE120" i="7"/>
  <c r="BL4" i="7"/>
  <c r="BR8" i="6"/>
  <c r="BR9" i="6" s="1"/>
  <c r="BQ9" i="6"/>
  <c r="BI270" i="5"/>
  <c r="BI271" i="5"/>
  <c r="BJ11" i="5"/>
  <c r="BI272" i="5"/>
  <c r="BI260" i="5"/>
  <c r="BI263" i="5" s="1"/>
  <c r="BI265" i="5"/>
  <c r="BI269" i="5"/>
  <c r="BI273" i="5" s="1"/>
  <c r="BI63" i="7"/>
  <c r="BJ5" i="7"/>
  <c r="BI64" i="7"/>
  <c r="BI65" i="7"/>
  <c r="BI66" i="7"/>
  <c r="BI67" i="7"/>
  <c r="BI68" i="7"/>
  <c r="BI69" i="7"/>
  <c r="BI70" i="7"/>
  <c r="BI71" i="7"/>
  <c r="BI72" i="7"/>
  <c r="BI73" i="7"/>
  <c r="BI74" i="7"/>
  <c r="BI75" i="7"/>
  <c r="BI76" i="7"/>
  <c r="BI77" i="7"/>
  <c r="BI78" i="7"/>
  <c r="BI79" i="7"/>
  <c r="BI80" i="7"/>
  <c r="BI81" i="7"/>
  <c r="BI82" i="7"/>
  <c r="BI83" i="7"/>
  <c r="BI84" i="7"/>
  <c r="BI85" i="7"/>
  <c r="BI86" i="7"/>
  <c r="BI87" i="7"/>
  <c r="BI88" i="7"/>
  <c r="BI89" i="7"/>
  <c r="BI90" i="7"/>
  <c r="BI91" i="7"/>
  <c r="BI92" i="7"/>
  <c r="BI93" i="7"/>
  <c r="BI94" i="7"/>
  <c r="BI95" i="7"/>
  <c r="BI96" i="7"/>
  <c r="BI97" i="7"/>
  <c r="BI98" i="7"/>
  <c r="BI99" i="7"/>
  <c r="BI100" i="7"/>
  <c r="BI101" i="7"/>
  <c r="BI102" i="7"/>
  <c r="BI103" i="7"/>
  <c r="BI104" i="7"/>
  <c r="BI105" i="7"/>
  <c r="BI106" i="7"/>
  <c r="BI107" i="7"/>
  <c r="BI108" i="7"/>
  <c r="BI109" i="7"/>
  <c r="BI110" i="7"/>
  <c r="BI111" i="7"/>
  <c r="BI112" i="7"/>
  <c r="BI113" i="7"/>
  <c r="BI114" i="7"/>
  <c r="BI115" i="7"/>
  <c r="BI116" i="7"/>
  <c r="BI117" i="7"/>
  <c r="BI118" i="7"/>
  <c r="BJ24" i="5"/>
  <c r="BM10" i="5"/>
  <c r="BK105" i="5"/>
  <c r="BK107" i="5" s="1"/>
  <c r="BK233" i="5" s="1"/>
  <c r="BI224" i="5"/>
  <c r="BI39" i="5"/>
  <c r="BI31" i="5" s="1"/>
  <c r="BI26" i="5" s="1"/>
  <c r="K17" i="6" l="1"/>
  <c r="L17" i="6"/>
  <c r="L18" i="6" s="1"/>
  <c r="N17" i="6"/>
  <c r="N18" i="6" s="1"/>
  <c r="M17" i="6"/>
  <c r="M18" i="6" s="1"/>
  <c r="O17" i="6"/>
  <c r="O18" i="6" s="1"/>
  <c r="P17" i="6"/>
  <c r="P18" i="6" s="1"/>
  <c r="BI267" i="5"/>
  <c r="BL3" i="7"/>
  <c r="BK121" i="7"/>
  <c r="BC121" i="7"/>
  <c r="AU121" i="7"/>
  <c r="AM121" i="7"/>
  <c r="AE121" i="7"/>
  <c r="W121" i="7"/>
  <c r="O121" i="7"/>
  <c r="G121" i="7"/>
  <c r="BJ121" i="7"/>
  <c r="BB121" i="7"/>
  <c r="AT121" i="7"/>
  <c r="AL121" i="7"/>
  <c r="AD121" i="7"/>
  <c r="V121" i="7"/>
  <c r="N121" i="7"/>
  <c r="F121" i="7"/>
  <c r="BI121" i="7"/>
  <c r="BA121" i="7"/>
  <c r="AS121" i="7"/>
  <c r="AK121" i="7"/>
  <c r="AC121" i="7"/>
  <c r="U121" i="7"/>
  <c r="M121" i="7"/>
  <c r="E121" i="7"/>
  <c r="BD121" i="7"/>
  <c r="AV121" i="7"/>
  <c r="AN121" i="7"/>
  <c r="AF121" i="7"/>
  <c r="X121" i="7"/>
  <c r="P121" i="7"/>
  <c r="H121" i="7"/>
  <c r="BH121" i="7"/>
  <c r="AR121" i="7"/>
  <c r="AB121" i="7"/>
  <c r="L121" i="7"/>
  <c r="BG121" i="7"/>
  <c r="AQ121" i="7"/>
  <c r="AA121" i="7"/>
  <c r="K121" i="7"/>
  <c r="AZ121" i="7"/>
  <c r="AJ121" i="7"/>
  <c r="T121" i="7"/>
  <c r="AW121" i="7"/>
  <c r="AG121" i="7"/>
  <c r="Q121" i="7"/>
  <c r="AY121" i="7"/>
  <c r="S121" i="7"/>
  <c r="AX121" i="7"/>
  <c r="R121" i="7"/>
  <c r="AP121" i="7"/>
  <c r="J121" i="7"/>
  <c r="D122" i="7"/>
  <c r="AI121" i="7"/>
  <c r="AO121" i="7"/>
  <c r="AH121" i="7"/>
  <c r="Z121" i="7"/>
  <c r="Y121" i="7"/>
  <c r="I121" i="7"/>
  <c r="BE121" i="7"/>
  <c r="BF121" i="7"/>
  <c r="BL15" i="5"/>
  <c r="BL12" i="5"/>
  <c r="BL105" i="5"/>
  <c r="BL107" i="5" s="1"/>
  <c r="BL233" i="5" s="1"/>
  <c r="BM258" i="5"/>
  <c r="BM240" i="5"/>
  <c r="BM207" i="5"/>
  <c r="BM199" i="5"/>
  <c r="BM198" i="5"/>
  <c r="BM222" i="5"/>
  <c r="BM104" i="5"/>
  <c r="BN7" i="5"/>
  <c r="BM6" i="5"/>
  <c r="C119" i="7"/>
  <c r="BK5" i="7"/>
  <c r="BJ63" i="7"/>
  <c r="BJ64" i="7"/>
  <c r="BJ65" i="7"/>
  <c r="BJ66" i="7"/>
  <c r="BJ67" i="7"/>
  <c r="BJ68" i="7"/>
  <c r="BJ69" i="7"/>
  <c r="BJ70" i="7"/>
  <c r="BJ71" i="7"/>
  <c r="BJ72" i="7"/>
  <c r="BJ73" i="7"/>
  <c r="BJ74" i="7"/>
  <c r="BJ75" i="7"/>
  <c r="BJ76" i="7"/>
  <c r="BJ77" i="7"/>
  <c r="BJ78" i="7"/>
  <c r="BJ79" i="7"/>
  <c r="BJ80" i="7"/>
  <c r="BJ81" i="7"/>
  <c r="BJ82" i="7"/>
  <c r="BJ83" i="7"/>
  <c r="BJ84" i="7"/>
  <c r="BJ85" i="7"/>
  <c r="BJ86" i="7"/>
  <c r="BJ87" i="7"/>
  <c r="BJ88" i="7"/>
  <c r="BJ89" i="7"/>
  <c r="BJ90" i="7"/>
  <c r="BJ91" i="7"/>
  <c r="BJ92" i="7"/>
  <c r="BJ93" i="7"/>
  <c r="BJ94" i="7"/>
  <c r="BJ95" i="7"/>
  <c r="BJ96" i="7"/>
  <c r="BJ97" i="7"/>
  <c r="BJ98" i="7"/>
  <c r="BJ99" i="7"/>
  <c r="BJ100" i="7"/>
  <c r="BJ101" i="7"/>
  <c r="BJ102" i="7"/>
  <c r="BJ103" i="7"/>
  <c r="BJ104" i="7"/>
  <c r="BJ105" i="7"/>
  <c r="BJ106" i="7"/>
  <c r="BJ107" i="7"/>
  <c r="BJ108" i="7"/>
  <c r="BJ109" i="7"/>
  <c r="BJ110" i="7"/>
  <c r="BJ111" i="7"/>
  <c r="BJ112" i="7"/>
  <c r="BJ113" i="7"/>
  <c r="BJ114" i="7"/>
  <c r="BJ115" i="7"/>
  <c r="BJ116" i="7"/>
  <c r="BJ117" i="7"/>
  <c r="BJ118" i="7"/>
  <c r="BJ119" i="7"/>
  <c r="BJ39" i="5"/>
  <c r="BJ31" i="5" s="1"/>
  <c r="BJ26" i="5" s="1"/>
  <c r="BJ224" i="5"/>
  <c r="BJ270" i="5"/>
  <c r="BJ271" i="5"/>
  <c r="BK11" i="5"/>
  <c r="BJ260" i="5"/>
  <c r="BJ263" i="5" s="1"/>
  <c r="BJ265" i="5"/>
  <c r="BJ267" i="5" s="1"/>
  <c r="BJ272" i="5"/>
  <c r="BJ269" i="5"/>
  <c r="B118" i="7"/>
  <c r="C115" i="7"/>
  <c r="C120" i="7"/>
  <c r="BN10" i="5"/>
  <c r="BK24" i="5"/>
  <c r="C118" i="7"/>
  <c r="BM12" i="5" l="1"/>
  <c r="BM15" i="5"/>
  <c r="BN258" i="5"/>
  <c r="BN240" i="5"/>
  <c r="BN222" i="5"/>
  <c r="BN207" i="5"/>
  <c r="BN198" i="5"/>
  <c r="BN199" i="5" s="1"/>
  <c r="BN104" i="5"/>
  <c r="BO7" i="5"/>
  <c r="BN6" i="5"/>
  <c r="C63" i="7"/>
  <c r="C65" i="7"/>
  <c r="B64" i="7"/>
  <c r="C109" i="5" a="1"/>
  <c r="C64" i="7"/>
  <c r="C41" i="5" a="1"/>
  <c r="B65" i="7"/>
  <c r="C67" i="7"/>
  <c r="B68" i="7"/>
  <c r="C66" i="7"/>
  <c r="C68" i="7"/>
  <c r="B66" i="7"/>
  <c r="B63" i="7"/>
  <c r="B67" i="7"/>
  <c r="C69" i="7"/>
  <c r="B69" i="7"/>
  <c r="C71" i="7"/>
  <c r="C74" i="7"/>
  <c r="C70" i="7"/>
  <c r="B70" i="7"/>
  <c r="C72" i="7"/>
  <c r="C73" i="7"/>
  <c r="B72" i="7"/>
  <c r="B71" i="7"/>
  <c r="B73" i="7"/>
  <c r="C75" i="7"/>
  <c r="B74" i="7"/>
  <c r="C79" i="7"/>
  <c r="B76" i="7"/>
  <c r="B75" i="7"/>
  <c r="C76" i="7"/>
  <c r="C77" i="7"/>
  <c r="C78" i="7"/>
  <c r="B77" i="7"/>
  <c r="B78" i="7"/>
  <c r="C80" i="7"/>
  <c r="B79" i="7"/>
  <c r="B81" i="7"/>
  <c r="C81" i="7"/>
  <c r="C83" i="7"/>
  <c r="B80" i="7"/>
  <c r="C82" i="7"/>
  <c r="B83" i="7"/>
  <c r="B82" i="7"/>
  <c r="C84" i="7"/>
  <c r="C86" i="7"/>
  <c r="B87" i="7"/>
  <c r="C89" i="7"/>
  <c r="C85" i="7"/>
  <c r="B84" i="7"/>
  <c r="B85" i="7"/>
  <c r="C88" i="7"/>
  <c r="B86" i="7"/>
  <c r="C87" i="7"/>
  <c r="C90" i="7"/>
  <c r="B88" i="7"/>
  <c r="B89" i="7"/>
  <c r="C91" i="7"/>
  <c r="B90" i="7"/>
  <c r="B91" i="7"/>
  <c r="B93" i="7"/>
  <c r="C92" i="7"/>
  <c r="B94" i="7"/>
  <c r="C96" i="7"/>
  <c r="C93" i="7"/>
  <c r="B92" i="7"/>
  <c r="C95" i="7"/>
  <c r="C94" i="7"/>
  <c r="C97" i="7"/>
  <c r="B96" i="7"/>
  <c r="C101" i="7"/>
  <c r="B95" i="7"/>
  <c r="B99" i="7"/>
  <c r="B97" i="7"/>
  <c r="C98" i="7"/>
  <c r="B98" i="7"/>
  <c r="C99" i="7"/>
  <c r="C100" i="7"/>
  <c r="C103" i="7"/>
  <c r="C102" i="7"/>
  <c r="B100" i="7"/>
  <c r="B104" i="7"/>
  <c r="C104" i="7"/>
  <c r="B102" i="7"/>
  <c r="B101" i="7"/>
  <c r="B105" i="7"/>
  <c r="B103" i="7"/>
  <c r="C105" i="7"/>
  <c r="C106" i="7"/>
  <c r="C107" i="7"/>
  <c r="B108" i="7"/>
  <c r="B110" i="7"/>
  <c r="C108" i="7"/>
  <c r="C109" i="7"/>
  <c r="B106" i="7"/>
  <c r="B107" i="7"/>
  <c r="C110" i="7"/>
  <c r="C111" i="7"/>
  <c r="B109" i="7"/>
  <c r="C112" i="7"/>
  <c r="B111" i="7"/>
  <c r="B112" i="7"/>
  <c r="C117" i="7"/>
  <c r="B113" i="7"/>
  <c r="C114" i="7"/>
  <c r="B114" i="7"/>
  <c r="B117" i="7"/>
  <c r="BD30" i="7" a="1"/>
  <c r="BD30" i="7" s="1"/>
  <c r="BD31" i="7" a="1"/>
  <c r="BD31" i="7" s="1"/>
  <c r="BH26" i="7" a="1"/>
  <c r="BH26" i="7" s="1"/>
  <c r="BL24" i="5"/>
  <c r="BH29" i="7" a="1"/>
  <c r="BH29" i="7" s="1"/>
  <c r="C121" i="7"/>
  <c r="BH31" i="7" a="1"/>
  <c r="BH31" i="7" s="1"/>
  <c r="K18" i="6"/>
  <c r="J17" i="6"/>
  <c r="BK224" i="5"/>
  <c r="BK39" i="5"/>
  <c r="BK31" i="5" s="1"/>
  <c r="BK26" i="5" s="1"/>
  <c r="BJ273" i="5"/>
  <c r="BL5" i="7"/>
  <c r="BK64" i="7"/>
  <c r="BK63" i="7"/>
  <c r="BK65" i="7"/>
  <c r="BK66" i="7"/>
  <c r="BK67" i="7"/>
  <c r="BK68" i="7"/>
  <c r="BK69" i="7"/>
  <c r="BK70" i="7"/>
  <c r="BK71" i="7"/>
  <c r="BK72" i="7"/>
  <c r="BK73" i="7"/>
  <c r="BK74" i="7"/>
  <c r="BK75" i="7"/>
  <c r="BK76" i="7"/>
  <c r="BK77" i="7"/>
  <c r="BK78" i="7"/>
  <c r="BK79" i="7"/>
  <c r="BK80" i="7"/>
  <c r="BK81" i="7"/>
  <c r="BK82" i="7"/>
  <c r="BK83" i="7"/>
  <c r="BK84" i="7"/>
  <c r="BK85" i="7"/>
  <c r="BK86" i="7"/>
  <c r="BK87" i="7"/>
  <c r="BK88" i="7"/>
  <c r="BK89" i="7"/>
  <c r="BK90" i="7"/>
  <c r="BK91" i="7"/>
  <c r="BK92" i="7"/>
  <c r="BK93" i="7"/>
  <c r="BK94" i="7"/>
  <c r="BK95" i="7"/>
  <c r="BK96" i="7"/>
  <c r="BK97" i="7"/>
  <c r="BK98" i="7"/>
  <c r="BK99" i="7"/>
  <c r="BK100" i="7"/>
  <c r="BK101" i="7"/>
  <c r="BK102" i="7"/>
  <c r="BK103" i="7"/>
  <c r="BK104" i="7"/>
  <c r="BK105" i="7"/>
  <c r="BK106" i="7"/>
  <c r="BK107" i="7"/>
  <c r="BK108" i="7"/>
  <c r="BK109" i="7"/>
  <c r="BK110" i="7"/>
  <c r="BK111" i="7"/>
  <c r="BK112" i="7"/>
  <c r="BK113" i="7"/>
  <c r="BK114" i="7"/>
  <c r="BK115" i="7"/>
  <c r="BK116" i="7"/>
  <c r="BK117" i="7"/>
  <c r="BK118" i="7"/>
  <c r="BK119" i="7"/>
  <c r="BK120" i="7"/>
  <c r="C113" i="7"/>
  <c r="BM105" i="5"/>
  <c r="BM107" i="5"/>
  <c r="BM233" i="5" s="1"/>
  <c r="BC18" i="7" a="1"/>
  <c r="BC18" i="7" s="1"/>
  <c r="B115" i="7"/>
  <c r="C116" i="7"/>
  <c r="B116" i="7"/>
  <c r="BI30" i="7" a="1"/>
  <c r="BI30" i="7" s="1"/>
  <c r="BL122" i="7"/>
  <c r="BD122" i="7"/>
  <c r="AV122" i="7"/>
  <c r="AN122" i="7"/>
  <c r="AF122" i="7"/>
  <c r="X122" i="7"/>
  <c r="P122" i="7"/>
  <c r="H122" i="7"/>
  <c r="BK122" i="7"/>
  <c r="BC122" i="7"/>
  <c r="AU122" i="7"/>
  <c r="AM122" i="7"/>
  <c r="AE122" i="7"/>
  <c r="W122" i="7"/>
  <c r="O122" i="7"/>
  <c r="G122" i="7"/>
  <c r="BJ122" i="7"/>
  <c r="BB122" i="7"/>
  <c r="AT122" i="7"/>
  <c r="AL122" i="7"/>
  <c r="AD122" i="7"/>
  <c r="V122" i="7"/>
  <c r="N122" i="7"/>
  <c r="F122" i="7"/>
  <c r="BE122" i="7"/>
  <c r="AW122" i="7"/>
  <c r="AO122" i="7"/>
  <c r="AG122" i="7"/>
  <c r="Y122" i="7"/>
  <c r="Q122" i="7"/>
  <c r="I122" i="7"/>
  <c r="BI122" i="7"/>
  <c r="AS122" i="7"/>
  <c r="AC122" i="7"/>
  <c r="M122" i="7"/>
  <c r="BH122" i="7"/>
  <c r="BH34" i="7" s="1" a="1"/>
  <c r="BH34" i="7" s="1"/>
  <c r="AR122" i="7"/>
  <c r="AB122" i="7"/>
  <c r="L122" i="7"/>
  <c r="BG122" i="7"/>
  <c r="BF122" i="7"/>
  <c r="BA122" i="7"/>
  <c r="AK122" i="7"/>
  <c r="U122" i="7"/>
  <c r="E122" i="7"/>
  <c r="AX122" i="7"/>
  <c r="AH122" i="7"/>
  <c r="R122" i="7"/>
  <c r="AZ122" i="7"/>
  <c r="T122" i="7"/>
  <c r="AY122" i="7"/>
  <c r="S122" i="7"/>
  <c r="AQ122" i="7"/>
  <c r="K122" i="7"/>
  <c r="AJ122" i="7"/>
  <c r="AP122" i="7"/>
  <c r="AI122" i="7"/>
  <c r="AA122" i="7"/>
  <c r="Z122" i="7"/>
  <c r="J122" i="7"/>
  <c r="C122" i="7"/>
  <c r="BH23" i="7" a="1"/>
  <c r="BH23" i="7" s="1"/>
  <c r="BK270" i="5"/>
  <c r="BK271" i="5"/>
  <c r="BL11" i="5"/>
  <c r="BK272" i="5"/>
  <c r="BK265" i="5"/>
  <c r="BK267" i="5" s="1"/>
  <c r="BK260" i="5"/>
  <c r="BK263" i="5" s="1"/>
  <c r="B119" i="7"/>
  <c r="BK269" i="5"/>
  <c r="P36" i="6"/>
  <c r="P31" i="6"/>
  <c r="P24" i="6"/>
  <c r="P38" i="6"/>
  <c r="P35" i="6"/>
  <c r="P27" i="6"/>
  <c r="P46" i="6"/>
  <c r="P28" i="6"/>
  <c r="P43" i="6"/>
  <c r="P33" i="6"/>
  <c r="P48" i="6"/>
  <c r="P41" i="6"/>
  <c r="P34" i="6"/>
  <c r="P44" i="6"/>
  <c r="P26" i="6"/>
  <c r="P25" i="6"/>
  <c r="P29" i="6"/>
  <c r="P21" i="6"/>
  <c r="P32" i="6"/>
  <c r="P30" i="6"/>
  <c r="P40" i="6"/>
  <c r="P39" i="6" s="1"/>
  <c r="P47" i="6"/>
  <c r="P45" i="6"/>
  <c r="P37" i="6"/>
  <c r="P23" i="6"/>
  <c r="P42" i="6"/>
  <c r="BC31" i="7" a="1"/>
  <c r="BC31" i="7" s="1"/>
  <c r="AS22" i="7" l="1" a="1"/>
  <c r="AS22" i="7" s="1"/>
  <c r="AS30" i="7" a="1"/>
  <c r="AS30" i="7" s="1"/>
  <c r="AS38" i="7" a="1"/>
  <c r="AS38" i="7" s="1"/>
  <c r="AS26" i="7" a="1"/>
  <c r="AS26" i="7" s="1"/>
  <c r="AS18" i="7" a="1"/>
  <c r="AS18" i="7" s="1"/>
  <c r="AS17" i="7" a="1"/>
  <c r="AS17" i="7" s="1"/>
  <c r="AS29" i="7" a="1"/>
  <c r="AS29" i="7" s="1"/>
  <c r="AS31" i="7" a="1"/>
  <c r="AS31" i="7" s="1"/>
  <c r="AS23" i="7" a="1"/>
  <c r="AS23" i="7" s="1"/>
  <c r="AS34" i="7" a="1"/>
  <c r="AS34" i="7" s="1"/>
  <c r="BE22" i="7" a="1"/>
  <c r="BE22" i="7" s="1"/>
  <c r="BE26" i="7" a="1"/>
  <c r="BE26" i="7" s="1"/>
  <c r="BE23" i="7" a="1"/>
  <c r="BE23" i="7" s="1"/>
  <c r="BE38" i="7" a="1"/>
  <c r="BE38" i="7" s="1"/>
  <c r="BE17" i="7" a="1"/>
  <c r="BE17" i="7" s="1"/>
  <c r="BE18" i="7" a="1"/>
  <c r="BE18" i="7" s="1"/>
  <c r="BE29" i="7" a="1"/>
  <c r="BE29" i="7" s="1"/>
  <c r="BE34" i="7" a="1"/>
  <c r="BE34" i="7" s="1"/>
  <c r="BE31" i="7" a="1"/>
  <c r="BE31" i="7" s="1"/>
  <c r="BF34" i="7" a="1"/>
  <c r="BF34" i="7" s="1"/>
  <c r="P49" i="6"/>
  <c r="BK273" i="5"/>
  <c r="BH30" i="7" a="1"/>
  <c r="BH30" i="7" s="1"/>
  <c r="AI29" i="7" a="1"/>
  <c r="AI29" i="7" s="1"/>
  <c r="AI23" i="7" a="1"/>
  <c r="AI23" i="7" s="1"/>
  <c r="AI31" i="7" a="1"/>
  <c r="AI31" i="7" s="1"/>
  <c r="AI30" i="7" a="1"/>
  <c r="AI30" i="7" s="1"/>
  <c r="AI18" i="7" a="1"/>
  <c r="AI18" i="7" s="1"/>
  <c r="AI38" i="7" a="1"/>
  <c r="AI38" i="7" s="1"/>
  <c r="AI17" i="7" a="1"/>
  <c r="AI17" i="7" s="1"/>
  <c r="AI22" i="7" a="1"/>
  <c r="AI22" i="7" s="1"/>
  <c r="AI26" i="7" a="1"/>
  <c r="AI26" i="7" s="1"/>
  <c r="AI34" i="7" a="1"/>
  <c r="AI34" i="7" s="1"/>
  <c r="AZ17" i="7" a="1"/>
  <c r="AZ17" i="7" s="1"/>
  <c r="AZ23" i="7" a="1"/>
  <c r="AZ23" i="7" s="1"/>
  <c r="AZ22" i="7" a="1"/>
  <c r="AZ22" i="7" s="1"/>
  <c r="AZ31" i="7" a="1"/>
  <c r="AZ31" i="7" s="1"/>
  <c r="AZ34" i="7" a="1"/>
  <c r="AZ34" i="7" s="1"/>
  <c r="AZ38" i="7" a="1"/>
  <c r="AZ38" i="7" s="1"/>
  <c r="AZ26" i="7" a="1"/>
  <c r="AZ26" i="7" s="1"/>
  <c r="AZ18" i="7" a="1"/>
  <c r="AZ18" i="7" s="1"/>
  <c r="AZ29" i="7" a="1"/>
  <c r="AZ29" i="7" s="1"/>
  <c r="AZ30" i="7" a="1"/>
  <c r="AZ30" i="7" s="1"/>
  <c r="BA29" i="7" a="1"/>
  <c r="BA29" i="7" s="1"/>
  <c r="BA17" i="7" a="1"/>
  <c r="BA17" i="7" s="1"/>
  <c r="BA23" i="7" a="1"/>
  <c r="BA23" i="7" s="1"/>
  <c r="BA38" i="7" a="1"/>
  <c r="BA38" i="7" s="1"/>
  <c r="BA22" i="7" a="1"/>
  <c r="BA22" i="7" s="1"/>
  <c r="BA34" i="7" a="1"/>
  <c r="BA34" i="7" s="1"/>
  <c r="BA18" i="7" a="1"/>
  <c r="BA18" i="7" s="1"/>
  <c r="BA26" i="7" a="1"/>
  <c r="BA26" i="7" s="1"/>
  <c r="BA30" i="7" a="1"/>
  <c r="BA30" i="7" s="1"/>
  <c r="BA31" i="7" a="1"/>
  <c r="BA31" i="7" s="1"/>
  <c r="AC34" i="7" a="1"/>
  <c r="AC34" i="7" s="1"/>
  <c r="AC38" i="7" a="1"/>
  <c r="AC38" i="7" s="1"/>
  <c r="AC29" i="7" a="1"/>
  <c r="AC29" i="7" s="1"/>
  <c r="AC17" i="7" a="1"/>
  <c r="AC17" i="7" s="1"/>
  <c r="AC18" i="7" a="1"/>
  <c r="AC18" i="7" s="1"/>
  <c r="AC22" i="7" a="1"/>
  <c r="AC22" i="7" s="1"/>
  <c r="AC23" i="7" a="1"/>
  <c r="AC23" i="7" s="1"/>
  <c r="AC31" i="7" a="1"/>
  <c r="AC31" i="7" s="1"/>
  <c r="AC26" i="7" a="1"/>
  <c r="AC26" i="7" s="1"/>
  <c r="AC30" i="7" a="1"/>
  <c r="AC30" i="7" s="1"/>
  <c r="AW18" i="7" a="1"/>
  <c r="AW18" i="7" s="1"/>
  <c r="AW30" i="7" a="1"/>
  <c r="AW30" i="7" s="1"/>
  <c r="AW29" i="7" a="1"/>
  <c r="AW29" i="7" s="1"/>
  <c r="AW31" i="7" a="1"/>
  <c r="AW31" i="7" s="1"/>
  <c r="AW34" i="7" a="1"/>
  <c r="AW34" i="7" s="1"/>
  <c r="AW38" i="7" a="1"/>
  <c r="AW38" i="7" s="1"/>
  <c r="AW26" i="7" a="1"/>
  <c r="AW26" i="7" s="1"/>
  <c r="AW22" i="7" a="1"/>
  <c r="AW22" i="7" s="1"/>
  <c r="AW23" i="7" a="1"/>
  <c r="AW23" i="7" s="1"/>
  <c r="AW17" i="7" a="1"/>
  <c r="AW17" i="7" s="1"/>
  <c r="BB23" i="7" a="1"/>
  <c r="BB23" i="7" s="1"/>
  <c r="BB18" i="7" a="1"/>
  <c r="BB18" i="7" s="1"/>
  <c r="BB29" i="7" a="1"/>
  <c r="BB29" i="7" s="1"/>
  <c r="BB22" i="7" a="1"/>
  <c r="BB22" i="7" s="1"/>
  <c r="BB26" i="7" a="1"/>
  <c r="BB26" i="7" s="1"/>
  <c r="BB17" i="7" a="1"/>
  <c r="BB17" i="7" s="1"/>
  <c r="BB38" i="7" a="1"/>
  <c r="BB38" i="7" s="1"/>
  <c r="BB31" i="7" a="1"/>
  <c r="BB31" i="7" s="1"/>
  <c r="BB34" i="7" a="1"/>
  <c r="BB34" i="7" s="1"/>
  <c r="BB30" i="7" a="1"/>
  <c r="BB30" i="7" s="1"/>
  <c r="BC17" i="7" a="1"/>
  <c r="BC17" i="7" s="1"/>
  <c r="BC34" i="7" a="1"/>
  <c r="BC34" i="7" s="1"/>
  <c r="BC29" i="7" a="1"/>
  <c r="BC29" i="7" s="1"/>
  <c r="BC38" i="7" a="1"/>
  <c r="BC38" i="7" s="1"/>
  <c r="BC26" i="7" a="1"/>
  <c r="BC26" i="7" s="1"/>
  <c r="BC30" i="7" a="1"/>
  <c r="BC30" i="7" s="1"/>
  <c r="BC22" i="7" a="1"/>
  <c r="BC22" i="7" s="1"/>
  <c r="BC23" i="7" a="1"/>
  <c r="BC23" i="7" s="1"/>
  <c r="BD18" i="7" a="1"/>
  <c r="BD18" i="7" s="1"/>
  <c r="BD22" i="7" a="1"/>
  <c r="BD22" i="7" s="1"/>
  <c r="BD23" i="7" a="1"/>
  <c r="BD23" i="7" s="1"/>
  <c r="BD17" i="7" a="1"/>
  <c r="BD17" i="7" s="1"/>
  <c r="BI38" i="7" a="1"/>
  <c r="BI38" i="7" s="1"/>
  <c r="BI26" i="7" a="1"/>
  <c r="BI26" i="7" s="1"/>
  <c r="BJ22" i="7" a="1"/>
  <c r="BJ22" i="7" s="1"/>
  <c r="BJ34" i="7" a="1"/>
  <c r="BJ34" i="7" s="1"/>
  <c r="BJ26" i="7" a="1"/>
  <c r="BJ26" i="7" s="1"/>
  <c r="BF38" i="7" a="1"/>
  <c r="BF38" i="7" s="1"/>
  <c r="BD38" i="7" a="1"/>
  <c r="BD38" i="7" s="1"/>
  <c r="BL168" i="5"/>
  <c r="BD168" i="5"/>
  <c r="AV168" i="5"/>
  <c r="AN168" i="5"/>
  <c r="AF168" i="5"/>
  <c r="X168" i="5"/>
  <c r="P168" i="5"/>
  <c r="H168" i="5"/>
  <c r="BI167" i="5"/>
  <c r="BA167" i="5"/>
  <c r="AS167" i="5"/>
  <c r="AK167" i="5"/>
  <c r="AC167" i="5"/>
  <c r="U167" i="5"/>
  <c r="M167" i="5"/>
  <c r="BF166" i="5"/>
  <c r="AX166" i="5"/>
  <c r="AP166" i="5"/>
  <c r="AH166" i="5"/>
  <c r="Z166" i="5"/>
  <c r="R166" i="5"/>
  <c r="J166" i="5"/>
  <c r="BK165" i="5"/>
  <c r="BC165" i="5"/>
  <c r="AU165" i="5"/>
  <c r="AM165" i="5"/>
  <c r="AE165" i="5"/>
  <c r="W165" i="5"/>
  <c r="O165" i="5"/>
  <c r="G165" i="5"/>
  <c r="BH164" i="5"/>
  <c r="AZ164" i="5"/>
  <c r="AR164" i="5"/>
  <c r="AJ164" i="5"/>
  <c r="AB164" i="5"/>
  <c r="T164" i="5"/>
  <c r="L164" i="5"/>
  <c r="BE163" i="5"/>
  <c r="AW163" i="5"/>
  <c r="AO163" i="5"/>
  <c r="AG163" i="5"/>
  <c r="Y163" i="5"/>
  <c r="Q163" i="5"/>
  <c r="I163" i="5"/>
  <c r="BB162" i="5"/>
  <c r="AT162" i="5"/>
  <c r="AL162" i="5"/>
  <c r="AD162" i="5"/>
  <c r="V162" i="5"/>
  <c r="N162" i="5"/>
  <c r="BG161" i="5"/>
  <c r="AY161" i="5"/>
  <c r="AQ161" i="5"/>
  <c r="AI161" i="5"/>
  <c r="AA161" i="5"/>
  <c r="S161" i="5"/>
  <c r="K161" i="5"/>
  <c r="BD160" i="5"/>
  <c r="AV160" i="5"/>
  <c r="AN160" i="5"/>
  <c r="AF160" i="5"/>
  <c r="X160" i="5"/>
  <c r="P160" i="5"/>
  <c r="H160" i="5"/>
  <c r="BA159" i="5"/>
  <c r="AS159" i="5"/>
  <c r="AK159" i="5"/>
  <c r="AC159" i="5"/>
  <c r="U159" i="5"/>
  <c r="M159" i="5"/>
  <c r="AX158" i="5"/>
  <c r="AP158" i="5"/>
  <c r="AH158" i="5"/>
  <c r="Z158" i="5"/>
  <c r="R158" i="5"/>
  <c r="J158" i="5"/>
  <c r="BC157" i="5"/>
  <c r="AU157" i="5"/>
  <c r="AM157" i="5"/>
  <c r="AE157" i="5"/>
  <c r="W157" i="5"/>
  <c r="O157" i="5"/>
  <c r="G157" i="5"/>
  <c r="AZ156" i="5"/>
  <c r="AR156" i="5"/>
  <c r="AJ156" i="5"/>
  <c r="AB156" i="5"/>
  <c r="T156" i="5"/>
  <c r="L156" i="5"/>
  <c r="AW155" i="5"/>
  <c r="AO155" i="5"/>
  <c r="AG155" i="5"/>
  <c r="Y155" i="5"/>
  <c r="Q155" i="5"/>
  <c r="I155" i="5"/>
  <c r="AT154" i="5"/>
  <c r="AL154" i="5"/>
  <c r="AD154" i="5"/>
  <c r="V154" i="5"/>
  <c r="N154" i="5"/>
  <c r="AY153" i="5"/>
  <c r="AQ153" i="5"/>
  <c r="AI153" i="5"/>
  <c r="AA153" i="5"/>
  <c r="S153" i="5"/>
  <c r="K153" i="5"/>
  <c r="AV152" i="5"/>
  <c r="AN152" i="5"/>
  <c r="AF152" i="5"/>
  <c r="X152" i="5"/>
  <c r="P152" i="5"/>
  <c r="H152" i="5"/>
  <c r="AS151" i="5"/>
  <c r="AK151" i="5"/>
  <c r="AC151" i="5"/>
  <c r="U151" i="5"/>
  <c r="M151" i="5"/>
  <c r="AP150" i="5"/>
  <c r="AH150" i="5"/>
  <c r="Z150" i="5"/>
  <c r="R150" i="5"/>
  <c r="J150" i="5"/>
  <c r="AU149" i="5"/>
  <c r="AM149" i="5"/>
  <c r="AE149" i="5"/>
  <c r="W149" i="5"/>
  <c r="O149" i="5"/>
  <c r="G149" i="5"/>
  <c r="AR148" i="5"/>
  <c r="AJ148" i="5"/>
  <c r="AB148" i="5"/>
  <c r="T148" i="5"/>
  <c r="L148" i="5"/>
  <c r="AO147" i="5"/>
  <c r="AG147" i="5"/>
  <c r="Y147" i="5"/>
  <c r="Q147" i="5"/>
  <c r="I147" i="5"/>
  <c r="AL146" i="5"/>
  <c r="AD146" i="5"/>
  <c r="V146" i="5"/>
  <c r="N146" i="5"/>
  <c r="AQ145" i="5"/>
  <c r="AI145" i="5"/>
  <c r="AA145" i="5"/>
  <c r="S145" i="5"/>
  <c r="K145" i="5"/>
  <c r="AN144" i="5"/>
  <c r="AF144" i="5"/>
  <c r="X144" i="5"/>
  <c r="P144" i="5"/>
  <c r="H144" i="5"/>
  <c r="AK143" i="5"/>
  <c r="AC143" i="5"/>
  <c r="U143" i="5"/>
  <c r="M143" i="5"/>
  <c r="AH142" i="5"/>
  <c r="Z142" i="5"/>
  <c r="R142" i="5"/>
  <c r="J142" i="5"/>
  <c r="AM141" i="5"/>
  <c r="AE141" i="5"/>
  <c r="W141" i="5"/>
  <c r="O141" i="5"/>
  <c r="G141" i="5"/>
  <c r="AJ140" i="5"/>
  <c r="AB140" i="5"/>
  <c r="T140" i="5"/>
  <c r="L140" i="5"/>
  <c r="AG139" i="5"/>
  <c r="Y139" i="5"/>
  <c r="Q139" i="5"/>
  <c r="I139" i="5"/>
  <c r="AD138" i="5"/>
  <c r="V138" i="5"/>
  <c r="N138" i="5"/>
  <c r="AI137" i="5"/>
  <c r="AA137" i="5"/>
  <c r="S137" i="5"/>
  <c r="K137" i="5"/>
  <c r="AF136" i="5"/>
  <c r="X136" i="5"/>
  <c r="P136" i="5"/>
  <c r="H136" i="5"/>
  <c r="AC135" i="5"/>
  <c r="U135" i="5"/>
  <c r="M135" i="5"/>
  <c r="Z134" i="5"/>
  <c r="R134" i="5"/>
  <c r="J134" i="5"/>
  <c r="AE133" i="5"/>
  <c r="W133" i="5"/>
  <c r="O133" i="5"/>
  <c r="G133" i="5"/>
  <c r="AB132" i="5"/>
  <c r="T132" i="5"/>
  <c r="L132" i="5"/>
  <c r="Y131" i="5"/>
  <c r="Q131" i="5"/>
  <c r="I131" i="5"/>
  <c r="V130" i="5"/>
  <c r="N130" i="5"/>
  <c r="BK168" i="5"/>
  <c r="BC168" i="5"/>
  <c r="AU168" i="5"/>
  <c r="AM168" i="5"/>
  <c r="AE168" i="5"/>
  <c r="W168" i="5"/>
  <c r="O168" i="5"/>
  <c r="G168" i="5"/>
  <c r="BH167" i="5"/>
  <c r="AZ167" i="5"/>
  <c r="AR167" i="5"/>
  <c r="AJ167" i="5"/>
  <c r="AB167" i="5"/>
  <c r="T167" i="5"/>
  <c r="L167" i="5"/>
  <c r="BE166" i="5"/>
  <c r="AW166" i="5"/>
  <c r="AO166" i="5"/>
  <c r="AG166" i="5"/>
  <c r="Y166" i="5"/>
  <c r="Q166" i="5"/>
  <c r="I166" i="5"/>
  <c r="BJ165" i="5"/>
  <c r="BB165" i="5"/>
  <c r="AT165" i="5"/>
  <c r="AL165" i="5"/>
  <c r="AD165" i="5"/>
  <c r="V165" i="5"/>
  <c r="N165" i="5"/>
  <c r="BG164" i="5"/>
  <c r="AY164" i="5"/>
  <c r="AQ164" i="5"/>
  <c r="AI164" i="5"/>
  <c r="AA164" i="5"/>
  <c r="S164" i="5"/>
  <c r="K164" i="5"/>
  <c r="BD163" i="5"/>
  <c r="AV163" i="5"/>
  <c r="AN163" i="5"/>
  <c r="AF163" i="5"/>
  <c r="X163" i="5"/>
  <c r="P163" i="5"/>
  <c r="H163" i="5"/>
  <c r="BA162" i="5"/>
  <c r="AS162" i="5"/>
  <c r="AK162" i="5"/>
  <c r="AC162" i="5"/>
  <c r="U162" i="5"/>
  <c r="M162" i="5"/>
  <c r="BF161" i="5"/>
  <c r="AX161" i="5"/>
  <c r="AP161" i="5"/>
  <c r="AH161" i="5"/>
  <c r="Z161" i="5"/>
  <c r="R161" i="5"/>
  <c r="J161" i="5"/>
  <c r="BC160" i="5"/>
  <c r="AU160" i="5"/>
  <c r="AM160" i="5"/>
  <c r="AE160" i="5"/>
  <c r="W160" i="5"/>
  <c r="O160" i="5"/>
  <c r="G160" i="5"/>
  <c r="AZ159" i="5"/>
  <c r="AR159" i="5"/>
  <c r="AJ159" i="5"/>
  <c r="AB159" i="5"/>
  <c r="T159" i="5"/>
  <c r="L159" i="5"/>
  <c r="AW158" i="5"/>
  <c r="AO158" i="5"/>
  <c r="AG158" i="5"/>
  <c r="Y158" i="5"/>
  <c r="Q158" i="5"/>
  <c r="I158" i="5"/>
  <c r="BB157" i="5"/>
  <c r="AT157" i="5"/>
  <c r="AL157" i="5"/>
  <c r="AD157" i="5"/>
  <c r="V157" i="5"/>
  <c r="N157" i="5"/>
  <c r="AY156" i="5"/>
  <c r="AQ156" i="5"/>
  <c r="AI156" i="5"/>
  <c r="AA156" i="5"/>
  <c r="S156" i="5"/>
  <c r="K156" i="5"/>
  <c r="AV155" i="5"/>
  <c r="AN155" i="5"/>
  <c r="AF155" i="5"/>
  <c r="X155" i="5"/>
  <c r="P155" i="5"/>
  <c r="H155" i="5"/>
  <c r="AS154" i="5"/>
  <c r="AK154" i="5"/>
  <c r="AC154" i="5"/>
  <c r="U154" i="5"/>
  <c r="M154" i="5"/>
  <c r="AX153" i="5"/>
  <c r="AP153" i="5"/>
  <c r="AH153" i="5"/>
  <c r="Z153" i="5"/>
  <c r="R153" i="5"/>
  <c r="J153" i="5"/>
  <c r="AU152" i="5"/>
  <c r="AM152" i="5"/>
  <c r="AE152" i="5"/>
  <c r="W152" i="5"/>
  <c r="O152" i="5"/>
  <c r="G152" i="5"/>
  <c r="AR151" i="5"/>
  <c r="AJ151" i="5"/>
  <c r="AB151" i="5"/>
  <c r="T151" i="5"/>
  <c r="L151" i="5"/>
  <c r="AO150" i="5"/>
  <c r="AG150" i="5"/>
  <c r="Y150" i="5"/>
  <c r="Q150" i="5"/>
  <c r="I150" i="5"/>
  <c r="AT149" i="5"/>
  <c r="AL149" i="5"/>
  <c r="AD149" i="5"/>
  <c r="V149" i="5"/>
  <c r="N149" i="5"/>
  <c r="AQ148" i="5"/>
  <c r="AI148" i="5"/>
  <c r="AA148" i="5"/>
  <c r="S148" i="5"/>
  <c r="K148" i="5"/>
  <c r="AN147" i="5"/>
  <c r="AF147" i="5"/>
  <c r="X147" i="5"/>
  <c r="P147" i="5"/>
  <c r="H147" i="5"/>
  <c r="AK146" i="5"/>
  <c r="AC146" i="5"/>
  <c r="U146" i="5"/>
  <c r="M146" i="5"/>
  <c r="AP145" i="5"/>
  <c r="AH145" i="5"/>
  <c r="Z145" i="5"/>
  <c r="R145" i="5"/>
  <c r="J145" i="5"/>
  <c r="AM144" i="5"/>
  <c r="AE144" i="5"/>
  <c r="W144" i="5"/>
  <c r="O144" i="5"/>
  <c r="G144" i="5"/>
  <c r="AJ143" i="5"/>
  <c r="AB143" i="5"/>
  <c r="T143" i="5"/>
  <c r="L143" i="5"/>
  <c r="AG142" i="5"/>
  <c r="Y142" i="5"/>
  <c r="Q142" i="5"/>
  <c r="I142" i="5"/>
  <c r="AL141" i="5"/>
  <c r="AD141" i="5"/>
  <c r="V141" i="5"/>
  <c r="N141" i="5"/>
  <c r="AI140" i="5"/>
  <c r="AA140" i="5"/>
  <c r="S140" i="5"/>
  <c r="K140" i="5"/>
  <c r="AF139" i="5"/>
  <c r="X139" i="5"/>
  <c r="P139" i="5"/>
  <c r="H139" i="5"/>
  <c r="AC138" i="5"/>
  <c r="U138" i="5"/>
  <c r="M138" i="5"/>
  <c r="AH137" i="5"/>
  <c r="Z137" i="5"/>
  <c r="R137" i="5"/>
  <c r="J137" i="5"/>
  <c r="AE136" i="5"/>
  <c r="W136" i="5"/>
  <c r="O136" i="5"/>
  <c r="G136" i="5"/>
  <c r="AB135" i="5"/>
  <c r="T135" i="5"/>
  <c r="L135" i="5"/>
  <c r="Y134" i="5"/>
  <c r="Q134" i="5"/>
  <c r="I134" i="5"/>
  <c r="AD133" i="5"/>
  <c r="V133" i="5"/>
  <c r="N133" i="5"/>
  <c r="AA132" i="5"/>
  <c r="S132" i="5"/>
  <c r="K132" i="5"/>
  <c r="X131" i="5"/>
  <c r="P131" i="5"/>
  <c r="H131" i="5"/>
  <c r="U130" i="5"/>
  <c r="M130" i="5"/>
  <c r="BJ168" i="5"/>
  <c r="BB168" i="5"/>
  <c r="AT168" i="5"/>
  <c r="AL168" i="5"/>
  <c r="AD168" i="5"/>
  <c r="V168" i="5"/>
  <c r="N168" i="5"/>
  <c r="BG167" i="5"/>
  <c r="AY167" i="5"/>
  <c r="AQ167" i="5"/>
  <c r="AI167" i="5"/>
  <c r="AA167" i="5"/>
  <c r="S167" i="5"/>
  <c r="K167" i="5"/>
  <c r="BL166" i="5"/>
  <c r="BD166" i="5"/>
  <c r="AV166" i="5"/>
  <c r="AN166" i="5"/>
  <c r="AF166" i="5"/>
  <c r="X166" i="5"/>
  <c r="P166" i="5"/>
  <c r="H166" i="5"/>
  <c r="BI165" i="5"/>
  <c r="BA165" i="5"/>
  <c r="AS165" i="5"/>
  <c r="AK165" i="5"/>
  <c r="AC165" i="5"/>
  <c r="U165" i="5"/>
  <c r="M165" i="5"/>
  <c r="BF164" i="5"/>
  <c r="AX164" i="5"/>
  <c r="AP164" i="5"/>
  <c r="AH164" i="5"/>
  <c r="Z164" i="5"/>
  <c r="R164" i="5"/>
  <c r="J164" i="5"/>
  <c r="BC163" i="5"/>
  <c r="AU163" i="5"/>
  <c r="AM163" i="5"/>
  <c r="AE163" i="5"/>
  <c r="W163" i="5"/>
  <c r="O163" i="5"/>
  <c r="G163" i="5"/>
  <c r="BH162" i="5"/>
  <c r="AZ162" i="5"/>
  <c r="AR162" i="5"/>
  <c r="AJ162" i="5"/>
  <c r="AB162" i="5"/>
  <c r="T162" i="5"/>
  <c r="L162" i="5"/>
  <c r="BE161" i="5"/>
  <c r="AW161" i="5"/>
  <c r="AO161" i="5"/>
  <c r="AG161" i="5"/>
  <c r="Y161" i="5"/>
  <c r="Q161" i="5"/>
  <c r="I161" i="5"/>
  <c r="BB160" i="5"/>
  <c r="AT160" i="5"/>
  <c r="AL160" i="5"/>
  <c r="AD160" i="5"/>
  <c r="V160" i="5"/>
  <c r="N160" i="5"/>
  <c r="AY159" i="5"/>
  <c r="AQ159" i="5"/>
  <c r="AI159" i="5"/>
  <c r="AA159" i="5"/>
  <c r="S159" i="5"/>
  <c r="K159" i="5"/>
  <c r="BD158" i="5"/>
  <c r="AV158" i="5"/>
  <c r="AN158" i="5"/>
  <c r="AF158" i="5"/>
  <c r="X158" i="5"/>
  <c r="P158" i="5"/>
  <c r="H158" i="5"/>
  <c r="BA157" i="5"/>
  <c r="AS157" i="5"/>
  <c r="AK157" i="5"/>
  <c r="AC157" i="5"/>
  <c r="U157" i="5"/>
  <c r="M157" i="5"/>
  <c r="AX156" i="5"/>
  <c r="AP156" i="5"/>
  <c r="AH156" i="5"/>
  <c r="Z156" i="5"/>
  <c r="R156" i="5"/>
  <c r="J156" i="5"/>
  <c r="AU155" i="5"/>
  <c r="AM155" i="5"/>
  <c r="AE155" i="5"/>
  <c r="W155" i="5"/>
  <c r="O155" i="5"/>
  <c r="G155" i="5"/>
  <c r="AZ154" i="5"/>
  <c r="AR154" i="5"/>
  <c r="AJ154" i="5"/>
  <c r="AB154" i="5"/>
  <c r="T154" i="5"/>
  <c r="L154" i="5"/>
  <c r="AW153" i="5"/>
  <c r="AO153" i="5"/>
  <c r="AG153" i="5"/>
  <c r="Y153" i="5"/>
  <c r="Q153" i="5"/>
  <c r="I153" i="5"/>
  <c r="AT152" i="5"/>
  <c r="AL152" i="5"/>
  <c r="AD152" i="5"/>
  <c r="V152" i="5"/>
  <c r="N152" i="5"/>
  <c r="AQ151" i="5"/>
  <c r="AI151" i="5"/>
  <c r="AA151" i="5"/>
  <c r="S151" i="5"/>
  <c r="K151" i="5"/>
  <c r="AV150" i="5"/>
  <c r="AN150" i="5"/>
  <c r="AF150" i="5"/>
  <c r="X150" i="5"/>
  <c r="P150" i="5"/>
  <c r="H150" i="5"/>
  <c r="AS149" i="5"/>
  <c r="AK149" i="5"/>
  <c r="AC149" i="5"/>
  <c r="U149" i="5"/>
  <c r="M149" i="5"/>
  <c r="AP148" i="5"/>
  <c r="AH148" i="5"/>
  <c r="Z148" i="5"/>
  <c r="R148" i="5"/>
  <c r="J148" i="5"/>
  <c r="AM147" i="5"/>
  <c r="AE147" i="5"/>
  <c r="W147" i="5"/>
  <c r="O147" i="5"/>
  <c r="G147" i="5"/>
  <c r="AR146" i="5"/>
  <c r="AJ146" i="5"/>
  <c r="AB146" i="5"/>
  <c r="T146" i="5"/>
  <c r="L146" i="5"/>
  <c r="AO145" i="5"/>
  <c r="AG145" i="5"/>
  <c r="Y145" i="5"/>
  <c r="Q145" i="5"/>
  <c r="I145" i="5"/>
  <c r="AL144" i="5"/>
  <c r="AD144" i="5"/>
  <c r="V144" i="5"/>
  <c r="N144" i="5"/>
  <c r="AI143" i="5"/>
  <c r="AA143" i="5"/>
  <c r="S143" i="5"/>
  <c r="K143" i="5"/>
  <c r="AN142" i="5"/>
  <c r="AF142" i="5"/>
  <c r="X142" i="5"/>
  <c r="P142" i="5"/>
  <c r="H142" i="5"/>
  <c r="AK141" i="5"/>
  <c r="AC141" i="5"/>
  <c r="U141" i="5"/>
  <c r="M141" i="5"/>
  <c r="AH140" i="5"/>
  <c r="Z140" i="5"/>
  <c r="R140" i="5"/>
  <c r="J140" i="5"/>
  <c r="AE139" i="5"/>
  <c r="W139" i="5"/>
  <c r="O139" i="5"/>
  <c r="G139" i="5"/>
  <c r="AJ138" i="5"/>
  <c r="AB138" i="5"/>
  <c r="T138" i="5"/>
  <c r="L138" i="5"/>
  <c r="AG137" i="5"/>
  <c r="Y137" i="5"/>
  <c r="Q137" i="5"/>
  <c r="I137" i="5"/>
  <c r="AD136" i="5"/>
  <c r="V136" i="5"/>
  <c r="N136" i="5"/>
  <c r="AA135" i="5"/>
  <c r="S135" i="5"/>
  <c r="K135" i="5"/>
  <c r="AF134" i="5"/>
  <c r="X134" i="5"/>
  <c r="P134" i="5"/>
  <c r="H134" i="5"/>
  <c r="AC133" i="5"/>
  <c r="U133" i="5"/>
  <c r="M133" i="5"/>
  <c r="Z132" i="5"/>
  <c r="R132" i="5"/>
  <c r="J132" i="5"/>
  <c r="W131" i="5"/>
  <c r="O131" i="5"/>
  <c r="G131" i="5"/>
  <c r="AB130" i="5"/>
  <c r="T130" i="5"/>
  <c r="L130" i="5"/>
  <c r="BM168" i="5"/>
  <c r="BE168" i="5"/>
  <c r="AW168" i="5"/>
  <c r="AO168" i="5"/>
  <c r="AG168" i="5"/>
  <c r="Y168" i="5"/>
  <c r="Q168" i="5"/>
  <c r="I168" i="5"/>
  <c r="BJ167" i="5"/>
  <c r="BB167" i="5"/>
  <c r="AT167" i="5"/>
  <c r="AL167" i="5"/>
  <c r="AD167" i="5"/>
  <c r="V167" i="5"/>
  <c r="N167" i="5"/>
  <c r="BG166" i="5"/>
  <c r="AY166" i="5"/>
  <c r="AQ166" i="5"/>
  <c r="AI166" i="5"/>
  <c r="AA166" i="5"/>
  <c r="S166" i="5"/>
  <c r="K166" i="5"/>
  <c r="BD165" i="5"/>
  <c r="AV165" i="5"/>
  <c r="AN165" i="5"/>
  <c r="AF165" i="5"/>
  <c r="X165" i="5"/>
  <c r="P165" i="5"/>
  <c r="H165" i="5"/>
  <c r="BI164" i="5"/>
  <c r="BA164" i="5"/>
  <c r="AS164" i="5"/>
  <c r="AK164" i="5"/>
  <c r="AC164" i="5"/>
  <c r="U164" i="5"/>
  <c r="M164" i="5"/>
  <c r="BF163" i="5"/>
  <c r="AX163" i="5"/>
  <c r="AP163" i="5"/>
  <c r="AH163" i="5"/>
  <c r="Z163" i="5"/>
  <c r="R163" i="5"/>
  <c r="J163" i="5"/>
  <c r="BC162" i="5"/>
  <c r="AU162" i="5"/>
  <c r="AM162" i="5"/>
  <c r="AE162" i="5"/>
  <c r="W162" i="5"/>
  <c r="O162" i="5"/>
  <c r="G162" i="5"/>
  <c r="AZ161" i="5"/>
  <c r="AR161" i="5"/>
  <c r="AJ161" i="5"/>
  <c r="AB161" i="5"/>
  <c r="T161" i="5"/>
  <c r="L161" i="5"/>
  <c r="BE160" i="5"/>
  <c r="AW160" i="5"/>
  <c r="AO160" i="5"/>
  <c r="AG160" i="5"/>
  <c r="Y160" i="5"/>
  <c r="Q160" i="5"/>
  <c r="I160" i="5"/>
  <c r="BB159" i="5"/>
  <c r="AT159" i="5"/>
  <c r="AL159" i="5"/>
  <c r="AD159" i="5"/>
  <c r="V159" i="5"/>
  <c r="N159" i="5"/>
  <c r="AY158" i="5"/>
  <c r="AQ158" i="5"/>
  <c r="AI158" i="5"/>
  <c r="AA158" i="5"/>
  <c r="S158" i="5"/>
  <c r="K158" i="5"/>
  <c r="AV157" i="5"/>
  <c r="AN157" i="5"/>
  <c r="AF157" i="5"/>
  <c r="X157" i="5"/>
  <c r="P157" i="5"/>
  <c r="H157" i="5"/>
  <c r="BA156" i="5"/>
  <c r="AS156" i="5"/>
  <c r="AK156" i="5"/>
  <c r="AC156" i="5"/>
  <c r="U156" i="5"/>
  <c r="M156" i="5"/>
  <c r="AX155" i="5"/>
  <c r="AP155" i="5"/>
  <c r="AH155" i="5"/>
  <c r="Z155" i="5"/>
  <c r="R155" i="5"/>
  <c r="J155" i="5"/>
  <c r="AU154" i="5"/>
  <c r="AM154" i="5"/>
  <c r="AE154" i="5"/>
  <c r="W154" i="5"/>
  <c r="O154" i="5"/>
  <c r="G154" i="5"/>
  <c r="AR153" i="5"/>
  <c r="AJ153" i="5"/>
  <c r="AB153" i="5"/>
  <c r="T153" i="5"/>
  <c r="L153" i="5"/>
  <c r="AW152" i="5"/>
  <c r="AO152" i="5"/>
  <c r="AG152" i="5"/>
  <c r="Y152" i="5"/>
  <c r="Q152" i="5"/>
  <c r="I152" i="5"/>
  <c r="AT151" i="5"/>
  <c r="AL151" i="5"/>
  <c r="AD151" i="5"/>
  <c r="V151" i="5"/>
  <c r="N151" i="5"/>
  <c r="AQ150" i="5"/>
  <c r="AI150" i="5"/>
  <c r="AA150" i="5"/>
  <c r="S150" i="5"/>
  <c r="K150" i="5"/>
  <c r="AN149" i="5"/>
  <c r="AF149" i="5"/>
  <c r="X149" i="5"/>
  <c r="P149" i="5"/>
  <c r="H149" i="5"/>
  <c r="AS148" i="5"/>
  <c r="AK148" i="5"/>
  <c r="AC148" i="5"/>
  <c r="U148" i="5"/>
  <c r="M148" i="5"/>
  <c r="AP147" i="5"/>
  <c r="AH147" i="5"/>
  <c r="Z147" i="5"/>
  <c r="R147" i="5"/>
  <c r="J147" i="5"/>
  <c r="AM146" i="5"/>
  <c r="AE146" i="5"/>
  <c r="W146" i="5"/>
  <c r="O146" i="5"/>
  <c r="G146" i="5"/>
  <c r="AJ145" i="5"/>
  <c r="AB145" i="5"/>
  <c r="T145" i="5"/>
  <c r="L145" i="5"/>
  <c r="AO144" i="5"/>
  <c r="AG144" i="5"/>
  <c r="Y144" i="5"/>
  <c r="Q144" i="5"/>
  <c r="I144" i="5"/>
  <c r="AL143" i="5"/>
  <c r="AD143" i="5"/>
  <c r="V143" i="5"/>
  <c r="N143" i="5"/>
  <c r="AI142" i="5"/>
  <c r="AA142" i="5"/>
  <c r="S142" i="5"/>
  <c r="K142" i="5"/>
  <c r="AF141" i="5"/>
  <c r="X141" i="5"/>
  <c r="P141" i="5"/>
  <c r="H141" i="5"/>
  <c r="AK140" i="5"/>
  <c r="AC140" i="5"/>
  <c r="U140" i="5"/>
  <c r="M140" i="5"/>
  <c r="AH139" i="5"/>
  <c r="Z139" i="5"/>
  <c r="R139" i="5"/>
  <c r="J139" i="5"/>
  <c r="AE138" i="5"/>
  <c r="W138" i="5"/>
  <c r="O138" i="5"/>
  <c r="G138" i="5"/>
  <c r="AB137" i="5"/>
  <c r="T137" i="5"/>
  <c r="L137" i="5"/>
  <c r="AG136" i="5"/>
  <c r="Y136" i="5"/>
  <c r="Q136" i="5"/>
  <c r="I136" i="5"/>
  <c r="AD135" i="5"/>
  <c r="V135" i="5"/>
  <c r="N135" i="5"/>
  <c r="AA134" i="5"/>
  <c r="S134" i="5"/>
  <c r="K134" i="5"/>
  <c r="X133" i="5"/>
  <c r="P133" i="5"/>
  <c r="H133" i="5"/>
  <c r="AC132" i="5"/>
  <c r="U132" i="5"/>
  <c r="M132" i="5"/>
  <c r="Z131" i="5"/>
  <c r="R131" i="5"/>
  <c r="J131" i="5"/>
  <c r="W130" i="5"/>
  <c r="O130" i="5"/>
  <c r="G130" i="5"/>
  <c r="BI168" i="5"/>
  <c r="AS168" i="5"/>
  <c r="AC168" i="5"/>
  <c r="M168" i="5"/>
  <c r="BK167" i="5"/>
  <c r="AU167" i="5"/>
  <c r="AE167" i="5"/>
  <c r="O167" i="5"/>
  <c r="BI166" i="5"/>
  <c r="AS166" i="5"/>
  <c r="AC166" i="5"/>
  <c r="M166" i="5"/>
  <c r="BF165" i="5"/>
  <c r="AP165" i="5"/>
  <c r="Z165" i="5"/>
  <c r="J165" i="5"/>
  <c r="BD164" i="5"/>
  <c r="AN164" i="5"/>
  <c r="X164" i="5"/>
  <c r="H164" i="5"/>
  <c r="BA163" i="5"/>
  <c r="AK163" i="5"/>
  <c r="U163" i="5"/>
  <c r="AX162" i="5"/>
  <c r="AH162" i="5"/>
  <c r="R162" i="5"/>
  <c r="AV161" i="5"/>
  <c r="AF161" i="5"/>
  <c r="P161" i="5"/>
  <c r="AS160" i="5"/>
  <c r="AC160" i="5"/>
  <c r="M160" i="5"/>
  <c r="AU159" i="5"/>
  <c r="AE159" i="5"/>
  <c r="O159" i="5"/>
  <c r="AS158" i="5"/>
  <c r="AC158" i="5"/>
  <c r="M158" i="5"/>
  <c r="AP157" i="5"/>
  <c r="Z157" i="5"/>
  <c r="J157" i="5"/>
  <c r="AN156" i="5"/>
  <c r="X156" i="5"/>
  <c r="H156" i="5"/>
  <c r="BA155" i="5"/>
  <c r="AK155" i="5"/>
  <c r="U155" i="5"/>
  <c r="AX154" i="5"/>
  <c r="AH154" i="5"/>
  <c r="R154" i="5"/>
  <c r="AV153" i="5"/>
  <c r="AF153" i="5"/>
  <c r="P153" i="5"/>
  <c r="AS152" i="5"/>
  <c r="AC152" i="5"/>
  <c r="M152" i="5"/>
  <c r="AU151" i="5"/>
  <c r="AE151" i="5"/>
  <c r="O151" i="5"/>
  <c r="AS150" i="5"/>
  <c r="AC150" i="5"/>
  <c r="M150" i="5"/>
  <c r="AP149" i="5"/>
  <c r="Z149" i="5"/>
  <c r="J149" i="5"/>
  <c r="AN148" i="5"/>
  <c r="X148" i="5"/>
  <c r="H148" i="5"/>
  <c r="AK147" i="5"/>
  <c r="U147" i="5"/>
  <c r="AH146" i="5"/>
  <c r="R146" i="5"/>
  <c r="AF145" i="5"/>
  <c r="P145" i="5"/>
  <c r="AC144" i="5"/>
  <c r="M144" i="5"/>
  <c r="AE143" i="5"/>
  <c r="O143" i="5"/>
  <c r="AC142" i="5"/>
  <c r="M142" i="5"/>
  <c r="Z141" i="5"/>
  <c r="J141" i="5"/>
  <c r="X140" i="5"/>
  <c r="H140" i="5"/>
  <c r="AK139" i="5"/>
  <c r="U139" i="5"/>
  <c r="AH138" i="5"/>
  <c r="R138" i="5"/>
  <c r="AF137" i="5"/>
  <c r="P137" i="5"/>
  <c r="AC136" i="5"/>
  <c r="M136" i="5"/>
  <c r="AE135" i="5"/>
  <c r="O135" i="5"/>
  <c r="AC134" i="5"/>
  <c r="M134" i="5"/>
  <c r="Z133" i="5"/>
  <c r="J133" i="5"/>
  <c r="X132" i="5"/>
  <c r="H132" i="5"/>
  <c r="U131" i="5"/>
  <c r="R130" i="5"/>
  <c r="Y129" i="5"/>
  <c r="Q129" i="5"/>
  <c r="I129" i="5"/>
  <c r="V128" i="5"/>
  <c r="N128" i="5"/>
  <c r="S127" i="5"/>
  <c r="K127" i="5"/>
  <c r="X126" i="5"/>
  <c r="P126" i="5"/>
  <c r="H126" i="5"/>
  <c r="U125" i="5"/>
  <c r="M125" i="5"/>
  <c r="R124" i="5"/>
  <c r="J124" i="5"/>
  <c r="O123" i="5"/>
  <c r="G123" i="5"/>
  <c r="T122" i="5"/>
  <c r="L122" i="5"/>
  <c r="Q121" i="5"/>
  <c r="I121" i="5"/>
  <c r="N120" i="5"/>
  <c r="K119" i="5"/>
  <c r="P118" i="5"/>
  <c r="H118" i="5"/>
  <c r="M117" i="5"/>
  <c r="J116" i="5"/>
  <c r="G115" i="5"/>
  <c r="L114" i="5"/>
  <c r="I113" i="5"/>
  <c r="H110" i="5"/>
  <c r="BH168" i="5"/>
  <c r="AR168" i="5"/>
  <c r="AB168" i="5"/>
  <c r="L168" i="5"/>
  <c r="BF167" i="5"/>
  <c r="AP167" i="5"/>
  <c r="Z167" i="5"/>
  <c r="J167" i="5"/>
  <c r="BH166" i="5"/>
  <c r="AR166" i="5"/>
  <c r="AB166" i="5"/>
  <c r="L166" i="5"/>
  <c r="BE165" i="5"/>
  <c r="AO165" i="5"/>
  <c r="Y165" i="5"/>
  <c r="I165" i="5"/>
  <c r="BC164" i="5"/>
  <c r="AM164" i="5"/>
  <c r="W164" i="5"/>
  <c r="G164" i="5"/>
  <c r="AZ163" i="5"/>
  <c r="AJ163" i="5"/>
  <c r="T163" i="5"/>
  <c r="AW162" i="5"/>
  <c r="AG162" i="5"/>
  <c r="Q162" i="5"/>
  <c r="AU161" i="5"/>
  <c r="AE161" i="5"/>
  <c r="O161" i="5"/>
  <c r="AR160" i="5"/>
  <c r="AB160" i="5"/>
  <c r="L160" i="5"/>
  <c r="AP159" i="5"/>
  <c r="Z159" i="5"/>
  <c r="J159" i="5"/>
  <c r="AR158" i="5"/>
  <c r="AB158" i="5"/>
  <c r="L158" i="5"/>
  <c r="AO157" i="5"/>
  <c r="Y157" i="5"/>
  <c r="I157" i="5"/>
  <c r="AM156" i="5"/>
  <c r="W156" i="5"/>
  <c r="G156" i="5"/>
  <c r="AZ155" i="5"/>
  <c r="AJ155" i="5"/>
  <c r="T155" i="5"/>
  <c r="AW154" i="5"/>
  <c r="AG154" i="5"/>
  <c r="Q154" i="5"/>
  <c r="AU153" i="5"/>
  <c r="AE153" i="5"/>
  <c r="O153" i="5"/>
  <c r="AR152" i="5"/>
  <c r="AB152" i="5"/>
  <c r="L152" i="5"/>
  <c r="AP151" i="5"/>
  <c r="Z151" i="5"/>
  <c r="J151" i="5"/>
  <c r="AR150" i="5"/>
  <c r="AB150" i="5"/>
  <c r="L150" i="5"/>
  <c r="AO149" i="5"/>
  <c r="Y149" i="5"/>
  <c r="I149" i="5"/>
  <c r="AM148" i="5"/>
  <c r="W148" i="5"/>
  <c r="G148" i="5"/>
  <c r="AJ147" i="5"/>
  <c r="T147" i="5"/>
  <c r="AG146" i="5"/>
  <c r="Q146" i="5"/>
  <c r="AE145" i="5"/>
  <c r="O145" i="5"/>
  <c r="AB144" i="5"/>
  <c r="L144" i="5"/>
  <c r="Z143" i="5"/>
  <c r="J143" i="5"/>
  <c r="AB142" i="5"/>
  <c r="L142" i="5"/>
  <c r="Y141" i="5"/>
  <c r="I141" i="5"/>
  <c r="W140" i="5"/>
  <c r="G140" i="5"/>
  <c r="AJ139" i="5"/>
  <c r="T139" i="5"/>
  <c r="AG138" i="5"/>
  <c r="Q138" i="5"/>
  <c r="AE137" i="5"/>
  <c r="O137" i="5"/>
  <c r="AB136" i="5"/>
  <c r="L136" i="5"/>
  <c r="Z135" i="5"/>
  <c r="J135" i="5"/>
  <c r="AB134" i="5"/>
  <c r="L134" i="5"/>
  <c r="Y133" i="5"/>
  <c r="I133" i="5"/>
  <c r="W132" i="5"/>
  <c r="G132" i="5"/>
  <c r="T131" i="5"/>
  <c r="Q130" i="5"/>
  <c r="X129" i="5"/>
  <c r="P129" i="5"/>
  <c r="H129" i="5"/>
  <c r="U128" i="5"/>
  <c r="M128" i="5"/>
  <c r="R127" i="5"/>
  <c r="J127" i="5"/>
  <c r="W126" i="5"/>
  <c r="O126" i="5"/>
  <c r="G126" i="5"/>
  <c r="T125" i="5"/>
  <c r="L125" i="5"/>
  <c r="Q124" i="5"/>
  <c r="I124" i="5"/>
  <c r="N123" i="5"/>
  <c r="S122" i="5"/>
  <c r="K122" i="5"/>
  <c r="P121" i="5"/>
  <c r="H121" i="5"/>
  <c r="M120" i="5"/>
  <c r="J119" i="5"/>
  <c r="O118" i="5"/>
  <c r="G118" i="5"/>
  <c r="L117" i="5"/>
  <c r="I116" i="5"/>
  <c r="K114" i="5"/>
  <c r="H113" i="5"/>
  <c r="G110" i="5"/>
  <c r="BG168" i="5"/>
  <c r="AQ168" i="5"/>
  <c r="AA168" i="5"/>
  <c r="K168" i="5"/>
  <c r="BE167" i="5"/>
  <c r="AO167" i="5"/>
  <c r="Y167" i="5"/>
  <c r="I167" i="5"/>
  <c r="BC166" i="5"/>
  <c r="AM166" i="5"/>
  <c r="W166" i="5"/>
  <c r="G166" i="5"/>
  <c r="AZ165" i="5"/>
  <c r="AJ165" i="5"/>
  <c r="T165" i="5"/>
  <c r="BB164" i="5"/>
  <c r="AL164" i="5"/>
  <c r="V164" i="5"/>
  <c r="AY163" i="5"/>
  <c r="AI163" i="5"/>
  <c r="S163" i="5"/>
  <c r="AV162" i="5"/>
  <c r="AF162" i="5"/>
  <c r="P162" i="5"/>
  <c r="AT161" i="5"/>
  <c r="AD161" i="5"/>
  <c r="N161" i="5"/>
  <c r="AQ160" i="5"/>
  <c r="AA160" i="5"/>
  <c r="K160" i="5"/>
  <c r="BE159" i="5"/>
  <c r="AO159" i="5"/>
  <c r="Y159" i="5"/>
  <c r="I159" i="5"/>
  <c r="BC158" i="5"/>
  <c r="AM158" i="5"/>
  <c r="W158" i="5"/>
  <c r="G158" i="5"/>
  <c r="AZ157" i="5"/>
  <c r="AJ157" i="5"/>
  <c r="T157" i="5"/>
  <c r="BB156" i="5"/>
  <c r="AL156" i="5"/>
  <c r="V156" i="5"/>
  <c r="AY155" i="5"/>
  <c r="AI155" i="5"/>
  <c r="S155" i="5"/>
  <c r="AV154" i="5"/>
  <c r="AF154" i="5"/>
  <c r="P154" i="5"/>
  <c r="AT153" i="5"/>
  <c r="AD153" i="5"/>
  <c r="N153" i="5"/>
  <c r="AQ152" i="5"/>
  <c r="AA152" i="5"/>
  <c r="K152" i="5"/>
  <c r="AO151" i="5"/>
  <c r="Y151" i="5"/>
  <c r="I151" i="5"/>
  <c r="AM150" i="5"/>
  <c r="W150" i="5"/>
  <c r="G150" i="5"/>
  <c r="AJ149" i="5"/>
  <c r="T149" i="5"/>
  <c r="AL148" i="5"/>
  <c r="V148" i="5"/>
  <c r="AI147" i="5"/>
  <c r="S147" i="5"/>
  <c r="AF146" i="5"/>
  <c r="P146" i="5"/>
  <c r="AD145" i="5"/>
  <c r="N145" i="5"/>
  <c r="AA144" i="5"/>
  <c r="K144" i="5"/>
  <c r="AO143" i="5"/>
  <c r="Y143" i="5"/>
  <c r="I143" i="5"/>
  <c r="AM142" i="5"/>
  <c r="W142" i="5"/>
  <c r="G142" i="5"/>
  <c r="AJ141" i="5"/>
  <c r="T141" i="5"/>
  <c r="AL140" i="5"/>
  <c r="V140" i="5"/>
  <c r="AI139" i="5"/>
  <c r="S139" i="5"/>
  <c r="AF138" i="5"/>
  <c r="P138" i="5"/>
  <c r="AD137" i="5"/>
  <c r="N137" i="5"/>
  <c r="AA136" i="5"/>
  <c r="K136" i="5"/>
  <c r="Y135" i="5"/>
  <c r="I135" i="5"/>
  <c r="W134" i="5"/>
  <c r="G134" i="5"/>
  <c r="T133" i="5"/>
  <c r="V132" i="5"/>
  <c r="S131" i="5"/>
  <c r="P130" i="5"/>
  <c r="W129" i="5"/>
  <c r="O129" i="5"/>
  <c r="G129" i="5"/>
  <c r="T128" i="5"/>
  <c r="L128" i="5"/>
  <c r="Y127" i="5"/>
  <c r="Q127" i="5"/>
  <c r="I127" i="5"/>
  <c r="V126" i="5"/>
  <c r="N126" i="5"/>
  <c r="S125" i="5"/>
  <c r="K125" i="5"/>
  <c r="P124" i="5"/>
  <c r="H124" i="5"/>
  <c r="U123" i="5"/>
  <c r="M123" i="5"/>
  <c r="R122" i="5"/>
  <c r="J122" i="5"/>
  <c r="O121" i="5"/>
  <c r="G121" i="5"/>
  <c r="L120" i="5"/>
  <c r="Q119" i="5"/>
  <c r="I119" i="5"/>
  <c r="N118" i="5"/>
  <c r="K117" i="5"/>
  <c r="H116" i="5"/>
  <c r="M115" i="5"/>
  <c r="J114" i="5"/>
  <c r="G113" i="5"/>
  <c r="BF168" i="5"/>
  <c r="AP168" i="5"/>
  <c r="Z168" i="5"/>
  <c r="J168" i="5"/>
  <c r="BD167" i="5"/>
  <c r="AN167" i="5"/>
  <c r="X167" i="5"/>
  <c r="H167" i="5"/>
  <c r="BB166" i="5"/>
  <c r="AL166" i="5"/>
  <c r="V166" i="5"/>
  <c r="AY165" i="5"/>
  <c r="AI165" i="5"/>
  <c r="S165" i="5"/>
  <c r="AW164" i="5"/>
  <c r="AG164" i="5"/>
  <c r="Q164" i="5"/>
  <c r="AT163" i="5"/>
  <c r="AD163" i="5"/>
  <c r="N163" i="5"/>
  <c r="BG162" i="5"/>
  <c r="AQ162" i="5"/>
  <c r="AA162" i="5"/>
  <c r="K162" i="5"/>
  <c r="AS161" i="5"/>
  <c r="AC161" i="5"/>
  <c r="M161" i="5"/>
  <c r="BF160" i="5"/>
  <c r="AP160" i="5"/>
  <c r="Z160" i="5"/>
  <c r="J160" i="5"/>
  <c r="BD159" i="5"/>
  <c r="AN159" i="5"/>
  <c r="X159" i="5"/>
  <c r="H159" i="5"/>
  <c r="BB158" i="5"/>
  <c r="AL158" i="5"/>
  <c r="V158" i="5"/>
  <c r="AY157" i="5"/>
  <c r="AI157" i="5"/>
  <c r="S157" i="5"/>
  <c r="AW156" i="5"/>
  <c r="AG156" i="5"/>
  <c r="Q156" i="5"/>
  <c r="AT155" i="5"/>
  <c r="AD155" i="5"/>
  <c r="N155" i="5"/>
  <c r="AQ154" i="5"/>
  <c r="AA154" i="5"/>
  <c r="K154" i="5"/>
  <c r="AS153" i="5"/>
  <c r="AC153" i="5"/>
  <c r="M153" i="5"/>
  <c r="AP152" i="5"/>
  <c r="Z152" i="5"/>
  <c r="J152" i="5"/>
  <c r="AN151" i="5"/>
  <c r="X151" i="5"/>
  <c r="H151" i="5"/>
  <c r="AL150" i="5"/>
  <c r="V150" i="5"/>
  <c r="AI149" i="5"/>
  <c r="S149" i="5"/>
  <c r="AG148" i="5"/>
  <c r="Q148" i="5"/>
  <c r="AD147" i="5"/>
  <c r="N147" i="5"/>
  <c r="AQ146" i="5"/>
  <c r="AA146" i="5"/>
  <c r="K146" i="5"/>
  <c r="AC145" i="5"/>
  <c r="M145" i="5"/>
  <c r="AP144" i="5"/>
  <c r="Z144" i="5"/>
  <c r="J144" i="5"/>
  <c r="AN143" i="5"/>
  <c r="X143" i="5"/>
  <c r="H143" i="5"/>
  <c r="AL142" i="5"/>
  <c r="V142" i="5"/>
  <c r="AI141" i="5"/>
  <c r="S141" i="5"/>
  <c r="AG140" i="5"/>
  <c r="Q140" i="5"/>
  <c r="AD139" i="5"/>
  <c r="N139" i="5"/>
  <c r="AA138" i="5"/>
  <c r="K138" i="5"/>
  <c r="AC137" i="5"/>
  <c r="M137" i="5"/>
  <c r="Z136" i="5"/>
  <c r="J136" i="5"/>
  <c r="X135" i="5"/>
  <c r="H135" i="5"/>
  <c r="V134" i="5"/>
  <c r="S133" i="5"/>
  <c r="Q132" i="5"/>
  <c r="N131" i="5"/>
  <c r="AA130" i="5"/>
  <c r="K130" i="5"/>
  <c r="V129" i="5"/>
  <c r="N129" i="5"/>
  <c r="S128" i="5"/>
  <c r="K128" i="5"/>
  <c r="BA168" i="5"/>
  <c r="AK168" i="5"/>
  <c r="U168" i="5"/>
  <c r="BC167" i="5"/>
  <c r="AM167" i="5"/>
  <c r="W167" i="5"/>
  <c r="G167" i="5"/>
  <c r="BA166" i="5"/>
  <c r="AK166" i="5"/>
  <c r="U166" i="5"/>
  <c r="AX165" i="5"/>
  <c r="AH165" i="5"/>
  <c r="R165" i="5"/>
  <c r="AV164" i="5"/>
  <c r="AF164" i="5"/>
  <c r="P164" i="5"/>
  <c r="BI163" i="5"/>
  <c r="AS163" i="5"/>
  <c r="AC163" i="5"/>
  <c r="M163" i="5"/>
  <c r="BF162" i="5"/>
  <c r="AP162" i="5"/>
  <c r="Z162" i="5"/>
  <c r="J162" i="5"/>
  <c r="BD161" i="5"/>
  <c r="AN161" i="5"/>
  <c r="X161" i="5"/>
  <c r="H161" i="5"/>
  <c r="BA160" i="5"/>
  <c r="AK160" i="5"/>
  <c r="U160" i="5"/>
  <c r="BC159" i="5"/>
  <c r="AM159" i="5"/>
  <c r="W159" i="5"/>
  <c r="G159" i="5"/>
  <c r="BA158" i="5"/>
  <c r="AK158" i="5"/>
  <c r="U158" i="5"/>
  <c r="AX157" i="5"/>
  <c r="AH157" i="5"/>
  <c r="R157" i="5"/>
  <c r="AV156" i="5"/>
  <c r="AF156" i="5"/>
  <c r="P156" i="5"/>
  <c r="AS155" i="5"/>
  <c r="AC155" i="5"/>
  <c r="M155" i="5"/>
  <c r="AP154" i="5"/>
  <c r="Z154" i="5"/>
  <c r="J154" i="5"/>
  <c r="AN153" i="5"/>
  <c r="X153" i="5"/>
  <c r="H153" i="5"/>
  <c r="AK152" i="5"/>
  <c r="U152" i="5"/>
  <c r="AM151" i="5"/>
  <c r="W151" i="5"/>
  <c r="G151" i="5"/>
  <c r="AK150" i="5"/>
  <c r="U150" i="5"/>
  <c r="AH149" i="5"/>
  <c r="R149" i="5"/>
  <c r="AF148" i="5"/>
  <c r="P148" i="5"/>
  <c r="AS147" i="5"/>
  <c r="AC147" i="5"/>
  <c r="M147" i="5"/>
  <c r="AP146" i="5"/>
  <c r="Z146" i="5"/>
  <c r="J146" i="5"/>
  <c r="AN145" i="5"/>
  <c r="X145" i="5"/>
  <c r="H145" i="5"/>
  <c r="AK144" i="5"/>
  <c r="U144" i="5"/>
  <c r="AM143" i="5"/>
  <c r="W143" i="5"/>
  <c r="G143" i="5"/>
  <c r="AK142" i="5"/>
  <c r="U142" i="5"/>
  <c r="AH141" i="5"/>
  <c r="R141" i="5"/>
  <c r="AF140" i="5"/>
  <c r="P140" i="5"/>
  <c r="AC139" i="5"/>
  <c r="M139" i="5"/>
  <c r="Z138" i="5"/>
  <c r="J138" i="5"/>
  <c r="X137" i="5"/>
  <c r="H137" i="5"/>
  <c r="U136" i="5"/>
  <c r="W135" i="5"/>
  <c r="G135" i="5"/>
  <c r="U134" i="5"/>
  <c r="R133" i="5"/>
  <c r="P132" i="5"/>
  <c r="AC131" i="5"/>
  <c r="M131" i="5"/>
  <c r="Z130" i="5"/>
  <c r="J130" i="5"/>
  <c r="U129" i="5"/>
  <c r="M129" i="5"/>
  <c r="Z128" i="5"/>
  <c r="R128" i="5"/>
  <c r="J128" i="5"/>
  <c r="AZ168" i="5"/>
  <c r="AJ168" i="5"/>
  <c r="T168" i="5"/>
  <c r="AX167" i="5"/>
  <c r="AH167" i="5"/>
  <c r="R167" i="5"/>
  <c r="AZ166" i="5"/>
  <c r="AJ166" i="5"/>
  <c r="T166" i="5"/>
  <c r="AW165" i="5"/>
  <c r="AG165" i="5"/>
  <c r="Q165" i="5"/>
  <c r="AU164" i="5"/>
  <c r="AE164" i="5"/>
  <c r="O164" i="5"/>
  <c r="BH163" i="5"/>
  <c r="AR163" i="5"/>
  <c r="AB163" i="5"/>
  <c r="L163" i="5"/>
  <c r="BE162" i="5"/>
  <c r="AO162" i="5"/>
  <c r="Y162" i="5"/>
  <c r="I162" i="5"/>
  <c r="BC161" i="5"/>
  <c r="AM161" i="5"/>
  <c r="W161" i="5"/>
  <c r="G161" i="5"/>
  <c r="AZ160" i="5"/>
  <c r="AJ160" i="5"/>
  <c r="T160" i="5"/>
  <c r="AX159" i="5"/>
  <c r="AH159" i="5"/>
  <c r="R159" i="5"/>
  <c r="AZ158" i="5"/>
  <c r="AJ158" i="5"/>
  <c r="T158" i="5"/>
  <c r="AW157" i="5"/>
  <c r="AG157" i="5"/>
  <c r="Q157" i="5"/>
  <c r="AU156" i="5"/>
  <c r="AE156" i="5"/>
  <c r="O156" i="5"/>
  <c r="AR155" i="5"/>
  <c r="AB155" i="5"/>
  <c r="L155" i="5"/>
  <c r="AO154" i="5"/>
  <c r="Y154" i="5"/>
  <c r="I154" i="5"/>
  <c r="AM153" i="5"/>
  <c r="W153" i="5"/>
  <c r="G153" i="5"/>
  <c r="AJ152" i="5"/>
  <c r="T152" i="5"/>
  <c r="AH151" i="5"/>
  <c r="R151" i="5"/>
  <c r="AJ150" i="5"/>
  <c r="T150" i="5"/>
  <c r="AG149" i="5"/>
  <c r="Q149" i="5"/>
  <c r="AE148" i="5"/>
  <c r="O148" i="5"/>
  <c r="AR147" i="5"/>
  <c r="AB147" i="5"/>
  <c r="L147" i="5"/>
  <c r="AO146" i="5"/>
  <c r="Y146" i="5"/>
  <c r="I146" i="5"/>
  <c r="AM145" i="5"/>
  <c r="W145" i="5"/>
  <c r="G145" i="5"/>
  <c r="AJ144" i="5"/>
  <c r="T144" i="5"/>
  <c r="AH143" i="5"/>
  <c r="R143" i="5"/>
  <c r="AJ142" i="5"/>
  <c r="T142" i="5"/>
  <c r="AG141" i="5"/>
  <c r="Q141" i="5"/>
  <c r="AE140" i="5"/>
  <c r="O140" i="5"/>
  <c r="AB139" i="5"/>
  <c r="L139" i="5"/>
  <c r="Y138" i="5"/>
  <c r="I138" i="5"/>
  <c r="W137" i="5"/>
  <c r="G137" i="5"/>
  <c r="T136" i="5"/>
  <c r="R135" i="5"/>
  <c r="T134" i="5"/>
  <c r="Q133" i="5"/>
  <c r="O132" i="5"/>
  <c r="AB131" i="5"/>
  <c r="L131" i="5"/>
  <c r="Y130" i="5"/>
  <c r="I130" i="5"/>
  <c r="T129" i="5"/>
  <c r="L129" i="5"/>
  <c r="Y128" i="5"/>
  <c r="Q128" i="5"/>
  <c r="I128" i="5"/>
  <c r="AY168" i="5"/>
  <c r="AI168" i="5"/>
  <c r="S168" i="5"/>
  <c r="BM167" i="5"/>
  <c r="AW167" i="5"/>
  <c r="AG167" i="5"/>
  <c r="Q167" i="5"/>
  <c r="BK166" i="5"/>
  <c r="AU166" i="5"/>
  <c r="AE166" i="5"/>
  <c r="O166" i="5"/>
  <c r="BH165" i="5"/>
  <c r="AR165" i="5"/>
  <c r="AB165" i="5"/>
  <c r="L165" i="5"/>
  <c r="BJ164" i="5"/>
  <c r="AT164" i="5"/>
  <c r="AD164" i="5"/>
  <c r="N164" i="5"/>
  <c r="BG163" i="5"/>
  <c r="AQ163" i="5"/>
  <c r="AA163" i="5"/>
  <c r="K163" i="5"/>
  <c r="BD162" i="5"/>
  <c r="AN162" i="5"/>
  <c r="X162" i="5"/>
  <c r="H162" i="5"/>
  <c r="BB161" i="5"/>
  <c r="AL161" i="5"/>
  <c r="V161" i="5"/>
  <c r="AY160" i="5"/>
  <c r="AI160" i="5"/>
  <c r="S160" i="5"/>
  <c r="AW159" i="5"/>
  <c r="AG159" i="5"/>
  <c r="Q159" i="5"/>
  <c r="AU158" i="5"/>
  <c r="AE158" i="5"/>
  <c r="O158" i="5"/>
  <c r="AR157" i="5"/>
  <c r="AB157" i="5"/>
  <c r="L157" i="5"/>
  <c r="AT156" i="5"/>
  <c r="AD156" i="5"/>
  <c r="N156" i="5"/>
  <c r="AQ155" i="5"/>
  <c r="AA155" i="5"/>
  <c r="K155" i="5"/>
  <c r="AN154" i="5"/>
  <c r="X154" i="5"/>
  <c r="H154" i="5"/>
  <c r="AL153" i="5"/>
  <c r="V153" i="5"/>
  <c r="AI152" i="5"/>
  <c r="S152" i="5"/>
  <c r="AW151" i="5"/>
  <c r="AG151" i="5"/>
  <c r="Q151" i="5"/>
  <c r="AU150" i="5"/>
  <c r="AE150" i="5"/>
  <c r="O150" i="5"/>
  <c r="AR149" i="5"/>
  <c r="AB149" i="5"/>
  <c r="L149" i="5"/>
  <c r="AT148" i="5"/>
  <c r="AD148" i="5"/>
  <c r="N148" i="5"/>
  <c r="AQ147" i="5"/>
  <c r="AA147" i="5"/>
  <c r="K147" i="5"/>
  <c r="AN146" i="5"/>
  <c r="X146" i="5"/>
  <c r="H146" i="5"/>
  <c r="AL145" i="5"/>
  <c r="V145" i="5"/>
  <c r="AI144" i="5"/>
  <c r="S144" i="5"/>
  <c r="AG143" i="5"/>
  <c r="Q143" i="5"/>
  <c r="AE142" i="5"/>
  <c r="O142" i="5"/>
  <c r="AB141" i="5"/>
  <c r="L141" i="5"/>
  <c r="AD140" i="5"/>
  <c r="N140" i="5"/>
  <c r="AA139" i="5"/>
  <c r="K139" i="5"/>
  <c r="X138" i="5"/>
  <c r="H138" i="5"/>
  <c r="V137" i="5"/>
  <c r="S136" i="5"/>
  <c r="AG135" i="5"/>
  <c r="Q135" i="5"/>
  <c r="AE134" i="5"/>
  <c r="O134" i="5"/>
  <c r="AB133" i="5"/>
  <c r="L133" i="5"/>
  <c r="AD132" i="5"/>
  <c r="N132" i="5"/>
  <c r="AA131" i="5"/>
  <c r="K131" i="5"/>
  <c r="X130" i="5"/>
  <c r="H130" i="5"/>
  <c r="AA129" i="5"/>
  <c r="S129" i="5"/>
  <c r="K129" i="5"/>
  <c r="X128" i="5"/>
  <c r="P128" i="5"/>
  <c r="H128" i="5"/>
  <c r="BN168" i="5"/>
  <c r="AX168" i="5"/>
  <c r="AH168" i="5"/>
  <c r="R168" i="5"/>
  <c r="BL167" i="5"/>
  <c r="AV167" i="5"/>
  <c r="AF167" i="5"/>
  <c r="P167" i="5"/>
  <c r="BJ166" i="5"/>
  <c r="AT166" i="5"/>
  <c r="AD166" i="5"/>
  <c r="N166" i="5"/>
  <c r="BG165" i="5"/>
  <c r="AQ165" i="5"/>
  <c r="AA165" i="5"/>
  <c r="K165" i="5"/>
  <c r="BE164" i="5"/>
  <c r="AO164" i="5"/>
  <c r="Y164" i="5"/>
  <c r="I164" i="5"/>
  <c r="BB163" i="5"/>
  <c r="AL163" i="5"/>
  <c r="V163" i="5"/>
  <c r="AY162" i="5"/>
  <c r="AI162" i="5"/>
  <c r="S162" i="5"/>
  <c r="BA161" i="5"/>
  <c r="AK161" i="5"/>
  <c r="U161" i="5"/>
  <c r="AX160" i="5"/>
  <c r="AH160" i="5"/>
  <c r="R160" i="5"/>
  <c r="AV159" i="5"/>
  <c r="AF159" i="5"/>
  <c r="P159" i="5"/>
  <c r="AT158" i="5"/>
  <c r="AD158" i="5"/>
  <c r="N158" i="5"/>
  <c r="AQ157" i="5"/>
  <c r="AA157" i="5"/>
  <c r="K157" i="5"/>
  <c r="AO156" i="5"/>
  <c r="Y156" i="5"/>
  <c r="I156" i="5"/>
  <c r="AL155" i="5"/>
  <c r="V155" i="5"/>
  <c r="AY154" i="5"/>
  <c r="AI154" i="5"/>
  <c r="S154" i="5"/>
  <c r="AK153" i="5"/>
  <c r="U153" i="5"/>
  <c r="AX152" i="5"/>
  <c r="AH152" i="5"/>
  <c r="R152" i="5"/>
  <c r="AV151" i="5"/>
  <c r="AF151" i="5"/>
  <c r="P151" i="5"/>
  <c r="AT150" i="5"/>
  <c r="AD150" i="5"/>
  <c r="N150" i="5"/>
  <c r="AQ149" i="5"/>
  <c r="AA149" i="5"/>
  <c r="K149" i="5"/>
  <c r="AO148" i="5"/>
  <c r="Y148" i="5"/>
  <c r="I148" i="5"/>
  <c r="AL147" i="5"/>
  <c r="V147" i="5"/>
  <c r="AI146" i="5"/>
  <c r="S146" i="5"/>
  <c r="AK145" i="5"/>
  <c r="U145" i="5"/>
  <c r="AH144" i="5"/>
  <c r="R144" i="5"/>
  <c r="AF143" i="5"/>
  <c r="P143" i="5"/>
  <c r="AD142" i="5"/>
  <c r="N142" i="5"/>
  <c r="AA141" i="5"/>
  <c r="K141" i="5"/>
  <c r="Y140" i="5"/>
  <c r="I140" i="5"/>
  <c r="V139" i="5"/>
  <c r="AI138" i="5"/>
  <c r="S138" i="5"/>
  <c r="U137" i="5"/>
  <c r="AH136" i="5"/>
  <c r="R136" i="5"/>
  <c r="AF135" i="5"/>
  <c r="P135" i="5"/>
  <c r="AD134" i="5"/>
  <c r="N134" i="5"/>
  <c r="AA133" i="5"/>
  <c r="K133" i="5"/>
  <c r="Y132" i="5"/>
  <c r="I132" i="5"/>
  <c r="V131" i="5"/>
  <c r="S130" i="5"/>
  <c r="Z129" i="5"/>
  <c r="R129" i="5"/>
  <c r="J129" i="5"/>
  <c r="W128" i="5"/>
  <c r="O128" i="5"/>
  <c r="G128" i="5"/>
  <c r="T127" i="5"/>
  <c r="L127" i="5"/>
  <c r="Q126" i="5"/>
  <c r="I126" i="5"/>
  <c r="V125" i="5"/>
  <c r="N125" i="5"/>
  <c r="S124" i="5"/>
  <c r="K124" i="5"/>
  <c r="P123" i="5"/>
  <c r="H123" i="5"/>
  <c r="M122" i="5"/>
  <c r="R121" i="5"/>
  <c r="J121" i="5"/>
  <c r="O120" i="5"/>
  <c r="G120" i="5"/>
  <c r="L119" i="5"/>
  <c r="I118" i="5"/>
  <c r="N117" i="5"/>
  <c r="K116" i="5"/>
  <c r="H115" i="5"/>
  <c r="J113" i="5"/>
  <c r="G112" i="5"/>
  <c r="U127" i="5"/>
  <c r="R126" i="5"/>
  <c r="P125" i="5"/>
  <c r="N124" i="5"/>
  <c r="K123" i="5"/>
  <c r="I122" i="5"/>
  <c r="N116" i="5"/>
  <c r="K115" i="5"/>
  <c r="I114" i="5"/>
  <c r="J112" i="5"/>
  <c r="H111" i="5"/>
  <c r="C109" i="5"/>
  <c r="P127" i="5"/>
  <c r="M126" i="5"/>
  <c r="O125" i="5"/>
  <c r="M124" i="5"/>
  <c r="J123" i="5"/>
  <c r="H122" i="5"/>
  <c r="R120" i="5"/>
  <c r="P119" i="5"/>
  <c r="M118" i="5"/>
  <c r="O117" i="5"/>
  <c r="M116" i="5"/>
  <c r="J115" i="5"/>
  <c r="H114" i="5"/>
  <c r="I112" i="5"/>
  <c r="G111" i="5"/>
  <c r="O127" i="5"/>
  <c r="L126" i="5"/>
  <c r="J125" i="5"/>
  <c r="L124" i="5"/>
  <c r="I123" i="5"/>
  <c r="G122" i="5"/>
  <c r="Q120" i="5"/>
  <c r="O119" i="5"/>
  <c r="L118" i="5"/>
  <c r="J117" i="5"/>
  <c r="L116" i="5"/>
  <c r="I115" i="5"/>
  <c r="G114" i="5"/>
  <c r="H112" i="5"/>
  <c r="N127" i="5"/>
  <c r="K126" i="5"/>
  <c r="I125" i="5"/>
  <c r="G124" i="5"/>
  <c r="T123" i="5"/>
  <c r="S121" i="5"/>
  <c r="P120" i="5"/>
  <c r="N119" i="5"/>
  <c r="K118" i="5"/>
  <c r="I117" i="5"/>
  <c r="G116" i="5"/>
  <c r="M127" i="5"/>
  <c r="J126" i="5"/>
  <c r="H125" i="5"/>
  <c r="V124" i="5"/>
  <c r="S123" i="5"/>
  <c r="Q122" i="5"/>
  <c r="N121" i="5"/>
  <c r="K120" i="5"/>
  <c r="M119" i="5"/>
  <c r="J118" i="5"/>
  <c r="H117" i="5"/>
  <c r="X127" i="5"/>
  <c r="H127" i="5"/>
  <c r="U126" i="5"/>
  <c r="W125" i="5"/>
  <c r="G125" i="5"/>
  <c r="U124" i="5"/>
  <c r="R123" i="5"/>
  <c r="P122" i="5"/>
  <c r="M121" i="5"/>
  <c r="J120" i="5"/>
  <c r="H119" i="5"/>
  <c r="G117" i="5"/>
  <c r="W127" i="5"/>
  <c r="G127" i="5"/>
  <c r="T126" i="5"/>
  <c r="R125" i="5"/>
  <c r="T124" i="5"/>
  <c r="Q123" i="5"/>
  <c r="O122" i="5"/>
  <c r="L121" i="5"/>
  <c r="I120" i="5"/>
  <c r="G119" i="5"/>
  <c r="V127" i="5"/>
  <c r="S126" i="5"/>
  <c r="Q125" i="5"/>
  <c r="O124" i="5"/>
  <c r="L123" i="5"/>
  <c r="N122" i="5"/>
  <c r="K121" i="5"/>
  <c r="H120" i="5"/>
  <c r="L115" i="5"/>
  <c r="K113" i="5"/>
  <c r="I111" i="5"/>
  <c r="BH38" i="7" a="1"/>
  <c r="BH38" i="7" s="1"/>
  <c r="BJ31" i="7" a="1"/>
  <c r="BJ31" i="7" s="1"/>
  <c r="BN12" i="5"/>
  <c r="BN15" i="5"/>
  <c r="BO181" i="5"/>
  <c r="BP182" i="5" s="1"/>
  <c r="BQ183" i="5" s="1"/>
  <c r="BR184" i="5" s="1"/>
  <c r="BS185" i="5" s="1"/>
  <c r="BT186" i="5" s="1"/>
  <c r="BU187" i="5" s="1"/>
  <c r="BV188" i="5" s="1"/>
  <c r="BW189" i="5" s="1"/>
  <c r="BX190" i="5" s="1"/>
  <c r="BY191" i="5" s="1"/>
  <c r="BZ192" i="5" s="1"/>
  <c r="BO198" i="5"/>
  <c r="BO6" i="5"/>
  <c r="BP7" i="5"/>
  <c r="G30" i="7" a="1"/>
  <c r="G30" i="7" s="1"/>
  <c r="G34" i="7" a="1"/>
  <c r="G34" i="7" s="1"/>
  <c r="G22" i="7" a="1"/>
  <c r="G22" i="7" s="1"/>
  <c r="G23" i="7" a="1"/>
  <c r="G23" i="7" s="1"/>
  <c r="G31" i="7" a="1"/>
  <c r="G31" i="7" s="1"/>
  <c r="G17" i="7" a="1"/>
  <c r="G17" i="7" s="1"/>
  <c r="G26" i="7" a="1"/>
  <c r="G26" i="7" s="1"/>
  <c r="G38" i="7" a="1"/>
  <c r="G38" i="7" s="1"/>
  <c r="G29" i="7" a="1"/>
  <c r="G29" i="7" s="1"/>
  <c r="G18" i="7" a="1"/>
  <c r="G18" i="7" s="1"/>
  <c r="BJ38" i="7" a="1"/>
  <c r="BJ38" i="7" s="1"/>
  <c r="E57" i="7"/>
  <c r="F57" i="7"/>
  <c r="G57" i="7"/>
  <c r="H57" i="7"/>
  <c r="I57" i="7"/>
  <c r="J57" i="7"/>
  <c r="K57" i="7"/>
  <c r="L57" i="7"/>
  <c r="M57" i="7"/>
  <c r="N57" i="7"/>
  <c r="O57" i="7"/>
  <c r="P57" i="7"/>
  <c r="Q57" i="7"/>
  <c r="R57" i="7"/>
  <c r="S57" i="7"/>
  <c r="T57" i="7"/>
  <c r="U57" i="7"/>
  <c r="V57" i="7"/>
  <c r="W57"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AY57" i="7"/>
  <c r="AZ57" i="7"/>
  <c r="BA57" i="7"/>
  <c r="BB57" i="7"/>
  <c r="BC57" i="7"/>
  <c r="BD57" i="7"/>
  <c r="BE57" i="7"/>
  <c r="BF57" i="7"/>
  <c r="BG57" i="7"/>
  <c r="BH57" i="7"/>
  <c r="BI57" i="7"/>
  <c r="BN105" i="5"/>
  <c r="BN107" i="5" s="1"/>
  <c r="BJ30" i="7" a="1"/>
  <c r="BJ30" i="7" s="1"/>
  <c r="BG30" i="7" a="1"/>
  <c r="BG30" i="7" s="1"/>
  <c r="BG38" i="7" a="1"/>
  <c r="BG38" i="7" s="1"/>
  <c r="BG34" i="7" a="1"/>
  <c r="BG34" i="7" s="1"/>
  <c r="BG23" i="7" a="1"/>
  <c r="BG23" i="7" s="1"/>
  <c r="BG29" i="7" a="1"/>
  <c r="BG29" i="7" s="1"/>
  <c r="BG26" i="7" a="1"/>
  <c r="BG26" i="7" s="1"/>
  <c r="BG22" i="7" a="1"/>
  <c r="BG22" i="7" s="1"/>
  <c r="BG17" i="7" a="1"/>
  <c r="BG17" i="7" s="1"/>
  <c r="BG18" i="7" a="1"/>
  <c r="BG18" i="7" s="1"/>
  <c r="BG31" i="7" a="1"/>
  <c r="BG31" i="7" s="1"/>
  <c r="H31" i="7" a="1"/>
  <c r="H31" i="7" s="1"/>
  <c r="H29" i="7" a="1"/>
  <c r="H29" i="7" s="1"/>
  <c r="H23" i="7" a="1"/>
  <c r="H23" i="7" s="1"/>
  <c r="H30" i="7" a="1"/>
  <c r="H30" i="7" s="1"/>
  <c r="H38" i="7" a="1"/>
  <c r="H38" i="7" s="1"/>
  <c r="H18" i="7" a="1"/>
  <c r="H18" i="7" s="1"/>
  <c r="H26" i="7" a="1"/>
  <c r="H26" i="7" s="1"/>
  <c r="H17" i="7" a="1"/>
  <c r="H17" i="7" s="1"/>
  <c r="H34" i="7" a="1"/>
  <c r="H34" i="7" s="1"/>
  <c r="H22" i="7" a="1"/>
  <c r="H22" i="7" s="1"/>
  <c r="BI34" i="7" a="1"/>
  <c r="BI34" i="7" s="1"/>
  <c r="AH34" i="7" a="1"/>
  <c r="AH34" i="7" s="1"/>
  <c r="AH38" i="7" a="1"/>
  <c r="AH38" i="7" s="1"/>
  <c r="AH31" i="7" a="1"/>
  <c r="AH31" i="7" s="1"/>
  <c r="AH30" i="7" a="1"/>
  <c r="AH30" i="7" s="1"/>
  <c r="AH29" i="7" a="1"/>
  <c r="AH29" i="7" s="1"/>
  <c r="AH17" i="7" a="1"/>
  <c r="AH17" i="7" s="1"/>
  <c r="AH23" i="7" a="1"/>
  <c r="AH23" i="7" s="1"/>
  <c r="AH26" i="7" a="1"/>
  <c r="AH26" i="7" s="1"/>
  <c r="AH22" i="7" a="1"/>
  <c r="AH22" i="7" s="1"/>
  <c r="AH18" i="7" a="1"/>
  <c r="AH18" i="7" s="1"/>
  <c r="I26" i="7" a="1"/>
  <c r="I26" i="7" s="1"/>
  <c r="I22" i="7" a="1"/>
  <c r="I22" i="7" s="1"/>
  <c r="I38" i="7" a="1"/>
  <c r="I38" i="7" s="1"/>
  <c r="I29" i="7" a="1"/>
  <c r="I29" i="7" s="1"/>
  <c r="I31" i="7" a="1"/>
  <c r="I31" i="7" s="1"/>
  <c r="I23" i="7" a="1"/>
  <c r="I23" i="7" s="1"/>
  <c r="I17" i="7" a="1"/>
  <c r="I17" i="7" s="1"/>
  <c r="I30" i="7" a="1"/>
  <c r="I30" i="7" s="1"/>
  <c r="I34" i="7" a="1"/>
  <c r="I34" i="7" s="1"/>
  <c r="I18" i="7" a="1"/>
  <c r="I18" i="7" s="1"/>
  <c r="O38" i="7" a="1"/>
  <c r="O38" i="7" s="1"/>
  <c r="O23" i="7" a="1"/>
  <c r="O23" i="7" s="1"/>
  <c r="O18" i="7" a="1"/>
  <c r="O18" i="7" s="1"/>
  <c r="O29" i="7" a="1"/>
  <c r="O29" i="7" s="1"/>
  <c r="O31" i="7" a="1"/>
  <c r="O31" i="7" s="1"/>
  <c r="O22" i="7" a="1"/>
  <c r="O22" i="7" s="1"/>
  <c r="O30" i="7" a="1"/>
  <c r="O30" i="7" s="1"/>
  <c r="O17" i="7" a="1"/>
  <c r="O17" i="7" s="1"/>
  <c r="O34" i="7" a="1"/>
  <c r="O34" i="7" s="1"/>
  <c r="O26" i="7" a="1"/>
  <c r="O26" i="7" s="1"/>
  <c r="P18" i="7" a="1"/>
  <c r="P18" i="7" s="1"/>
  <c r="P38" i="7" a="1"/>
  <c r="P38" i="7" s="1"/>
  <c r="P31" i="7" a="1"/>
  <c r="P31" i="7" s="1"/>
  <c r="P30" i="7" a="1"/>
  <c r="P30" i="7" s="1"/>
  <c r="P22" i="7" a="1"/>
  <c r="P22" i="7" s="1"/>
  <c r="P23" i="7" a="1"/>
  <c r="P23" i="7" s="1"/>
  <c r="P17" i="7" a="1"/>
  <c r="P17" i="7" s="1"/>
  <c r="P34" i="7" a="1"/>
  <c r="P34" i="7" s="1"/>
  <c r="P26" i="7" a="1"/>
  <c r="P26" i="7" s="1"/>
  <c r="P29" i="7" a="1"/>
  <c r="P29" i="7" s="1"/>
  <c r="BE30" i="7" a="1"/>
  <c r="BE30" i="7" s="1"/>
  <c r="BL270" i="5"/>
  <c r="BL271" i="5"/>
  <c r="BM11" i="5"/>
  <c r="BM24" i="5" s="1"/>
  <c r="BL265" i="5"/>
  <c r="BL267" i="5" s="1"/>
  <c r="BL269" i="5"/>
  <c r="BL272" i="5"/>
  <c r="BL260" i="5"/>
  <c r="BL263" i="5" s="1"/>
  <c r="B120" i="7"/>
  <c r="J30" i="7" a="1"/>
  <c r="J30" i="7" s="1"/>
  <c r="J29" i="7" a="1"/>
  <c r="J29" i="7" s="1"/>
  <c r="J26" i="7" a="1"/>
  <c r="J26" i="7" s="1"/>
  <c r="J31" i="7" a="1"/>
  <c r="J31" i="7" s="1"/>
  <c r="J34" i="7" a="1"/>
  <c r="J34" i="7" s="1"/>
  <c r="J38" i="7" a="1"/>
  <c r="J38" i="7" s="1"/>
  <c r="J23" i="7" a="1"/>
  <c r="J23" i="7" s="1"/>
  <c r="J17" i="7" a="1"/>
  <c r="J17" i="7" s="1"/>
  <c r="J22" i="7" a="1"/>
  <c r="J22" i="7" s="1"/>
  <c r="J18" i="7" a="1"/>
  <c r="J18" i="7" s="1"/>
  <c r="S23" i="7" a="1"/>
  <c r="S23" i="7" s="1"/>
  <c r="S31" i="7" a="1"/>
  <c r="S31" i="7" s="1"/>
  <c r="S30" i="7" a="1"/>
  <c r="S30" i="7" s="1"/>
  <c r="S22" i="7" a="1"/>
  <c r="S22" i="7" s="1"/>
  <c r="S17" i="7" a="1"/>
  <c r="S17" i="7" s="1"/>
  <c r="S29" i="7" a="1"/>
  <c r="S29" i="7" s="1"/>
  <c r="S38" i="7" a="1"/>
  <c r="S38" i="7" s="1"/>
  <c r="S18" i="7" a="1"/>
  <c r="S18" i="7" s="1"/>
  <c r="S26" i="7" a="1"/>
  <c r="S26" i="7" s="1"/>
  <c r="S34" i="7" a="1"/>
  <c r="S34" i="7" s="1"/>
  <c r="E38" i="7" a="1"/>
  <c r="E38" i="7" s="1"/>
  <c r="E23" i="7" a="1"/>
  <c r="E23" i="7" s="1"/>
  <c r="E34" i="7" a="1"/>
  <c r="E34" i="7" s="1"/>
  <c r="E22" i="7" a="1"/>
  <c r="E22" i="7" s="1"/>
  <c r="E17" i="7" a="1"/>
  <c r="E17" i="7" s="1"/>
  <c r="E29" i="7" a="1"/>
  <c r="E29" i="7" s="1"/>
  <c r="E26" i="7" a="1"/>
  <c r="E26" i="7" s="1"/>
  <c r="E30" i="7" a="1"/>
  <c r="E30" i="7" s="1"/>
  <c r="E18" i="7" a="1"/>
  <c r="E18" i="7" s="1"/>
  <c r="E31" i="7" a="1"/>
  <c r="E31" i="7" s="1"/>
  <c r="AR23" i="7" a="1"/>
  <c r="AR23" i="7" s="1"/>
  <c r="AR26" i="7" a="1"/>
  <c r="AR26" i="7" s="1"/>
  <c r="AR29" i="7" a="1"/>
  <c r="AR29" i="7" s="1"/>
  <c r="AR38" i="7" a="1"/>
  <c r="AR38" i="7" s="1"/>
  <c r="AR22" i="7" a="1"/>
  <c r="AR22" i="7" s="1"/>
  <c r="AR17" i="7" a="1"/>
  <c r="AR17" i="7" s="1"/>
  <c r="AR34" i="7" a="1"/>
  <c r="AR34" i="7" s="1"/>
  <c r="AR18" i="7" a="1"/>
  <c r="AR18" i="7" s="1"/>
  <c r="AR30" i="7" a="1"/>
  <c r="AR30" i="7" s="1"/>
  <c r="AR31" i="7" a="1"/>
  <c r="AR31" i="7" s="1"/>
  <c r="Y34" i="7" a="1"/>
  <c r="Y34" i="7" s="1"/>
  <c r="Y31" i="7" a="1"/>
  <c r="Y31" i="7" s="1"/>
  <c r="Y30" i="7" a="1"/>
  <c r="Y30" i="7" s="1"/>
  <c r="Y22" i="7" a="1"/>
  <c r="Y22" i="7" s="1"/>
  <c r="Y38" i="7" a="1"/>
  <c r="Y38" i="7" s="1"/>
  <c r="Y29" i="7" a="1"/>
  <c r="Y29" i="7" s="1"/>
  <c r="Y18" i="7" a="1"/>
  <c r="Y18" i="7" s="1"/>
  <c r="Y26" i="7" a="1"/>
  <c r="Y26" i="7" s="1"/>
  <c r="Y23" i="7" a="1"/>
  <c r="Y23" i="7" s="1"/>
  <c r="Y17" i="7" a="1"/>
  <c r="Y17" i="7" s="1"/>
  <c r="AD17" i="7" a="1"/>
  <c r="AD17" i="7" s="1"/>
  <c r="AD23" i="7" a="1"/>
  <c r="AD23" i="7" s="1"/>
  <c r="AD38" i="7" a="1"/>
  <c r="AD38" i="7" s="1"/>
  <c r="AD31" i="7" a="1"/>
  <c r="AD31" i="7" s="1"/>
  <c r="AD30" i="7" a="1"/>
  <c r="AD30" i="7" s="1"/>
  <c r="AD18" i="7" a="1"/>
  <c r="AD18" i="7" s="1"/>
  <c r="AD22" i="7" a="1"/>
  <c r="AD22" i="7" s="1"/>
  <c r="AD34" i="7" a="1"/>
  <c r="AD34" i="7" s="1"/>
  <c r="AD26" i="7" a="1"/>
  <c r="AD26" i="7" s="1"/>
  <c r="AD29" i="7" a="1"/>
  <c r="AD29" i="7" s="1"/>
  <c r="AE23" i="7" a="1"/>
  <c r="AE23" i="7" s="1"/>
  <c r="AE30" i="7" a="1"/>
  <c r="AE30" i="7" s="1"/>
  <c r="AE34" i="7" a="1"/>
  <c r="AE34" i="7" s="1"/>
  <c r="AE26" i="7" a="1"/>
  <c r="AE26" i="7" s="1"/>
  <c r="AE22" i="7" a="1"/>
  <c r="AE22" i="7" s="1"/>
  <c r="AE17" i="7" a="1"/>
  <c r="AE17" i="7" s="1"/>
  <c r="AE29" i="7" a="1"/>
  <c r="AE29" i="7" s="1"/>
  <c r="AE31" i="7" a="1"/>
  <c r="AE31" i="7" s="1"/>
  <c r="AE18" i="7" a="1"/>
  <c r="AE18" i="7" s="1"/>
  <c r="AE38" i="7" a="1"/>
  <c r="AE38" i="7" s="1"/>
  <c r="AF29" i="7" a="1"/>
  <c r="AF29" i="7" s="1"/>
  <c r="AF31" i="7" a="1"/>
  <c r="AF31" i="7" s="1"/>
  <c r="AF38" i="7" a="1"/>
  <c r="AF38" i="7" s="1"/>
  <c r="AF22" i="7" a="1"/>
  <c r="AF22" i="7" s="1"/>
  <c r="AF23" i="7" a="1"/>
  <c r="AF23" i="7" s="1"/>
  <c r="AF18" i="7" a="1"/>
  <c r="AF18" i="7" s="1"/>
  <c r="AF17" i="7" a="1"/>
  <c r="AF17" i="7" s="1"/>
  <c r="AF26" i="7" a="1"/>
  <c r="AF26" i="7" s="1"/>
  <c r="AF30" i="7" a="1"/>
  <c r="AF30" i="7" s="1"/>
  <c r="AF34" i="7" a="1"/>
  <c r="AF34" i="7" s="1"/>
  <c r="BF22" i="7" a="1"/>
  <c r="BF22" i="7" s="1"/>
  <c r="BF17" i="7" a="1"/>
  <c r="BF17" i="7" s="1"/>
  <c r="BD29" i="7" a="1"/>
  <c r="BD29" i="7" s="1"/>
  <c r="BD26" i="7" a="1"/>
  <c r="BD26" i="7" s="1"/>
  <c r="N33" i="3"/>
  <c r="S33" i="3"/>
  <c r="S70" i="3" s="1"/>
  <c r="BJ29" i="7" a="1"/>
  <c r="BJ29" i="7" s="1"/>
  <c r="BF23" i="7" a="1"/>
  <c r="BF23" i="7" s="1"/>
  <c r="BF31" i="7" a="1"/>
  <c r="BF31" i="7" s="1"/>
  <c r="AJ34" i="7" a="1"/>
  <c r="AJ34" i="7" s="1"/>
  <c r="AJ26" i="7" a="1"/>
  <c r="AJ26" i="7" s="1"/>
  <c r="AJ22" i="7" a="1"/>
  <c r="AJ22" i="7" s="1"/>
  <c r="AJ38" i="7" a="1"/>
  <c r="AJ38" i="7" s="1"/>
  <c r="AJ29" i="7" a="1"/>
  <c r="AJ29" i="7" s="1"/>
  <c r="AJ31" i="7" a="1"/>
  <c r="AJ31" i="7" s="1"/>
  <c r="AJ17" i="7" a="1"/>
  <c r="AJ17" i="7" s="1"/>
  <c r="AJ30" i="7" a="1"/>
  <c r="AJ30" i="7" s="1"/>
  <c r="AJ18" i="7" a="1"/>
  <c r="AJ18" i="7" s="1"/>
  <c r="AJ23" i="7" a="1"/>
  <c r="AJ23" i="7" s="1"/>
  <c r="BI22" i="7" a="1"/>
  <c r="BI22" i="7" s="1"/>
  <c r="BI23" i="7" a="1"/>
  <c r="BI23" i="7" s="1"/>
  <c r="BF18" i="7" a="1"/>
  <c r="BF18" i="7" s="1"/>
  <c r="BL39" i="5"/>
  <c r="BL31" i="5" s="1"/>
  <c r="BL26" i="5" s="1"/>
  <c r="BL224" i="5"/>
  <c r="L23" i="7" a="1"/>
  <c r="L23" i="7" s="1"/>
  <c r="L17" i="7" a="1"/>
  <c r="L17" i="7" s="1"/>
  <c r="L38" i="7" a="1"/>
  <c r="L38" i="7" s="1"/>
  <c r="L30" i="7" a="1"/>
  <c r="L30" i="7" s="1"/>
  <c r="L22" i="7" a="1"/>
  <c r="L22" i="7" s="1"/>
  <c r="L34" i="7" a="1"/>
  <c r="L34" i="7" s="1"/>
  <c r="L29" i="7" a="1"/>
  <c r="L29" i="7" s="1"/>
  <c r="L26" i="7" a="1"/>
  <c r="L26" i="7" s="1"/>
  <c r="L31" i="7" a="1"/>
  <c r="L31" i="7" s="1"/>
  <c r="L18" i="7" a="1"/>
  <c r="L18" i="7" s="1"/>
  <c r="N31" i="7" a="1"/>
  <c r="N31" i="7" s="1"/>
  <c r="N26" i="7" a="1"/>
  <c r="N26" i="7" s="1"/>
  <c r="N30" i="7" a="1"/>
  <c r="N30" i="7" s="1"/>
  <c r="N22" i="7" a="1"/>
  <c r="N22" i="7" s="1"/>
  <c r="N34" i="7" a="1"/>
  <c r="N34" i="7" s="1"/>
  <c r="N17" i="7" a="1"/>
  <c r="N17" i="7" s="1"/>
  <c r="N23" i="7" a="1"/>
  <c r="N23" i="7" s="1"/>
  <c r="N18" i="7" a="1"/>
  <c r="N18" i="7" s="1"/>
  <c r="N29" i="7" a="1"/>
  <c r="N29" i="7" s="1"/>
  <c r="N38" i="7" a="1"/>
  <c r="N38" i="7" s="1"/>
  <c r="AQ23" i="7" a="1"/>
  <c r="AQ23" i="7" s="1"/>
  <c r="AQ22" i="7" a="1"/>
  <c r="AQ22" i="7" s="1"/>
  <c r="AQ29" i="7" a="1"/>
  <c r="AQ29" i="7" s="1"/>
  <c r="AQ38" i="7" a="1"/>
  <c r="AQ38" i="7" s="1"/>
  <c r="AQ26" i="7" a="1"/>
  <c r="AQ26" i="7" s="1"/>
  <c r="AQ18" i="7" a="1"/>
  <c r="AQ18" i="7" s="1"/>
  <c r="AQ31" i="7" a="1"/>
  <c r="AQ31" i="7" s="1"/>
  <c r="AQ34" i="7" a="1"/>
  <c r="AQ34" i="7" s="1"/>
  <c r="AQ30" i="7" a="1"/>
  <c r="AQ30" i="7" s="1"/>
  <c r="AQ17" i="7" a="1"/>
  <c r="AQ17" i="7" s="1"/>
  <c r="BI17" i="7" a="1"/>
  <c r="BI17" i="7" s="1"/>
  <c r="Z31" i="7" a="1"/>
  <c r="Z31" i="7" s="1"/>
  <c r="Z34" i="7" a="1"/>
  <c r="Z34" i="7" s="1"/>
  <c r="Z26" i="7" a="1"/>
  <c r="Z26" i="7" s="1"/>
  <c r="Z38" i="7" a="1"/>
  <c r="Z38" i="7" s="1"/>
  <c r="Z22" i="7" a="1"/>
  <c r="Z22" i="7" s="1"/>
  <c r="Z29" i="7" a="1"/>
  <c r="Z29" i="7" s="1"/>
  <c r="Z30" i="7" a="1"/>
  <c r="Z30" i="7" s="1"/>
  <c r="Z17" i="7" a="1"/>
  <c r="Z17" i="7" s="1"/>
  <c r="Z18" i="7" a="1"/>
  <c r="Z18" i="7" s="1"/>
  <c r="Z23" i="7" a="1"/>
  <c r="Z23" i="7" s="1"/>
  <c r="AY31" i="7" a="1"/>
  <c r="AY31" i="7" s="1"/>
  <c r="AY29" i="7" a="1"/>
  <c r="AY29" i="7" s="1"/>
  <c r="AY30" i="7" a="1"/>
  <c r="AY30" i="7" s="1"/>
  <c r="AY22" i="7" a="1"/>
  <c r="AY22" i="7" s="1"/>
  <c r="AY17" i="7" a="1"/>
  <c r="AY17" i="7" s="1"/>
  <c r="AY34" i="7" a="1"/>
  <c r="AY34" i="7" s="1"/>
  <c r="AY26" i="7" a="1"/>
  <c r="AY26" i="7" s="1"/>
  <c r="AY38" i="7" a="1"/>
  <c r="AY38" i="7" s="1"/>
  <c r="AY23" i="7" a="1"/>
  <c r="AY23" i="7" s="1"/>
  <c r="AY18" i="7" a="1"/>
  <c r="AY18" i="7" s="1"/>
  <c r="U31" i="7" a="1"/>
  <c r="U31" i="7" s="1"/>
  <c r="U23" i="7" a="1"/>
  <c r="U23" i="7" s="1"/>
  <c r="U30" i="7" a="1"/>
  <c r="U30" i="7" s="1"/>
  <c r="U18" i="7" a="1"/>
  <c r="U18" i="7" s="1"/>
  <c r="U34" i="7" a="1"/>
  <c r="U34" i="7" s="1"/>
  <c r="U26" i="7" a="1"/>
  <c r="U26" i="7" s="1"/>
  <c r="U29" i="7" a="1"/>
  <c r="U29" i="7" s="1"/>
  <c r="U38" i="7" a="1"/>
  <c r="U38" i="7" s="1"/>
  <c r="U17" i="7" a="1"/>
  <c r="U17" i="7" s="1"/>
  <c r="U22" i="7" a="1"/>
  <c r="U22" i="7" s="1"/>
  <c r="BH22" i="7" a="1"/>
  <c r="BH22" i="7" s="1"/>
  <c r="AG17" i="7" a="1"/>
  <c r="AG17" i="7" s="1"/>
  <c r="AG31" i="7" a="1"/>
  <c r="AG31" i="7" s="1"/>
  <c r="AG23" i="7" a="1"/>
  <c r="AG23" i="7" s="1"/>
  <c r="AG34" i="7" a="1"/>
  <c r="AG34" i="7" s="1"/>
  <c r="AG38" i="7" a="1"/>
  <c r="AG38" i="7" s="1"/>
  <c r="AG26" i="7" a="1"/>
  <c r="AG26" i="7" s="1"/>
  <c r="AG18" i="7" a="1"/>
  <c r="AG18" i="7" s="1"/>
  <c r="AG29" i="7" a="1"/>
  <c r="AG29" i="7" s="1"/>
  <c r="AG30" i="7" a="1"/>
  <c r="AG30" i="7" s="1"/>
  <c r="AG22" i="7" a="1"/>
  <c r="AG22" i="7" s="1"/>
  <c r="AL23" i="7" a="1"/>
  <c r="AL23" i="7" s="1"/>
  <c r="AL29" i="7" a="1"/>
  <c r="AL29" i="7" s="1"/>
  <c r="AL17" i="7" a="1"/>
  <c r="AL17" i="7" s="1"/>
  <c r="AL18" i="7" a="1"/>
  <c r="AL18" i="7" s="1"/>
  <c r="AL31" i="7" a="1"/>
  <c r="AL31" i="7" s="1"/>
  <c r="AL34" i="7" a="1"/>
  <c r="AL34" i="7" s="1"/>
  <c r="AL38" i="7" a="1"/>
  <c r="AL38" i="7" s="1"/>
  <c r="AL26" i="7" a="1"/>
  <c r="AL26" i="7" s="1"/>
  <c r="AL22" i="7" a="1"/>
  <c r="AL22" i="7" s="1"/>
  <c r="AL30" i="7" a="1"/>
  <c r="AL30" i="7" s="1"/>
  <c r="AM29" i="7" a="1"/>
  <c r="AM29" i="7" s="1"/>
  <c r="AM17" i="7" a="1"/>
  <c r="AM17" i="7" s="1"/>
  <c r="AM22" i="7" a="1"/>
  <c r="AM22" i="7" s="1"/>
  <c r="AM26" i="7" a="1"/>
  <c r="AM26" i="7" s="1"/>
  <c r="AM34" i="7" a="1"/>
  <c r="AM34" i="7" s="1"/>
  <c r="AM30" i="7" a="1"/>
  <c r="AM30" i="7" s="1"/>
  <c r="AM31" i="7" a="1"/>
  <c r="AM31" i="7" s="1"/>
  <c r="AM23" i="7" a="1"/>
  <c r="AM23" i="7" s="1"/>
  <c r="AM18" i="7" a="1"/>
  <c r="AM18" i="7" s="1"/>
  <c r="AM38" i="7" a="1"/>
  <c r="AM38" i="7" s="1"/>
  <c r="AN23" i="7" a="1"/>
  <c r="AN23" i="7" s="1"/>
  <c r="AN30" i="7" a="1"/>
  <c r="AN30" i="7" s="1"/>
  <c r="AN29" i="7" a="1"/>
  <c r="AN29" i="7" s="1"/>
  <c r="AN18" i="7" a="1"/>
  <c r="AN18" i="7" s="1"/>
  <c r="AN31" i="7" a="1"/>
  <c r="AN31" i="7" s="1"/>
  <c r="AN34" i="7" a="1"/>
  <c r="AN34" i="7" s="1"/>
  <c r="AN17" i="7" a="1"/>
  <c r="AN17" i="7" s="1"/>
  <c r="AN26" i="7" a="1"/>
  <c r="AN26" i="7" s="1"/>
  <c r="AN38" i="7" a="1"/>
  <c r="AN38" i="7" s="1"/>
  <c r="AN22" i="7" a="1"/>
  <c r="AN22" i="7" s="1"/>
  <c r="BH18" i="7" a="1"/>
  <c r="BH18" i="7" s="1"/>
  <c r="BH17" i="7" a="1"/>
  <c r="BH17" i="7" s="1"/>
  <c r="BJ57" i="7"/>
  <c r="BI29" i="7" a="1"/>
  <c r="BI29" i="7" s="1"/>
  <c r="AP38" i="7" a="1"/>
  <c r="AP38" i="7" s="1"/>
  <c r="AP23" i="7" a="1"/>
  <c r="AP23" i="7" s="1"/>
  <c r="AP31" i="7" a="1"/>
  <c r="AP31" i="7" s="1"/>
  <c r="AP34" i="7" a="1"/>
  <c r="AP34" i="7" s="1"/>
  <c r="AP30" i="7" a="1"/>
  <c r="AP30" i="7" s="1"/>
  <c r="AP22" i="7" a="1"/>
  <c r="AP22" i="7" s="1"/>
  <c r="AP26" i="7" a="1"/>
  <c r="AP26" i="7" s="1"/>
  <c r="AP17" i="7" a="1"/>
  <c r="AP17" i="7" s="1"/>
  <c r="AP18" i="7" a="1"/>
  <c r="AP18" i="7" s="1"/>
  <c r="AP29" i="7" a="1"/>
  <c r="AP29" i="7" s="1"/>
  <c r="BL64" i="7"/>
  <c r="BL63" i="7"/>
  <c r="BL65" i="7"/>
  <c r="BL66" i="7"/>
  <c r="BL67" i="7"/>
  <c r="BL68" i="7"/>
  <c r="BL69" i="7"/>
  <c r="BL70" i="7"/>
  <c r="BL71" i="7"/>
  <c r="BL72" i="7"/>
  <c r="BL73" i="7"/>
  <c r="BL74" i="7"/>
  <c r="BL75" i="7"/>
  <c r="BL76" i="7"/>
  <c r="BL77" i="7"/>
  <c r="BL78" i="7"/>
  <c r="BL79" i="7"/>
  <c r="BL80" i="7"/>
  <c r="BL81" i="7"/>
  <c r="BL82" i="7"/>
  <c r="BL83" i="7"/>
  <c r="BL84" i="7"/>
  <c r="BL85" i="7"/>
  <c r="BL86" i="7"/>
  <c r="BL87" i="7"/>
  <c r="BL88" i="7"/>
  <c r="BL89" i="7"/>
  <c r="BL90" i="7"/>
  <c r="BL91" i="7"/>
  <c r="BL92" i="7"/>
  <c r="BL93" i="7"/>
  <c r="BL94" i="7"/>
  <c r="BL95" i="7"/>
  <c r="BL96" i="7"/>
  <c r="BL97" i="7"/>
  <c r="BL98" i="7"/>
  <c r="BL99" i="7"/>
  <c r="BL100" i="7"/>
  <c r="BL101" i="7"/>
  <c r="BL102" i="7"/>
  <c r="BL103" i="7"/>
  <c r="BL104" i="7"/>
  <c r="BL105" i="7"/>
  <c r="BL106" i="7"/>
  <c r="BL107" i="7"/>
  <c r="BL108" i="7"/>
  <c r="BL109" i="7"/>
  <c r="BL110" i="7"/>
  <c r="BL111" i="7"/>
  <c r="BL112" i="7"/>
  <c r="BL113" i="7"/>
  <c r="BL114" i="7"/>
  <c r="BL115" i="7"/>
  <c r="BL116" i="7"/>
  <c r="BL117" i="7"/>
  <c r="BL118" i="7"/>
  <c r="BL119" i="7"/>
  <c r="BL120" i="7"/>
  <c r="BL121" i="7"/>
  <c r="R34" i="7" a="1"/>
  <c r="R34" i="7" s="1"/>
  <c r="R29" i="7" a="1"/>
  <c r="R29" i="7" s="1"/>
  <c r="R23" i="7" a="1"/>
  <c r="R23" i="7" s="1"/>
  <c r="R18" i="7" a="1"/>
  <c r="R18" i="7" s="1"/>
  <c r="R17" i="7" a="1"/>
  <c r="R17" i="7" s="1"/>
  <c r="R31" i="7" a="1"/>
  <c r="R31" i="7" s="1"/>
  <c r="R26" i="7" a="1"/>
  <c r="R26" i="7" s="1"/>
  <c r="R30" i="7" a="1"/>
  <c r="R30" i="7" s="1"/>
  <c r="R38" i="7" a="1"/>
  <c r="R38" i="7" s="1"/>
  <c r="R22" i="7" a="1"/>
  <c r="R22" i="7" s="1"/>
  <c r="F17" i="7" a="1"/>
  <c r="F17" i="7" s="1"/>
  <c r="F31" i="7" a="1"/>
  <c r="F31" i="7" s="1"/>
  <c r="F23" i="7" a="1"/>
  <c r="F23" i="7" s="1"/>
  <c r="F18" i="7" a="1"/>
  <c r="F18" i="7" s="1"/>
  <c r="F38" i="7" a="1"/>
  <c r="F38" i="7" s="1"/>
  <c r="F22" i="7" a="1"/>
  <c r="F22" i="7" s="1"/>
  <c r="F29" i="7" a="1"/>
  <c r="F29" i="7" s="1"/>
  <c r="F30" i="7" a="1"/>
  <c r="F30" i="7" s="1"/>
  <c r="F34" i="7" a="1"/>
  <c r="F34" i="7" s="1"/>
  <c r="F26" i="7" a="1"/>
  <c r="F26" i="7" s="1"/>
  <c r="K17" i="7" a="1"/>
  <c r="K17" i="7" s="1"/>
  <c r="K22" i="7" a="1"/>
  <c r="K22" i="7" s="1"/>
  <c r="K29" i="7" a="1"/>
  <c r="K29" i="7" s="1"/>
  <c r="K38" i="7" a="1"/>
  <c r="K38" i="7" s="1"/>
  <c r="K26" i="7" a="1"/>
  <c r="K26" i="7" s="1"/>
  <c r="K31" i="7" a="1"/>
  <c r="K31" i="7" s="1"/>
  <c r="K34" i="7" a="1"/>
  <c r="K34" i="7" s="1"/>
  <c r="K23" i="7" a="1"/>
  <c r="K23" i="7" s="1"/>
  <c r="K18" i="7" a="1"/>
  <c r="K18" i="7" s="1"/>
  <c r="K30" i="7" a="1"/>
  <c r="K30" i="7" s="1"/>
  <c r="BJ17" i="7" a="1"/>
  <c r="BJ17" i="7" s="1"/>
  <c r="BF30" i="7" a="1"/>
  <c r="BF30" i="7" s="1"/>
  <c r="AX38" i="7" a="1"/>
  <c r="AX38" i="7" s="1"/>
  <c r="AX18" i="7" a="1"/>
  <c r="AX18" i="7" s="1"/>
  <c r="AX29" i="7" a="1"/>
  <c r="AX29" i="7" s="1"/>
  <c r="AX34" i="7" a="1"/>
  <c r="AX34" i="7" s="1"/>
  <c r="AX23" i="7" a="1"/>
  <c r="AX23" i="7" s="1"/>
  <c r="AX17" i="7" a="1"/>
  <c r="AX17" i="7" s="1"/>
  <c r="AX31" i="7" a="1"/>
  <c r="AX31" i="7" s="1"/>
  <c r="AX30" i="7" a="1"/>
  <c r="AX30" i="7" s="1"/>
  <c r="AX26" i="7" a="1"/>
  <c r="AX26" i="7" s="1"/>
  <c r="AX22" i="7" a="1"/>
  <c r="AX22" i="7" s="1"/>
  <c r="AB29" i="7" a="1"/>
  <c r="AB29" i="7" s="1"/>
  <c r="AB23" i="7" a="1"/>
  <c r="AB23" i="7" s="1"/>
  <c r="AB17" i="7" a="1"/>
  <c r="AB17" i="7" s="1"/>
  <c r="AB34" i="7" a="1"/>
  <c r="AB34" i="7" s="1"/>
  <c r="AB18" i="7" a="1"/>
  <c r="AB18" i="7" s="1"/>
  <c r="AB38" i="7" a="1"/>
  <c r="AB38" i="7" s="1"/>
  <c r="AB31" i="7" a="1"/>
  <c r="AB31" i="7" s="1"/>
  <c r="AB26" i="7" a="1"/>
  <c r="AB26" i="7" s="1"/>
  <c r="AB22" i="7" a="1"/>
  <c r="AB22" i="7" s="1"/>
  <c r="AB30" i="7" a="1"/>
  <c r="AB30" i="7" s="1"/>
  <c r="Q22" i="7" a="1"/>
  <c r="Q22" i="7" s="1"/>
  <c r="Q17" i="7" a="1"/>
  <c r="Q17" i="7" s="1"/>
  <c r="Q38" i="7" a="1"/>
  <c r="Q38" i="7" s="1"/>
  <c r="Q26" i="7" a="1"/>
  <c r="Q26" i="7" s="1"/>
  <c r="Q18" i="7" a="1"/>
  <c r="Q18" i="7" s="1"/>
  <c r="Q31" i="7" a="1"/>
  <c r="Q31" i="7" s="1"/>
  <c r="L42" i="6" s="1"/>
  <c r="Q23" i="7" a="1"/>
  <c r="Q23" i="7" s="1"/>
  <c r="Q30" i="7" a="1"/>
  <c r="Q30" i="7" s="1"/>
  <c r="Q34" i="7" a="1"/>
  <c r="Q34" i="7" s="1"/>
  <c r="Q29" i="7" a="1"/>
  <c r="Q29" i="7" s="1"/>
  <c r="V23" i="7" a="1"/>
  <c r="V23" i="7" s="1"/>
  <c r="V26" i="7" a="1"/>
  <c r="V26" i="7" s="1"/>
  <c r="V31" i="7" a="1"/>
  <c r="V31" i="7" s="1"/>
  <c r="V30" i="7" a="1"/>
  <c r="V30" i="7" s="1"/>
  <c r="V22" i="7" a="1"/>
  <c r="V22" i="7" s="1"/>
  <c r="V29" i="7" a="1"/>
  <c r="V29" i="7" s="1"/>
  <c r="V38" i="7" a="1"/>
  <c r="V38" i="7" s="1"/>
  <c r="V17" i="7" a="1"/>
  <c r="V17" i="7" s="1"/>
  <c r="V34" i="7" a="1"/>
  <c r="V34" i="7" s="1"/>
  <c r="V18" i="7" a="1"/>
  <c r="V18" i="7" s="1"/>
  <c r="W38" i="7" a="1"/>
  <c r="W38" i="7" s="1"/>
  <c r="W17" i="7" a="1"/>
  <c r="W17" i="7" s="1"/>
  <c r="W29" i="7" a="1"/>
  <c r="W29" i="7" s="1"/>
  <c r="W18" i="7" a="1"/>
  <c r="W18" i="7" s="1"/>
  <c r="W31" i="7" a="1"/>
  <c r="W31" i="7" s="1"/>
  <c r="W22" i="7" a="1"/>
  <c r="W22" i="7" s="1"/>
  <c r="W34" i="7" a="1"/>
  <c r="W34" i="7" s="1"/>
  <c r="W26" i="7" a="1"/>
  <c r="W26" i="7" s="1"/>
  <c r="W30" i="7" a="1"/>
  <c r="W30" i="7" s="1"/>
  <c r="W23" i="7" a="1"/>
  <c r="W23" i="7" s="1"/>
  <c r="X29" i="7" a="1"/>
  <c r="X29" i="7" s="1"/>
  <c r="X30" i="7" a="1"/>
  <c r="X30" i="7" s="1"/>
  <c r="X22" i="7" a="1"/>
  <c r="X22" i="7" s="1"/>
  <c r="X31" i="7" a="1"/>
  <c r="X31" i="7" s="1"/>
  <c r="X38" i="7" a="1"/>
  <c r="X38" i="7" s="1"/>
  <c r="X23" i="7" a="1"/>
  <c r="X23" i="7" s="1"/>
  <c r="X18" i="7" a="1"/>
  <c r="X18" i="7" s="1"/>
  <c r="X26" i="7" a="1"/>
  <c r="X26" i="7" s="1"/>
  <c r="X34" i="7" a="1"/>
  <c r="X34" i="7" s="1"/>
  <c r="X17" i="7" a="1"/>
  <c r="X17" i="7" s="1"/>
  <c r="BI18" i="7" a="1"/>
  <c r="BI18" i="7" s="1"/>
  <c r="AA26" i="7" a="1"/>
  <c r="AA26" i="7" s="1"/>
  <c r="AA34" i="7" a="1"/>
  <c r="AA34" i="7" s="1"/>
  <c r="AA31" i="7" a="1"/>
  <c r="AA31" i="7" s="1"/>
  <c r="AA18" i="7" a="1"/>
  <c r="AA18" i="7" s="1"/>
  <c r="AA29" i="7" a="1"/>
  <c r="AA29" i="7" s="1"/>
  <c r="AA30" i="7" a="1"/>
  <c r="AA30" i="7" s="1"/>
  <c r="AA23" i="7" a="1"/>
  <c r="AA23" i="7" s="1"/>
  <c r="AA17" i="7" a="1"/>
  <c r="AA17" i="7" s="1"/>
  <c r="AA22" i="7" a="1"/>
  <c r="AA22" i="7" s="1"/>
  <c r="AA38" i="7" a="1"/>
  <c r="AA38" i="7" s="1"/>
  <c r="T26" i="7" a="1"/>
  <c r="T26" i="7" s="1"/>
  <c r="T29" i="7" a="1"/>
  <c r="T29" i="7" s="1"/>
  <c r="T31" i="7" a="1"/>
  <c r="T31" i="7" s="1"/>
  <c r="T23" i="7" a="1"/>
  <c r="T23" i="7" s="1"/>
  <c r="T34" i="7" a="1"/>
  <c r="T34" i="7" s="1"/>
  <c r="T17" i="7" a="1"/>
  <c r="T17" i="7" s="1"/>
  <c r="T38" i="7" a="1"/>
  <c r="T38" i="7" s="1"/>
  <c r="T30" i="7" a="1"/>
  <c r="T30" i="7" s="1"/>
  <c r="T22" i="7" a="1"/>
  <c r="T22" i="7" s="1"/>
  <c r="T18" i="7" a="1"/>
  <c r="T18" i="7" s="1"/>
  <c r="AK30" i="7" a="1"/>
  <c r="AK30" i="7" s="1"/>
  <c r="AK31" i="7" a="1"/>
  <c r="AK31" i="7" s="1"/>
  <c r="AK34" i="7" a="1"/>
  <c r="AK34" i="7" s="1"/>
  <c r="AK18" i="7" a="1"/>
  <c r="AK18" i="7" s="1"/>
  <c r="AK38" i="7" a="1"/>
  <c r="AK38" i="7" s="1"/>
  <c r="AK23" i="7" a="1"/>
  <c r="AK23" i="7" s="1"/>
  <c r="AK26" i="7" a="1"/>
  <c r="AK26" i="7" s="1"/>
  <c r="AK17" i="7" a="1"/>
  <c r="AK17" i="7" s="1"/>
  <c r="AK29" i="7" a="1"/>
  <c r="AK29" i="7" s="1"/>
  <c r="AK22" i="7" a="1"/>
  <c r="AK22" i="7" s="1"/>
  <c r="M29" i="7" a="1"/>
  <c r="M29" i="7" s="1"/>
  <c r="M17" i="7" a="1"/>
  <c r="M17" i="7" s="1"/>
  <c r="M34" i="7" a="1"/>
  <c r="M34" i="7" s="1"/>
  <c r="M18" i="7" a="1"/>
  <c r="M18" i="7" s="1"/>
  <c r="M23" i="7" a="1"/>
  <c r="M23" i="7" s="1"/>
  <c r="M22" i="7" a="1"/>
  <c r="M22" i="7" s="1"/>
  <c r="M31" i="7" a="1"/>
  <c r="M31" i="7" s="1"/>
  <c r="M26" i="7" a="1"/>
  <c r="M26" i="7" s="1"/>
  <c r="M30" i="7" a="1"/>
  <c r="M30" i="7" s="1"/>
  <c r="M38" i="7" a="1"/>
  <c r="M38" i="7" s="1"/>
  <c r="AO31" i="7" a="1"/>
  <c r="AO31" i="7" s="1"/>
  <c r="AO26" i="7" a="1"/>
  <c r="AO26" i="7" s="1"/>
  <c r="AO22" i="7" a="1"/>
  <c r="AO22" i="7" s="1"/>
  <c r="AO23" i="7" a="1"/>
  <c r="AO23" i="7" s="1"/>
  <c r="AO17" i="7" a="1"/>
  <c r="AO17" i="7" s="1"/>
  <c r="AO18" i="7" a="1"/>
  <c r="AO18" i="7" s="1"/>
  <c r="AO34" i="7" a="1"/>
  <c r="AO34" i="7" s="1"/>
  <c r="AO30" i="7" a="1"/>
  <c r="AO30" i="7" s="1"/>
  <c r="AO29" i="7" a="1"/>
  <c r="AO29" i="7" s="1"/>
  <c r="AO38" i="7" a="1"/>
  <c r="AO38" i="7" s="1"/>
  <c r="AT23" i="7" a="1"/>
  <c r="AT23" i="7" s="1"/>
  <c r="AT29" i="7" a="1"/>
  <c r="AT29" i="7" s="1"/>
  <c r="AT17" i="7" a="1"/>
  <c r="AT17" i="7" s="1"/>
  <c r="AT22" i="7" a="1"/>
  <c r="AT22" i="7" s="1"/>
  <c r="AT26" i="7" a="1"/>
  <c r="AT26" i="7" s="1"/>
  <c r="AT31" i="7" a="1"/>
  <c r="AT31" i="7" s="1"/>
  <c r="AT38" i="7" a="1"/>
  <c r="AT38" i="7" s="1"/>
  <c r="AT30" i="7" a="1"/>
  <c r="AT30" i="7" s="1"/>
  <c r="AT34" i="7" a="1"/>
  <c r="AT34" i="7" s="1"/>
  <c r="AT18" i="7" a="1"/>
  <c r="AT18" i="7" s="1"/>
  <c r="AU26" i="7" a="1"/>
  <c r="AU26" i="7" s="1"/>
  <c r="AU30" i="7" a="1"/>
  <c r="AU30" i="7" s="1"/>
  <c r="AU38" i="7" a="1"/>
  <c r="AU38" i="7" s="1"/>
  <c r="AU18" i="7" a="1"/>
  <c r="AU18" i="7" s="1"/>
  <c r="AU22" i="7" a="1"/>
  <c r="AU22" i="7" s="1"/>
  <c r="AU17" i="7" a="1"/>
  <c r="AU17" i="7" s="1"/>
  <c r="AU29" i="7" a="1"/>
  <c r="AU29" i="7" s="1"/>
  <c r="AU23" i="7" a="1"/>
  <c r="AU23" i="7" s="1"/>
  <c r="AU31" i="7" a="1"/>
  <c r="AU31" i="7" s="1"/>
  <c r="AU34" i="7" a="1"/>
  <c r="AU34" i="7" s="1"/>
  <c r="AV18" i="7" a="1"/>
  <c r="AV18" i="7" s="1"/>
  <c r="AV30" i="7" a="1"/>
  <c r="AV30" i="7" s="1"/>
  <c r="AV34" i="7" a="1"/>
  <c r="AV34" i="7" s="1"/>
  <c r="AV22" i="7" a="1"/>
  <c r="AV22" i="7" s="1"/>
  <c r="AV31" i="7" a="1"/>
  <c r="AV31" i="7" s="1"/>
  <c r="AV38" i="7" a="1"/>
  <c r="AV38" i="7" s="1"/>
  <c r="AV26" i="7" a="1"/>
  <c r="AV26" i="7" s="1"/>
  <c r="AV29" i="7" a="1"/>
  <c r="AV29" i="7" s="1"/>
  <c r="AV17" i="7" a="1"/>
  <c r="AV17" i="7" s="1"/>
  <c r="AV23" i="7" a="1"/>
  <c r="AV23" i="7" s="1"/>
  <c r="BI31" i="7" a="1"/>
  <c r="BI31" i="7" s="1"/>
  <c r="BJ18" i="7" a="1"/>
  <c r="BJ18" i="7" s="1"/>
  <c r="BJ23" i="7" a="1"/>
  <c r="BJ23" i="7" s="1"/>
  <c r="BF29" i="7" a="1"/>
  <c r="BF29" i="7" s="1"/>
  <c r="BF26" i="7" a="1"/>
  <c r="BF26" i="7" s="1"/>
  <c r="BK57" i="7"/>
  <c r="BK30" i="7" a="1"/>
  <c r="BK30" i="7" s="1"/>
  <c r="BK31" i="7" a="1"/>
  <c r="BK31" i="7" s="1"/>
  <c r="BK29" i="7" a="1"/>
  <c r="BK29" i="7" s="1"/>
  <c r="BK22" i="7" a="1"/>
  <c r="BK22" i="7" s="1"/>
  <c r="BK18" i="7" a="1"/>
  <c r="BK18" i="7" s="1"/>
  <c r="BK38" i="7" a="1"/>
  <c r="BK38" i="7" s="1"/>
  <c r="BK23" i="7" a="1"/>
  <c r="BK23" i="7" s="1"/>
  <c r="BK34" i="7" a="1"/>
  <c r="BK34" i="7" s="1"/>
  <c r="BK26" i="7" a="1"/>
  <c r="BK26" i="7" s="1"/>
  <c r="BK17" i="7" a="1"/>
  <c r="BK17" i="7" s="1"/>
  <c r="BD34" i="7" a="1"/>
  <c r="BD34" i="7" s="1"/>
  <c r="BL100" i="5"/>
  <c r="BD100" i="5"/>
  <c r="AV100" i="5"/>
  <c r="AN100" i="5"/>
  <c r="AF100" i="5"/>
  <c r="X100" i="5"/>
  <c r="P100" i="5"/>
  <c r="H100" i="5"/>
  <c r="BI99" i="5"/>
  <c r="BA99" i="5"/>
  <c r="AS99" i="5"/>
  <c r="AK99" i="5"/>
  <c r="AC99" i="5"/>
  <c r="U99" i="5"/>
  <c r="M99" i="5"/>
  <c r="BF98" i="5"/>
  <c r="AX98" i="5"/>
  <c r="AP98" i="5"/>
  <c r="AH98" i="5"/>
  <c r="Z98" i="5"/>
  <c r="R98" i="5"/>
  <c r="J98" i="5"/>
  <c r="BK97" i="5"/>
  <c r="BC97" i="5"/>
  <c r="AU97" i="5"/>
  <c r="AM97" i="5"/>
  <c r="AE97" i="5"/>
  <c r="W97" i="5"/>
  <c r="O97" i="5"/>
  <c r="G97" i="5"/>
  <c r="BH96" i="5"/>
  <c r="AZ96" i="5"/>
  <c r="AR96" i="5"/>
  <c r="AJ96" i="5"/>
  <c r="AB96" i="5"/>
  <c r="T96" i="5"/>
  <c r="L96" i="5"/>
  <c r="BE95" i="5"/>
  <c r="AW95" i="5"/>
  <c r="AO95" i="5"/>
  <c r="AG95" i="5"/>
  <c r="Y95" i="5"/>
  <c r="Q95" i="5"/>
  <c r="I95" i="5"/>
  <c r="BB94" i="5"/>
  <c r="AT94" i="5"/>
  <c r="AL94" i="5"/>
  <c r="AD94" i="5"/>
  <c r="V94" i="5"/>
  <c r="N94" i="5"/>
  <c r="BG93" i="5"/>
  <c r="AY93" i="5"/>
  <c r="AQ93" i="5"/>
  <c r="AI93" i="5"/>
  <c r="AA93" i="5"/>
  <c r="S93" i="5"/>
  <c r="K93" i="5"/>
  <c r="BD92" i="5"/>
  <c r="AV92" i="5"/>
  <c r="AN92" i="5"/>
  <c r="AF92" i="5"/>
  <c r="X92" i="5"/>
  <c r="P92" i="5"/>
  <c r="H92" i="5"/>
  <c r="BA91" i="5"/>
  <c r="AS91" i="5"/>
  <c r="AK91" i="5"/>
  <c r="AC91" i="5"/>
  <c r="U91" i="5"/>
  <c r="M91" i="5"/>
  <c r="AX90" i="5"/>
  <c r="AP90" i="5"/>
  <c r="AH90" i="5"/>
  <c r="Z90" i="5"/>
  <c r="R90" i="5"/>
  <c r="J90" i="5"/>
  <c r="BC89" i="5"/>
  <c r="AU89" i="5"/>
  <c r="AM89" i="5"/>
  <c r="AE89" i="5"/>
  <c r="W89" i="5"/>
  <c r="O89" i="5"/>
  <c r="G89" i="5"/>
  <c r="AZ88" i="5"/>
  <c r="AR88" i="5"/>
  <c r="AJ88" i="5"/>
  <c r="AB88" i="5"/>
  <c r="T88" i="5"/>
  <c r="L88" i="5"/>
  <c r="AW87" i="5"/>
  <c r="AO87" i="5"/>
  <c r="AG87" i="5"/>
  <c r="Y87" i="5"/>
  <c r="Q87" i="5"/>
  <c r="I87" i="5"/>
  <c r="AT86" i="5"/>
  <c r="AL86" i="5"/>
  <c r="AD86" i="5"/>
  <c r="V86" i="5"/>
  <c r="N86" i="5"/>
  <c r="AY85" i="5"/>
  <c r="AQ85" i="5"/>
  <c r="AI85" i="5"/>
  <c r="AA85" i="5"/>
  <c r="S85" i="5"/>
  <c r="K85" i="5"/>
  <c r="AV84" i="5"/>
  <c r="AN84" i="5"/>
  <c r="AF84" i="5"/>
  <c r="X84" i="5"/>
  <c r="P84" i="5"/>
  <c r="H84" i="5"/>
  <c r="AS83" i="5"/>
  <c r="AK83" i="5"/>
  <c r="AC83" i="5"/>
  <c r="U83" i="5"/>
  <c r="M83" i="5"/>
  <c r="AP82" i="5"/>
  <c r="AH82" i="5"/>
  <c r="Z82" i="5"/>
  <c r="R82" i="5"/>
  <c r="J82" i="5"/>
  <c r="AU81" i="5"/>
  <c r="AM81" i="5"/>
  <c r="AE81" i="5"/>
  <c r="W81" i="5"/>
  <c r="O81" i="5"/>
  <c r="G81" i="5"/>
  <c r="AR80" i="5"/>
  <c r="AJ80" i="5"/>
  <c r="AB80" i="5"/>
  <c r="T80" i="5"/>
  <c r="L80" i="5"/>
  <c r="AO79" i="5"/>
  <c r="AG79" i="5"/>
  <c r="Y79" i="5"/>
  <c r="Q79" i="5"/>
  <c r="I79" i="5"/>
  <c r="AL78" i="5"/>
  <c r="AD78" i="5"/>
  <c r="V78" i="5"/>
  <c r="N78" i="5"/>
  <c r="AQ77" i="5"/>
  <c r="AI77" i="5"/>
  <c r="AA77" i="5"/>
  <c r="S77" i="5"/>
  <c r="K77" i="5"/>
  <c r="AN76" i="5"/>
  <c r="AF76" i="5"/>
  <c r="X76" i="5"/>
  <c r="P76" i="5"/>
  <c r="H76" i="5"/>
  <c r="AK75" i="5"/>
  <c r="AC75" i="5"/>
  <c r="U75" i="5"/>
  <c r="M75" i="5"/>
  <c r="AH74" i="5"/>
  <c r="Z74" i="5"/>
  <c r="R74" i="5"/>
  <c r="J74" i="5"/>
  <c r="AM73" i="5"/>
  <c r="AE73" i="5"/>
  <c r="W73" i="5"/>
  <c r="O73" i="5"/>
  <c r="G73" i="5"/>
  <c r="AJ72" i="5"/>
  <c r="AB72" i="5"/>
  <c r="T72" i="5"/>
  <c r="L72" i="5"/>
  <c r="AG71" i="5"/>
  <c r="Y71" i="5"/>
  <c r="Q71" i="5"/>
  <c r="I71" i="5"/>
  <c r="AD70" i="5"/>
  <c r="V70" i="5"/>
  <c r="N70" i="5"/>
  <c r="AI69" i="5"/>
  <c r="AA69" i="5"/>
  <c r="S69" i="5"/>
  <c r="K69" i="5"/>
  <c r="AF68" i="5"/>
  <c r="X68" i="5"/>
  <c r="P68" i="5"/>
  <c r="H68" i="5"/>
  <c r="AC67" i="5"/>
  <c r="U67" i="5"/>
  <c r="M67" i="5"/>
  <c r="Z66" i="5"/>
  <c r="R66" i="5"/>
  <c r="J66" i="5"/>
  <c r="AE65" i="5"/>
  <c r="W65" i="5"/>
  <c r="O65" i="5"/>
  <c r="G65" i="5"/>
  <c r="AB64" i="5"/>
  <c r="T64" i="5"/>
  <c r="L64" i="5"/>
  <c r="Y63" i="5"/>
  <c r="Q63" i="5"/>
  <c r="I63" i="5"/>
  <c r="V62" i="5"/>
  <c r="N62" i="5"/>
  <c r="AA61" i="5"/>
  <c r="S61" i="5"/>
  <c r="K61" i="5"/>
  <c r="X60" i="5"/>
  <c r="P60" i="5"/>
  <c r="H60" i="5"/>
  <c r="U59" i="5"/>
  <c r="M59" i="5"/>
  <c r="R58" i="5"/>
  <c r="J58" i="5"/>
  <c r="W57" i="5"/>
  <c r="O57" i="5"/>
  <c r="G57" i="5"/>
  <c r="T56" i="5"/>
  <c r="L56" i="5"/>
  <c r="Q55" i="5"/>
  <c r="I55" i="5"/>
  <c r="N54" i="5"/>
  <c r="S53" i="5"/>
  <c r="K53" i="5"/>
  <c r="P52" i="5"/>
  <c r="H52" i="5"/>
  <c r="M51" i="5"/>
  <c r="J50" i="5"/>
  <c r="O49" i="5"/>
  <c r="G49" i="5"/>
  <c r="L48" i="5"/>
  <c r="I47" i="5"/>
  <c r="K45" i="5"/>
  <c r="H44" i="5"/>
  <c r="BK100" i="5"/>
  <c r="BC100" i="5"/>
  <c r="AU100" i="5"/>
  <c r="AM100" i="5"/>
  <c r="AE100" i="5"/>
  <c r="W100" i="5"/>
  <c r="O100" i="5"/>
  <c r="G100" i="5"/>
  <c r="BH99" i="5"/>
  <c r="AZ99" i="5"/>
  <c r="AR99" i="5"/>
  <c r="AJ99" i="5"/>
  <c r="AB99" i="5"/>
  <c r="T99" i="5"/>
  <c r="L99" i="5"/>
  <c r="BE98" i="5"/>
  <c r="AW98" i="5"/>
  <c r="AO98" i="5"/>
  <c r="AG98" i="5"/>
  <c r="Y98" i="5"/>
  <c r="Q98" i="5"/>
  <c r="I98" i="5"/>
  <c r="BJ97" i="5"/>
  <c r="BB97" i="5"/>
  <c r="AT97" i="5"/>
  <c r="AL97" i="5"/>
  <c r="AD97" i="5"/>
  <c r="V97" i="5"/>
  <c r="N97" i="5"/>
  <c r="BG96" i="5"/>
  <c r="AY96" i="5"/>
  <c r="AQ96" i="5"/>
  <c r="AI96" i="5"/>
  <c r="AA96" i="5"/>
  <c r="S96" i="5"/>
  <c r="K96" i="5"/>
  <c r="BD95" i="5"/>
  <c r="AV95" i="5"/>
  <c r="AN95" i="5"/>
  <c r="AF95" i="5"/>
  <c r="X95" i="5"/>
  <c r="P95" i="5"/>
  <c r="H95" i="5"/>
  <c r="BA94" i="5"/>
  <c r="AS94" i="5"/>
  <c r="AK94" i="5"/>
  <c r="AC94" i="5"/>
  <c r="U94" i="5"/>
  <c r="M94" i="5"/>
  <c r="BF93" i="5"/>
  <c r="AX93" i="5"/>
  <c r="AP93" i="5"/>
  <c r="AH93" i="5"/>
  <c r="Z93" i="5"/>
  <c r="R93" i="5"/>
  <c r="J93" i="5"/>
  <c r="BC92" i="5"/>
  <c r="AU92" i="5"/>
  <c r="AM92" i="5"/>
  <c r="AE92" i="5"/>
  <c r="W92" i="5"/>
  <c r="O92" i="5"/>
  <c r="G92" i="5"/>
  <c r="AZ91" i="5"/>
  <c r="AR91" i="5"/>
  <c r="AJ91" i="5"/>
  <c r="AB91" i="5"/>
  <c r="T91" i="5"/>
  <c r="L91" i="5"/>
  <c r="AW90" i="5"/>
  <c r="AO90" i="5"/>
  <c r="AG90" i="5"/>
  <c r="Y90" i="5"/>
  <c r="Q90" i="5"/>
  <c r="I90" i="5"/>
  <c r="BB89" i="5"/>
  <c r="AT89" i="5"/>
  <c r="AL89" i="5"/>
  <c r="AD89" i="5"/>
  <c r="V89" i="5"/>
  <c r="N89" i="5"/>
  <c r="AY88" i="5"/>
  <c r="AQ88" i="5"/>
  <c r="AI88" i="5"/>
  <c r="AA88" i="5"/>
  <c r="S88" i="5"/>
  <c r="K88" i="5"/>
  <c r="AV87" i="5"/>
  <c r="AN87" i="5"/>
  <c r="AF87" i="5"/>
  <c r="X87" i="5"/>
  <c r="P87" i="5"/>
  <c r="H87" i="5"/>
  <c r="AS86" i="5"/>
  <c r="AK86" i="5"/>
  <c r="AC86" i="5"/>
  <c r="U86" i="5"/>
  <c r="M86" i="5"/>
  <c r="AX85" i="5"/>
  <c r="AP85" i="5"/>
  <c r="AH85" i="5"/>
  <c r="Z85" i="5"/>
  <c r="R85" i="5"/>
  <c r="J85" i="5"/>
  <c r="AU84" i="5"/>
  <c r="AM84" i="5"/>
  <c r="AE84" i="5"/>
  <c r="W84" i="5"/>
  <c r="O84" i="5"/>
  <c r="G84" i="5"/>
  <c r="AR83" i="5"/>
  <c r="AJ83" i="5"/>
  <c r="AB83" i="5"/>
  <c r="T83" i="5"/>
  <c r="L83" i="5"/>
  <c r="AO82" i="5"/>
  <c r="AG82" i="5"/>
  <c r="Y82" i="5"/>
  <c r="Q82" i="5"/>
  <c r="I82" i="5"/>
  <c r="AT81" i="5"/>
  <c r="AL81" i="5"/>
  <c r="AD81" i="5"/>
  <c r="V81" i="5"/>
  <c r="N81" i="5"/>
  <c r="AQ80" i="5"/>
  <c r="AI80" i="5"/>
  <c r="AA80" i="5"/>
  <c r="S80" i="5"/>
  <c r="K80" i="5"/>
  <c r="AN79" i="5"/>
  <c r="AF79" i="5"/>
  <c r="X79" i="5"/>
  <c r="P79" i="5"/>
  <c r="H79" i="5"/>
  <c r="AK78" i="5"/>
  <c r="AC78" i="5"/>
  <c r="U78" i="5"/>
  <c r="M78" i="5"/>
  <c r="AP77" i="5"/>
  <c r="AH77" i="5"/>
  <c r="Z77" i="5"/>
  <c r="R77" i="5"/>
  <c r="J77" i="5"/>
  <c r="AM76" i="5"/>
  <c r="AE76" i="5"/>
  <c r="W76" i="5"/>
  <c r="O76" i="5"/>
  <c r="G76" i="5"/>
  <c r="AJ75" i="5"/>
  <c r="AB75" i="5"/>
  <c r="T75" i="5"/>
  <c r="L75" i="5"/>
  <c r="AG74" i="5"/>
  <c r="Y74" i="5"/>
  <c r="Q74" i="5"/>
  <c r="I74" i="5"/>
  <c r="AL73" i="5"/>
  <c r="AD73" i="5"/>
  <c r="V73" i="5"/>
  <c r="N73" i="5"/>
  <c r="AI72" i="5"/>
  <c r="AA72" i="5"/>
  <c r="S72" i="5"/>
  <c r="K72" i="5"/>
  <c r="AF71" i="5"/>
  <c r="X71" i="5"/>
  <c r="P71" i="5"/>
  <c r="H71" i="5"/>
  <c r="AC70" i="5"/>
  <c r="U70" i="5"/>
  <c r="M70" i="5"/>
  <c r="AH69" i="5"/>
  <c r="Z69" i="5"/>
  <c r="R69" i="5"/>
  <c r="J69" i="5"/>
  <c r="AE68" i="5"/>
  <c r="W68" i="5"/>
  <c r="O68" i="5"/>
  <c r="G68" i="5"/>
  <c r="AB67" i="5"/>
  <c r="T67" i="5"/>
  <c r="L67" i="5"/>
  <c r="Y66" i="5"/>
  <c r="Q66" i="5"/>
  <c r="I66" i="5"/>
  <c r="AD65" i="5"/>
  <c r="V65" i="5"/>
  <c r="N65" i="5"/>
  <c r="AA64" i="5"/>
  <c r="S64" i="5"/>
  <c r="K64" i="5"/>
  <c r="X63" i="5"/>
  <c r="P63" i="5"/>
  <c r="H63" i="5"/>
  <c r="U62" i="5"/>
  <c r="M62" i="5"/>
  <c r="Z61" i="5"/>
  <c r="R61" i="5"/>
  <c r="J61" i="5"/>
  <c r="W60" i="5"/>
  <c r="O60" i="5"/>
  <c r="G60" i="5"/>
  <c r="T59" i="5"/>
  <c r="L59" i="5"/>
  <c r="Q58" i="5"/>
  <c r="I58" i="5"/>
  <c r="V57" i="5"/>
  <c r="N57" i="5"/>
  <c r="S56" i="5"/>
  <c r="K56" i="5"/>
  <c r="P55" i="5"/>
  <c r="H55" i="5"/>
  <c r="M54" i="5"/>
  <c r="R53" i="5"/>
  <c r="J53" i="5"/>
  <c r="O52" i="5"/>
  <c r="G52" i="5"/>
  <c r="L51" i="5"/>
  <c r="I50" i="5"/>
  <c r="N49" i="5"/>
  <c r="K48" i="5"/>
  <c r="H47" i="5"/>
  <c r="J45" i="5"/>
  <c r="G44" i="5"/>
  <c r="BJ100" i="5"/>
  <c r="BB100" i="5"/>
  <c r="AT100" i="5"/>
  <c r="AL100" i="5"/>
  <c r="AD100" i="5"/>
  <c r="V100" i="5"/>
  <c r="N100" i="5"/>
  <c r="BG99" i="5"/>
  <c r="AY99" i="5"/>
  <c r="AQ99" i="5"/>
  <c r="AI99" i="5"/>
  <c r="AA99" i="5"/>
  <c r="S99" i="5"/>
  <c r="K99" i="5"/>
  <c r="BL98" i="5"/>
  <c r="BD98" i="5"/>
  <c r="AV98" i="5"/>
  <c r="AN98" i="5"/>
  <c r="AF98" i="5"/>
  <c r="X98" i="5"/>
  <c r="P98" i="5"/>
  <c r="H98" i="5"/>
  <c r="BI97" i="5"/>
  <c r="BA97" i="5"/>
  <c r="AS97" i="5"/>
  <c r="AK97" i="5"/>
  <c r="AC97" i="5"/>
  <c r="U97" i="5"/>
  <c r="M97" i="5"/>
  <c r="BF96" i="5"/>
  <c r="AX96" i="5"/>
  <c r="AP96" i="5"/>
  <c r="AH96" i="5"/>
  <c r="Z96" i="5"/>
  <c r="R96" i="5"/>
  <c r="J96" i="5"/>
  <c r="BC95" i="5"/>
  <c r="AU95" i="5"/>
  <c r="AM95" i="5"/>
  <c r="AE95" i="5"/>
  <c r="W95" i="5"/>
  <c r="O95" i="5"/>
  <c r="G95" i="5"/>
  <c r="BH94" i="5"/>
  <c r="AZ94" i="5"/>
  <c r="AR94" i="5"/>
  <c r="AJ94" i="5"/>
  <c r="AB94" i="5"/>
  <c r="T94" i="5"/>
  <c r="L94" i="5"/>
  <c r="BE93" i="5"/>
  <c r="AW93" i="5"/>
  <c r="AO93" i="5"/>
  <c r="AG93" i="5"/>
  <c r="Y93" i="5"/>
  <c r="Q93" i="5"/>
  <c r="I93" i="5"/>
  <c r="BB92" i="5"/>
  <c r="AT92" i="5"/>
  <c r="AL92" i="5"/>
  <c r="AD92" i="5"/>
  <c r="V92" i="5"/>
  <c r="N92" i="5"/>
  <c r="AY91" i="5"/>
  <c r="AQ91" i="5"/>
  <c r="AI91" i="5"/>
  <c r="AA91" i="5"/>
  <c r="S91" i="5"/>
  <c r="K91" i="5"/>
  <c r="BD90" i="5"/>
  <c r="AV90" i="5"/>
  <c r="AN90" i="5"/>
  <c r="AF90" i="5"/>
  <c r="X90" i="5"/>
  <c r="P90" i="5"/>
  <c r="H90" i="5"/>
  <c r="BA89" i="5"/>
  <c r="AS89" i="5"/>
  <c r="AK89" i="5"/>
  <c r="AC89" i="5"/>
  <c r="U89" i="5"/>
  <c r="M89" i="5"/>
  <c r="AX88" i="5"/>
  <c r="AP88" i="5"/>
  <c r="AH88" i="5"/>
  <c r="Z88" i="5"/>
  <c r="R88" i="5"/>
  <c r="J88" i="5"/>
  <c r="AU87" i="5"/>
  <c r="AM87" i="5"/>
  <c r="AE87" i="5"/>
  <c r="W87" i="5"/>
  <c r="O87" i="5"/>
  <c r="G87" i="5"/>
  <c r="AZ86" i="5"/>
  <c r="AR86" i="5"/>
  <c r="AJ86" i="5"/>
  <c r="AB86" i="5"/>
  <c r="T86" i="5"/>
  <c r="L86" i="5"/>
  <c r="AW85" i="5"/>
  <c r="AO85" i="5"/>
  <c r="AG85" i="5"/>
  <c r="Y85" i="5"/>
  <c r="Q85" i="5"/>
  <c r="I85" i="5"/>
  <c r="AT84" i="5"/>
  <c r="AL84" i="5"/>
  <c r="AD84" i="5"/>
  <c r="V84" i="5"/>
  <c r="N84" i="5"/>
  <c r="AQ83" i="5"/>
  <c r="AI83" i="5"/>
  <c r="AA83" i="5"/>
  <c r="S83" i="5"/>
  <c r="K83" i="5"/>
  <c r="AV82" i="5"/>
  <c r="AN82" i="5"/>
  <c r="AF82" i="5"/>
  <c r="X82" i="5"/>
  <c r="P82" i="5"/>
  <c r="H82" i="5"/>
  <c r="AS81" i="5"/>
  <c r="AK81" i="5"/>
  <c r="AC81" i="5"/>
  <c r="U81" i="5"/>
  <c r="M81" i="5"/>
  <c r="AP80" i="5"/>
  <c r="AH80" i="5"/>
  <c r="Z80" i="5"/>
  <c r="R80" i="5"/>
  <c r="J80" i="5"/>
  <c r="AM79" i="5"/>
  <c r="AE79" i="5"/>
  <c r="W79" i="5"/>
  <c r="O79" i="5"/>
  <c r="G79" i="5"/>
  <c r="AR78" i="5"/>
  <c r="AJ78" i="5"/>
  <c r="AB78" i="5"/>
  <c r="T78" i="5"/>
  <c r="L78" i="5"/>
  <c r="AO77" i="5"/>
  <c r="AG77" i="5"/>
  <c r="Y77" i="5"/>
  <c r="Q77" i="5"/>
  <c r="I77" i="5"/>
  <c r="AL76" i="5"/>
  <c r="AD76" i="5"/>
  <c r="V76" i="5"/>
  <c r="N76" i="5"/>
  <c r="AI75" i="5"/>
  <c r="AA75" i="5"/>
  <c r="S75" i="5"/>
  <c r="K75" i="5"/>
  <c r="AN74" i="5"/>
  <c r="AF74" i="5"/>
  <c r="X74" i="5"/>
  <c r="P74" i="5"/>
  <c r="H74" i="5"/>
  <c r="AK73" i="5"/>
  <c r="AC73" i="5"/>
  <c r="U73" i="5"/>
  <c r="M73" i="5"/>
  <c r="AH72" i="5"/>
  <c r="Z72" i="5"/>
  <c r="R72" i="5"/>
  <c r="J72" i="5"/>
  <c r="AE71" i="5"/>
  <c r="W71" i="5"/>
  <c r="O71" i="5"/>
  <c r="G71" i="5"/>
  <c r="AJ70" i="5"/>
  <c r="AB70" i="5"/>
  <c r="T70" i="5"/>
  <c r="L70" i="5"/>
  <c r="AG69" i="5"/>
  <c r="Y69" i="5"/>
  <c r="Q69" i="5"/>
  <c r="I69" i="5"/>
  <c r="AD68" i="5"/>
  <c r="V68" i="5"/>
  <c r="N68" i="5"/>
  <c r="AA67" i="5"/>
  <c r="S67" i="5"/>
  <c r="K67" i="5"/>
  <c r="AF66" i="5"/>
  <c r="X66" i="5"/>
  <c r="P66" i="5"/>
  <c r="H66" i="5"/>
  <c r="AC65" i="5"/>
  <c r="U65" i="5"/>
  <c r="M65" i="5"/>
  <c r="Z64" i="5"/>
  <c r="R64" i="5"/>
  <c r="J64" i="5"/>
  <c r="W63" i="5"/>
  <c r="O63" i="5"/>
  <c r="G63" i="5"/>
  <c r="AB62" i="5"/>
  <c r="T62" i="5"/>
  <c r="L62" i="5"/>
  <c r="Y61" i="5"/>
  <c r="Q61" i="5"/>
  <c r="I61" i="5"/>
  <c r="V60" i="5"/>
  <c r="N60" i="5"/>
  <c r="S59" i="5"/>
  <c r="K59" i="5"/>
  <c r="X58" i="5"/>
  <c r="P58" i="5"/>
  <c r="H58" i="5"/>
  <c r="U57" i="5"/>
  <c r="M57" i="5"/>
  <c r="R56" i="5"/>
  <c r="J56" i="5"/>
  <c r="O55" i="5"/>
  <c r="G55" i="5"/>
  <c r="T54" i="5"/>
  <c r="L54" i="5"/>
  <c r="Q53" i="5"/>
  <c r="I53" i="5"/>
  <c r="N52" i="5"/>
  <c r="K51" i="5"/>
  <c r="P50" i="5"/>
  <c r="H50" i="5"/>
  <c r="M49" i="5"/>
  <c r="J48" i="5"/>
  <c r="G47" i="5"/>
  <c r="L46" i="5"/>
  <c r="I45" i="5"/>
  <c r="H42" i="5"/>
  <c r="BI100" i="5"/>
  <c r="BA100" i="5"/>
  <c r="AS100" i="5"/>
  <c r="AK100" i="5"/>
  <c r="AC100" i="5"/>
  <c r="U100" i="5"/>
  <c r="M100" i="5"/>
  <c r="BF99" i="5"/>
  <c r="AX99" i="5"/>
  <c r="AP99" i="5"/>
  <c r="AH99" i="5"/>
  <c r="Z99" i="5"/>
  <c r="R99" i="5"/>
  <c r="J99" i="5"/>
  <c r="BK98" i="5"/>
  <c r="BC98" i="5"/>
  <c r="AU98" i="5"/>
  <c r="AM98" i="5"/>
  <c r="AE98" i="5"/>
  <c r="W98" i="5"/>
  <c r="O98" i="5"/>
  <c r="G98" i="5"/>
  <c r="BH97" i="5"/>
  <c r="AZ97" i="5"/>
  <c r="AR97" i="5"/>
  <c r="AJ97" i="5"/>
  <c r="AB97" i="5"/>
  <c r="T97" i="5"/>
  <c r="L97" i="5"/>
  <c r="BE96" i="5"/>
  <c r="AW96" i="5"/>
  <c r="AO96" i="5"/>
  <c r="AG96" i="5"/>
  <c r="Y96" i="5"/>
  <c r="Q96" i="5"/>
  <c r="I96" i="5"/>
  <c r="BB95" i="5"/>
  <c r="AT95" i="5"/>
  <c r="AL95" i="5"/>
  <c r="AD95" i="5"/>
  <c r="V95" i="5"/>
  <c r="N95" i="5"/>
  <c r="BG94" i="5"/>
  <c r="AY94" i="5"/>
  <c r="AQ94" i="5"/>
  <c r="AI94" i="5"/>
  <c r="AA94" i="5"/>
  <c r="S94" i="5"/>
  <c r="K94" i="5"/>
  <c r="BD93" i="5"/>
  <c r="AV93" i="5"/>
  <c r="AN93" i="5"/>
  <c r="AF93" i="5"/>
  <c r="X93" i="5"/>
  <c r="P93" i="5"/>
  <c r="H93" i="5"/>
  <c r="BA92" i="5"/>
  <c r="AS92" i="5"/>
  <c r="AK92" i="5"/>
  <c r="AC92" i="5"/>
  <c r="U92" i="5"/>
  <c r="M92" i="5"/>
  <c r="AX91" i="5"/>
  <c r="AP91" i="5"/>
  <c r="AH91" i="5"/>
  <c r="Z91" i="5"/>
  <c r="R91" i="5"/>
  <c r="J91" i="5"/>
  <c r="BC90" i="5"/>
  <c r="AU90" i="5"/>
  <c r="AM90" i="5"/>
  <c r="AE90" i="5"/>
  <c r="W90" i="5"/>
  <c r="O90" i="5"/>
  <c r="G90" i="5"/>
  <c r="AZ89" i="5"/>
  <c r="AR89" i="5"/>
  <c r="AJ89" i="5"/>
  <c r="AB89" i="5"/>
  <c r="T89" i="5"/>
  <c r="L89" i="5"/>
  <c r="AW88" i="5"/>
  <c r="AO88" i="5"/>
  <c r="AG88" i="5"/>
  <c r="Y88" i="5"/>
  <c r="Q88" i="5"/>
  <c r="I88" i="5"/>
  <c r="AT87" i="5"/>
  <c r="AL87" i="5"/>
  <c r="AD87" i="5"/>
  <c r="V87" i="5"/>
  <c r="N87" i="5"/>
  <c r="AY86" i="5"/>
  <c r="AQ86" i="5"/>
  <c r="AI86" i="5"/>
  <c r="AA86" i="5"/>
  <c r="S86" i="5"/>
  <c r="K86" i="5"/>
  <c r="AV85" i="5"/>
  <c r="AN85" i="5"/>
  <c r="AF85" i="5"/>
  <c r="X85" i="5"/>
  <c r="P85" i="5"/>
  <c r="H85" i="5"/>
  <c r="AS84" i="5"/>
  <c r="AK84" i="5"/>
  <c r="AC84" i="5"/>
  <c r="U84" i="5"/>
  <c r="M84" i="5"/>
  <c r="AP83" i="5"/>
  <c r="AH83" i="5"/>
  <c r="Z83" i="5"/>
  <c r="R83" i="5"/>
  <c r="J83" i="5"/>
  <c r="AU82" i="5"/>
  <c r="AM82" i="5"/>
  <c r="AE82" i="5"/>
  <c r="W82" i="5"/>
  <c r="O82" i="5"/>
  <c r="G82" i="5"/>
  <c r="AR81" i="5"/>
  <c r="AJ81" i="5"/>
  <c r="AB81" i="5"/>
  <c r="T81" i="5"/>
  <c r="L81" i="5"/>
  <c r="AO80" i="5"/>
  <c r="AG80" i="5"/>
  <c r="Y80" i="5"/>
  <c r="Q80" i="5"/>
  <c r="I80" i="5"/>
  <c r="AL79" i="5"/>
  <c r="AD79" i="5"/>
  <c r="V79" i="5"/>
  <c r="N79" i="5"/>
  <c r="AQ78" i="5"/>
  <c r="AI78" i="5"/>
  <c r="AA78" i="5"/>
  <c r="S78" i="5"/>
  <c r="K78" i="5"/>
  <c r="AN77" i="5"/>
  <c r="AF77" i="5"/>
  <c r="X77" i="5"/>
  <c r="P77" i="5"/>
  <c r="H77" i="5"/>
  <c r="AK76" i="5"/>
  <c r="AC76" i="5"/>
  <c r="U76" i="5"/>
  <c r="M76" i="5"/>
  <c r="AH75" i="5"/>
  <c r="Z75" i="5"/>
  <c r="R75" i="5"/>
  <c r="J75" i="5"/>
  <c r="AM74" i="5"/>
  <c r="AE74" i="5"/>
  <c r="W74" i="5"/>
  <c r="O74" i="5"/>
  <c r="G74" i="5"/>
  <c r="AJ73" i="5"/>
  <c r="AB73" i="5"/>
  <c r="T73" i="5"/>
  <c r="L73" i="5"/>
  <c r="AG72" i="5"/>
  <c r="Y72" i="5"/>
  <c r="Q72" i="5"/>
  <c r="I72" i="5"/>
  <c r="AD71" i="5"/>
  <c r="V71" i="5"/>
  <c r="N71" i="5"/>
  <c r="BH100" i="5"/>
  <c r="AZ100" i="5"/>
  <c r="AR100" i="5"/>
  <c r="AJ100" i="5"/>
  <c r="AB100" i="5"/>
  <c r="T100" i="5"/>
  <c r="L100" i="5"/>
  <c r="BM99" i="5"/>
  <c r="BE99" i="5"/>
  <c r="AW99" i="5"/>
  <c r="AO99" i="5"/>
  <c r="AG99" i="5"/>
  <c r="Y99" i="5"/>
  <c r="Q99" i="5"/>
  <c r="I99" i="5"/>
  <c r="BJ98" i="5"/>
  <c r="BB98" i="5"/>
  <c r="AT98" i="5"/>
  <c r="AL98" i="5"/>
  <c r="AD98" i="5"/>
  <c r="V98" i="5"/>
  <c r="N98" i="5"/>
  <c r="BG97" i="5"/>
  <c r="AY97" i="5"/>
  <c r="AQ97" i="5"/>
  <c r="AI97" i="5"/>
  <c r="AA97" i="5"/>
  <c r="S97" i="5"/>
  <c r="K97" i="5"/>
  <c r="BD96" i="5"/>
  <c r="AV96" i="5"/>
  <c r="AN96" i="5"/>
  <c r="AF96" i="5"/>
  <c r="X96" i="5"/>
  <c r="P96" i="5"/>
  <c r="H96" i="5"/>
  <c r="BI95" i="5"/>
  <c r="BA95" i="5"/>
  <c r="AS95" i="5"/>
  <c r="AK95" i="5"/>
  <c r="AC95" i="5"/>
  <c r="U95" i="5"/>
  <c r="M95" i="5"/>
  <c r="BF94" i="5"/>
  <c r="AX94" i="5"/>
  <c r="AP94" i="5"/>
  <c r="AH94" i="5"/>
  <c r="Z94" i="5"/>
  <c r="R94" i="5"/>
  <c r="J94" i="5"/>
  <c r="BC93" i="5"/>
  <c r="AU93" i="5"/>
  <c r="AM93" i="5"/>
  <c r="AE93" i="5"/>
  <c r="W93" i="5"/>
  <c r="O93" i="5"/>
  <c r="G93" i="5"/>
  <c r="AZ92" i="5"/>
  <c r="AR92" i="5"/>
  <c r="AJ92" i="5"/>
  <c r="AB92" i="5"/>
  <c r="T92" i="5"/>
  <c r="L92" i="5"/>
  <c r="BE91" i="5"/>
  <c r="AW91" i="5"/>
  <c r="AO91" i="5"/>
  <c r="AG91" i="5"/>
  <c r="Y91" i="5"/>
  <c r="Q91" i="5"/>
  <c r="I91" i="5"/>
  <c r="BB90" i="5"/>
  <c r="AT90" i="5"/>
  <c r="AL90" i="5"/>
  <c r="AD90" i="5"/>
  <c r="V90" i="5"/>
  <c r="N90" i="5"/>
  <c r="AY89" i="5"/>
  <c r="AQ89" i="5"/>
  <c r="AI89" i="5"/>
  <c r="AA89" i="5"/>
  <c r="S89" i="5"/>
  <c r="K89" i="5"/>
  <c r="AV88" i="5"/>
  <c r="AN88" i="5"/>
  <c r="AF88" i="5"/>
  <c r="X88" i="5"/>
  <c r="P88" i="5"/>
  <c r="H88" i="5"/>
  <c r="BA87" i="5"/>
  <c r="AS87" i="5"/>
  <c r="AK87" i="5"/>
  <c r="AC87" i="5"/>
  <c r="U87" i="5"/>
  <c r="M87" i="5"/>
  <c r="AX86" i="5"/>
  <c r="AP86" i="5"/>
  <c r="AH86" i="5"/>
  <c r="Z86" i="5"/>
  <c r="R86" i="5"/>
  <c r="J86" i="5"/>
  <c r="BG100" i="5"/>
  <c r="AY100" i="5"/>
  <c r="AQ100" i="5"/>
  <c r="AI100" i="5"/>
  <c r="AA100" i="5"/>
  <c r="S100" i="5"/>
  <c r="K100" i="5"/>
  <c r="BL99" i="5"/>
  <c r="BD99" i="5"/>
  <c r="AV99" i="5"/>
  <c r="AN99" i="5"/>
  <c r="AF99" i="5"/>
  <c r="X99" i="5"/>
  <c r="P99" i="5"/>
  <c r="H99" i="5"/>
  <c r="BI98" i="5"/>
  <c r="BA98" i="5"/>
  <c r="AS98" i="5"/>
  <c r="AK98" i="5"/>
  <c r="AC98" i="5"/>
  <c r="U98" i="5"/>
  <c r="M98" i="5"/>
  <c r="BF97" i="5"/>
  <c r="AX97" i="5"/>
  <c r="AP97" i="5"/>
  <c r="AH97" i="5"/>
  <c r="Z97" i="5"/>
  <c r="R97" i="5"/>
  <c r="J97" i="5"/>
  <c r="BC96" i="5"/>
  <c r="AU96" i="5"/>
  <c r="AM96" i="5"/>
  <c r="AE96" i="5"/>
  <c r="W96" i="5"/>
  <c r="O96" i="5"/>
  <c r="G96" i="5"/>
  <c r="BH95" i="5"/>
  <c r="AZ95" i="5"/>
  <c r="AR95" i="5"/>
  <c r="AJ95" i="5"/>
  <c r="AB95" i="5"/>
  <c r="T95" i="5"/>
  <c r="L95" i="5"/>
  <c r="BE94" i="5"/>
  <c r="AW94" i="5"/>
  <c r="AO94" i="5"/>
  <c r="AG94" i="5"/>
  <c r="Y94" i="5"/>
  <c r="Q94" i="5"/>
  <c r="I94" i="5"/>
  <c r="BB93" i="5"/>
  <c r="AT93" i="5"/>
  <c r="AL93" i="5"/>
  <c r="AD93" i="5"/>
  <c r="V93" i="5"/>
  <c r="N93" i="5"/>
  <c r="AY92" i="5"/>
  <c r="AQ92" i="5"/>
  <c r="AI92" i="5"/>
  <c r="AA92" i="5"/>
  <c r="S92" i="5"/>
  <c r="K92" i="5"/>
  <c r="BD91" i="5"/>
  <c r="AV91" i="5"/>
  <c r="AN91" i="5"/>
  <c r="AF91" i="5"/>
  <c r="X91" i="5"/>
  <c r="P91" i="5"/>
  <c r="H91" i="5"/>
  <c r="BA90" i="5"/>
  <c r="AS90" i="5"/>
  <c r="AK90" i="5"/>
  <c r="AC90" i="5"/>
  <c r="U90" i="5"/>
  <c r="M90" i="5"/>
  <c r="AX89" i="5"/>
  <c r="AP89" i="5"/>
  <c r="AH89" i="5"/>
  <c r="Z89" i="5"/>
  <c r="R89" i="5"/>
  <c r="J89" i="5"/>
  <c r="AU88" i="5"/>
  <c r="AM88" i="5"/>
  <c r="AE88" i="5"/>
  <c r="W88" i="5"/>
  <c r="O88" i="5"/>
  <c r="G88" i="5"/>
  <c r="AZ87" i="5"/>
  <c r="AR87" i="5"/>
  <c r="AJ87" i="5"/>
  <c r="AB87" i="5"/>
  <c r="T87" i="5"/>
  <c r="L87" i="5"/>
  <c r="AW86" i="5"/>
  <c r="AO86" i="5"/>
  <c r="AG86" i="5"/>
  <c r="Y86" i="5"/>
  <c r="Q86" i="5"/>
  <c r="I86" i="5"/>
  <c r="BN100" i="5"/>
  <c r="BF100" i="5"/>
  <c r="AX100" i="5"/>
  <c r="AP100" i="5"/>
  <c r="AH100" i="5"/>
  <c r="Z100" i="5"/>
  <c r="R100" i="5"/>
  <c r="J100" i="5"/>
  <c r="BK99" i="5"/>
  <c r="BC99" i="5"/>
  <c r="AU99" i="5"/>
  <c r="AM99" i="5"/>
  <c r="AE99" i="5"/>
  <c r="W99" i="5"/>
  <c r="O99" i="5"/>
  <c r="G99" i="5"/>
  <c r="BH98" i="5"/>
  <c r="AZ98" i="5"/>
  <c r="AR98" i="5"/>
  <c r="AJ98" i="5"/>
  <c r="AB98" i="5"/>
  <c r="T98" i="5"/>
  <c r="L98" i="5"/>
  <c r="BE97" i="5"/>
  <c r="AW97" i="5"/>
  <c r="AO97" i="5"/>
  <c r="AG97" i="5"/>
  <c r="Y97" i="5"/>
  <c r="Q97" i="5"/>
  <c r="I97" i="5"/>
  <c r="BJ96" i="5"/>
  <c r="BB96" i="5"/>
  <c r="AT96" i="5"/>
  <c r="AL96" i="5"/>
  <c r="AD96" i="5"/>
  <c r="V96" i="5"/>
  <c r="N96" i="5"/>
  <c r="BG95" i="5"/>
  <c r="AY95" i="5"/>
  <c r="AQ95" i="5"/>
  <c r="AI95" i="5"/>
  <c r="AA95" i="5"/>
  <c r="S95" i="5"/>
  <c r="K95" i="5"/>
  <c r="BD94" i="5"/>
  <c r="AV94" i="5"/>
  <c r="AN94" i="5"/>
  <c r="AF94" i="5"/>
  <c r="X94" i="5"/>
  <c r="P94" i="5"/>
  <c r="H94" i="5"/>
  <c r="BA93" i="5"/>
  <c r="AS93" i="5"/>
  <c r="AK93" i="5"/>
  <c r="AC93" i="5"/>
  <c r="U93" i="5"/>
  <c r="M93" i="5"/>
  <c r="BF92" i="5"/>
  <c r="AX92" i="5"/>
  <c r="AP92" i="5"/>
  <c r="AH92" i="5"/>
  <c r="Z92" i="5"/>
  <c r="R92" i="5"/>
  <c r="J92" i="5"/>
  <c r="BC91" i="5"/>
  <c r="AU91" i="5"/>
  <c r="AM91" i="5"/>
  <c r="AE91" i="5"/>
  <c r="W91" i="5"/>
  <c r="O91" i="5"/>
  <c r="G91" i="5"/>
  <c r="AZ90" i="5"/>
  <c r="AR90" i="5"/>
  <c r="AJ90" i="5"/>
  <c r="AB90" i="5"/>
  <c r="T90" i="5"/>
  <c r="L90" i="5"/>
  <c r="AW89" i="5"/>
  <c r="AO89" i="5"/>
  <c r="AG89" i="5"/>
  <c r="Y89" i="5"/>
  <c r="Q89" i="5"/>
  <c r="I89" i="5"/>
  <c r="BB88" i="5"/>
  <c r="AT88" i="5"/>
  <c r="AL88" i="5"/>
  <c r="AD88" i="5"/>
  <c r="V88" i="5"/>
  <c r="N88" i="5"/>
  <c r="AY87" i="5"/>
  <c r="AQ87" i="5"/>
  <c r="AI87" i="5"/>
  <c r="AA87" i="5"/>
  <c r="BM100" i="5"/>
  <c r="BE100" i="5"/>
  <c r="AW100" i="5"/>
  <c r="AO100" i="5"/>
  <c r="AG100" i="5"/>
  <c r="Y100" i="5"/>
  <c r="Q100" i="5"/>
  <c r="I100" i="5"/>
  <c r="BJ99" i="5"/>
  <c r="BB99" i="5"/>
  <c r="AT99" i="5"/>
  <c r="AL99" i="5"/>
  <c r="AD99" i="5"/>
  <c r="V99" i="5"/>
  <c r="N99" i="5"/>
  <c r="BG98" i="5"/>
  <c r="AY98" i="5"/>
  <c r="AQ98" i="5"/>
  <c r="AI98" i="5"/>
  <c r="AA98" i="5"/>
  <c r="S98" i="5"/>
  <c r="K98" i="5"/>
  <c r="BD97" i="5"/>
  <c r="AV97" i="5"/>
  <c r="AN97" i="5"/>
  <c r="AF97" i="5"/>
  <c r="X97" i="5"/>
  <c r="P97" i="5"/>
  <c r="H97" i="5"/>
  <c r="BI96" i="5"/>
  <c r="BA96" i="5"/>
  <c r="AS96" i="5"/>
  <c r="AK96" i="5"/>
  <c r="AC96" i="5"/>
  <c r="U96" i="5"/>
  <c r="M96" i="5"/>
  <c r="BF95" i="5"/>
  <c r="AX95" i="5"/>
  <c r="AP95" i="5"/>
  <c r="AH95" i="5"/>
  <c r="Z95" i="5"/>
  <c r="R95" i="5"/>
  <c r="J95" i="5"/>
  <c r="BC94" i="5"/>
  <c r="AU94" i="5"/>
  <c r="AM94" i="5"/>
  <c r="AE94" i="5"/>
  <c r="W94" i="5"/>
  <c r="O94" i="5"/>
  <c r="G94" i="5"/>
  <c r="AZ93" i="5"/>
  <c r="AR93" i="5"/>
  <c r="AJ93" i="5"/>
  <c r="AB93" i="5"/>
  <c r="T93" i="5"/>
  <c r="L93" i="5"/>
  <c r="BE92" i="5"/>
  <c r="AW92" i="5"/>
  <c r="AO92" i="5"/>
  <c r="AG92" i="5"/>
  <c r="Y92" i="5"/>
  <c r="Q92" i="5"/>
  <c r="I92" i="5"/>
  <c r="BB91" i="5"/>
  <c r="AT91" i="5"/>
  <c r="AL91" i="5"/>
  <c r="AD91" i="5"/>
  <c r="V91" i="5"/>
  <c r="N91" i="5"/>
  <c r="AY90" i="5"/>
  <c r="AQ90" i="5"/>
  <c r="AI90" i="5"/>
  <c r="AA90" i="5"/>
  <c r="S90" i="5"/>
  <c r="K90" i="5"/>
  <c r="AV89" i="5"/>
  <c r="AN89" i="5"/>
  <c r="AF89" i="5"/>
  <c r="X89" i="5"/>
  <c r="P89" i="5"/>
  <c r="H89" i="5"/>
  <c r="BA88" i="5"/>
  <c r="AS88" i="5"/>
  <c r="AK88" i="5"/>
  <c r="AC88" i="5"/>
  <c r="U88" i="5"/>
  <c r="M88" i="5"/>
  <c r="AX87" i="5"/>
  <c r="AP87" i="5"/>
  <c r="AH87" i="5"/>
  <c r="Z87" i="5"/>
  <c r="R87" i="5"/>
  <c r="J87" i="5"/>
  <c r="AU86" i="5"/>
  <c r="AM86" i="5"/>
  <c r="AE86" i="5"/>
  <c r="W86" i="5"/>
  <c r="O86" i="5"/>
  <c r="G86" i="5"/>
  <c r="AR85" i="5"/>
  <c r="AJ85" i="5"/>
  <c r="AB85" i="5"/>
  <c r="T85" i="5"/>
  <c r="L85" i="5"/>
  <c r="AW84" i="5"/>
  <c r="AO84" i="5"/>
  <c r="AG84" i="5"/>
  <c r="Y84" i="5"/>
  <c r="Q84" i="5"/>
  <c r="I84" i="5"/>
  <c r="AT83" i="5"/>
  <c r="AL83" i="5"/>
  <c r="AD83" i="5"/>
  <c r="V83" i="5"/>
  <c r="N83" i="5"/>
  <c r="AQ82" i="5"/>
  <c r="AI82" i="5"/>
  <c r="AA82" i="5"/>
  <c r="S82" i="5"/>
  <c r="K82" i="5"/>
  <c r="AN81" i="5"/>
  <c r="AF81" i="5"/>
  <c r="X81" i="5"/>
  <c r="P81" i="5"/>
  <c r="H81" i="5"/>
  <c r="AS80" i="5"/>
  <c r="AK80" i="5"/>
  <c r="AC80" i="5"/>
  <c r="U80" i="5"/>
  <c r="M80" i="5"/>
  <c r="AP79" i="5"/>
  <c r="AH79" i="5"/>
  <c r="Z79" i="5"/>
  <c r="R79" i="5"/>
  <c r="J79" i="5"/>
  <c r="AM78" i="5"/>
  <c r="AE78" i="5"/>
  <c r="W78" i="5"/>
  <c r="O78" i="5"/>
  <c r="G78" i="5"/>
  <c r="AJ77" i="5"/>
  <c r="AB77" i="5"/>
  <c r="T77" i="5"/>
  <c r="L77" i="5"/>
  <c r="AO76" i="5"/>
  <c r="AG76" i="5"/>
  <c r="Y76" i="5"/>
  <c r="Q76" i="5"/>
  <c r="I76" i="5"/>
  <c r="AL75" i="5"/>
  <c r="AD75" i="5"/>
  <c r="V75" i="5"/>
  <c r="N75" i="5"/>
  <c r="AI74" i="5"/>
  <c r="AA74" i="5"/>
  <c r="S74" i="5"/>
  <c r="K74" i="5"/>
  <c r="AF73" i="5"/>
  <c r="X73" i="5"/>
  <c r="P73" i="5"/>
  <c r="H73" i="5"/>
  <c r="AK72" i="5"/>
  <c r="AC72" i="5"/>
  <c r="U72" i="5"/>
  <c r="M72" i="5"/>
  <c r="AH71" i="5"/>
  <c r="Z71" i="5"/>
  <c r="R71" i="5"/>
  <c r="J71" i="5"/>
  <c r="AE70" i="5"/>
  <c r="W70" i="5"/>
  <c r="O70" i="5"/>
  <c r="G70" i="5"/>
  <c r="AB69" i="5"/>
  <c r="T69" i="5"/>
  <c r="L69" i="5"/>
  <c r="AG68" i="5"/>
  <c r="Y68" i="5"/>
  <c r="Q68" i="5"/>
  <c r="I68" i="5"/>
  <c r="AD67" i="5"/>
  <c r="V67" i="5"/>
  <c r="N67" i="5"/>
  <c r="AA66" i="5"/>
  <c r="S66" i="5"/>
  <c r="K66" i="5"/>
  <c r="X65" i="5"/>
  <c r="P65" i="5"/>
  <c r="H65" i="5"/>
  <c r="AC64" i="5"/>
  <c r="U64" i="5"/>
  <c r="M64" i="5"/>
  <c r="Z63" i="5"/>
  <c r="R63" i="5"/>
  <c r="J63" i="5"/>
  <c r="W62" i="5"/>
  <c r="O62" i="5"/>
  <c r="G62" i="5"/>
  <c r="T61" i="5"/>
  <c r="L61" i="5"/>
  <c r="Y60" i="5"/>
  <c r="Q60" i="5"/>
  <c r="I60" i="5"/>
  <c r="V59" i="5"/>
  <c r="N59" i="5"/>
  <c r="S58" i="5"/>
  <c r="K58" i="5"/>
  <c r="P57" i="5"/>
  <c r="H57" i="5"/>
  <c r="U56" i="5"/>
  <c r="M56" i="5"/>
  <c r="R55" i="5"/>
  <c r="J55" i="5"/>
  <c r="O54" i="5"/>
  <c r="G54" i="5"/>
  <c r="L53" i="5"/>
  <c r="Q52" i="5"/>
  <c r="I52" i="5"/>
  <c r="N51" i="5"/>
  <c r="K50" i="5"/>
  <c r="H49" i="5"/>
  <c r="M48" i="5"/>
  <c r="J47" i="5"/>
  <c r="G46" i="5"/>
  <c r="I44" i="5"/>
  <c r="AM85" i="5"/>
  <c r="U85" i="5"/>
  <c r="AJ84" i="5"/>
  <c r="R84" i="5"/>
  <c r="AM83" i="5"/>
  <c r="P83" i="5"/>
  <c r="AK82" i="5"/>
  <c r="N82" i="5"/>
  <c r="AH81" i="5"/>
  <c r="K81" i="5"/>
  <c r="AF80" i="5"/>
  <c r="N80" i="5"/>
  <c r="AC79" i="5"/>
  <c r="K79" i="5"/>
  <c r="AF78" i="5"/>
  <c r="I78" i="5"/>
  <c r="AD77" i="5"/>
  <c r="G77" i="5"/>
  <c r="AA76" i="5"/>
  <c r="Y75" i="5"/>
  <c r="G75" i="5"/>
  <c r="AB74" i="5"/>
  <c r="Y73" i="5"/>
  <c r="W72" i="5"/>
  <c r="T71" i="5"/>
  <c r="AF70" i="5"/>
  <c r="P70" i="5"/>
  <c r="AD69" i="5"/>
  <c r="N69" i="5"/>
  <c r="AA68" i="5"/>
  <c r="K68" i="5"/>
  <c r="Y67" i="5"/>
  <c r="I67" i="5"/>
  <c r="W66" i="5"/>
  <c r="G66" i="5"/>
  <c r="T65" i="5"/>
  <c r="V64" i="5"/>
  <c r="S63" i="5"/>
  <c r="P62" i="5"/>
  <c r="N61" i="5"/>
  <c r="K60" i="5"/>
  <c r="Y59" i="5"/>
  <c r="I59" i="5"/>
  <c r="W58" i="5"/>
  <c r="G58" i="5"/>
  <c r="T57" i="5"/>
  <c r="V56" i="5"/>
  <c r="S55" i="5"/>
  <c r="P54" i="5"/>
  <c r="N53" i="5"/>
  <c r="K52" i="5"/>
  <c r="I51" i="5"/>
  <c r="G50" i="5"/>
  <c r="I43" i="5"/>
  <c r="G42" i="5"/>
  <c r="Q65" i="5"/>
  <c r="AV86" i="5"/>
  <c r="AL85" i="5"/>
  <c r="O85" i="5"/>
  <c r="AI84" i="5"/>
  <c r="L84" i="5"/>
  <c r="AG83" i="5"/>
  <c r="O83" i="5"/>
  <c r="AJ82" i="5"/>
  <c r="M82" i="5"/>
  <c r="AG81" i="5"/>
  <c r="J81" i="5"/>
  <c r="AE80" i="5"/>
  <c r="H80" i="5"/>
  <c r="AB79" i="5"/>
  <c r="Z78" i="5"/>
  <c r="H78" i="5"/>
  <c r="AC77" i="5"/>
  <c r="Z76" i="5"/>
  <c r="X75" i="5"/>
  <c r="V74" i="5"/>
  <c r="S73" i="5"/>
  <c r="V72" i="5"/>
  <c r="AK71" i="5"/>
  <c r="S71" i="5"/>
  <c r="AA70" i="5"/>
  <c r="K70" i="5"/>
  <c r="AC69" i="5"/>
  <c r="M69" i="5"/>
  <c r="Z68" i="5"/>
  <c r="J68" i="5"/>
  <c r="X67" i="5"/>
  <c r="H67" i="5"/>
  <c r="V66" i="5"/>
  <c r="S65" i="5"/>
  <c r="Q64" i="5"/>
  <c r="N63" i="5"/>
  <c r="AA62" i="5"/>
  <c r="K62" i="5"/>
  <c r="M61" i="5"/>
  <c r="Z60" i="5"/>
  <c r="J60" i="5"/>
  <c r="X59" i="5"/>
  <c r="H59" i="5"/>
  <c r="V58" i="5"/>
  <c r="S57" i="5"/>
  <c r="Q56" i="5"/>
  <c r="N55" i="5"/>
  <c r="K54" i="5"/>
  <c r="M53" i="5"/>
  <c r="J52" i="5"/>
  <c r="H51" i="5"/>
  <c r="K46" i="5"/>
  <c r="J44" i="5"/>
  <c r="H43" i="5"/>
  <c r="AN86" i="5"/>
  <c r="AK85" i="5"/>
  <c r="N85" i="5"/>
  <c r="AH84" i="5"/>
  <c r="K84" i="5"/>
  <c r="AF83" i="5"/>
  <c r="I83" i="5"/>
  <c r="AD82" i="5"/>
  <c r="L82" i="5"/>
  <c r="AA81" i="5"/>
  <c r="I81" i="5"/>
  <c r="AD80" i="5"/>
  <c r="G80" i="5"/>
  <c r="AS79" i="5"/>
  <c r="AA79" i="5"/>
  <c r="Y78" i="5"/>
  <c r="W77" i="5"/>
  <c r="T76" i="5"/>
  <c r="AO75" i="5"/>
  <c r="W75" i="5"/>
  <c r="U74" i="5"/>
  <c r="R73" i="5"/>
  <c r="P72" i="5"/>
  <c r="AJ71" i="5"/>
  <c r="M71" i="5"/>
  <c r="Z70" i="5"/>
  <c r="J70" i="5"/>
  <c r="X69" i="5"/>
  <c r="H69" i="5"/>
  <c r="U68" i="5"/>
  <c r="W67" i="5"/>
  <c r="G67" i="5"/>
  <c r="U66" i="5"/>
  <c r="R65" i="5"/>
  <c r="P64" i="5"/>
  <c r="AC63" i="5"/>
  <c r="M63" i="5"/>
  <c r="Z62" i="5"/>
  <c r="J62" i="5"/>
  <c r="X61" i="5"/>
  <c r="H61" i="5"/>
  <c r="U60" i="5"/>
  <c r="W59" i="5"/>
  <c r="G59" i="5"/>
  <c r="U58" i="5"/>
  <c r="R57" i="5"/>
  <c r="P56" i="5"/>
  <c r="M55" i="5"/>
  <c r="J54" i="5"/>
  <c r="H53" i="5"/>
  <c r="G51" i="5"/>
  <c r="M47" i="5"/>
  <c r="J46" i="5"/>
  <c r="H45" i="5"/>
  <c r="G43" i="5"/>
  <c r="C41" i="5"/>
  <c r="L55" i="5"/>
  <c r="AF86" i="5"/>
  <c r="AE85" i="5"/>
  <c r="M85" i="5"/>
  <c r="AB84" i="5"/>
  <c r="J84" i="5"/>
  <c r="AW83" i="5"/>
  <c r="AE83" i="5"/>
  <c r="H83" i="5"/>
  <c r="AC82" i="5"/>
  <c r="Z81" i="5"/>
  <c r="X80" i="5"/>
  <c r="AR79" i="5"/>
  <c r="U79" i="5"/>
  <c r="AP78" i="5"/>
  <c r="X78" i="5"/>
  <c r="V77" i="5"/>
  <c r="AP76" i="5"/>
  <c r="S76" i="5"/>
  <c r="AN75" i="5"/>
  <c r="Q75" i="5"/>
  <c r="AL74" i="5"/>
  <c r="T74" i="5"/>
  <c r="AI73" i="5"/>
  <c r="Q73" i="5"/>
  <c r="AL72" i="5"/>
  <c r="O72" i="5"/>
  <c r="AI71" i="5"/>
  <c r="L71" i="5"/>
  <c r="Y70" i="5"/>
  <c r="I70" i="5"/>
  <c r="W69" i="5"/>
  <c r="G69" i="5"/>
  <c r="T68" i="5"/>
  <c r="R67" i="5"/>
  <c r="T66" i="5"/>
  <c r="O64" i="5"/>
  <c r="AB63" i="5"/>
  <c r="L63" i="5"/>
  <c r="Y62" i="5"/>
  <c r="I62" i="5"/>
  <c r="W61" i="5"/>
  <c r="G61" i="5"/>
  <c r="T60" i="5"/>
  <c r="R59" i="5"/>
  <c r="T58" i="5"/>
  <c r="Q57" i="5"/>
  <c r="O56" i="5"/>
  <c r="S87" i="5"/>
  <c r="X86" i="5"/>
  <c r="AD85" i="5"/>
  <c r="G85" i="5"/>
  <c r="AX84" i="5"/>
  <c r="AA84" i="5"/>
  <c r="AV83" i="5"/>
  <c r="Y83" i="5"/>
  <c r="G83" i="5"/>
  <c r="AT82" i="5"/>
  <c r="AB82" i="5"/>
  <c r="AQ81" i="5"/>
  <c r="Y81" i="5"/>
  <c r="AT80" i="5"/>
  <c r="W80" i="5"/>
  <c r="AQ79" i="5"/>
  <c r="T79" i="5"/>
  <c r="AO78" i="5"/>
  <c r="R78" i="5"/>
  <c r="AM77" i="5"/>
  <c r="U77" i="5"/>
  <c r="AJ76" i="5"/>
  <c r="R76" i="5"/>
  <c r="AM75" i="5"/>
  <c r="P75" i="5"/>
  <c r="AK74" i="5"/>
  <c r="N74" i="5"/>
  <c r="AH73" i="5"/>
  <c r="K73" i="5"/>
  <c r="AF72" i="5"/>
  <c r="N72" i="5"/>
  <c r="AC71" i="5"/>
  <c r="K71" i="5"/>
  <c r="X70" i="5"/>
  <c r="H70" i="5"/>
  <c r="V69" i="5"/>
  <c r="S68" i="5"/>
  <c r="AG67" i="5"/>
  <c r="Q67" i="5"/>
  <c r="AE66" i="5"/>
  <c r="O66" i="5"/>
  <c r="AB65" i="5"/>
  <c r="L65" i="5"/>
  <c r="AD64" i="5"/>
  <c r="N64" i="5"/>
  <c r="AA63" i="5"/>
  <c r="K63" i="5"/>
  <c r="X62" i="5"/>
  <c r="H62" i="5"/>
  <c r="V61" i="5"/>
  <c r="S60" i="5"/>
  <c r="Q59" i="5"/>
  <c r="O58" i="5"/>
  <c r="L57" i="5"/>
  <c r="N56" i="5"/>
  <c r="K55" i="5"/>
  <c r="H54" i="5"/>
  <c r="Q51" i="5"/>
  <c r="O50" i="5"/>
  <c r="L49" i="5"/>
  <c r="N48" i="5"/>
  <c r="K47" i="5"/>
  <c r="H46" i="5"/>
  <c r="K57" i="5"/>
  <c r="K87" i="5"/>
  <c r="P86" i="5"/>
  <c r="AU85" i="5"/>
  <c r="AC85" i="5"/>
  <c r="AR84" i="5"/>
  <c r="Z84" i="5"/>
  <c r="AU83" i="5"/>
  <c r="X83" i="5"/>
  <c r="AS82" i="5"/>
  <c r="V82" i="5"/>
  <c r="AP81" i="5"/>
  <c r="S81" i="5"/>
  <c r="AN80" i="5"/>
  <c r="V80" i="5"/>
  <c r="AK79" i="5"/>
  <c r="S79" i="5"/>
  <c r="AN78" i="5"/>
  <c r="Q78" i="5"/>
  <c r="AL77" i="5"/>
  <c r="O77" i="5"/>
  <c r="AI76" i="5"/>
  <c r="L76" i="5"/>
  <c r="AG75" i="5"/>
  <c r="O75" i="5"/>
  <c r="AJ74" i="5"/>
  <c r="M74" i="5"/>
  <c r="AG73" i="5"/>
  <c r="J73" i="5"/>
  <c r="AE72" i="5"/>
  <c r="H72" i="5"/>
  <c r="AB71" i="5"/>
  <c r="AI70" i="5"/>
  <c r="S70" i="5"/>
  <c r="U69" i="5"/>
  <c r="AH68" i="5"/>
  <c r="R68" i="5"/>
  <c r="AF67" i="5"/>
  <c r="P67" i="5"/>
  <c r="AD66" i="5"/>
  <c r="N66" i="5"/>
  <c r="AA65" i="5"/>
  <c r="K65" i="5"/>
  <c r="Y64" i="5"/>
  <c r="I64" i="5"/>
  <c r="V63" i="5"/>
  <c r="S62" i="5"/>
  <c r="U61" i="5"/>
  <c r="R60" i="5"/>
  <c r="P59" i="5"/>
  <c r="N58" i="5"/>
  <c r="H86" i="5"/>
  <c r="AT85" i="5"/>
  <c r="W85" i="5"/>
  <c r="AQ84" i="5"/>
  <c r="T84" i="5"/>
  <c r="AO83" i="5"/>
  <c r="W83" i="5"/>
  <c r="AR82" i="5"/>
  <c r="U82" i="5"/>
  <c r="AO81" i="5"/>
  <c r="R81" i="5"/>
  <c r="AM80" i="5"/>
  <c r="P80" i="5"/>
  <c r="AJ79" i="5"/>
  <c r="M79" i="5"/>
  <c r="AH78" i="5"/>
  <c r="P78" i="5"/>
  <c r="AK77" i="5"/>
  <c r="N77" i="5"/>
  <c r="AH76" i="5"/>
  <c r="K76" i="5"/>
  <c r="AF75" i="5"/>
  <c r="I75" i="5"/>
  <c r="AD74" i="5"/>
  <c r="L74" i="5"/>
  <c r="AA73" i="5"/>
  <c r="I73" i="5"/>
  <c r="AD72" i="5"/>
  <c r="G72" i="5"/>
  <c r="AA71" i="5"/>
  <c r="AH70" i="5"/>
  <c r="R70" i="5"/>
  <c r="V85" i="5"/>
  <c r="Q83" i="5"/>
  <c r="Q81" i="5"/>
  <c r="L79" i="5"/>
  <c r="M77" i="5"/>
  <c r="H75" i="5"/>
  <c r="AG70" i="5"/>
  <c r="AE69" i="5"/>
  <c r="AC68" i="5"/>
  <c r="O61" i="5"/>
  <c r="M60" i="5"/>
  <c r="G56" i="5"/>
  <c r="J51" i="5"/>
  <c r="L50" i="5"/>
  <c r="J49" i="5"/>
  <c r="I48" i="5"/>
  <c r="L47" i="5"/>
  <c r="I46" i="5"/>
  <c r="G45" i="5"/>
  <c r="X72" i="5"/>
  <c r="Q70" i="5"/>
  <c r="P69" i="5"/>
  <c r="AB68" i="5"/>
  <c r="AE67" i="5"/>
  <c r="L60" i="5"/>
  <c r="O59" i="5"/>
  <c r="U55" i="5"/>
  <c r="I49" i="5"/>
  <c r="H48" i="5"/>
  <c r="O69" i="5"/>
  <c r="M68" i="5"/>
  <c r="Z67" i="5"/>
  <c r="AC66" i="5"/>
  <c r="J59" i="5"/>
  <c r="M58" i="5"/>
  <c r="T55" i="5"/>
  <c r="G48" i="5"/>
  <c r="P53" i="5"/>
  <c r="AP84" i="5"/>
  <c r="AL82" i="5"/>
  <c r="AL80" i="5"/>
  <c r="AG78" i="5"/>
  <c r="AB76" i="5"/>
  <c r="AC74" i="5"/>
  <c r="L68" i="5"/>
  <c r="O67" i="5"/>
  <c r="AB66" i="5"/>
  <c r="Z65" i="5"/>
  <c r="L58" i="5"/>
  <c r="J57" i="5"/>
  <c r="S84" i="5"/>
  <c r="T82" i="5"/>
  <c r="O80" i="5"/>
  <c r="J78" i="5"/>
  <c r="J76" i="5"/>
  <c r="U71" i="5"/>
  <c r="J67" i="5"/>
  <c r="M66" i="5"/>
  <c r="Y65" i="5"/>
  <c r="X64" i="5"/>
  <c r="I57" i="5"/>
  <c r="S54" i="5"/>
  <c r="U63" i="5"/>
  <c r="Z73" i="5"/>
  <c r="I65" i="5"/>
  <c r="H64" i="5"/>
  <c r="T63" i="5"/>
  <c r="R62" i="5"/>
  <c r="I56" i="5"/>
  <c r="Q54" i="5"/>
  <c r="O53" i="5"/>
  <c r="M52" i="5"/>
  <c r="P51" i="5"/>
  <c r="N50" i="5"/>
  <c r="AS85" i="5"/>
  <c r="AN83" i="5"/>
  <c r="AI81" i="5"/>
  <c r="AI79" i="5"/>
  <c r="AE77" i="5"/>
  <c r="AE75" i="5"/>
  <c r="AF69" i="5"/>
  <c r="G64" i="5"/>
  <c r="Q62" i="5"/>
  <c r="P61" i="5"/>
  <c r="H56" i="5"/>
  <c r="I54" i="5"/>
  <c r="G53" i="5"/>
  <c r="L52" i="5"/>
  <c r="O51" i="5"/>
  <c r="M50" i="5"/>
  <c r="K49" i="5"/>
  <c r="L66" i="5"/>
  <c r="J65" i="5"/>
  <c r="W64" i="5"/>
  <c r="R52" i="5"/>
  <c r="R54" i="5"/>
  <c r="BM39" i="5" l="1"/>
  <c r="BM31" i="5" s="1"/>
  <c r="BM26" i="5" s="1"/>
  <c r="BM224" i="5"/>
  <c r="N31" i="6"/>
  <c r="BN233" i="5"/>
  <c r="D109" i="5" a="1"/>
  <c r="N36" i="6"/>
  <c r="L37" i="6"/>
  <c r="L36" i="6"/>
  <c r="K42" i="6"/>
  <c r="K37" i="6"/>
  <c r="M32" i="6"/>
  <c r="K32" i="6"/>
  <c r="K36" i="6"/>
  <c r="N70" i="3"/>
  <c r="BL273" i="5"/>
  <c r="M42" i="6"/>
  <c r="K41" i="6"/>
  <c r="K47" i="6"/>
  <c r="M31" i="6"/>
  <c r="M47" i="6"/>
  <c r="G109" i="5"/>
  <c r="G108" i="5" s="1"/>
  <c r="M37" i="6"/>
  <c r="N41" i="6"/>
  <c r="L47" i="6"/>
  <c r="BM271" i="5"/>
  <c r="BM270" i="5"/>
  <c r="BN11" i="5"/>
  <c r="BM260" i="5"/>
  <c r="BM263" i="5" s="1"/>
  <c r="BM272" i="5"/>
  <c r="BM265" i="5"/>
  <c r="BM269" i="5"/>
  <c r="B121" i="7"/>
  <c r="N37" i="6"/>
  <c r="N42" i="6"/>
  <c r="L31" i="6"/>
  <c r="K40" i="6"/>
  <c r="BO320" i="5" a="1"/>
  <c r="BO320" i="5" s="1"/>
  <c r="BN24" i="5"/>
  <c r="M36" i="6"/>
  <c r="N47" i="6"/>
  <c r="BL57" i="7"/>
  <c r="BL38" i="7" a="1"/>
  <c r="BL38" i="7" s="1"/>
  <c r="BL29" i="7" a="1"/>
  <c r="BL29" i="7" s="1"/>
  <c r="BL17" i="7" a="1"/>
  <c r="BL17" i="7" s="1"/>
  <c r="O31" i="6" s="1"/>
  <c r="BL34" i="7" a="1"/>
  <c r="BL34" i="7" s="1"/>
  <c r="BL22" i="7" a="1"/>
  <c r="BL22" i="7" s="1"/>
  <c r="O36" i="6" s="1"/>
  <c r="BL18" i="7" a="1"/>
  <c r="BL18" i="7" s="1"/>
  <c r="BL31" i="7" a="1"/>
  <c r="BL31" i="7" s="1"/>
  <c r="O42" i="6" s="1"/>
  <c r="BL23" i="7" a="1"/>
  <c r="BL23" i="7" s="1"/>
  <c r="O37" i="6" s="1"/>
  <c r="BL26" i="7" a="1"/>
  <c r="BL26" i="7" s="1"/>
  <c r="BL30" i="7" a="1"/>
  <c r="BL30" i="7" s="1"/>
  <c r="O41" i="6" s="1"/>
  <c r="N40" i="6"/>
  <c r="L41" i="6"/>
  <c r="K31" i="6"/>
  <c r="BP321" i="5" a="1"/>
  <c r="BP321" i="5" s="1"/>
  <c r="BP300" i="5" a="1"/>
  <c r="BP300" i="5" s="1"/>
  <c r="BP301" i="5" a="1"/>
  <c r="BP301" i="5" s="1"/>
  <c r="BP181" i="5"/>
  <c r="BQ182" i="5" s="1"/>
  <c r="BR183" i="5" s="1"/>
  <c r="BS184" i="5" s="1"/>
  <c r="BT185" i="5" s="1"/>
  <c r="BU186" i="5" s="1"/>
  <c r="BV187" i="5" s="1"/>
  <c r="BW188" i="5" s="1"/>
  <c r="BX189" i="5" s="1"/>
  <c r="BY190" i="5" s="1"/>
  <c r="BZ191" i="5" s="1"/>
  <c r="BP198" i="5"/>
  <c r="BP6" i="5"/>
  <c r="BQ7" i="5"/>
  <c r="O32" i="6"/>
  <c r="O47" i="6"/>
  <c r="L32" i="6"/>
  <c r="G41" i="5"/>
  <c r="N32" i="6"/>
  <c r="L40" i="6"/>
  <c r="BO300" i="5" a="1"/>
  <c r="BO300" i="5" s="1"/>
  <c r="M41" i="6"/>
  <c r="M40" i="6"/>
  <c r="O40" i="6"/>
  <c r="X16" i="7" l="1" a="1"/>
  <c r="X16" i="7" s="1"/>
  <c r="BN271" i="5"/>
  <c r="BN270" i="5"/>
  <c r="BN272" i="5"/>
  <c r="BN269" i="5"/>
  <c r="BN265" i="5"/>
  <c r="B122" i="7"/>
  <c r="BF58" i="7" s="1"/>
  <c r="BF59" i="7" s="1"/>
  <c r="BN260" i="5"/>
  <c r="BN263" i="5" s="1"/>
  <c r="Q58" i="7"/>
  <c r="Q59" i="7" s="1"/>
  <c r="J32" i="6"/>
  <c r="U58" i="7"/>
  <c r="U59" i="7" s="1"/>
  <c r="P33" i="7" a="1"/>
  <c r="P33" i="7" s="1"/>
  <c r="P32" i="7" s="1"/>
  <c r="BQ322" i="5" a="1"/>
  <c r="BQ322" i="5" s="1"/>
  <c r="BQ321" i="5" a="1"/>
  <c r="BQ321" i="5" s="1"/>
  <c r="BQ302" i="5" a="1"/>
  <c r="BQ302" i="5" s="1"/>
  <c r="BQ320" i="5" a="1"/>
  <c r="BQ320" i="5" s="1"/>
  <c r="BQ301" i="5" a="1"/>
  <c r="BQ301" i="5" s="1"/>
  <c r="BQ198" i="5"/>
  <c r="BQ181" i="5"/>
  <c r="BR182" i="5" s="1"/>
  <c r="BS183" i="5" s="1"/>
  <c r="BT184" i="5" s="1"/>
  <c r="BU185" i="5" s="1"/>
  <c r="BV186" i="5" s="1"/>
  <c r="BW187" i="5" s="1"/>
  <c r="BX188" i="5" s="1"/>
  <c r="BY189" i="5" s="1"/>
  <c r="BZ190" i="5" s="1"/>
  <c r="BQ6" i="5"/>
  <c r="BR7" i="5"/>
  <c r="J31" i="6"/>
  <c r="S16" i="3"/>
  <c r="N16" i="3" s="1"/>
  <c r="BN224" i="5"/>
  <c r="BN39" i="5"/>
  <c r="BB35" i="7" a="1"/>
  <c r="BB35" i="7" s="1"/>
  <c r="BG58" i="7"/>
  <c r="BG59" i="7" s="1"/>
  <c r="V70" i="3"/>
  <c r="AB58" i="7"/>
  <c r="AB59" i="7" s="1"/>
  <c r="H58" i="7"/>
  <c r="H59" i="7" s="1"/>
  <c r="AG58" i="7"/>
  <c r="AG59" i="7" s="1"/>
  <c r="G32" i="5"/>
  <c r="G169" i="5"/>
  <c r="J37" i="6"/>
  <c r="V16" i="7" a="1"/>
  <c r="V16" i="7" s="1"/>
  <c r="AA16" i="7" a="1"/>
  <c r="AA16" i="7" s="1"/>
  <c r="BJ16" i="7" a="1"/>
  <c r="BJ16" i="7" s="1"/>
  <c r="M16" i="7" a="1"/>
  <c r="M16" i="7" s="1"/>
  <c r="AQ16" i="7" a="1"/>
  <c r="AQ16" i="7" s="1"/>
  <c r="AV16" i="7" a="1"/>
  <c r="AV16" i="7" s="1"/>
  <c r="AG16" i="7" a="1"/>
  <c r="AG16" i="7" s="1"/>
  <c r="AM16" i="7" a="1"/>
  <c r="AM16" i="7" s="1"/>
  <c r="T16" i="7" a="1"/>
  <c r="T16" i="7" s="1"/>
  <c r="BI16" i="7" a="1"/>
  <c r="BI16" i="7" s="1"/>
  <c r="AP16" i="7" a="1"/>
  <c r="AP16" i="7" s="1"/>
  <c r="F16" i="7" a="1"/>
  <c r="F16" i="7" s="1"/>
  <c r="AY16" i="7" a="1"/>
  <c r="AY16" i="7" s="1"/>
  <c r="Z16" i="7" a="1"/>
  <c r="Z16" i="7" s="1"/>
  <c r="J40" i="6"/>
  <c r="BK58" i="7"/>
  <c r="BK59" i="7" s="1"/>
  <c r="BJ58" i="7"/>
  <c r="BJ59" i="7" s="1"/>
  <c r="AO58" i="7"/>
  <c r="AO59" i="7" s="1"/>
  <c r="J47" i="6"/>
  <c r="AR58" i="7"/>
  <c r="AR59" i="7" s="1"/>
  <c r="AS58" i="7"/>
  <c r="AS59" i="7" s="1"/>
  <c r="J42" i="6"/>
  <c r="AZ35" i="7" a="1"/>
  <c r="AZ35" i="7" s="1"/>
  <c r="X58" i="7"/>
  <c r="X59" i="7" s="1"/>
  <c r="BM273" i="5"/>
  <c r="Z58" i="7"/>
  <c r="Z59" i="7" s="1"/>
  <c r="J41" i="6"/>
  <c r="S58" i="7"/>
  <c r="S59" i="7" s="1"/>
  <c r="AZ58" i="7"/>
  <c r="AZ59" i="7" s="1"/>
  <c r="BA58" i="7"/>
  <c r="BA59" i="7" s="1"/>
  <c r="BP320" i="5" a="1"/>
  <c r="BP320" i="5" s="1"/>
  <c r="AF58" i="7"/>
  <c r="AF59" i="7" s="1"/>
  <c r="BM267" i="5"/>
  <c r="BH33" i="7" a="1"/>
  <c r="BH33" i="7" s="1"/>
  <c r="BH32" i="7" s="1"/>
  <c r="M33" i="7" a="1"/>
  <c r="M33" i="7" s="1"/>
  <c r="M32" i="7" s="1"/>
  <c r="F33" i="7" a="1"/>
  <c r="F33" i="7" s="1"/>
  <c r="F32" i="7" s="1"/>
  <c r="N33" i="7" a="1"/>
  <c r="N33" i="7" s="1"/>
  <c r="N32" i="7" s="1"/>
  <c r="J33" i="7" a="1"/>
  <c r="J33" i="7" s="1"/>
  <c r="J32" i="7" s="1"/>
  <c r="E33" i="7" a="1"/>
  <c r="E33" i="7" s="1"/>
  <c r="E32" i="7" s="1"/>
  <c r="AK33" i="7" a="1"/>
  <c r="AK33" i="7" s="1"/>
  <c r="AK32" i="7" s="1"/>
  <c r="S33" i="7" a="1"/>
  <c r="S33" i="7" s="1"/>
  <c r="S32" i="7" s="1"/>
  <c r="BF33" i="7" a="1"/>
  <c r="BF33" i="7" s="1"/>
  <c r="BF32" i="7" s="1"/>
  <c r="AJ33" i="7" a="1"/>
  <c r="AJ33" i="7" s="1"/>
  <c r="AJ32" i="7" s="1"/>
  <c r="L33" i="7" a="1"/>
  <c r="L33" i="7" s="1"/>
  <c r="L32" i="7" s="1"/>
  <c r="AD33" i="7" a="1"/>
  <c r="AD33" i="7" s="1"/>
  <c r="AD32" i="7" s="1"/>
  <c r="AV33" i="7" a="1"/>
  <c r="AV33" i="7" s="1"/>
  <c r="AV32" i="7" s="1"/>
  <c r="AY33" i="7" a="1"/>
  <c r="AY33" i="7" s="1"/>
  <c r="AY32" i="7" s="1"/>
  <c r="AM33" i="7" a="1"/>
  <c r="AM33" i="7" s="1"/>
  <c r="AM32" i="7" s="1"/>
  <c r="X33" i="7" a="1"/>
  <c r="X33" i="7" s="1"/>
  <c r="X32" i="7" s="1"/>
  <c r="T33" i="7" a="1"/>
  <c r="T33" i="7" s="1"/>
  <c r="T32" i="7" s="1"/>
  <c r="AB33" i="7" a="1"/>
  <c r="AB33" i="7" s="1"/>
  <c r="AB32" i="7" s="1"/>
  <c r="Z33" i="7" a="1"/>
  <c r="Z33" i="7" s="1"/>
  <c r="Z32" i="7" s="1"/>
  <c r="W33" i="7" a="1"/>
  <c r="W33" i="7" s="1"/>
  <c r="W32" i="7" s="1"/>
  <c r="AO33" i="7" a="1"/>
  <c r="AO33" i="7" s="1"/>
  <c r="AO32" i="7" s="1"/>
  <c r="BB33" i="7" a="1"/>
  <c r="BB33" i="7" s="1"/>
  <c r="BB32" i="7" s="1"/>
  <c r="BE58" i="7"/>
  <c r="BE59" i="7" s="1"/>
  <c r="BA35" i="7" a="1"/>
  <c r="BA35" i="7" s="1"/>
  <c r="AH58" i="7"/>
  <c r="AH59" i="7" s="1"/>
  <c r="AA58" i="7"/>
  <c r="AA59" i="7" s="1"/>
  <c r="BC33" i="7" a="1"/>
  <c r="BC33" i="7" s="1"/>
  <c r="BC32" i="7" s="1"/>
  <c r="BH58" i="7"/>
  <c r="BH59" i="7" s="1"/>
  <c r="BI58" i="7"/>
  <c r="BI59" i="7" s="1"/>
  <c r="R16" i="7" a="1"/>
  <c r="R16" i="7" s="1"/>
  <c r="AI35" i="7" a="1"/>
  <c r="AI35" i="7" s="1"/>
  <c r="AM58" i="7"/>
  <c r="AM59" i="7" s="1"/>
  <c r="BL58" i="7"/>
  <c r="BL59" i="7" s="1"/>
  <c r="AN58" i="7"/>
  <c r="AN59" i="7" s="1"/>
  <c r="AP58" i="7"/>
  <c r="AP59" i="7" s="1"/>
  <c r="AS33" i="7" a="1"/>
  <c r="AS33" i="7" s="1"/>
  <c r="AS32" i="7" s="1"/>
  <c r="AI58" i="7"/>
  <c r="AI59" i="7" s="1"/>
  <c r="O33" i="7" a="1"/>
  <c r="O33" i="7" s="1"/>
  <c r="O32" i="7" s="1"/>
  <c r="E58" i="7"/>
  <c r="E59" i="7" s="1"/>
  <c r="G33" i="7" a="1"/>
  <c r="G33" i="7" s="1"/>
  <c r="G32" i="7" s="1"/>
  <c r="Q16" i="7" a="1"/>
  <c r="Q16" i="7" s="1"/>
  <c r="F58" i="7"/>
  <c r="F59" i="7" s="1"/>
  <c r="E35" i="7" a="1"/>
  <c r="E35" i="7" s="1"/>
  <c r="AF35" i="7" a="1"/>
  <c r="AF35" i="7" s="1"/>
  <c r="M35" i="7" a="1"/>
  <c r="M35" i="7" s="1"/>
  <c r="AT35" i="7" a="1"/>
  <c r="AT35" i="7" s="1"/>
  <c r="BK35" i="7" a="1"/>
  <c r="BK35" i="7" s="1"/>
  <c r="X35" i="7" a="1"/>
  <c r="X35" i="7" s="1"/>
  <c r="BI35" i="7" a="1"/>
  <c r="BI35" i="7" s="1"/>
  <c r="U35" i="7" a="1"/>
  <c r="U35" i="7" s="1"/>
  <c r="AX35" i="7" a="1"/>
  <c r="AX35" i="7" s="1"/>
  <c r="V35" i="7" a="1"/>
  <c r="V35" i="7" s="1"/>
  <c r="BF35" i="7" a="1"/>
  <c r="BF35" i="7" s="1"/>
  <c r="AO35" i="7" a="1"/>
  <c r="AO35" i="7" s="1"/>
  <c r="T35" i="7" a="1"/>
  <c r="T35" i="7" s="1"/>
  <c r="K35" i="7" a="1"/>
  <c r="K35" i="7" s="1"/>
  <c r="AJ35" i="7" a="1"/>
  <c r="AJ35" i="7" s="1"/>
  <c r="AU35" i="7" a="1"/>
  <c r="AU35" i="7" s="1"/>
  <c r="AV35" i="7" a="1"/>
  <c r="AV35" i="7" s="1"/>
  <c r="H35" i="7" a="1"/>
  <c r="H35" i="7" s="1"/>
  <c r="I35" i="7" a="1"/>
  <c r="I35" i="7" s="1"/>
  <c r="AL35" i="7" a="1"/>
  <c r="AL35" i="7" s="1"/>
  <c r="BJ35" i="7" a="1"/>
  <c r="BJ35" i="7" s="1"/>
  <c r="L35" i="7" a="1"/>
  <c r="L35" i="7" s="1"/>
  <c r="G35" i="7" a="1"/>
  <c r="G35" i="7" s="1"/>
  <c r="AH35" i="7" a="1"/>
  <c r="AH35" i="7" s="1"/>
  <c r="Y35" i="7" a="1"/>
  <c r="Y35" i="7" s="1"/>
  <c r="N35" i="7" a="1"/>
  <c r="N35" i="7" s="1"/>
  <c r="J35" i="7" a="1"/>
  <c r="J35" i="7" s="1"/>
  <c r="S35" i="7" a="1"/>
  <c r="S35" i="7" s="1"/>
  <c r="AR35" i="7" a="1"/>
  <c r="AR35" i="7" s="1"/>
  <c r="AD35" i="7" a="1"/>
  <c r="AD35" i="7" s="1"/>
  <c r="AE35" i="7" a="1"/>
  <c r="AE35" i="7" s="1"/>
  <c r="AQ35" i="7" a="1"/>
  <c r="AQ35" i="7" s="1"/>
  <c r="Z35" i="7" a="1"/>
  <c r="Z35" i="7" s="1"/>
  <c r="AP35" i="7" a="1"/>
  <c r="AP35" i="7" s="1"/>
  <c r="AB35" i="7" a="1"/>
  <c r="AB35" i="7" s="1"/>
  <c r="Q35" i="7" a="1"/>
  <c r="Q35" i="7" s="1"/>
  <c r="W35" i="7" a="1"/>
  <c r="W35" i="7" s="1"/>
  <c r="AM35" i="7" a="1"/>
  <c r="AM35" i="7" s="1"/>
  <c r="AN35" i="7" a="1"/>
  <c r="AN35" i="7" s="1"/>
  <c r="AA35" i="7" a="1"/>
  <c r="AA35" i="7" s="1"/>
  <c r="R35" i="7" a="1"/>
  <c r="R35" i="7" s="1"/>
  <c r="AY35" i="7" a="1"/>
  <c r="AY35" i="7" s="1"/>
  <c r="AG35" i="7" a="1"/>
  <c r="AG35" i="7" s="1"/>
  <c r="AK35" i="7" a="1"/>
  <c r="AK35" i="7" s="1"/>
  <c r="F35" i="7" a="1"/>
  <c r="F35" i="7" s="1"/>
  <c r="AX58" i="7"/>
  <c r="AX59" i="7" s="1"/>
  <c r="AS35" i="7" a="1"/>
  <c r="AS35" i="7" s="1"/>
  <c r="AQ58" i="7"/>
  <c r="AQ59" i="7" s="1"/>
  <c r="L58" i="7"/>
  <c r="L59" i="7" s="1"/>
  <c r="J36" i="6"/>
  <c r="M58" i="7"/>
  <c r="M59" i="7" s="1"/>
  <c r="BG35" i="7" a="1"/>
  <c r="BG35" i="7" s="1"/>
  <c r="D109" i="5"/>
  <c r="AW150" i="5"/>
  <c r="AC130" i="5"/>
  <c r="AJ137" i="5"/>
  <c r="V123" i="5"/>
  <c r="AD131" i="5"/>
  <c r="AA128" i="5"/>
  <c r="AC129" i="5"/>
  <c r="BM165" i="5"/>
  <c r="M114" i="5"/>
  <c r="BA154" i="5"/>
  <c r="BC154" i="5" s="1"/>
  <c r="BG159" i="5"/>
  <c r="BH161" i="5"/>
  <c r="AN141" i="5"/>
  <c r="AP143" i="5"/>
  <c r="AO141" i="5"/>
  <c r="Z127" i="5"/>
  <c r="BG160" i="5"/>
  <c r="T120" i="5"/>
  <c r="AD129" i="5"/>
  <c r="BL164" i="5"/>
  <c r="BN167" i="5"/>
  <c r="AU148" i="5"/>
  <c r="AL139" i="5"/>
  <c r="AD130" i="5"/>
  <c r="AG134" i="5"/>
  <c r="BL165" i="5"/>
  <c r="BF159" i="5"/>
  <c r="BH159" i="5" s="1"/>
  <c r="BE157" i="5"/>
  <c r="X124" i="5"/>
  <c r="AZ152" i="5"/>
  <c r="AI136" i="5"/>
  <c r="Q118" i="5"/>
  <c r="L113" i="5"/>
  <c r="BB154" i="5"/>
  <c r="BE158" i="5"/>
  <c r="AK138" i="5"/>
  <c r="BK163" i="5"/>
  <c r="AR145" i="5"/>
  <c r="W123" i="5"/>
  <c r="M112" i="5"/>
  <c r="J111" i="5"/>
  <c r="AT147" i="5"/>
  <c r="AH135" i="5"/>
  <c r="AB129" i="5"/>
  <c r="X123" i="5"/>
  <c r="U122" i="5"/>
  <c r="S120" i="5"/>
  <c r="T121" i="5"/>
  <c r="X125" i="5"/>
  <c r="O116" i="5"/>
  <c r="N114" i="5"/>
  <c r="K112" i="5"/>
  <c r="BF158" i="5"/>
  <c r="BL163" i="5"/>
  <c r="BI162" i="5"/>
  <c r="AV149" i="5"/>
  <c r="AA127" i="5"/>
  <c r="AQ144" i="5"/>
  <c r="BK164" i="5"/>
  <c r="BA153" i="5"/>
  <c r="U121" i="5"/>
  <c r="AL138" i="5"/>
  <c r="AO142" i="5"/>
  <c r="AU147" i="5"/>
  <c r="AE130" i="5"/>
  <c r="AR144" i="5"/>
  <c r="AM140" i="5"/>
  <c r="AN140" i="5" s="1"/>
  <c r="N115" i="5"/>
  <c r="BN165" i="5"/>
  <c r="AY152" i="5"/>
  <c r="AB127" i="5"/>
  <c r="Y126" i="5"/>
  <c r="W124" i="5"/>
  <c r="BJ162" i="5"/>
  <c r="BM166" i="5"/>
  <c r="AS146" i="5"/>
  <c r="AZ153" i="5"/>
  <c r="AF133" i="5"/>
  <c r="BF157" i="5"/>
  <c r="K111" i="5"/>
  <c r="BH160" i="5"/>
  <c r="BC156" i="5"/>
  <c r="R119" i="5"/>
  <c r="BJ163" i="5"/>
  <c r="BI161" i="5"/>
  <c r="AX151" i="5"/>
  <c r="AE132" i="5"/>
  <c r="BB155" i="5"/>
  <c r="P117" i="5"/>
  <c r="L112" i="5"/>
  <c r="BN166" i="5"/>
  <c r="AE131" i="5"/>
  <c r="BG158" i="5"/>
  <c r="BD157" i="5"/>
  <c r="AF130" i="5"/>
  <c r="AJ136" i="5"/>
  <c r="AK137" i="5"/>
  <c r="L111" i="5"/>
  <c r="I110" i="5"/>
  <c r="Z126" i="5"/>
  <c r="AA126" i="5" s="1"/>
  <c r="Q117" i="5"/>
  <c r="R117" i="5" s="1"/>
  <c r="G16" i="7" a="1"/>
  <c r="G16" i="7" s="1"/>
  <c r="AB126" i="5" l="1"/>
  <c r="BK161" i="5"/>
  <c r="BM161" i="5" s="1"/>
  <c r="AO140" i="5"/>
  <c r="AQ140" i="5"/>
  <c r="AP140" i="5"/>
  <c r="S117" i="5"/>
  <c r="BL161" i="5"/>
  <c r="BN161" i="5" s="1"/>
  <c r="BJ161" i="5"/>
  <c r="AG130" i="5"/>
  <c r="AP141" i="5"/>
  <c r="BA152" i="5"/>
  <c r="P116" i="5"/>
  <c r="BG157" i="5"/>
  <c r="BD154" i="5"/>
  <c r="BH158" i="5"/>
  <c r="M113" i="5"/>
  <c r="M111" i="5"/>
  <c r="BD153" i="5"/>
  <c r="AN139" i="5"/>
  <c r="R118" i="5"/>
  <c r="AG133" i="5"/>
  <c r="BI160" i="5"/>
  <c r="AM139" i="5"/>
  <c r="AC128" i="5"/>
  <c r="AX150" i="5"/>
  <c r="AC126" i="5"/>
  <c r="AF131" i="5"/>
  <c r="R58" i="7"/>
  <c r="R59" i="7" s="1"/>
  <c r="J58" i="7"/>
  <c r="J59" i="7" s="1"/>
  <c r="AC58" i="7"/>
  <c r="AC59" i="7" s="1"/>
  <c r="V31" i="3"/>
  <c r="V32" i="3"/>
  <c r="V44" i="3"/>
  <c r="V26" i="3"/>
  <c r="V40" i="3"/>
  <c r="V37" i="3"/>
  <c r="V27" i="3"/>
  <c r="V47" i="3"/>
  <c r="V41" i="3"/>
  <c r="V43" i="3"/>
  <c r="V42" i="3"/>
  <c r="V33" i="3"/>
  <c r="AS144" i="5"/>
  <c r="H106" i="5"/>
  <c r="G35" i="5"/>
  <c r="G171" i="5" s="1"/>
  <c r="BM164" i="5"/>
  <c r="BN164" i="5" s="1"/>
  <c r="BK162" i="5"/>
  <c r="BL162" i="5" s="1"/>
  <c r="AM138" i="5"/>
  <c r="AW149" i="5"/>
  <c r="BB153" i="5"/>
  <c r="AJ135" i="5"/>
  <c r="AH133" i="5"/>
  <c r="O114" i="5"/>
  <c r="BC153" i="5"/>
  <c r="AV148" i="5"/>
  <c r="AY151" i="5"/>
  <c r="BM163" i="5"/>
  <c r="BN163" i="5" s="1"/>
  <c r="AD128" i="5"/>
  <c r="AA124" i="5"/>
  <c r="AF132" i="5"/>
  <c r="AH134" i="5"/>
  <c r="AX149" i="5"/>
  <c r="Y125" i="5"/>
  <c r="Z125" i="5" s="1"/>
  <c r="J110" i="5"/>
  <c r="Y124" i="5"/>
  <c r="O115" i="5"/>
  <c r="AI135" i="5"/>
  <c r="BC155" i="5"/>
  <c r="BR321" i="5" a="1"/>
  <c r="BR321" i="5" s="1"/>
  <c r="BR323" i="5" a="1"/>
  <c r="BR323" i="5" s="1"/>
  <c r="BR303" i="5" a="1"/>
  <c r="BR303" i="5" s="1"/>
  <c r="BR302" i="5" a="1"/>
  <c r="BR302" i="5" s="1"/>
  <c r="BR301" i="5" a="1"/>
  <c r="BR301" i="5" s="1"/>
  <c r="BR322" i="5" a="1"/>
  <c r="BR322" i="5" s="1"/>
  <c r="BR198" i="5"/>
  <c r="BR181" i="5"/>
  <c r="BS182" i="5" s="1"/>
  <c r="BT183" i="5" s="1"/>
  <c r="BU184" i="5" s="1"/>
  <c r="BV185" i="5" s="1"/>
  <c r="BW186" i="5" s="1"/>
  <c r="BX187" i="5" s="1"/>
  <c r="BY188" i="5" s="1"/>
  <c r="BZ189" i="5" s="1"/>
  <c r="BS7" i="5"/>
  <c r="BR6" i="5"/>
  <c r="N48" i="3"/>
  <c r="S48" i="3"/>
  <c r="P35" i="7" a="1"/>
  <c r="P35" i="7" s="1"/>
  <c r="BH35" i="7" a="1"/>
  <c r="BH35" i="7" s="1"/>
  <c r="BE35" i="7" a="1"/>
  <c r="BE35" i="7" s="1"/>
  <c r="O35" i="7" a="1"/>
  <c r="O35" i="7" s="1"/>
  <c r="K44" i="6" s="1"/>
  <c r="AC35" i="7" a="1"/>
  <c r="AC35" i="7" s="1"/>
  <c r="M44" i="6" s="1"/>
  <c r="BD35" i="7" a="1"/>
  <c r="BD35" i="7" s="1"/>
  <c r="BF153" i="5"/>
  <c r="I58" i="7"/>
  <c r="I59" i="7" s="1"/>
  <c r="AV58" i="7"/>
  <c r="AV59" i="7" s="1"/>
  <c r="AU58" i="7"/>
  <c r="AU59" i="7" s="1"/>
  <c r="V58" i="7"/>
  <c r="V59" i="7" s="1"/>
  <c r="N58" i="7"/>
  <c r="N59" i="7" s="1"/>
  <c r="W58" i="7"/>
  <c r="W59" i="7" s="1"/>
  <c r="P58" i="7"/>
  <c r="P59" i="7" s="1"/>
  <c r="O58" i="7"/>
  <c r="O59" i="7" s="1"/>
  <c r="BB58" i="7"/>
  <c r="BB59" i="7" s="1"/>
  <c r="Y58" i="7"/>
  <c r="Y59" i="7" s="1"/>
  <c r="AL58" i="7"/>
  <c r="AL59" i="7" s="1"/>
  <c r="AD58" i="7"/>
  <c r="AD59" i="7" s="1"/>
  <c r="BD58" i="7"/>
  <c r="BD59" i="7" s="1"/>
  <c r="BC58" i="7"/>
  <c r="BC59" i="7" s="1"/>
  <c r="BC35" i="7" a="1"/>
  <c r="BC35" i="7" s="1"/>
  <c r="O44" i="6" s="1"/>
  <c r="BI159" i="5"/>
  <c r="H109" i="5"/>
  <c r="H108" i="5" s="1"/>
  <c r="I109" i="5"/>
  <c r="I108" i="5" s="1"/>
  <c r="K43" i="6"/>
  <c r="BN267" i="5"/>
  <c r="N46" i="3"/>
  <c r="S46" i="3"/>
  <c r="S45" i="3" s="1"/>
  <c r="BD33" i="7" a="1"/>
  <c r="BD33" i="7" s="1"/>
  <c r="BD32" i="7" s="1"/>
  <c r="AI33" i="7" a="1"/>
  <c r="AI33" i="7" s="1"/>
  <c r="AI32" i="7" s="1"/>
  <c r="U33" i="7" a="1"/>
  <c r="U33" i="7" s="1"/>
  <c r="U32" i="7" s="1"/>
  <c r="AC33" i="7" a="1"/>
  <c r="AC33" i="7" s="1"/>
  <c r="AC32" i="7" s="1"/>
  <c r="M43" i="6" s="1"/>
  <c r="AH33" i="7" a="1"/>
  <c r="AH33" i="7" s="1"/>
  <c r="AH32" i="7" s="1"/>
  <c r="AN33" i="7" a="1"/>
  <c r="AN33" i="7" s="1"/>
  <c r="AN32" i="7" s="1"/>
  <c r="K33" i="7" a="1"/>
  <c r="K33" i="7" s="1"/>
  <c r="K32" i="7" s="1"/>
  <c r="AT33" i="7" a="1"/>
  <c r="AT33" i="7" s="1"/>
  <c r="AT32" i="7" s="1"/>
  <c r="AQ33" i="7" a="1"/>
  <c r="AQ33" i="7" s="1"/>
  <c r="AQ32" i="7" s="1"/>
  <c r="AG33" i="7" a="1"/>
  <c r="AG33" i="7" s="1"/>
  <c r="AG32" i="7" s="1"/>
  <c r="AF33" i="7" a="1"/>
  <c r="AF33" i="7" s="1"/>
  <c r="AF32" i="7" s="1"/>
  <c r="Q33" i="7" a="1"/>
  <c r="Q33" i="7" s="1"/>
  <c r="Q32" i="7" s="1"/>
  <c r="L43" i="6" s="1"/>
  <c r="BI33" i="7" a="1"/>
  <c r="BI33" i="7" s="1"/>
  <c r="BI32" i="7" s="1"/>
  <c r="BE33" i="7" a="1"/>
  <c r="BE33" i="7" s="1"/>
  <c r="BE32" i="7" s="1"/>
  <c r="V33" i="7" a="1"/>
  <c r="V33" i="7" s="1"/>
  <c r="V32" i="7" s="1"/>
  <c r="AE33" i="7" a="1"/>
  <c r="AE33" i="7" s="1"/>
  <c r="AE32" i="7" s="1"/>
  <c r="AW33" i="7" a="1"/>
  <c r="AW33" i="7" s="1"/>
  <c r="AW32" i="7" s="1"/>
  <c r="BL33" i="7" a="1"/>
  <c r="BL33" i="7" s="1"/>
  <c r="BL32" i="7" s="1"/>
  <c r="H33" i="7" a="1"/>
  <c r="H33" i="7" s="1"/>
  <c r="H32" i="7" s="1"/>
  <c r="AX33" i="7" a="1"/>
  <c r="AX33" i="7" s="1"/>
  <c r="AX32" i="7" s="1"/>
  <c r="N43" i="6" s="1"/>
  <c r="Y33" i="7" a="1"/>
  <c r="Y33" i="7" s="1"/>
  <c r="Y32" i="7" s="1"/>
  <c r="R33" i="7" a="1"/>
  <c r="R33" i="7" s="1"/>
  <c r="R32" i="7" s="1"/>
  <c r="BK33" i="7" a="1"/>
  <c r="BK33" i="7" s="1"/>
  <c r="BK32" i="7" s="1"/>
  <c r="BG33" i="7" a="1"/>
  <c r="BG33" i="7" s="1"/>
  <c r="BG32" i="7" s="1"/>
  <c r="BA33" i="7" a="1"/>
  <c r="BA33" i="7" s="1"/>
  <c r="BA32" i="7" s="1"/>
  <c r="AP33" i="7" a="1"/>
  <c r="AP33" i="7" s="1"/>
  <c r="AP32" i="7" s="1"/>
  <c r="AR33" i="7" a="1"/>
  <c r="AR33" i="7" s="1"/>
  <c r="AR32" i="7" s="1"/>
  <c r="BJ33" i="7" a="1"/>
  <c r="BJ33" i="7" s="1"/>
  <c r="BJ32" i="7" s="1"/>
  <c r="AZ33" i="7" a="1"/>
  <c r="AZ33" i="7" s="1"/>
  <c r="AZ32" i="7" s="1"/>
  <c r="AU33" i="7" a="1"/>
  <c r="AU33" i="7" s="1"/>
  <c r="AU32" i="7" s="1"/>
  <c r="AL33" i="7" a="1"/>
  <c r="AL33" i="7" s="1"/>
  <c r="AL32" i="7" s="1"/>
  <c r="I33" i="7" a="1"/>
  <c r="I33" i="7" s="1"/>
  <c r="I32" i="7" s="1"/>
  <c r="AA33" i="7" a="1"/>
  <c r="AA33" i="7" s="1"/>
  <c r="AA32" i="7" s="1"/>
  <c r="AP142" i="5"/>
  <c r="V122" i="5"/>
  <c r="AI131" i="5"/>
  <c r="O112" i="5"/>
  <c r="BE153" i="5"/>
  <c r="U120" i="5"/>
  <c r="AH131" i="5"/>
  <c r="AM137" i="5"/>
  <c r="Z124" i="5"/>
  <c r="AQ141" i="5"/>
  <c r="S119" i="5"/>
  <c r="AL137" i="5"/>
  <c r="AI134" i="5"/>
  <c r="AB128" i="5"/>
  <c r="AC127" i="5"/>
  <c r="AQ143" i="5"/>
  <c r="BE154" i="5"/>
  <c r="BD156" i="5"/>
  <c r="BD155" i="5"/>
  <c r="X122" i="5"/>
  <c r="V121" i="5"/>
  <c r="AT145" i="5"/>
  <c r="AT146" i="5"/>
  <c r="L44" i="6"/>
  <c r="N44" i="6"/>
  <c r="AE58" i="7"/>
  <c r="AE59" i="7" s="1"/>
  <c r="AW58" i="7"/>
  <c r="AW59" i="7" s="1"/>
  <c r="K58" i="7"/>
  <c r="K59" i="7" s="1"/>
  <c r="BL35" i="7" a="1"/>
  <c r="BL35" i="7" s="1"/>
  <c r="G58" i="7"/>
  <c r="G59" i="7" s="1"/>
  <c r="BN31" i="5"/>
  <c r="BN26" i="5" s="1"/>
  <c r="D41" i="5" a="1"/>
  <c r="T58" i="7"/>
  <c r="T59" i="7" s="1"/>
  <c r="BN273" i="5"/>
  <c r="N112" i="5"/>
  <c r="AV147" i="5"/>
  <c r="AK135" i="5"/>
  <c r="T119" i="5"/>
  <c r="AS145" i="5"/>
  <c r="AG131" i="5"/>
  <c r="W122" i="5"/>
  <c r="AW148" i="5"/>
  <c r="AK136" i="5"/>
  <c r="AE129" i="5"/>
  <c r="Y123" i="5"/>
  <c r="P114" i="5"/>
  <c r="AW35" i="7" a="1"/>
  <c r="AW35" i="7" s="1"/>
  <c r="AJ58" i="7"/>
  <c r="AJ59" i="7" s="1"/>
  <c r="AT58" i="7"/>
  <c r="AT59" i="7" s="1"/>
  <c r="N25" i="3"/>
  <c r="S25" i="3"/>
  <c r="BC16" i="7" a="1"/>
  <c r="BC16" i="7" s="1"/>
  <c r="BD16" i="7" a="1"/>
  <c r="BD16" i="7" s="1"/>
  <c r="AT16" i="7" a="1"/>
  <c r="AT16" i="7" s="1"/>
  <c r="AX16" i="7" a="1"/>
  <c r="AX16" i="7" s="1"/>
  <c r="N16" i="7" a="1"/>
  <c r="N16" i="7" s="1"/>
  <c r="E16" i="7" a="1"/>
  <c r="E16" i="7" s="1"/>
  <c r="U16" i="7" a="1"/>
  <c r="U16" i="7" s="1"/>
  <c r="W16" i="7" a="1"/>
  <c r="W16" i="7" s="1"/>
  <c r="AL16" i="7" a="1"/>
  <c r="AL16" i="7" s="1"/>
  <c r="BH16" i="7" a="1"/>
  <c r="BH16" i="7" s="1"/>
  <c r="AD16" i="7" a="1"/>
  <c r="AD16" i="7" s="1"/>
  <c r="BG16" i="7" a="1"/>
  <c r="BG16" i="7" s="1"/>
  <c r="AU16" i="7" a="1"/>
  <c r="AU16" i="7" s="1"/>
  <c r="L16" i="7" a="1"/>
  <c r="L16" i="7" s="1"/>
  <c r="BA16" i="7" a="1"/>
  <c r="BA16" i="7" s="1"/>
  <c r="BB16" i="7" a="1"/>
  <c r="BB16" i="7" s="1"/>
  <c r="I16" i="7" a="1"/>
  <c r="I16" i="7" s="1"/>
  <c r="AB16" i="7" a="1"/>
  <c r="AB16" i="7" s="1"/>
  <c r="AE16" i="7" a="1"/>
  <c r="AE16" i="7" s="1"/>
  <c r="AJ16" i="7" a="1"/>
  <c r="AJ16" i="7" s="1"/>
  <c r="H16" i="7" a="1"/>
  <c r="H16" i="7" s="1"/>
  <c r="P16" i="7" a="1"/>
  <c r="P16" i="7" s="1"/>
  <c r="BE16" i="7" a="1"/>
  <c r="BE16" i="7" s="1"/>
  <c r="AF16" i="7" a="1"/>
  <c r="AF16" i="7" s="1"/>
  <c r="K16" i="7" a="1"/>
  <c r="K16" i="7" s="1"/>
  <c r="Y16" i="7" a="1"/>
  <c r="Y16" i="7" s="1"/>
  <c r="AK16" i="7" a="1"/>
  <c r="AK16" i="7" s="1"/>
  <c r="AI16" i="7" a="1"/>
  <c r="AI16" i="7" s="1"/>
  <c r="O16" i="7" a="1"/>
  <c r="O16" i="7" s="1"/>
  <c r="AH16" i="7" a="1"/>
  <c r="AH16" i="7" s="1"/>
  <c r="AS16" i="7" a="1"/>
  <c r="AS16" i="7" s="1"/>
  <c r="S16" i="7" a="1"/>
  <c r="S16" i="7" s="1"/>
  <c r="L30" i="6" s="1"/>
  <c r="AR16" i="7" a="1"/>
  <c r="AR16" i="7" s="1"/>
  <c r="J16" i="7" a="1"/>
  <c r="J16" i="7" s="1"/>
  <c r="AZ16" i="7" a="1"/>
  <c r="AZ16" i="7" s="1"/>
  <c r="AC16" i="7" a="1"/>
  <c r="AC16" i="7" s="1"/>
  <c r="BK16" i="7" a="1"/>
  <c r="BK16" i="7" s="1"/>
  <c r="BL16" i="7" a="1"/>
  <c r="BL16" i="7" s="1"/>
  <c r="BF16" i="7" a="1"/>
  <c r="BF16" i="7" s="1"/>
  <c r="AW16" i="7" a="1"/>
  <c r="AW16" i="7" s="1"/>
  <c r="AO16" i="7" a="1"/>
  <c r="AO16" i="7" s="1"/>
  <c r="AN16" i="7" a="1"/>
  <c r="AN16" i="7" s="1"/>
  <c r="BQ300" i="5" a="1"/>
  <c r="BQ300" i="5" s="1"/>
  <c r="AY58" i="7"/>
  <c r="AY59" i="7" s="1"/>
  <c r="N49" i="3"/>
  <c r="S49" i="3"/>
  <c r="S74" i="3" s="1"/>
  <c r="AK58" i="7"/>
  <c r="AK59" i="7" s="1"/>
  <c r="J44" i="6" l="1"/>
  <c r="D41" i="5"/>
  <c r="AW82" i="5"/>
  <c r="AC62" i="5"/>
  <c r="BF91" i="5"/>
  <c r="BI91" i="5" s="1"/>
  <c r="AZ85" i="5"/>
  <c r="AF65" i="5"/>
  <c r="Q49" i="5"/>
  <c r="R51" i="5"/>
  <c r="Z59" i="5"/>
  <c r="BH93" i="5"/>
  <c r="BA86" i="5"/>
  <c r="BC86" i="5" s="1"/>
  <c r="I42" i="5"/>
  <c r="AA59" i="5"/>
  <c r="AL71" i="5"/>
  <c r="BF89" i="5"/>
  <c r="BC88" i="5"/>
  <c r="BD89" i="5"/>
  <c r="L45" i="5"/>
  <c r="AE64" i="5"/>
  <c r="AU80" i="5"/>
  <c r="N47" i="5"/>
  <c r="AH67" i="5"/>
  <c r="BA85" i="5"/>
  <c r="BC85" i="5" s="1"/>
  <c r="S52" i="5"/>
  <c r="BN99" i="5"/>
  <c r="BE89" i="5"/>
  <c r="AN73" i="5"/>
  <c r="AA60" i="5"/>
  <c r="W56" i="5"/>
  <c r="BJ94" i="5"/>
  <c r="BL94" i="5" s="1"/>
  <c r="AP74" i="5"/>
  <c r="AG66" i="5"/>
  <c r="M46" i="5"/>
  <c r="BJ95" i="5"/>
  <c r="AP75" i="5"/>
  <c r="BG92" i="5"/>
  <c r="AJ69" i="5"/>
  <c r="P49" i="5"/>
  <c r="S49" i="5"/>
  <c r="M45" i="5"/>
  <c r="O48" i="5"/>
  <c r="BE90" i="5"/>
  <c r="AK70" i="5"/>
  <c r="AE63" i="5"/>
  <c r="BK94" i="5"/>
  <c r="BB86" i="5"/>
  <c r="AH66" i="5"/>
  <c r="AI66" i="5" s="1"/>
  <c r="AB59" i="5"/>
  <c r="Y58" i="5"/>
  <c r="BK95" i="5"/>
  <c r="BM95" i="5" s="1"/>
  <c r="AQ75" i="5"/>
  <c r="BB87" i="5"/>
  <c r="BD88" i="5"/>
  <c r="BE88" i="5" s="1"/>
  <c r="BF88" i="5" s="1"/>
  <c r="AE62" i="5"/>
  <c r="AB61" i="5"/>
  <c r="AM72" i="5"/>
  <c r="AY84" i="5"/>
  <c r="BH91" i="5"/>
  <c r="AQ76" i="5"/>
  <c r="Y57" i="5"/>
  <c r="BL95" i="5"/>
  <c r="BI94" i="5"/>
  <c r="AO74" i="5"/>
  <c r="R49" i="5"/>
  <c r="K44" i="5"/>
  <c r="BN97" i="5"/>
  <c r="AA58" i="5"/>
  <c r="AX82" i="5"/>
  <c r="AD62" i="5"/>
  <c r="AM71" i="5"/>
  <c r="BI93" i="5"/>
  <c r="X57" i="5"/>
  <c r="AC61" i="5"/>
  <c r="U54" i="5"/>
  <c r="T53" i="5"/>
  <c r="J43" i="5"/>
  <c r="T52" i="5"/>
  <c r="AB60" i="5"/>
  <c r="J42" i="5"/>
  <c r="BM98" i="5"/>
  <c r="BN98" i="5" s="1"/>
  <c r="AR75" i="5"/>
  <c r="BL97" i="5"/>
  <c r="AI68" i="5"/>
  <c r="X56" i="5"/>
  <c r="S51" i="5"/>
  <c r="BM97" i="5"/>
  <c r="BG91" i="5"/>
  <c r="AX83" i="5"/>
  <c r="V55" i="5"/>
  <c r="AT79" i="5"/>
  <c r="BK96" i="5"/>
  <c r="AG65" i="5"/>
  <c r="AS78" i="5"/>
  <c r="Z58" i="5"/>
  <c r="Q50" i="5"/>
  <c r="AI67" i="5"/>
  <c r="AR77" i="5"/>
  <c r="BB85" i="5"/>
  <c r="AV81" i="5"/>
  <c r="AC59" i="5"/>
  <c r="AD63" i="5"/>
  <c r="AJ68" i="5"/>
  <c r="AK68" i="5" s="1"/>
  <c r="AN137" i="5"/>
  <c r="N74" i="3"/>
  <c r="V49" i="3"/>
  <c r="BF156" i="5"/>
  <c r="BE156" i="5"/>
  <c r="AS143" i="5"/>
  <c r="AR143" i="5"/>
  <c r="AL136" i="5"/>
  <c r="V48" i="3"/>
  <c r="BK159" i="5"/>
  <c r="BL159" i="5" s="1"/>
  <c r="BM159" i="5" s="1"/>
  <c r="AT144" i="5"/>
  <c r="S118" i="5"/>
  <c r="T118" i="5"/>
  <c r="AL135" i="5"/>
  <c r="BB152" i="5"/>
  <c r="BD36" i="7" a="1"/>
  <c r="BD36" i="7" s="1"/>
  <c r="BE36" i="7" a="1"/>
  <c r="BE36" i="7" s="1"/>
  <c r="E36" i="7" a="1"/>
  <c r="E36" i="7" s="1"/>
  <c r="W36" i="7" a="1"/>
  <c r="W36" i="7" s="1"/>
  <c r="AR36" i="7" a="1"/>
  <c r="AR36" i="7" s="1"/>
  <c r="AW36" i="7" a="1"/>
  <c r="AW36" i="7" s="1"/>
  <c r="AC36" i="7" a="1"/>
  <c r="AC36" i="7" s="1"/>
  <c r="AB36" i="7" a="1"/>
  <c r="AB36" i="7" s="1"/>
  <c r="M36" i="7" a="1"/>
  <c r="M36" i="7" s="1"/>
  <c r="AS36" i="7" a="1"/>
  <c r="AS36" i="7" s="1"/>
  <c r="Y36" i="7" a="1"/>
  <c r="Y36" i="7" s="1"/>
  <c r="BJ36" i="7" a="1"/>
  <c r="BJ36" i="7" s="1"/>
  <c r="BI36" i="7" a="1"/>
  <c r="BI36" i="7" s="1"/>
  <c r="BG36" i="7" a="1"/>
  <c r="BG36" i="7" s="1"/>
  <c r="AJ36" i="7" a="1"/>
  <c r="AJ36" i="7" s="1"/>
  <c r="X36" i="7" a="1"/>
  <c r="X36" i="7" s="1"/>
  <c r="N36" i="7" a="1"/>
  <c r="N36" i="7" s="1"/>
  <c r="AE36" i="7" a="1"/>
  <c r="AE36" i="7" s="1"/>
  <c r="BF36" i="7" a="1"/>
  <c r="BF36" i="7" s="1"/>
  <c r="U36" i="7" a="1"/>
  <c r="U36" i="7" s="1"/>
  <c r="AZ36" i="7" a="1"/>
  <c r="AZ36" i="7" s="1"/>
  <c r="H36" i="7" a="1"/>
  <c r="H36" i="7" s="1"/>
  <c r="T36" i="7" a="1"/>
  <c r="T36" i="7" s="1"/>
  <c r="BH36" i="7" a="1"/>
  <c r="BH36" i="7" s="1"/>
  <c r="L36" i="7" a="1"/>
  <c r="L36" i="7" s="1"/>
  <c r="S36" i="7" a="1"/>
  <c r="S36" i="7" s="1"/>
  <c r="F36" i="7" a="1"/>
  <c r="F36" i="7" s="1"/>
  <c r="BB36" i="7" a="1"/>
  <c r="BB36" i="7" s="1"/>
  <c r="P36" i="7" a="1"/>
  <c r="P36" i="7" s="1"/>
  <c r="AY36" i="7" a="1"/>
  <c r="AY36" i="7" s="1"/>
  <c r="AN36" i="7" a="1"/>
  <c r="AN36" i="7" s="1"/>
  <c r="Z36" i="7" a="1"/>
  <c r="Z36" i="7" s="1"/>
  <c r="AM36" i="7" a="1"/>
  <c r="AM36" i="7" s="1"/>
  <c r="AU36" i="7" a="1"/>
  <c r="AU36" i="7" s="1"/>
  <c r="G36" i="7" a="1"/>
  <c r="G36" i="7" s="1"/>
  <c r="AD36" i="7" a="1"/>
  <c r="AD36" i="7" s="1"/>
  <c r="AX36" i="7" a="1"/>
  <c r="AX36" i="7" s="1"/>
  <c r="AA36" i="7" a="1"/>
  <c r="AA36" i="7" s="1"/>
  <c r="AL36" i="7" a="1"/>
  <c r="AL36" i="7" s="1"/>
  <c r="R36" i="7" a="1"/>
  <c r="R36" i="7" s="1"/>
  <c r="I36" i="7" a="1"/>
  <c r="I36" i="7" s="1"/>
  <c r="AH36" i="7" a="1"/>
  <c r="AH36" i="7" s="1"/>
  <c r="AQ36" i="7" a="1"/>
  <c r="AQ36" i="7" s="1"/>
  <c r="AO36" i="7" a="1"/>
  <c r="AO36" i="7" s="1"/>
  <c r="AK36" i="7" a="1"/>
  <c r="AK36" i="7" s="1"/>
  <c r="AV36" i="7" a="1"/>
  <c r="AV36" i="7" s="1"/>
  <c r="BC36" i="7" a="1"/>
  <c r="BC36" i="7" s="1"/>
  <c r="AT36" i="7" a="1"/>
  <c r="AT36" i="7" s="1"/>
  <c r="AF36" i="7" a="1"/>
  <c r="AF36" i="7" s="1"/>
  <c r="AG36" i="7" a="1"/>
  <c r="AG36" i="7" s="1"/>
  <c r="V36" i="7" a="1"/>
  <c r="V36" i="7" s="1"/>
  <c r="J36" i="7" a="1"/>
  <c r="J36" i="7" s="1"/>
  <c r="AP36" i="7" a="1"/>
  <c r="AP36" i="7" s="1"/>
  <c r="O36" i="7" a="1"/>
  <c r="O36" i="7" s="1"/>
  <c r="BK36" i="7" a="1"/>
  <c r="BK36" i="7" s="1"/>
  <c r="AI36" i="7" a="1"/>
  <c r="AI36" i="7" s="1"/>
  <c r="K36" i="7" a="1"/>
  <c r="K36" i="7" s="1"/>
  <c r="Q36" i="7" a="1"/>
  <c r="Q36" i="7" s="1"/>
  <c r="M30" i="6"/>
  <c r="V119" i="5"/>
  <c r="W119" i="5"/>
  <c r="P112" i="5"/>
  <c r="P115" i="5"/>
  <c r="BR300" i="5" a="1"/>
  <c r="BR300" i="5" s="1"/>
  <c r="M110" i="5"/>
  <c r="AG132" i="5"/>
  <c r="AL131" i="5"/>
  <c r="AD126" i="5"/>
  <c r="N113" i="5"/>
  <c r="AA123" i="5"/>
  <c r="AY149" i="5"/>
  <c r="BG153" i="5"/>
  <c r="BI158" i="5"/>
  <c r="AR140" i="5"/>
  <c r="J43" i="6"/>
  <c r="AU145" i="5"/>
  <c r="BS324" i="5" a="1"/>
  <c r="BS324" i="5" s="1"/>
  <c r="BS323" i="5" a="1"/>
  <c r="BS323" i="5" s="1"/>
  <c r="BS304" i="5" a="1"/>
  <c r="BS304" i="5" s="1"/>
  <c r="BS303" i="5" a="1"/>
  <c r="BS303" i="5" s="1"/>
  <c r="BS302" i="5" a="1"/>
  <c r="BS302" i="5" s="1"/>
  <c r="BS301" i="5" a="1"/>
  <c r="BS301" i="5" s="1"/>
  <c r="BS300" i="5" a="1"/>
  <c r="BS300" i="5" s="1"/>
  <c r="BS320" i="5" a="1"/>
  <c r="BS320" i="5" s="1"/>
  <c r="BS321" i="5" a="1"/>
  <c r="BS321" i="5" s="1"/>
  <c r="BS322" i="5" a="1"/>
  <c r="BS322" i="5" s="1"/>
  <c r="BS198" i="5"/>
  <c r="BS181" i="5"/>
  <c r="BT182" i="5" s="1"/>
  <c r="BU183" i="5" s="1"/>
  <c r="BV184" i="5" s="1"/>
  <c r="BW185" i="5" s="1"/>
  <c r="BX186" i="5" s="1"/>
  <c r="BY187" i="5" s="1"/>
  <c r="BZ188" i="5" s="1"/>
  <c r="BT7" i="5"/>
  <c r="BS6" i="5"/>
  <c r="AK131" i="5"/>
  <c r="AZ150" i="5"/>
  <c r="BB150" i="5" s="1"/>
  <c r="AY150" i="5"/>
  <c r="BA150" i="5" s="1"/>
  <c r="Y122" i="5"/>
  <c r="Z122" i="5" s="1"/>
  <c r="L110" i="5"/>
  <c r="AR141" i="5"/>
  <c r="BJ159" i="5"/>
  <c r="T117" i="5"/>
  <c r="AV145" i="5"/>
  <c r="X121" i="5"/>
  <c r="W121" i="5"/>
  <c r="V120" i="5"/>
  <c r="AA125" i="5"/>
  <c r="AW145" i="5"/>
  <c r="G176" i="5"/>
  <c r="G181" i="5"/>
  <c r="G200" i="5"/>
  <c r="G204" i="5" s="1"/>
  <c r="AI133" i="5"/>
  <c r="Z123" i="5"/>
  <c r="BJ160" i="5"/>
  <c r="AS140" i="5"/>
  <c r="AT140" i="5" s="1"/>
  <c r="BM162" i="5"/>
  <c r="BN162" i="5"/>
  <c r="H169" i="5"/>
  <c r="I106" i="5" s="1"/>
  <c r="I169" i="5" s="1"/>
  <c r="J106" i="5" s="1"/>
  <c r="H30" i="5"/>
  <c r="BA36" i="7" a="1"/>
  <c r="BA36" i="7" s="1"/>
  <c r="AY148" i="5"/>
  <c r="BH157" i="5"/>
  <c r="BF154" i="5"/>
  <c r="U117" i="5"/>
  <c r="O43" i="6"/>
  <c r="J109" i="5"/>
  <c r="BR320" i="5" a="1"/>
  <c r="BR320" i="5" s="1"/>
  <c r="BG155" i="5"/>
  <c r="BH155" i="5" s="1"/>
  <c r="BE155" i="5"/>
  <c r="AQ142" i="5"/>
  <c r="AX148" i="5"/>
  <c r="BL36" i="7" a="1"/>
  <c r="BL36" i="7" s="1"/>
  <c r="AH130" i="5"/>
  <c r="K110" i="5"/>
  <c r="BH153" i="5"/>
  <c r="AU144" i="5"/>
  <c r="AN138" i="5"/>
  <c r="AF129" i="5"/>
  <c r="O30" i="6"/>
  <c r="V25" i="3"/>
  <c r="AU146" i="5"/>
  <c r="AV146" i="5" s="1"/>
  <c r="AM135" i="5"/>
  <c r="AO139" i="5"/>
  <c r="AZ148" i="5"/>
  <c r="BA148" i="5" s="1"/>
  <c r="N111" i="5"/>
  <c r="BF155" i="5"/>
  <c r="U119" i="5"/>
  <c r="AB124" i="5"/>
  <c r="AC124" i="5" s="1"/>
  <c r="V117" i="5"/>
  <c r="N30" i="6"/>
  <c r="K30" i="6"/>
  <c r="AJ133" i="5"/>
  <c r="AD127" i="5"/>
  <c r="AE127" i="5"/>
  <c r="AF127" i="5" s="1"/>
  <c r="AF128" i="5"/>
  <c r="AE128" i="5"/>
  <c r="AJ134" i="5"/>
  <c r="N45" i="3"/>
  <c r="V46" i="3"/>
  <c r="AP139" i="5"/>
  <c r="Q114" i="5"/>
  <c r="AZ151" i="5"/>
  <c r="AJ131" i="5"/>
  <c r="Q116" i="5"/>
  <c r="AW147" i="5"/>
  <c r="AK66" i="5" l="1"/>
  <c r="AJ66" i="5"/>
  <c r="BD85" i="5"/>
  <c r="BD86" i="5"/>
  <c r="AW146" i="5"/>
  <c r="AX146" i="5" s="1"/>
  <c r="AA122" i="5"/>
  <c r="BH154" i="5"/>
  <c r="BI154" i="5" s="1"/>
  <c r="J30" i="6"/>
  <c r="BC150" i="5"/>
  <c r="BN159" i="5"/>
  <c r="AH132" i="5"/>
  <c r="AM133" i="5"/>
  <c r="AL133" i="5"/>
  <c r="AK134" i="5"/>
  <c r="AL134" i="5"/>
  <c r="W120" i="5"/>
  <c r="X120" i="5" s="1"/>
  <c r="AU140" i="5"/>
  <c r="AV140" i="5" s="1"/>
  <c r="AW140" i="5" s="1"/>
  <c r="AI130" i="5"/>
  <c r="O45" i="6"/>
  <c r="AC123" i="5"/>
  <c r="AD123" i="5" s="1"/>
  <c r="AV144" i="5"/>
  <c r="T49" i="5"/>
  <c r="AE61" i="5"/>
  <c r="AH61" i="5" s="1"/>
  <c r="BC87" i="5"/>
  <c r="AF64" i="5"/>
  <c r="O47" i="5"/>
  <c r="BN95" i="5"/>
  <c r="AW81" i="5"/>
  <c r="AX81" i="5" s="1"/>
  <c r="AK67" i="5"/>
  <c r="S50" i="5"/>
  <c r="BL96" i="5"/>
  <c r="BM96" i="5" s="1"/>
  <c r="BM94" i="5"/>
  <c r="BN94" i="5" s="1"/>
  <c r="BD87" i="5"/>
  <c r="P48" i="5"/>
  <c r="AM67" i="5"/>
  <c r="BF85" i="5"/>
  <c r="AX147" i="5"/>
  <c r="AY147" i="5" s="1"/>
  <c r="G300" i="5" a="1"/>
  <c r="G300" i="5" s="1"/>
  <c r="G316" i="5" s="1"/>
  <c r="G317" i="5" s="1"/>
  <c r="G320" i="5" a="1"/>
  <c r="G320" i="5" s="1"/>
  <c r="G330" i="5" s="1"/>
  <c r="G331" i="5" s="1"/>
  <c r="G335" i="5" s="1" a="1"/>
  <c r="G335" i="5" s="1"/>
  <c r="G280" i="5"/>
  <c r="G296" i="5" s="1"/>
  <c r="G297" i="5" s="1"/>
  <c r="G177" i="5"/>
  <c r="H182" i="5"/>
  <c r="G172" i="5" a="1"/>
  <c r="G172" i="5" s="1"/>
  <c r="G208" i="5"/>
  <c r="AF126" i="5"/>
  <c r="AG126" i="5" s="1"/>
  <c r="AC122" i="5"/>
  <c r="M45" i="6"/>
  <c r="BJ93" i="5"/>
  <c r="BE85" i="5"/>
  <c r="AD61" i="5"/>
  <c r="AJ67" i="5"/>
  <c r="AF62" i="5"/>
  <c r="Z57" i="5"/>
  <c r="AO72" i="5"/>
  <c r="BG88" i="5"/>
  <c r="U52" i="5"/>
  <c r="L44" i="5"/>
  <c r="BE86" i="5"/>
  <c r="BG154" i="5"/>
  <c r="V45" i="3"/>
  <c r="BI153" i="5"/>
  <c r="BJ153" i="5" s="1"/>
  <c r="BK153" i="5" s="1"/>
  <c r="BL153" i="5" s="1"/>
  <c r="BM153" i="5" s="1"/>
  <c r="BN153" i="5" s="1"/>
  <c r="AM131" i="5"/>
  <c r="BG85" i="5"/>
  <c r="N45" i="5"/>
  <c r="AC58" i="5"/>
  <c r="AL70" i="5"/>
  <c r="AN71" i="5"/>
  <c r="AB58" i="5"/>
  <c r="W55" i="5"/>
  <c r="BJ91" i="5"/>
  <c r="U53" i="5"/>
  <c r="AU79" i="5"/>
  <c r="AV79" i="5" s="1"/>
  <c r="AO71" i="5"/>
  <c r="AT77" i="5"/>
  <c r="Z56" i="5"/>
  <c r="AS75" i="5"/>
  <c r="K43" i="5"/>
  <c r="AV80" i="5"/>
  <c r="AF63" i="5"/>
  <c r="BF90" i="5"/>
  <c r="BG90" i="5" s="1"/>
  <c r="AN135" i="5"/>
  <c r="BL160" i="5"/>
  <c r="BN160" i="5" s="1"/>
  <c r="BM160" i="5"/>
  <c r="R116" i="5"/>
  <c r="R114" i="5"/>
  <c r="N45" i="6"/>
  <c r="AD122" i="5"/>
  <c r="V74" i="3"/>
  <c r="AB123" i="5"/>
  <c r="BI155" i="5"/>
  <c r="BJ155" i="5" s="1"/>
  <c r="BK155" i="5" s="1"/>
  <c r="BL155" i="5" s="1"/>
  <c r="BM155" i="5" s="1"/>
  <c r="AK133" i="5"/>
  <c r="AB125" i="5"/>
  <c r="BD150" i="5"/>
  <c r="AE122" i="5"/>
  <c r="K45" i="6"/>
  <c r="BG156" i="5"/>
  <c r="U118" i="5"/>
  <c r="AO137" i="5"/>
  <c r="T51" i="5"/>
  <c r="AL68" i="5"/>
  <c r="AO73" i="5"/>
  <c r="Y56" i="5"/>
  <c r="K42" i="5"/>
  <c r="BG89" i="5"/>
  <c r="BH89" i="5"/>
  <c r="V54" i="5"/>
  <c r="AL66" i="5"/>
  <c r="BH92" i="5"/>
  <c r="AF61" i="5"/>
  <c r="BT325" i="5" a="1"/>
  <c r="BT325" i="5" s="1"/>
  <c r="BT324" i="5" a="1"/>
  <c r="BT324" i="5" s="1"/>
  <c r="BT323" i="5" a="1"/>
  <c r="BT323" i="5" s="1"/>
  <c r="BT322" i="5" a="1"/>
  <c r="BT322" i="5" s="1"/>
  <c r="BT321" i="5" a="1"/>
  <c r="BT321" i="5" s="1"/>
  <c r="BT302" i="5" a="1"/>
  <c r="BT302" i="5" s="1"/>
  <c r="BT301" i="5" a="1"/>
  <c r="BT301" i="5" s="1"/>
  <c r="BT305" i="5" a="1"/>
  <c r="BT305" i="5" s="1"/>
  <c r="BT303" i="5" a="1"/>
  <c r="BT303" i="5" s="1"/>
  <c r="BT304" i="5" a="1"/>
  <c r="BT304" i="5" s="1"/>
  <c r="BT198" i="5"/>
  <c r="BT181" i="5"/>
  <c r="BU182" i="5" s="1"/>
  <c r="BV183" i="5" s="1"/>
  <c r="BW184" i="5" s="1"/>
  <c r="BX185" i="5" s="1"/>
  <c r="BY186" i="5" s="1"/>
  <c r="BZ187" i="5" s="1"/>
  <c r="BU7" i="5"/>
  <c r="BT6" i="5"/>
  <c r="J108" i="5"/>
  <c r="J169" i="5" s="1"/>
  <c r="K106" i="5" s="1"/>
  <c r="BC152" i="5"/>
  <c r="BA151" i="5"/>
  <c r="X119" i="5"/>
  <c r="G178" i="5"/>
  <c r="AB122" i="5"/>
  <c r="AN131" i="5"/>
  <c r="AO131" i="5" s="1"/>
  <c r="AP131" i="5" s="1"/>
  <c r="AQ131" i="5" s="1"/>
  <c r="AR131" i="5" s="1"/>
  <c r="AS131" i="5" s="1"/>
  <c r="AT131" i="5" s="1"/>
  <c r="AG128" i="5"/>
  <c r="AH128" i="5" s="1"/>
  <c r="AS141" i="5"/>
  <c r="O111" i="5"/>
  <c r="AF122" i="5"/>
  <c r="AG122" i="5" s="1"/>
  <c r="AH122" i="5" s="1"/>
  <c r="AI122" i="5" s="1"/>
  <c r="AJ122" i="5" s="1"/>
  <c r="AK122" i="5" s="1"/>
  <c r="AL122" i="5" s="1"/>
  <c r="AM122" i="5" s="1"/>
  <c r="AN122" i="5" s="1"/>
  <c r="AG129" i="5"/>
  <c r="AO138" i="5"/>
  <c r="N110" i="5"/>
  <c r="AD124" i="5"/>
  <c r="AE124" i="5" s="1"/>
  <c r="AE126" i="5"/>
  <c r="Y121" i="5"/>
  <c r="BJ158" i="5"/>
  <c r="BK158" i="5" s="1"/>
  <c r="BL158" i="5"/>
  <c r="BM158" i="5" s="1"/>
  <c r="BN158" i="5" s="1"/>
  <c r="K109" i="5"/>
  <c r="L109" i="5" s="1"/>
  <c r="L45" i="6"/>
  <c r="BI157" i="5"/>
  <c r="BJ157" i="5" s="1"/>
  <c r="BK157" i="5" s="1"/>
  <c r="BL157" i="5" s="1"/>
  <c r="BM157" i="5" s="1"/>
  <c r="BN157" i="5" s="1"/>
  <c r="AU143" i="5"/>
  <c r="AV143" i="5"/>
  <c r="AT143" i="5"/>
  <c r="Q112" i="5"/>
  <c r="AY82" i="5"/>
  <c r="AC60" i="5"/>
  <c r="AZ84" i="5"/>
  <c r="AD59" i="5"/>
  <c r="AQ74" i="5"/>
  <c r="AG61" i="5"/>
  <c r="M44" i="5"/>
  <c r="AK69" i="5"/>
  <c r="AR76" i="5"/>
  <c r="AL67" i="5"/>
  <c r="R50" i="5"/>
  <c r="AS77" i="5"/>
  <c r="AZ83" i="5"/>
  <c r="N46" i="5"/>
  <c r="BC151" i="5"/>
  <c r="BB151" i="5"/>
  <c r="AM136" i="5"/>
  <c r="AN136" i="5" s="1"/>
  <c r="W117" i="5"/>
  <c r="BB148" i="5"/>
  <c r="AG127" i="5"/>
  <c r="AH127" i="5"/>
  <c r="AI127" i="5" s="1"/>
  <c r="AJ127" i="5" s="1"/>
  <c r="AX145" i="5"/>
  <c r="AQ139" i="5"/>
  <c r="S114" i="5"/>
  <c r="AR142" i="5"/>
  <c r="Q115" i="5"/>
  <c r="O113" i="5"/>
  <c r="AZ149" i="5"/>
  <c r="BA149" i="5" s="1"/>
  <c r="AY145" i="5"/>
  <c r="BH156" i="5"/>
  <c r="AN72" i="5"/>
  <c r="AP72" i="5" s="1"/>
  <c r="AT78" i="5"/>
  <c r="AY83" i="5"/>
  <c r="U51" i="5"/>
  <c r="AH65" i="5"/>
  <c r="H41" i="5"/>
  <c r="H40" i="5" s="1"/>
  <c r="BK160" i="5"/>
  <c r="AF124" i="5" l="1"/>
  <c r="AG124" i="5" s="1"/>
  <c r="AH124" i="5" s="1"/>
  <c r="AI124" i="5" s="1"/>
  <c r="AJ124" i="5" s="1"/>
  <c r="AK124" i="5" s="1"/>
  <c r="AL124" i="5" s="1"/>
  <c r="AM124" i="5" s="1"/>
  <c r="AN124" i="5" s="1"/>
  <c r="AO124" i="5" s="1"/>
  <c r="AP124" i="5" s="1"/>
  <c r="AQ124" i="5" s="1"/>
  <c r="AR124" i="5" s="1"/>
  <c r="AS124" i="5" s="1"/>
  <c r="AT124" i="5" s="1"/>
  <c r="AU124" i="5" s="1"/>
  <c r="AV124" i="5" s="1"/>
  <c r="AW124" i="5" s="1"/>
  <c r="AX124" i="5" s="1"/>
  <c r="AY124" i="5" s="1"/>
  <c r="AZ124" i="5" s="1"/>
  <c r="BA124" i="5" s="1"/>
  <c r="BB124" i="5" s="1"/>
  <c r="BC124" i="5" s="1"/>
  <c r="BD124" i="5" s="1"/>
  <c r="BE124" i="5" s="1"/>
  <c r="BF124" i="5" s="1"/>
  <c r="BG124" i="5" s="1"/>
  <c r="BH124" i="5" s="1"/>
  <c r="BI124" i="5" s="1"/>
  <c r="BJ124" i="5" s="1"/>
  <c r="BK124" i="5" s="1"/>
  <c r="BL124" i="5" s="1"/>
  <c r="BM124" i="5" s="1"/>
  <c r="BN124" i="5" s="1"/>
  <c r="AQ72" i="5"/>
  <c r="AH126" i="5"/>
  <c r="AI126" i="5" s="1"/>
  <c r="AJ126" i="5" s="1"/>
  <c r="AK126" i="5" s="1"/>
  <c r="AL126" i="5" s="1"/>
  <c r="AZ147" i="5"/>
  <c r="BA147" i="5" s="1"/>
  <c r="BB147" i="5" s="1"/>
  <c r="BC147" i="5" s="1"/>
  <c r="BD147" i="5" s="1"/>
  <c r="BE147" i="5" s="1"/>
  <c r="AY146" i="5"/>
  <c r="AE123" i="5"/>
  <c r="AI128" i="5"/>
  <c r="L108" i="5"/>
  <c r="AY140" i="5"/>
  <c r="AX140" i="5"/>
  <c r="P111" i="5"/>
  <c r="BH90" i="5"/>
  <c r="AP71" i="5"/>
  <c r="AT75" i="5"/>
  <c r="AH129" i="5"/>
  <c r="AI129" i="5" s="1"/>
  <c r="AP73" i="5"/>
  <c r="AD60" i="5"/>
  <c r="R115" i="5"/>
  <c r="S115" i="5" s="1"/>
  <c r="T115" i="5" s="1"/>
  <c r="U115" i="5" s="1"/>
  <c r="AG63" i="5"/>
  <c r="T50" i="5"/>
  <c r="AR74" i="5"/>
  <c r="AI132" i="5"/>
  <c r="BC148" i="5"/>
  <c r="BD148" i="5" s="1"/>
  <c r="BE148" i="5" s="1"/>
  <c r="BF148" i="5" s="1"/>
  <c r="BG148" i="5" s="1"/>
  <c r="BH148" i="5" s="1"/>
  <c r="BJ154" i="5"/>
  <c r="BK154" i="5" s="1"/>
  <c r="BI86" i="5"/>
  <c r="BK86" i="5" s="1"/>
  <c r="BL86" i="5" s="1"/>
  <c r="BM86" i="5" s="1"/>
  <c r="BF86" i="5"/>
  <c r="AM66" i="5"/>
  <c r="AP137" i="5"/>
  <c r="AT137" i="5" s="1"/>
  <c r="AU137" i="5" s="1"/>
  <c r="AV137" i="5" s="1"/>
  <c r="AW137" i="5" s="1"/>
  <c r="AX137" i="5" s="1"/>
  <c r="AY137" i="5" s="1"/>
  <c r="AR137" i="5"/>
  <c r="AS137" i="5" s="1"/>
  <c r="AQ137" i="5"/>
  <c r="X55" i="5"/>
  <c r="AQ71" i="5"/>
  <c r="O45" i="5"/>
  <c r="AV131" i="5"/>
  <c r="AW131" i="5" s="1"/>
  <c r="AX131" i="5" s="1"/>
  <c r="AY131" i="5" s="1"/>
  <c r="AZ131" i="5" s="1"/>
  <c r="BA131" i="5" s="1"/>
  <c r="BB131" i="5" s="1"/>
  <c r="BC131" i="5" s="1"/>
  <c r="BD131" i="5" s="1"/>
  <c r="BE131" i="5" s="1"/>
  <c r="BF131" i="5" s="1"/>
  <c r="BG131" i="5" s="1"/>
  <c r="BH131" i="5" s="1"/>
  <c r="BI131" i="5" s="1"/>
  <c r="BJ131" i="5" s="1"/>
  <c r="BK131" i="5" s="1"/>
  <c r="BL131" i="5" s="1"/>
  <c r="BM131" i="5" s="1"/>
  <c r="BN131" i="5" s="1"/>
  <c r="BL154" i="5"/>
  <c r="BM154" i="5" s="1"/>
  <c r="BN154" i="5" s="1"/>
  <c r="AK127" i="5"/>
  <c r="AL127" i="5" s="1"/>
  <c r="AM127" i="5" s="1"/>
  <c r="AN127" i="5" s="1"/>
  <c r="AO127" i="5" s="1"/>
  <c r="AP127" i="5" s="1"/>
  <c r="AQ127" i="5" s="1"/>
  <c r="AR127" i="5" s="1"/>
  <c r="AS127" i="5" s="1"/>
  <c r="AT127" i="5" s="1"/>
  <c r="AU127" i="5" s="1"/>
  <c r="AV127" i="5" s="1"/>
  <c r="AW127" i="5" s="1"/>
  <c r="AX127" i="5" s="1"/>
  <c r="AY127" i="5" s="1"/>
  <c r="AZ127" i="5" s="1"/>
  <c r="BA127" i="5" s="1"/>
  <c r="BB127" i="5" s="1"/>
  <c r="BC127" i="5" s="1"/>
  <c r="BD127" i="5" s="1"/>
  <c r="BE127" i="5" s="1"/>
  <c r="BF127" i="5" s="1"/>
  <c r="BG127" i="5" s="1"/>
  <c r="BH127" i="5" s="1"/>
  <c r="BI127" i="5" s="1"/>
  <c r="BJ127" i="5" s="1"/>
  <c r="BK127" i="5" s="1"/>
  <c r="BL127" i="5" s="1"/>
  <c r="BM127" i="5" s="1"/>
  <c r="BN127" i="5" s="1"/>
  <c r="Q48" i="5"/>
  <c r="BA83" i="5"/>
  <c r="V115" i="5"/>
  <c r="W115" i="5" s="1"/>
  <c r="X115" i="5" s="1"/>
  <c r="Y115" i="5" s="1"/>
  <c r="Z115" i="5" s="1"/>
  <c r="AA115" i="5" s="1"/>
  <c r="AB115" i="5" s="1"/>
  <c r="AC115" i="5" s="1"/>
  <c r="AD115" i="5" s="1"/>
  <c r="AE115" i="5" s="1"/>
  <c r="AF115" i="5" s="1"/>
  <c r="AG115" i="5" s="1"/>
  <c r="AH115" i="5" s="1"/>
  <c r="AI115" i="5" s="1"/>
  <c r="AJ115" i="5" s="1"/>
  <c r="AK115" i="5" s="1"/>
  <c r="AL115" i="5" s="1"/>
  <c r="AM115" i="5" s="1"/>
  <c r="AN115" i="5" s="1"/>
  <c r="AO115" i="5" s="1"/>
  <c r="AP115" i="5" s="1"/>
  <c r="AQ115" i="5" s="1"/>
  <c r="AR115" i="5" s="1"/>
  <c r="AS115" i="5" s="1"/>
  <c r="AT115" i="5" s="1"/>
  <c r="AU115" i="5" s="1"/>
  <c r="AV115" i="5" s="1"/>
  <c r="AW115" i="5" s="1"/>
  <c r="AX115" i="5" s="1"/>
  <c r="AY115" i="5" s="1"/>
  <c r="AZ115" i="5" s="1"/>
  <c r="BA115" i="5" s="1"/>
  <c r="BB115" i="5" s="1"/>
  <c r="BC115" i="5" s="1"/>
  <c r="BD115" i="5" s="1"/>
  <c r="BE115" i="5" s="1"/>
  <c r="BF115" i="5" s="1"/>
  <c r="BG115" i="5" s="1"/>
  <c r="BH115" i="5" s="1"/>
  <c r="BI115" i="5" s="1"/>
  <c r="BJ115" i="5" s="1"/>
  <c r="BK115" i="5" s="1"/>
  <c r="BL115" i="5" s="1"/>
  <c r="BM115" i="5" s="1"/>
  <c r="BN115" i="5" s="1"/>
  <c r="AW143" i="5"/>
  <c r="AX143" i="5" s="1"/>
  <c r="AY143" i="5" s="1"/>
  <c r="BK93" i="5"/>
  <c r="BL93" i="5" s="1"/>
  <c r="BM93" i="5" s="1"/>
  <c r="BN93" i="5" s="1"/>
  <c r="BG86" i="5"/>
  <c r="AM69" i="5"/>
  <c r="AO69" i="5" s="1"/>
  <c r="AL69" i="5"/>
  <c r="J45" i="6"/>
  <c r="AM70" i="5"/>
  <c r="BI90" i="5"/>
  <c r="BJ90" i="5" s="1"/>
  <c r="AD58" i="5"/>
  <c r="G229" i="5"/>
  <c r="G227" i="5" s="1"/>
  <c r="G174" i="5"/>
  <c r="G202" i="5"/>
  <c r="G173" i="5"/>
  <c r="AG123" i="5"/>
  <c r="AH123" i="5" s="1"/>
  <c r="AI123" i="5" s="1"/>
  <c r="AU131" i="5"/>
  <c r="BJ86" i="5"/>
  <c r="H232" i="5"/>
  <c r="H231" i="5" s="1"/>
  <c r="H32" i="5"/>
  <c r="H101" i="5"/>
  <c r="K108" i="5"/>
  <c r="K169" i="5" s="1"/>
  <c r="L106" i="5" s="1"/>
  <c r="L169" i="5" s="1"/>
  <c r="M106" i="5" s="1"/>
  <c r="M169" i="5" s="1"/>
  <c r="N106" i="5" s="1"/>
  <c r="M109" i="5"/>
  <c r="M108" i="5" s="1"/>
  <c r="I183" i="5"/>
  <c r="H228" i="5"/>
  <c r="H301" i="5" a="1"/>
  <c r="H301" i="5" s="1"/>
  <c r="H281" i="5"/>
  <c r="H321" i="5" a="1"/>
  <c r="H321" i="5" s="1"/>
  <c r="BF147" i="5"/>
  <c r="BG147" i="5" s="1"/>
  <c r="BH147" i="5" s="1"/>
  <c r="BI147" i="5" s="1"/>
  <c r="BJ147" i="5" s="1"/>
  <c r="BK147" i="5" s="1"/>
  <c r="BL147" i="5" s="1"/>
  <c r="BM147" i="5" s="1"/>
  <c r="BN147" i="5" s="1"/>
  <c r="P47" i="5"/>
  <c r="BH86" i="5"/>
  <c r="O110" i="5"/>
  <c r="R112" i="5"/>
  <c r="AN69" i="5"/>
  <c r="N44" i="5"/>
  <c r="AU78" i="5"/>
  <c r="AI61" i="5"/>
  <c r="AD125" i="5"/>
  <c r="AE125" i="5" s="1"/>
  <c r="BT320" i="5" a="1"/>
  <c r="BT320" i="5" s="1"/>
  <c r="BK91" i="5"/>
  <c r="BM91" i="5" s="1"/>
  <c r="BN91" i="5" s="1"/>
  <c r="AZ140" i="5"/>
  <c r="BA140" i="5" s="1"/>
  <c r="BB140" i="5" s="1"/>
  <c r="BC140" i="5" s="1"/>
  <c r="BD140" i="5" s="1"/>
  <c r="BE140" i="5" s="1"/>
  <c r="BF140" i="5" s="1"/>
  <c r="BG140" i="5" s="1"/>
  <c r="BH140" i="5" s="1"/>
  <c r="BI140" i="5" s="1"/>
  <c r="BJ140" i="5" s="1"/>
  <c r="BK140" i="5" s="1"/>
  <c r="BL140" i="5" s="1"/>
  <c r="BM140" i="5" s="1"/>
  <c r="BN140" i="5" s="1"/>
  <c r="Z121" i="5"/>
  <c r="AS71" i="5"/>
  <c r="AS76" i="5"/>
  <c r="AI65" i="5"/>
  <c r="BH85" i="5"/>
  <c r="BI85" i="5" s="1"/>
  <c r="AW144" i="5"/>
  <c r="BE150" i="5"/>
  <c r="AK130" i="5"/>
  <c r="AJ130" i="5"/>
  <c r="AM134" i="5"/>
  <c r="AN134" i="5" s="1"/>
  <c r="BL91" i="5"/>
  <c r="AZ146" i="5"/>
  <c r="BA146" i="5" s="1"/>
  <c r="BB146" i="5" s="1"/>
  <c r="BC146" i="5" s="1"/>
  <c r="BD146" i="5" s="1"/>
  <c r="BE146" i="5" s="1"/>
  <c r="BF146" i="5" s="1"/>
  <c r="BG146" i="5" s="1"/>
  <c r="BH146" i="5" s="1"/>
  <c r="BI146" i="5" s="1"/>
  <c r="BJ146" i="5" s="1"/>
  <c r="BK146" i="5" s="1"/>
  <c r="BL146" i="5" s="1"/>
  <c r="BM146" i="5" s="1"/>
  <c r="BN146" i="5" s="1"/>
  <c r="Y119" i="5"/>
  <c r="W54" i="5"/>
  <c r="X54" i="5"/>
  <c r="BI156" i="5"/>
  <c r="AS135" i="5"/>
  <c r="AT135" i="5" s="1"/>
  <c r="AO135" i="5"/>
  <c r="AN70" i="5"/>
  <c r="V118" i="5"/>
  <c r="AZ143" i="5"/>
  <c r="BJ156" i="5"/>
  <c r="BK156" i="5" s="1"/>
  <c r="BL156" i="5" s="1"/>
  <c r="BM156" i="5" s="1"/>
  <c r="BN156" i="5" s="1"/>
  <c r="AW80" i="5"/>
  <c r="O46" i="5"/>
  <c r="I41" i="5"/>
  <c r="AJ61" i="5"/>
  <c r="AU77" i="5"/>
  <c r="BA143" i="5"/>
  <c r="BB143" i="5" s="1"/>
  <c r="BC143" i="5" s="1"/>
  <c r="BD143" i="5" s="1"/>
  <c r="BE143" i="5" s="1"/>
  <c r="BF143" i="5" s="1"/>
  <c r="BG143" i="5" s="1"/>
  <c r="BH143" i="5" s="1"/>
  <c r="BI143" i="5" s="1"/>
  <c r="BJ143" i="5" s="1"/>
  <c r="BK143" i="5" s="1"/>
  <c r="BL143" i="5" s="1"/>
  <c r="BM143" i="5" s="1"/>
  <c r="BN143" i="5" s="1"/>
  <c r="AM126" i="5"/>
  <c r="AN126" i="5" s="1"/>
  <c r="AO126" i="5" s="1"/>
  <c r="AP126" i="5" s="1"/>
  <c r="AQ126" i="5" s="1"/>
  <c r="AR126" i="5" s="1"/>
  <c r="AS126" i="5" s="1"/>
  <c r="AT126" i="5" s="1"/>
  <c r="AU126" i="5"/>
  <c r="AV126" i="5" s="1"/>
  <c r="AW126" i="5" s="1"/>
  <c r="AX126" i="5" s="1"/>
  <c r="AY126" i="5" s="1"/>
  <c r="AZ126" i="5" s="1"/>
  <c r="BA126" i="5" s="1"/>
  <c r="BB126" i="5" s="1"/>
  <c r="BC126" i="5" s="1"/>
  <c r="BD126" i="5" s="1"/>
  <c r="BE126" i="5" s="1"/>
  <c r="BF126" i="5" s="1"/>
  <c r="BG126" i="5" s="1"/>
  <c r="BH126" i="5" s="1"/>
  <c r="BI126" i="5" s="1"/>
  <c r="BJ126" i="5" s="1"/>
  <c r="BK126" i="5" s="1"/>
  <c r="BL126" i="5" s="1"/>
  <c r="BM126" i="5" s="1"/>
  <c r="BN126" i="5" s="1"/>
  <c r="Q111" i="5"/>
  <c r="R111" i="5" s="1"/>
  <c r="S111" i="5" s="1"/>
  <c r="T111" i="5" s="1"/>
  <c r="BD151" i="5"/>
  <c r="BT300" i="5" a="1"/>
  <c r="BT300" i="5" s="1"/>
  <c r="L42" i="5"/>
  <c r="M42" i="5"/>
  <c r="AP135" i="5"/>
  <c r="AQ135" i="5" s="1"/>
  <c r="AR135" i="5" s="1"/>
  <c r="T114" i="5"/>
  <c r="S116" i="5"/>
  <c r="AG62" i="5"/>
  <c r="V53" i="5"/>
  <c r="AK61" i="5"/>
  <c r="O44" i="5"/>
  <c r="BE87" i="5"/>
  <c r="G209" i="5"/>
  <c r="V51" i="5"/>
  <c r="BN96" i="5"/>
  <c r="U49" i="5"/>
  <c r="AA57" i="5"/>
  <c r="AY81" i="5"/>
  <c r="BD152" i="5"/>
  <c r="BE152" i="5" s="1"/>
  <c r="BF152" i="5" s="1"/>
  <c r="BG152" i="5" s="1"/>
  <c r="BH152" i="5" s="1"/>
  <c r="BI152" i="5" s="1"/>
  <c r="BJ152" i="5" s="1"/>
  <c r="BI148" i="5"/>
  <c r="BJ148" i="5" s="1"/>
  <c r="BK148" i="5" s="1"/>
  <c r="BL148" i="5" s="1"/>
  <c r="BM148" i="5" s="1"/>
  <c r="BN148" i="5" s="1"/>
  <c r="AN128" i="5"/>
  <c r="AO128" i="5" s="1"/>
  <c r="AP128" i="5" s="1"/>
  <c r="AQ128" i="5" s="1"/>
  <c r="AR128" i="5" s="1"/>
  <c r="AS128" i="5" s="1"/>
  <c r="AT128" i="5" s="1"/>
  <c r="AU128" i="5" s="1"/>
  <c r="AV128" i="5" s="1"/>
  <c r="AW128" i="5" s="1"/>
  <c r="AX128" i="5" s="1"/>
  <c r="AY128" i="5" s="1"/>
  <c r="AZ128" i="5" s="1"/>
  <c r="BA128" i="5" s="1"/>
  <c r="BB128" i="5" s="1"/>
  <c r="BC128" i="5" s="1"/>
  <c r="BD128" i="5" s="1"/>
  <c r="BE128" i="5" s="1"/>
  <c r="BF128" i="5" s="1"/>
  <c r="BG128" i="5" s="1"/>
  <c r="BH128" i="5" s="1"/>
  <c r="BI128" i="5" s="1"/>
  <c r="BJ128" i="5" s="1"/>
  <c r="BK128" i="5" s="1"/>
  <c r="BL128" i="5" s="1"/>
  <c r="BM128" i="5" s="1"/>
  <c r="BN128" i="5" s="1"/>
  <c r="AJ132" i="5"/>
  <c r="BN155" i="5"/>
  <c r="BI92" i="5"/>
  <c r="BJ92" i="5" s="1"/>
  <c r="AC125" i="5"/>
  <c r="BA84" i="5"/>
  <c r="AL61" i="5"/>
  <c r="AO122" i="5"/>
  <c r="AP122" i="5" s="1"/>
  <c r="AQ122" i="5" s="1"/>
  <c r="AR122" i="5" s="1"/>
  <c r="AS122" i="5" s="1"/>
  <c r="AT122" i="5" s="1"/>
  <c r="AU122" i="5" s="1"/>
  <c r="AV122" i="5" s="1"/>
  <c r="AW122" i="5" s="1"/>
  <c r="AX122" i="5" s="1"/>
  <c r="AY122" i="5" s="1"/>
  <c r="AZ122" i="5" s="1"/>
  <c r="BA122" i="5" s="1"/>
  <c r="BB122" i="5" s="1"/>
  <c r="BC122" i="5" s="1"/>
  <c r="BD122" i="5" s="1"/>
  <c r="BE122" i="5" s="1"/>
  <c r="BF122" i="5" s="1"/>
  <c r="BG122" i="5" s="1"/>
  <c r="BH122" i="5" s="1"/>
  <c r="BI122" i="5" s="1"/>
  <c r="BJ122" i="5" s="1"/>
  <c r="BK122" i="5" s="1"/>
  <c r="BL122" i="5" s="1"/>
  <c r="BM122" i="5" s="1"/>
  <c r="BN122" i="5" s="1"/>
  <c r="AO136" i="5"/>
  <c r="AT136" i="5"/>
  <c r="AU136" i="5" s="1"/>
  <c r="AV136" i="5" s="1"/>
  <c r="AW136" i="5" s="1"/>
  <c r="AX136" i="5" s="1"/>
  <c r="AY136" i="5" s="1"/>
  <c r="AZ136" i="5" s="1"/>
  <c r="BA136" i="5" s="1"/>
  <c r="BB136" i="5" s="1"/>
  <c r="BC136" i="5" s="1"/>
  <c r="BD136" i="5" s="1"/>
  <c r="BE136" i="5" s="1"/>
  <c r="BF136" i="5" s="1"/>
  <c r="BG136" i="5" s="1"/>
  <c r="AP138" i="5"/>
  <c r="AQ138" i="5" s="1"/>
  <c r="AR138" i="5" s="1"/>
  <c r="AS138" i="5" s="1"/>
  <c r="AT138" i="5" s="1"/>
  <c r="AU138" i="5" s="1"/>
  <c r="AV138" i="5" s="1"/>
  <c r="AW138" i="5" s="1"/>
  <c r="AX138" i="5" s="1"/>
  <c r="BU326" i="5" a="1"/>
  <c r="BU326" i="5" s="1"/>
  <c r="BU323" i="5" a="1"/>
  <c r="BU323" i="5" s="1"/>
  <c r="BU322" i="5" a="1"/>
  <c r="BU322" i="5" s="1"/>
  <c r="BU324" i="5" a="1"/>
  <c r="BU324" i="5" s="1"/>
  <c r="BU325" i="5" a="1"/>
  <c r="BU325" i="5" s="1"/>
  <c r="BU306" i="5" a="1"/>
  <c r="BU306" i="5" s="1"/>
  <c r="BU305" i="5" a="1"/>
  <c r="BU305" i="5" s="1"/>
  <c r="BU321" i="5" a="1"/>
  <c r="BU321" i="5" s="1"/>
  <c r="BU301" i="5" a="1"/>
  <c r="BU301" i="5" s="1"/>
  <c r="BU198" i="5"/>
  <c r="BU181" i="5"/>
  <c r="BV182" i="5" s="1"/>
  <c r="BW183" i="5" s="1"/>
  <c r="BX184" i="5" s="1"/>
  <c r="BY185" i="5" s="1"/>
  <c r="BZ186" i="5" s="1"/>
  <c r="BU302" i="5" a="1"/>
  <c r="BU302" i="5" s="1"/>
  <c r="BU303" i="5" a="1"/>
  <c r="BU303" i="5" s="1"/>
  <c r="BU304" i="5" a="1"/>
  <c r="BU304" i="5" s="1"/>
  <c r="BV7" i="5"/>
  <c r="BU6" i="5"/>
  <c r="AJ128" i="5"/>
  <c r="AK128" i="5" s="1"/>
  <c r="AL128" i="5" s="1"/>
  <c r="AM128" i="5" s="1"/>
  <c r="X117" i="5"/>
  <c r="BB149" i="5"/>
  <c r="BC149" i="5" s="1"/>
  <c r="BD149" i="5" s="1"/>
  <c r="BE149" i="5" s="1"/>
  <c r="BF149" i="5" s="1"/>
  <c r="BG149" i="5" s="1"/>
  <c r="BH149" i="5" s="1"/>
  <c r="BI149" i="5" s="1"/>
  <c r="BJ149" i="5" s="1"/>
  <c r="BK149" i="5" s="1"/>
  <c r="BL149" i="5" s="1"/>
  <c r="BM149" i="5" s="1"/>
  <c r="BN149" i="5" s="1"/>
  <c r="Q44" i="5"/>
  <c r="BI89" i="5"/>
  <c r="V52" i="5"/>
  <c r="P113" i="5"/>
  <c r="AS142" i="5"/>
  <c r="Y120" i="5"/>
  <c r="AR139" i="5"/>
  <c r="AE59" i="5"/>
  <c r="P44" i="5"/>
  <c r="R44" i="5" s="1"/>
  <c r="AA56" i="5"/>
  <c r="AF123" i="5"/>
  <c r="AZ145" i="5"/>
  <c r="BA145" i="5" s="1"/>
  <c r="BB145" i="5" s="1"/>
  <c r="BC145" i="5" s="1"/>
  <c r="BD145" i="5" s="1"/>
  <c r="BE145" i="5" s="1"/>
  <c r="BF145" i="5" s="1"/>
  <c r="BG145" i="5" s="1"/>
  <c r="BH145" i="5" s="1"/>
  <c r="BI145" i="5" s="1"/>
  <c r="BJ145" i="5" s="1"/>
  <c r="BK145" i="5" s="1"/>
  <c r="AP136" i="5"/>
  <c r="AQ136" i="5" s="1"/>
  <c r="AR136" i="5" s="1"/>
  <c r="AS136" i="5" s="1"/>
  <c r="AM68" i="5"/>
  <c r="BH88" i="5"/>
  <c r="BI88" i="5" s="1"/>
  <c r="AR71" i="5"/>
  <c r="L43" i="5"/>
  <c r="AG64" i="5"/>
  <c r="BA82" i="5"/>
  <c r="BB82" i="5" s="1"/>
  <c r="AW79" i="5"/>
  <c r="AN67" i="5"/>
  <c r="AO67" i="5" s="1"/>
  <c r="AZ82" i="5"/>
  <c r="AT141" i="5"/>
  <c r="AN133" i="5"/>
  <c r="AU135" i="5" l="1"/>
  <c r="AO134" i="5"/>
  <c r="AP134" i="5" s="1"/>
  <c r="AQ134" i="5" s="1"/>
  <c r="AR134" i="5" s="1"/>
  <c r="AS134" i="5" s="1"/>
  <c r="AT134" i="5" s="1"/>
  <c r="AU134" i="5" s="1"/>
  <c r="AV134" i="5" s="1"/>
  <c r="AW134" i="5" s="1"/>
  <c r="AX134" i="5" s="1"/>
  <c r="AY134" i="5" s="1"/>
  <c r="AZ134" i="5" s="1"/>
  <c r="BA134" i="5" s="1"/>
  <c r="BB134" i="5" s="1"/>
  <c r="BC134" i="5" s="1"/>
  <c r="BD134" i="5" s="1"/>
  <c r="BE134" i="5" s="1"/>
  <c r="BF134" i="5" s="1"/>
  <c r="BG134" i="5" s="1"/>
  <c r="BH134" i="5" s="1"/>
  <c r="BI134" i="5" s="1"/>
  <c r="BJ134" i="5" s="1"/>
  <c r="BK134" i="5" s="1"/>
  <c r="AJ129" i="5"/>
  <c r="BK92" i="5"/>
  <c r="BL92" i="5"/>
  <c r="BM92" i="5" s="1"/>
  <c r="BN92" i="5" s="1"/>
  <c r="AJ123" i="5"/>
  <c r="AK123" i="5" s="1"/>
  <c r="AL123" i="5" s="1"/>
  <c r="AM123" i="5" s="1"/>
  <c r="AN123" i="5" s="1"/>
  <c r="AO123" i="5" s="1"/>
  <c r="AP123" i="5" s="1"/>
  <c r="AQ123" i="5" s="1"/>
  <c r="AF125" i="5"/>
  <c r="AG125" i="5" s="1"/>
  <c r="AH125" i="5" s="1"/>
  <c r="AI125" i="5" s="1"/>
  <c r="AJ125" i="5" s="1"/>
  <c r="AK125" i="5"/>
  <c r="AL125" i="5" s="1"/>
  <c r="AM125" i="5" s="1"/>
  <c r="AN125" i="5" s="1"/>
  <c r="AO125" i="5" s="1"/>
  <c r="AP125" i="5" s="1"/>
  <c r="AQ125" i="5" s="1"/>
  <c r="AR125" i="5" s="1"/>
  <c r="AS125" i="5" s="1"/>
  <c r="AT125" i="5" s="1"/>
  <c r="AU125" i="5" s="1"/>
  <c r="AV125" i="5" s="1"/>
  <c r="AW125" i="5" s="1"/>
  <c r="AX125" i="5" s="1"/>
  <c r="AY125" i="5" s="1"/>
  <c r="AZ125" i="5" s="1"/>
  <c r="BA125" i="5" s="1"/>
  <c r="BB125" i="5" s="1"/>
  <c r="BC125" i="5" s="1"/>
  <c r="BD125" i="5" s="1"/>
  <c r="BE125" i="5" s="1"/>
  <c r="BF125" i="5" s="1"/>
  <c r="BG125" i="5" s="1"/>
  <c r="BH125" i="5" s="1"/>
  <c r="BI125" i="5" s="1"/>
  <c r="BJ125" i="5" s="1"/>
  <c r="BK125" i="5" s="1"/>
  <c r="BL125" i="5" s="1"/>
  <c r="BM125" i="5" s="1"/>
  <c r="BN125" i="5" s="1"/>
  <c r="AP69" i="5"/>
  <c r="BN86" i="5"/>
  <c r="S112" i="5"/>
  <c r="T112" i="5" s="1"/>
  <c r="U112" i="5" s="1"/>
  <c r="V112" i="5" s="1"/>
  <c r="W112" i="5" s="1"/>
  <c r="X112" i="5" s="1"/>
  <c r="Y112" i="5" s="1"/>
  <c r="AX80" i="5"/>
  <c r="N109" i="5"/>
  <c r="BH136" i="5"/>
  <c r="BI136" i="5" s="1"/>
  <c r="BJ136" i="5" s="1"/>
  <c r="BK136" i="5" s="1"/>
  <c r="BL136" i="5" s="1"/>
  <c r="BM136" i="5" s="1"/>
  <c r="BN136" i="5" s="1"/>
  <c r="AV135" i="5"/>
  <c r="AW135" i="5" s="1"/>
  <c r="AR123" i="5"/>
  <c r="AS123" i="5" s="1"/>
  <c r="AT123" i="5" s="1"/>
  <c r="AU123" i="5" s="1"/>
  <c r="AV123" i="5" s="1"/>
  <c r="AW123" i="5" s="1"/>
  <c r="AX123" i="5" s="1"/>
  <c r="AY123" i="5" s="1"/>
  <c r="AZ123" i="5" s="1"/>
  <c r="BA123" i="5" s="1"/>
  <c r="BB123" i="5" s="1"/>
  <c r="BC123" i="5" s="1"/>
  <c r="BD123" i="5" s="1"/>
  <c r="BE123" i="5" s="1"/>
  <c r="BF123" i="5" s="1"/>
  <c r="BG123" i="5" s="1"/>
  <c r="BH123" i="5" s="1"/>
  <c r="BI123" i="5" s="1"/>
  <c r="BJ123" i="5" s="1"/>
  <c r="BK123" i="5" s="1"/>
  <c r="BL123" i="5" s="1"/>
  <c r="BM123" i="5" s="1"/>
  <c r="BN123" i="5" s="1"/>
  <c r="BL145" i="5"/>
  <c r="BM145" i="5" s="1"/>
  <c r="BN145" i="5" s="1"/>
  <c r="BJ89" i="5"/>
  <c r="BK89" i="5" s="1"/>
  <c r="BL89" i="5" s="1"/>
  <c r="BM89" i="5" s="1"/>
  <c r="BN89" i="5" s="1"/>
  <c r="BU300" i="5" a="1"/>
  <c r="BU300" i="5" s="1"/>
  <c r="W51" i="5"/>
  <c r="W118" i="5"/>
  <c r="X118" i="5" s="1"/>
  <c r="Y118" i="5" s="1"/>
  <c r="Y54" i="5"/>
  <c r="AL130" i="5"/>
  <c r="AM130" i="5" s="1"/>
  <c r="AN130" i="5" s="1"/>
  <c r="AO130" i="5" s="1"/>
  <c r="AP130" i="5" s="1"/>
  <c r="AQ130" i="5" s="1"/>
  <c r="AR130" i="5" s="1"/>
  <c r="AS130" i="5" s="1"/>
  <c r="AT130" i="5" s="1"/>
  <c r="AU130" i="5" s="1"/>
  <c r="AV130" i="5" s="1"/>
  <c r="AW130" i="5" s="1"/>
  <c r="AX130" i="5" s="1"/>
  <c r="AY130" i="5" s="1"/>
  <c r="AZ130" i="5" s="1"/>
  <c r="BA130" i="5" s="1"/>
  <c r="BB130" i="5" s="1"/>
  <c r="BC130" i="5" s="1"/>
  <c r="BD130" i="5" s="1"/>
  <c r="BE130" i="5" s="1"/>
  <c r="BF130" i="5" s="1"/>
  <c r="BG130" i="5" s="1"/>
  <c r="BH130" i="5" s="1"/>
  <c r="BI130" i="5" s="1"/>
  <c r="BJ130" i="5" s="1"/>
  <c r="BK130" i="5" s="1"/>
  <c r="BL130" i="5" s="1"/>
  <c r="BM130" i="5" s="1"/>
  <c r="BN130" i="5" s="1"/>
  <c r="AT76" i="5"/>
  <c r="T44" i="5"/>
  <c r="J41" i="5"/>
  <c r="BB83" i="5"/>
  <c r="U50" i="5"/>
  <c r="AK132" i="5"/>
  <c r="AL132" i="5" s="1"/>
  <c r="AM132" i="5" s="1"/>
  <c r="AN132" i="5" s="1"/>
  <c r="AO132" i="5" s="1"/>
  <c r="AP132" i="5" s="1"/>
  <c r="AQ132" i="5" s="1"/>
  <c r="AR132" i="5" s="1"/>
  <c r="AS132" i="5" s="1"/>
  <c r="AT132" i="5" s="1"/>
  <c r="AU132" i="5" s="1"/>
  <c r="AV132" i="5" s="1"/>
  <c r="AW132" i="5" s="1"/>
  <c r="AX132" i="5" s="1"/>
  <c r="AY132" i="5" s="1"/>
  <c r="AZ132" i="5" s="1"/>
  <c r="BA132" i="5" s="1"/>
  <c r="BB132" i="5" s="1"/>
  <c r="BC132" i="5" s="1"/>
  <c r="BD132" i="5" s="1"/>
  <c r="BE132" i="5" s="1"/>
  <c r="BF132" i="5" s="1"/>
  <c r="BG132" i="5" s="1"/>
  <c r="BH132" i="5" s="1"/>
  <c r="BI132" i="5" s="1"/>
  <c r="BJ132" i="5" s="1"/>
  <c r="BK132" i="5" s="1"/>
  <c r="BL132" i="5" s="1"/>
  <c r="BM132" i="5" s="1"/>
  <c r="BN132" i="5" s="1"/>
  <c r="AO70" i="5"/>
  <c r="U44" i="5"/>
  <c r="AZ137" i="5"/>
  <c r="BA137" i="5" s="1"/>
  <c r="BB137" i="5" s="1"/>
  <c r="BC137" i="5" s="1"/>
  <c r="BD137" i="5" s="1"/>
  <c r="BE137" i="5" s="1"/>
  <c r="BF137" i="5" s="1"/>
  <c r="BG137" i="5" s="1"/>
  <c r="BH137" i="5" s="1"/>
  <c r="BI137" i="5" s="1"/>
  <c r="BJ137" i="5" s="1"/>
  <c r="BK137" i="5" s="1"/>
  <c r="BL137" i="5" s="1"/>
  <c r="BM137" i="5" s="1"/>
  <c r="BN137" i="5" s="1"/>
  <c r="BD84" i="5"/>
  <c r="BE84" i="5" s="1"/>
  <c r="BF84" i="5" s="1"/>
  <c r="BG84" i="5" s="1"/>
  <c r="BH84" i="5" s="1"/>
  <c r="BI84" i="5" s="1"/>
  <c r="BJ84" i="5" s="1"/>
  <c r="BK84" i="5" s="1"/>
  <c r="AB56" i="5"/>
  <c r="AN68" i="5"/>
  <c r="BK152" i="5"/>
  <c r="AM61" i="5"/>
  <c r="AX79" i="5"/>
  <c r="W52" i="5"/>
  <c r="BK90" i="5"/>
  <c r="BL90" i="5" s="1"/>
  <c r="AU75" i="5"/>
  <c r="P46" i="5"/>
  <c r="AU71" i="5"/>
  <c r="AV71" i="5" s="1"/>
  <c r="AW71" i="5" s="1"/>
  <c r="AX71" i="5" s="1"/>
  <c r="AY71" i="5" s="1"/>
  <c r="AZ71" i="5" s="1"/>
  <c r="BA71" i="5" s="1"/>
  <c r="BB71" i="5" s="1"/>
  <c r="BC71" i="5" s="1"/>
  <c r="BD71" i="5" s="1"/>
  <c r="BE71" i="5" s="1"/>
  <c r="BF71" i="5" s="1"/>
  <c r="BG71" i="5" s="1"/>
  <c r="BH71" i="5" s="1"/>
  <c r="BI71" i="5" s="1"/>
  <c r="AH64" i="5"/>
  <c r="AJ65" i="5"/>
  <c r="BF87" i="5"/>
  <c r="BL152" i="5"/>
  <c r="BM152" i="5" s="1"/>
  <c r="BN152" i="5" s="1"/>
  <c r="AH63" i="5"/>
  <c r="Q47" i="5"/>
  <c r="AT71" i="5"/>
  <c r="BB84" i="5"/>
  <c r="BC84" i="5" s="1"/>
  <c r="AH62" i="5"/>
  <c r="AN66" i="5"/>
  <c r="AS74" i="5"/>
  <c r="AK129" i="5"/>
  <c r="AL129" i="5" s="1"/>
  <c r="AM129" i="5" s="1"/>
  <c r="AN129" i="5" s="1"/>
  <c r="AO129" i="5" s="1"/>
  <c r="AP129" i="5" s="1"/>
  <c r="AQ129" i="5" s="1"/>
  <c r="AR129" i="5" s="1"/>
  <c r="AS129" i="5" s="1"/>
  <c r="AT129" i="5" s="1"/>
  <c r="AU129" i="5" s="1"/>
  <c r="AV129" i="5" s="1"/>
  <c r="AW129" i="5" s="1"/>
  <c r="AX129" i="5" s="1"/>
  <c r="AY129" i="5" s="1"/>
  <c r="AZ129" i="5" s="1"/>
  <c r="BA129" i="5" s="1"/>
  <c r="BB129" i="5" s="1"/>
  <c r="BC129" i="5" s="1"/>
  <c r="BD129" i="5" s="1"/>
  <c r="BE129" i="5" s="1"/>
  <c r="BF129" i="5" s="1"/>
  <c r="BG129" i="5" s="1"/>
  <c r="BH129" i="5" s="1"/>
  <c r="BI129" i="5" s="1"/>
  <c r="BJ129" i="5" s="1"/>
  <c r="BK129" i="5" s="1"/>
  <c r="BL129" i="5" s="1"/>
  <c r="BM129" i="5" s="1"/>
  <c r="BN129" i="5" s="1"/>
  <c r="U111" i="5"/>
  <c r="V111" i="5" s="1"/>
  <c r="W111" i="5" s="1"/>
  <c r="X111" i="5" s="1"/>
  <c r="Y111" i="5" s="1"/>
  <c r="Z111" i="5" s="1"/>
  <c r="AA111" i="5" s="1"/>
  <c r="AB111" i="5" s="1"/>
  <c r="AC111" i="5" s="1"/>
  <c r="AD111" i="5" s="1"/>
  <c r="AE111" i="5" s="1"/>
  <c r="AF111" i="5" s="1"/>
  <c r="AG111" i="5" s="1"/>
  <c r="AH111" i="5" s="1"/>
  <c r="AI111" i="5" s="1"/>
  <c r="AJ111" i="5" s="1"/>
  <c r="AK111" i="5" s="1"/>
  <c r="AL111" i="5" s="1"/>
  <c r="AM111" i="5" s="1"/>
  <c r="AN111" i="5" s="1"/>
  <c r="AO111" i="5" s="1"/>
  <c r="AP111" i="5" s="1"/>
  <c r="AQ111" i="5" s="1"/>
  <c r="AR111" i="5" s="1"/>
  <c r="AS111" i="5" s="1"/>
  <c r="AT111" i="5" s="1"/>
  <c r="AU111" i="5" s="1"/>
  <c r="AV111" i="5" s="1"/>
  <c r="AW111" i="5" s="1"/>
  <c r="AX111" i="5" s="1"/>
  <c r="AY111" i="5" s="1"/>
  <c r="AZ111" i="5" s="1"/>
  <c r="BA111" i="5" s="1"/>
  <c r="BB111" i="5" s="1"/>
  <c r="BC111" i="5" s="1"/>
  <c r="BD111" i="5" s="1"/>
  <c r="BE111" i="5" s="1"/>
  <c r="BF111" i="5" s="1"/>
  <c r="BG111" i="5" s="1"/>
  <c r="BH111" i="5" s="1"/>
  <c r="BI111" i="5" s="1"/>
  <c r="BJ111" i="5" s="1"/>
  <c r="BK111" i="5" s="1"/>
  <c r="BL111" i="5" s="1"/>
  <c r="BM111" i="5" s="1"/>
  <c r="BN111" i="5" s="1"/>
  <c r="AZ81" i="5"/>
  <c r="BA81" i="5" s="1"/>
  <c r="R47" i="5"/>
  <c r="AV78" i="5"/>
  <c r="M43" i="5"/>
  <c r="AC56" i="5"/>
  <c r="BU320" i="5" a="1"/>
  <c r="BU320" i="5" s="1"/>
  <c r="AF59" i="5"/>
  <c r="AG59" i="5" s="1"/>
  <c r="G230" i="5"/>
  <c r="G222" i="5"/>
  <c r="G223" i="5"/>
  <c r="V44" i="5"/>
  <c r="W44" i="5" s="1"/>
  <c r="X44" i="5" s="1"/>
  <c r="AV77" i="5"/>
  <c r="AP70" i="5"/>
  <c r="AQ70" i="5" s="1"/>
  <c r="AX135" i="5"/>
  <c r="AY135" i="5" s="1"/>
  <c r="AZ135" i="5" s="1"/>
  <c r="BA135" i="5" s="1"/>
  <c r="BB135" i="5" s="1"/>
  <c r="BC135" i="5" s="1"/>
  <c r="BD135" i="5" s="1"/>
  <c r="BE135" i="5" s="1"/>
  <c r="BF135" i="5" s="1"/>
  <c r="BG135" i="5" s="1"/>
  <c r="BH135" i="5" s="1"/>
  <c r="BI135" i="5" s="1"/>
  <c r="BJ135" i="5" s="1"/>
  <c r="BK135" i="5" s="1"/>
  <c r="BL135" i="5" s="1"/>
  <c r="BM135" i="5" s="1"/>
  <c r="BN135" i="5" s="1"/>
  <c r="BF150" i="5"/>
  <c r="BG150" i="5" s="1"/>
  <c r="BH150" i="5" s="1"/>
  <c r="BI150" i="5" s="1"/>
  <c r="BJ150" i="5" s="1"/>
  <c r="BK150" i="5" s="1"/>
  <c r="BL150" i="5" s="1"/>
  <c r="BM150" i="5" s="1"/>
  <c r="BN150" i="5" s="1"/>
  <c r="AO133" i="5"/>
  <c r="BL134" i="5"/>
  <c r="BM134" i="5" s="1"/>
  <c r="BN134" i="5" s="1"/>
  <c r="S44" i="5"/>
  <c r="H33" i="5"/>
  <c r="H27" i="5" s="1" a="1"/>
  <c r="H27" i="5" s="1"/>
  <c r="H28" i="5" s="1"/>
  <c r="H34" i="5"/>
  <c r="I25" i="5" s="1"/>
  <c r="X52" i="5"/>
  <c r="G219" i="5"/>
  <c r="Z55" i="5"/>
  <c r="AI63" i="5"/>
  <c r="BJ85" i="5"/>
  <c r="BK85" i="5" s="1"/>
  <c r="BL85" i="5" s="1"/>
  <c r="BM85" i="5" s="1"/>
  <c r="BN85" i="5" s="1"/>
  <c r="BC83" i="5"/>
  <c r="AV75" i="5"/>
  <c r="T116" i="5"/>
  <c r="U116" i="5" s="1"/>
  <c r="V116" i="5" s="1"/>
  <c r="W116" i="5" s="1"/>
  <c r="X116" i="5" s="1"/>
  <c r="Y116" i="5" s="1"/>
  <c r="Z116" i="5" s="1"/>
  <c r="AA116" i="5" s="1"/>
  <c r="AB116" i="5" s="1"/>
  <c r="AC116" i="5" s="1"/>
  <c r="AD116" i="5" s="1"/>
  <c r="AE116" i="5" s="1"/>
  <c r="AF116" i="5" s="1"/>
  <c r="AG116" i="5" s="1"/>
  <c r="AH116" i="5" s="1"/>
  <c r="AI116" i="5" s="1"/>
  <c r="AJ116" i="5" s="1"/>
  <c r="AK116" i="5" s="1"/>
  <c r="AL116" i="5" s="1"/>
  <c r="AM116" i="5" s="1"/>
  <c r="AN116" i="5" s="1"/>
  <c r="AO116" i="5" s="1"/>
  <c r="AP116" i="5" s="1"/>
  <c r="AQ116" i="5" s="1"/>
  <c r="AR116" i="5" s="1"/>
  <c r="AS116" i="5" s="1"/>
  <c r="AT116" i="5" s="1"/>
  <c r="AU116" i="5" s="1"/>
  <c r="AV116" i="5" s="1"/>
  <c r="AW116" i="5" s="1"/>
  <c r="AX116" i="5" s="1"/>
  <c r="AY116" i="5" s="1"/>
  <c r="AZ116" i="5" s="1"/>
  <c r="BA116" i="5" s="1"/>
  <c r="BB116" i="5" s="1"/>
  <c r="BC116" i="5" s="1"/>
  <c r="BD116" i="5" s="1"/>
  <c r="BE116" i="5" s="1"/>
  <c r="BF116" i="5" s="1"/>
  <c r="BG116" i="5" s="1"/>
  <c r="BH116" i="5" s="1"/>
  <c r="BI116" i="5" s="1"/>
  <c r="BJ116" i="5" s="1"/>
  <c r="BK116" i="5" s="1"/>
  <c r="BL116" i="5" s="1"/>
  <c r="BM116" i="5" s="1"/>
  <c r="BN116" i="5" s="1"/>
  <c r="AR72" i="5"/>
  <c r="AT139" i="5"/>
  <c r="AU139" i="5" s="1"/>
  <c r="AV139" i="5" s="1"/>
  <c r="AW139" i="5" s="1"/>
  <c r="AX139" i="5" s="1"/>
  <c r="AY139" i="5" s="1"/>
  <c r="AZ139" i="5" s="1"/>
  <c r="BA139" i="5" s="1"/>
  <c r="BB139" i="5" s="1"/>
  <c r="BC139" i="5" s="1"/>
  <c r="BD139" i="5" s="1"/>
  <c r="BE139" i="5" s="1"/>
  <c r="BF139" i="5" s="1"/>
  <c r="BG139" i="5" s="1"/>
  <c r="BH139" i="5" s="1"/>
  <c r="BI139" i="5" s="1"/>
  <c r="BJ139" i="5" s="1"/>
  <c r="BK139" i="5" s="1"/>
  <c r="BL139" i="5" s="1"/>
  <c r="BM139" i="5" s="1"/>
  <c r="BN139" i="5" s="1"/>
  <c r="AU141" i="5"/>
  <c r="Z120" i="5"/>
  <c r="AA120" i="5" s="1"/>
  <c r="AB120" i="5" s="1"/>
  <c r="AC120" i="5" s="1"/>
  <c r="AD120" i="5" s="1"/>
  <c r="AE120" i="5" s="1"/>
  <c r="AF120" i="5" s="1"/>
  <c r="AG120" i="5" s="1"/>
  <c r="AH120" i="5" s="1"/>
  <c r="AI120" i="5" s="1"/>
  <c r="AJ120" i="5" s="1"/>
  <c r="AK120" i="5" s="1"/>
  <c r="AL120" i="5" s="1"/>
  <c r="AM120" i="5" s="1"/>
  <c r="AN120" i="5" s="1"/>
  <c r="AO120" i="5" s="1"/>
  <c r="AP120" i="5" s="1"/>
  <c r="AQ120" i="5" s="1"/>
  <c r="AR120" i="5" s="1"/>
  <c r="AS120" i="5" s="1"/>
  <c r="AT120" i="5" s="1"/>
  <c r="AU120" i="5" s="1"/>
  <c r="AV120" i="5" s="1"/>
  <c r="AW120" i="5" s="1"/>
  <c r="AX120" i="5" s="1"/>
  <c r="AY120" i="5" s="1"/>
  <c r="AZ120" i="5" s="1"/>
  <c r="BA120" i="5" s="1"/>
  <c r="BB120" i="5" s="1"/>
  <c r="BC120" i="5" s="1"/>
  <c r="BD120" i="5" s="1"/>
  <c r="BE120" i="5" s="1"/>
  <c r="BF120" i="5" s="1"/>
  <c r="BG120" i="5" s="1"/>
  <c r="BH120" i="5" s="1"/>
  <c r="BI120" i="5" s="1"/>
  <c r="BJ120" i="5" s="1"/>
  <c r="BK120" i="5" s="1"/>
  <c r="BL120" i="5" s="1"/>
  <c r="BM120" i="5" s="1"/>
  <c r="BN120" i="5" s="1"/>
  <c r="V49" i="5"/>
  <c r="Z112" i="5"/>
  <c r="AA112" i="5" s="1"/>
  <c r="AB112" i="5" s="1"/>
  <c r="AC112" i="5" s="1"/>
  <c r="AD112" i="5" s="1"/>
  <c r="AE112" i="5" s="1"/>
  <c r="AF112" i="5" s="1"/>
  <c r="AG112" i="5" s="1"/>
  <c r="AH112" i="5" s="1"/>
  <c r="AI112" i="5" s="1"/>
  <c r="AJ112" i="5" s="1"/>
  <c r="AK112" i="5" s="1"/>
  <c r="AL112" i="5" s="1"/>
  <c r="AM112" i="5" s="1"/>
  <c r="AN112" i="5" s="1"/>
  <c r="AO112" i="5" s="1"/>
  <c r="AP112" i="5" s="1"/>
  <c r="AQ112" i="5" s="1"/>
  <c r="AR112" i="5" s="1"/>
  <c r="AS112" i="5" s="1"/>
  <c r="AT112" i="5" s="1"/>
  <c r="AU112" i="5" s="1"/>
  <c r="AV112" i="5" s="1"/>
  <c r="AW112" i="5" s="1"/>
  <c r="AX112" i="5" s="1"/>
  <c r="AY112" i="5" s="1"/>
  <c r="AZ112" i="5" s="1"/>
  <c r="BA112" i="5" s="1"/>
  <c r="BB112" i="5" s="1"/>
  <c r="BC112" i="5" s="1"/>
  <c r="BD112" i="5" s="1"/>
  <c r="BE112" i="5" s="1"/>
  <c r="BF112" i="5" s="1"/>
  <c r="BG112" i="5" s="1"/>
  <c r="BH112" i="5" s="1"/>
  <c r="BI112" i="5" s="1"/>
  <c r="BJ112" i="5" s="1"/>
  <c r="BK112" i="5" s="1"/>
  <c r="BL112" i="5" s="1"/>
  <c r="BM112" i="5" s="1"/>
  <c r="BN112" i="5" s="1"/>
  <c r="H35" i="5"/>
  <c r="I38" i="5"/>
  <c r="AY79" i="5"/>
  <c r="W53" i="5"/>
  <c r="X51" i="5"/>
  <c r="U114" i="5"/>
  <c r="BE151" i="5"/>
  <c r="BF151" i="5" s="1"/>
  <c r="BG151" i="5"/>
  <c r="BH151" i="5" s="1"/>
  <c r="BI151" i="5" s="1"/>
  <c r="BJ151" i="5"/>
  <c r="BK151" i="5" s="1"/>
  <c r="BL151" i="5" s="1"/>
  <c r="BM151" i="5" s="1"/>
  <c r="BN151" i="5"/>
  <c r="AZ80" i="5"/>
  <c r="BA80" i="5" s="1"/>
  <c r="Z118" i="5"/>
  <c r="AA118" i="5" s="1"/>
  <c r="AB118" i="5" s="1"/>
  <c r="AC118" i="5" s="1"/>
  <c r="AD118" i="5" s="1"/>
  <c r="AE118" i="5" s="1"/>
  <c r="AF118" i="5" s="1"/>
  <c r="AG118" i="5" s="1"/>
  <c r="AH118" i="5" s="1"/>
  <c r="AI118" i="5" s="1"/>
  <c r="AJ118" i="5" s="1"/>
  <c r="AK118" i="5" s="1"/>
  <c r="AL118" i="5" s="1"/>
  <c r="AM118" i="5" s="1"/>
  <c r="AN118" i="5" s="1"/>
  <c r="AO118" i="5" s="1"/>
  <c r="AP118" i="5" s="1"/>
  <c r="AQ118" i="5" s="1"/>
  <c r="AR118" i="5" s="1"/>
  <c r="AS118" i="5" s="1"/>
  <c r="AT118" i="5" s="1"/>
  <c r="AU118" i="5" s="1"/>
  <c r="AV118" i="5" s="1"/>
  <c r="AW118" i="5" s="1"/>
  <c r="AX118" i="5" s="1"/>
  <c r="AY118" i="5" s="1"/>
  <c r="AZ118" i="5" s="1"/>
  <c r="BA118" i="5" s="1"/>
  <c r="BB118" i="5" s="1"/>
  <c r="BC118" i="5" s="1"/>
  <c r="BD118" i="5" s="1"/>
  <c r="BE118" i="5" s="1"/>
  <c r="BF118" i="5" s="1"/>
  <c r="BG118" i="5" s="1"/>
  <c r="BH118" i="5" s="1"/>
  <c r="BI118" i="5" s="1"/>
  <c r="BJ118" i="5" s="1"/>
  <c r="BK118" i="5" s="1"/>
  <c r="BL118" i="5" s="1"/>
  <c r="BM118" i="5" s="1"/>
  <c r="BN118" i="5" s="1"/>
  <c r="AX144" i="5"/>
  <c r="AK65" i="5"/>
  <c r="AL65" i="5" s="1"/>
  <c r="AT74" i="5"/>
  <c r="Z54" i="5"/>
  <c r="S47" i="5"/>
  <c r="Y55" i="5"/>
  <c r="R48" i="5"/>
  <c r="AP67" i="5"/>
  <c r="AS139" i="5"/>
  <c r="BF138" i="5"/>
  <c r="BG138" i="5" s="1"/>
  <c r="AY138" i="5"/>
  <c r="AZ138" i="5" s="1"/>
  <c r="BA138" i="5" s="1"/>
  <c r="BB138" i="5" s="1"/>
  <c r="BC138" i="5" s="1"/>
  <c r="BD138" i="5" s="1"/>
  <c r="BE138" i="5" s="1"/>
  <c r="BG87" i="5"/>
  <c r="BJ88" i="5"/>
  <c r="BK88" i="5" s="1"/>
  <c r="AT142" i="5"/>
  <c r="AU142" i="5"/>
  <c r="AV142" i="5" s="1"/>
  <c r="AW142" i="5" s="1"/>
  <c r="AX142" i="5" s="1"/>
  <c r="AY142" i="5" s="1"/>
  <c r="AZ142" i="5" s="1"/>
  <c r="BA142" i="5" s="1"/>
  <c r="BB142" i="5" s="1"/>
  <c r="BC142" i="5" s="1"/>
  <c r="BD142" i="5" s="1"/>
  <c r="BE142" i="5" s="1"/>
  <c r="T113" i="5"/>
  <c r="U113" i="5" s="1"/>
  <c r="V113" i="5" s="1"/>
  <c r="R113" i="5"/>
  <c r="S113" i="5" s="1"/>
  <c r="Q113" i="5"/>
  <c r="BC82" i="5"/>
  <c r="BD82" i="5" s="1"/>
  <c r="Y117" i="5"/>
  <c r="Z117" i="5" s="1"/>
  <c r="AA117" i="5" s="1"/>
  <c r="AB117" i="5" s="1"/>
  <c r="AC117" i="5" s="1"/>
  <c r="AD117" i="5" s="1"/>
  <c r="AE117" i="5" s="1"/>
  <c r="AF117" i="5" s="1"/>
  <c r="AG117" i="5" s="1"/>
  <c r="AH117" i="5" s="1"/>
  <c r="AI117" i="5" s="1"/>
  <c r="AJ117" i="5" s="1"/>
  <c r="AK117" i="5" s="1"/>
  <c r="AL117" i="5" s="1"/>
  <c r="AM117" i="5" s="1"/>
  <c r="AN117" i="5" s="1"/>
  <c r="AO117" i="5" s="1"/>
  <c r="AP117" i="5" s="1"/>
  <c r="AQ117" i="5" s="1"/>
  <c r="AR117" i="5" s="1"/>
  <c r="AS117" i="5" s="1"/>
  <c r="AT117" i="5" s="1"/>
  <c r="AU117" i="5" s="1"/>
  <c r="AV117" i="5" s="1"/>
  <c r="AW117" i="5" s="1"/>
  <c r="AX117" i="5" s="1"/>
  <c r="AY117" i="5" s="1"/>
  <c r="AZ117" i="5" s="1"/>
  <c r="BA117" i="5" s="1"/>
  <c r="BB117" i="5" s="1"/>
  <c r="BC117" i="5" s="1"/>
  <c r="BD117" i="5" s="1"/>
  <c r="BE117" i="5" s="1"/>
  <c r="BF117" i="5" s="1"/>
  <c r="BG117" i="5" s="1"/>
  <c r="BH117" i="5" s="1"/>
  <c r="BI117" i="5" s="1"/>
  <c r="BJ117" i="5" s="1"/>
  <c r="BK117" i="5" s="1"/>
  <c r="BL117" i="5" s="1"/>
  <c r="BM117" i="5" s="1"/>
  <c r="BN117" i="5" s="1"/>
  <c r="BV327" i="5" a="1"/>
  <c r="BV327" i="5" s="1"/>
  <c r="BV322" i="5" a="1"/>
  <c r="BV322" i="5" s="1"/>
  <c r="BV307" i="5" a="1"/>
  <c r="BV307" i="5" s="1"/>
  <c r="BV306" i="5" a="1"/>
  <c r="BV306" i="5" s="1"/>
  <c r="BV305" i="5" a="1"/>
  <c r="BV305" i="5" s="1"/>
  <c r="BV304" i="5" a="1"/>
  <c r="BV304" i="5" s="1"/>
  <c r="BV303" i="5" a="1"/>
  <c r="BV303" i="5" s="1"/>
  <c r="BV302" i="5" a="1"/>
  <c r="BV302" i="5" s="1"/>
  <c r="BV301" i="5" a="1"/>
  <c r="BV301" i="5" s="1"/>
  <c r="BV300" i="5" a="1"/>
  <c r="BV300" i="5" s="1"/>
  <c r="BV323" i="5" a="1"/>
  <c r="BV323" i="5" s="1"/>
  <c r="BV326" i="5" a="1"/>
  <c r="BV326" i="5" s="1"/>
  <c r="BV324" i="5" a="1"/>
  <c r="BV324" i="5" s="1"/>
  <c r="BV321" i="5" a="1"/>
  <c r="BV321" i="5" s="1"/>
  <c r="BV325" i="5" a="1"/>
  <c r="BV325" i="5" s="1"/>
  <c r="BV181" i="5"/>
  <c r="BW182" i="5" s="1"/>
  <c r="BX183" i="5" s="1"/>
  <c r="BY184" i="5" s="1"/>
  <c r="BZ185" i="5" s="1"/>
  <c r="BV198" i="5"/>
  <c r="BW7" i="5"/>
  <c r="BV6" i="5"/>
  <c r="BH138" i="5"/>
  <c r="BI138" i="5" s="1"/>
  <c r="BJ138" i="5" s="1"/>
  <c r="BK138" i="5" s="1"/>
  <c r="BL138" i="5" s="1"/>
  <c r="BM138" i="5" s="1"/>
  <c r="BN138" i="5" s="1"/>
  <c r="AB57" i="5"/>
  <c r="AY80" i="5"/>
  <c r="Z119" i="5"/>
  <c r="AA121" i="5"/>
  <c r="AW78" i="5"/>
  <c r="AX78" i="5" s="1"/>
  <c r="P110" i="5"/>
  <c r="Q110" i="5" s="1"/>
  <c r="R110" i="5" s="1"/>
  <c r="S110" i="5" s="1"/>
  <c r="T110" i="5" s="1"/>
  <c r="U110" i="5" s="1"/>
  <c r="V110" i="5" s="1"/>
  <c r="W110" i="5" s="1"/>
  <c r="X110" i="5" s="1"/>
  <c r="Y110" i="5" s="1"/>
  <c r="Z110" i="5" s="1"/>
  <c r="AA110" i="5" s="1"/>
  <c r="AB110" i="5" s="1"/>
  <c r="AC110" i="5" s="1"/>
  <c r="AD110" i="5" s="1"/>
  <c r="AE110" i="5" s="1"/>
  <c r="AF110" i="5" s="1"/>
  <c r="AG110" i="5" s="1"/>
  <c r="AH110" i="5" s="1"/>
  <c r="AI110" i="5" s="1"/>
  <c r="AJ110" i="5" s="1"/>
  <c r="AK110" i="5" s="1"/>
  <c r="AL110" i="5" s="1"/>
  <c r="AM110" i="5" s="1"/>
  <c r="AN110" i="5" s="1"/>
  <c r="AO110" i="5" s="1"/>
  <c r="AP110" i="5" s="1"/>
  <c r="AQ110" i="5" s="1"/>
  <c r="AR110" i="5" s="1"/>
  <c r="AS110" i="5" s="1"/>
  <c r="AT110" i="5" s="1"/>
  <c r="AU110" i="5" s="1"/>
  <c r="AV110" i="5" s="1"/>
  <c r="AW110" i="5" s="1"/>
  <c r="AX110" i="5" s="1"/>
  <c r="AY110" i="5" s="1"/>
  <c r="AZ110" i="5" s="1"/>
  <c r="BA110" i="5" s="1"/>
  <c r="BB110" i="5" s="1"/>
  <c r="BC110" i="5" s="1"/>
  <c r="BD110" i="5" s="1"/>
  <c r="BE110" i="5" s="1"/>
  <c r="BF110" i="5" s="1"/>
  <c r="BG110" i="5" s="1"/>
  <c r="BH110" i="5" s="1"/>
  <c r="BI110" i="5" s="1"/>
  <c r="BJ110" i="5" s="1"/>
  <c r="BK110" i="5" s="1"/>
  <c r="BL110" i="5" s="1"/>
  <c r="BM110" i="5" s="1"/>
  <c r="BN110" i="5" s="1"/>
  <c r="J184" i="5"/>
  <c r="I302" i="5" a="1"/>
  <c r="I302" i="5" s="1"/>
  <c r="I322" i="5" a="1"/>
  <c r="I322" i="5" s="1"/>
  <c r="I282" i="5"/>
  <c r="AQ69" i="5"/>
  <c r="AR69" i="5" s="1"/>
  <c r="AS69" i="5" s="1"/>
  <c r="AT69" i="5" s="1"/>
  <c r="AU69" i="5" s="1"/>
  <c r="H211" i="5"/>
  <c r="P45" i="5"/>
  <c r="AE60" i="5"/>
  <c r="N42" i="5"/>
  <c r="AE58" i="5"/>
  <c r="AQ73" i="5"/>
  <c r="AH59" i="5" l="1"/>
  <c r="AI59" i="5" s="1"/>
  <c r="AM65" i="5"/>
  <c r="AN65" i="5" s="1"/>
  <c r="AO65" i="5" s="1"/>
  <c r="AP65" i="5" s="1"/>
  <c r="AQ65" i="5" s="1"/>
  <c r="AR65" i="5" s="1"/>
  <c r="AS65" i="5" s="1"/>
  <c r="AT65" i="5" s="1"/>
  <c r="AU65" i="5" s="1"/>
  <c r="AV65" i="5" s="1"/>
  <c r="BM90" i="5"/>
  <c r="BN90" i="5" s="1"/>
  <c r="BL88" i="5"/>
  <c r="BM88" i="5" s="1"/>
  <c r="BN88" i="5" s="1"/>
  <c r="H171" i="5"/>
  <c r="I23" i="5"/>
  <c r="Y44" i="5"/>
  <c r="Z44" i="5" s="1"/>
  <c r="BE82" i="5"/>
  <c r="BF82" i="5" s="1"/>
  <c r="X53" i="5"/>
  <c r="AR73" i="5"/>
  <c r="K185" i="5"/>
  <c r="J283" i="5"/>
  <c r="J303" i="5" a="1"/>
  <c r="J303" i="5" s="1"/>
  <c r="J323" i="5" a="1"/>
  <c r="J323" i="5" s="1"/>
  <c r="BG82" i="5"/>
  <c r="BH82" i="5" s="1"/>
  <c r="BI82" i="5" s="1"/>
  <c r="BJ82" i="5" s="1"/>
  <c r="BK82" i="5" s="1"/>
  <c r="BL82" i="5" s="1"/>
  <c r="BM82" i="5" s="1"/>
  <c r="BN82" i="5" s="1"/>
  <c r="BV320" i="5" a="1"/>
  <c r="BV320" i="5" s="1"/>
  <c r="AV69" i="5"/>
  <c r="AW69" i="5" s="1"/>
  <c r="AX69" i="5" s="1"/>
  <c r="AY69" i="5" s="1"/>
  <c r="AZ69" i="5" s="1"/>
  <c r="BA69" i="5" s="1"/>
  <c r="BB69" i="5" s="1"/>
  <c r="BC69" i="5" s="1"/>
  <c r="BD69" i="5" s="1"/>
  <c r="BE69" i="5" s="1"/>
  <c r="BF69" i="5" s="1"/>
  <c r="AS72" i="5"/>
  <c r="AT72" i="5" s="1"/>
  <c r="AU72" i="5" s="1"/>
  <c r="AP133" i="5"/>
  <c r="AQ133" i="5" s="1"/>
  <c r="AR133" i="5" s="1"/>
  <c r="AS133" i="5" s="1"/>
  <c r="AT133" i="5" s="1"/>
  <c r="AU133" i="5" s="1"/>
  <c r="AV133" i="5" s="1"/>
  <c r="AW133" i="5" s="1"/>
  <c r="AX133" i="5" s="1"/>
  <c r="AY133" i="5" s="1"/>
  <c r="AZ133" i="5" s="1"/>
  <c r="BA133" i="5" s="1"/>
  <c r="BB133" i="5" s="1"/>
  <c r="BC133" i="5" s="1"/>
  <c r="BD133" i="5" s="1"/>
  <c r="BE133" i="5" s="1"/>
  <c r="BF133" i="5" s="1"/>
  <c r="BG133" i="5" s="1"/>
  <c r="BH133" i="5" s="1"/>
  <c r="BI133" i="5" s="1"/>
  <c r="BJ133" i="5" s="1"/>
  <c r="BK133" i="5" s="1"/>
  <c r="BL133" i="5" s="1"/>
  <c r="BM133" i="5" s="1"/>
  <c r="BN133" i="5" s="1"/>
  <c r="G237" i="5"/>
  <c r="O23" i="3"/>
  <c r="BB78" i="5"/>
  <c r="BC78" i="5" s="1"/>
  <c r="BD78" i="5" s="1"/>
  <c r="BJ71" i="5"/>
  <c r="BK71" i="5" s="1"/>
  <c r="BL71" i="5" s="1"/>
  <c r="BM71" i="5" s="1"/>
  <c r="BN71" i="5" s="1"/>
  <c r="AJ63" i="5"/>
  <c r="AI64" i="5"/>
  <c r="AQ67" i="5"/>
  <c r="AR67" i="5" s="1"/>
  <c r="BG69" i="5"/>
  <c r="BH69" i="5" s="1"/>
  <c r="BI69" i="5" s="1"/>
  <c r="BJ69" i="5" s="1"/>
  <c r="BK69" i="5" s="1"/>
  <c r="BL69" i="5" s="1"/>
  <c r="BM69" i="5" s="1"/>
  <c r="BN69" i="5" s="1"/>
  <c r="AC44" i="5"/>
  <c r="BB80" i="5"/>
  <c r="BC80" i="5" s="1"/>
  <c r="BD80" i="5" s="1"/>
  <c r="BE80" i="5" s="1"/>
  <c r="BF80" i="5" s="1"/>
  <c r="BG80" i="5" s="1"/>
  <c r="BH80" i="5" s="1"/>
  <c r="BI80" i="5" s="1"/>
  <c r="BJ80" i="5" s="1"/>
  <c r="BK80" i="5" s="1"/>
  <c r="BL80" i="5" s="1"/>
  <c r="BM80" i="5" s="1"/>
  <c r="BN80" i="5" s="1"/>
  <c r="AD56" i="5"/>
  <c r="AE56" i="5"/>
  <c r="AF56" i="5" s="1"/>
  <c r="AG56" i="5" s="1"/>
  <c r="AH56" i="5" s="1"/>
  <c r="AI56" i="5" s="1"/>
  <c r="AJ56" i="5" s="1"/>
  <c r="AK56" i="5" s="1"/>
  <c r="AL56" i="5" s="1"/>
  <c r="AM56" i="5" s="1"/>
  <c r="AN56" i="5" s="1"/>
  <c r="AO56" i="5" s="1"/>
  <c r="AP56" i="5" s="1"/>
  <c r="AQ56" i="5" s="1"/>
  <c r="AR56" i="5" s="1"/>
  <c r="AS56" i="5" s="1"/>
  <c r="AA55" i="5"/>
  <c r="K41" i="5"/>
  <c r="Y51" i="5"/>
  <c r="AA54" i="5"/>
  <c r="AB54" i="5" s="1"/>
  <c r="BI141" i="5"/>
  <c r="BJ141" i="5" s="1"/>
  <c r="BK141" i="5" s="1"/>
  <c r="BL141" i="5" s="1"/>
  <c r="BM141" i="5" s="1"/>
  <c r="BN141" i="5" s="1"/>
  <c r="AR70" i="5"/>
  <c r="AW77" i="5"/>
  <c r="N108" i="5"/>
  <c r="N169" i="5" s="1"/>
  <c r="O106" i="5" s="1"/>
  <c r="AW65" i="5"/>
  <c r="AX65" i="5" s="1"/>
  <c r="AY65" i="5" s="1"/>
  <c r="AZ65" i="5" s="1"/>
  <c r="BA65" i="5" s="1"/>
  <c r="BB65" i="5" s="1"/>
  <c r="BC65" i="5" s="1"/>
  <c r="BD65" i="5" s="1"/>
  <c r="AY78" i="5"/>
  <c r="AZ78" i="5" s="1"/>
  <c r="BA78" i="5" s="1"/>
  <c r="AJ59" i="5"/>
  <c r="AK59" i="5"/>
  <c r="AL59" i="5" s="1"/>
  <c r="AM59" i="5" s="1"/>
  <c r="AN59" i="5" s="1"/>
  <c r="AO59" i="5" s="1"/>
  <c r="AP59" i="5" s="1"/>
  <c r="AQ59" i="5" s="1"/>
  <c r="AR59" i="5" s="1"/>
  <c r="AS59" i="5" s="1"/>
  <c r="AT59" i="5" s="1"/>
  <c r="AU59" i="5" s="1"/>
  <c r="AV59" i="5" s="1"/>
  <c r="AW59" i="5" s="1"/>
  <c r="AX59" i="5" s="1"/>
  <c r="AY59" i="5" s="1"/>
  <c r="AZ59" i="5" s="1"/>
  <c r="BA59" i="5" s="1"/>
  <c r="BB59" i="5" s="1"/>
  <c r="BC59" i="5" s="1"/>
  <c r="BD59" i="5" s="1"/>
  <c r="BE59" i="5" s="1"/>
  <c r="BF59" i="5" s="1"/>
  <c r="BG59" i="5" s="1"/>
  <c r="BH59" i="5" s="1"/>
  <c r="BI59" i="5" s="1"/>
  <c r="BJ59" i="5" s="1"/>
  <c r="BK59" i="5" s="1"/>
  <c r="BL59" i="5" s="1"/>
  <c r="BM59" i="5" s="1"/>
  <c r="BN59" i="5" s="1"/>
  <c r="BE78" i="5"/>
  <c r="BF78" i="5" s="1"/>
  <c r="AG58" i="5"/>
  <c r="AH58" i="5" s="1"/>
  <c r="AI58" i="5" s="1"/>
  <c r="AJ58" i="5" s="1"/>
  <c r="AK58" i="5" s="1"/>
  <c r="AL58" i="5" s="1"/>
  <c r="AM58" i="5" s="1"/>
  <c r="AN58" i="5" s="1"/>
  <c r="AO58" i="5" s="1"/>
  <c r="AP58" i="5" s="1"/>
  <c r="AQ58" i="5" s="1"/>
  <c r="AR58" i="5" s="1"/>
  <c r="AS58" i="5" s="1"/>
  <c r="AT58" i="5" s="1"/>
  <c r="AU58" i="5" s="1"/>
  <c r="AV58" i="5" s="1"/>
  <c r="AW58" i="5" s="1"/>
  <c r="AX58" i="5" s="1"/>
  <c r="AY58" i="5" s="1"/>
  <c r="AZ58" i="5" s="1"/>
  <c r="BA58" i="5" s="1"/>
  <c r="BB58" i="5" s="1"/>
  <c r="BC58" i="5" s="1"/>
  <c r="BD58" i="5" s="1"/>
  <c r="BE58" i="5" s="1"/>
  <c r="BF58" i="5" s="1"/>
  <c r="BG58" i="5" s="1"/>
  <c r="BH58" i="5" s="1"/>
  <c r="BI58" i="5" s="1"/>
  <c r="BJ58" i="5" s="1"/>
  <c r="BK58" i="5" s="1"/>
  <c r="BL58" i="5" s="1"/>
  <c r="BM58" i="5" s="1"/>
  <c r="BN58" i="5" s="1"/>
  <c r="AS67" i="5"/>
  <c r="AU76" i="5"/>
  <c r="BE65" i="5"/>
  <c r="BF65" i="5" s="1"/>
  <c r="BG65" i="5" s="1"/>
  <c r="BH65" i="5" s="1"/>
  <c r="BI65" i="5" s="1"/>
  <c r="BJ65" i="5" s="1"/>
  <c r="BK65" i="5" s="1"/>
  <c r="BL65" i="5" s="1"/>
  <c r="BM65" i="5" s="1"/>
  <c r="BN65" i="5" s="1"/>
  <c r="Q46" i="5"/>
  <c r="BF142" i="5"/>
  <c r="BG142" i="5" s="1"/>
  <c r="BH142" i="5" s="1"/>
  <c r="BI142" i="5" s="1"/>
  <c r="BJ142" i="5" s="1"/>
  <c r="BK142" i="5" s="1"/>
  <c r="BL142" i="5" s="1"/>
  <c r="BM142" i="5" s="1"/>
  <c r="BN142" i="5" s="1"/>
  <c r="W49" i="5"/>
  <c r="Q45" i="5"/>
  <c r="AI62" i="5"/>
  <c r="U47" i="5"/>
  <c r="V47" i="5" s="1"/>
  <c r="W47" i="5" s="1"/>
  <c r="X47" i="5" s="1"/>
  <c r="AC57" i="5"/>
  <c r="AA119" i="5"/>
  <c r="AB119" i="5" s="1"/>
  <c r="AC119" i="5" s="1"/>
  <c r="AD119" i="5" s="1"/>
  <c r="AE119" i="5" s="1"/>
  <c r="AF119" i="5" s="1"/>
  <c r="AG119" i="5" s="1"/>
  <c r="AH119" i="5" s="1"/>
  <c r="AI119" i="5" s="1"/>
  <c r="AJ119" i="5" s="1"/>
  <c r="AK119" i="5" s="1"/>
  <c r="AL119" i="5" s="1"/>
  <c r="AM119" i="5" s="1"/>
  <c r="AN119" i="5" s="1"/>
  <c r="AO119" i="5" s="1"/>
  <c r="AP119" i="5" s="1"/>
  <c r="AQ119" i="5" s="1"/>
  <c r="AR119" i="5" s="1"/>
  <c r="AS119" i="5" s="1"/>
  <c r="AT119" i="5" s="1"/>
  <c r="AU119" i="5" s="1"/>
  <c r="AV119" i="5" s="1"/>
  <c r="AW119" i="5" s="1"/>
  <c r="AX119" i="5" s="1"/>
  <c r="AY119" i="5" s="1"/>
  <c r="AZ119" i="5" s="1"/>
  <c r="BA119" i="5" s="1"/>
  <c r="BB119" i="5" s="1"/>
  <c r="BC119" i="5" s="1"/>
  <c r="BD119" i="5" s="1"/>
  <c r="BE119" i="5" s="1"/>
  <c r="BF119" i="5" s="1"/>
  <c r="BG119" i="5" s="1"/>
  <c r="BH119" i="5" s="1"/>
  <c r="BI119" i="5" s="1"/>
  <c r="BJ119" i="5" s="1"/>
  <c r="BK119" i="5" s="1"/>
  <c r="BL119" i="5" s="1"/>
  <c r="BM119" i="5" s="1"/>
  <c r="BN119" i="5" s="1"/>
  <c r="AD44" i="5"/>
  <c r="AE44" i="5" s="1"/>
  <c r="AY144" i="5"/>
  <c r="AZ144" i="5" s="1"/>
  <c r="BA144" i="5" s="1"/>
  <c r="BB144" i="5" s="1"/>
  <c r="BC144" i="5" s="1"/>
  <c r="BD144" i="5" s="1"/>
  <c r="BE144" i="5" s="1"/>
  <c r="BF144" i="5" s="1"/>
  <c r="BG144" i="5" s="1"/>
  <c r="BH144" i="5" s="1"/>
  <c r="BI144" i="5" s="1"/>
  <c r="BJ144" i="5" s="1"/>
  <c r="BK144" i="5" s="1"/>
  <c r="BL144" i="5" s="1"/>
  <c r="BM144" i="5" s="1"/>
  <c r="BN144" i="5" s="1"/>
  <c r="AZ79" i="5"/>
  <c r="BA79" i="5" s="1"/>
  <c r="BB79" i="5" s="1"/>
  <c r="BC79" i="5" s="1"/>
  <c r="BD79" i="5" s="1"/>
  <c r="BE79" i="5" s="1"/>
  <c r="BF79" i="5" s="1"/>
  <c r="BG79" i="5" s="1"/>
  <c r="BH79" i="5" s="1"/>
  <c r="BI79" i="5" s="1"/>
  <c r="BJ79" i="5" s="1"/>
  <c r="BK79" i="5" s="1"/>
  <c r="BL79" i="5" s="1"/>
  <c r="BM79" i="5" s="1"/>
  <c r="BN79" i="5" s="1"/>
  <c r="O43" i="5"/>
  <c r="P43" i="5" s="1"/>
  <c r="Q43" i="5" s="1"/>
  <c r="R43" i="5" s="1"/>
  <c r="S43" i="5" s="1"/>
  <c r="T43" i="5" s="1"/>
  <c r="U43" i="5" s="1"/>
  <c r="V43" i="5" s="1"/>
  <c r="W43" i="5" s="1"/>
  <c r="X43" i="5" s="1"/>
  <c r="Y43" i="5" s="1"/>
  <c r="Z43" i="5" s="1"/>
  <c r="AA43" i="5" s="1"/>
  <c r="AB43" i="5" s="1"/>
  <c r="AC43" i="5" s="1"/>
  <c r="AD43" i="5" s="1"/>
  <c r="AE43" i="5" s="1"/>
  <c r="AF43" i="5" s="1"/>
  <c r="AG43" i="5" s="1"/>
  <c r="AH43" i="5" s="1"/>
  <c r="AI43" i="5" s="1"/>
  <c r="AJ43" i="5" s="1"/>
  <c r="AK43" i="5" s="1"/>
  <c r="AL43" i="5" s="1"/>
  <c r="AM43" i="5" s="1"/>
  <c r="AN43" i="5" s="1"/>
  <c r="AO43" i="5" s="1"/>
  <c r="AP43" i="5" s="1"/>
  <c r="AQ43" i="5" s="1"/>
  <c r="AR43" i="5" s="1"/>
  <c r="AS43" i="5" s="1"/>
  <c r="AT43" i="5" s="1"/>
  <c r="AU43" i="5" s="1"/>
  <c r="AV43" i="5" s="1"/>
  <c r="AW43" i="5" s="1"/>
  <c r="AX43" i="5" s="1"/>
  <c r="AY43" i="5" s="1"/>
  <c r="AZ43" i="5" s="1"/>
  <c r="BA43" i="5" s="1"/>
  <c r="BB43" i="5" s="1"/>
  <c r="BC43" i="5" s="1"/>
  <c r="BD43" i="5" s="1"/>
  <c r="BE43" i="5" s="1"/>
  <c r="BF43" i="5" s="1"/>
  <c r="BG43" i="5" s="1"/>
  <c r="BH43" i="5" s="1"/>
  <c r="BI43" i="5" s="1"/>
  <c r="BJ43" i="5" s="1"/>
  <c r="BK43" i="5" s="1"/>
  <c r="BL43" i="5" s="1"/>
  <c r="BM43" i="5" s="1"/>
  <c r="BN43" i="5" s="1"/>
  <c r="BB81" i="5"/>
  <c r="AO66" i="5"/>
  <c r="AW75" i="5"/>
  <c r="AT67" i="5"/>
  <c r="AU67" i="5" s="1"/>
  <c r="AV67" i="5" s="1"/>
  <c r="AW67" i="5" s="1"/>
  <c r="AX67" i="5" s="1"/>
  <c r="AY67" i="5" s="1"/>
  <c r="AZ67" i="5" s="1"/>
  <c r="BA67" i="5" s="1"/>
  <c r="BB67" i="5" s="1"/>
  <c r="BC67" i="5" s="1"/>
  <c r="BD67" i="5" s="1"/>
  <c r="BE67" i="5" s="1"/>
  <c r="BF67" i="5" s="1"/>
  <c r="BG67" i="5" s="1"/>
  <c r="BH67" i="5" s="1"/>
  <c r="BI67" i="5" s="1"/>
  <c r="BJ67" i="5" s="1"/>
  <c r="BK67" i="5" s="1"/>
  <c r="BL67" i="5" s="1"/>
  <c r="BM67" i="5" s="1"/>
  <c r="BN67" i="5" s="1"/>
  <c r="AO68" i="5"/>
  <c r="Y52" i="5"/>
  <c r="BF83" i="5"/>
  <c r="BG83" i="5" s="1"/>
  <c r="BH83" i="5" s="1"/>
  <c r="BI83" i="5" s="1"/>
  <c r="BJ83" i="5" s="1"/>
  <c r="BK83" i="5" s="1"/>
  <c r="BL83" i="5" s="1"/>
  <c r="BM83" i="5" s="1"/>
  <c r="AF44" i="5"/>
  <c r="AG44" i="5" s="1"/>
  <c r="AH44" i="5" s="1"/>
  <c r="AI44" i="5" s="1"/>
  <c r="AJ44" i="5" s="1"/>
  <c r="AK44" i="5" s="1"/>
  <c r="AL44" i="5" s="1"/>
  <c r="AM44" i="5" s="1"/>
  <c r="AN44" i="5" s="1"/>
  <c r="AO44" i="5" s="1"/>
  <c r="AP44" i="5" s="1"/>
  <c r="AQ44" i="5" s="1"/>
  <c r="AR44" i="5" s="1"/>
  <c r="AS44" i="5" s="1"/>
  <c r="AT44" i="5" s="1"/>
  <c r="AU44" i="5" s="1"/>
  <c r="AV44" i="5" s="1"/>
  <c r="AW44" i="5" s="1"/>
  <c r="AX44" i="5" s="1"/>
  <c r="AY44" i="5" s="1"/>
  <c r="AZ44" i="5" s="1"/>
  <c r="BA44" i="5" s="1"/>
  <c r="BB44" i="5" s="1"/>
  <c r="BC44" i="5" s="1"/>
  <c r="BD44" i="5" s="1"/>
  <c r="BE44" i="5" s="1"/>
  <c r="BF44" i="5" s="1"/>
  <c r="BG44" i="5" s="1"/>
  <c r="BH44" i="5" s="1"/>
  <c r="BI44" i="5" s="1"/>
  <c r="BJ44" i="5" s="1"/>
  <c r="BK44" i="5" s="1"/>
  <c r="BL44" i="5" s="1"/>
  <c r="BM44" i="5" s="1"/>
  <c r="BN44" i="5" s="1"/>
  <c r="BH87" i="5"/>
  <c r="BI87" i="5" s="1"/>
  <c r="BJ87" i="5" s="1"/>
  <c r="BK87" i="5" s="1"/>
  <c r="BL87" i="5" s="1"/>
  <c r="BM87" i="5" s="1"/>
  <c r="BN87" i="5" s="1"/>
  <c r="AB121" i="5"/>
  <c r="AC121" i="5"/>
  <c r="AD121" i="5" s="1"/>
  <c r="AE121" i="5" s="1"/>
  <c r="AF121" i="5" s="1"/>
  <c r="AG121" i="5" s="1"/>
  <c r="AH121" i="5" s="1"/>
  <c r="AI121" i="5" s="1"/>
  <c r="AJ121" i="5" s="1"/>
  <c r="AK121" i="5" s="1"/>
  <c r="AL121" i="5" s="1"/>
  <c r="AM121" i="5" s="1"/>
  <c r="AN121" i="5" s="1"/>
  <c r="AO121" i="5" s="1"/>
  <c r="AP121" i="5" s="1"/>
  <c r="AQ121" i="5" s="1"/>
  <c r="AR121" i="5" s="1"/>
  <c r="AS121" i="5" s="1"/>
  <c r="AT121" i="5" s="1"/>
  <c r="AU121" i="5" s="1"/>
  <c r="AV121" i="5" s="1"/>
  <c r="AW121" i="5" s="1"/>
  <c r="AX121" i="5" s="1"/>
  <c r="AY121" i="5" s="1"/>
  <c r="AZ121" i="5" s="1"/>
  <c r="BA121" i="5" s="1"/>
  <c r="BB121" i="5" s="1"/>
  <c r="BC121" i="5" s="1"/>
  <c r="BD121" i="5" s="1"/>
  <c r="BE121" i="5" s="1"/>
  <c r="BF121" i="5" s="1"/>
  <c r="BG121" i="5" s="1"/>
  <c r="BH121" i="5" s="1"/>
  <c r="BI121" i="5" s="1"/>
  <c r="BJ121" i="5" s="1"/>
  <c r="BK121" i="5" s="1"/>
  <c r="BL121" i="5" s="1"/>
  <c r="BM121" i="5" s="1"/>
  <c r="BN121" i="5" s="1"/>
  <c r="Y53" i="5"/>
  <c r="Z53" i="5" s="1"/>
  <c r="AU74" i="5"/>
  <c r="AV74" i="5" s="1"/>
  <c r="AW74" i="5" s="1"/>
  <c r="AX74" i="5" s="1"/>
  <c r="AY74" i="5" s="1"/>
  <c r="AZ74" i="5" s="1"/>
  <c r="BA74" i="5" s="1"/>
  <c r="BB74" i="5" s="1"/>
  <c r="BC74" i="5" s="1"/>
  <c r="BD74" i="5" s="1"/>
  <c r="BE74" i="5" s="1"/>
  <c r="BF74" i="5" s="1"/>
  <c r="BG74" i="5" s="1"/>
  <c r="BH74" i="5" s="1"/>
  <c r="BI74" i="5" s="1"/>
  <c r="BJ74" i="5" s="1"/>
  <c r="BK74" i="5" s="1"/>
  <c r="BL74" i="5" s="1"/>
  <c r="BM74" i="5" s="1"/>
  <c r="BN74" i="5" s="1"/>
  <c r="S48" i="5"/>
  <c r="AK63" i="5"/>
  <c r="AL63" i="5" s="1"/>
  <c r="AM63" i="5" s="1"/>
  <c r="AN63" i="5" s="1"/>
  <c r="AO63" i="5" s="1"/>
  <c r="AP63" i="5" s="1"/>
  <c r="AQ63" i="5" s="1"/>
  <c r="AR63" i="5" s="1"/>
  <c r="AS63" i="5" s="1"/>
  <c r="AT63" i="5" s="1"/>
  <c r="AU63" i="5" s="1"/>
  <c r="AV63" i="5" s="1"/>
  <c r="AW63" i="5" s="1"/>
  <c r="AX63" i="5" s="1"/>
  <c r="AY63" i="5" s="1"/>
  <c r="AZ63" i="5" s="1"/>
  <c r="BA63" i="5" s="1"/>
  <c r="BB63" i="5" s="1"/>
  <c r="BC63" i="5" s="1"/>
  <c r="BD63" i="5" s="1"/>
  <c r="BE63" i="5" s="1"/>
  <c r="BD83" i="5"/>
  <c r="BE83" i="5" s="1"/>
  <c r="BL84" i="5"/>
  <c r="BM84" i="5" s="1"/>
  <c r="BN84" i="5" s="1"/>
  <c r="AN61" i="5"/>
  <c r="T47" i="5"/>
  <c r="O109" i="5"/>
  <c r="AF58" i="5"/>
  <c r="AA44" i="5"/>
  <c r="AB44" i="5" s="1"/>
  <c r="O42" i="5"/>
  <c r="P42" i="5" s="1"/>
  <c r="Q42" i="5" s="1"/>
  <c r="R42" i="5" s="1"/>
  <c r="V114" i="5"/>
  <c r="W114" i="5" s="1"/>
  <c r="X114" i="5" s="1"/>
  <c r="Y114" i="5" s="1"/>
  <c r="Z114" i="5" s="1"/>
  <c r="AA114" i="5" s="1"/>
  <c r="AB114" i="5" s="1"/>
  <c r="AC114" i="5" s="1"/>
  <c r="AD114" i="5" s="1"/>
  <c r="AE114" i="5" s="1"/>
  <c r="AF114" i="5" s="1"/>
  <c r="AG114" i="5" s="1"/>
  <c r="AH114" i="5" s="1"/>
  <c r="AI114" i="5" s="1"/>
  <c r="AJ114" i="5" s="1"/>
  <c r="AK114" i="5" s="1"/>
  <c r="AL114" i="5" s="1"/>
  <c r="AM114" i="5" s="1"/>
  <c r="AN114" i="5" s="1"/>
  <c r="AO114" i="5" s="1"/>
  <c r="AP114" i="5" s="1"/>
  <c r="AQ114" i="5" s="1"/>
  <c r="AR114" i="5" s="1"/>
  <c r="AS114" i="5" s="1"/>
  <c r="AT114" i="5" s="1"/>
  <c r="AU114" i="5" s="1"/>
  <c r="AV114" i="5" s="1"/>
  <c r="AW114" i="5" s="1"/>
  <c r="AX114" i="5" s="1"/>
  <c r="AY114" i="5" s="1"/>
  <c r="AZ114" i="5" s="1"/>
  <c r="BA114" i="5" s="1"/>
  <c r="BB114" i="5" s="1"/>
  <c r="BC114" i="5" s="1"/>
  <c r="BD114" i="5" s="1"/>
  <c r="BE114" i="5" s="1"/>
  <c r="BF114" i="5" s="1"/>
  <c r="BG114" i="5" s="1"/>
  <c r="BH114" i="5" s="1"/>
  <c r="BI114" i="5" s="1"/>
  <c r="BJ114" i="5" s="1"/>
  <c r="BK114" i="5" s="1"/>
  <c r="BL114" i="5" s="1"/>
  <c r="BM114" i="5" s="1"/>
  <c r="BN114" i="5" s="1"/>
  <c r="AS73" i="5"/>
  <c r="BW327" i="5" a="1"/>
  <c r="BW327" i="5" s="1"/>
  <c r="BW325" i="5" a="1"/>
  <c r="BW325" i="5" s="1"/>
  <c r="BW324" i="5" a="1"/>
  <c r="BW324" i="5" s="1"/>
  <c r="BW323" i="5" a="1"/>
  <c r="BW323" i="5" s="1"/>
  <c r="BW308" i="5" a="1"/>
  <c r="BW308" i="5" s="1"/>
  <c r="BW307" i="5" a="1"/>
  <c r="BW307" i="5" s="1"/>
  <c r="BW306" i="5" a="1"/>
  <c r="BW306" i="5" s="1"/>
  <c r="BW305" i="5" a="1"/>
  <c r="BW305" i="5" s="1"/>
  <c r="BW304" i="5" a="1"/>
  <c r="BW304" i="5" s="1"/>
  <c r="BW303" i="5" a="1"/>
  <c r="BW303" i="5" s="1"/>
  <c r="BW302" i="5" a="1"/>
  <c r="BW302" i="5" s="1"/>
  <c r="BW301" i="5" a="1"/>
  <c r="BW301" i="5" s="1"/>
  <c r="BW321" i="5" a="1"/>
  <c r="BW321" i="5" s="1"/>
  <c r="BW320" i="5" a="1"/>
  <c r="BW320" i="5" s="1"/>
  <c r="BW322" i="5" a="1"/>
  <c r="BW322" i="5" s="1"/>
  <c r="BW326" i="5" a="1"/>
  <c r="BW326" i="5" s="1"/>
  <c r="BW181" i="5"/>
  <c r="BX182" i="5" s="1"/>
  <c r="BY183" i="5" s="1"/>
  <c r="BZ184" i="5" s="1"/>
  <c r="BW198" i="5"/>
  <c r="BX7" i="5"/>
  <c r="BW6" i="5"/>
  <c r="W113" i="5"/>
  <c r="X113" i="5" s="1"/>
  <c r="Y113" i="5" s="1"/>
  <c r="Z113" i="5" s="1"/>
  <c r="AA113" i="5" s="1"/>
  <c r="AB113" i="5" s="1"/>
  <c r="AC113" i="5" s="1"/>
  <c r="AD113" i="5" s="1"/>
  <c r="AE113" i="5" s="1"/>
  <c r="AF113" i="5" s="1"/>
  <c r="AG113" i="5" s="1"/>
  <c r="AH113" i="5" s="1"/>
  <c r="AI113" i="5" s="1"/>
  <c r="AJ113" i="5" s="1"/>
  <c r="AK113" i="5" s="1"/>
  <c r="AL113" i="5" s="1"/>
  <c r="AM113" i="5" s="1"/>
  <c r="AN113" i="5" s="1"/>
  <c r="AO113" i="5" s="1"/>
  <c r="AP113" i="5" s="1"/>
  <c r="AQ113" i="5" s="1"/>
  <c r="AR113" i="5" s="1"/>
  <c r="AS113" i="5" s="1"/>
  <c r="AT113" i="5" s="1"/>
  <c r="AU113" i="5" s="1"/>
  <c r="AV113" i="5" s="1"/>
  <c r="AW113" i="5" s="1"/>
  <c r="AX113" i="5" s="1"/>
  <c r="AY113" i="5" s="1"/>
  <c r="AZ113" i="5" s="1"/>
  <c r="BA113" i="5" s="1"/>
  <c r="BB113" i="5" s="1"/>
  <c r="BC113" i="5" s="1"/>
  <c r="BD113" i="5" s="1"/>
  <c r="BE113" i="5" s="1"/>
  <c r="BF113" i="5" s="1"/>
  <c r="BG113" i="5" s="1"/>
  <c r="BH113" i="5" s="1"/>
  <c r="BI113" i="5" s="1"/>
  <c r="BJ113" i="5" s="1"/>
  <c r="BK113" i="5" s="1"/>
  <c r="BL113" i="5" s="1"/>
  <c r="BM113" i="5" s="1"/>
  <c r="BN113" i="5" s="1"/>
  <c r="AX77" i="5"/>
  <c r="I30" i="5"/>
  <c r="AV141" i="5"/>
  <c r="AW141" i="5" s="1"/>
  <c r="AX141" i="5" s="1"/>
  <c r="AY141" i="5" s="1"/>
  <c r="AZ141" i="5" s="1"/>
  <c r="BA141" i="5" s="1"/>
  <c r="BB141" i="5" s="1"/>
  <c r="BC141" i="5" s="1"/>
  <c r="BD141" i="5" s="1"/>
  <c r="BE141" i="5" s="1"/>
  <c r="BF141" i="5" s="1"/>
  <c r="BG141" i="5" s="1"/>
  <c r="BH141" i="5" s="1"/>
  <c r="G220" i="5"/>
  <c r="N43" i="5"/>
  <c r="AF60" i="5"/>
  <c r="V50" i="5"/>
  <c r="W50" i="5" s="1"/>
  <c r="BF63" i="5" l="1"/>
  <c r="BG63" i="5" s="1"/>
  <c r="BH63" i="5" s="1"/>
  <c r="BI63" i="5" s="1"/>
  <c r="BJ63" i="5" s="1"/>
  <c r="BK63" i="5" s="1"/>
  <c r="BL63" i="5" s="1"/>
  <c r="BM63" i="5" s="1"/>
  <c r="BN63" i="5" s="1"/>
  <c r="BG78" i="5"/>
  <c r="BH78" i="5" s="1"/>
  <c r="BI78" i="5" s="1"/>
  <c r="BJ78" i="5" s="1"/>
  <c r="BK78" i="5" s="1"/>
  <c r="BL78" i="5" s="1"/>
  <c r="BM78" i="5"/>
  <c r="BN78" i="5" s="1"/>
  <c r="AC54" i="5"/>
  <c r="AD54" i="5" s="1"/>
  <c r="AE54" i="5" s="1"/>
  <c r="AF54" i="5" s="1"/>
  <c r="AG54" i="5" s="1"/>
  <c r="AH54" i="5" s="1"/>
  <c r="AI54" i="5" s="1"/>
  <c r="AJ54" i="5" s="1"/>
  <c r="AK54" i="5" s="1"/>
  <c r="AL54" i="5" s="1"/>
  <c r="AM54" i="5" s="1"/>
  <c r="AN54" i="5" s="1"/>
  <c r="AO54" i="5" s="1"/>
  <c r="AP54" i="5" s="1"/>
  <c r="AQ54" i="5" s="1"/>
  <c r="AR54" i="5" s="1"/>
  <c r="AS54" i="5" s="1"/>
  <c r="AT54" i="5" s="1"/>
  <c r="AU54" i="5" s="1"/>
  <c r="AV54" i="5" s="1"/>
  <c r="AW54" i="5" s="1"/>
  <c r="AX54" i="5" s="1"/>
  <c r="AY54" i="5" s="1"/>
  <c r="AZ54" i="5" s="1"/>
  <c r="BA54" i="5" s="1"/>
  <c r="BB54" i="5" s="1"/>
  <c r="BC54" i="5" s="1"/>
  <c r="BD54" i="5" s="1"/>
  <c r="BE54" i="5" s="1"/>
  <c r="BF54" i="5" s="1"/>
  <c r="BG54" i="5" s="1"/>
  <c r="BH54" i="5" s="1"/>
  <c r="BI54" i="5" s="1"/>
  <c r="BJ54" i="5" s="1"/>
  <c r="BK54" i="5" s="1"/>
  <c r="BL54" i="5" s="1"/>
  <c r="BM54" i="5" s="1"/>
  <c r="BN54" i="5" s="1"/>
  <c r="BN83" i="5"/>
  <c r="AX75" i="5"/>
  <c r="AY75" i="5" s="1"/>
  <c r="AZ75" i="5" s="1"/>
  <c r="BA75" i="5" s="1"/>
  <c r="BB75" i="5" s="1"/>
  <c r="BC75" i="5" s="1"/>
  <c r="BD75" i="5" s="1"/>
  <c r="BE75" i="5" s="1"/>
  <c r="BF75" i="5" s="1"/>
  <c r="BG75" i="5" s="1"/>
  <c r="BH75" i="5" s="1"/>
  <c r="BI75" i="5" s="1"/>
  <c r="BJ75" i="5" s="1"/>
  <c r="BK75" i="5" s="1"/>
  <c r="BL75" i="5" s="1"/>
  <c r="BM75" i="5" s="1"/>
  <c r="BN75" i="5" s="1"/>
  <c r="AT73" i="5"/>
  <c r="AU73" i="5" s="1"/>
  <c r="BC81" i="5"/>
  <c r="O108" i="5"/>
  <c r="O169" i="5" s="1"/>
  <c r="P106" i="5" s="1"/>
  <c r="P109" i="5"/>
  <c r="T48" i="5"/>
  <c r="U48" i="5" s="1"/>
  <c r="V48" i="5"/>
  <c r="W48" i="5" s="1"/>
  <c r="X48" i="5" s="1"/>
  <c r="Y48" i="5" s="1"/>
  <c r="Z48" i="5" s="1"/>
  <c r="AA48" i="5" s="1"/>
  <c r="AB48" i="5" s="1"/>
  <c r="AC48" i="5" s="1"/>
  <c r="AD48" i="5" s="1"/>
  <c r="AE48" i="5" s="1"/>
  <c r="AF48" i="5" s="1"/>
  <c r="AG48" i="5" s="1"/>
  <c r="AH48" i="5" s="1"/>
  <c r="AI48" i="5" s="1"/>
  <c r="AJ48" i="5" s="1"/>
  <c r="AK48" i="5" s="1"/>
  <c r="AL48" i="5" s="1"/>
  <c r="AM48" i="5" s="1"/>
  <c r="AN48" i="5" s="1"/>
  <c r="AO48" i="5" s="1"/>
  <c r="AP48" i="5" s="1"/>
  <c r="AQ48" i="5" s="1"/>
  <c r="AR48" i="5" s="1"/>
  <c r="AS48" i="5" s="1"/>
  <c r="AT48" i="5" s="1"/>
  <c r="AU48" i="5" s="1"/>
  <c r="AV48" i="5" s="1"/>
  <c r="AW48" i="5" s="1"/>
  <c r="AX48" i="5" s="1"/>
  <c r="AY48" i="5" s="1"/>
  <c r="AZ48" i="5" s="1"/>
  <c r="BA48" i="5" s="1"/>
  <c r="BB48" i="5" s="1"/>
  <c r="BC48" i="5" s="1"/>
  <c r="BD48" i="5" s="1"/>
  <c r="BE48" i="5" s="1"/>
  <c r="BF48" i="5" s="1"/>
  <c r="BG48" i="5" s="1"/>
  <c r="BH48" i="5" s="1"/>
  <c r="BI48" i="5" s="1"/>
  <c r="BJ48" i="5" s="1"/>
  <c r="BK48" i="5" s="1"/>
  <c r="BL48" i="5" s="1"/>
  <c r="BM48" i="5" s="1"/>
  <c r="BN48" i="5" s="1"/>
  <c r="R46" i="5"/>
  <c r="S46" i="5" s="1"/>
  <c r="T46" i="5" s="1"/>
  <c r="U46" i="5" s="1"/>
  <c r="V46" i="5" s="1"/>
  <c r="W46" i="5" s="1"/>
  <c r="X46" i="5" s="1"/>
  <c r="Y46" i="5" s="1"/>
  <c r="Z46" i="5" s="1"/>
  <c r="AA46" i="5" s="1"/>
  <c r="AB46" i="5" s="1"/>
  <c r="AC46" i="5" s="1"/>
  <c r="AD46" i="5" s="1"/>
  <c r="AE46" i="5" s="1"/>
  <c r="AF46" i="5" s="1"/>
  <c r="AG46" i="5" s="1"/>
  <c r="AH46" i="5" s="1"/>
  <c r="AI46" i="5" s="1"/>
  <c r="AJ46" i="5" s="1"/>
  <c r="AK46" i="5" s="1"/>
  <c r="AL46" i="5" s="1"/>
  <c r="AM46" i="5" s="1"/>
  <c r="AN46" i="5" s="1"/>
  <c r="AO46" i="5" s="1"/>
  <c r="AP46" i="5" s="1"/>
  <c r="AQ46" i="5" s="1"/>
  <c r="AR46" i="5" s="1"/>
  <c r="AS46" i="5" s="1"/>
  <c r="AT46" i="5" s="1"/>
  <c r="AU46" i="5" s="1"/>
  <c r="AV46" i="5" s="1"/>
  <c r="AW46" i="5" s="1"/>
  <c r="AX46" i="5" s="1"/>
  <c r="AY46" i="5" s="1"/>
  <c r="AZ46" i="5" s="1"/>
  <c r="BA46" i="5" s="1"/>
  <c r="BB46" i="5" s="1"/>
  <c r="BC46" i="5" s="1"/>
  <c r="BD46" i="5" s="1"/>
  <c r="BE46" i="5" s="1"/>
  <c r="BF46" i="5" s="1"/>
  <c r="BG46" i="5" s="1"/>
  <c r="BH46" i="5" s="1"/>
  <c r="BI46" i="5" s="1"/>
  <c r="BJ46" i="5" s="1"/>
  <c r="BK46" i="5" s="1"/>
  <c r="BL46" i="5" s="1"/>
  <c r="BM46" i="5" s="1"/>
  <c r="BN46" i="5" s="1"/>
  <c r="AS70" i="5"/>
  <c r="AT70" i="5" s="1"/>
  <c r="AU70" i="5" s="1"/>
  <c r="AV70" i="5" s="1"/>
  <c r="AW70" i="5" s="1"/>
  <c r="AX70" i="5" s="1"/>
  <c r="AY70" i="5" s="1"/>
  <c r="AZ70" i="5" s="1"/>
  <c r="BA70" i="5" s="1"/>
  <c r="BB70" i="5" s="1"/>
  <c r="BC70" i="5" s="1"/>
  <c r="BD70" i="5" s="1"/>
  <c r="BE70" i="5" s="1"/>
  <c r="BF70" i="5" s="1"/>
  <c r="BG70" i="5" s="1"/>
  <c r="BH70" i="5" s="1"/>
  <c r="BI70" i="5" s="1"/>
  <c r="BJ70" i="5" s="1"/>
  <c r="BK70" i="5" s="1"/>
  <c r="BL70" i="5" s="1"/>
  <c r="BM70" i="5" s="1"/>
  <c r="BN70" i="5" s="1"/>
  <c r="H176" i="5"/>
  <c r="H181" i="5"/>
  <c r="H200" i="5"/>
  <c r="H204" i="5" s="1"/>
  <c r="S42" i="5"/>
  <c r="T42" i="5" s="1"/>
  <c r="U42" i="5" s="1"/>
  <c r="V42" i="5" s="1"/>
  <c r="W42" i="5" s="1"/>
  <c r="X42" i="5" s="1"/>
  <c r="Y42" i="5" s="1"/>
  <c r="Z42" i="5" s="1"/>
  <c r="AA42" i="5" s="1"/>
  <c r="AB42" i="5" s="1"/>
  <c r="AC42" i="5" s="1"/>
  <c r="AD42" i="5" s="1"/>
  <c r="AE42" i="5" s="1"/>
  <c r="AF42" i="5" s="1"/>
  <c r="AG42" i="5" s="1"/>
  <c r="AH42" i="5" s="1"/>
  <c r="AI42" i="5" s="1"/>
  <c r="AJ42" i="5" s="1"/>
  <c r="AK42" i="5" s="1"/>
  <c r="AL42" i="5" s="1"/>
  <c r="AM42" i="5" s="1"/>
  <c r="AN42" i="5" s="1"/>
  <c r="AO42" i="5" s="1"/>
  <c r="AP42" i="5" s="1"/>
  <c r="AQ42" i="5" s="1"/>
  <c r="AR42" i="5" s="1"/>
  <c r="AS42" i="5" s="1"/>
  <c r="AT42" i="5" s="1"/>
  <c r="AU42" i="5" s="1"/>
  <c r="AV42" i="5" s="1"/>
  <c r="AW42" i="5" s="1"/>
  <c r="AX42" i="5" s="1"/>
  <c r="AY42" i="5" s="1"/>
  <c r="AZ42" i="5" s="1"/>
  <c r="BA42" i="5" s="1"/>
  <c r="BB42" i="5" s="1"/>
  <c r="BC42" i="5" s="1"/>
  <c r="BD42" i="5" s="1"/>
  <c r="BE42" i="5" s="1"/>
  <c r="BF42" i="5" s="1"/>
  <c r="BG42" i="5" s="1"/>
  <c r="BH42" i="5" s="1"/>
  <c r="BI42" i="5" s="1"/>
  <c r="BJ42" i="5" s="1"/>
  <c r="BK42" i="5" s="1"/>
  <c r="BL42" i="5" s="1"/>
  <c r="BM42" i="5" s="1"/>
  <c r="BN42" i="5" s="1"/>
  <c r="R45" i="5"/>
  <c r="S45" i="5" s="1"/>
  <c r="T45" i="5" s="1"/>
  <c r="U45" i="5" s="1"/>
  <c r="V45" i="5" s="1"/>
  <c r="W45" i="5" s="1"/>
  <c r="X45" i="5" s="1"/>
  <c r="Y45" i="5" s="1"/>
  <c r="Z45" i="5" s="1"/>
  <c r="AA45" i="5" s="1"/>
  <c r="AB45" i="5" s="1"/>
  <c r="AC45" i="5" s="1"/>
  <c r="AD45" i="5" s="1"/>
  <c r="AE45" i="5" s="1"/>
  <c r="AF45" i="5" s="1"/>
  <c r="AG45" i="5" s="1"/>
  <c r="AH45" i="5" s="1"/>
  <c r="AI45" i="5" s="1"/>
  <c r="AJ45" i="5" s="1"/>
  <c r="AK45" i="5" s="1"/>
  <c r="AL45" i="5" s="1"/>
  <c r="AM45" i="5" s="1"/>
  <c r="AN45" i="5" s="1"/>
  <c r="AO45" i="5" s="1"/>
  <c r="AP45" i="5" s="1"/>
  <c r="AQ45" i="5" s="1"/>
  <c r="AR45" i="5" s="1"/>
  <c r="AS45" i="5" s="1"/>
  <c r="AT45" i="5" s="1"/>
  <c r="AU45" i="5" s="1"/>
  <c r="AV45" i="5" s="1"/>
  <c r="AW45" i="5" s="1"/>
  <c r="AX45" i="5" s="1"/>
  <c r="AY45" i="5" s="1"/>
  <c r="AZ45" i="5" s="1"/>
  <c r="BA45" i="5" s="1"/>
  <c r="BB45" i="5" s="1"/>
  <c r="BC45" i="5" s="1"/>
  <c r="BD45" i="5" s="1"/>
  <c r="BE45" i="5" s="1"/>
  <c r="BF45" i="5" s="1"/>
  <c r="BG45" i="5" s="1"/>
  <c r="BH45" i="5" s="1"/>
  <c r="BI45" i="5" s="1"/>
  <c r="BJ45" i="5" s="1"/>
  <c r="BK45" i="5" s="1"/>
  <c r="BL45" i="5" s="1"/>
  <c r="BM45" i="5" s="1"/>
  <c r="BN45" i="5" s="1"/>
  <c r="AV76" i="5"/>
  <c r="AW76" i="5" s="1"/>
  <c r="AX76" i="5" s="1"/>
  <c r="AY76" i="5" s="1"/>
  <c r="AZ76" i="5" s="1"/>
  <c r="BA76" i="5" s="1"/>
  <c r="BB76" i="5" s="1"/>
  <c r="BC76" i="5" s="1"/>
  <c r="BD76" i="5" s="1"/>
  <c r="BE76" i="5" s="1"/>
  <c r="BF76" i="5" s="1"/>
  <c r="BG76" i="5" s="1"/>
  <c r="BH76" i="5" s="1"/>
  <c r="BI76" i="5" s="1"/>
  <c r="BJ76" i="5" s="1"/>
  <c r="BK76" i="5" s="1"/>
  <c r="BL76" i="5" s="1"/>
  <c r="BM76" i="5" s="1"/>
  <c r="BN76" i="5" s="1"/>
  <c r="AY77" i="5"/>
  <c r="AZ77" i="5" s="1"/>
  <c r="BA77" i="5" s="1"/>
  <c r="BB77" i="5" s="1"/>
  <c r="BC77" i="5" s="1"/>
  <c r="BD77" i="5" s="1"/>
  <c r="BE77" i="5" s="1"/>
  <c r="BF77" i="5" s="1"/>
  <c r="BG77" i="5" s="1"/>
  <c r="BH77" i="5" s="1"/>
  <c r="BI77" i="5" s="1"/>
  <c r="BJ77" i="5" s="1"/>
  <c r="BK77" i="5" s="1"/>
  <c r="BL77" i="5" s="1"/>
  <c r="BM77" i="5" s="1"/>
  <c r="BN77" i="5" s="1"/>
  <c r="L41" i="5"/>
  <c r="AB55" i="5"/>
  <c r="AC55" i="5" s="1"/>
  <c r="AD55" i="5" s="1"/>
  <c r="AE55" i="5" s="1"/>
  <c r="AF55" i="5" s="1"/>
  <c r="AG55" i="5" s="1"/>
  <c r="AH55" i="5" s="1"/>
  <c r="AI55" i="5" s="1"/>
  <c r="AJ55" i="5" s="1"/>
  <c r="AK55" i="5" s="1"/>
  <c r="AL55" i="5" s="1"/>
  <c r="AM55" i="5" s="1"/>
  <c r="AN55" i="5" s="1"/>
  <c r="AO55" i="5" s="1"/>
  <c r="AP55" i="5" s="1"/>
  <c r="AQ55" i="5" s="1"/>
  <c r="AR55" i="5" s="1"/>
  <c r="AS55" i="5" s="1"/>
  <c r="AT55" i="5" s="1"/>
  <c r="AU55" i="5" s="1"/>
  <c r="AV55" i="5" s="1"/>
  <c r="AW55" i="5" s="1"/>
  <c r="AX55" i="5" s="1"/>
  <c r="AY55" i="5" s="1"/>
  <c r="AZ55" i="5" s="1"/>
  <c r="BA55" i="5" s="1"/>
  <c r="BB55" i="5" s="1"/>
  <c r="BC55" i="5" s="1"/>
  <c r="BD55" i="5" s="1"/>
  <c r="BE55" i="5" s="1"/>
  <c r="BF55" i="5" s="1"/>
  <c r="BG55" i="5" s="1"/>
  <c r="BH55" i="5" s="1"/>
  <c r="BI55" i="5" s="1"/>
  <c r="BJ55" i="5" s="1"/>
  <c r="BK55" i="5" s="1"/>
  <c r="BL55" i="5" s="1"/>
  <c r="BM55" i="5" s="1"/>
  <c r="BN55" i="5" s="1"/>
  <c r="G248" i="5"/>
  <c r="L186" i="5"/>
  <c r="K324" i="5" a="1"/>
  <c r="K324" i="5" s="1"/>
  <c r="K304" i="5" a="1"/>
  <c r="K304" i="5" s="1"/>
  <c r="K284" i="5"/>
  <c r="K249" i="5"/>
  <c r="AA53" i="5"/>
  <c r="AB53" i="5" s="1"/>
  <c r="AC53" i="5" s="1"/>
  <c r="AO61" i="5"/>
  <c r="AP61" i="5" s="1"/>
  <c r="AQ61" i="5" s="1"/>
  <c r="AR61" i="5" s="1"/>
  <c r="AS61" i="5" s="1"/>
  <c r="AT61" i="5" s="1"/>
  <c r="AU61" i="5" s="1"/>
  <c r="AV61" i="5" s="1"/>
  <c r="AW61" i="5" s="1"/>
  <c r="AX61" i="5" s="1"/>
  <c r="AY61" i="5" s="1"/>
  <c r="AZ61" i="5" s="1"/>
  <c r="BA61" i="5" s="1"/>
  <c r="BB61" i="5" s="1"/>
  <c r="BC61" i="5" s="1"/>
  <c r="BD61" i="5"/>
  <c r="BE61" i="5" s="1"/>
  <c r="BF61" i="5" s="1"/>
  <c r="BG61" i="5" s="1"/>
  <c r="BH61" i="5" s="1"/>
  <c r="BI61" i="5" s="1"/>
  <c r="BJ61" i="5" s="1"/>
  <c r="BK61" i="5" s="1"/>
  <c r="BL61" i="5" s="1"/>
  <c r="BM61" i="5"/>
  <c r="BN61" i="5" s="1"/>
  <c r="BX327" i="5" a="1"/>
  <c r="BX327" i="5" s="1"/>
  <c r="BX326" i="5" a="1"/>
  <c r="BX326" i="5" s="1"/>
  <c r="BX325" i="5" a="1"/>
  <c r="BX325" i="5" s="1"/>
  <c r="BX324" i="5" a="1"/>
  <c r="BX324" i="5" s="1"/>
  <c r="BX323" i="5" a="1"/>
  <c r="BX323" i="5" s="1"/>
  <c r="BX322" i="5" a="1"/>
  <c r="BX322" i="5" s="1"/>
  <c r="BX321" i="5" a="1"/>
  <c r="BX321" i="5" s="1"/>
  <c r="BX320" i="5" a="1"/>
  <c r="BX320" i="5" s="1"/>
  <c r="BX306" i="5" a="1"/>
  <c r="BX306" i="5" s="1"/>
  <c r="BX305" i="5" a="1"/>
  <c r="BX305" i="5" s="1"/>
  <c r="BX304" i="5" a="1"/>
  <c r="BX304" i="5" s="1"/>
  <c r="BX309" i="5" a="1"/>
  <c r="BX309" i="5" s="1"/>
  <c r="BX308" i="5" a="1"/>
  <c r="BX308" i="5" s="1"/>
  <c r="BX307" i="5" a="1"/>
  <c r="BX307" i="5" s="1"/>
  <c r="BX302" i="5" a="1"/>
  <c r="BX302" i="5" s="1"/>
  <c r="BX303" i="5" a="1"/>
  <c r="BX303" i="5" s="1"/>
  <c r="BX301" i="5" a="1"/>
  <c r="BX301" i="5" s="1"/>
  <c r="BX181" i="5"/>
  <c r="BY182" i="5" s="1"/>
  <c r="BZ183" i="5" s="1"/>
  <c r="BX198" i="5"/>
  <c r="BY7" i="5"/>
  <c r="BX6" i="5"/>
  <c r="AB47" i="5"/>
  <c r="AC47" i="5" s="1"/>
  <c r="AD47" i="5" s="1"/>
  <c r="AE47" i="5" s="1"/>
  <c r="AF47" i="5" s="1"/>
  <c r="AG47" i="5" s="1"/>
  <c r="AH47" i="5" s="1"/>
  <c r="AI47" i="5" s="1"/>
  <c r="AJ47" i="5" s="1"/>
  <c r="AK47" i="5" s="1"/>
  <c r="AL47" i="5" s="1"/>
  <c r="AM47" i="5" s="1"/>
  <c r="Y47" i="5"/>
  <c r="Z47" i="5" s="1"/>
  <c r="AA47" i="5" s="1"/>
  <c r="BC60" i="5"/>
  <c r="BD60" i="5" s="1"/>
  <c r="BE60" i="5" s="1"/>
  <c r="BF60" i="5" s="1"/>
  <c r="BG60" i="5" s="1"/>
  <c r="BH60" i="5" s="1"/>
  <c r="BI60" i="5" s="1"/>
  <c r="BJ60" i="5" s="1"/>
  <c r="BK60" i="5" s="1"/>
  <c r="BL60" i="5" s="1"/>
  <c r="BM60" i="5" s="1"/>
  <c r="BN60" i="5" s="1"/>
  <c r="G247" i="5"/>
  <c r="G246" i="5" s="1"/>
  <c r="G239" i="5"/>
  <c r="AP66" i="5"/>
  <c r="AQ66" i="5" s="1"/>
  <c r="AR66" i="5" s="1"/>
  <c r="AS66" i="5" s="1"/>
  <c r="AT66" i="5" s="1"/>
  <c r="AU66" i="5" s="1"/>
  <c r="AV66" i="5" s="1"/>
  <c r="AW66" i="5" s="1"/>
  <c r="AX66" i="5" s="1"/>
  <c r="AY66" i="5" s="1"/>
  <c r="AZ66" i="5" s="1"/>
  <c r="BA66" i="5" s="1"/>
  <c r="BB66" i="5" s="1"/>
  <c r="BC66" i="5" s="1"/>
  <c r="BD66" i="5" s="1"/>
  <c r="BE66" i="5" s="1"/>
  <c r="BF66" i="5" s="1"/>
  <c r="BG66" i="5" s="1"/>
  <c r="BH66" i="5" s="1"/>
  <c r="BI66" i="5" s="1"/>
  <c r="BJ66" i="5" s="1"/>
  <c r="BK66" i="5" s="1"/>
  <c r="BL66" i="5" s="1"/>
  <c r="BM66" i="5" s="1"/>
  <c r="BN66" i="5" s="1"/>
  <c r="BD81" i="5"/>
  <c r="BE81" i="5" s="1"/>
  <c r="BF81" i="5" s="1"/>
  <c r="BG81" i="5" s="1"/>
  <c r="BH81" i="5" s="1"/>
  <c r="BI81" i="5" s="1"/>
  <c r="BJ81" i="5" s="1"/>
  <c r="BK81" i="5" s="1"/>
  <c r="AN47" i="5"/>
  <c r="AO47" i="5" s="1"/>
  <c r="AP47" i="5" s="1"/>
  <c r="AQ47" i="5" s="1"/>
  <c r="AR47" i="5" s="1"/>
  <c r="AS47" i="5" s="1"/>
  <c r="AT47" i="5" s="1"/>
  <c r="AU47" i="5" s="1"/>
  <c r="AV47" i="5" s="1"/>
  <c r="AW47" i="5" s="1"/>
  <c r="AX47" i="5" s="1"/>
  <c r="AY47" i="5" s="1"/>
  <c r="AZ47" i="5" s="1"/>
  <c r="BA47" i="5" s="1"/>
  <c r="BB47" i="5" s="1"/>
  <c r="BC47" i="5" s="1"/>
  <c r="BD47" i="5" s="1"/>
  <c r="BE47" i="5" s="1"/>
  <c r="BF47" i="5" s="1"/>
  <c r="BG47" i="5" s="1"/>
  <c r="BH47" i="5" s="1"/>
  <c r="BI47" i="5" s="1"/>
  <c r="BJ47" i="5" s="1"/>
  <c r="BK47" i="5" s="1"/>
  <c r="BL47" i="5" s="1"/>
  <c r="BM47" i="5" s="1"/>
  <c r="BN47" i="5" s="1"/>
  <c r="AP68" i="5"/>
  <c r="AQ68" i="5" s="1"/>
  <c r="AR68" i="5" s="1"/>
  <c r="AS68" i="5" s="1"/>
  <c r="AT68" i="5" s="1"/>
  <c r="AU68" i="5" s="1"/>
  <c r="AV68" i="5" s="1"/>
  <c r="AW68" i="5" s="1"/>
  <c r="AX68" i="5" s="1"/>
  <c r="AY68" i="5" s="1"/>
  <c r="AZ68" i="5" s="1"/>
  <c r="BA68" i="5" s="1"/>
  <c r="BB68" i="5" s="1"/>
  <c r="BC68" i="5" s="1"/>
  <c r="BD68" i="5" s="1"/>
  <c r="BE68" i="5" s="1"/>
  <c r="BF68" i="5" s="1"/>
  <c r="BG68" i="5" s="1"/>
  <c r="BH68" i="5" s="1"/>
  <c r="BI68" i="5" s="1"/>
  <c r="BJ68" i="5" s="1"/>
  <c r="BK68" i="5" s="1"/>
  <c r="BL68" i="5" s="1"/>
  <c r="BM68" i="5" s="1"/>
  <c r="BN68" i="5" s="1"/>
  <c r="BC72" i="5"/>
  <c r="BD72" i="5" s="1"/>
  <c r="BE72" i="5" s="1"/>
  <c r="BF72" i="5" s="1"/>
  <c r="BG72" i="5" s="1"/>
  <c r="BH72" i="5" s="1"/>
  <c r="BI72" i="5" s="1"/>
  <c r="BJ72" i="5" s="1"/>
  <c r="BK72" i="5" s="1"/>
  <c r="BL72" i="5" s="1"/>
  <c r="BM72" i="5" s="1"/>
  <c r="BN72" i="5" s="1"/>
  <c r="AA52" i="5"/>
  <c r="AB52" i="5" s="1"/>
  <c r="AC52" i="5" s="1"/>
  <c r="AD52" i="5" s="1"/>
  <c r="AE52" i="5" s="1"/>
  <c r="AF52" i="5" s="1"/>
  <c r="AG52" i="5" s="1"/>
  <c r="AH52" i="5" s="1"/>
  <c r="AI52" i="5" s="1"/>
  <c r="AJ52" i="5" s="1"/>
  <c r="AK52" i="5" s="1"/>
  <c r="AL52" i="5" s="1"/>
  <c r="AM52" i="5" s="1"/>
  <c r="AN52" i="5" s="1"/>
  <c r="AO52" i="5" s="1"/>
  <c r="AP52" i="5" s="1"/>
  <c r="AQ52" i="5" s="1"/>
  <c r="AR52" i="5" s="1"/>
  <c r="AS52" i="5" s="1"/>
  <c r="AT52" i="5"/>
  <c r="AU52" i="5" s="1"/>
  <c r="AV52" i="5" s="1"/>
  <c r="AW52" i="5" s="1"/>
  <c r="AX52" i="5" s="1"/>
  <c r="AY52" i="5" s="1"/>
  <c r="AZ52" i="5" s="1"/>
  <c r="BA52" i="5" s="1"/>
  <c r="BB52" i="5" s="1"/>
  <c r="BC52" i="5" s="1"/>
  <c r="BD52" i="5" s="1"/>
  <c r="BE52" i="5" s="1"/>
  <c r="BF52" i="5" s="1"/>
  <c r="BG52" i="5" s="1"/>
  <c r="BH52" i="5" s="1"/>
  <c r="BI52" i="5" s="1"/>
  <c r="BJ52" i="5" s="1"/>
  <c r="BK52" i="5" s="1"/>
  <c r="BL52" i="5" s="1"/>
  <c r="BM52" i="5" s="1"/>
  <c r="BN52" i="5" s="1"/>
  <c r="Z52" i="5"/>
  <c r="BW300" i="5" a="1"/>
  <c r="BW300" i="5" s="1"/>
  <c r="AG60" i="5"/>
  <c r="AH60" i="5" s="1"/>
  <c r="AI60" i="5" s="1"/>
  <c r="AJ60" i="5" s="1"/>
  <c r="AK60" i="5" s="1"/>
  <c r="AL60" i="5" s="1"/>
  <c r="AM60" i="5" s="1"/>
  <c r="AN60" i="5" s="1"/>
  <c r="AO60" i="5" s="1"/>
  <c r="AP60" i="5" s="1"/>
  <c r="AQ60" i="5" s="1"/>
  <c r="AR60" i="5" s="1"/>
  <c r="AS60" i="5" s="1"/>
  <c r="AT60" i="5" s="1"/>
  <c r="AT56" i="5"/>
  <c r="AU56" i="5" s="1"/>
  <c r="AV56" i="5" s="1"/>
  <c r="AW56" i="5" s="1"/>
  <c r="AX56" i="5" s="1"/>
  <c r="AY56" i="5" s="1"/>
  <c r="AZ56" i="5" s="1"/>
  <c r="BA56" i="5" s="1"/>
  <c r="BB56" i="5" s="1"/>
  <c r="BC56" i="5" s="1"/>
  <c r="BD56" i="5" s="1"/>
  <c r="BE56" i="5" s="1"/>
  <c r="BF56" i="5" s="1"/>
  <c r="BG56" i="5" s="1"/>
  <c r="BH56" i="5" s="1"/>
  <c r="BI56" i="5" s="1"/>
  <c r="BJ56" i="5" s="1"/>
  <c r="BK56" i="5" s="1"/>
  <c r="BL56" i="5" s="1"/>
  <c r="BM56" i="5" s="1"/>
  <c r="BN56" i="5" s="1"/>
  <c r="AL64" i="5"/>
  <c r="AM64" i="5" s="1"/>
  <c r="AN64" i="5" s="1"/>
  <c r="AO64" i="5" s="1"/>
  <c r="AP64" i="5" s="1"/>
  <c r="AQ64" i="5" s="1"/>
  <c r="AR64" i="5" s="1"/>
  <c r="AS64" i="5" s="1"/>
  <c r="AT64" i="5" s="1"/>
  <c r="AU64" i="5" s="1"/>
  <c r="AV64" i="5" s="1"/>
  <c r="AW64" i="5" s="1"/>
  <c r="AX64" i="5" s="1"/>
  <c r="AY64" i="5" s="1"/>
  <c r="AZ64" i="5" s="1"/>
  <c r="BA64" i="5" s="1"/>
  <c r="BB64" i="5" s="1"/>
  <c r="BC64" i="5" s="1"/>
  <c r="BD64" i="5" s="1"/>
  <c r="BE64" i="5" s="1"/>
  <c r="BF64" i="5" s="1"/>
  <c r="BG64" i="5" s="1"/>
  <c r="BH64" i="5" s="1"/>
  <c r="BI64" i="5" s="1"/>
  <c r="BJ64" i="5" s="1"/>
  <c r="BK64" i="5" s="1"/>
  <c r="BL64" i="5" s="1"/>
  <c r="BM64" i="5" s="1"/>
  <c r="BN64" i="5" s="1"/>
  <c r="AK64" i="5"/>
  <c r="AJ64" i="5"/>
  <c r="AV72" i="5"/>
  <c r="AW72" i="5" s="1"/>
  <c r="AX72" i="5" s="1"/>
  <c r="AY72" i="5" s="1"/>
  <c r="AZ72" i="5" s="1"/>
  <c r="BA72" i="5" s="1"/>
  <c r="BB72" i="5" s="1"/>
  <c r="AD53" i="5"/>
  <c r="AE53" i="5" s="1"/>
  <c r="AF53" i="5" s="1"/>
  <c r="AG53" i="5" s="1"/>
  <c r="AH53" i="5" s="1"/>
  <c r="AI53" i="5" s="1"/>
  <c r="AJ53" i="5" s="1"/>
  <c r="AK53" i="5" s="1"/>
  <c r="AL53" i="5" s="1"/>
  <c r="AM53" i="5" s="1"/>
  <c r="AN53" i="5" s="1"/>
  <c r="AO53" i="5" s="1"/>
  <c r="AP53" i="5" s="1"/>
  <c r="AQ53" i="5" s="1"/>
  <c r="AR53" i="5" s="1"/>
  <c r="AS53" i="5" s="1"/>
  <c r="AT53" i="5" s="1"/>
  <c r="AU53" i="5" s="1"/>
  <c r="AV53" i="5" s="1"/>
  <c r="AW53" i="5" s="1"/>
  <c r="AX53" i="5" s="1"/>
  <c r="AY53" i="5" s="1"/>
  <c r="AZ53" i="5" s="1"/>
  <c r="BA53" i="5" s="1"/>
  <c r="BB53" i="5" s="1"/>
  <c r="BC53" i="5" s="1"/>
  <c r="BD53" i="5" s="1"/>
  <c r="BE53" i="5" s="1"/>
  <c r="BF53" i="5" s="1"/>
  <c r="BG53" i="5" s="1"/>
  <c r="BH53" i="5" s="1"/>
  <c r="BI53" i="5" s="1"/>
  <c r="BJ53" i="5" s="1"/>
  <c r="BK53" i="5" s="1"/>
  <c r="BL53" i="5" s="1"/>
  <c r="BM53" i="5" s="1"/>
  <c r="BN53" i="5" s="1"/>
  <c r="AV73" i="5"/>
  <c r="AW73" i="5" s="1"/>
  <c r="AX73" i="5" s="1"/>
  <c r="AY73" i="5" s="1"/>
  <c r="AZ73" i="5" s="1"/>
  <c r="BA73" i="5" s="1"/>
  <c r="BB73" i="5" s="1"/>
  <c r="BC73" i="5" s="1"/>
  <c r="BD73" i="5" s="1"/>
  <c r="BE73" i="5" s="1"/>
  <c r="BF73" i="5" s="1"/>
  <c r="BG73" i="5" s="1"/>
  <c r="BH73" i="5" s="1"/>
  <c r="BI73" i="5" s="1"/>
  <c r="BJ73" i="5" s="1"/>
  <c r="BK73" i="5" s="1"/>
  <c r="BL73" i="5" s="1"/>
  <c r="BM73" i="5" s="1"/>
  <c r="BN73" i="5" s="1"/>
  <c r="AD57" i="5"/>
  <c r="Z51" i="5"/>
  <c r="AA51" i="5" s="1"/>
  <c r="AB51" i="5" s="1"/>
  <c r="AC51" i="5" s="1"/>
  <c r="AD51" i="5" s="1"/>
  <c r="AE51" i="5" s="1"/>
  <c r="AF51" i="5" s="1"/>
  <c r="AG51" i="5" s="1"/>
  <c r="AH51" i="5" s="1"/>
  <c r="AI51" i="5" s="1"/>
  <c r="AJ51" i="5" s="1"/>
  <c r="AK51" i="5" s="1"/>
  <c r="AL51" i="5" s="1"/>
  <c r="AM51" i="5" s="1"/>
  <c r="AN51" i="5" s="1"/>
  <c r="AO51" i="5" s="1"/>
  <c r="AP51" i="5" s="1"/>
  <c r="AQ51" i="5" s="1"/>
  <c r="AR51" i="5" s="1"/>
  <c r="AS51" i="5" s="1"/>
  <c r="AT51" i="5" s="1"/>
  <c r="AU51" i="5" s="1"/>
  <c r="AV51" i="5" s="1"/>
  <c r="AW51" i="5" s="1"/>
  <c r="AX51" i="5" s="1"/>
  <c r="AY51" i="5" s="1"/>
  <c r="AZ51" i="5" s="1"/>
  <c r="BA51" i="5" s="1"/>
  <c r="BB51" i="5" s="1"/>
  <c r="BC51" i="5" s="1"/>
  <c r="BD51" i="5" s="1"/>
  <c r="BE51" i="5" s="1"/>
  <c r="BF51" i="5" s="1"/>
  <c r="BG51" i="5" s="1"/>
  <c r="BH51" i="5" s="1"/>
  <c r="BI51" i="5" s="1"/>
  <c r="BJ51" i="5" s="1"/>
  <c r="BK51" i="5" s="1"/>
  <c r="BL51" i="5" s="1"/>
  <c r="BM51" i="5" s="1"/>
  <c r="BN51" i="5" s="1"/>
  <c r="X50" i="5"/>
  <c r="Y50" i="5" s="1"/>
  <c r="Z50" i="5" s="1"/>
  <c r="AA50" i="5" s="1"/>
  <c r="AB50" i="5" s="1"/>
  <c r="AC50" i="5" s="1"/>
  <c r="AD50" i="5" s="1"/>
  <c r="AE50" i="5" s="1"/>
  <c r="AF50" i="5" s="1"/>
  <c r="AG50" i="5" s="1"/>
  <c r="AH50" i="5" s="1"/>
  <c r="AI50" i="5" s="1"/>
  <c r="AJ50" i="5" s="1"/>
  <c r="AK50" i="5" s="1"/>
  <c r="AL50" i="5" s="1"/>
  <c r="AM50" i="5" s="1"/>
  <c r="AN50" i="5" s="1"/>
  <c r="AO50" i="5" s="1"/>
  <c r="AP50" i="5" s="1"/>
  <c r="AQ50" i="5" s="1"/>
  <c r="AR50" i="5" s="1"/>
  <c r="AS50" i="5" s="1"/>
  <c r="AT50" i="5" s="1"/>
  <c r="AU50" i="5" s="1"/>
  <c r="AV50" i="5" s="1"/>
  <c r="AW50" i="5" s="1"/>
  <c r="AX50" i="5" s="1"/>
  <c r="AY50" i="5" s="1"/>
  <c r="AZ50" i="5" s="1"/>
  <c r="BA50" i="5" s="1"/>
  <c r="BB50" i="5" s="1"/>
  <c r="BC50" i="5" s="1"/>
  <c r="BD50" i="5" s="1"/>
  <c r="BE50" i="5" s="1"/>
  <c r="BF50" i="5" s="1"/>
  <c r="BG50" i="5" s="1"/>
  <c r="BH50" i="5" s="1"/>
  <c r="BI50" i="5" s="1"/>
  <c r="BJ50" i="5" s="1"/>
  <c r="BK50" i="5" s="1"/>
  <c r="BL50" i="5" s="1"/>
  <c r="BM50" i="5" s="1"/>
  <c r="BN50" i="5" s="1"/>
  <c r="AJ62" i="5"/>
  <c r="AK62" i="5" s="1"/>
  <c r="AL62" i="5" s="1"/>
  <c r="AM62" i="5" s="1"/>
  <c r="AN62" i="5" s="1"/>
  <c r="AO62" i="5" s="1"/>
  <c r="AP62" i="5" s="1"/>
  <c r="AQ62" i="5" s="1"/>
  <c r="AR62" i="5" s="1"/>
  <c r="AS62" i="5" s="1"/>
  <c r="AT62" i="5" s="1"/>
  <c r="AU62" i="5" s="1"/>
  <c r="AV62" i="5" s="1"/>
  <c r="AW62" i="5" s="1"/>
  <c r="AX62" i="5"/>
  <c r="AY62" i="5" s="1"/>
  <c r="AZ62" i="5" s="1"/>
  <c r="BA62" i="5" s="1"/>
  <c r="BB62" i="5" s="1"/>
  <c r="BC62" i="5" s="1"/>
  <c r="BD62" i="5" s="1"/>
  <c r="BE62" i="5" s="1"/>
  <c r="BF62" i="5" s="1"/>
  <c r="BG62" i="5" s="1"/>
  <c r="BH62" i="5" s="1"/>
  <c r="BI62" i="5" s="1"/>
  <c r="BJ62" i="5" s="1"/>
  <c r="BK62" i="5" s="1"/>
  <c r="BL62" i="5" s="1"/>
  <c r="BM62" i="5" s="1"/>
  <c r="BN62" i="5" s="1"/>
  <c r="AU60" i="5"/>
  <c r="AV60" i="5" s="1"/>
  <c r="AW60" i="5" s="1"/>
  <c r="AX60" i="5" s="1"/>
  <c r="AY60" i="5" s="1"/>
  <c r="AZ60" i="5" s="1"/>
  <c r="BA60" i="5" s="1"/>
  <c r="BB60" i="5" s="1"/>
  <c r="X49" i="5"/>
  <c r="AE57" i="5" l="1"/>
  <c r="AF57" i="5" s="1"/>
  <c r="AG57" i="5" s="1"/>
  <c r="AH57" i="5" s="1"/>
  <c r="AI57" i="5" s="1"/>
  <c r="AJ57" i="5" s="1"/>
  <c r="AK57" i="5" s="1"/>
  <c r="AL57" i="5"/>
  <c r="AM57" i="5" s="1"/>
  <c r="AN57" i="5" s="1"/>
  <c r="AO57" i="5" s="1"/>
  <c r="AP57" i="5" s="1"/>
  <c r="AQ57" i="5" s="1"/>
  <c r="AR57" i="5" s="1"/>
  <c r="AS57" i="5" s="1"/>
  <c r="AT57" i="5" s="1"/>
  <c r="AU57" i="5" s="1"/>
  <c r="AV57" i="5" s="1"/>
  <c r="AW57" i="5" s="1"/>
  <c r="AX57" i="5" s="1"/>
  <c r="AY57" i="5" s="1"/>
  <c r="AZ57" i="5" s="1"/>
  <c r="BA57" i="5" s="1"/>
  <c r="BB57" i="5" s="1"/>
  <c r="BC57" i="5" s="1"/>
  <c r="BD57" i="5" s="1"/>
  <c r="BE57" i="5" s="1"/>
  <c r="BF57" i="5" s="1"/>
  <c r="BG57" i="5" s="1"/>
  <c r="BH57" i="5" s="1"/>
  <c r="BI57" i="5" s="1"/>
  <c r="BJ57" i="5" s="1"/>
  <c r="BK57" i="5" s="1"/>
  <c r="BL57" i="5" s="1"/>
  <c r="BM57" i="5" s="1"/>
  <c r="BN57" i="5" s="1"/>
  <c r="G245" i="5"/>
  <c r="BX300" i="5" a="1"/>
  <c r="BX300" i="5" s="1"/>
  <c r="M187" i="5"/>
  <c r="L325" i="5" a="1"/>
  <c r="L325" i="5" s="1"/>
  <c r="L305" i="5" a="1"/>
  <c r="L305" i="5" s="1"/>
  <c r="L285" i="5"/>
  <c r="P108" i="5"/>
  <c r="P169" i="5" s="1"/>
  <c r="Q106" i="5" s="1"/>
  <c r="Q109" i="5"/>
  <c r="I182" i="5"/>
  <c r="H320" i="5" a="1"/>
  <c r="H320" i="5" s="1"/>
  <c r="H330" i="5" s="1"/>
  <c r="H331" i="5" s="1"/>
  <c r="H335" i="5" s="1" a="1"/>
  <c r="H335" i="5" s="1"/>
  <c r="H300" i="5" a="1"/>
  <c r="H300" i="5" s="1"/>
  <c r="H316" i="5" s="1"/>
  <c r="H317" i="5" s="1"/>
  <c r="H177" i="5"/>
  <c r="H280" i="5"/>
  <c r="H296" i="5" s="1"/>
  <c r="H297" i="5" s="1"/>
  <c r="H172" i="5" a="1"/>
  <c r="H172" i="5" s="1"/>
  <c r="H209" i="5" s="1"/>
  <c r="H208" i="5"/>
  <c r="I40" i="5" s="1"/>
  <c r="BL81" i="5"/>
  <c r="BM81" i="5" s="1"/>
  <c r="BN81" i="5" s="1"/>
  <c r="BY327" i="5" a="1"/>
  <c r="BY327" i="5" s="1"/>
  <c r="BY326" i="5" a="1"/>
  <c r="BY326" i="5" s="1"/>
  <c r="BY325" i="5" a="1"/>
  <c r="BY325" i="5" s="1"/>
  <c r="BY321" i="5" a="1"/>
  <c r="BY321" i="5" s="1"/>
  <c r="BY323" i="5" a="1"/>
  <c r="BY323" i="5" s="1"/>
  <c r="BY304" i="5" a="1"/>
  <c r="BY304" i="5" s="1"/>
  <c r="BY303" i="5" a="1"/>
  <c r="BY303" i="5" s="1"/>
  <c r="BY324" i="5" a="1"/>
  <c r="BY324" i="5" s="1"/>
  <c r="BY310" i="5" a="1"/>
  <c r="BY310" i="5" s="1"/>
  <c r="BY302" i="5" a="1"/>
  <c r="BY302" i="5" s="1"/>
  <c r="BY309" i="5" a="1"/>
  <c r="BY309" i="5" s="1"/>
  <c r="BY308" i="5" a="1"/>
  <c r="BY308" i="5" s="1"/>
  <c r="BY307" i="5" a="1"/>
  <c r="BY307" i="5" s="1"/>
  <c r="BY322" i="5" a="1"/>
  <c r="BY322" i="5" s="1"/>
  <c r="BY306" i="5" a="1"/>
  <c r="BY306" i="5" s="1"/>
  <c r="BY305" i="5" a="1"/>
  <c r="BY305" i="5" s="1"/>
  <c r="BY301" i="5" a="1"/>
  <c r="BY301" i="5" s="1"/>
  <c r="BY198" i="5"/>
  <c r="BY181" i="5"/>
  <c r="BZ182" i="5" s="1"/>
  <c r="BZ7" i="5"/>
  <c r="BY6" i="5"/>
  <c r="H178" i="5"/>
  <c r="M41" i="5"/>
  <c r="Y49" i="5"/>
  <c r="Z49" i="5" s="1"/>
  <c r="AA49" i="5" s="1"/>
  <c r="AB49" i="5" s="1"/>
  <c r="AC49" i="5" s="1"/>
  <c r="AD49" i="5" s="1"/>
  <c r="AE49" i="5" s="1"/>
  <c r="AF49" i="5" s="1"/>
  <c r="AG49" i="5" s="1"/>
  <c r="AH49" i="5" s="1"/>
  <c r="AI49" i="5" s="1"/>
  <c r="AJ49" i="5" s="1"/>
  <c r="AK49" i="5" s="1"/>
  <c r="AL49" i="5" s="1"/>
  <c r="AM49" i="5" s="1"/>
  <c r="AN49" i="5" s="1"/>
  <c r="AO49" i="5" s="1"/>
  <c r="AP49" i="5" s="1"/>
  <c r="AQ49" i="5" s="1"/>
  <c r="AR49" i="5" s="1"/>
  <c r="AS49" i="5" s="1"/>
  <c r="AT49" i="5" s="1"/>
  <c r="AU49" i="5" s="1"/>
  <c r="AV49" i="5" s="1"/>
  <c r="AW49" i="5"/>
  <c r="AX49" i="5" s="1"/>
  <c r="AY49" i="5" s="1"/>
  <c r="AZ49" i="5"/>
  <c r="BA49" i="5" s="1"/>
  <c r="BB49" i="5" s="1"/>
  <c r="BC49" i="5" s="1"/>
  <c r="BD49" i="5" s="1"/>
  <c r="BE49" i="5" s="1"/>
  <c r="BF49" i="5" s="1"/>
  <c r="BG49" i="5" s="1"/>
  <c r="BH49" i="5" s="1"/>
  <c r="BI49" i="5" s="1"/>
  <c r="BJ49" i="5" s="1"/>
  <c r="BK49" i="5" s="1"/>
  <c r="BL49" i="5" s="1"/>
  <c r="BM49" i="5" s="1"/>
  <c r="BN49" i="5" s="1"/>
  <c r="H223" i="5" l="1"/>
  <c r="H230" i="5"/>
  <c r="BZ326" i="5" a="1"/>
  <c r="BZ326" i="5" s="1"/>
  <c r="BZ325" i="5" a="1"/>
  <c r="BZ325" i="5" s="1"/>
  <c r="BZ324" i="5" a="1"/>
  <c r="BZ324" i="5" s="1"/>
  <c r="BZ323" i="5" a="1"/>
  <c r="BZ323" i="5" s="1"/>
  <c r="BZ311" i="5" a="1"/>
  <c r="BZ311" i="5" s="1"/>
  <c r="BZ310" i="5" a="1"/>
  <c r="BZ310" i="5" s="1"/>
  <c r="BZ309" i="5" a="1"/>
  <c r="BZ309" i="5" s="1"/>
  <c r="BZ308" i="5" a="1"/>
  <c r="BZ308" i="5" s="1"/>
  <c r="BZ307" i="5" a="1"/>
  <c r="BZ307" i="5" s="1"/>
  <c r="BZ306" i="5" a="1"/>
  <c r="BZ306" i="5" s="1"/>
  <c r="BZ305" i="5" a="1"/>
  <c r="BZ305" i="5" s="1"/>
  <c r="BZ304" i="5" a="1"/>
  <c r="BZ304" i="5" s="1"/>
  <c r="BZ303" i="5" a="1"/>
  <c r="BZ303" i="5" s="1"/>
  <c r="BZ302" i="5" a="1"/>
  <c r="BZ302" i="5" s="1"/>
  <c r="BZ301" i="5" a="1"/>
  <c r="BZ301" i="5" s="1"/>
  <c r="BZ321" i="5" a="1"/>
  <c r="BZ321" i="5" s="1"/>
  <c r="BZ327" i="5" a="1"/>
  <c r="BZ327" i="5" s="1"/>
  <c r="BZ322" i="5" a="1"/>
  <c r="BZ322" i="5" s="1"/>
  <c r="BZ198" i="5"/>
  <c r="BZ181" i="5"/>
  <c r="BZ320" i="5" s="1" a="1"/>
  <c r="BZ320" i="5" s="1"/>
  <c r="BZ6" i="5"/>
  <c r="I232" i="5"/>
  <c r="I231" i="5" s="1"/>
  <c r="I32" i="5"/>
  <c r="I101" i="5"/>
  <c r="G252" i="5"/>
  <c r="G275" i="5" s="1"/>
  <c r="J183" i="5"/>
  <c r="I281" i="5"/>
  <c r="I321" i="5" a="1"/>
  <c r="I321" i="5" s="1"/>
  <c r="I228" i="5"/>
  <c r="I301" i="5" a="1"/>
  <c r="I301" i="5" s="1"/>
  <c r="N188" i="5"/>
  <c r="M306" i="5" a="1"/>
  <c r="M306" i="5" s="1"/>
  <c r="M286" i="5"/>
  <c r="M326" i="5" a="1"/>
  <c r="M326" i="5" s="1"/>
  <c r="H174" i="5"/>
  <c r="I211" i="5" s="1"/>
  <c r="H210" i="5"/>
  <c r="H212" i="5" s="1"/>
  <c r="H217" i="5" s="1"/>
  <c r="H216" i="5" s="1"/>
  <c r="H229" i="5"/>
  <c r="H227" i="5" s="1"/>
  <c r="H202" i="5"/>
  <c r="H173" i="5"/>
  <c r="BY300" i="5" a="1"/>
  <c r="BY300" i="5" s="1"/>
  <c r="N41" i="5"/>
  <c r="BY320" i="5" a="1"/>
  <c r="BY320" i="5" s="1"/>
  <c r="Q108" i="5"/>
  <c r="Q169" i="5" s="1"/>
  <c r="R106" i="5" s="1"/>
  <c r="R109" i="5"/>
  <c r="BZ300" i="5" l="1" a="1"/>
  <c r="BZ300" i="5" s="1"/>
  <c r="O41" i="5"/>
  <c r="K184" i="5"/>
  <c r="J282" i="5"/>
  <c r="J302" i="5" a="1"/>
  <c r="J302" i="5" s="1"/>
  <c r="J322" i="5" a="1"/>
  <c r="J322" i="5" s="1"/>
  <c r="G339" i="5"/>
  <c r="G338" i="5" s="1"/>
  <c r="R108" i="5"/>
  <c r="R169" i="5" s="1"/>
  <c r="S106" i="5" s="1"/>
  <c r="S109" i="5"/>
  <c r="H219" i="5"/>
  <c r="O189" i="5"/>
  <c r="N327" i="5" a="1"/>
  <c r="N327" i="5" s="1"/>
  <c r="N307" i="5" a="1"/>
  <c r="N307" i="5" s="1"/>
  <c r="N287" i="5"/>
  <c r="I35" i="5"/>
  <c r="J38" i="5"/>
  <c r="I34" i="5"/>
  <c r="J25" i="5" s="1"/>
  <c r="I33" i="5"/>
  <c r="I27" i="5" s="1" a="1"/>
  <c r="I27" i="5" s="1"/>
  <c r="I28" i="5" s="1"/>
  <c r="H237" i="5"/>
  <c r="I171" i="5" l="1"/>
  <c r="J23" i="5"/>
  <c r="S108" i="5"/>
  <c r="S169" i="5" s="1"/>
  <c r="T106" i="5" s="1"/>
  <c r="T109" i="5"/>
  <c r="P41" i="5"/>
  <c r="L185" i="5"/>
  <c r="K283" i="5"/>
  <c r="K323" i="5" a="1"/>
  <c r="K323" i="5" s="1"/>
  <c r="K303" i="5" a="1"/>
  <c r="K303" i="5" s="1"/>
  <c r="H248" i="5"/>
  <c r="J30" i="5"/>
  <c r="P190" i="5"/>
  <c r="O328" i="5" a="1"/>
  <c r="O328" i="5" s="1"/>
  <c r="O308" i="5" a="1"/>
  <c r="O308" i="5" s="1"/>
  <c r="O288" i="5"/>
  <c r="H220" i="5"/>
  <c r="H239" i="5" l="1"/>
  <c r="H247" i="5"/>
  <c r="H246" i="5" s="1"/>
  <c r="M186" i="5"/>
  <c r="L324" i="5" a="1"/>
  <c r="L324" i="5" s="1"/>
  <c r="L304" i="5" a="1"/>
  <c r="L304" i="5" s="1"/>
  <c r="L284" i="5"/>
  <c r="L249" i="5"/>
  <c r="Q41" i="5"/>
  <c r="T108" i="5"/>
  <c r="T169" i="5" s="1"/>
  <c r="U106" i="5" s="1"/>
  <c r="U109" i="5"/>
  <c r="Q191" i="5"/>
  <c r="P289" i="5"/>
  <c r="P309" i="5" a="1"/>
  <c r="P309" i="5" s="1"/>
  <c r="I176" i="5"/>
  <c r="I181" i="5"/>
  <c r="I200" i="5"/>
  <c r="I204" i="5" s="1"/>
  <c r="R41" i="5" l="1"/>
  <c r="N187" i="5"/>
  <c r="M325" i="5" a="1"/>
  <c r="M325" i="5" s="1"/>
  <c r="M285" i="5"/>
  <c r="M305" i="5" a="1"/>
  <c r="M305" i="5" s="1"/>
  <c r="J182" i="5"/>
  <c r="I300" i="5" a="1"/>
  <c r="I300" i="5" s="1"/>
  <c r="I316" i="5" s="1"/>
  <c r="I317" i="5" s="1"/>
  <c r="I177" i="5"/>
  <c r="I320" i="5" a="1"/>
  <c r="I320" i="5" s="1"/>
  <c r="I330" i="5" s="1"/>
  <c r="I331" i="5" s="1"/>
  <c r="I335" i="5" s="1" a="1"/>
  <c r="I335" i="5" s="1"/>
  <c r="I172" i="5" a="1"/>
  <c r="I172" i="5" s="1"/>
  <c r="I280" i="5"/>
  <c r="I296" i="5" s="1"/>
  <c r="I297" i="5" s="1"/>
  <c r="I208" i="5"/>
  <c r="J40" i="5" s="1"/>
  <c r="R192" i="5"/>
  <c r="Q290" i="5"/>
  <c r="Q310" i="5" a="1"/>
  <c r="Q310" i="5" s="1"/>
  <c r="I178" i="5"/>
  <c r="U108" i="5"/>
  <c r="U169" i="5" s="1"/>
  <c r="V106" i="5" s="1"/>
  <c r="V109" i="5"/>
  <c r="H245" i="5"/>
  <c r="H252" i="5" l="1"/>
  <c r="H275" i="5" s="1"/>
  <c r="K183" i="5"/>
  <c r="J281" i="5"/>
  <c r="J228" i="5"/>
  <c r="J301" i="5" a="1"/>
  <c r="J301" i="5" s="1"/>
  <c r="J321" i="5" a="1"/>
  <c r="J321" i="5" s="1"/>
  <c r="I174" i="5"/>
  <c r="J211" i="5" s="1"/>
  <c r="I210" i="5"/>
  <c r="I212" i="5" s="1"/>
  <c r="I217" i="5" s="1"/>
  <c r="I216" i="5" s="1"/>
  <c r="I229" i="5"/>
  <c r="I227" i="5" s="1"/>
  <c r="I202" i="5"/>
  <c r="I173" i="5"/>
  <c r="O188" i="5"/>
  <c r="N286" i="5"/>
  <c r="N326" i="5" a="1"/>
  <c r="N326" i="5" s="1"/>
  <c r="N306" i="5" a="1"/>
  <c r="N306" i="5" s="1"/>
  <c r="J232" i="5"/>
  <c r="J231" i="5" s="1"/>
  <c r="J32" i="5"/>
  <c r="J101" i="5"/>
  <c r="S41" i="5"/>
  <c r="I209" i="5"/>
  <c r="V108" i="5"/>
  <c r="V169" i="5" s="1"/>
  <c r="W106" i="5" s="1"/>
  <c r="W109" i="5"/>
  <c r="S193" i="5"/>
  <c r="R311" i="5" a="1"/>
  <c r="R311" i="5" s="1"/>
  <c r="R291" i="5"/>
  <c r="I219" i="5" l="1"/>
  <c r="L184" i="5"/>
  <c r="K322" i="5" a="1"/>
  <c r="K322" i="5" s="1"/>
  <c r="K302" i="5" a="1"/>
  <c r="K302" i="5" s="1"/>
  <c r="K282" i="5"/>
  <c r="J34" i="5"/>
  <c r="K25" i="5" s="1"/>
  <c r="J33" i="5"/>
  <c r="J27" i="5" s="1" a="1"/>
  <c r="J27" i="5" s="1"/>
  <c r="J28" i="5" s="1"/>
  <c r="W108" i="5"/>
  <c r="W169" i="5" s="1"/>
  <c r="X106" i="5" s="1"/>
  <c r="X109" i="5"/>
  <c r="T41" i="5"/>
  <c r="T194" i="5"/>
  <c r="S312" i="5" a="1"/>
  <c r="S312" i="5" s="1"/>
  <c r="S292" i="5"/>
  <c r="I223" i="5"/>
  <c r="I230" i="5"/>
  <c r="P189" i="5"/>
  <c r="O327" i="5" a="1"/>
  <c r="O327" i="5" s="1"/>
  <c r="O307" i="5" a="1"/>
  <c r="O307" i="5" s="1"/>
  <c r="O287" i="5"/>
  <c r="H339" i="5"/>
  <c r="H338" i="5" s="1"/>
  <c r="J35" i="5"/>
  <c r="K38" i="5"/>
  <c r="J171" i="5" l="1"/>
  <c r="K23" i="5"/>
  <c r="K30" i="5"/>
  <c r="T313" i="5" a="1"/>
  <c r="T313" i="5" s="1"/>
  <c r="T293" i="5"/>
  <c r="U195" i="5"/>
  <c r="U41" i="5"/>
  <c r="M185" i="5"/>
  <c r="L323" i="5" a="1"/>
  <c r="L323" i="5" s="1"/>
  <c r="L303" i="5" a="1"/>
  <c r="L303" i="5" s="1"/>
  <c r="L283" i="5"/>
  <c r="Q190" i="5"/>
  <c r="P328" i="5" a="1"/>
  <c r="P328" i="5" s="1"/>
  <c r="P308" i="5" a="1"/>
  <c r="P308" i="5" s="1"/>
  <c r="P288" i="5"/>
  <c r="I237" i="5"/>
  <c r="X108" i="5"/>
  <c r="X169" i="5" s="1"/>
  <c r="Y106" i="5" s="1"/>
  <c r="Y109" i="5"/>
  <c r="I220" i="5"/>
  <c r="Y108" i="5" l="1"/>
  <c r="Y169" i="5" s="1"/>
  <c r="Z106" i="5" s="1"/>
  <c r="Z109" i="5"/>
  <c r="I248" i="5"/>
  <c r="U314" i="5" a="1"/>
  <c r="U314" i="5" s="1"/>
  <c r="U294" i="5"/>
  <c r="R191" i="5"/>
  <c r="Q309" i="5" a="1"/>
  <c r="Q309" i="5" s="1"/>
  <c r="Q289" i="5"/>
  <c r="N186" i="5"/>
  <c r="M304" i="5" a="1"/>
  <c r="M304" i="5" s="1"/>
  <c r="M324" i="5" a="1"/>
  <c r="M324" i="5" s="1"/>
  <c r="M284" i="5"/>
  <c r="M249" i="5"/>
  <c r="V41" i="5"/>
  <c r="J176" i="5"/>
  <c r="J181" i="5"/>
  <c r="J200" i="5"/>
  <c r="J204" i="5" s="1"/>
  <c r="I239" i="5"/>
  <c r="I247" i="5"/>
  <c r="I246" i="5" s="1"/>
  <c r="K182" i="5" l="1"/>
  <c r="J280" i="5"/>
  <c r="J296" i="5" s="1"/>
  <c r="J297" i="5" s="1"/>
  <c r="J172" i="5" a="1"/>
  <c r="J172" i="5" s="1"/>
  <c r="J320" i="5" a="1"/>
  <c r="J320" i="5" s="1"/>
  <c r="J330" i="5" s="1"/>
  <c r="J331" i="5" s="1"/>
  <c r="J335" i="5" s="1" a="1"/>
  <c r="J335" i="5" s="1"/>
  <c r="J300" i="5" a="1"/>
  <c r="J300" i="5" s="1"/>
  <c r="J316" i="5" s="1"/>
  <c r="J317" i="5" s="1"/>
  <c r="J209" i="5"/>
  <c r="J177" i="5"/>
  <c r="J208" i="5"/>
  <c r="K40" i="5" s="1"/>
  <c r="J178" i="5"/>
  <c r="O187" i="5"/>
  <c r="N285" i="5"/>
  <c r="N325" i="5" a="1"/>
  <c r="N325" i="5" s="1"/>
  <c r="N305" i="5" a="1"/>
  <c r="N305" i="5" s="1"/>
  <c r="S192" i="5"/>
  <c r="R310" i="5" a="1"/>
  <c r="R310" i="5" s="1"/>
  <c r="R290" i="5"/>
  <c r="Z108" i="5"/>
  <c r="Z169" i="5" s="1"/>
  <c r="AA106" i="5" s="1"/>
  <c r="AA109" i="5"/>
  <c r="W41" i="5"/>
  <c r="I245" i="5"/>
  <c r="J223" i="5" l="1"/>
  <c r="J230" i="5"/>
  <c r="K232" i="5"/>
  <c r="K231" i="5" s="1"/>
  <c r="K32" i="5"/>
  <c r="K101" i="5"/>
  <c r="J174" i="5"/>
  <c r="J210" i="5"/>
  <c r="J212" i="5" s="1"/>
  <c r="J217" i="5" s="1"/>
  <c r="J216" i="5" s="1"/>
  <c r="J229" i="5"/>
  <c r="J227" i="5" s="1"/>
  <c r="J202" i="5"/>
  <c r="J173" i="5"/>
  <c r="P188" i="5"/>
  <c r="O306" i="5" a="1"/>
  <c r="O306" i="5" s="1"/>
  <c r="O286" i="5"/>
  <c r="O326" i="5" a="1"/>
  <c r="O326" i="5" s="1"/>
  <c r="I252" i="5"/>
  <c r="I275" i="5" s="1"/>
  <c r="X41" i="5"/>
  <c r="T193" i="5"/>
  <c r="S291" i="5"/>
  <c r="S311" i="5" a="1"/>
  <c r="S311" i="5" s="1"/>
  <c r="L183" i="5"/>
  <c r="K301" i="5" a="1"/>
  <c r="K301" i="5" s="1"/>
  <c r="K321" i="5" a="1"/>
  <c r="K321" i="5" s="1"/>
  <c r="K281" i="5"/>
  <c r="K228" i="5"/>
  <c r="AA108" i="5"/>
  <c r="AA169" i="5" s="1"/>
  <c r="AB106" i="5" s="1"/>
  <c r="AB109" i="5"/>
  <c r="U194" i="5" l="1"/>
  <c r="T312" i="5" a="1"/>
  <c r="T312" i="5" s="1"/>
  <c r="T292" i="5"/>
  <c r="J219" i="5"/>
  <c r="AB108" i="5"/>
  <c r="AB169" i="5" s="1"/>
  <c r="AC106" i="5" s="1"/>
  <c r="AC109" i="5"/>
  <c r="Q189" i="5"/>
  <c r="P327" i="5" a="1"/>
  <c r="P327" i="5" s="1"/>
  <c r="P307" i="5" a="1"/>
  <c r="P307" i="5" s="1"/>
  <c r="P287" i="5"/>
  <c r="K35" i="5"/>
  <c r="L38" i="5"/>
  <c r="K33" i="5"/>
  <c r="K34" i="5" s="1"/>
  <c r="L25" i="5" s="1"/>
  <c r="K211" i="5"/>
  <c r="Y41" i="5"/>
  <c r="I339" i="5"/>
  <c r="I338" i="5" s="1"/>
  <c r="J237" i="5"/>
  <c r="M184" i="5"/>
  <c r="L322" i="5" a="1"/>
  <c r="L322" i="5" s="1"/>
  <c r="L282" i="5"/>
  <c r="L302" i="5" a="1"/>
  <c r="L302" i="5" s="1"/>
  <c r="N185" i="5" l="1"/>
  <c r="M303" i="5" a="1"/>
  <c r="M303" i="5" s="1"/>
  <c r="M283" i="5"/>
  <c r="M323" i="5" a="1"/>
  <c r="M323" i="5" s="1"/>
  <c r="R190" i="5"/>
  <c r="Q328" i="5" a="1"/>
  <c r="Q328" i="5" s="1"/>
  <c r="Q288" i="5"/>
  <c r="Q308" i="5" a="1"/>
  <c r="Q308" i="5" s="1"/>
  <c r="AC108" i="5"/>
  <c r="AC169" i="5" s="1"/>
  <c r="AD106" i="5" s="1"/>
  <c r="AD109" i="5"/>
  <c r="J220" i="5"/>
  <c r="K27" i="5" a="1"/>
  <c r="K27" i="5" s="1"/>
  <c r="K28" i="5" s="1"/>
  <c r="Z41" i="5"/>
  <c r="L30" i="5"/>
  <c r="U293" i="5"/>
  <c r="U313" i="5" a="1"/>
  <c r="U313" i="5" s="1"/>
  <c r="V195" i="5"/>
  <c r="J248" i="5"/>
  <c r="K171" i="5" l="1"/>
  <c r="L23" i="5"/>
  <c r="AD108" i="5"/>
  <c r="AD169" i="5" s="1"/>
  <c r="AE106" i="5" s="1"/>
  <c r="AE109" i="5"/>
  <c r="AA41" i="5"/>
  <c r="S191" i="5"/>
  <c r="R309" i="5" a="1"/>
  <c r="R309" i="5" s="1"/>
  <c r="R289" i="5"/>
  <c r="O186" i="5"/>
  <c r="N324" i="5" a="1"/>
  <c r="N324" i="5" s="1"/>
  <c r="N284" i="5"/>
  <c r="N304" i="5" a="1"/>
  <c r="N304" i="5" s="1"/>
  <c r="N249" i="5"/>
  <c r="V314" i="5" a="1"/>
  <c r="V314" i="5" s="1"/>
  <c r="V294" i="5"/>
  <c r="J239" i="5"/>
  <c r="J247" i="5"/>
  <c r="J246" i="5" s="1"/>
  <c r="T192" i="5" l="1"/>
  <c r="S290" i="5"/>
  <c r="S310" i="5" a="1"/>
  <c r="S310" i="5" s="1"/>
  <c r="J245" i="5"/>
  <c r="AB41" i="5"/>
  <c r="AE108" i="5"/>
  <c r="AE169" i="5" s="1"/>
  <c r="AF106" i="5" s="1"/>
  <c r="AF109" i="5"/>
  <c r="K176" i="5"/>
  <c r="K181" i="5"/>
  <c r="K200" i="5"/>
  <c r="K204" i="5" s="1"/>
  <c r="P187" i="5"/>
  <c r="O305" i="5" a="1"/>
  <c r="O305" i="5" s="1"/>
  <c r="O285" i="5"/>
  <c r="O325" i="5" a="1"/>
  <c r="O325" i="5" s="1"/>
  <c r="AF108" i="5" l="1"/>
  <c r="AF169" i="5" s="1"/>
  <c r="AG106" i="5" s="1"/>
  <c r="AG109" i="5"/>
  <c r="J252" i="5"/>
  <c r="J275" i="5" s="1"/>
  <c r="L182" i="5"/>
  <c r="K300" i="5" a="1"/>
  <c r="K300" i="5" s="1"/>
  <c r="K316" i="5" s="1"/>
  <c r="K317" i="5" s="1"/>
  <c r="K177" i="5"/>
  <c r="K320" i="5" a="1"/>
  <c r="K320" i="5" s="1"/>
  <c r="K330" i="5" s="1"/>
  <c r="K331" i="5" s="1"/>
  <c r="K335" i="5" s="1" a="1"/>
  <c r="K335" i="5" s="1"/>
  <c r="K280" i="5"/>
  <c r="K296" i="5" s="1"/>
  <c r="K297" i="5" s="1"/>
  <c r="K172" i="5" a="1"/>
  <c r="K172" i="5" s="1"/>
  <c r="K208" i="5"/>
  <c r="L40" i="5" s="1"/>
  <c r="U193" i="5"/>
  <c r="T291" i="5"/>
  <c r="T311" i="5" a="1"/>
  <c r="T311" i="5" s="1"/>
  <c r="Q188" i="5"/>
  <c r="P306" i="5" a="1"/>
  <c r="P306" i="5" s="1"/>
  <c r="P326" i="5" a="1"/>
  <c r="P326" i="5" s="1"/>
  <c r="P286" i="5"/>
  <c r="AC41" i="5"/>
  <c r="K178" i="5"/>
  <c r="V194" i="5" l="1"/>
  <c r="U292" i="5"/>
  <c r="U312" i="5" a="1"/>
  <c r="U312" i="5" s="1"/>
  <c r="M183" i="5"/>
  <c r="L321" i="5" a="1"/>
  <c r="L321" i="5" s="1"/>
  <c r="L228" i="5"/>
  <c r="L281" i="5"/>
  <c r="L301" i="5" a="1"/>
  <c r="L301" i="5" s="1"/>
  <c r="L232" i="5"/>
  <c r="L231" i="5" s="1"/>
  <c r="L32" i="5"/>
  <c r="L101" i="5"/>
  <c r="K174" i="5"/>
  <c r="K210" i="5"/>
  <c r="K212" i="5" s="1"/>
  <c r="K217" i="5" s="1"/>
  <c r="K216" i="5" s="1"/>
  <c r="K229" i="5"/>
  <c r="K227" i="5" s="1"/>
  <c r="K202" i="5"/>
  <c r="K173" i="5"/>
  <c r="J339" i="5"/>
  <c r="J338" i="5" s="1"/>
  <c r="AG108" i="5"/>
  <c r="AG169" i="5" s="1"/>
  <c r="AH106" i="5" s="1"/>
  <c r="AH109" i="5"/>
  <c r="R189" i="5"/>
  <c r="Q307" i="5" a="1"/>
  <c r="Q307" i="5" s="1"/>
  <c r="Q327" i="5" a="1"/>
  <c r="Q327" i="5" s="1"/>
  <c r="Q287" i="5"/>
  <c r="K209" i="5"/>
  <c r="AD41" i="5"/>
  <c r="L211" i="5" l="1"/>
  <c r="AE41" i="5"/>
  <c r="N184" i="5"/>
  <c r="M282" i="5"/>
  <c r="M302" i="5" a="1"/>
  <c r="M302" i="5" s="1"/>
  <c r="M322" i="5" a="1"/>
  <c r="M322" i="5" s="1"/>
  <c r="L35" i="5"/>
  <c r="M38" i="5"/>
  <c r="AH108" i="5"/>
  <c r="AH169" i="5" s="1"/>
  <c r="AI106" i="5" s="1"/>
  <c r="AI109" i="5"/>
  <c r="K219" i="5"/>
  <c r="V293" i="5"/>
  <c r="V313" i="5" a="1"/>
  <c r="V313" i="5" s="1"/>
  <c r="W195" i="5"/>
  <c r="K223" i="5"/>
  <c r="K230" i="5"/>
  <c r="L33" i="5"/>
  <c r="L27" i="5" s="1" a="1"/>
  <c r="L27" i="5" s="1"/>
  <c r="L28" i="5" s="1"/>
  <c r="L34" i="5"/>
  <c r="M25" i="5" s="1"/>
  <c r="S190" i="5"/>
  <c r="R328" i="5" a="1"/>
  <c r="R328" i="5" s="1"/>
  <c r="R308" i="5" a="1"/>
  <c r="R308" i="5" s="1"/>
  <c r="R288" i="5"/>
  <c r="L171" i="5" l="1"/>
  <c r="M23" i="5"/>
  <c r="T191" i="5"/>
  <c r="S289" i="5"/>
  <c r="S309" i="5" a="1"/>
  <c r="S309" i="5" s="1"/>
  <c r="K220" i="5"/>
  <c r="O185" i="5"/>
  <c r="N303" i="5" a="1"/>
  <c r="N303" i="5" s="1"/>
  <c r="N283" i="5"/>
  <c r="N323" i="5" a="1"/>
  <c r="N323" i="5" s="1"/>
  <c r="AI108" i="5"/>
  <c r="AI169" i="5" s="1"/>
  <c r="AJ106" i="5" s="1"/>
  <c r="AJ109" i="5"/>
  <c r="W294" i="5"/>
  <c r="W314" i="5" a="1"/>
  <c r="W314" i="5" s="1"/>
  <c r="K237" i="5"/>
  <c r="K248" i="5" s="1"/>
  <c r="AF41" i="5"/>
  <c r="M30" i="5"/>
  <c r="U192" i="5" l="1"/>
  <c r="T290" i="5"/>
  <c r="T310" i="5" a="1"/>
  <c r="T310" i="5" s="1"/>
  <c r="AG41" i="5"/>
  <c r="AJ108" i="5"/>
  <c r="AJ169" i="5" s="1"/>
  <c r="AK106" i="5" s="1"/>
  <c r="AK109" i="5"/>
  <c r="K239" i="5"/>
  <c r="K247" i="5"/>
  <c r="K246" i="5" s="1"/>
  <c r="P186" i="5"/>
  <c r="O304" i="5" a="1"/>
  <c r="O304" i="5" s="1"/>
  <c r="O324" i="5" a="1"/>
  <c r="O324" i="5" s="1"/>
  <c r="O284" i="5"/>
  <c r="O249" i="5"/>
  <c r="L176" i="5"/>
  <c r="L181" i="5"/>
  <c r="L200" i="5"/>
  <c r="L204" i="5" s="1"/>
  <c r="AH41" i="5" l="1"/>
  <c r="AK108" i="5"/>
  <c r="AK169" i="5" s="1"/>
  <c r="AL106" i="5" s="1"/>
  <c r="AL109" i="5"/>
  <c r="V193" i="5"/>
  <c r="U291" i="5"/>
  <c r="U311" i="5" a="1"/>
  <c r="U311" i="5" s="1"/>
  <c r="K245" i="5"/>
  <c r="M182" i="5"/>
  <c r="L300" i="5" a="1"/>
  <c r="L300" i="5" s="1"/>
  <c r="L316" i="5" s="1"/>
  <c r="L317" i="5" s="1"/>
  <c r="L320" i="5" a="1"/>
  <c r="L320" i="5" s="1"/>
  <c r="L330" i="5" s="1"/>
  <c r="L331" i="5" s="1"/>
  <c r="L335" i="5" s="1" a="1"/>
  <c r="L335" i="5" s="1"/>
  <c r="L280" i="5"/>
  <c r="L296" i="5" s="1"/>
  <c r="L297" i="5" s="1"/>
  <c r="L172" i="5" a="1"/>
  <c r="L172" i="5" s="1"/>
  <c r="L177" i="5"/>
  <c r="L178" i="5" s="1"/>
  <c r="L208" i="5"/>
  <c r="M40" i="5" s="1"/>
  <c r="Q187" i="5"/>
  <c r="P325" i="5" a="1"/>
  <c r="P325" i="5" s="1"/>
  <c r="P305" i="5" a="1"/>
  <c r="P305" i="5" s="1"/>
  <c r="P285" i="5"/>
  <c r="AL108" i="5" l="1"/>
  <c r="AL169" i="5" s="1"/>
  <c r="AM106" i="5" s="1"/>
  <c r="AM109" i="5"/>
  <c r="L210" i="5"/>
  <c r="L212" i="5" s="1"/>
  <c r="L217" i="5" s="1"/>
  <c r="L216" i="5" s="1"/>
  <c r="L174" i="5"/>
  <c r="M211" i="5" s="1"/>
  <c r="L202" i="5"/>
  <c r="L229" i="5"/>
  <c r="L227" i="5" s="1"/>
  <c r="L173" i="5"/>
  <c r="AI41" i="5"/>
  <c r="L209" i="5"/>
  <c r="R188" i="5"/>
  <c r="Q306" i="5" a="1"/>
  <c r="Q306" i="5" s="1"/>
  <c r="Q326" i="5" a="1"/>
  <c r="Q326" i="5" s="1"/>
  <c r="Q286" i="5"/>
  <c r="N183" i="5"/>
  <c r="M321" i="5" a="1"/>
  <c r="M321" i="5" s="1"/>
  <c r="M228" i="5"/>
  <c r="M301" i="5" a="1"/>
  <c r="M301" i="5" s="1"/>
  <c r="M281" i="5"/>
  <c r="M232" i="5"/>
  <c r="M231" i="5" s="1"/>
  <c r="M32" i="5"/>
  <c r="M101" i="5"/>
  <c r="K252" i="5"/>
  <c r="K275" i="5" s="1"/>
  <c r="K339" i="5" s="1"/>
  <c r="K338" i="5" s="1"/>
  <c r="W194" i="5"/>
  <c r="V312" i="5" a="1"/>
  <c r="V312" i="5" s="1"/>
  <c r="V292" i="5"/>
  <c r="L219" i="5" l="1"/>
  <c r="L220" i="5" s="1"/>
  <c r="W293" i="5"/>
  <c r="W313" i="5" a="1"/>
  <c r="W313" i="5" s="1"/>
  <c r="X195" i="5"/>
  <c r="S189" i="5"/>
  <c r="R327" i="5" a="1"/>
  <c r="R327" i="5" s="1"/>
  <c r="R307" i="5" a="1"/>
  <c r="R307" i="5" s="1"/>
  <c r="R287" i="5"/>
  <c r="L223" i="5"/>
  <c r="L230" i="5"/>
  <c r="AM108" i="5"/>
  <c r="AM169" i="5" s="1"/>
  <c r="AN106" i="5" s="1"/>
  <c r="AN109" i="5"/>
  <c r="M35" i="5"/>
  <c r="N38" i="5"/>
  <c r="AJ41" i="5"/>
  <c r="M33" i="5"/>
  <c r="M27" i="5" s="1" a="1"/>
  <c r="M27" i="5" s="1"/>
  <c r="M28" i="5" s="1"/>
  <c r="M34" i="5"/>
  <c r="N25" i="5" s="1"/>
  <c r="O184" i="5"/>
  <c r="N302" i="5" a="1"/>
  <c r="N302" i="5" s="1"/>
  <c r="N322" i="5" a="1"/>
  <c r="N322" i="5" s="1"/>
  <c r="N282" i="5"/>
  <c r="M171" i="5" l="1"/>
  <c r="N23" i="5"/>
  <c r="T190" i="5"/>
  <c r="S308" i="5" a="1"/>
  <c r="S308" i="5" s="1"/>
  <c r="S328" i="5" a="1"/>
  <c r="S328" i="5" s="1"/>
  <c r="S288" i="5"/>
  <c r="P185" i="5"/>
  <c r="O303" i="5" a="1"/>
  <c r="O303" i="5" s="1"/>
  <c r="O323" i="5" a="1"/>
  <c r="O323" i="5" s="1"/>
  <c r="O283" i="5"/>
  <c r="AN108" i="5"/>
  <c r="AN169" i="5" s="1"/>
  <c r="AO106" i="5" s="1"/>
  <c r="AO109" i="5"/>
  <c r="L237" i="5"/>
  <c r="L248" i="5" s="1"/>
  <c r="N30" i="5"/>
  <c r="L247" i="5"/>
  <c r="X294" i="5"/>
  <c r="X314" i="5" a="1"/>
  <c r="X314" i="5" s="1"/>
  <c r="AK41" i="5"/>
  <c r="Q186" i="5" l="1"/>
  <c r="P304" i="5" a="1"/>
  <c r="P304" i="5" s="1"/>
  <c r="P284" i="5"/>
  <c r="P249" i="5"/>
  <c r="P324" i="5" a="1"/>
  <c r="P324" i="5" s="1"/>
  <c r="AL41" i="5"/>
  <c r="U191" i="5"/>
  <c r="T309" i="5" a="1"/>
  <c r="T309" i="5" s="1"/>
  <c r="T289" i="5"/>
  <c r="AO108" i="5"/>
  <c r="AO169" i="5" s="1"/>
  <c r="AP106" i="5" s="1"/>
  <c r="AP109" i="5"/>
  <c r="L246" i="5"/>
  <c r="L239" i="5"/>
  <c r="M176" i="5"/>
  <c r="M181" i="5"/>
  <c r="M200" i="5"/>
  <c r="M204" i="5" s="1"/>
  <c r="L245" i="5" l="1"/>
  <c r="L252" i="5" s="1"/>
  <c r="L275" i="5" s="1"/>
  <c r="L339" i="5" s="1"/>
  <c r="L338" i="5" s="1"/>
  <c r="AM41" i="5"/>
  <c r="N182" i="5"/>
  <c r="M280" i="5"/>
  <c r="M296" i="5" s="1"/>
  <c r="M297" i="5" s="1"/>
  <c r="M320" i="5" a="1"/>
  <c r="M320" i="5" s="1"/>
  <c r="M330" i="5" s="1"/>
  <c r="M331" i="5" s="1"/>
  <c r="M335" i="5" s="1" a="1"/>
  <c r="M335" i="5" s="1"/>
  <c r="M300" i="5" a="1"/>
  <c r="M300" i="5" s="1"/>
  <c r="M316" i="5" s="1"/>
  <c r="M317" i="5" s="1"/>
  <c r="M172" i="5" a="1"/>
  <c r="M172" i="5" s="1"/>
  <c r="M177" i="5"/>
  <c r="M208" i="5"/>
  <c r="N40" i="5" s="1"/>
  <c r="R187" i="5"/>
  <c r="Q305" i="5" a="1"/>
  <c r="Q305" i="5" s="1"/>
  <c r="Q285" i="5"/>
  <c r="Q325" i="5" a="1"/>
  <c r="Q325" i="5" s="1"/>
  <c r="AP108" i="5"/>
  <c r="AP169" i="5" s="1"/>
  <c r="AQ106" i="5" s="1"/>
  <c r="AQ109" i="5"/>
  <c r="M178" i="5"/>
  <c r="V192" i="5"/>
  <c r="U290" i="5"/>
  <c r="U310" i="5" a="1"/>
  <c r="U310" i="5" s="1"/>
  <c r="S188" i="5" l="1"/>
  <c r="R286" i="5"/>
  <c r="R326" i="5" a="1"/>
  <c r="R326" i="5" s="1"/>
  <c r="R306" i="5" a="1"/>
  <c r="R306" i="5" s="1"/>
  <c r="O183" i="5"/>
  <c r="N281" i="5"/>
  <c r="N301" i="5" a="1"/>
  <c r="N301" i="5" s="1"/>
  <c r="N228" i="5"/>
  <c r="N321" i="5" a="1"/>
  <c r="N321" i="5" s="1"/>
  <c r="W193" i="5"/>
  <c r="V291" i="5"/>
  <c r="V311" i="5" a="1"/>
  <c r="V311" i="5" s="1"/>
  <c r="N232" i="5"/>
  <c r="N231" i="5" s="1"/>
  <c r="N32" i="5"/>
  <c r="N101" i="5"/>
  <c r="AN41" i="5"/>
  <c r="AQ108" i="5"/>
  <c r="AQ169" i="5" s="1"/>
  <c r="AR106" i="5" s="1"/>
  <c r="AR109" i="5"/>
  <c r="M210" i="5"/>
  <c r="M212" i="5" s="1"/>
  <c r="M217" i="5" s="1"/>
  <c r="M216" i="5" s="1"/>
  <c r="M174" i="5"/>
  <c r="M229" i="5"/>
  <c r="M227" i="5" s="1"/>
  <c r="M202" i="5"/>
  <c r="M173" i="5"/>
  <c r="M209" i="5"/>
  <c r="AR108" i="5" l="1"/>
  <c r="AR169" i="5" s="1"/>
  <c r="AS106" i="5" s="1"/>
  <c r="AS109" i="5"/>
  <c r="P184" i="5"/>
  <c r="O282" i="5"/>
  <c r="O322" i="5" a="1"/>
  <c r="O322" i="5" s="1"/>
  <c r="O302" i="5" a="1"/>
  <c r="O302" i="5" s="1"/>
  <c r="M223" i="5"/>
  <c r="M237" i="5" s="1"/>
  <c r="M248" i="5" s="1"/>
  <c r="M230" i="5"/>
  <c r="X194" i="5"/>
  <c r="W292" i="5"/>
  <c r="W312" i="5" a="1"/>
  <c r="W312" i="5" s="1"/>
  <c r="N27" i="5" a="1"/>
  <c r="N27" i="5" s="1"/>
  <c r="N28" i="5" s="1"/>
  <c r="M219" i="5"/>
  <c r="M220" i="5" s="1"/>
  <c r="N35" i="5"/>
  <c r="O38" i="5"/>
  <c r="T189" i="5"/>
  <c r="S327" i="5" a="1"/>
  <c r="S327" i="5" s="1"/>
  <c r="S307" i="5" a="1"/>
  <c r="S307" i="5" s="1"/>
  <c r="S287" i="5"/>
  <c r="AO41" i="5"/>
  <c r="N211" i="5"/>
  <c r="N33" i="5"/>
  <c r="N34" i="5" s="1"/>
  <c r="O25" i="5" s="1"/>
  <c r="AS169" i="5" l="1"/>
  <c r="AT106" i="5" s="1"/>
  <c r="M239" i="5"/>
  <c r="M247" i="5"/>
  <c r="M246" i="5" s="1"/>
  <c r="O30" i="5"/>
  <c r="N171" i="5"/>
  <c r="O23" i="5"/>
  <c r="AS108" i="5"/>
  <c r="AT109" i="5"/>
  <c r="AP41" i="5"/>
  <c r="X313" i="5" a="1"/>
  <c r="X313" i="5" s="1"/>
  <c r="X293" i="5"/>
  <c r="Y195" i="5"/>
  <c r="Q185" i="5"/>
  <c r="P303" i="5" a="1"/>
  <c r="P303" i="5" s="1"/>
  <c r="P323" i="5" a="1"/>
  <c r="P323" i="5" s="1"/>
  <c r="P283" i="5"/>
  <c r="U190" i="5"/>
  <c r="T288" i="5"/>
  <c r="T308" i="5" a="1"/>
  <c r="T308" i="5" s="1"/>
  <c r="T328" i="5" a="1"/>
  <c r="T328" i="5" s="1"/>
  <c r="AQ41" i="5" l="1"/>
  <c r="Y294" i="5"/>
  <c r="Y314" i="5" a="1"/>
  <c r="Y314" i="5" s="1"/>
  <c r="N176" i="5"/>
  <c r="N181" i="5"/>
  <c r="N200" i="5"/>
  <c r="N204" i="5" s="1"/>
  <c r="M245" i="5"/>
  <c r="M252" i="5" s="1"/>
  <c r="M275" i="5" s="1"/>
  <c r="M339" i="5" s="1"/>
  <c r="M338" i="5" s="1"/>
  <c r="AT108" i="5"/>
  <c r="AU109" i="5"/>
  <c r="V191" i="5"/>
  <c r="U289" i="5"/>
  <c r="U309" i="5" a="1"/>
  <c r="U309" i="5" s="1"/>
  <c r="R186" i="5"/>
  <c r="Q304" i="5" a="1"/>
  <c r="Q304" i="5" s="1"/>
  <c r="Q324" i="5" a="1"/>
  <c r="Q324" i="5" s="1"/>
  <c r="Q284" i="5"/>
  <c r="Q249" i="5"/>
  <c r="AT169" i="5"/>
  <c r="AU106" i="5" s="1"/>
  <c r="W192" i="5" l="1"/>
  <c r="V310" i="5" a="1"/>
  <c r="V310" i="5" s="1"/>
  <c r="V290" i="5"/>
  <c r="AU108" i="5"/>
  <c r="AU169" i="5" s="1"/>
  <c r="AV106" i="5" s="1"/>
  <c r="AV109" i="5"/>
  <c r="S187" i="5"/>
  <c r="R305" i="5" a="1"/>
  <c r="R305" i="5" s="1"/>
  <c r="R285" i="5"/>
  <c r="R325" i="5" a="1"/>
  <c r="R325" i="5" s="1"/>
  <c r="AR41" i="5"/>
  <c r="O182" i="5"/>
  <c r="N320" i="5" a="1"/>
  <c r="N320" i="5" s="1"/>
  <c r="N330" i="5" s="1"/>
  <c r="N331" i="5" s="1"/>
  <c r="N335" i="5" s="1" a="1"/>
  <c r="N335" i="5" s="1"/>
  <c r="N177" i="5"/>
  <c r="N178" i="5" s="1"/>
  <c r="N172" i="5" a="1"/>
  <c r="N172" i="5" s="1"/>
  <c r="N300" i="5" a="1"/>
  <c r="N300" i="5" s="1"/>
  <c r="N316" i="5" s="1"/>
  <c r="N317" i="5" s="1"/>
  <c r="N280" i="5"/>
  <c r="N296" i="5" s="1"/>
  <c r="N297" i="5" s="1"/>
  <c r="N209" i="5"/>
  <c r="N208" i="5"/>
  <c r="O40" i="5" s="1"/>
  <c r="O232" i="5" l="1"/>
  <c r="O231" i="5" s="1"/>
  <c r="O32" i="5"/>
  <c r="O101" i="5"/>
  <c r="AV108" i="5"/>
  <c r="AV169" i="5" s="1"/>
  <c r="AW106" i="5" s="1"/>
  <c r="AW109" i="5"/>
  <c r="T188" i="5"/>
  <c r="S326" i="5" a="1"/>
  <c r="S326" i="5" s="1"/>
  <c r="S306" i="5" a="1"/>
  <c r="S306" i="5" s="1"/>
  <c r="S286" i="5"/>
  <c r="P183" i="5"/>
  <c r="O321" i="5" a="1"/>
  <c r="O321" i="5" s="1"/>
  <c r="O301" i="5" a="1"/>
  <c r="O301" i="5" s="1"/>
  <c r="O281" i="5"/>
  <c r="O228" i="5"/>
  <c r="N223" i="5"/>
  <c r="N230" i="5"/>
  <c r="AS41" i="5"/>
  <c r="N210" i="5"/>
  <c r="N212" i="5" s="1"/>
  <c r="N217" i="5" s="1"/>
  <c r="N216" i="5" s="1"/>
  <c r="N174" i="5"/>
  <c r="O211" i="5" s="1"/>
  <c r="N229" i="5"/>
  <c r="N227" i="5" s="1"/>
  <c r="N202" i="5"/>
  <c r="N173" i="5"/>
  <c r="X193" i="5"/>
  <c r="W291" i="5"/>
  <c r="W311" i="5" a="1"/>
  <c r="W311" i="5" s="1"/>
  <c r="U189" i="5" l="1"/>
  <c r="T307" i="5" a="1"/>
  <c r="T307" i="5" s="1"/>
  <c r="T327" i="5" a="1"/>
  <c r="T327" i="5" s="1"/>
  <c r="T287" i="5"/>
  <c r="AW108" i="5"/>
  <c r="AW169" i="5" s="1"/>
  <c r="AX106" i="5" s="1"/>
  <c r="AX109" i="5"/>
  <c r="Q184" i="5"/>
  <c r="P322" i="5" a="1"/>
  <c r="P322" i="5" s="1"/>
  <c r="P302" i="5" a="1"/>
  <c r="P302" i="5" s="1"/>
  <c r="P282" i="5"/>
  <c r="O33" i="5"/>
  <c r="O27" i="5" s="1" a="1"/>
  <c r="O27" i="5" s="1"/>
  <c r="O28" i="5" s="1"/>
  <c r="O34" i="5"/>
  <c r="P25" i="5" s="1"/>
  <c r="N219" i="5"/>
  <c r="N220" i="5" s="1"/>
  <c r="N237" i="5"/>
  <c r="N248" i="5" s="1"/>
  <c r="AT41" i="5"/>
  <c r="Y194" i="5"/>
  <c r="X292" i="5"/>
  <c r="X312" i="5" a="1"/>
  <c r="X312" i="5" s="1"/>
  <c r="O35" i="5"/>
  <c r="P38" i="5"/>
  <c r="O171" i="5" l="1"/>
  <c r="P23" i="5"/>
  <c r="Y293" i="5"/>
  <c r="Y313" i="5" a="1"/>
  <c r="Y313" i="5" s="1"/>
  <c r="Z195" i="5"/>
  <c r="V190" i="5"/>
  <c r="U328" i="5" a="1"/>
  <c r="U328" i="5" s="1"/>
  <c r="U308" i="5" a="1"/>
  <c r="U308" i="5" s="1"/>
  <c r="U288" i="5"/>
  <c r="R185" i="5"/>
  <c r="Q283" i="5"/>
  <c r="Q323" i="5" a="1"/>
  <c r="Q323" i="5" s="1"/>
  <c r="Q303" i="5" a="1"/>
  <c r="Q303" i="5" s="1"/>
  <c r="AU41" i="5"/>
  <c r="P30" i="5"/>
  <c r="N239" i="5"/>
  <c r="N247" i="5"/>
  <c r="N246" i="5" s="1"/>
  <c r="AX108" i="5"/>
  <c r="AX169" i="5" s="1"/>
  <c r="AY106" i="5" s="1"/>
  <c r="AY109" i="5"/>
  <c r="W191" i="5" l="1"/>
  <c r="V289" i="5"/>
  <c r="V309" i="5" a="1"/>
  <c r="V309" i="5" s="1"/>
  <c r="AV41" i="5"/>
  <c r="N339" i="5"/>
  <c r="N338" i="5" s="1"/>
  <c r="N245" i="5"/>
  <c r="N252" i="5" s="1"/>
  <c r="N275" i="5" s="1"/>
  <c r="S186" i="5"/>
  <c r="R249" i="5"/>
  <c r="R284" i="5"/>
  <c r="R304" i="5" a="1"/>
  <c r="R304" i="5" s="1"/>
  <c r="R324" i="5" a="1"/>
  <c r="R324" i="5" s="1"/>
  <c r="AY108" i="5"/>
  <c r="AY169" i="5" s="1"/>
  <c r="AZ106" i="5" s="1"/>
  <c r="AZ109" i="5"/>
  <c r="Z294" i="5"/>
  <c r="Z314" i="5" a="1"/>
  <c r="Z314" i="5" s="1"/>
  <c r="O176" i="5"/>
  <c r="O181" i="5"/>
  <c r="O200" i="5"/>
  <c r="O204" i="5" s="1"/>
  <c r="AZ108" i="5" l="1"/>
  <c r="AZ169" i="5" s="1"/>
  <c r="BA106" i="5" s="1"/>
  <c r="BA109" i="5"/>
  <c r="O178" i="5"/>
  <c r="X192" i="5"/>
  <c r="W290" i="5"/>
  <c r="W310" i="5" a="1"/>
  <c r="W310" i="5" s="1"/>
  <c r="P182" i="5"/>
  <c r="O280" i="5"/>
  <c r="O296" i="5" s="1"/>
  <c r="O297" i="5" s="1"/>
  <c r="O177" i="5"/>
  <c r="O320" i="5" a="1"/>
  <c r="O320" i="5" s="1"/>
  <c r="O330" i="5" s="1"/>
  <c r="O331" i="5" s="1"/>
  <c r="O335" i="5" s="1" a="1"/>
  <c r="O335" i="5" s="1"/>
  <c r="O172" i="5" a="1"/>
  <c r="O172" i="5" s="1"/>
  <c r="O300" i="5" a="1"/>
  <c r="O300" i="5" s="1"/>
  <c r="O316" i="5" s="1"/>
  <c r="O317" i="5" s="1"/>
  <c r="O208" i="5"/>
  <c r="P40" i="5" s="1"/>
  <c r="AW41" i="5"/>
  <c r="T187" i="5"/>
  <c r="S305" i="5" a="1"/>
  <c r="S305" i="5" s="1"/>
  <c r="S325" i="5" a="1"/>
  <c r="S325" i="5" s="1"/>
  <c r="S285" i="5"/>
  <c r="Q183" i="5" l="1"/>
  <c r="P281" i="5"/>
  <c r="P228" i="5"/>
  <c r="P321" i="5" a="1"/>
  <c r="P321" i="5" s="1"/>
  <c r="P301" i="5" a="1"/>
  <c r="P301" i="5" s="1"/>
  <c r="P232" i="5"/>
  <c r="P231" i="5" s="1"/>
  <c r="P32" i="5"/>
  <c r="P101" i="5"/>
  <c r="O210" i="5"/>
  <c r="O212" i="5" s="1"/>
  <c r="O217" i="5" s="1"/>
  <c r="O216" i="5" s="1"/>
  <c r="O174" i="5"/>
  <c r="P211" i="5" s="1"/>
  <c r="O229" i="5"/>
  <c r="O227" i="5" s="1"/>
  <c r="O202" i="5"/>
  <c r="O173" i="5"/>
  <c r="BA108" i="5"/>
  <c r="BA169" i="5" s="1"/>
  <c r="BB106" i="5" s="1"/>
  <c r="BB109" i="5"/>
  <c r="Y193" i="5"/>
  <c r="X311" i="5" a="1"/>
  <c r="X311" i="5" s="1"/>
  <c r="X291" i="5"/>
  <c r="U188" i="5"/>
  <c r="T286" i="5"/>
  <c r="T306" i="5" a="1"/>
  <c r="T306" i="5" s="1"/>
  <c r="T326" i="5" a="1"/>
  <c r="T326" i="5" s="1"/>
  <c r="AX41" i="5"/>
  <c r="O209" i="5"/>
  <c r="O223" i="5" l="1"/>
  <c r="O230" i="5"/>
  <c r="O219" i="5"/>
  <c r="O220" i="5" s="1"/>
  <c r="P27" i="5" a="1"/>
  <c r="P27" i="5" s="1"/>
  <c r="P28" i="5" s="1"/>
  <c r="Z194" i="5"/>
  <c r="Y292" i="5"/>
  <c r="Y312" i="5" a="1"/>
  <c r="Y312" i="5" s="1"/>
  <c r="BB108" i="5"/>
  <c r="BB169" i="5" s="1"/>
  <c r="BC106" i="5" s="1"/>
  <c r="BC109" i="5"/>
  <c r="P35" i="5"/>
  <c r="Q38" i="5"/>
  <c r="V189" i="5"/>
  <c r="U327" i="5" a="1"/>
  <c r="U327" i="5" s="1"/>
  <c r="U307" i="5" a="1"/>
  <c r="U307" i="5" s="1"/>
  <c r="U287" i="5"/>
  <c r="P33" i="5"/>
  <c r="P34" i="5"/>
  <c r="Q25" i="5" s="1"/>
  <c r="R184" i="5"/>
  <c r="Q322" i="5" a="1"/>
  <c r="Q322" i="5" s="1"/>
  <c r="Q282" i="5"/>
  <c r="Q302" i="5" a="1"/>
  <c r="Q302" i="5" s="1"/>
  <c r="AY41" i="5"/>
  <c r="W190" i="5" l="1"/>
  <c r="V308" i="5" a="1"/>
  <c r="V308" i="5" s="1"/>
  <c r="V328" i="5" a="1"/>
  <c r="V328" i="5" s="1"/>
  <c r="V288" i="5"/>
  <c r="S185" i="5"/>
  <c r="R303" i="5" a="1"/>
  <c r="R303" i="5" s="1"/>
  <c r="R323" i="5" a="1"/>
  <c r="R323" i="5" s="1"/>
  <c r="R283" i="5"/>
  <c r="P171" i="5"/>
  <c r="Q23" i="5"/>
  <c r="O239" i="5"/>
  <c r="O247" i="5"/>
  <c r="O246" i="5" s="1"/>
  <c r="Q30" i="5"/>
  <c r="AZ41" i="5"/>
  <c r="O237" i="5"/>
  <c r="O248" i="5" s="1"/>
  <c r="Z313" i="5" a="1"/>
  <c r="Z313" i="5" s="1"/>
  <c r="Z293" i="5"/>
  <c r="AA195" i="5"/>
  <c r="BC108" i="5"/>
  <c r="BC169" i="5" s="1"/>
  <c r="BD106" i="5" s="1"/>
  <c r="BD109" i="5"/>
  <c r="T186" i="5" l="1"/>
  <c r="S249" i="5"/>
  <c r="S304" i="5" a="1"/>
  <c r="S304" i="5" s="1"/>
  <c r="S284" i="5"/>
  <c r="S324" i="5" a="1"/>
  <c r="S324" i="5" s="1"/>
  <c r="AA294" i="5"/>
  <c r="AA314" i="5" a="1"/>
  <c r="AA314" i="5" s="1"/>
  <c r="P176" i="5"/>
  <c r="P181" i="5"/>
  <c r="P200" i="5"/>
  <c r="P204" i="5" s="1"/>
  <c r="X191" i="5"/>
  <c r="W309" i="5" a="1"/>
  <c r="W309" i="5" s="1"/>
  <c r="W289" i="5"/>
  <c r="BD108" i="5"/>
  <c r="BD169" i="5" s="1"/>
  <c r="BE106" i="5" s="1"/>
  <c r="BE109" i="5"/>
  <c r="O245" i="5"/>
  <c r="O252" i="5" s="1"/>
  <c r="O275" i="5" s="1"/>
  <c r="O339" i="5" s="1"/>
  <c r="O338" i="5" s="1"/>
  <c r="BA41" i="5"/>
  <c r="BB41" i="5" l="1"/>
  <c r="Y192" i="5"/>
  <c r="X310" i="5" a="1"/>
  <c r="X310" i="5" s="1"/>
  <c r="X290" i="5"/>
  <c r="BE108" i="5"/>
  <c r="BE169" i="5" s="1"/>
  <c r="BF106" i="5" s="1"/>
  <c r="BF109" i="5"/>
  <c r="U187" i="5"/>
  <c r="T325" i="5" a="1"/>
  <c r="T325" i="5" s="1"/>
  <c r="T285" i="5"/>
  <c r="T305" i="5" a="1"/>
  <c r="T305" i="5" s="1"/>
  <c r="Q182" i="5"/>
  <c r="P320" i="5" a="1"/>
  <c r="P320" i="5" s="1"/>
  <c r="P330" i="5" s="1"/>
  <c r="P331" i="5" s="1"/>
  <c r="P335" i="5" s="1" a="1"/>
  <c r="P335" i="5" s="1"/>
  <c r="P300" i="5" a="1"/>
  <c r="P300" i="5" s="1"/>
  <c r="P316" i="5" s="1"/>
  <c r="P317" i="5" s="1"/>
  <c r="P172" i="5" a="1"/>
  <c r="P172" i="5" s="1"/>
  <c r="P280" i="5"/>
  <c r="P296" i="5" s="1"/>
  <c r="P297" i="5" s="1"/>
  <c r="P209" i="5"/>
  <c r="P177" i="5"/>
  <c r="P178" i="5" s="1"/>
  <c r="P208" i="5"/>
  <c r="Q40" i="5" s="1"/>
  <c r="BF108" i="5" l="1"/>
  <c r="BF169" i="5" s="1"/>
  <c r="BG106" i="5" s="1"/>
  <c r="BG109" i="5"/>
  <c r="P223" i="5"/>
  <c r="P230" i="5"/>
  <c r="BC41" i="5"/>
  <c r="V188" i="5"/>
  <c r="U306" i="5" a="1"/>
  <c r="U306" i="5" s="1"/>
  <c r="U286" i="5"/>
  <c r="U326" i="5" a="1"/>
  <c r="U326" i="5" s="1"/>
  <c r="R183" i="5"/>
  <c r="Q321" i="5" a="1"/>
  <c r="Q321" i="5" s="1"/>
  <c r="Q301" i="5" a="1"/>
  <c r="Q301" i="5" s="1"/>
  <c r="Q281" i="5"/>
  <c r="Q228" i="5"/>
  <c r="Q232" i="5"/>
  <c r="Q231" i="5" s="1"/>
  <c r="Q32" i="5"/>
  <c r="Q101" i="5"/>
  <c r="Z193" i="5"/>
  <c r="Y291" i="5"/>
  <c r="Y311" i="5" a="1"/>
  <c r="Y311" i="5" s="1"/>
  <c r="P210" i="5"/>
  <c r="P212" i="5" s="1"/>
  <c r="P217" i="5" s="1"/>
  <c r="P216" i="5" s="1"/>
  <c r="P174" i="5"/>
  <c r="Q211" i="5" s="1"/>
  <c r="P229" i="5"/>
  <c r="P227" i="5" s="1"/>
  <c r="P202" i="5"/>
  <c r="P173" i="5"/>
  <c r="W189" i="5" l="1"/>
  <c r="V287" i="5"/>
  <c r="V327" i="5" a="1"/>
  <c r="V327" i="5" s="1"/>
  <c r="V307" i="5" a="1"/>
  <c r="V307" i="5" s="1"/>
  <c r="BD41" i="5"/>
  <c r="P237" i="5"/>
  <c r="P248" i="5" s="1"/>
  <c r="AA194" i="5"/>
  <c r="Z292" i="5"/>
  <c r="Z312" i="5" a="1"/>
  <c r="Z312" i="5" s="1"/>
  <c r="P219" i="5"/>
  <c r="P220" i="5" s="1"/>
  <c r="Q35" i="5"/>
  <c r="R38" i="5"/>
  <c r="BG108" i="5"/>
  <c r="BG169" i="5" s="1"/>
  <c r="BH106" i="5" s="1"/>
  <c r="BH109" i="5"/>
  <c r="Q33" i="5"/>
  <c r="Q34" i="5" s="1"/>
  <c r="R25" i="5" s="1"/>
  <c r="S184" i="5"/>
  <c r="R322" i="5" a="1"/>
  <c r="R322" i="5" s="1"/>
  <c r="R282" i="5"/>
  <c r="R302" i="5" a="1"/>
  <c r="R302" i="5" s="1"/>
  <c r="BE41" i="5" l="1"/>
  <c r="Q27" i="5" a="1"/>
  <c r="Q27" i="5" s="1"/>
  <c r="Q28" i="5" s="1"/>
  <c r="P239" i="5"/>
  <c r="P247" i="5"/>
  <c r="P246" i="5" s="1"/>
  <c r="R30" i="5"/>
  <c r="T185" i="5"/>
  <c r="S323" i="5" a="1"/>
  <c r="S323" i="5" s="1"/>
  <c r="S303" i="5" a="1"/>
  <c r="S303" i="5" s="1"/>
  <c r="S283" i="5"/>
  <c r="X190" i="5"/>
  <c r="W308" i="5" a="1"/>
  <c r="W308" i="5" s="1"/>
  <c r="W328" i="5" a="1"/>
  <c r="W328" i="5" s="1"/>
  <c r="W288" i="5"/>
  <c r="BH108" i="5"/>
  <c r="BH169" i="5" s="1"/>
  <c r="BI106" i="5" s="1"/>
  <c r="BI109" i="5"/>
  <c r="AA293" i="5"/>
  <c r="AA313" i="5" a="1"/>
  <c r="AA313" i="5" s="1"/>
  <c r="AB195" i="5"/>
  <c r="Q171" i="5" l="1"/>
  <c r="R23" i="5"/>
  <c r="Y191" i="5"/>
  <c r="X309" i="5" a="1"/>
  <c r="X309" i="5" s="1"/>
  <c r="X289" i="5"/>
  <c r="P339" i="5"/>
  <c r="P338" i="5" s="1"/>
  <c r="P245" i="5"/>
  <c r="P252" i="5" s="1"/>
  <c r="P275" i="5" s="1"/>
  <c r="BF41" i="5"/>
  <c r="AB294" i="5"/>
  <c r="AB314" i="5" a="1"/>
  <c r="AB314" i="5" s="1"/>
  <c r="BI108" i="5"/>
  <c r="BI169" i="5" s="1"/>
  <c r="BJ106" i="5" s="1"/>
  <c r="BJ109" i="5"/>
  <c r="U186" i="5"/>
  <c r="T324" i="5" a="1"/>
  <c r="T324" i="5" s="1"/>
  <c r="T304" i="5" a="1"/>
  <c r="T304" i="5" s="1"/>
  <c r="T284" i="5"/>
  <c r="T249" i="5"/>
  <c r="V187" i="5" l="1"/>
  <c r="U325" i="5" a="1"/>
  <c r="U325" i="5" s="1"/>
  <c r="U305" i="5" a="1"/>
  <c r="U305" i="5" s="1"/>
  <c r="U285" i="5"/>
  <c r="Z192" i="5"/>
  <c r="Y310" i="5" a="1"/>
  <c r="Y310" i="5" s="1"/>
  <c r="Y290" i="5"/>
  <c r="BJ108" i="5"/>
  <c r="BJ169" i="5" s="1"/>
  <c r="BK106" i="5" s="1"/>
  <c r="BK109" i="5"/>
  <c r="BG41" i="5"/>
  <c r="Q176" i="5"/>
  <c r="Q181" i="5"/>
  <c r="Q200" i="5"/>
  <c r="Q204" i="5" s="1"/>
  <c r="BK108" i="5" l="1"/>
  <c r="BK169" i="5" s="1"/>
  <c r="BL106" i="5" s="1"/>
  <c r="BL109" i="5"/>
  <c r="W188" i="5"/>
  <c r="V286" i="5"/>
  <c r="V306" i="5" a="1"/>
  <c r="V306" i="5" s="1"/>
  <c r="V326" i="5" a="1"/>
  <c r="V326" i="5" s="1"/>
  <c r="AA193" i="5"/>
  <c r="Z291" i="5"/>
  <c r="Z311" i="5" a="1"/>
  <c r="Z311" i="5" s="1"/>
  <c r="BH41" i="5"/>
  <c r="R182" i="5"/>
  <c r="Q172" i="5" a="1"/>
  <c r="Q172" i="5" s="1"/>
  <c r="Q177" i="5"/>
  <c r="Q178" i="5" s="1"/>
  <c r="Q280" i="5"/>
  <c r="Q296" i="5" s="1"/>
  <c r="Q297" i="5" s="1"/>
  <c r="Q320" i="5" a="1"/>
  <c r="Q320" i="5" s="1"/>
  <c r="Q330" i="5" s="1"/>
  <c r="Q331" i="5" s="1"/>
  <c r="Q335" i="5" s="1" a="1"/>
  <c r="Q335" i="5" s="1"/>
  <c r="Q300" i="5" a="1"/>
  <c r="Q300" i="5" s="1"/>
  <c r="Q316" i="5" s="1"/>
  <c r="Q317" i="5" s="1"/>
  <c r="Q208" i="5"/>
  <c r="R40" i="5" s="1"/>
  <c r="Q210" i="5" l="1"/>
  <c r="Q212" i="5" s="1"/>
  <c r="Q217" i="5" s="1"/>
  <c r="Q216" i="5" s="1"/>
  <c r="Q174" i="5"/>
  <c r="R211" i="5" s="1"/>
  <c r="Q202" i="5"/>
  <c r="Q229" i="5"/>
  <c r="Q227" i="5" s="1"/>
  <c r="Q173" i="5"/>
  <c r="R232" i="5"/>
  <c r="R231" i="5" s="1"/>
  <c r="O30" i="3" s="1"/>
  <c r="R32" i="5"/>
  <c r="R101" i="5"/>
  <c r="BI41" i="5"/>
  <c r="X189" i="5"/>
  <c r="W327" i="5" a="1"/>
  <c r="W327" i="5" s="1"/>
  <c r="W307" i="5" a="1"/>
  <c r="W307" i="5" s="1"/>
  <c r="W287" i="5"/>
  <c r="BL108" i="5"/>
  <c r="BL169" i="5" s="1"/>
  <c r="BM106" i="5" s="1"/>
  <c r="BM109" i="5"/>
  <c r="Q209" i="5"/>
  <c r="S183" i="5"/>
  <c r="R228" i="5"/>
  <c r="R321" i="5" a="1"/>
  <c r="R321" i="5" s="1"/>
  <c r="R281" i="5"/>
  <c r="R301" i="5" a="1"/>
  <c r="R301" i="5" s="1"/>
  <c r="AB194" i="5"/>
  <c r="AA312" i="5" a="1"/>
  <c r="AA312" i="5" s="1"/>
  <c r="AA292" i="5"/>
  <c r="Q219" i="5" l="1"/>
  <c r="Q220" i="5" s="1"/>
  <c r="AB313" i="5" a="1"/>
  <c r="AB313" i="5" s="1"/>
  <c r="AB293" i="5"/>
  <c r="AC195" i="5"/>
  <c r="Q223" i="5"/>
  <c r="Q237" i="5" s="1"/>
  <c r="Q248" i="5" s="1"/>
  <c r="Q230" i="5"/>
  <c r="BJ41" i="5"/>
  <c r="BM108" i="5"/>
  <c r="BM169" i="5" s="1"/>
  <c r="BN106" i="5" s="1"/>
  <c r="BN169" i="5" s="1"/>
  <c r="BN109" i="5"/>
  <c r="BN108" i="5" s="1"/>
  <c r="R35" i="5"/>
  <c r="S38" i="5"/>
  <c r="Y190" i="5"/>
  <c r="X288" i="5"/>
  <c r="X328" i="5" a="1"/>
  <c r="X328" i="5" s="1"/>
  <c r="X308" i="5" a="1"/>
  <c r="X308" i="5" s="1"/>
  <c r="T184" i="5"/>
  <c r="S322" i="5" a="1"/>
  <c r="S322" i="5" s="1"/>
  <c r="S282" i="5"/>
  <c r="S302" i="5" a="1"/>
  <c r="S302" i="5" s="1"/>
  <c r="R34" i="5"/>
  <c r="S25" i="5" s="1"/>
  <c r="R33" i="5"/>
  <c r="R27" i="5" s="1" a="1"/>
  <c r="R27" i="5" s="1"/>
  <c r="R28" i="5" s="1"/>
  <c r="R171" i="5" l="1"/>
  <c r="S23" i="5"/>
  <c r="BK41" i="5"/>
  <c r="Q239" i="5"/>
  <c r="Q247" i="5"/>
  <c r="Q246" i="5" s="1"/>
  <c r="U185" i="5"/>
  <c r="T323" i="5" a="1"/>
  <c r="T323" i="5" s="1"/>
  <c r="T283" i="5"/>
  <c r="T303" i="5" a="1"/>
  <c r="T303" i="5" s="1"/>
  <c r="Z191" i="5"/>
  <c r="Y309" i="5" a="1"/>
  <c r="Y309" i="5" s="1"/>
  <c r="Y289" i="5"/>
  <c r="S30" i="5"/>
  <c r="AC294" i="5"/>
  <c r="AC314" i="5" a="1"/>
  <c r="AC314" i="5" s="1"/>
  <c r="V186" i="5" l="1"/>
  <c r="U249" i="5"/>
  <c r="U304" i="5" a="1"/>
  <c r="U304" i="5" s="1"/>
  <c r="U284" i="5"/>
  <c r="U324" i="5" a="1"/>
  <c r="U324" i="5" s="1"/>
  <c r="Q245" i="5"/>
  <c r="Q252" i="5" s="1"/>
  <c r="Q275" i="5" s="1"/>
  <c r="Q339" i="5" s="1"/>
  <c r="Q338" i="5" s="1"/>
  <c r="BL41" i="5"/>
  <c r="AA192" i="5"/>
  <c r="Z310" i="5" a="1"/>
  <c r="Z310" i="5" s="1"/>
  <c r="Z290" i="5"/>
  <c r="R176" i="5"/>
  <c r="R181" i="5"/>
  <c r="R200" i="5"/>
  <c r="R204" i="5" s="1"/>
  <c r="AB193" i="5" l="1"/>
  <c r="AA311" i="5" a="1"/>
  <c r="AA311" i="5" s="1"/>
  <c r="AA291" i="5"/>
  <c r="S182" i="5"/>
  <c r="R320" i="5" a="1"/>
  <c r="R320" i="5" s="1"/>
  <c r="R330" i="5" s="1"/>
  <c r="R331" i="5" s="1"/>
  <c r="R335" i="5" s="1" a="1"/>
  <c r="R335" i="5" s="1"/>
  <c r="O34" i="3" s="1"/>
  <c r="R172" i="5" a="1"/>
  <c r="R172" i="5" s="1"/>
  <c r="R209" i="5" s="1"/>
  <c r="R280" i="5"/>
  <c r="R296" i="5" s="1"/>
  <c r="R297" i="5" s="1"/>
  <c r="R300" i="5" a="1"/>
  <c r="R300" i="5" s="1"/>
  <c r="R316" i="5" s="1"/>
  <c r="R317" i="5" s="1"/>
  <c r="R177" i="5"/>
  <c r="R178" i="5" s="1"/>
  <c r="R208" i="5"/>
  <c r="S40" i="5" s="1"/>
  <c r="BM41" i="5"/>
  <c r="W187" i="5"/>
  <c r="V305" i="5" a="1"/>
  <c r="V305" i="5" s="1"/>
  <c r="V285" i="5"/>
  <c r="V325" i="5" a="1"/>
  <c r="V325" i="5" s="1"/>
  <c r="R223" i="5" l="1"/>
  <c r="R230" i="5"/>
  <c r="O29" i="3" s="1"/>
  <c r="BN41" i="5"/>
  <c r="T183" i="5"/>
  <c r="S281" i="5"/>
  <c r="S321" i="5" a="1"/>
  <c r="S321" i="5" s="1"/>
  <c r="S228" i="5"/>
  <c r="S301" i="5" a="1"/>
  <c r="S301" i="5" s="1"/>
  <c r="X188" i="5"/>
  <c r="W286" i="5"/>
  <c r="W306" i="5" a="1"/>
  <c r="W306" i="5" s="1"/>
  <c r="W326" i="5" a="1"/>
  <c r="W326" i="5" s="1"/>
  <c r="R174" i="5"/>
  <c r="S211" i="5" s="1"/>
  <c r="R210" i="5"/>
  <c r="R212" i="5" s="1"/>
  <c r="R217" i="5" s="1"/>
  <c r="R216" i="5" s="1"/>
  <c r="O20" i="3" s="1"/>
  <c r="R202" i="5"/>
  <c r="R229" i="5"/>
  <c r="R227" i="5" s="1"/>
  <c r="O28" i="3" s="1"/>
  <c r="R173" i="5"/>
  <c r="O72" i="3"/>
  <c r="S232" i="5"/>
  <c r="S231" i="5" s="1"/>
  <c r="S32" i="5"/>
  <c r="S101" i="5"/>
  <c r="AC194" i="5"/>
  <c r="AB292" i="5"/>
  <c r="AB312" i="5" a="1"/>
  <c r="AB312" i="5" s="1"/>
  <c r="U184" i="5" l="1"/>
  <c r="T302" i="5" a="1"/>
  <c r="T302" i="5" s="1"/>
  <c r="T322" i="5" a="1"/>
  <c r="T322" i="5" s="1"/>
  <c r="T282" i="5"/>
  <c r="Y189" i="5"/>
  <c r="X327" i="5" a="1"/>
  <c r="X327" i="5" s="1"/>
  <c r="X287" i="5"/>
  <c r="X307" i="5" a="1"/>
  <c r="X307" i="5" s="1"/>
  <c r="AC293" i="5"/>
  <c r="AC313" i="5" a="1"/>
  <c r="AC313" i="5" s="1"/>
  <c r="AD195" i="5"/>
  <c r="R219" i="5"/>
  <c r="O17" i="3"/>
  <c r="O68" i="3" s="1"/>
  <c r="S35" i="5"/>
  <c r="T38" i="5"/>
  <c r="S34" i="5"/>
  <c r="T25" i="5" s="1"/>
  <c r="S33" i="5"/>
  <c r="S27" i="5" s="1" a="1"/>
  <c r="S27" i="5" s="1"/>
  <c r="S28" i="5" s="1"/>
  <c r="R237" i="5"/>
  <c r="R248" i="5" s="1"/>
  <c r="O24" i="3"/>
  <c r="O22" i="3" s="1"/>
  <c r="S171" i="5" l="1"/>
  <c r="T23" i="5"/>
  <c r="Z190" i="5"/>
  <c r="Y328" i="5" a="1"/>
  <c r="Y328" i="5" s="1"/>
  <c r="Y288" i="5"/>
  <c r="Y308" i="5" a="1"/>
  <c r="Y308" i="5" s="1"/>
  <c r="R220" i="5"/>
  <c r="O21" i="3"/>
  <c r="O19" i="3" s="1"/>
  <c r="O18" i="3" s="1"/>
  <c r="AD314" i="5" a="1"/>
  <c r="AD314" i="5" s="1"/>
  <c r="AD294" i="5"/>
  <c r="V185" i="5"/>
  <c r="U303" i="5" a="1"/>
  <c r="U303" i="5" s="1"/>
  <c r="U323" i="5" a="1"/>
  <c r="U323" i="5" s="1"/>
  <c r="U283" i="5"/>
  <c r="T30" i="5"/>
  <c r="O69" i="3" l="1"/>
  <c r="R239" i="5"/>
  <c r="R247" i="5"/>
  <c r="R246" i="5" s="1"/>
  <c r="O39" i="3" s="1"/>
  <c r="W186" i="5"/>
  <c r="V304" i="5" a="1"/>
  <c r="V304" i="5" s="1"/>
  <c r="V249" i="5"/>
  <c r="V324" i="5" a="1"/>
  <c r="V324" i="5" s="1"/>
  <c r="V284" i="5"/>
  <c r="AA191" i="5"/>
  <c r="Z309" i="5" a="1"/>
  <c r="Z309" i="5" s="1"/>
  <c r="Z289" i="5"/>
  <c r="S176" i="5"/>
  <c r="S181" i="5"/>
  <c r="S200" i="5"/>
  <c r="S204" i="5" s="1"/>
  <c r="AB192" i="5" l="1"/>
  <c r="AA310" i="5" a="1"/>
  <c r="AA310" i="5" s="1"/>
  <c r="AA290" i="5"/>
  <c r="T182" i="5"/>
  <c r="S300" i="5" a="1"/>
  <c r="S300" i="5" s="1"/>
  <c r="S316" i="5" s="1"/>
  <c r="S317" i="5" s="1"/>
  <c r="S172" i="5" a="1"/>
  <c r="S172" i="5" s="1"/>
  <c r="S320" i="5" a="1"/>
  <c r="S320" i="5" s="1"/>
  <c r="S330" i="5" s="1"/>
  <c r="S331" i="5" s="1"/>
  <c r="S335" i="5" s="1" a="1"/>
  <c r="S335" i="5" s="1"/>
  <c r="S177" i="5"/>
  <c r="S178" i="5" s="1"/>
  <c r="S280" i="5"/>
  <c r="S296" i="5" s="1"/>
  <c r="S297" i="5" s="1"/>
  <c r="S208" i="5"/>
  <c r="T40" i="5" s="1"/>
  <c r="X187" i="5"/>
  <c r="W325" i="5" a="1"/>
  <c r="W325" i="5" s="1"/>
  <c r="W285" i="5"/>
  <c r="W305" i="5" a="1"/>
  <c r="W305" i="5" s="1"/>
  <c r="R245" i="5"/>
  <c r="Y188" i="5" l="1"/>
  <c r="X286" i="5"/>
  <c r="X306" i="5" a="1"/>
  <c r="X306" i="5" s="1"/>
  <c r="X326" i="5" a="1"/>
  <c r="X326" i="5" s="1"/>
  <c r="U183" i="5"/>
  <c r="T301" i="5" a="1"/>
  <c r="T301" i="5" s="1"/>
  <c r="T228" i="5"/>
  <c r="T281" i="5"/>
  <c r="T321" i="5" a="1"/>
  <c r="T321" i="5" s="1"/>
  <c r="S174" i="5"/>
  <c r="S210" i="5"/>
  <c r="S212" i="5" s="1"/>
  <c r="S217" i="5" s="1"/>
  <c r="S216" i="5" s="1"/>
  <c r="S202" i="5"/>
  <c r="S229" i="5"/>
  <c r="S227" i="5" s="1"/>
  <c r="S173" i="5"/>
  <c r="T232" i="5"/>
  <c r="T231" i="5" s="1"/>
  <c r="T32" i="5"/>
  <c r="T101" i="5"/>
  <c r="S209" i="5"/>
  <c r="AC193" i="5"/>
  <c r="AB291" i="5"/>
  <c r="AB311" i="5" a="1"/>
  <c r="AB311" i="5" s="1"/>
  <c r="R252" i="5"/>
  <c r="R275" i="5" s="1"/>
  <c r="R339" i="5" s="1"/>
  <c r="R338" i="5" s="1"/>
  <c r="O38" i="3"/>
  <c r="O36" i="3" s="1"/>
  <c r="O35" i="3" s="1"/>
  <c r="S219" i="5" l="1"/>
  <c r="AD194" i="5"/>
  <c r="AC312" i="5" a="1"/>
  <c r="AC312" i="5" s="1"/>
  <c r="AC292" i="5"/>
  <c r="V184" i="5"/>
  <c r="U302" i="5" a="1"/>
  <c r="U302" i="5" s="1"/>
  <c r="U322" i="5" a="1"/>
  <c r="U322" i="5" s="1"/>
  <c r="U282" i="5"/>
  <c r="O71" i="3"/>
  <c r="O73" i="3" s="1"/>
  <c r="O75" i="3" s="1"/>
  <c r="O51" i="3"/>
  <c r="O50" i="3"/>
  <c r="S223" i="5"/>
  <c r="S222" i="5"/>
  <c r="S230" i="5"/>
  <c r="T35" i="5"/>
  <c r="U38" i="5"/>
  <c r="T211" i="5"/>
  <c r="Z189" i="5"/>
  <c r="Y307" i="5" a="1"/>
  <c r="Y307" i="5" s="1"/>
  <c r="Y327" i="5" a="1"/>
  <c r="Y327" i="5" s="1"/>
  <c r="Y287" i="5"/>
  <c r="T33" i="5"/>
  <c r="T27" i="5" s="1" a="1"/>
  <c r="T27" i="5" s="1"/>
  <c r="T28" i="5" s="1"/>
  <c r="T171" i="5" l="1"/>
  <c r="U23" i="5"/>
  <c r="W185" i="5"/>
  <c r="V303" i="5" a="1"/>
  <c r="V303" i="5" s="1"/>
  <c r="V283" i="5"/>
  <c r="V323" i="5" a="1"/>
  <c r="V323" i="5" s="1"/>
  <c r="AD293" i="5"/>
  <c r="AD313" i="5" a="1"/>
  <c r="AD313" i="5" s="1"/>
  <c r="AE195" i="5"/>
  <c r="T34" i="5"/>
  <c r="U25" i="5" s="1"/>
  <c r="S220" i="5"/>
  <c r="AA190" i="5"/>
  <c r="Z308" i="5" a="1"/>
  <c r="Z308" i="5" s="1"/>
  <c r="Z328" i="5" a="1"/>
  <c r="Z328" i="5" s="1"/>
  <c r="Z288" i="5"/>
  <c r="U30" i="5"/>
  <c r="S237" i="5"/>
  <c r="S248" i="5" s="1"/>
  <c r="P23" i="3"/>
  <c r="S239" i="5" l="1"/>
  <c r="S247" i="5"/>
  <c r="S246" i="5" s="1"/>
  <c r="X186" i="5"/>
  <c r="W304" i="5" a="1"/>
  <c r="W304" i="5" s="1"/>
  <c r="W324" i="5" a="1"/>
  <c r="W324" i="5" s="1"/>
  <c r="W284" i="5"/>
  <c r="W249" i="5"/>
  <c r="AE294" i="5"/>
  <c r="AE314" i="5" a="1"/>
  <c r="AE314" i="5" s="1"/>
  <c r="AB191" i="5"/>
  <c r="AA289" i="5"/>
  <c r="AA309" i="5" a="1"/>
  <c r="AA309" i="5" s="1"/>
  <c r="T176" i="5"/>
  <c r="T181" i="5"/>
  <c r="T200" i="5"/>
  <c r="T204" i="5" s="1"/>
  <c r="U182" i="5" l="1"/>
  <c r="T320" i="5" a="1"/>
  <c r="T320" i="5" s="1"/>
  <c r="T330" i="5" s="1"/>
  <c r="T331" i="5" s="1"/>
  <c r="T335" i="5" s="1" a="1"/>
  <c r="T335" i="5" s="1"/>
  <c r="T177" i="5"/>
  <c r="T178" i="5" s="1"/>
  <c r="T280" i="5"/>
  <c r="T296" i="5" s="1"/>
  <c r="T297" i="5" s="1"/>
  <c r="T300" i="5" a="1"/>
  <c r="T300" i="5" s="1"/>
  <c r="T316" i="5" s="1"/>
  <c r="T317" i="5" s="1"/>
  <c r="T172" i="5" a="1"/>
  <c r="T172" i="5" s="1"/>
  <c r="T209" i="5" s="1"/>
  <c r="T208" i="5"/>
  <c r="U40" i="5" s="1"/>
  <c r="AC192" i="5"/>
  <c r="AB310" i="5" a="1"/>
  <c r="AB310" i="5" s="1"/>
  <c r="AB290" i="5"/>
  <c r="Y187" i="5"/>
  <c r="X305" i="5" a="1"/>
  <c r="X305" i="5" s="1"/>
  <c r="X285" i="5"/>
  <c r="X325" i="5" a="1"/>
  <c r="X325" i="5" s="1"/>
  <c r="S245" i="5"/>
  <c r="T223" i="5" l="1"/>
  <c r="T230" i="5"/>
  <c r="S252" i="5"/>
  <c r="S275" i="5" s="1"/>
  <c r="S339" i="5" s="1"/>
  <c r="S338" i="5" s="1"/>
  <c r="T210" i="5"/>
  <c r="T212" i="5" s="1"/>
  <c r="T217" i="5" s="1"/>
  <c r="T216" i="5" s="1"/>
  <c r="T174" i="5"/>
  <c r="U211" i="5" s="1"/>
  <c r="T202" i="5"/>
  <c r="T229" i="5"/>
  <c r="T227" i="5" s="1"/>
  <c r="T173" i="5"/>
  <c r="U232" i="5"/>
  <c r="U231" i="5" s="1"/>
  <c r="U32" i="5"/>
  <c r="U101" i="5"/>
  <c r="Z188" i="5"/>
  <c r="Y326" i="5" a="1"/>
  <c r="Y326" i="5" s="1"/>
  <c r="Y306" i="5" a="1"/>
  <c r="Y306" i="5" s="1"/>
  <c r="Y286" i="5"/>
  <c r="AD193" i="5"/>
  <c r="AC311" i="5" a="1"/>
  <c r="AC311" i="5" s="1"/>
  <c r="AC291" i="5"/>
  <c r="V183" i="5"/>
  <c r="U321" i="5" a="1"/>
  <c r="U321" i="5" s="1"/>
  <c r="U281" i="5"/>
  <c r="U301" i="5" a="1"/>
  <c r="U301" i="5" s="1"/>
  <c r="U228" i="5"/>
  <c r="AA189" i="5" l="1"/>
  <c r="Z307" i="5" a="1"/>
  <c r="Z307" i="5" s="1"/>
  <c r="Z327" i="5" a="1"/>
  <c r="Z327" i="5" s="1"/>
  <c r="Z287" i="5"/>
  <c r="U27" i="5" a="1"/>
  <c r="U27" i="5" s="1"/>
  <c r="U28" i="5" s="1"/>
  <c r="T219" i="5"/>
  <c r="W184" i="5"/>
  <c r="V322" i="5" a="1"/>
  <c r="V322" i="5" s="1"/>
  <c r="V282" i="5"/>
  <c r="V302" i="5" a="1"/>
  <c r="V302" i="5" s="1"/>
  <c r="U35" i="5"/>
  <c r="V38" i="5"/>
  <c r="U33" i="5"/>
  <c r="U34" i="5"/>
  <c r="V25" i="5" s="1"/>
  <c r="AE194" i="5"/>
  <c r="AD292" i="5"/>
  <c r="AD312" i="5" a="1"/>
  <c r="AD312" i="5" s="1"/>
  <c r="T237" i="5"/>
  <c r="T248" i="5" s="1"/>
  <c r="U171" i="5" l="1"/>
  <c r="V23" i="5"/>
  <c r="T220" i="5"/>
  <c r="AE293" i="5"/>
  <c r="AE313" i="5" a="1"/>
  <c r="AE313" i="5" s="1"/>
  <c r="AF195" i="5"/>
  <c r="V30" i="5"/>
  <c r="X185" i="5"/>
  <c r="W323" i="5" a="1"/>
  <c r="W323" i="5" s="1"/>
  <c r="W283" i="5"/>
  <c r="W303" i="5" a="1"/>
  <c r="W303" i="5" s="1"/>
  <c r="AB190" i="5"/>
  <c r="AA288" i="5"/>
  <c r="AA308" i="5" a="1"/>
  <c r="AA308" i="5" s="1"/>
  <c r="AA328" i="5" a="1"/>
  <c r="AA328" i="5" s="1"/>
  <c r="AF314" i="5" l="1" a="1"/>
  <c r="AF314" i="5" s="1"/>
  <c r="AF294" i="5"/>
  <c r="AC191" i="5"/>
  <c r="AB309" i="5" a="1"/>
  <c r="AB309" i="5" s="1"/>
  <c r="AB289" i="5"/>
  <c r="T239" i="5"/>
  <c r="T247" i="5"/>
  <c r="T246" i="5" s="1"/>
  <c r="Y186" i="5"/>
  <c r="X249" i="5"/>
  <c r="X324" i="5" a="1"/>
  <c r="X324" i="5" s="1"/>
  <c r="X284" i="5"/>
  <c r="X304" i="5" a="1"/>
  <c r="X304" i="5" s="1"/>
  <c r="U176" i="5"/>
  <c r="U181" i="5"/>
  <c r="U200" i="5"/>
  <c r="U204" i="5" s="1"/>
  <c r="T245" i="5" l="1"/>
  <c r="V182" i="5"/>
  <c r="U280" i="5"/>
  <c r="U296" i="5" s="1"/>
  <c r="U297" i="5" s="1"/>
  <c r="U209" i="5"/>
  <c r="U300" i="5" a="1"/>
  <c r="U300" i="5" s="1"/>
  <c r="U316" i="5" s="1"/>
  <c r="U317" i="5" s="1"/>
  <c r="U172" i="5" a="1"/>
  <c r="U172" i="5" s="1"/>
  <c r="U320" i="5" a="1"/>
  <c r="U320" i="5" s="1"/>
  <c r="U330" i="5" s="1"/>
  <c r="U331" i="5" s="1"/>
  <c r="U335" i="5" s="1" a="1"/>
  <c r="U335" i="5" s="1"/>
  <c r="U177" i="5"/>
  <c r="U208" i="5"/>
  <c r="V40" i="5" s="1"/>
  <c r="AD192" i="5"/>
  <c r="AC290" i="5"/>
  <c r="AC310" i="5" a="1"/>
  <c r="AC310" i="5" s="1"/>
  <c r="U178" i="5"/>
  <c r="Z187" i="5"/>
  <c r="Y305" i="5" a="1"/>
  <c r="Y305" i="5" s="1"/>
  <c r="Y325" i="5" a="1"/>
  <c r="Y325" i="5" s="1"/>
  <c r="Y285" i="5"/>
  <c r="AA188" i="5" l="1"/>
  <c r="Z286" i="5"/>
  <c r="Z306" i="5" a="1"/>
  <c r="Z306" i="5" s="1"/>
  <c r="Z326" i="5" a="1"/>
  <c r="Z326" i="5" s="1"/>
  <c r="U210" i="5"/>
  <c r="U212" i="5" s="1"/>
  <c r="U217" i="5" s="1"/>
  <c r="U216" i="5" s="1"/>
  <c r="U174" i="5"/>
  <c r="V211" i="5" s="1"/>
  <c r="U229" i="5"/>
  <c r="U227" i="5" s="1"/>
  <c r="U202" i="5"/>
  <c r="U173" i="5"/>
  <c r="U223" i="5"/>
  <c r="U230" i="5"/>
  <c r="V232" i="5"/>
  <c r="V231" i="5" s="1"/>
  <c r="V32" i="5"/>
  <c r="V101" i="5"/>
  <c r="T252" i="5"/>
  <c r="T275" i="5" s="1"/>
  <c r="T339" i="5" s="1"/>
  <c r="T338" i="5" s="1"/>
  <c r="W183" i="5"/>
  <c r="V301" i="5" a="1"/>
  <c r="V301" i="5" s="1"/>
  <c r="V228" i="5"/>
  <c r="V281" i="5"/>
  <c r="V321" i="5" a="1"/>
  <c r="V321" i="5" s="1"/>
  <c r="AE193" i="5"/>
  <c r="AD311" i="5" a="1"/>
  <c r="AD311" i="5" s="1"/>
  <c r="AD291" i="5"/>
  <c r="V33" i="5" l="1"/>
  <c r="V34" i="5"/>
  <c r="W25" i="5" s="1"/>
  <c r="V35" i="5"/>
  <c r="W38" i="5"/>
  <c r="U237" i="5"/>
  <c r="U248" i="5" s="1"/>
  <c r="X184" i="5"/>
  <c r="W322" i="5" a="1"/>
  <c r="W322" i="5" s="1"/>
  <c r="W302" i="5" a="1"/>
  <c r="W302" i="5" s="1"/>
  <c r="W282" i="5"/>
  <c r="AF194" i="5"/>
  <c r="AE292" i="5"/>
  <c r="AE312" i="5" a="1"/>
  <c r="AE312" i="5" s="1"/>
  <c r="V27" i="5" a="1"/>
  <c r="V27" i="5" s="1"/>
  <c r="V28" i="5" s="1"/>
  <c r="U219" i="5"/>
  <c r="AB189" i="5"/>
  <c r="AA327" i="5" a="1"/>
  <c r="AA327" i="5" s="1"/>
  <c r="AA307" i="5" a="1"/>
  <c r="AA307" i="5" s="1"/>
  <c r="AA287" i="5"/>
  <c r="W30" i="5" l="1"/>
  <c r="V171" i="5"/>
  <c r="W23" i="5"/>
  <c r="Y185" i="5"/>
  <c r="X303" i="5" a="1"/>
  <c r="X303" i="5" s="1"/>
  <c r="X323" i="5" a="1"/>
  <c r="X323" i="5" s="1"/>
  <c r="X283" i="5"/>
  <c r="AC190" i="5"/>
  <c r="AB308" i="5" a="1"/>
  <c r="AB308" i="5" s="1"/>
  <c r="AB288" i="5"/>
  <c r="AB328" i="5" a="1"/>
  <c r="AB328" i="5" s="1"/>
  <c r="U220" i="5"/>
  <c r="AF313" i="5" a="1"/>
  <c r="AF313" i="5" s="1"/>
  <c r="AF293" i="5"/>
  <c r="AG195" i="5"/>
  <c r="Z186" i="5" l="1"/>
  <c r="Y249" i="5"/>
  <c r="Y304" i="5" a="1"/>
  <c r="Y304" i="5" s="1"/>
  <c r="Y284" i="5"/>
  <c r="Y324" i="5" a="1"/>
  <c r="Y324" i="5" s="1"/>
  <c r="V176" i="5"/>
  <c r="V181" i="5"/>
  <c r="V200" i="5"/>
  <c r="V204" i="5" s="1"/>
  <c r="U239" i="5"/>
  <c r="U247" i="5"/>
  <c r="U246" i="5" s="1"/>
  <c r="AG294" i="5"/>
  <c r="AG314" i="5" a="1"/>
  <c r="AG314" i="5" s="1"/>
  <c r="AD191" i="5"/>
  <c r="AC309" i="5" a="1"/>
  <c r="AC309" i="5" s="1"/>
  <c r="AC289" i="5"/>
  <c r="U245" i="5" l="1"/>
  <c r="AE192" i="5"/>
  <c r="AD290" i="5"/>
  <c r="AD310" i="5" a="1"/>
  <c r="AD310" i="5" s="1"/>
  <c r="W182" i="5"/>
  <c r="V320" i="5" a="1"/>
  <c r="V320" i="5" s="1"/>
  <c r="V330" i="5" s="1"/>
  <c r="V331" i="5" s="1"/>
  <c r="V335" i="5" s="1" a="1"/>
  <c r="V335" i="5" s="1"/>
  <c r="V172" i="5" a="1"/>
  <c r="V172" i="5" s="1"/>
  <c r="V209" i="5"/>
  <c r="V300" i="5" a="1"/>
  <c r="V300" i="5" s="1"/>
  <c r="V316" i="5" s="1"/>
  <c r="V317" i="5" s="1"/>
  <c r="V280" i="5"/>
  <c r="V296" i="5" s="1"/>
  <c r="V297" i="5" s="1"/>
  <c r="V177" i="5"/>
  <c r="V178" i="5" s="1"/>
  <c r="V208" i="5"/>
  <c r="W40" i="5" s="1"/>
  <c r="AA187" i="5"/>
  <c r="Z305" i="5" a="1"/>
  <c r="Z305" i="5" s="1"/>
  <c r="Z325" i="5" a="1"/>
  <c r="Z325" i="5" s="1"/>
  <c r="Z285" i="5"/>
  <c r="AB188" i="5" l="1"/>
  <c r="AA286" i="5"/>
  <c r="AA326" i="5" a="1"/>
  <c r="AA326" i="5" s="1"/>
  <c r="AA306" i="5" a="1"/>
  <c r="AA306" i="5" s="1"/>
  <c r="X183" i="5"/>
  <c r="W301" i="5" a="1"/>
  <c r="W301" i="5" s="1"/>
  <c r="W281" i="5"/>
  <c r="W228" i="5"/>
  <c r="W321" i="5" a="1"/>
  <c r="W321" i="5" s="1"/>
  <c r="AF193" i="5"/>
  <c r="AE291" i="5"/>
  <c r="AE311" i="5" a="1"/>
  <c r="AE311" i="5" s="1"/>
  <c r="V223" i="5"/>
  <c r="V230" i="5"/>
  <c r="W232" i="5"/>
  <c r="W231" i="5" s="1"/>
  <c r="W32" i="5"/>
  <c r="W101" i="5"/>
  <c r="U252" i="5"/>
  <c r="U275" i="5" s="1"/>
  <c r="U339" i="5" s="1"/>
  <c r="U338" i="5" s="1"/>
  <c r="V210" i="5"/>
  <c r="V212" i="5" s="1"/>
  <c r="V217" i="5" s="1"/>
  <c r="V216" i="5" s="1"/>
  <c r="V174" i="5"/>
  <c r="W211" i="5" s="1"/>
  <c r="V229" i="5"/>
  <c r="V227" i="5" s="1"/>
  <c r="V202" i="5"/>
  <c r="V173" i="5"/>
  <c r="V237" i="5" l="1"/>
  <c r="V248" i="5" s="1"/>
  <c r="V219" i="5"/>
  <c r="W33" i="5"/>
  <c r="W34" i="5" s="1"/>
  <c r="X25" i="5" s="1"/>
  <c r="Y184" i="5"/>
  <c r="X302" i="5" a="1"/>
  <c r="X302" i="5" s="1"/>
  <c r="X282" i="5"/>
  <c r="X322" i="5" a="1"/>
  <c r="X322" i="5" s="1"/>
  <c r="AG194" i="5"/>
  <c r="AF292" i="5"/>
  <c r="AF312" i="5" a="1"/>
  <c r="AF312" i="5" s="1"/>
  <c r="W35" i="5"/>
  <c r="X38" i="5"/>
  <c r="AC189" i="5"/>
  <c r="AB307" i="5" a="1"/>
  <c r="AB307" i="5" s="1"/>
  <c r="AB287" i="5"/>
  <c r="AB327" i="5" a="1"/>
  <c r="AB327" i="5" s="1"/>
  <c r="AG313" i="5" l="1" a="1"/>
  <c r="AG313" i="5" s="1"/>
  <c r="AG293" i="5"/>
  <c r="AH195" i="5"/>
  <c r="V220" i="5"/>
  <c r="AD190" i="5"/>
  <c r="AC308" i="5" a="1"/>
  <c r="AC308" i="5" s="1"/>
  <c r="AC288" i="5"/>
  <c r="AC328" i="5" a="1"/>
  <c r="AC328" i="5" s="1"/>
  <c r="Z185" i="5"/>
  <c r="Y303" i="5" a="1"/>
  <c r="Y303" i="5" s="1"/>
  <c r="Y323" i="5" a="1"/>
  <c r="Y323" i="5" s="1"/>
  <c r="Y283" i="5"/>
  <c r="W27" i="5" a="1"/>
  <c r="W27" i="5" s="1"/>
  <c r="W28" i="5" s="1"/>
  <c r="X30" i="5"/>
  <c r="W171" i="5" l="1"/>
  <c r="X23" i="5"/>
  <c r="V239" i="5"/>
  <c r="V247" i="5"/>
  <c r="V246" i="5" s="1"/>
  <c r="AH294" i="5"/>
  <c r="AH314" i="5" a="1"/>
  <c r="AH314" i="5" s="1"/>
  <c r="AE191" i="5"/>
  <c r="AD289" i="5"/>
  <c r="AD309" i="5" a="1"/>
  <c r="AD309" i="5" s="1"/>
  <c r="AA186" i="5"/>
  <c r="Z324" i="5" a="1"/>
  <c r="Z324" i="5" s="1"/>
  <c r="Z304" i="5" a="1"/>
  <c r="Z304" i="5" s="1"/>
  <c r="Z284" i="5"/>
  <c r="Z249" i="5"/>
  <c r="AB187" i="5" l="1"/>
  <c r="AA325" i="5" a="1"/>
  <c r="AA325" i="5" s="1"/>
  <c r="AA285" i="5"/>
  <c r="AA305" i="5" a="1"/>
  <c r="AA305" i="5" s="1"/>
  <c r="V245" i="5"/>
  <c r="AF192" i="5"/>
  <c r="AE310" i="5" a="1"/>
  <c r="AE310" i="5" s="1"/>
  <c r="AE290" i="5"/>
  <c r="W176" i="5"/>
  <c r="W181" i="5"/>
  <c r="W200" i="5"/>
  <c r="W204" i="5" s="1"/>
  <c r="AG193" i="5" l="1"/>
  <c r="AF311" i="5" a="1"/>
  <c r="AF311" i="5" s="1"/>
  <c r="AF291" i="5"/>
  <c r="X182" i="5"/>
  <c r="W300" i="5" a="1"/>
  <c r="W300" i="5" s="1"/>
  <c r="W316" i="5" s="1"/>
  <c r="W317" i="5" s="1"/>
  <c r="W280" i="5"/>
  <c r="W296" i="5" s="1"/>
  <c r="W297" i="5" s="1"/>
  <c r="W172" i="5" a="1"/>
  <c r="W172" i="5" s="1"/>
  <c r="W209" i="5" s="1"/>
  <c r="W320" i="5" a="1"/>
  <c r="W320" i="5" s="1"/>
  <c r="W330" i="5" s="1"/>
  <c r="W331" i="5" s="1"/>
  <c r="W335" i="5" s="1" a="1"/>
  <c r="W335" i="5" s="1"/>
  <c r="W177" i="5"/>
  <c r="W208" i="5"/>
  <c r="X40" i="5" s="1"/>
  <c r="V252" i="5"/>
  <c r="V275" i="5" s="1"/>
  <c r="V339" i="5" s="1"/>
  <c r="V338" i="5" s="1"/>
  <c r="W178" i="5"/>
  <c r="AC188" i="5"/>
  <c r="AB286" i="5"/>
  <c r="AB306" i="5" a="1"/>
  <c r="AB306" i="5" s="1"/>
  <c r="AB326" i="5" a="1"/>
  <c r="AB326" i="5" s="1"/>
  <c r="W223" i="5" l="1"/>
  <c r="W230" i="5"/>
  <c r="AD189" i="5"/>
  <c r="AC287" i="5"/>
  <c r="AC307" i="5" a="1"/>
  <c r="AC307" i="5" s="1"/>
  <c r="AC327" i="5" a="1"/>
  <c r="AC327" i="5" s="1"/>
  <c r="X232" i="5"/>
  <c r="X231" i="5" s="1"/>
  <c r="X32" i="5"/>
  <c r="X101" i="5"/>
  <c r="W210" i="5"/>
  <c r="W212" i="5" s="1"/>
  <c r="W217" i="5" s="1"/>
  <c r="W216" i="5" s="1"/>
  <c r="W174" i="5"/>
  <c r="W229" i="5"/>
  <c r="W227" i="5" s="1"/>
  <c r="W202" i="5"/>
  <c r="W173" i="5"/>
  <c r="Y183" i="5"/>
  <c r="X228" i="5"/>
  <c r="X321" i="5" a="1"/>
  <c r="X321" i="5" s="1"/>
  <c r="X301" i="5" a="1"/>
  <c r="X301" i="5" s="1"/>
  <c r="X281" i="5"/>
  <c r="AH194" i="5"/>
  <c r="AG312" i="5" a="1"/>
  <c r="AG312" i="5" s="1"/>
  <c r="AG292" i="5"/>
  <c r="Z184" i="5" l="1"/>
  <c r="Y302" i="5" a="1"/>
  <c r="Y302" i="5" s="1"/>
  <c r="Y282" i="5"/>
  <c r="Y322" i="5" a="1"/>
  <c r="Y322" i="5" s="1"/>
  <c r="X33" i="5"/>
  <c r="X27" i="5" s="1" a="1"/>
  <c r="X27" i="5" s="1"/>
  <c r="X28" i="5" s="1"/>
  <c r="AH313" i="5" a="1"/>
  <c r="AH313" i="5" s="1"/>
  <c r="AH293" i="5"/>
  <c r="AI195" i="5"/>
  <c r="X211" i="5"/>
  <c r="AE190" i="5"/>
  <c r="AD308" i="5" a="1"/>
  <c r="AD308" i="5" s="1"/>
  <c r="AD288" i="5"/>
  <c r="AD328" i="5" a="1"/>
  <c r="AD328" i="5" s="1"/>
  <c r="W219" i="5"/>
  <c r="X35" i="5"/>
  <c r="Y38" i="5"/>
  <c r="W237" i="5"/>
  <c r="W248" i="5" s="1"/>
  <c r="X171" i="5" l="1"/>
  <c r="Y23" i="5"/>
  <c r="W220" i="5"/>
  <c r="AF191" i="5"/>
  <c r="AE309" i="5" a="1"/>
  <c r="AE309" i="5" s="1"/>
  <c r="AE289" i="5"/>
  <c r="X34" i="5"/>
  <c r="Y25" i="5" s="1"/>
  <c r="Y30" i="5"/>
  <c r="AI314" i="5" a="1"/>
  <c r="AI314" i="5" s="1"/>
  <c r="AI294" i="5"/>
  <c r="AA185" i="5"/>
  <c r="Z323" i="5" a="1"/>
  <c r="Z323" i="5" s="1"/>
  <c r="Z283" i="5"/>
  <c r="Z303" i="5" a="1"/>
  <c r="Z303" i="5" s="1"/>
  <c r="AB186" i="5" l="1"/>
  <c r="AA304" i="5" a="1"/>
  <c r="AA304" i="5" s="1"/>
  <c r="AA284" i="5"/>
  <c r="AA249" i="5"/>
  <c r="AA324" i="5" a="1"/>
  <c r="AA324" i="5" s="1"/>
  <c r="AG192" i="5"/>
  <c r="AF310" i="5" a="1"/>
  <c r="AF310" i="5" s="1"/>
  <c r="AF290" i="5"/>
  <c r="W239" i="5"/>
  <c r="W247" i="5"/>
  <c r="W246" i="5" s="1"/>
  <c r="X176" i="5"/>
  <c r="X181" i="5"/>
  <c r="X200" i="5"/>
  <c r="X204" i="5" s="1"/>
  <c r="Y182" i="5" l="1"/>
  <c r="X177" i="5"/>
  <c r="X178" i="5" s="1"/>
  <c r="X300" i="5" a="1"/>
  <c r="X300" i="5" s="1"/>
  <c r="X316" i="5" s="1"/>
  <c r="X317" i="5" s="1"/>
  <c r="X320" i="5" a="1"/>
  <c r="X320" i="5" s="1"/>
  <c r="X330" i="5" s="1"/>
  <c r="X331" i="5" s="1"/>
  <c r="X335" i="5" s="1" a="1"/>
  <c r="X335" i="5" s="1"/>
  <c r="X280" i="5"/>
  <c r="X296" i="5" s="1"/>
  <c r="X297" i="5" s="1"/>
  <c r="X172" i="5" a="1"/>
  <c r="X172" i="5" s="1"/>
  <c r="X209" i="5" s="1"/>
  <c r="X208" i="5"/>
  <c r="Y40" i="5" s="1"/>
  <c r="AH193" i="5"/>
  <c r="AG291" i="5"/>
  <c r="AG311" i="5" a="1"/>
  <c r="AG311" i="5" s="1"/>
  <c r="W245" i="5"/>
  <c r="AC187" i="5"/>
  <c r="AB325" i="5" a="1"/>
  <c r="AB325" i="5" s="1"/>
  <c r="AB285" i="5"/>
  <c r="AB305" i="5" a="1"/>
  <c r="AB305" i="5" s="1"/>
  <c r="X223" i="5" l="1"/>
  <c r="X230" i="5"/>
  <c r="X174" i="5"/>
  <c r="X210" i="5"/>
  <c r="X212" i="5" s="1"/>
  <c r="X217" i="5" s="1"/>
  <c r="X216" i="5" s="1"/>
  <c r="X229" i="5"/>
  <c r="X227" i="5" s="1"/>
  <c r="X202" i="5"/>
  <c r="X173" i="5"/>
  <c r="AI194" i="5"/>
  <c r="AH292" i="5"/>
  <c r="AH312" i="5" a="1"/>
  <c r="AH312" i="5" s="1"/>
  <c r="Z183" i="5"/>
  <c r="Y281" i="5"/>
  <c r="Y301" i="5" a="1"/>
  <c r="Y301" i="5" s="1"/>
  <c r="Y228" i="5"/>
  <c r="Y321" i="5" a="1"/>
  <c r="Y321" i="5" s="1"/>
  <c r="AD188" i="5"/>
  <c r="AC286" i="5"/>
  <c r="AC326" i="5" a="1"/>
  <c r="AC326" i="5" s="1"/>
  <c r="AC306" i="5" a="1"/>
  <c r="AC306" i="5" s="1"/>
  <c r="W252" i="5"/>
  <c r="W275" i="5" s="1"/>
  <c r="W339" i="5" s="1"/>
  <c r="W338" i="5" s="1"/>
  <c r="Y232" i="5"/>
  <c r="Y231" i="5" s="1"/>
  <c r="Y32" i="5"/>
  <c r="Y101" i="5"/>
  <c r="AA184" i="5" l="1"/>
  <c r="Z322" i="5" a="1"/>
  <c r="Z322" i="5" s="1"/>
  <c r="Z282" i="5"/>
  <c r="Z302" i="5" a="1"/>
  <c r="Z302" i="5" s="1"/>
  <c r="Y211" i="5"/>
  <c r="Y35" i="5"/>
  <c r="Z38" i="5"/>
  <c r="Y33" i="5"/>
  <c r="Y34" i="5" s="1"/>
  <c r="Z25" i="5" s="1"/>
  <c r="X219" i="5"/>
  <c r="X220" i="5" s="1"/>
  <c r="Y27" i="5" a="1"/>
  <c r="Y27" i="5" s="1"/>
  <c r="Y28" i="5" s="1"/>
  <c r="AE189" i="5"/>
  <c r="AD307" i="5" a="1"/>
  <c r="AD307" i="5" s="1"/>
  <c r="AD327" i="5" a="1"/>
  <c r="AD327" i="5" s="1"/>
  <c r="AD287" i="5"/>
  <c r="AI313" i="5" a="1"/>
  <c r="AI313" i="5" s="1"/>
  <c r="AI293" i="5"/>
  <c r="AJ195" i="5"/>
  <c r="X237" i="5"/>
  <c r="X248" i="5" s="1"/>
  <c r="Z30" i="5" l="1"/>
  <c r="X239" i="5"/>
  <c r="X247" i="5"/>
  <c r="X246" i="5" s="1"/>
  <c r="AB185" i="5"/>
  <c r="AA303" i="5" a="1"/>
  <c r="AA303" i="5" s="1"/>
  <c r="AA283" i="5"/>
  <c r="AA323" i="5" a="1"/>
  <c r="AA323" i="5" s="1"/>
  <c r="AF190" i="5"/>
  <c r="AE308" i="5" a="1"/>
  <c r="AE308" i="5" s="1"/>
  <c r="AE288" i="5"/>
  <c r="AE328" i="5" a="1"/>
  <c r="AE328" i="5" s="1"/>
  <c r="Y171" i="5"/>
  <c r="Z23" i="5"/>
  <c r="AJ294" i="5"/>
  <c r="AJ314" i="5" a="1"/>
  <c r="AJ314" i="5" s="1"/>
  <c r="Y176" i="5" l="1"/>
  <c r="Y181" i="5"/>
  <c r="Y200" i="5"/>
  <c r="Y204" i="5" s="1"/>
  <c r="AC186" i="5"/>
  <c r="AB304" i="5" a="1"/>
  <c r="AB304" i="5" s="1"/>
  <c r="AB324" i="5" a="1"/>
  <c r="AB324" i="5" s="1"/>
  <c r="AB249" i="5"/>
  <c r="AB284" i="5"/>
  <c r="AG191" i="5"/>
  <c r="AF289" i="5"/>
  <c r="AF309" i="5" a="1"/>
  <c r="AF309" i="5" s="1"/>
  <c r="X339" i="5"/>
  <c r="X338" i="5" s="1"/>
  <c r="X245" i="5"/>
  <c r="X252" i="5" s="1"/>
  <c r="X275" i="5" s="1"/>
  <c r="AD187" i="5" l="1"/>
  <c r="AC305" i="5" a="1"/>
  <c r="AC305" i="5" s="1"/>
  <c r="AC325" i="5" a="1"/>
  <c r="AC325" i="5" s="1"/>
  <c r="AC285" i="5"/>
  <c r="AH192" i="5"/>
  <c r="AG310" i="5" a="1"/>
  <c r="AG310" i="5" s="1"/>
  <c r="AG290" i="5"/>
  <c r="Z182" i="5"/>
  <c r="Y300" i="5" a="1"/>
  <c r="Y300" i="5" s="1"/>
  <c r="Y316" i="5" s="1"/>
  <c r="Y317" i="5" s="1"/>
  <c r="Y280" i="5"/>
  <c r="Y296" i="5" s="1"/>
  <c r="Y297" i="5" s="1"/>
  <c r="Y320" i="5" a="1"/>
  <c r="Y320" i="5" s="1"/>
  <c r="Y330" i="5" s="1"/>
  <c r="Y331" i="5" s="1"/>
  <c r="Y335" i="5" s="1" a="1"/>
  <c r="Y335" i="5" s="1"/>
  <c r="Y177" i="5"/>
  <c r="Y178" i="5" s="1"/>
  <c r="Y172" i="5" a="1"/>
  <c r="Y172" i="5" s="1"/>
  <c r="Y208" i="5"/>
  <c r="Z40" i="5" s="1"/>
  <c r="Z232" i="5" l="1"/>
  <c r="Z231" i="5" s="1"/>
  <c r="Z32" i="5"/>
  <c r="Z101" i="5"/>
  <c r="Y174" i="5"/>
  <c r="Z211" i="5" s="1"/>
  <c r="Y210" i="5"/>
  <c r="Y212" i="5" s="1"/>
  <c r="Y217" i="5" s="1"/>
  <c r="Y216" i="5" s="1"/>
  <c r="Y229" i="5"/>
  <c r="Y227" i="5" s="1"/>
  <c r="Y202" i="5"/>
  <c r="Y173" i="5"/>
  <c r="Y209" i="5"/>
  <c r="AI193" i="5"/>
  <c r="AH291" i="5"/>
  <c r="AH311" i="5" a="1"/>
  <c r="AH311" i="5" s="1"/>
  <c r="AA183" i="5"/>
  <c r="Z228" i="5"/>
  <c r="Z301" i="5" a="1"/>
  <c r="Z301" i="5" s="1"/>
  <c r="Z321" i="5" a="1"/>
  <c r="Z321" i="5" s="1"/>
  <c r="Z281" i="5"/>
  <c r="AE188" i="5"/>
  <c r="AD326" i="5" a="1"/>
  <c r="AD326" i="5" s="1"/>
  <c r="AD286" i="5"/>
  <c r="AD306" i="5" a="1"/>
  <c r="AD306" i="5" s="1"/>
  <c r="AF189" i="5" l="1"/>
  <c r="AE307" i="5" a="1"/>
  <c r="AE307" i="5" s="1"/>
  <c r="AE327" i="5" a="1"/>
  <c r="AE327" i="5" s="1"/>
  <c r="AE287" i="5"/>
  <c r="Y219" i="5"/>
  <c r="Y220" i="5" s="1"/>
  <c r="AJ194" i="5"/>
  <c r="AI292" i="5"/>
  <c r="AI312" i="5" a="1"/>
  <c r="AI312" i="5" s="1"/>
  <c r="Z35" i="5"/>
  <c r="AA38" i="5"/>
  <c r="AB184" i="5"/>
  <c r="AA322" i="5" a="1"/>
  <c r="AA322" i="5" s="1"/>
  <c r="AA282" i="5"/>
  <c r="AA302" i="5" a="1"/>
  <c r="AA302" i="5" s="1"/>
  <c r="Y223" i="5"/>
  <c r="Y230" i="5"/>
  <c r="Z33" i="5"/>
  <c r="Z27" i="5" s="1" a="1"/>
  <c r="Z27" i="5" s="1"/>
  <c r="Z28" i="5" s="1"/>
  <c r="Z171" i="5" l="1"/>
  <c r="AA23" i="5"/>
  <c r="Z34" i="5"/>
  <c r="AA25" i="5" s="1"/>
  <c r="AC185" i="5"/>
  <c r="AB303" i="5" a="1"/>
  <c r="AB303" i="5" s="1"/>
  <c r="AB323" i="5" a="1"/>
  <c r="AB323" i="5" s="1"/>
  <c r="AB283" i="5"/>
  <c r="Y237" i="5"/>
  <c r="Y248" i="5" s="1"/>
  <c r="AJ293" i="5"/>
  <c r="AJ313" i="5" a="1"/>
  <c r="AJ313" i="5" s="1"/>
  <c r="AK195" i="5"/>
  <c r="AA30" i="5"/>
  <c r="Y239" i="5"/>
  <c r="Y247" i="5"/>
  <c r="Y246" i="5" s="1"/>
  <c r="AG190" i="5"/>
  <c r="AF328" i="5" a="1"/>
  <c r="AF328" i="5" s="1"/>
  <c r="AF308" i="5" a="1"/>
  <c r="AF308" i="5" s="1"/>
  <c r="AF288" i="5"/>
  <c r="AH191" i="5" l="1"/>
  <c r="AG309" i="5" a="1"/>
  <c r="AG309" i="5" s="1"/>
  <c r="AG289" i="5"/>
  <c r="Y245" i="5"/>
  <c r="Y252" i="5" s="1"/>
  <c r="Y275" i="5" s="1"/>
  <c r="Y339" i="5" s="1"/>
  <c r="Y338" i="5" s="1"/>
  <c r="AK294" i="5"/>
  <c r="AK314" i="5" a="1"/>
  <c r="AK314" i="5" s="1"/>
  <c r="AD186" i="5"/>
  <c r="AC304" i="5" a="1"/>
  <c r="AC304" i="5" s="1"/>
  <c r="AC249" i="5"/>
  <c r="AC324" i="5" a="1"/>
  <c r="AC324" i="5" s="1"/>
  <c r="AC284" i="5"/>
  <c r="Z176" i="5"/>
  <c r="Z181" i="5"/>
  <c r="Z200" i="5"/>
  <c r="Z204" i="5" s="1"/>
  <c r="AA182" i="5" l="1"/>
  <c r="Z300" i="5" a="1"/>
  <c r="Z300" i="5" s="1"/>
  <c r="Z316" i="5" s="1"/>
  <c r="Z317" i="5" s="1"/>
  <c r="Z320" i="5" a="1"/>
  <c r="Z320" i="5" s="1"/>
  <c r="Z330" i="5" s="1"/>
  <c r="Z331" i="5" s="1"/>
  <c r="Z335" i="5" s="1" a="1"/>
  <c r="Z335" i="5" s="1"/>
  <c r="Z280" i="5"/>
  <c r="Z296" i="5" s="1"/>
  <c r="Z297" i="5" s="1"/>
  <c r="Z177" i="5"/>
  <c r="Z178" i="5" s="1"/>
  <c r="Z209" i="5"/>
  <c r="Z172" i="5" a="1"/>
  <c r="Z172" i="5" s="1"/>
  <c r="Z208" i="5"/>
  <c r="AA40" i="5" s="1"/>
  <c r="AE187" i="5"/>
  <c r="AD325" i="5" a="1"/>
  <c r="AD325" i="5" s="1"/>
  <c r="AD285" i="5"/>
  <c r="AD305" i="5" a="1"/>
  <c r="AD305" i="5" s="1"/>
  <c r="AI192" i="5"/>
  <c r="AH290" i="5"/>
  <c r="AH310" i="5" a="1"/>
  <c r="AH310" i="5" s="1"/>
  <c r="Z174" i="5" l="1"/>
  <c r="Z210" i="5"/>
  <c r="Z212" i="5" s="1"/>
  <c r="Z217" i="5" s="1"/>
  <c r="Z216" i="5" s="1"/>
  <c r="Z202" i="5"/>
  <c r="Z229" i="5"/>
  <c r="Z227" i="5" s="1"/>
  <c r="Z173" i="5"/>
  <c r="AJ193" i="5"/>
  <c r="AI311" i="5" a="1"/>
  <c r="AI311" i="5" s="1"/>
  <c r="AI291" i="5"/>
  <c r="Z223" i="5"/>
  <c r="Z230" i="5"/>
  <c r="AF188" i="5"/>
  <c r="AE326" i="5" a="1"/>
  <c r="AE326" i="5" s="1"/>
  <c r="AE306" i="5" a="1"/>
  <c r="AE306" i="5" s="1"/>
  <c r="AE286" i="5"/>
  <c r="AB183" i="5"/>
  <c r="AA228" i="5"/>
  <c r="AA301" i="5" a="1"/>
  <c r="AA301" i="5" s="1"/>
  <c r="AA321" i="5" a="1"/>
  <c r="AA321" i="5" s="1"/>
  <c r="AA281" i="5"/>
  <c r="AA232" i="5"/>
  <c r="AA231" i="5" s="1"/>
  <c r="AA32" i="5"/>
  <c r="AA101" i="5"/>
  <c r="AC184" i="5" l="1"/>
  <c r="AB282" i="5"/>
  <c r="AB322" i="5" a="1"/>
  <c r="AB322" i="5" s="1"/>
  <c r="AB302" i="5" a="1"/>
  <c r="AB302" i="5" s="1"/>
  <c r="AK194" i="5"/>
  <c r="AJ312" i="5" a="1"/>
  <c r="AJ312" i="5" s="1"/>
  <c r="AJ292" i="5"/>
  <c r="AA34" i="5"/>
  <c r="AB25" i="5" s="1"/>
  <c r="AA33" i="5"/>
  <c r="AG189" i="5"/>
  <c r="AF287" i="5"/>
  <c r="AF327" i="5" a="1"/>
  <c r="AF327" i="5" s="1"/>
  <c r="AF307" i="5" a="1"/>
  <c r="AF307" i="5" s="1"/>
  <c r="Z237" i="5"/>
  <c r="Z248" i="5" s="1"/>
  <c r="AA27" i="5" a="1"/>
  <c r="AA27" i="5" s="1"/>
  <c r="AA28" i="5" s="1"/>
  <c r="Z219" i="5"/>
  <c r="Z220" i="5" s="1"/>
  <c r="AA35" i="5"/>
  <c r="AB38" i="5"/>
  <c r="AA211" i="5"/>
  <c r="Z239" i="5" l="1"/>
  <c r="Z247" i="5"/>
  <c r="Z246" i="5" s="1"/>
  <c r="AA171" i="5"/>
  <c r="AB23" i="5"/>
  <c r="AK293" i="5"/>
  <c r="AK313" i="5" a="1"/>
  <c r="AK313" i="5" s="1"/>
  <c r="AL195" i="5"/>
  <c r="AB30" i="5"/>
  <c r="AH190" i="5"/>
  <c r="AG288" i="5"/>
  <c r="AG328" i="5" a="1"/>
  <c r="AG328" i="5" s="1"/>
  <c r="AG308" i="5" a="1"/>
  <c r="AG308" i="5" s="1"/>
  <c r="AD185" i="5"/>
  <c r="AC303" i="5" a="1"/>
  <c r="AC303" i="5" s="1"/>
  <c r="AC323" i="5" a="1"/>
  <c r="AC323" i="5" s="1"/>
  <c r="AC283" i="5"/>
  <c r="AL314" i="5" l="1" a="1"/>
  <c r="AL314" i="5" s="1"/>
  <c r="AL294" i="5"/>
  <c r="AA176" i="5"/>
  <c r="AA181" i="5"/>
  <c r="AA200" i="5"/>
  <c r="AA204" i="5" s="1"/>
  <c r="AE186" i="5"/>
  <c r="AD324" i="5" a="1"/>
  <c r="AD324" i="5" s="1"/>
  <c r="AD249" i="5"/>
  <c r="AD284" i="5"/>
  <c r="AD304" i="5" a="1"/>
  <c r="AD304" i="5" s="1"/>
  <c r="AI191" i="5"/>
  <c r="AH309" i="5" a="1"/>
  <c r="AH309" i="5" s="1"/>
  <c r="AH289" i="5"/>
  <c r="Z339" i="5"/>
  <c r="Z338" i="5" s="1"/>
  <c r="Z245" i="5"/>
  <c r="Z252" i="5" s="1"/>
  <c r="Z275" i="5" s="1"/>
  <c r="AB182" i="5" l="1"/>
  <c r="AA177" i="5"/>
  <c r="AA178" i="5" s="1"/>
  <c r="AA300" i="5" a="1"/>
  <c r="AA300" i="5" s="1"/>
  <c r="AA316" i="5" s="1"/>
  <c r="AA317" i="5" s="1"/>
  <c r="AA320" i="5" a="1"/>
  <c r="AA320" i="5" s="1"/>
  <c r="AA330" i="5" s="1"/>
  <c r="AA331" i="5" s="1"/>
  <c r="AA335" i="5" s="1" a="1"/>
  <c r="AA335" i="5" s="1"/>
  <c r="AA209" i="5"/>
  <c r="AA280" i="5"/>
  <c r="AA296" i="5" s="1"/>
  <c r="AA297" i="5" s="1"/>
  <c r="AA172" i="5" a="1"/>
  <c r="AA172" i="5" s="1"/>
  <c r="AA208" i="5"/>
  <c r="AB40" i="5" s="1"/>
  <c r="AJ192" i="5"/>
  <c r="AI310" i="5" a="1"/>
  <c r="AI310" i="5" s="1"/>
  <c r="AI290" i="5"/>
  <c r="AF187" i="5"/>
  <c r="AE325" i="5" a="1"/>
  <c r="AE325" i="5" s="1"/>
  <c r="AE305" i="5" a="1"/>
  <c r="AE305" i="5" s="1"/>
  <c r="AE285" i="5"/>
  <c r="AB232" i="5" l="1"/>
  <c r="AB231" i="5" s="1"/>
  <c r="AB32" i="5"/>
  <c r="AB101" i="5"/>
  <c r="AA174" i="5"/>
  <c r="AA210" i="5"/>
  <c r="AA212" i="5" s="1"/>
  <c r="AA217" i="5" s="1"/>
  <c r="AA216" i="5" s="1"/>
  <c r="AA202" i="5"/>
  <c r="AA229" i="5"/>
  <c r="AA227" i="5" s="1"/>
  <c r="AA173" i="5"/>
  <c r="AG188" i="5"/>
  <c r="AF306" i="5" a="1"/>
  <c r="AF306" i="5" s="1"/>
  <c r="AF326" i="5" a="1"/>
  <c r="AF326" i="5" s="1"/>
  <c r="AF286" i="5"/>
  <c r="AA223" i="5"/>
  <c r="AA237" i="5" s="1"/>
  <c r="AA248" i="5" s="1"/>
  <c r="AA230" i="5"/>
  <c r="AK193" i="5"/>
  <c r="AJ291" i="5"/>
  <c r="AJ311" i="5" a="1"/>
  <c r="AJ311" i="5" s="1"/>
  <c r="AC183" i="5"/>
  <c r="AB321" i="5" a="1"/>
  <c r="AB321" i="5" s="1"/>
  <c r="AB281" i="5"/>
  <c r="AB228" i="5"/>
  <c r="AB301" i="5" a="1"/>
  <c r="AB301" i="5" s="1"/>
  <c r="AL194" i="5" l="1"/>
  <c r="AK292" i="5"/>
  <c r="AK312" i="5" a="1"/>
  <c r="AK312" i="5" s="1"/>
  <c r="AB211" i="5"/>
  <c r="AD184" i="5"/>
  <c r="AC302" i="5" a="1"/>
  <c r="AC302" i="5" s="1"/>
  <c r="AC282" i="5"/>
  <c r="AC322" i="5" a="1"/>
  <c r="AC322" i="5" s="1"/>
  <c r="AB35" i="5"/>
  <c r="AC38" i="5"/>
  <c r="AB27" i="5" a="1"/>
  <c r="AB27" i="5" s="1"/>
  <c r="AB28" i="5" s="1"/>
  <c r="AA219" i="5"/>
  <c r="AA220" i="5" s="1"/>
  <c r="AH189" i="5"/>
  <c r="AG327" i="5" a="1"/>
  <c r="AG327" i="5" s="1"/>
  <c r="AG287" i="5"/>
  <c r="AG307" i="5" a="1"/>
  <c r="AG307" i="5" s="1"/>
  <c r="AB33" i="5"/>
  <c r="AB34" i="5"/>
  <c r="AC25" i="5" s="1"/>
  <c r="AE185" i="5" l="1"/>
  <c r="AD303" i="5" a="1"/>
  <c r="AD303" i="5" s="1"/>
  <c r="AD283" i="5"/>
  <c r="AD323" i="5" a="1"/>
  <c r="AD323" i="5" s="1"/>
  <c r="AA239" i="5"/>
  <c r="AA247" i="5"/>
  <c r="AA246" i="5" s="1"/>
  <c r="AI190" i="5"/>
  <c r="AH308" i="5" a="1"/>
  <c r="AH308" i="5" s="1"/>
  <c r="AH288" i="5"/>
  <c r="AH328" i="5" a="1"/>
  <c r="AH328" i="5" s="1"/>
  <c r="AB171" i="5"/>
  <c r="AC23" i="5"/>
  <c r="AC30" i="5"/>
  <c r="AL293" i="5"/>
  <c r="AL313" i="5" a="1"/>
  <c r="AL313" i="5" s="1"/>
  <c r="AM195" i="5"/>
  <c r="AM314" i="5" l="1" a="1"/>
  <c r="AM314" i="5" s="1"/>
  <c r="AM294" i="5"/>
  <c r="AJ191" i="5"/>
  <c r="AI309" i="5" a="1"/>
  <c r="AI309" i="5" s="1"/>
  <c r="AI289" i="5"/>
  <c r="AB176" i="5"/>
  <c r="AB181" i="5"/>
  <c r="AB200" i="5"/>
  <c r="AB204" i="5" s="1"/>
  <c r="AA245" i="5"/>
  <c r="AA252" i="5" s="1"/>
  <c r="AA275" i="5" s="1"/>
  <c r="AA339" i="5" s="1"/>
  <c r="AA338" i="5" s="1"/>
  <c r="AF186" i="5"/>
  <c r="AE284" i="5"/>
  <c r="AE324" i="5" a="1"/>
  <c r="AE324" i="5" s="1"/>
  <c r="AE304" i="5" a="1"/>
  <c r="AE304" i="5" s="1"/>
  <c r="AE249" i="5"/>
  <c r="AK192" i="5" l="1"/>
  <c r="AJ310" i="5" a="1"/>
  <c r="AJ310" i="5" s="1"/>
  <c r="AJ290" i="5"/>
  <c r="AG187" i="5"/>
  <c r="AF285" i="5"/>
  <c r="AF305" i="5" a="1"/>
  <c r="AF305" i="5" s="1"/>
  <c r="AF325" i="5" a="1"/>
  <c r="AF325" i="5" s="1"/>
  <c r="AC182" i="5"/>
  <c r="AB300" i="5" a="1"/>
  <c r="AB300" i="5" s="1"/>
  <c r="AB316" i="5" s="1"/>
  <c r="AB317" i="5" s="1"/>
  <c r="AB280" i="5"/>
  <c r="AB296" i="5" s="1"/>
  <c r="AB297" i="5" s="1"/>
  <c r="AB320" i="5" a="1"/>
  <c r="AB320" i="5" s="1"/>
  <c r="AB330" i="5" s="1"/>
  <c r="AB331" i="5" s="1"/>
  <c r="AB335" i="5" s="1" a="1"/>
  <c r="AB335" i="5" s="1"/>
  <c r="AB172" i="5" a="1"/>
  <c r="AB172" i="5" s="1"/>
  <c r="AB177" i="5"/>
  <c r="AB178" i="5" s="1"/>
  <c r="AB208" i="5"/>
  <c r="AC40" i="5" s="1"/>
  <c r="AC232" i="5" l="1"/>
  <c r="AC231" i="5" s="1"/>
  <c r="AC32" i="5"/>
  <c r="AC101" i="5"/>
  <c r="AB210" i="5"/>
  <c r="AB212" i="5" s="1"/>
  <c r="AB217" i="5" s="1"/>
  <c r="AB216" i="5" s="1"/>
  <c r="AB174" i="5"/>
  <c r="AB202" i="5"/>
  <c r="AB229" i="5"/>
  <c r="AB227" i="5" s="1"/>
  <c r="AB173" i="5"/>
  <c r="AH188" i="5"/>
  <c r="AG286" i="5"/>
  <c r="AG326" i="5" a="1"/>
  <c r="AG326" i="5" s="1"/>
  <c r="AG306" i="5" a="1"/>
  <c r="AG306" i="5" s="1"/>
  <c r="AB209" i="5"/>
  <c r="AD183" i="5"/>
  <c r="AC281" i="5"/>
  <c r="AC301" i="5" a="1"/>
  <c r="AC301" i="5" s="1"/>
  <c r="AC321" i="5" a="1"/>
  <c r="AC321" i="5" s="1"/>
  <c r="AC228" i="5"/>
  <c r="AL193" i="5"/>
  <c r="AK311" i="5" a="1"/>
  <c r="AK311" i="5" s="1"/>
  <c r="AK291" i="5"/>
  <c r="AB223" i="5" l="1"/>
  <c r="AB230" i="5"/>
  <c r="AC211" i="5"/>
  <c r="AE184" i="5"/>
  <c r="AD302" i="5" a="1"/>
  <c r="AD302" i="5" s="1"/>
  <c r="AD282" i="5"/>
  <c r="AD322" i="5" a="1"/>
  <c r="AD322" i="5" s="1"/>
  <c r="AB219" i="5"/>
  <c r="AB220" i="5" s="1"/>
  <c r="AM194" i="5"/>
  <c r="AL312" i="5" a="1"/>
  <c r="AL312" i="5" s="1"/>
  <c r="AL292" i="5"/>
  <c r="AC35" i="5"/>
  <c r="AD38" i="5"/>
  <c r="AI189" i="5"/>
  <c r="AH307" i="5" a="1"/>
  <c r="AH307" i="5" s="1"/>
  <c r="AH287" i="5"/>
  <c r="AH327" i="5" a="1"/>
  <c r="AH327" i="5" s="1"/>
  <c r="AC33" i="5"/>
  <c r="AC27" i="5" s="1" a="1"/>
  <c r="AC27" i="5" s="1"/>
  <c r="AC28" i="5" s="1"/>
  <c r="AC34" i="5"/>
  <c r="AD25" i="5" s="1"/>
  <c r="AC171" i="5" l="1"/>
  <c r="AD23" i="5"/>
  <c r="AM293" i="5"/>
  <c r="AM313" i="5" a="1"/>
  <c r="AM313" i="5" s="1"/>
  <c r="AN195" i="5"/>
  <c r="AB247" i="5"/>
  <c r="AJ190" i="5"/>
  <c r="AI328" i="5" a="1"/>
  <c r="AI328" i="5" s="1"/>
  <c r="AI288" i="5"/>
  <c r="AI308" i="5" a="1"/>
  <c r="AI308" i="5" s="1"/>
  <c r="AD30" i="5"/>
  <c r="AF185" i="5"/>
  <c r="AE323" i="5" a="1"/>
  <c r="AE323" i="5" s="1"/>
  <c r="AE283" i="5"/>
  <c r="AE303" i="5" a="1"/>
  <c r="AE303" i="5" s="1"/>
  <c r="AB237" i="5"/>
  <c r="AB248" i="5" s="1"/>
  <c r="AN294" i="5" l="1"/>
  <c r="AN314" i="5" a="1"/>
  <c r="AN314" i="5" s="1"/>
  <c r="AG186" i="5"/>
  <c r="AF304" i="5" a="1"/>
  <c r="AF304" i="5" s="1"/>
  <c r="AF284" i="5"/>
  <c r="AF249" i="5"/>
  <c r="AF324" i="5" a="1"/>
  <c r="AF324" i="5" s="1"/>
  <c r="AB239" i="5"/>
  <c r="AK191" i="5"/>
  <c r="AJ289" i="5"/>
  <c r="AJ309" i="5" a="1"/>
  <c r="AJ309" i="5" s="1"/>
  <c r="AB246" i="5"/>
  <c r="AC176" i="5"/>
  <c r="AC181" i="5"/>
  <c r="AC200" i="5"/>
  <c r="AC204" i="5" s="1"/>
  <c r="AH187" i="5" l="1"/>
  <c r="AG325" i="5" a="1"/>
  <c r="AG325" i="5" s="1"/>
  <c r="AG285" i="5"/>
  <c r="AG305" i="5" a="1"/>
  <c r="AG305" i="5" s="1"/>
  <c r="AD182" i="5"/>
  <c r="AC177" i="5"/>
  <c r="AC178" i="5" s="1"/>
  <c r="AC172" i="5" a="1"/>
  <c r="AC172" i="5" s="1"/>
  <c r="AC300" i="5" a="1"/>
  <c r="AC300" i="5" s="1"/>
  <c r="AC316" i="5" s="1"/>
  <c r="AC317" i="5" s="1"/>
  <c r="AC320" i="5" a="1"/>
  <c r="AC320" i="5" s="1"/>
  <c r="AC330" i="5" s="1"/>
  <c r="AC331" i="5" s="1"/>
  <c r="AC335" i="5" s="1" a="1"/>
  <c r="AC335" i="5" s="1"/>
  <c r="AC280" i="5"/>
  <c r="AC296" i="5" s="1"/>
  <c r="AC297" i="5" s="1"/>
  <c r="AC208" i="5"/>
  <c r="AD40" i="5" s="1"/>
  <c r="AL192" i="5"/>
  <c r="AK290" i="5"/>
  <c r="AK310" i="5" a="1"/>
  <c r="AK310" i="5" s="1"/>
  <c r="AB245" i="5"/>
  <c r="AB252" i="5" s="1"/>
  <c r="AB275" i="5" s="1"/>
  <c r="AB339" i="5" s="1"/>
  <c r="AB338" i="5" s="1"/>
  <c r="AC210" i="5" l="1"/>
  <c r="AC212" i="5" s="1"/>
  <c r="AC217" i="5" s="1"/>
  <c r="AC216" i="5" s="1"/>
  <c r="AC174" i="5"/>
  <c r="AC229" i="5"/>
  <c r="AC227" i="5" s="1"/>
  <c r="AC202" i="5"/>
  <c r="AC173" i="5"/>
  <c r="AE183" i="5"/>
  <c r="AD301" i="5" a="1"/>
  <c r="AD301" i="5" s="1"/>
  <c r="AD228" i="5"/>
  <c r="AD281" i="5"/>
  <c r="AD321" i="5" a="1"/>
  <c r="AD321" i="5" s="1"/>
  <c r="AM193" i="5"/>
  <c r="AL291" i="5"/>
  <c r="AL311" i="5" a="1"/>
  <c r="AL311" i="5" s="1"/>
  <c r="AD232" i="5"/>
  <c r="AD231" i="5" s="1"/>
  <c r="P30" i="3" s="1"/>
  <c r="AD32" i="5"/>
  <c r="AD101" i="5"/>
  <c r="AC209" i="5"/>
  <c r="AI188" i="5"/>
  <c r="AH306" i="5" a="1"/>
  <c r="AH306" i="5" s="1"/>
  <c r="AH326" i="5" a="1"/>
  <c r="AH326" i="5" s="1"/>
  <c r="AH286" i="5"/>
  <c r="AC219" i="5" l="1"/>
  <c r="AC220" i="5" s="1"/>
  <c r="AN194" i="5"/>
  <c r="AM292" i="5"/>
  <c r="AM312" i="5" a="1"/>
  <c r="AM312" i="5" s="1"/>
  <c r="AJ189" i="5"/>
  <c r="AI327" i="5" a="1"/>
  <c r="AI327" i="5" s="1"/>
  <c r="AI287" i="5"/>
  <c r="AI307" i="5" a="1"/>
  <c r="AI307" i="5" s="1"/>
  <c r="AD35" i="5"/>
  <c r="AE38" i="5"/>
  <c r="AD211" i="5"/>
  <c r="AD33" i="5"/>
  <c r="AD27" i="5" s="1" a="1"/>
  <c r="AD27" i="5" s="1"/>
  <c r="AD28" i="5" s="1"/>
  <c r="AD34" i="5"/>
  <c r="AE25" i="5" s="1"/>
  <c r="AF184" i="5"/>
  <c r="AE302" i="5" a="1"/>
  <c r="AE302" i="5" s="1"/>
  <c r="AE282" i="5"/>
  <c r="AE322" i="5" a="1"/>
  <c r="AE322" i="5" s="1"/>
  <c r="AC223" i="5"/>
  <c r="AC230" i="5"/>
  <c r="AD171" i="5" l="1"/>
  <c r="AE23" i="5"/>
  <c r="AC237" i="5"/>
  <c r="AC248" i="5" s="1"/>
  <c r="AE30" i="5"/>
  <c r="AN293" i="5"/>
  <c r="AN313" i="5" a="1"/>
  <c r="AN313" i="5" s="1"/>
  <c r="AO195" i="5"/>
  <c r="AC239" i="5"/>
  <c r="AC247" i="5"/>
  <c r="AC246" i="5" s="1"/>
  <c r="AG185" i="5"/>
  <c r="AF323" i="5" a="1"/>
  <c r="AF323" i="5" s="1"/>
  <c r="AF283" i="5"/>
  <c r="AF303" i="5" a="1"/>
  <c r="AF303" i="5" s="1"/>
  <c r="AK190" i="5"/>
  <c r="AJ328" i="5" a="1"/>
  <c r="AJ328" i="5" s="1"/>
  <c r="AJ308" i="5" a="1"/>
  <c r="AJ308" i="5" s="1"/>
  <c r="AJ288" i="5"/>
  <c r="AO314" i="5" l="1" a="1"/>
  <c r="AO314" i="5" s="1"/>
  <c r="AO294" i="5"/>
  <c r="AC245" i="5"/>
  <c r="AC252" i="5" s="1"/>
  <c r="AC275" i="5" s="1"/>
  <c r="AC339" i="5" s="1"/>
  <c r="AC338" i="5" s="1"/>
  <c r="AH186" i="5"/>
  <c r="AG284" i="5"/>
  <c r="AG249" i="5"/>
  <c r="AG324" i="5" a="1"/>
  <c r="AG324" i="5" s="1"/>
  <c r="AG304" i="5" a="1"/>
  <c r="AG304" i="5" s="1"/>
  <c r="AL191" i="5"/>
  <c r="AK289" i="5"/>
  <c r="AK309" i="5" a="1"/>
  <c r="AK309" i="5" s="1"/>
  <c r="AD176" i="5"/>
  <c r="AD181" i="5"/>
  <c r="AD200" i="5"/>
  <c r="AD204" i="5" s="1"/>
  <c r="AI187" i="5" l="1"/>
  <c r="AH325" i="5" a="1"/>
  <c r="AH325" i="5" s="1"/>
  <c r="AH285" i="5"/>
  <c r="AH305" i="5" a="1"/>
  <c r="AH305" i="5" s="1"/>
  <c r="AD178" i="5"/>
  <c r="AE182" i="5"/>
  <c r="AD177" i="5"/>
  <c r="AD172" i="5" a="1"/>
  <c r="AD172" i="5" s="1"/>
  <c r="AD300" i="5" a="1"/>
  <c r="AD300" i="5" s="1"/>
  <c r="AD316" i="5" s="1"/>
  <c r="AD317" i="5" s="1"/>
  <c r="AD280" i="5"/>
  <c r="AD296" i="5" s="1"/>
  <c r="AD297" i="5" s="1"/>
  <c r="AD320" i="5" a="1"/>
  <c r="AD320" i="5" s="1"/>
  <c r="AD330" i="5" s="1"/>
  <c r="AD331" i="5" s="1"/>
  <c r="AD335" i="5" s="1" a="1"/>
  <c r="AD335" i="5" s="1"/>
  <c r="P34" i="3" s="1"/>
  <c r="AD208" i="5"/>
  <c r="AE40" i="5" s="1"/>
  <c r="AM192" i="5"/>
  <c r="AL290" i="5"/>
  <c r="AL310" i="5" a="1"/>
  <c r="AL310" i="5" s="1"/>
  <c r="AE232" i="5" l="1"/>
  <c r="AE231" i="5" s="1"/>
  <c r="AE32" i="5"/>
  <c r="AE101" i="5"/>
  <c r="AD210" i="5"/>
  <c r="AD212" i="5" s="1"/>
  <c r="AD217" i="5" s="1"/>
  <c r="AD216" i="5" s="1"/>
  <c r="P20" i="3" s="1"/>
  <c r="AD174" i="5"/>
  <c r="AD202" i="5"/>
  <c r="AD229" i="5"/>
  <c r="AD227" i="5" s="1"/>
  <c r="P28" i="3" s="1"/>
  <c r="AD173" i="5"/>
  <c r="P72" i="3"/>
  <c r="AF183" i="5"/>
  <c r="AE281" i="5"/>
  <c r="AE301" i="5" a="1"/>
  <c r="AE301" i="5" s="1"/>
  <c r="AE228" i="5"/>
  <c r="AE321" i="5" a="1"/>
  <c r="AE321" i="5" s="1"/>
  <c r="AN193" i="5"/>
  <c r="AM311" i="5" a="1"/>
  <c r="AM311" i="5" s="1"/>
  <c r="AM291" i="5"/>
  <c r="AD209" i="5"/>
  <c r="AJ188" i="5"/>
  <c r="AI326" i="5" a="1"/>
  <c r="AI326" i="5" s="1"/>
  <c r="AI306" i="5" a="1"/>
  <c r="AI306" i="5" s="1"/>
  <c r="AI286" i="5"/>
  <c r="AG184" i="5" l="1"/>
  <c r="AF322" i="5" a="1"/>
  <c r="AF322" i="5" s="1"/>
  <c r="AF302" i="5" a="1"/>
  <c r="AF302" i="5" s="1"/>
  <c r="AF282" i="5"/>
  <c r="AE211" i="5"/>
  <c r="AO194" i="5"/>
  <c r="AN292" i="5"/>
  <c r="AN312" i="5" a="1"/>
  <c r="AN312" i="5" s="1"/>
  <c r="AE35" i="5"/>
  <c r="AF38" i="5"/>
  <c r="AD223" i="5"/>
  <c r="AD230" i="5"/>
  <c r="P29" i="3" s="1"/>
  <c r="AE34" i="5"/>
  <c r="AF25" i="5" s="1"/>
  <c r="AE33" i="5"/>
  <c r="AK189" i="5"/>
  <c r="AJ287" i="5"/>
  <c r="AJ327" i="5" a="1"/>
  <c r="AJ327" i="5" s="1"/>
  <c r="AJ307" i="5" a="1"/>
  <c r="AJ307" i="5" s="1"/>
  <c r="AE27" i="5" a="1"/>
  <c r="AE27" i="5" s="1"/>
  <c r="AE28" i="5" s="1"/>
  <c r="AD219" i="5"/>
  <c r="P17" i="3"/>
  <c r="P68" i="3" s="1"/>
  <c r="AO293" i="5" l="1"/>
  <c r="AO313" i="5" a="1"/>
  <c r="AO313" i="5" s="1"/>
  <c r="AP195" i="5"/>
  <c r="AE171" i="5"/>
  <c r="AF23" i="5"/>
  <c r="AD237" i="5"/>
  <c r="AD248" i="5" s="1"/>
  <c r="P24" i="3"/>
  <c r="P22" i="3" s="1"/>
  <c r="AH185" i="5"/>
  <c r="AG303" i="5" a="1"/>
  <c r="AG303" i="5" s="1"/>
  <c r="AG283" i="5"/>
  <c r="AG323" i="5" a="1"/>
  <c r="AG323" i="5" s="1"/>
  <c r="AD220" i="5"/>
  <c r="P21" i="3"/>
  <c r="P19" i="3" s="1"/>
  <c r="P18" i="3" s="1"/>
  <c r="AF30" i="5"/>
  <c r="AL190" i="5"/>
  <c r="AK328" i="5" a="1"/>
  <c r="AK328" i="5" s="1"/>
  <c r="AK288" i="5"/>
  <c r="AK308" i="5" a="1"/>
  <c r="AK308" i="5" s="1"/>
  <c r="AD239" i="5" l="1"/>
  <c r="AD247" i="5"/>
  <c r="AD246" i="5" s="1"/>
  <c r="P39" i="3" s="1"/>
  <c r="AE176" i="5"/>
  <c r="AE181" i="5"/>
  <c r="AE200" i="5"/>
  <c r="AE204" i="5" s="1"/>
  <c r="AP314" i="5" a="1"/>
  <c r="AP314" i="5" s="1"/>
  <c r="AP294" i="5"/>
  <c r="AM191" i="5"/>
  <c r="AL289" i="5"/>
  <c r="AL309" i="5" a="1"/>
  <c r="AL309" i="5" s="1"/>
  <c r="AI186" i="5"/>
  <c r="AH324" i="5" a="1"/>
  <c r="AH324" i="5" s="1"/>
  <c r="AH249" i="5"/>
  <c r="AH304" i="5" a="1"/>
  <c r="AH304" i="5" s="1"/>
  <c r="AH284" i="5"/>
  <c r="P69" i="3"/>
  <c r="AJ187" i="5" l="1"/>
  <c r="AI305" i="5" a="1"/>
  <c r="AI305" i="5" s="1"/>
  <c r="AI325" i="5" a="1"/>
  <c r="AI325" i="5" s="1"/>
  <c r="AI285" i="5"/>
  <c r="AN192" i="5"/>
  <c r="AM310" i="5" a="1"/>
  <c r="AM310" i="5" s="1"/>
  <c r="AM290" i="5"/>
  <c r="AF182" i="5"/>
  <c r="AE320" i="5" a="1"/>
  <c r="AE320" i="5" s="1"/>
  <c r="AE330" i="5" s="1"/>
  <c r="AE331" i="5" s="1"/>
  <c r="AE335" i="5" s="1" a="1"/>
  <c r="AE335" i="5" s="1"/>
  <c r="AE300" i="5" a="1"/>
  <c r="AE300" i="5" s="1"/>
  <c r="AE316" i="5" s="1"/>
  <c r="AE317" i="5" s="1"/>
  <c r="AE280" i="5"/>
  <c r="AE296" i="5" s="1"/>
  <c r="AE297" i="5" s="1"/>
  <c r="AE172" i="5" a="1"/>
  <c r="AE172" i="5" s="1"/>
  <c r="AE209" i="5" s="1"/>
  <c r="AE177" i="5"/>
  <c r="AE178" i="5" s="1"/>
  <c r="AE208" i="5"/>
  <c r="AF40" i="5" s="1"/>
  <c r="AD245" i="5"/>
  <c r="AE222" i="5" l="1"/>
  <c r="AE223" i="5"/>
  <c r="AE230" i="5"/>
  <c r="AF232" i="5"/>
  <c r="AF231" i="5" s="1"/>
  <c r="AF32" i="5"/>
  <c r="AF101" i="5"/>
  <c r="AD252" i="5"/>
  <c r="AD275" i="5" s="1"/>
  <c r="AD339" i="5" s="1"/>
  <c r="AD338" i="5" s="1"/>
  <c r="P38" i="3"/>
  <c r="P36" i="3" s="1"/>
  <c r="P35" i="3" s="1"/>
  <c r="AO193" i="5"/>
  <c r="AN311" i="5" a="1"/>
  <c r="AN311" i="5" s="1"/>
  <c r="AN291" i="5"/>
  <c r="AE174" i="5"/>
  <c r="AF211" i="5" s="1"/>
  <c r="AE210" i="5"/>
  <c r="AE212" i="5" s="1"/>
  <c r="AE217" i="5" s="1"/>
  <c r="AE216" i="5" s="1"/>
  <c r="AE229" i="5"/>
  <c r="AE227" i="5" s="1"/>
  <c r="AE202" i="5"/>
  <c r="AE173" i="5"/>
  <c r="AG183" i="5"/>
  <c r="AF301" i="5" a="1"/>
  <c r="AF301" i="5" s="1"/>
  <c r="AF321" i="5" a="1"/>
  <c r="AF321" i="5" s="1"/>
  <c r="AF281" i="5"/>
  <c r="AF228" i="5"/>
  <c r="AK188" i="5"/>
  <c r="AJ286" i="5"/>
  <c r="AJ306" i="5" a="1"/>
  <c r="AJ306" i="5" s="1"/>
  <c r="AJ326" i="5" a="1"/>
  <c r="AJ326" i="5" s="1"/>
  <c r="P71" i="3" l="1"/>
  <c r="P73" i="3" s="1"/>
  <c r="P75" i="3" s="1"/>
  <c r="P51" i="3"/>
  <c r="P50" i="3"/>
  <c r="AF35" i="5"/>
  <c r="AG38" i="5"/>
  <c r="AF34" i="5"/>
  <c r="AG25" i="5" s="1"/>
  <c r="AF33" i="5"/>
  <c r="AF27" i="5" s="1" a="1"/>
  <c r="AF27" i="5" s="1"/>
  <c r="AF28" i="5" s="1"/>
  <c r="AH184" i="5"/>
  <c r="AG302" i="5" a="1"/>
  <c r="AG302" i="5" s="1"/>
  <c r="AG282" i="5"/>
  <c r="AG322" i="5" a="1"/>
  <c r="AG322" i="5" s="1"/>
  <c r="AL189" i="5"/>
  <c r="AK327" i="5" a="1"/>
  <c r="AK327" i="5" s="1"/>
  <c r="AK287" i="5"/>
  <c r="AK307" i="5" a="1"/>
  <c r="AK307" i="5" s="1"/>
  <c r="AE219" i="5"/>
  <c r="AP194" i="5"/>
  <c r="AO292" i="5"/>
  <c r="AO312" i="5" a="1"/>
  <c r="AO312" i="5" s="1"/>
  <c r="AE237" i="5"/>
  <c r="AE248" i="5" s="1"/>
  <c r="Q23" i="3"/>
  <c r="AF171" i="5" l="1"/>
  <c r="AG23" i="5"/>
  <c r="AI185" i="5"/>
  <c r="AH323" i="5" a="1"/>
  <c r="AH323" i="5" s="1"/>
  <c r="AH303" i="5" a="1"/>
  <c r="AH303" i="5" s="1"/>
  <c r="AH283" i="5"/>
  <c r="AP313" i="5" a="1"/>
  <c r="AP313" i="5" s="1"/>
  <c r="AP293" i="5"/>
  <c r="AQ195" i="5"/>
  <c r="AG30" i="5"/>
  <c r="AM190" i="5"/>
  <c r="AL288" i="5"/>
  <c r="AL308" i="5" a="1"/>
  <c r="AL308" i="5" s="1"/>
  <c r="AL328" i="5" a="1"/>
  <c r="AL328" i="5" s="1"/>
  <c r="AE220" i="5"/>
  <c r="AN191" i="5" l="1"/>
  <c r="AM309" i="5" a="1"/>
  <c r="AM309" i="5" s="1"/>
  <c r="AM289" i="5"/>
  <c r="AJ186" i="5"/>
  <c r="AI304" i="5" a="1"/>
  <c r="AI304" i="5" s="1"/>
  <c r="AI249" i="5"/>
  <c r="AI284" i="5"/>
  <c r="AI324" i="5" a="1"/>
  <c r="AI324" i="5" s="1"/>
  <c r="AQ294" i="5"/>
  <c r="AQ314" i="5" a="1"/>
  <c r="AQ314" i="5" s="1"/>
  <c r="AE239" i="5"/>
  <c r="AE247" i="5"/>
  <c r="AE246" i="5" s="1"/>
  <c r="AF176" i="5"/>
  <c r="AF181" i="5"/>
  <c r="AF200" i="5"/>
  <c r="AF204" i="5" s="1"/>
  <c r="AK187" i="5" l="1"/>
  <c r="AJ305" i="5" a="1"/>
  <c r="AJ305" i="5" s="1"/>
  <c r="AJ325" i="5" a="1"/>
  <c r="AJ325" i="5" s="1"/>
  <c r="AJ285" i="5"/>
  <c r="AE245" i="5"/>
  <c r="AG182" i="5"/>
  <c r="AF280" i="5"/>
  <c r="AF296" i="5" s="1"/>
  <c r="AF297" i="5" s="1"/>
  <c r="AF300" i="5" a="1"/>
  <c r="AF300" i="5" s="1"/>
  <c r="AF316" i="5" s="1"/>
  <c r="AF317" i="5" s="1"/>
  <c r="AF320" i="5" a="1"/>
  <c r="AF320" i="5" s="1"/>
  <c r="AF330" i="5" s="1"/>
  <c r="AF331" i="5" s="1"/>
  <c r="AF335" i="5" s="1" a="1"/>
  <c r="AF335" i="5" s="1"/>
  <c r="AF172" i="5" a="1"/>
  <c r="AF172" i="5" s="1"/>
  <c r="AF209" i="5" s="1"/>
  <c r="AF177" i="5"/>
  <c r="AF178" i="5" s="1"/>
  <c r="AF208" i="5"/>
  <c r="AG40" i="5" s="1"/>
  <c r="AO192" i="5"/>
  <c r="AN290" i="5"/>
  <c r="AN310" i="5" a="1"/>
  <c r="AN310" i="5" s="1"/>
  <c r="AF223" i="5" l="1"/>
  <c r="AF230" i="5"/>
  <c r="AG232" i="5"/>
  <c r="AG231" i="5" s="1"/>
  <c r="AG32" i="5"/>
  <c r="AG101" i="5"/>
  <c r="AE252" i="5"/>
  <c r="AE275" i="5" s="1"/>
  <c r="AE339" i="5" s="1"/>
  <c r="AE338" i="5" s="1"/>
  <c r="AL188" i="5"/>
  <c r="AK326" i="5" a="1"/>
  <c r="AK326" i="5" s="1"/>
  <c r="AK286" i="5"/>
  <c r="AK306" i="5" a="1"/>
  <c r="AK306" i="5" s="1"/>
  <c r="AF210" i="5"/>
  <c r="AF212" i="5" s="1"/>
  <c r="AF217" i="5" s="1"/>
  <c r="AF216" i="5" s="1"/>
  <c r="AF174" i="5"/>
  <c r="AG211" i="5" s="1"/>
  <c r="AF202" i="5"/>
  <c r="AF229" i="5"/>
  <c r="AF227" i="5" s="1"/>
  <c r="AF173" i="5"/>
  <c r="AP193" i="5"/>
  <c r="AO311" i="5" a="1"/>
  <c r="AO311" i="5" s="1"/>
  <c r="AO291" i="5"/>
  <c r="AH183" i="5"/>
  <c r="AG301" i="5" a="1"/>
  <c r="AG301" i="5" s="1"/>
  <c r="AG281" i="5"/>
  <c r="AG228" i="5"/>
  <c r="AG321" i="5" a="1"/>
  <c r="AG321" i="5" s="1"/>
  <c r="AG35" i="5" l="1"/>
  <c r="AH38" i="5"/>
  <c r="AF219" i="5"/>
  <c r="AI184" i="5"/>
  <c r="AH322" i="5" a="1"/>
  <c r="AH322" i="5" s="1"/>
  <c r="AH282" i="5"/>
  <c r="AH302" i="5" a="1"/>
  <c r="AH302" i="5" s="1"/>
  <c r="AG33" i="5"/>
  <c r="AG34" i="5" s="1"/>
  <c r="AH25" i="5" s="1"/>
  <c r="AQ194" i="5"/>
  <c r="AP312" i="5" a="1"/>
  <c r="AP312" i="5" s="1"/>
  <c r="AP292" i="5"/>
  <c r="AM189" i="5"/>
  <c r="AL287" i="5"/>
  <c r="AL327" i="5" a="1"/>
  <c r="AL327" i="5" s="1"/>
  <c r="AL307" i="5" a="1"/>
  <c r="AL307" i="5" s="1"/>
  <c r="AF237" i="5"/>
  <c r="AF248" i="5" s="1"/>
  <c r="AG27" i="5" l="1" a="1"/>
  <c r="AG27" i="5" s="1"/>
  <c r="AG28" i="5" s="1"/>
  <c r="AF220" i="5"/>
  <c r="AN190" i="5"/>
  <c r="AM308" i="5" a="1"/>
  <c r="AM308" i="5" s="1"/>
  <c r="AM288" i="5"/>
  <c r="AM328" i="5" a="1"/>
  <c r="AM328" i="5" s="1"/>
  <c r="AH30" i="5"/>
  <c r="AQ313" i="5" a="1"/>
  <c r="AQ313" i="5" s="1"/>
  <c r="AQ293" i="5"/>
  <c r="AR195" i="5"/>
  <c r="AJ185" i="5"/>
  <c r="AI323" i="5" a="1"/>
  <c r="AI323" i="5" s="1"/>
  <c r="AI303" i="5" a="1"/>
  <c r="AI303" i="5" s="1"/>
  <c r="AI283" i="5"/>
  <c r="AK186" i="5" l="1"/>
  <c r="AJ284" i="5"/>
  <c r="AJ324" i="5" a="1"/>
  <c r="AJ324" i="5" s="1"/>
  <c r="AJ304" i="5" a="1"/>
  <c r="AJ304" i="5" s="1"/>
  <c r="AJ249" i="5"/>
  <c r="AO191" i="5"/>
  <c r="AN309" i="5" a="1"/>
  <c r="AN309" i="5" s="1"/>
  <c r="AN289" i="5"/>
  <c r="AF239" i="5"/>
  <c r="AF247" i="5"/>
  <c r="AF246" i="5" s="1"/>
  <c r="AR294" i="5"/>
  <c r="AR314" i="5" a="1"/>
  <c r="AR314" i="5" s="1"/>
  <c r="AG171" i="5"/>
  <c r="AH23" i="5"/>
  <c r="AG176" i="5" l="1"/>
  <c r="AG181" i="5"/>
  <c r="AG200" i="5"/>
  <c r="AG204" i="5" s="1"/>
  <c r="AP192" i="5"/>
  <c r="AO290" i="5"/>
  <c r="AO310" i="5" a="1"/>
  <c r="AO310" i="5" s="1"/>
  <c r="AF245" i="5"/>
  <c r="AL187" i="5"/>
  <c r="AK285" i="5"/>
  <c r="AK305" i="5" a="1"/>
  <c r="AK305" i="5" s="1"/>
  <c r="AK325" i="5" a="1"/>
  <c r="AK325" i="5" s="1"/>
  <c r="AQ193" i="5" l="1"/>
  <c r="AP291" i="5"/>
  <c r="AP311" i="5" a="1"/>
  <c r="AP311" i="5" s="1"/>
  <c r="AM188" i="5"/>
  <c r="AL306" i="5" a="1"/>
  <c r="AL306" i="5" s="1"/>
  <c r="AL286" i="5"/>
  <c r="AL326" i="5" a="1"/>
  <c r="AL326" i="5" s="1"/>
  <c r="AF252" i="5"/>
  <c r="AF275" i="5" s="1"/>
  <c r="AF339" i="5" s="1"/>
  <c r="AF338" i="5" s="1"/>
  <c r="AH182" i="5"/>
  <c r="AG320" i="5" a="1"/>
  <c r="AG320" i="5" s="1"/>
  <c r="AG330" i="5" s="1"/>
  <c r="AG331" i="5" s="1"/>
  <c r="AG335" i="5" s="1" a="1"/>
  <c r="AG335" i="5" s="1"/>
  <c r="AG172" i="5" a="1"/>
  <c r="AG172" i="5" s="1"/>
  <c r="AG280" i="5"/>
  <c r="AG296" i="5" s="1"/>
  <c r="AG297" i="5" s="1"/>
  <c r="AG177" i="5"/>
  <c r="AG178" i="5" s="1"/>
  <c r="AG300" i="5" a="1"/>
  <c r="AG300" i="5" s="1"/>
  <c r="AG316" i="5" s="1"/>
  <c r="AG317" i="5" s="1"/>
  <c r="AG208" i="5"/>
  <c r="AH40" i="5" s="1"/>
  <c r="AN189" i="5" l="1"/>
  <c r="AM287" i="5"/>
  <c r="AM307" i="5" a="1"/>
  <c r="AM307" i="5" s="1"/>
  <c r="AM327" i="5" a="1"/>
  <c r="AM327" i="5" s="1"/>
  <c r="AH232" i="5"/>
  <c r="AH231" i="5" s="1"/>
  <c r="AH32" i="5"/>
  <c r="AH101" i="5"/>
  <c r="AG210" i="5"/>
  <c r="AG212" i="5" s="1"/>
  <c r="AG217" i="5" s="1"/>
  <c r="AG216" i="5" s="1"/>
  <c r="AG174" i="5"/>
  <c r="AG229" i="5"/>
  <c r="AG227" i="5" s="1"/>
  <c r="AG202" i="5"/>
  <c r="AG173" i="5"/>
  <c r="AI183" i="5"/>
  <c r="AH301" i="5" a="1"/>
  <c r="AH301" i="5" s="1"/>
  <c r="AH281" i="5"/>
  <c r="AH228" i="5"/>
  <c r="AH321" i="5" a="1"/>
  <c r="AH321" i="5" s="1"/>
  <c r="AG209" i="5"/>
  <c r="AR194" i="5"/>
  <c r="AQ292" i="5"/>
  <c r="AQ312" i="5" a="1"/>
  <c r="AQ312" i="5" s="1"/>
  <c r="AJ184" i="5" l="1"/>
  <c r="AI322" i="5" a="1"/>
  <c r="AI322" i="5" s="1"/>
  <c r="AI302" i="5" a="1"/>
  <c r="AI302" i="5" s="1"/>
  <c r="AI282" i="5"/>
  <c r="AH35" i="5"/>
  <c r="AI38" i="5"/>
  <c r="AH34" i="5"/>
  <c r="AI25" i="5" s="1"/>
  <c r="AH33" i="5"/>
  <c r="AR313" i="5" a="1"/>
  <c r="AR313" i="5" s="1"/>
  <c r="AR293" i="5"/>
  <c r="AS195" i="5"/>
  <c r="AG223" i="5"/>
  <c r="AG230" i="5"/>
  <c r="AH211" i="5"/>
  <c r="AH27" i="5" a="1"/>
  <c r="AH27" i="5" s="1"/>
  <c r="AH28" i="5" s="1"/>
  <c r="AG219" i="5"/>
  <c r="AO190" i="5"/>
  <c r="AN328" i="5" a="1"/>
  <c r="AN328" i="5" s="1"/>
  <c r="AN288" i="5"/>
  <c r="AN308" i="5" a="1"/>
  <c r="AN308" i="5" s="1"/>
  <c r="AH171" i="5" l="1"/>
  <c r="AI23" i="5"/>
  <c r="AS294" i="5"/>
  <c r="AS314" i="5" a="1"/>
  <c r="AS314" i="5" s="1"/>
  <c r="AP191" i="5"/>
  <c r="AO289" i="5"/>
  <c r="AO309" i="5" a="1"/>
  <c r="AO309" i="5" s="1"/>
  <c r="AI30" i="5"/>
  <c r="AG237" i="5"/>
  <c r="AG248" i="5" s="1"/>
  <c r="AG220" i="5"/>
  <c r="AK185" i="5"/>
  <c r="AJ303" i="5" a="1"/>
  <c r="AJ303" i="5" s="1"/>
  <c r="AJ323" i="5" a="1"/>
  <c r="AJ323" i="5" s="1"/>
  <c r="AJ283" i="5"/>
  <c r="AG239" i="5" l="1"/>
  <c r="AG247" i="5"/>
  <c r="AG246" i="5" s="1"/>
  <c r="AL186" i="5"/>
  <c r="AK249" i="5"/>
  <c r="AK304" i="5" a="1"/>
  <c r="AK304" i="5" s="1"/>
  <c r="AK284" i="5"/>
  <c r="AK324" i="5" a="1"/>
  <c r="AK324" i="5" s="1"/>
  <c r="AQ192" i="5"/>
  <c r="AP310" i="5" a="1"/>
  <c r="AP310" i="5" s="1"/>
  <c r="AP290" i="5"/>
  <c r="AH176" i="5"/>
  <c r="AH181" i="5"/>
  <c r="AH200" i="5"/>
  <c r="AH204" i="5" s="1"/>
  <c r="AI182" i="5" l="1"/>
  <c r="AH280" i="5"/>
  <c r="AH296" i="5" s="1"/>
  <c r="AH297" i="5" s="1"/>
  <c r="AH172" i="5" a="1"/>
  <c r="AH172" i="5" s="1"/>
  <c r="AH300" i="5" a="1"/>
  <c r="AH300" i="5" s="1"/>
  <c r="AH316" i="5" s="1"/>
  <c r="AH317" i="5" s="1"/>
  <c r="AH209" i="5"/>
  <c r="AH320" i="5" a="1"/>
  <c r="AH320" i="5" s="1"/>
  <c r="AH330" i="5" s="1"/>
  <c r="AH331" i="5" s="1"/>
  <c r="AH335" i="5" s="1" a="1"/>
  <c r="AH335" i="5" s="1"/>
  <c r="AH177" i="5"/>
  <c r="AH178" i="5" s="1"/>
  <c r="AH208" i="5"/>
  <c r="AI40" i="5" s="1"/>
  <c r="AM187" i="5"/>
  <c r="AL305" i="5" a="1"/>
  <c r="AL305" i="5" s="1"/>
  <c r="AL285" i="5"/>
  <c r="AL325" i="5" a="1"/>
  <c r="AL325" i="5" s="1"/>
  <c r="AR193" i="5"/>
  <c r="AQ291" i="5"/>
  <c r="AQ311" i="5" a="1"/>
  <c r="AQ311" i="5" s="1"/>
  <c r="AG245" i="5"/>
  <c r="AH223" i="5" l="1"/>
  <c r="AH230" i="5"/>
  <c r="AG252" i="5"/>
  <c r="AG275" i="5" s="1"/>
  <c r="AG339" i="5" s="1"/>
  <c r="AG338" i="5" s="1"/>
  <c r="AN188" i="5"/>
  <c r="AM326" i="5" a="1"/>
  <c r="AM326" i="5" s="1"/>
  <c r="AM306" i="5" a="1"/>
  <c r="AM306" i="5" s="1"/>
  <c r="AM286" i="5"/>
  <c r="AJ183" i="5"/>
  <c r="AI228" i="5"/>
  <c r="AI321" i="5" a="1"/>
  <c r="AI321" i="5" s="1"/>
  <c r="AI281" i="5"/>
  <c r="AI301" i="5" a="1"/>
  <c r="AI301" i="5" s="1"/>
  <c r="AS194" i="5"/>
  <c r="AR292" i="5"/>
  <c r="AR312" i="5" a="1"/>
  <c r="AR312" i="5" s="1"/>
  <c r="AH174" i="5"/>
  <c r="AH210" i="5"/>
  <c r="AH212" i="5" s="1"/>
  <c r="AH217" i="5" s="1"/>
  <c r="AH216" i="5" s="1"/>
  <c r="AH202" i="5"/>
  <c r="AH229" i="5"/>
  <c r="AH227" i="5" s="1"/>
  <c r="AH173" i="5"/>
  <c r="AI232" i="5"/>
  <c r="AI231" i="5" s="1"/>
  <c r="AI32" i="5"/>
  <c r="AI101" i="5"/>
  <c r="AS293" i="5" l="1"/>
  <c r="AS313" i="5" a="1"/>
  <c r="AS313" i="5" s="1"/>
  <c r="AT195" i="5"/>
  <c r="AH219" i="5"/>
  <c r="AO189" i="5"/>
  <c r="AN307" i="5" a="1"/>
  <c r="AN307" i="5" s="1"/>
  <c r="AN327" i="5" a="1"/>
  <c r="AN327" i="5" s="1"/>
  <c r="AN287" i="5"/>
  <c r="AI211" i="5"/>
  <c r="AI33" i="5"/>
  <c r="AI34" i="5" s="1"/>
  <c r="AJ25" i="5" s="1"/>
  <c r="AI35" i="5"/>
  <c r="AJ38" i="5"/>
  <c r="AK184" i="5"/>
  <c r="AJ302" i="5" a="1"/>
  <c r="AJ302" i="5" s="1"/>
  <c r="AJ282" i="5"/>
  <c r="AJ322" i="5" a="1"/>
  <c r="AJ322" i="5" s="1"/>
  <c r="AH237" i="5"/>
  <c r="AH248" i="5" s="1"/>
  <c r="AI27" i="5" l="1" a="1"/>
  <c r="AI27" i="5" s="1"/>
  <c r="AI28" i="5" s="1"/>
  <c r="AJ30" i="5"/>
  <c r="AP190" i="5"/>
  <c r="AO328" i="5" a="1"/>
  <c r="AO328" i="5" s="1"/>
  <c r="AO288" i="5"/>
  <c r="AO308" i="5" a="1"/>
  <c r="AO308" i="5" s="1"/>
  <c r="AH220" i="5"/>
  <c r="AT294" i="5"/>
  <c r="AT314" i="5" a="1"/>
  <c r="AT314" i="5" s="1"/>
  <c r="AL185" i="5"/>
  <c r="AK323" i="5" a="1"/>
  <c r="AK323" i="5" s="1"/>
  <c r="AK283" i="5"/>
  <c r="AK303" i="5" a="1"/>
  <c r="AK303" i="5" s="1"/>
  <c r="AH239" i="5" l="1"/>
  <c r="AH247" i="5"/>
  <c r="AH246" i="5" s="1"/>
  <c r="AQ191" i="5"/>
  <c r="AP309" i="5" a="1"/>
  <c r="AP309" i="5" s="1"/>
  <c r="AP289" i="5"/>
  <c r="AM186" i="5"/>
  <c r="AL324" i="5" a="1"/>
  <c r="AL324" i="5" s="1"/>
  <c r="AL284" i="5"/>
  <c r="AL304" i="5" a="1"/>
  <c r="AL304" i="5" s="1"/>
  <c r="AL249" i="5"/>
  <c r="AI171" i="5"/>
  <c r="AJ23" i="5"/>
  <c r="AN187" i="5" l="1"/>
  <c r="AM325" i="5" a="1"/>
  <c r="AM325" i="5" s="1"/>
  <c r="AM285" i="5"/>
  <c r="AM305" i="5" a="1"/>
  <c r="AM305" i="5" s="1"/>
  <c r="AR192" i="5"/>
  <c r="AQ290" i="5"/>
  <c r="AQ310" i="5" a="1"/>
  <c r="AQ310" i="5" s="1"/>
  <c r="AI176" i="5"/>
  <c r="AI181" i="5"/>
  <c r="AI200" i="5"/>
  <c r="AI204" i="5" s="1"/>
  <c r="AH245" i="5"/>
  <c r="AH252" i="5" l="1"/>
  <c r="AH275" i="5" s="1"/>
  <c r="AH339" i="5" s="1"/>
  <c r="AH338" i="5" s="1"/>
  <c r="AJ182" i="5"/>
  <c r="AI300" i="5" a="1"/>
  <c r="AI300" i="5" s="1"/>
  <c r="AI316" i="5" s="1"/>
  <c r="AI317" i="5" s="1"/>
  <c r="AI280" i="5"/>
  <c r="AI296" i="5" s="1"/>
  <c r="AI297" i="5" s="1"/>
  <c r="AI172" i="5" a="1"/>
  <c r="AI172" i="5" s="1"/>
  <c r="AI320" i="5" a="1"/>
  <c r="AI320" i="5" s="1"/>
  <c r="AI330" i="5" s="1"/>
  <c r="AI331" i="5" s="1"/>
  <c r="AI335" i="5" s="1" a="1"/>
  <c r="AI335" i="5" s="1"/>
  <c r="AI177" i="5"/>
  <c r="AI208" i="5"/>
  <c r="AJ40" i="5" s="1"/>
  <c r="AS193" i="5"/>
  <c r="AR311" i="5" a="1"/>
  <c r="AR311" i="5" s="1"/>
  <c r="AR291" i="5"/>
  <c r="AI178" i="5"/>
  <c r="AO188" i="5"/>
  <c r="AN286" i="5"/>
  <c r="AN306" i="5" a="1"/>
  <c r="AN306" i="5" s="1"/>
  <c r="AN326" i="5" a="1"/>
  <c r="AN326" i="5" s="1"/>
  <c r="AI174" i="5" l="1"/>
  <c r="AI210" i="5"/>
  <c r="AI212" i="5" s="1"/>
  <c r="AI217" i="5" s="1"/>
  <c r="AI216" i="5" s="1"/>
  <c r="AI229" i="5"/>
  <c r="AI227" i="5" s="1"/>
  <c r="AI202" i="5"/>
  <c r="AI173" i="5"/>
  <c r="AP189" i="5"/>
  <c r="AO327" i="5" a="1"/>
  <c r="AO327" i="5" s="1"/>
  <c r="AO287" i="5"/>
  <c r="AO307" i="5" a="1"/>
  <c r="AO307" i="5" s="1"/>
  <c r="AT194" i="5"/>
  <c r="AS312" i="5" a="1"/>
  <c r="AS312" i="5" s="1"/>
  <c r="AS292" i="5"/>
  <c r="AK183" i="5"/>
  <c r="AJ321" i="5" a="1"/>
  <c r="AJ321" i="5" s="1"/>
  <c r="AJ281" i="5"/>
  <c r="AJ301" i="5" a="1"/>
  <c r="AJ301" i="5" s="1"/>
  <c r="AJ228" i="5"/>
  <c r="AI209" i="5"/>
  <c r="AJ232" i="5"/>
  <c r="AJ231" i="5" s="1"/>
  <c r="AJ32" i="5"/>
  <c r="AJ101" i="5"/>
  <c r="AJ33" i="5" l="1"/>
  <c r="AJ34" i="5"/>
  <c r="AK25" i="5" s="1"/>
  <c r="AL184" i="5"/>
  <c r="AK302" i="5" a="1"/>
  <c r="AK302" i="5" s="1"/>
  <c r="AK322" i="5" a="1"/>
  <c r="AK322" i="5" s="1"/>
  <c r="AK282" i="5"/>
  <c r="AJ35" i="5"/>
  <c r="AK38" i="5"/>
  <c r="AQ190" i="5"/>
  <c r="AP328" i="5" a="1"/>
  <c r="AP328" i="5" s="1"/>
  <c r="AP308" i="5" a="1"/>
  <c r="AP308" i="5" s="1"/>
  <c r="AP288" i="5"/>
  <c r="AI219" i="5"/>
  <c r="AJ27" i="5" a="1"/>
  <c r="AJ27" i="5" s="1"/>
  <c r="AJ28" i="5" s="1"/>
  <c r="AT293" i="5"/>
  <c r="AT313" i="5" a="1"/>
  <c r="AT313" i="5" s="1"/>
  <c r="AU195" i="5"/>
  <c r="AI223" i="5"/>
  <c r="AI230" i="5"/>
  <c r="AJ211" i="5"/>
  <c r="AI220" i="5" l="1"/>
  <c r="AK30" i="5"/>
  <c r="AI237" i="5"/>
  <c r="AI248" i="5" s="1"/>
  <c r="AM185" i="5"/>
  <c r="AL323" i="5" a="1"/>
  <c r="AL323" i="5" s="1"/>
  <c r="AL303" i="5" a="1"/>
  <c r="AL303" i="5" s="1"/>
  <c r="AL283" i="5"/>
  <c r="AJ171" i="5"/>
  <c r="AK23" i="5"/>
  <c r="AU294" i="5"/>
  <c r="AU314" i="5" a="1"/>
  <c r="AU314" i="5" s="1"/>
  <c r="AR191" i="5"/>
  <c r="AQ289" i="5"/>
  <c r="AQ309" i="5" a="1"/>
  <c r="AQ309" i="5" s="1"/>
  <c r="AN186" i="5" l="1"/>
  <c r="AM324" i="5" a="1"/>
  <c r="AM324" i="5" s="1"/>
  <c r="AM249" i="5"/>
  <c r="AM284" i="5"/>
  <c r="AM304" i="5" a="1"/>
  <c r="AM304" i="5" s="1"/>
  <c r="AJ176" i="5"/>
  <c r="AJ181" i="5"/>
  <c r="AJ200" i="5"/>
  <c r="AJ204" i="5" s="1"/>
  <c r="AI239" i="5"/>
  <c r="AI247" i="5"/>
  <c r="AI246" i="5" s="1"/>
  <c r="AS192" i="5"/>
  <c r="AR290" i="5"/>
  <c r="AR310" i="5" a="1"/>
  <c r="AR310" i="5" s="1"/>
  <c r="AT193" i="5" l="1"/>
  <c r="AS291" i="5"/>
  <c r="AS311" i="5" a="1"/>
  <c r="AS311" i="5" s="1"/>
  <c r="AI245" i="5"/>
  <c r="AK182" i="5"/>
  <c r="AJ320" i="5" a="1"/>
  <c r="AJ320" i="5" s="1"/>
  <c r="AJ330" i="5" s="1"/>
  <c r="AJ331" i="5" s="1"/>
  <c r="AJ335" i="5" s="1" a="1"/>
  <c r="AJ335" i="5" s="1"/>
  <c r="AJ300" i="5" a="1"/>
  <c r="AJ300" i="5" s="1"/>
  <c r="AJ316" i="5" s="1"/>
  <c r="AJ317" i="5" s="1"/>
  <c r="AJ177" i="5"/>
  <c r="AJ280" i="5"/>
  <c r="AJ296" i="5" s="1"/>
  <c r="AJ297" i="5" s="1"/>
  <c r="AJ172" i="5" a="1"/>
  <c r="AJ172" i="5" s="1"/>
  <c r="AJ208" i="5"/>
  <c r="AK40" i="5" s="1"/>
  <c r="AJ178" i="5"/>
  <c r="AO187" i="5"/>
  <c r="AN305" i="5" a="1"/>
  <c r="AN305" i="5" s="1"/>
  <c r="AN325" i="5" a="1"/>
  <c r="AN325" i="5" s="1"/>
  <c r="AN285" i="5"/>
  <c r="AL183" i="5" l="1"/>
  <c r="AK301" i="5" a="1"/>
  <c r="AK301" i="5" s="1"/>
  <c r="AK228" i="5"/>
  <c r="AK321" i="5" a="1"/>
  <c r="AK321" i="5" s="1"/>
  <c r="AK281" i="5"/>
  <c r="AK232" i="5"/>
  <c r="AK231" i="5" s="1"/>
  <c r="AK32" i="5"/>
  <c r="AK101" i="5"/>
  <c r="AJ210" i="5"/>
  <c r="AJ212" i="5" s="1"/>
  <c r="AJ217" i="5" s="1"/>
  <c r="AJ216" i="5" s="1"/>
  <c r="AJ174" i="5"/>
  <c r="AJ202" i="5"/>
  <c r="AJ229" i="5"/>
  <c r="AJ227" i="5" s="1"/>
  <c r="AJ173" i="5"/>
  <c r="AP188" i="5"/>
  <c r="AO326" i="5" a="1"/>
  <c r="AO326" i="5" s="1"/>
  <c r="AO306" i="5" a="1"/>
  <c r="AO306" i="5" s="1"/>
  <c r="AO286" i="5"/>
  <c r="AI252" i="5"/>
  <c r="AI275" i="5" s="1"/>
  <c r="AI339" i="5" s="1"/>
  <c r="AI338" i="5" s="1"/>
  <c r="AJ209" i="5"/>
  <c r="AU194" i="5"/>
  <c r="AT292" i="5"/>
  <c r="AT312" i="5" a="1"/>
  <c r="AT312" i="5" s="1"/>
  <c r="AU293" i="5" l="1"/>
  <c r="AU313" i="5" a="1"/>
  <c r="AU313" i="5" s="1"/>
  <c r="AV195" i="5"/>
  <c r="AJ223" i="5"/>
  <c r="AJ237" i="5" s="1"/>
  <c r="AJ248" i="5" s="1"/>
  <c r="AJ230" i="5"/>
  <c r="AJ219" i="5"/>
  <c r="AJ220" i="5" s="1"/>
  <c r="AK27" i="5" a="1"/>
  <c r="AK27" i="5" s="1"/>
  <c r="AK28" i="5" s="1"/>
  <c r="AK211" i="5"/>
  <c r="AK35" i="5"/>
  <c r="AL38" i="5"/>
  <c r="AQ189" i="5"/>
  <c r="AP327" i="5" a="1"/>
  <c r="AP327" i="5" s="1"/>
  <c r="AP287" i="5"/>
  <c r="AP307" i="5" a="1"/>
  <c r="AP307" i="5" s="1"/>
  <c r="AK33" i="5"/>
  <c r="AK34" i="5" s="1"/>
  <c r="AL25" i="5" s="1"/>
  <c r="AM184" i="5"/>
  <c r="AL322" i="5" a="1"/>
  <c r="AL322" i="5" s="1"/>
  <c r="AL282" i="5"/>
  <c r="AL302" i="5" a="1"/>
  <c r="AL302" i="5" s="1"/>
  <c r="AK171" i="5" l="1"/>
  <c r="AL23" i="5"/>
  <c r="AJ239" i="5"/>
  <c r="AJ247" i="5"/>
  <c r="AJ246" i="5" s="1"/>
  <c r="AL30" i="5"/>
  <c r="AV314" i="5" a="1"/>
  <c r="AV314" i="5" s="1"/>
  <c r="AV294" i="5"/>
  <c r="AR190" i="5"/>
  <c r="AQ328" i="5" a="1"/>
  <c r="AQ328" i="5" s="1"/>
  <c r="AQ288" i="5"/>
  <c r="AQ308" i="5" a="1"/>
  <c r="AQ308" i="5" s="1"/>
  <c r="AN185" i="5"/>
  <c r="AM303" i="5" a="1"/>
  <c r="AM303" i="5" s="1"/>
  <c r="AM323" i="5" a="1"/>
  <c r="AM323" i="5" s="1"/>
  <c r="AM283" i="5"/>
  <c r="AO186" i="5" l="1"/>
  <c r="AN249" i="5"/>
  <c r="AN304" i="5" a="1"/>
  <c r="AN304" i="5" s="1"/>
  <c r="AN324" i="5" a="1"/>
  <c r="AN324" i="5" s="1"/>
  <c r="AN284" i="5"/>
  <c r="AJ245" i="5"/>
  <c r="AJ252" i="5" s="1"/>
  <c r="AJ275" i="5" s="1"/>
  <c r="AJ339" i="5" s="1"/>
  <c r="AJ338" i="5" s="1"/>
  <c r="AS191" i="5"/>
  <c r="AR309" i="5" a="1"/>
  <c r="AR309" i="5" s="1"/>
  <c r="AR289" i="5"/>
  <c r="AK176" i="5"/>
  <c r="AK181" i="5"/>
  <c r="AK200" i="5"/>
  <c r="AK204" i="5" s="1"/>
  <c r="AL182" i="5" l="1"/>
  <c r="AK300" i="5" a="1"/>
  <c r="AK300" i="5" s="1"/>
  <c r="AK316" i="5" s="1"/>
  <c r="AK317" i="5" s="1"/>
  <c r="AK177" i="5"/>
  <c r="AK178" i="5" s="1"/>
  <c r="AK172" i="5" a="1"/>
  <c r="AK172" i="5" s="1"/>
  <c r="AK209" i="5" s="1"/>
  <c r="AK320" i="5" a="1"/>
  <c r="AK320" i="5" s="1"/>
  <c r="AK330" i="5" s="1"/>
  <c r="AK331" i="5" s="1"/>
  <c r="AK335" i="5" s="1" a="1"/>
  <c r="AK335" i="5" s="1"/>
  <c r="AK280" i="5"/>
  <c r="AK296" i="5" s="1"/>
  <c r="AK297" i="5" s="1"/>
  <c r="AK208" i="5"/>
  <c r="AL40" i="5" s="1"/>
  <c r="AT192" i="5"/>
  <c r="AS310" i="5" a="1"/>
  <c r="AS310" i="5" s="1"/>
  <c r="AS290" i="5"/>
  <c r="AP187" i="5"/>
  <c r="AO305" i="5" a="1"/>
  <c r="AO305" i="5" s="1"/>
  <c r="AO285" i="5"/>
  <c r="AO325" i="5" a="1"/>
  <c r="AO325" i="5" s="1"/>
  <c r="AK223" i="5" l="1"/>
  <c r="AK230" i="5"/>
  <c r="AQ188" i="5"/>
  <c r="AP286" i="5"/>
  <c r="AP306" i="5" a="1"/>
  <c r="AP306" i="5" s="1"/>
  <c r="AP326" i="5" a="1"/>
  <c r="AP326" i="5" s="1"/>
  <c r="AU193" i="5"/>
  <c r="AT291" i="5"/>
  <c r="AT311" i="5" a="1"/>
  <c r="AT311" i="5" s="1"/>
  <c r="AM183" i="5"/>
  <c r="AL321" i="5" a="1"/>
  <c r="AL321" i="5" s="1"/>
  <c r="AL301" i="5" a="1"/>
  <c r="AL301" i="5" s="1"/>
  <c r="AL281" i="5"/>
  <c r="AL228" i="5"/>
  <c r="AK210" i="5"/>
  <c r="AK212" i="5" s="1"/>
  <c r="AK217" i="5" s="1"/>
  <c r="AK216" i="5" s="1"/>
  <c r="AK174" i="5"/>
  <c r="AK229" i="5"/>
  <c r="AK227" i="5" s="1"/>
  <c r="AK202" i="5"/>
  <c r="AK173" i="5"/>
  <c r="AL232" i="5"/>
  <c r="AL231" i="5" s="1"/>
  <c r="AL32" i="5"/>
  <c r="AL101" i="5"/>
  <c r="AK219" i="5" l="1"/>
  <c r="AK220" i="5" s="1"/>
  <c r="AL33" i="5"/>
  <c r="AL27" i="5" s="1" a="1"/>
  <c r="AL27" i="5" s="1"/>
  <c r="AL28" i="5" s="1"/>
  <c r="AL34" i="5"/>
  <c r="AM25" i="5" s="1"/>
  <c r="AV194" i="5"/>
  <c r="AU312" i="5" a="1"/>
  <c r="AU312" i="5" s="1"/>
  <c r="AU292" i="5"/>
  <c r="AR189" i="5"/>
  <c r="AQ307" i="5" a="1"/>
  <c r="AQ307" i="5" s="1"/>
  <c r="AQ287" i="5"/>
  <c r="AQ327" i="5" a="1"/>
  <c r="AQ327" i="5" s="1"/>
  <c r="AL211" i="5"/>
  <c r="AN184" i="5"/>
  <c r="AM302" i="5" a="1"/>
  <c r="AM302" i="5" s="1"/>
  <c r="AM282" i="5"/>
  <c r="AM322" i="5" a="1"/>
  <c r="AM322" i="5" s="1"/>
  <c r="AL35" i="5"/>
  <c r="AM38" i="5"/>
  <c r="AK237" i="5"/>
  <c r="AK248" i="5" s="1"/>
  <c r="AL171" i="5" l="1"/>
  <c r="AM23" i="5"/>
  <c r="AS190" i="5"/>
  <c r="AR288" i="5"/>
  <c r="AR308" i="5" a="1"/>
  <c r="AR308" i="5" s="1"/>
  <c r="AR328" i="5" a="1"/>
  <c r="AR328" i="5" s="1"/>
  <c r="AO185" i="5"/>
  <c r="AN323" i="5" a="1"/>
  <c r="AN323" i="5" s="1"/>
  <c r="AN283" i="5"/>
  <c r="AN303" i="5" a="1"/>
  <c r="AN303" i="5" s="1"/>
  <c r="AM30" i="5"/>
  <c r="AK239" i="5"/>
  <c r="AK247" i="5"/>
  <c r="AK246" i="5" s="1"/>
  <c r="AV293" i="5"/>
  <c r="AV313" i="5" a="1"/>
  <c r="AV313" i="5" s="1"/>
  <c r="AW195" i="5"/>
  <c r="AK245" i="5" l="1"/>
  <c r="AK252" i="5" s="1"/>
  <c r="AK275" i="5" s="1"/>
  <c r="AK339" i="5" s="1"/>
  <c r="AK338" i="5" s="1"/>
  <c r="AT191" i="5"/>
  <c r="AS289" i="5"/>
  <c r="AS309" i="5" a="1"/>
  <c r="AS309" i="5" s="1"/>
  <c r="AP186" i="5"/>
  <c r="AO324" i="5" a="1"/>
  <c r="AO324" i="5" s="1"/>
  <c r="AO249" i="5"/>
  <c r="AO284" i="5"/>
  <c r="AO304" i="5" a="1"/>
  <c r="AO304" i="5" s="1"/>
  <c r="AW314" i="5" a="1"/>
  <c r="AW314" i="5" s="1"/>
  <c r="AW294" i="5"/>
  <c r="AL176" i="5"/>
  <c r="AL181" i="5"/>
  <c r="AL200" i="5"/>
  <c r="AL204" i="5" s="1"/>
  <c r="AU192" i="5" l="1"/>
  <c r="AT310" i="5" a="1"/>
  <c r="AT310" i="5" s="1"/>
  <c r="AT290" i="5"/>
  <c r="AQ187" i="5"/>
  <c r="AP305" i="5" a="1"/>
  <c r="AP305" i="5" s="1"/>
  <c r="AP285" i="5"/>
  <c r="AP325" i="5" a="1"/>
  <c r="AP325" i="5" s="1"/>
  <c r="AM182" i="5"/>
  <c r="AL320" i="5" a="1"/>
  <c r="AL320" i="5" s="1"/>
  <c r="AL330" i="5" s="1"/>
  <c r="AL331" i="5" s="1"/>
  <c r="AL335" i="5" s="1" a="1"/>
  <c r="AL335" i="5" s="1"/>
  <c r="AL280" i="5"/>
  <c r="AL296" i="5" s="1"/>
  <c r="AL297" i="5" s="1"/>
  <c r="AL300" i="5" a="1"/>
  <c r="AL300" i="5" s="1"/>
  <c r="AL316" i="5" s="1"/>
  <c r="AL317" i="5" s="1"/>
  <c r="AL177" i="5"/>
  <c r="AL178" i="5" s="1"/>
  <c r="AL172" i="5" a="1"/>
  <c r="AL172" i="5" s="1"/>
  <c r="AL209" i="5" s="1"/>
  <c r="AL208" i="5"/>
  <c r="AM40" i="5" s="1"/>
  <c r="AL223" i="5" l="1"/>
  <c r="AL230" i="5"/>
  <c r="AM232" i="5"/>
  <c r="AM231" i="5" s="1"/>
  <c r="AM32" i="5"/>
  <c r="AM101" i="5"/>
  <c r="AR188" i="5"/>
  <c r="AQ306" i="5" a="1"/>
  <c r="AQ306" i="5" s="1"/>
  <c r="AQ286" i="5"/>
  <c r="AQ326" i="5" a="1"/>
  <c r="AQ326" i="5" s="1"/>
  <c r="AV193" i="5"/>
  <c r="AU311" i="5" a="1"/>
  <c r="AU311" i="5" s="1"/>
  <c r="AU291" i="5"/>
  <c r="AL210" i="5"/>
  <c r="AL212" i="5" s="1"/>
  <c r="AL217" i="5" s="1"/>
  <c r="AL216" i="5" s="1"/>
  <c r="AL174" i="5"/>
  <c r="AM211" i="5" s="1"/>
  <c r="AL229" i="5"/>
  <c r="AL227" i="5" s="1"/>
  <c r="AL202" i="5"/>
  <c r="AL173" i="5"/>
  <c r="AN183" i="5"/>
  <c r="AM321" i="5" a="1"/>
  <c r="AM321" i="5" s="1"/>
  <c r="AM281" i="5"/>
  <c r="AM228" i="5"/>
  <c r="AM301" i="5" a="1"/>
  <c r="AM301" i="5" s="1"/>
  <c r="AS189" i="5" l="1"/>
  <c r="AR287" i="5"/>
  <c r="AR307" i="5" a="1"/>
  <c r="AR307" i="5" s="1"/>
  <c r="AR327" i="5" a="1"/>
  <c r="AR327" i="5" s="1"/>
  <c r="AM35" i="5"/>
  <c r="AN38" i="5"/>
  <c r="AW194" i="5"/>
  <c r="AV312" i="5" a="1"/>
  <c r="AV312" i="5" s="1"/>
  <c r="AV292" i="5"/>
  <c r="AM33" i="5"/>
  <c r="AM27" i="5" s="1" a="1"/>
  <c r="AM27" i="5" s="1"/>
  <c r="AM28" i="5" s="1"/>
  <c r="AM34" i="5"/>
  <c r="AN25" i="5" s="1"/>
  <c r="AO184" i="5"/>
  <c r="AN322" i="5" a="1"/>
  <c r="AN322" i="5" s="1"/>
  <c r="AN282" i="5"/>
  <c r="AN302" i="5" a="1"/>
  <c r="AN302" i="5" s="1"/>
  <c r="AL219" i="5"/>
  <c r="AL220" i="5" s="1"/>
  <c r="AL237" i="5"/>
  <c r="AL248" i="5" s="1"/>
  <c r="AM171" i="5" l="1"/>
  <c r="AN23" i="5"/>
  <c r="AP185" i="5"/>
  <c r="AO283" i="5"/>
  <c r="AO323" i="5" a="1"/>
  <c r="AO323" i="5" s="1"/>
  <c r="AO303" i="5" a="1"/>
  <c r="AO303" i="5" s="1"/>
  <c r="AL239" i="5"/>
  <c r="AL247" i="5"/>
  <c r="AL246" i="5" s="1"/>
  <c r="AT190" i="5"/>
  <c r="AS308" i="5" a="1"/>
  <c r="AS308" i="5" s="1"/>
  <c r="AS288" i="5"/>
  <c r="AS328" i="5" a="1"/>
  <c r="AS328" i="5" s="1"/>
  <c r="AW293" i="5"/>
  <c r="AW313" i="5" a="1"/>
  <c r="AW313" i="5" s="1"/>
  <c r="AX195" i="5"/>
  <c r="AN30" i="5"/>
  <c r="AX314" i="5" l="1" a="1"/>
  <c r="AX314" i="5" s="1"/>
  <c r="AX294" i="5"/>
  <c r="AL245" i="5"/>
  <c r="AL252" i="5" s="1"/>
  <c r="AL275" i="5" s="1"/>
  <c r="AL339" i="5" s="1"/>
  <c r="AL338" i="5" s="1"/>
  <c r="AQ186" i="5"/>
  <c r="AP249" i="5"/>
  <c r="AP284" i="5"/>
  <c r="AP304" i="5" a="1"/>
  <c r="AP304" i="5" s="1"/>
  <c r="AP324" i="5" a="1"/>
  <c r="AP324" i="5" s="1"/>
  <c r="AU191" i="5"/>
  <c r="AT289" i="5"/>
  <c r="AT309" i="5" a="1"/>
  <c r="AT309" i="5" s="1"/>
  <c r="AM176" i="5"/>
  <c r="AM181" i="5"/>
  <c r="AM200" i="5"/>
  <c r="AM204" i="5" s="1"/>
  <c r="AN182" i="5" l="1"/>
  <c r="AM172" i="5" a="1"/>
  <c r="AM172" i="5" s="1"/>
  <c r="AM177" i="5"/>
  <c r="AM178" i="5" s="1"/>
  <c r="AM300" i="5" a="1"/>
  <c r="AM300" i="5" s="1"/>
  <c r="AM316" i="5" s="1"/>
  <c r="AM317" i="5" s="1"/>
  <c r="AM280" i="5"/>
  <c r="AM296" i="5" s="1"/>
  <c r="AM297" i="5" s="1"/>
  <c r="AM320" i="5" a="1"/>
  <c r="AM320" i="5" s="1"/>
  <c r="AM330" i="5" s="1"/>
  <c r="AM331" i="5" s="1"/>
  <c r="AM335" i="5" s="1" a="1"/>
  <c r="AM335" i="5" s="1"/>
  <c r="AM209" i="5"/>
  <c r="AM208" i="5"/>
  <c r="AN40" i="5" s="1"/>
  <c r="AR187" i="5"/>
  <c r="AQ285" i="5"/>
  <c r="AQ305" i="5" a="1"/>
  <c r="AQ305" i="5" s="1"/>
  <c r="AQ325" i="5" a="1"/>
  <c r="AQ325" i="5" s="1"/>
  <c r="AV192" i="5"/>
  <c r="AU290" i="5"/>
  <c r="AU310" i="5" a="1"/>
  <c r="AU310" i="5" s="1"/>
  <c r="AW193" i="5" l="1"/>
  <c r="AV311" i="5" a="1"/>
  <c r="AV311" i="5" s="1"/>
  <c r="AV291" i="5"/>
  <c r="AM223" i="5"/>
  <c r="AM230" i="5"/>
  <c r="AM210" i="5"/>
  <c r="AM212" i="5" s="1"/>
  <c r="AM217" i="5" s="1"/>
  <c r="AM216" i="5" s="1"/>
  <c r="AM174" i="5"/>
  <c r="AM229" i="5"/>
  <c r="AM227" i="5" s="1"/>
  <c r="AM202" i="5"/>
  <c r="AM173" i="5"/>
  <c r="AS188" i="5"/>
  <c r="AR306" i="5" a="1"/>
  <c r="AR306" i="5" s="1"/>
  <c r="AR286" i="5"/>
  <c r="AR326" i="5" a="1"/>
  <c r="AR326" i="5" s="1"/>
  <c r="AO183" i="5"/>
  <c r="AN301" i="5" a="1"/>
  <c r="AN301" i="5" s="1"/>
  <c r="AN281" i="5"/>
  <c r="AN321" i="5" a="1"/>
  <c r="AN321" i="5" s="1"/>
  <c r="AN228" i="5"/>
  <c r="AN232" i="5"/>
  <c r="AN231" i="5" s="1"/>
  <c r="AN32" i="5"/>
  <c r="AN101" i="5"/>
  <c r="AN33" i="5" l="1"/>
  <c r="AN34" i="5"/>
  <c r="AO25" i="5" s="1"/>
  <c r="AP184" i="5"/>
  <c r="AO322" i="5" a="1"/>
  <c r="AO322" i="5" s="1"/>
  <c r="AO282" i="5"/>
  <c r="AO302" i="5" a="1"/>
  <c r="AO302" i="5" s="1"/>
  <c r="AN211" i="5"/>
  <c r="AT189" i="5"/>
  <c r="AS307" i="5" a="1"/>
  <c r="AS307" i="5" s="1"/>
  <c r="AS287" i="5"/>
  <c r="AS327" i="5" a="1"/>
  <c r="AS327" i="5" s="1"/>
  <c r="AM237" i="5"/>
  <c r="AM248" i="5" s="1"/>
  <c r="AN27" i="5" a="1"/>
  <c r="AN27" i="5" s="1"/>
  <c r="AN28" i="5" s="1"/>
  <c r="AM219" i="5"/>
  <c r="AM220" i="5" s="1"/>
  <c r="AN35" i="5"/>
  <c r="AO38" i="5"/>
  <c r="AX194" i="5"/>
  <c r="AW312" i="5" a="1"/>
  <c r="AW312" i="5" s="1"/>
  <c r="AW292" i="5"/>
  <c r="AU190" i="5" l="1"/>
  <c r="AT308" i="5" a="1"/>
  <c r="AT308" i="5" s="1"/>
  <c r="AT288" i="5"/>
  <c r="AT328" i="5" a="1"/>
  <c r="AT328" i="5" s="1"/>
  <c r="AM239" i="5"/>
  <c r="AM247" i="5"/>
  <c r="AM246" i="5" s="1"/>
  <c r="AN171" i="5"/>
  <c r="AO23" i="5"/>
  <c r="AQ185" i="5"/>
  <c r="AP283" i="5"/>
  <c r="AP303" i="5" a="1"/>
  <c r="AP303" i="5" s="1"/>
  <c r="AP323" i="5" a="1"/>
  <c r="AP323" i="5" s="1"/>
  <c r="AX313" i="5" a="1"/>
  <c r="AX313" i="5" s="1"/>
  <c r="AX293" i="5"/>
  <c r="AY195" i="5"/>
  <c r="AO30" i="5"/>
  <c r="AV191" i="5" l="1"/>
  <c r="AU309" i="5" a="1"/>
  <c r="AU309" i="5" s="1"/>
  <c r="AU289" i="5"/>
  <c r="AM245" i="5"/>
  <c r="AM252" i="5" s="1"/>
  <c r="AM275" i="5" s="1"/>
  <c r="AM339" i="5" s="1"/>
  <c r="AM338" i="5" s="1"/>
  <c r="AR186" i="5"/>
  <c r="AQ324" i="5" a="1"/>
  <c r="AQ324" i="5" s="1"/>
  <c r="AQ304" i="5" a="1"/>
  <c r="AQ304" i="5" s="1"/>
  <c r="AQ284" i="5"/>
  <c r="AQ249" i="5"/>
  <c r="AY314" i="5" a="1"/>
  <c r="AY314" i="5" s="1"/>
  <c r="AY294" i="5"/>
  <c r="AN176" i="5"/>
  <c r="AN181" i="5"/>
  <c r="AN200" i="5"/>
  <c r="AN204" i="5" s="1"/>
  <c r="AS187" i="5" l="1"/>
  <c r="AR325" i="5" a="1"/>
  <c r="AR325" i="5" s="1"/>
  <c r="AR285" i="5"/>
  <c r="AR305" i="5" a="1"/>
  <c r="AR305" i="5" s="1"/>
  <c r="AO182" i="5"/>
  <c r="AN177" i="5"/>
  <c r="AN178" i="5" s="1"/>
  <c r="AN300" i="5" a="1"/>
  <c r="AN300" i="5" s="1"/>
  <c r="AN316" i="5" s="1"/>
  <c r="AN317" i="5" s="1"/>
  <c r="AN320" i="5" a="1"/>
  <c r="AN320" i="5" s="1"/>
  <c r="AN330" i="5" s="1"/>
  <c r="AN331" i="5" s="1"/>
  <c r="AN335" i="5" s="1" a="1"/>
  <c r="AN335" i="5" s="1"/>
  <c r="AN172" i="5" a="1"/>
  <c r="AN172" i="5" s="1"/>
  <c r="AN280" i="5"/>
  <c r="AN296" i="5" s="1"/>
  <c r="AN297" i="5" s="1"/>
  <c r="AN209" i="5"/>
  <c r="AN208" i="5"/>
  <c r="AO40" i="5" s="1"/>
  <c r="AW192" i="5"/>
  <c r="AV310" i="5" a="1"/>
  <c r="AV310" i="5" s="1"/>
  <c r="AV290" i="5"/>
  <c r="AX193" i="5" l="1"/>
  <c r="AW311" i="5" a="1"/>
  <c r="AW311" i="5" s="1"/>
  <c r="AW291" i="5"/>
  <c r="AN223" i="5"/>
  <c r="AN230" i="5"/>
  <c r="AP183" i="5"/>
  <c r="AO228" i="5"/>
  <c r="AO321" i="5" a="1"/>
  <c r="AO321" i="5" s="1"/>
  <c r="AO281" i="5"/>
  <c r="AO301" i="5" a="1"/>
  <c r="AO301" i="5" s="1"/>
  <c r="AO232" i="5"/>
  <c r="AO231" i="5" s="1"/>
  <c r="AO32" i="5"/>
  <c r="AO101" i="5"/>
  <c r="AN174" i="5"/>
  <c r="AN210" i="5"/>
  <c r="AN212" i="5" s="1"/>
  <c r="AN217" i="5" s="1"/>
  <c r="AN216" i="5" s="1"/>
  <c r="AN202" i="5"/>
  <c r="AN229" i="5"/>
  <c r="AN227" i="5" s="1"/>
  <c r="AN173" i="5"/>
  <c r="AT188" i="5"/>
  <c r="AS326" i="5" a="1"/>
  <c r="AS326" i="5" s="1"/>
  <c r="AS306" i="5" a="1"/>
  <c r="AS306" i="5" s="1"/>
  <c r="AS286" i="5"/>
  <c r="AO35" i="5" l="1"/>
  <c r="AP38" i="5"/>
  <c r="AU189" i="5"/>
  <c r="AT307" i="5" a="1"/>
  <c r="AT307" i="5" s="1"/>
  <c r="AT327" i="5" a="1"/>
  <c r="AT327" i="5" s="1"/>
  <c r="AT287" i="5"/>
  <c r="AN219" i="5"/>
  <c r="AN220" i="5" s="1"/>
  <c r="AQ184" i="5"/>
  <c r="AP282" i="5"/>
  <c r="AP302" i="5" a="1"/>
  <c r="AP302" i="5" s="1"/>
  <c r="AP322" i="5" a="1"/>
  <c r="AP322" i="5" s="1"/>
  <c r="AN237" i="5"/>
  <c r="AN248" i="5" s="1"/>
  <c r="AO34" i="5"/>
  <c r="AP25" i="5" s="1"/>
  <c r="AO33" i="5"/>
  <c r="AO27" i="5" s="1" a="1"/>
  <c r="AO27" i="5" s="1"/>
  <c r="AO28" i="5" s="1"/>
  <c r="AO211" i="5"/>
  <c r="AY194" i="5"/>
  <c r="AX292" i="5"/>
  <c r="AX312" i="5" a="1"/>
  <c r="AX312" i="5" s="1"/>
  <c r="AO171" i="5" l="1"/>
  <c r="AP23" i="5"/>
  <c r="AN239" i="5"/>
  <c r="AN247" i="5"/>
  <c r="AN246" i="5" s="1"/>
  <c r="AV190" i="5"/>
  <c r="AU288" i="5"/>
  <c r="AU328" i="5" a="1"/>
  <c r="AU328" i="5" s="1"/>
  <c r="AU308" i="5" a="1"/>
  <c r="AU308" i="5" s="1"/>
  <c r="AY313" i="5" a="1"/>
  <c r="AY313" i="5" s="1"/>
  <c r="AY293" i="5"/>
  <c r="AZ195" i="5"/>
  <c r="AR185" i="5"/>
  <c r="AQ323" i="5" a="1"/>
  <c r="AQ323" i="5" s="1"/>
  <c r="AQ283" i="5"/>
  <c r="AQ303" i="5" a="1"/>
  <c r="AQ303" i="5" s="1"/>
  <c r="AP30" i="5"/>
  <c r="AZ294" i="5" l="1"/>
  <c r="AZ314" i="5" a="1"/>
  <c r="AZ314" i="5" s="1"/>
  <c r="AN245" i="5"/>
  <c r="AN252" i="5" s="1"/>
  <c r="AN275" i="5" s="1"/>
  <c r="AN339" i="5" s="1"/>
  <c r="AN338" i="5" s="1"/>
  <c r="AW191" i="5"/>
  <c r="AV289" i="5"/>
  <c r="AV309" i="5" a="1"/>
  <c r="AV309" i="5" s="1"/>
  <c r="AS186" i="5"/>
  <c r="AR324" i="5" a="1"/>
  <c r="AR324" i="5" s="1"/>
  <c r="AR304" i="5" a="1"/>
  <c r="AR304" i="5" s="1"/>
  <c r="AR284" i="5"/>
  <c r="AR249" i="5"/>
  <c r="AO176" i="5"/>
  <c r="AO181" i="5"/>
  <c r="AO200" i="5"/>
  <c r="AO204" i="5" s="1"/>
  <c r="AX192" i="5" l="1"/>
  <c r="AW310" i="5" a="1"/>
  <c r="AW310" i="5" s="1"/>
  <c r="AW290" i="5"/>
  <c r="AP182" i="5"/>
  <c r="AO280" i="5"/>
  <c r="AO296" i="5" s="1"/>
  <c r="AO297" i="5" s="1"/>
  <c r="AO300" i="5" a="1"/>
  <c r="AO300" i="5" s="1"/>
  <c r="AO316" i="5" s="1"/>
  <c r="AO317" i="5" s="1"/>
  <c r="AO320" i="5" a="1"/>
  <c r="AO320" i="5" s="1"/>
  <c r="AO330" i="5" s="1"/>
  <c r="AO331" i="5" s="1"/>
  <c r="AO335" i="5" s="1" a="1"/>
  <c r="AO335" i="5" s="1"/>
  <c r="AO177" i="5"/>
  <c r="AO178" i="5" s="1"/>
  <c r="AO172" i="5" a="1"/>
  <c r="AO172" i="5" s="1"/>
  <c r="AO208" i="5"/>
  <c r="AP40" i="5" s="1"/>
  <c r="AT187" i="5"/>
  <c r="AS285" i="5"/>
  <c r="AS325" i="5" a="1"/>
  <c r="AS325" i="5" s="1"/>
  <c r="AS305" i="5" a="1"/>
  <c r="AS305" i="5" s="1"/>
  <c r="AP232" i="5" l="1"/>
  <c r="AP231" i="5" s="1"/>
  <c r="Q30" i="3" s="1"/>
  <c r="AP32" i="5"/>
  <c r="AP101" i="5"/>
  <c r="AO210" i="5"/>
  <c r="AO212" i="5" s="1"/>
  <c r="AO217" i="5" s="1"/>
  <c r="AO216" i="5" s="1"/>
  <c r="AO174" i="5"/>
  <c r="AP211" i="5" s="1"/>
  <c r="AO229" i="5"/>
  <c r="AO227" i="5" s="1"/>
  <c r="AO202" i="5"/>
  <c r="AO173" i="5"/>
  <c r="AQ183" i="5"/>
  <c r="AP281" i="5"/>
  <c r="AP228" i="5"/>
  <c r="AP301" i="5" a="1"/>
  <c r="AP301" i="5" s="1"/>
  <c r="AP321" i="5" a="1"/>
  <c r="AP321" i="5" s="1"/>
  <c r="AO209" i="5"/>
  <c r="AY193" i="5"/>
  <c r="AX291" i="5"/>
  <c r="AX311" i="5" a="1"/>
  <c r="AX311" i="5" s="1"/>
  <c r="AU188" i="5"/>
  <c r="AT326" i="5" a="1"/>
  <c r="AT326" i="5" s="1"/>
  <c r="AT306" i="5" a="1"/>
  <c r="AT306" i="5" s="1"/>
  <c r="AT286" i="5"/>
  <c r="AO219" i="5" l="1"/>
  <c r="AO220" i="5" s="1"/>
  <c r="AP35" i="5"/>
  <c r="AQ38" i="5"/>
  <c r="AZ194" i="5"/>
  <c r="AY312" i="5" a="1"/>
  <c r="AY312" i="5" s="1"/>
  <c r="AY292" i="5"/>
  <c r="AR184" i="5"/>
  <c r="AQ282" i="5"/>
  <c r="AQ302" i="5" a="1"/>
  <c r="AQ302" i="5" s="1"/>
  <c r="AQ322" i="5" a="1"/>
  <c r="AQ322" i="5" s="1"/>
  <c r="AP33" i="5"/>
  <c r="AP27" i="5" s="1" a="1"/>
  <c r="AP27" i="5" s="1"/>
  <c r="AP28" i="5" s="1"/>
  <c r="AV189" i="5"/>
  <c r="AU327" i="5" a="1"/>
  <c r="AU327" i="5" s="1"/>
  <c r="AU287" i="5"/>
  <c r="AU307" i="5" a="1"/>
  <c r="AU307" i="5" s="1"/>
  <c r="AO223" i="5"/>
  <c r="AO237" i="5" s="1"/>
  <c r="AO248" i="5" s="1"/>
  <c r="AO230" i="5"/>
  <c r="AP171" i="5" l="1"/>
  <c r="AQ23" i="5"/>
  <c r="AQ30" i="5"/>
  <c r="AZ313" i="5" a="1"/>
  <c r="AZ313" i="5" s="1"/>
  <c r="AZ293" i="5"/>
  <c r="BA195" i="5"/>
  <c r="AP34" i="5"/>
  <c r="AQ25" i="5" s="1"/>
  <c r="AW190" i="5"/>
  <c r="AV328" i="5" a="1"/>
  <c r="AV328" i="5" s="1"/>
  <c r="AV308" i="5" a="1"/>
  <c r="AV308" i="5" s="1"/>
  <c r="AV288" i="5"/>
  <c r="AS185" i="5"/>
  <c r="AR283" i="5"/>
  <c r="AR323" i="5" a="1"/>
  <c r="AR323" i="5" s="1"/>
  <c r="AR303" i="5" a="1"/>
  <c r="AR303" i="5" s="1"/>
  <c r="AO239" i="5"/>
  <c r="AO247" i="5"/>
  <c r="AO246" i="5" s="1"/>
  <c r="AT186" i="5" l="1"/>
  <c r="AS304" i="5" a="1"/>
  <c r="AS304" i="5" s="1"/>
  <c r="AS324" i="5" a="1"/>
  <c r="AS324" i="5" s="1"/>
  <c r="AS284" i="5"/>
  <c r="AS249" i="5"/>
  <c r="BA314" i="5" a="1"/>
  <c r="BA314" i="5" s="1"/>
  <c r="BA294" i="5"/>
  <c r="AO339" i="5"/>
  <c r="AO338" i="5" s="1"/>
  <c r="AO245" i="5"/>
  <c r="AO252" i="5" s="1"/>
  <c r="AO275" i="5" s="1"/>
  <c r="AX191" i="5"/>
  <c r="AW289" i="5"/>
  <c r="AW309" i="5" a="1"/>
  <c r="AW309" i="5" s="1"/>
  <c r="AP176" i="5"/>
  <c r="AP181" i="5"/>
  <c r="AP200" i="5"/>
  <c r="AP204" i="5" s="1"/>
  <c r="AY192" i="5" l="1"/>
  <c r="AX290" i="5"/>
  <c r="AX310" i="5" a="1"/>
  <c r="AX310" i="5" s="1"/>
  <c r="AP178" i="5"/>
  <c r="AQ182" i="5"/>
  <c r="AP172" i="5" a="1"/>
  <c r="AP172" i="5" s="1"/>
  <c r="AP280" i="5"/>
  <c r="AP296" i="5" s="1"/>
  <c r="AP297" i="5" s="1"/>
  <c r="AP320" i="5" a="1"/>
  <c r="AP320" i="5" s="1"/>
  <c r="AP330" i="5" s="1"/>
  <c r="AP331" i="5" s="1"/>
  <c r="AP335" i="5" s="1" a="1"/>
  <c r="AP335" i="5" s="1"/>
  <c r="Q34" i="3" s="1"/>
  <c r="AP300" i="5" a="1"/>
  <c r="AP300" i="5" s="1"/>
  <c r="AP316" i="5" s="1"/>
  <c r="AP317" i="5" s="1"/>
  <c r="AP177" i="5"/>
  <c r="AP208" i="5"/>
  <c r="AQ40" i="5" s="1"/>
  <c r="AU187" i="5"/>
  <c r="AT325" i="5" a="1"/>
  <c r="AT325" i="5" s="1"/>
  <c r="AT285" i="5"/>
  <c r="AT305" i="5" a="1"/>
  <c r="AT305" i="5" s="1"/>
  <c r="Q72" i="3" l="1"/>
  <c r="AR183" i="5"/>
  <c r="AQ301" i="5" a="1"/>
  <c r="AQ301" i="5" s="1"/>
  <c r="AQ321" i="5" a="1"/>
  <c r="AQ321" i="5" s="1"/>
  <c r="AQ281" i="5"/>
  <c r="AQ228" i="5"/>
  <c r="AV188" i="5"/>
  <c r="AU326" i="5" a="1"/>
  <c r="AU326" i="5" s="1"/>
  <c r="AU286" i="5"/>
  <c r="AU306" i="5" a="1"/>
  <c r="AU306" i="5" s="1"/>
  <c r="AP174" i="5"/>
  <c r="AQ211" i="5" s="1"/>
  <c r="AP210" i="5"/>
  <c r="AP212" i="5" s="1"/>
  <c r="AP217" i="5" s="1"/>
  <c r="AP216" i="5" s="1"/>
  <c r="Q20" i="3" s="1"/>
  <c r="AP229" i="5"/>
  <c r="AP227" i="5" s="1"/>
  <c r="Q28" i="3" s="1"/>
  <c r="AP202" i="5"/>
  <c r="AP173" i="5"/>
  <c r="AQ232" i="5"/>
  <c r="AQ231" i="5" s="1"/>
  <c r="AQ32" i="5"/>
  <c r="AQ101" i="5"/>
  <c r="AP209" i="5"/>
  <c r="AZ193" i="5"/>
  <c r="AY311" i="5" a="1"/>
  <c r="AY311" i="5" s="1"/>
  <c r="AY291" i="5"/>
  <c r="BA194" i="5" l="1"/>
  <c r="AZ312" i="5" a="1"/>
  <c r="AZ312" i="5" s="1"/>
  <c r="AZ292" i="5"/>
  <c r="AQ35" i="5"/>
  <c r="AR38" i="5"/>
  <c r="AS184" i="5"/>
  <c r="AR322" i="5" a="1"/>
  <c r="AR322" i="5" s="1"/>
  <c r="AR282" i="5"/>
  <c r="AR302" i="5" a="1"/>
  <c r="AR302" i="5" s="1"/>
  <c r="AP223" i="5"/>
  <c r="AP230" i="5"/>
  <c r="Q29" i="3" s="1"/>
  <c r="AQ33" i="5"/>
  <c r="AQ34" i="5" s="1"/>
  <c r="AR25" i="5" s="1"/>
  <c r="AQ27" i="5" a="1"/>
  <c r="AQ27" i="5" s="1"/>
  <c r="AQ28" i="5" s="1"/>
  <c r="AP219" i="5"/>
  <c r="Q17" i="3"/>
  <c r="Q68" i="3" s="1"/>
  <c r="AW189" i="5"/>
  <c r="AV287" i="5"/>
  <c r="AV307" i="5" a="1"/>
  <c r="AV307" i="5" s="1"/>
  <c r="AV327" i="5" a="1"/>
  <c r="AV327" i="5" s="1"/>
  <c r="AR30" i="5" l="1"/>
  <c r="AX190" i="5"/>
  <c r="AW328" i="5" a="1"/>
  <c r="AW328" i="5" s="1"/>
  <c r="AW308" i="5" a="1"/>
  <c r="AW308" i="5" s="1"/>
  <c r="AW288" i="5"/>
  <c r="AQ171" i="5"/>
  <c r="AR23" i="5"/>
  <c r="AT185" i="5"/>
  <c r="AS303" i="5" a="1"/>
  <c r="AS303" i="5" s="1"/>
  <c r="AS323" i="5" a="1"/>
  <c r="AS323" i="5" s="1"/>
  <c r="AS283" i="5"/>
  <c r="AP237" i="5"/>
  <c r="AP248" i="5" s="1"/>
  <c r="Q24" i="3"/>
  <c r="Q22" i="3" s="1"/>
  <c r="AP220" i="5"/>
  <c r="Q21" i="3"/>
  <c r="Q19" i="3" s="1"/>
  <c r="BA313" i="5" a="1"/>
  <c r="BA313" i="5" s="1"/>
  <c r="BA293" i="5"/>
  <c r="BB195" i="5"/>
  <c r="AP239" i="5" l="1"/>
  <c r="AP247" i="5"/>
  <c r="AP246" i="5" s="1"/>
  <c r="Q39" i="3" s="1"/>
  <c r="Q18" i="3"/>
  <c r="AQ176" i="5"/>
  <c r="AQ181" i="5"/>
  <c r="AQ200" i="5"/>
  <c r="AQ204" i="5" s="1"/>
  <c r="BB314" i="5" a="1"/>
  <c r="BB314" i="5" s="1"/>
  <c r="BB294" i="5"/>
  <c r="AY191" i="5"/>
  <c r="AX309" i="5" a="1"/>
  <c r="AX309" i="5" s="1"/>
  <c r="AX289" i="5"/>
  <c r="AU186" i="5"/>
  <c r="AT249" i="5"/>
  <c r="AT304" i="5" a="1"/>
  <c r="AT304" i="5" s="1"/>
  <c r="AT284" i="5"/>
  <c r="AT324" i="5" a="1"/>
  <c r="AT324" i="5" s="1"/>
  <c r="AV187" i="5" l="1"/>
  <c r="AU285" i="5"/>
  <c r="AU325" i="5" a="1"/>
  <c r="AU325" i="5" s="1"/>
  <c r="AU305" i="5" a="1"/>
  <c r="AU305" i="5" s="1"/>
  <c r="AR182" i="5"/>
  <c r="AQ209" i="5"/>
  <c r="AQ320" i="5" a="1"/>
  <c r="AQ320" i="5" s="1"/>
  <c r="AQ330" i="5" s="1"/>
  <c r="AQ331" i="5" s="1"/>
  <c r="AQ335" i="5" s="1" a="1"/>
  <c r="AQ335" i="5" s="1"/>
  <c r="AQ177" i="5"/>
  <c r="AQ280" i="5"/>
  <c r="AQ296" i="5" s="1"/>
  <c r="AQ297" i="5" s="1"/>
  <c r="AQ172" i="5" a="1"/>
  <c r="AQ172" i="5" s="1"/>
  <c r="AQ300" i="5" a="1"/>
  <c r="AQ300" i="5" s="1"/>
  <c r="AQ316" i="5" s="1"/>
  <c r="AQ317" i="5" s="1"/>
  <c r="AQ208" i="5"/>
  <c r="AR40" i="5" s="1"/>
  <c r="AQ178" i="5"/>
  <c r="AZ192" i="5"/>
  <c r="AY310" i="5" a="1"/>
  <c r="AY310" i="5" s="1"/>
  <c r="AY290" i="5"/>
  <c r="Q69" i="3"/>
  <c r="AP245" i="5"/>
  <c r="AP252" i="5" l="1"/>
  <c r="AP275" i="5" s="1"/>
  <c r="AP339" i="5" s="1"/>
  <c r="AP338" i="5" s="1"/>
  <c r="Q38" i="3"/>
  <c r="Q36" i="3" s="1"/>
  <c r="Q35" i="3" s="1"/>
  <c r="AR232" i="5"/>
  <c r="AR231" i="5" s="1"/>
  <c r="AR32" i="5"/>
  <c r="AR101" i="5"/>
  <c r="BA193" i="5"/>
  <c r="AZ311" i="5" a="1"/>
  <c r="AZ311" i="5" s="1"/>
  <c r="AZ291" i="5"/>
  <c r="AQ174" i="5"/>
  <c r="AQ210" i="5"/>
  <c r="AQ212" i="5" s="1"/>
  <c r="AQ217" i="5" s="1"/>
  <c r="AQ216" i="5" s="1"/>
  <c r="AQ229" i="5"/>
  <c r="AQ227" i="5" s="1"/>
  <c r="AQ202" i="5"/>
  <c r="AQ173" i="5"/>
  <c r="AQ223" i="5"/>
  <c r="AQ222" i="5"/>
  <c r="AQ230" i="5"/>
  <c r="AS183" i="5"/>
  <c r="AR321" i="5" a="1"/>
  <c r="AR321" i="5" s="1"/>
  <c r="AR301" i="5" a="1"/>
  <c r="AR301" i="5" s="1"/>
  <c r="AR228" i="5"/>
  <c r="AR281" i="5"/>
  <c r="AW188" i="5"/>
  <c r="AV326" i="5" a="1"/>
  <c r="AV326" i="5" s="1"/>
  <c r="AV306" i="5" a="1"/>
  <c r="AV306" i="5" s="1"/>
  <c r="AV286" i="5"/>
  <c r="AR33" i="5" l="1"/>
  <c r="AR34" i="5"/>
  <c r="AS25" i="5" s="1"/>
  <c r="AR35" i="5"/>
  <c r="AS38" i="5"/>
  <c r="AQ219" i="5"/>
  <c r="AR27" i="5" a="1"/>
  <c r="AR27" i="5" s="1"/>
  <c r="AR28" i="5" s="1"/>
  <c r="AX189" i="5"/>
  <c r="AW287" i="5"/>
  <c r="AW327" i="5" a="1"/>
  <c r="AW327" i="5" s="1"/>
  <c r="AW307" i="5" a="1"/>
  <c r="AW307" i="5" s="1"/>
  <c r="AT184" i="5"/>
  <c r="AS322" i="5" a="1"/>
  <c r="AS322" i="5" s="1"/>
  <c r="AS282" i="5"/>
  <c r="AS302" i="5" a="1"/>
  <c r="AS302" i="5" s="1"/>
  <c r="Q71" i="3"/>
  <c r="Q73" i="3" s="1"/>
  <c r="Q75" i="3" s="1"/>
  <c r="Q51" i="3"/>
  <c r="Q50" i="3"/>
  <c r="AR211" i="5"/>
  <c r="BB194" i="5"/>
  <c r="BA312" i="5" a="1"/>
  <c r="BA312" i="5" s="1"/>
  <c r="BA292" i="5"/>
  <c r="AQ237" i="5"/>
  <c r="AQ248" i="5" s="1"/>
  <c r="R23" i="3"/>
  <c r="AQ220" i="5" l="1"/>
  <c r="AU185" i="5"/>
  <c r="AT303" i="5" a="1"/>
  <c r="AT303" i="5" s="1"/>
  <c r="AT323" i="5" a="1"/>
  <c r="AT323" i="5" s="1"/>
  <c r="AT283" i="5"/>
  <c r="AS30" i="5"/>
  <c r="AY190" i="5"/>
  <c r="AX308" i="5" a="1"/>
  <c r="AX308" i="5" s="1"/>
  <c r="AX288" i="5"/>
  <c r="AX328" i="5" a="1"/>
  <c r="AX328" i="5" s="1"/>
  <c r="BB293" i="5"/>
  <c r="BB313" i="5" a="1"/>
  <c r="BB313" i="5" s="1"/>
  <c r="BC195" i="5"/>
  <c r="AR171" i="5"/>
  <c r="AS23" i="5"/>
  <c r="AV186" i="5" l="1"/>
  <c r="AU304" i="5" a="1"/>
  <c r="AU304" i="5" s="1"/>
  <c r="AU249" i="5"/>
  <c r="AU324" i="5" a="1"/>
  <c r="AU324" i="5" s="1"/>
  <c r="AU284" i="5"/>
  <c r="AR176" i="5"/>
  <c r="AR181" i="5"/>
  <c r="AR200" i="5"/>
  <c r="AR204" i="5" s="1"/>
  <c r="AQ239" i="5"/>
  <c r="AQ247" i="5"/>
  <c r="AQ246" i="5" s="1"/>
  <c r="AZ191" i="5"/>
  <c r="AY309" i="5" a="1"/>
  <c r="AY309" i="5" s="1"/>
  <c r="AY289" i="5"/>
  <c r="BC314" i="5" a="1"/>
  <c r="BC314" i="5" s="1"/>
  <c r="BC294" i="5"/>
  <c r="AQ245" i="5" l="1"/>
  <c r="BA192" i="5"/>
  <c r="AZ310" i="5" a="1"/>
  <c r="AZ310" i="5" s="1"/>
  <c r="AZ290" i="5"/>
  <c r="AS182" i="5"/>
  <c r="AR177" i="5"/>
  <c r="AR178" i="5" s="1"/>
  <c r="AR320" i="5" a="1"/>
  <c r="AR320" i="5" s="1"/>
  <c r="AR330" i="5" s="1"/>
  <c r="AR331" i="5" s="1"/>
  <c r="AR335" i="5" s="1" a="1"/>
  <c r="AR335" i="5" s="1"/>
  <c r="AR300" i="5" a="1"/>
  <c r="AR300" i="5" s="1"/>
  <c r="AR316" i="5" s="1"/>
  <c r="AR317" i="5" s="1"/>
  <c r="AR172" i="5" a="1"/>
  <c r="AR172" i="5" s="1"/>
  <c r="AR209" i="5"/>
  <c r="AR280" i="5"/>
  <c r="AR296" i="5" s="1"/>
  <c r="AR297" i="5" s="1"/>
  <c r="AR208" i="5"/>
  <c r="AS40" i="5" s="1"/>
  <c r="AW187" i="5"/>
  <c r="AV325" i="5" a="1"/>
  <c r="AV325" i="5" s="1"/>
  <c r="AV285" i="5"/>
  <c r="AV305" i="5" a="1"/>
  <c r="AV305" i="5" s="1"/>
  <c r="AX188" i="5" l="1"/>
  <c r="AW326" i="5" a="1"/>
  <c r="AW326" i="5" s="1"/>
  <c r="AW306" i="5" a="1"/>
  <c r="AW306" i="5" s="1"/>
  <c r="AW286" i="5"/>
  <c r="AS232" i="5"/>
  <c r="AS231" i="5" s="1"/>
  <c r="AS32" i="5"/>
  <c r="AS101" i="5"/>
  <c r="AR223" i="5"/>
  <c r="AR230" i="5"/>
  <c r="AT183" i="5"/>
  <c r="AS281" i="5"/>
  <c r="AS301" i="5" a="1"/>
  <c r="AS301" i="5" s="1"/>
  <c r="AS321" i="5" a="1"/>
  <c r="AS321" i="5" s="1"/>
  <c r="AS228" i="5"/>
  <c r="AR210" i="5"/>
  <c r="AR212" i="5" s="1"/>
  <c r="AR217" i="5" s="1"/>
  <c r="AR216" i="5" s="1"/>
  <c r="AR174" i="5"/>
  <c r="AR229" i="5"/>
  <c r="AR227" i="5" s="1"/>
  <c r="AR202" i="5"/>
  <c r="AR173" i="5"/>
  <c r="AQ252" i="5"/>
  <c r="AQ275" i="5" s="1"/>
  <c r="AQ339" i="5" s="1"/>
  <c r="AQ338" i="5" s="1"/>
  <c r="BB193" i="5"/>
  <c r="BA291" i="5"/>
  <c r="BA311" i="5" a="1"/>
  <c r="BA311" i="5" s="1"/>
  <c r="AS33" i="5" l="1"/>
  <c r="AS34" i="5"/>
  <c r="AT25" i="5" s="1"/>
  <c r="AR237" i="5"/>
  <c r="AR248" i="5" s="1"/>
  <c r="AS35" i="5"/>
  <c r="AT38" i="5"/>
  <c r="AS27" i="5" a="1"/>
  <c r="AS27" i="5" s="1"/>
  <c r="AS28" i="5" s="1"/>
  <c r="AR219" i="5"/>
  <c r="AS211" i="5"/>
  <c r="AU184" i="5"/>
  <c r="AT322" i="5" a="1"/>
  <c r="AT322" i="5" s="1"/>
  <c r="AT282" i="5"/>
  <c r="AT302" i="5" a="1"/>
  <c r="AT302" i="5" s="1"/>
  <c r="BC194" i="5"/>
  <c r="BB312" i="5" a="1"/>
  <c r="BB312" i="5" s="1"/>
  <c r="BB292" i="5"/>
  <c r="AY189" i="5"/>
  <c r="AX327" i="5" a="1"/>
  <c r="AX327" i="5" s="1"/>
  <c r="AX307" i="5" a="1"/>
  <c r="AX307" i="5" s="1"/>
  <c r="AX287" i="5"/>
  <c r="AT30" i="5" l="1"/>
  <c r="AR220" i="5"/>
  <c r="AZ190" i="5"/>
  <c r="AY328" i="5" a="1"/>
  <c r="AY328" i="5" s="1"/>
  <c r="AY288" i="5"/>
  <c r="AY308" i="5" a="1"/>
  <c r="AY308" i="5" s="1"/>
  <c r="BC313" i="5" a="1"/>
  <c r="BC313" i="5" s="1"/>
  <c r="BC293" i="5"/>
  <c r="BD195" i="5"/>
  <c r="AS171" i="5"/>
  <c r="AT23" i="5"/>
  <c r="AV185" i="5"/>
  <c r="AU303" i="5" a="1"/>
  <c r="AU303" i="5" s="1"/>
  <c r="AU323" i="5" a="1"/>
  <c r="AU323" i="5" s="1"/>
  <c r="AU283" i="5"/>
  <c r="AS176" i="5" l="1"/>
  <c r="AS181" i="5"/>
  <c r="AS200" i="5"/>
  <c r="AS204" i="5" s="1"/>
  <c r="AW186" i="5"/>
  <c r="AV304" i="5" a="1"/>
  <c r="AV304" i="5" s="1"/>
  <c r="AV324" i="5" a="1"/>
  <c r="AV324" i="5" s="1"/>
  <c r="AV249" i="5"/>
  <c r="AV284" i="5"/>
  <c r="AR239" i="5"/>
  <c r="AR247" i="5"/>
  <c r="AR246" i="5" s="1"/>
  <c r="BA191" i="5"/>
  <c r="AZ289" i="5"/>
  <c r="AZ309" i="5" a="1"/>
  <c r="AZ309" i="5" s="1"/>
  <c r="BD314" i="5" a="1"/>
  <c r="BD314" i="5" s="1"/>
  <c r="BD294" i="5"/>
  <c r="AT182" i="5" l="1"/>
  <c r="AS172" i="5" a="1"/>
  <c r="AS172" i="5" s="1"/>
  <c r="AS320" i="5" a="1"/>
  <c r="AS320" i="5" s="1"/>
  <c r="AS330" i="5" s="1"/>
  <c r="AS331" i="5" s="1"/>
  <c r="AS335" i="5" s="1" a="1"/>
  <c r="AS335" i="5" s="1"/>
  <c r="AS209" i="5"/>
  <c r="AS280" i="5"/>
  <c r="AS296" i="5" s="1"/>
  <c r="AS297" i="5" s="1"/>
  <c r="AS300" i="5" a="1"/>
  <c r="AS300" i="5" s="1"/>
  <c r="AS316" i="5" s="1"/>
  <c r="AS317" i="5" s="1"/>
  <c r="AS177" i="5"/>
  <c r="AS178" i="5" s="1"/>
  <c r="AS208" i="5"/>
  <c r="AT40" i="5" s="1"/>
  <c r="AR245" i="5"/>
  <c r="AX187" i="5"/>
  <c r="AW285" i="5"/>
  <c r="AW305" i="5" a="1"/>
  <c r="AW305" i="5" s="1"/>
  <c r="AW325" i="5" a="1"/>
  <c r="AW325" i="5" s="1"/>
  <c r="BB192" i="5"/>
  <c r="BA310" i="5" a="1"/>
  <c r="BA310" i="5" s="1"/>
  <c r="BA290" i="5"/>
  <c r="AT232" i="5" l="1"/>
  <c r="AT231" i="5" s="1"/>
  <c r="AT32" i="5"/>
  <c r="AT101" i="5"/>
  <c r="AY188" i="5"/>
  <c r="AX286" i="5"/>
  <c r="AX306" i="5" a="1"/>
  <c r="AX306" i="5" s="1"/>
  <c r="AX326" i="5" a="1"/>
  <c r="AX326" i="5" s="1"/>
  <c r="AS223" i="5"/>
  <c r="AS230" i="5"/>
  <c r="BC193" i="5"/>
  <c r="BB291" i="5"/>
  <c r="BB311" i="5" a="1"/>
  <c r="BB311" i="5" s="1"/>
  <c r="AR252" i="5"/>
  <c r="AR275" i="5" s="1"/>
  <c r="AR339" i="5" s="1"/>
  <c r="AR338" i="5" s="1"/>
  <c r="AS210" i="5"/>
  <c r="AS212" i="5" s="1"/>
  <c r="AS217" i="5" s="1"/>
  <c r="AS216" i="5" s="1"/>
  <c r="AS174" i="5"/>
  <c r="AS202" i="5"/>
  <c r="AS229" i="5"/>
  <c r="AS227" i="5" s="1"/>
  <c r="AS173" i="5"/>
  <c r="AU183" i="5"/>
  <c r="AT281" i="5"/>
  <c r="AT228" i="5"/>
  <c r="AT321" i="5" a="1"/>
  <c r="AT321" i="5" s="1"/>
  <c r="AT301" i="5" a="1"/>
  <c r="AT301" i="5" s="1"/>
  <c r="AS237" i="5" l="1"/>
  <c r="AS248" i="5" s="1"/>
  <c r="AS219" i="5"/>
  <c r="AT27" i="5" a="1"/>
  <c r="AT27" i="5" s="1"/>
  <c r="AT28" i="5" s="1"/>
  <c r="BD194" i="5"/>
  <c r="BC312" i="5" a="1"/>
  <c r="BC312" i="5" s="1"/>
  <c r="BC292" i="5"/>
  <c r="AT35" i="5"/>
  <c r="AU38" i="5"/>
  <c r="AV184" i="5"/>
  <c r="AU302" i="5" a="1"/>
  <c r="AU302" i="5" s="1"/>
  <c r="AU282" i="5"/>
  <c r="AU322" i="5" a="1"/>
  <c r="AU322" i="5" s="1"/>
  <c r="AT33" i="5"/>
  <c r="AT34" i="5" s="1"/>
  <c r="AU25" i="5" s="1"/>
  <c r="AZ189" i="5"/>
  <c r="AY287" i="5"/>
  <c r="AY327" i="5" a="1"/>
  <c r="AY327" i="5" s="1"/>
  <c r="AY307" i="5" a="1"/>
  <c r="AY307" i="5" s="1"/>
  <c r="AT211" i="5"/>
  <c r="AT171" i="5" l="1"/>
  <c r="AU23" i="5"/>
  <c r="BD293" i="5"/>
  <c r="BD313" i="5" a="1"/>
  <c r="BD313" i="5" s="1"/>
  <c r="BE195" i="5"/>
  <c r="AS220" i="5"/>
  <c r="AU30" i="5"/>
  <c r="AW185" i="5"/>
  <c r="AV323" i="5" a="1"/>
  <c r="AV323" i="5" s="1"/>
  <c r="AV283" i="5"/>
  <c r="AV303" i="5" a="1"/>
  <c r="AV303" i="5" s="1"/>
  <c r="BA190" i="5"/>
  <c r="AZ328" i="5" a="1"/>
  <c r="AZ328" i="5" s="1"/>
  <c r="AZ288" i="5"/>
  <c r="AZ308" i="5" a="1"/>
  <c r="AZ308" i="5" s="1"/>
  <c r="BB191" i="5" l="1"/>
  <c r="BA289" i="5"/>
  <c r="BA309" i="5" a="1"/>
  <c r="BA309" i="5" s="1"/>
  <c r="AS239" i="5"/>
  <c r="AS247" i="5"/>
  <c r="AS246" i="5" s="1"/>
  <c r="BE294" i="5"/>
  <c r="BE314" i="5" a="1"/>
  <c r="BE314" i="5" s="1"/>
  <c r="AX186" i="5"/>
  <c r="AW324" i="5" a="1"/>
  <c r="AW324" i="5" s="1"/>
  <c r="AW249" i="5"/>
  <c r="AW284" i="5"/>
  <c r="AW304" i="5" a="1"/>
  <c r="AW304" i="5" s="1"/>
  <c r="AT176" i="5"/>
  <c r="AT181" i="5"/>
  <c r="AT200" i="5"/>
  <c r="AT204" i="5" s="1"/>
  <c r="AS245" i="5" l="1"/>
  <c r="AU182" i="5"/>
  <c r="AT300" i="5" a="1"/>
  <c r="AT300" i="5" s="1"/>
  <c r="AT316" i="5" s="1"/>
  <c r="AT317" i="5" s="1"/>
  <c r="AT320" i="5" a="1"/>
  <c r="AT320" i="5" s="1"/>
  <c r="AT330" i="5" s="1"/>
  <c r="AT331" i="5" s="1"/>
  <c r="AT335" i="5" s="1" a="1"/>
  <c r="AT335" i="5" s="1"/>
  <c r="AT280" i="5"/>
  <c r="AT296" i="5" s="1"/>
  <c r="AT297" i="5" s="1"/>
  <c r="AT177" i="5"/>
  <c r="AT178" i="5" s="1"/>
  <c r="AT172" i="5" a="1"/>
  <c r="AT172" i="5" s="1"/>
  <c r="AT208" i="5"/>
  <c r="AU40" i="5" s="1"/>
  <c r="AY187" i="5"/>
  <c r="AX325" i="5" a="1"/>
  <c r="AX325" i="5" s="1"/>
  <c r="AX305" i="5" a="1"/>
  <c r="AX305" i="5" s="1"/>
  <c r="AX285" i="5"/>
  <c r="BC192" i="5"/>
  <c r="BB290" i="5"/>
  <c r="BB310" i="5" a="1"/>
  <c r="BB310" i="5" s="1"/>
  <c r="AZ188" i="5" l="1"/>
  <c r="AY286" i="5"/>
  <c r="AY326" i="5" a="1"/>
  <c r="AY326" i="5" s="1"/>
  <c r="AY306" i="5" a="1"/>
  <c r="AY306" i="5" s="1"/>
  <c r="AV183" i="5"/>
  <c r="AU321" i="5" a="1"/>
  <c r="AU321" i="5" s="1"/>
  <c r="AU301" i="5" a="1"/>
  <c r="AU301" i="5" s="1"/>
  <c r="AU281" i="5"/>
  <c r="AU228" i="5"/>
  <c r="AU232" i="5"/>
  <c r="AU231" i="5" s="1"/>
  <c r="AU32" i="5"/>
  <c r="AU101" i="5"/>
  <c r="AS252" i="5"/>
  <c r="AS275" i="5" s="1"/>
  <c r="AS339" i="5" s="1"/>
  <c r="AS338" i="5" s="1"/>
  <c r="AT210" i="5"/>
  <c r="AT212" i="5" s="1"/>
  <c r="AT217" i="5" s="1"/>
  <c r="AT216" i="5" s="1"/>
  <c r="AT174" i="5"/>
  <c r="AT202" i="5"/>
  <c r="AT229" i="5"/>
  <c r="AT227" i="5" s="1"/>
  <c r="AT173" i="5"/>
  <c r="BD193" i="5"/>
  <c r="BC311" i="5" a="1"/>
  <c r="BC311" i="5" s="1"/>
  <c r="BC291" i="5"/>
  <c r="AT209" i="5"/>
  <c r="AT219" i="5" l="1"/>
  <c r="AU211" i="5"/>
  <c r="AU33" i="5"/>
  <c r="AU27" i="5" s="1" a="1"/>
  <c r="AU27" i="5" s="1"/>
  <c r="AU28" i="5" s="1"/>
  <c r="AT223" i="5"/>
  <c r="AT230" i="5"/>
  <c r="BE194" i="5"/>
  <c r="BD292" i="5"/>
  <c r="BD312" i="5" a="1"/>
  <c r="BD312" i="5" s="1"/>
  <c r="AU35" i="5"/>
  <c r="AV38" i="5"/>
  <c r="AW184" i="5"/>
  <c r="AV282" i="5"/>
  <c r="AV322" i="5" a="1"/>
  <c r="AV322" i="5" s="1"/>
  <c r="AV302" i="5" a="1"/>
  <c r="AV302" i="5" s="1"/>
  <c r="BA189" i="5"/>
  <c r="AZ327" i="5" a="1"/>
  <c r="AZ327" i="5" s="1"/>
  <c r="AZ307" i="5" a="1"/>
  <c r="AZ307" i="5" s="1"/>
  <c r="AZ287" i="5"/>
  <c r="AU171" i="5" l="1"/>
  <c r="AV23" i="5"/>
  <c r="AX185" i="5"/>
  <c r="AW303" i="5" a="1"/>
  <c r="AW303" i="5" s="1"/>
  <c r="AW323" i="5" a="1"/>
  <c r="AW323" i="5" s="1"/>
  <c r="AW283" i="5"/>
  <c r="AT237" i="5"/>
  <c r="AT248" i="5" s="1"/>
  <c r="AU34" i="5"/>
  <c r="AV25" i="5" s="1"/>
  <c r="AV30" i="5"/>
  <c r="BE293" i="5"/>
  <c r="BE313" i="5" a="1"/>
  <c r="BE313" i="5" s="1"/>
  <c r="BF195" i="5"/>
  <c r="AT220" i="5"/>
  <c r="BB190" i="5"/>
  <c r="BA328" i="5" a="1"/>
  <c r="BA328" i="5" s="1"/>
  <c r="BA288" i="5"/>
  <c r="BA308" i="5" a="1"/>
  <c r="BA308" i="5" s="1"/>
  <c r="BF314" i="5" l="1" a="1"/>
  <c r="BF314" i="5" s="1"/>
  <c r="BF294" i="5"/>
  <c r="BC191" i="5"/>
  <c r="BB289" i="5"/>
  <c r="BB309" i="5" a="1"/>
  <c r="BB309" i="5" s="1"/>
  <c r="AY186" i="5"/>
  <c r="AX284" i="5"/>
  <c r="AX324" i="5" a="1"/>
  <c r="AX324" i="5" s="1"/>
  <c r="AX249" i="5"/>
  <c r="AX304" i="5" a="1"/>
  <c r="AX304" i="5" s="1"/>
  <c r="AT239" i="5"/>
  <c r="AT247" i="5"/>
  <c r="AT246" i="5" s="1"/>
  <c r="AU176" i="5"/>
  <c r="AU181" i="5"/>
  <c r="AU200" i="5"/>
  <c r="AU204" i="5" s="1"/>
  <c r="AZ187" i="5" l="1"/>
  <c r="AY305" i="5" a="1"/>
  <c r="AY305" i="5" s="1"/>
  <c r="AY325" i="5" a="1"/>
  <c r="AY325" i="5" s="1"/>
  <c r="AY285" i="5"/>
  <c r="AT245" i="5"/>
  <c r="BD192" i="5"/>
  <c r="BC310" i="5" a="1"/>
  <c r="BC310" i="5" s="1"/>
  <c r="BC290" i="5"/>
  <c r="AV182" i="5"/>
  <c r="AU320" i="5" a="1"/>
  <c r="AU320" i="5" s="1"/>
  <c r="AU330" i="5" s="1"/>
  <c r="AU331" i="5" s="1"/>
  <c r="AU335" i="5" s="1" a="1"/>
  <c r="AU335" i="5" s="1"/>
  <c r="AU280" i="5"/>
  <c r="AU296" i="5" s="1"/>
  <c r="AU297" i="5" s="1"/>
  <c r="AU172" i="5" a="1"/>
  <c r="AU172" i="5" s="1"/>
  <c r="AU177" i="5"/>
  <c r="AU178" i="5" s="1"/>
  <c r="AU300" i="5" a="1"/>
  <c r="AU300" i="5" s="1"/>
  <c r="AU316" i="5" s="1"/>
  <c r="AU317" i="5" s="1"/>
  <c r="AU208" i="5"/>
  <c r="AV40" i="5" s="1"/>
  <c r="BE193" i="5" l="1"/>
  <c r="BD291" i="5"/>
  <c r="BD311" i="5" a="1"/>
  <c r="BD311" i="5" s="1"/>
  <c r="AU210" i="5"/>
  <c r="AU212" i="5" s="1"/>
  <c r="AU217" i="5" s="1"/>
  <c r="AU216" i="5" s="1"/>
  <c r="AU174" i="5"/>
  <c r="AV211" i="5" s="1"/>
  <c r="AU229" i="5"/>
  <c r="AU227" i="5" s="1"/>
  <c r="AU202" i="5"/>
  <c r="AU173" i="5"/>
  <c r="AT252" i="5"/>
  <c r="AT275" i="5" s="1"/>
  <c r="AT339" i="5" s="1"/>
  <c r="AT338" i="5" s="1"/>
  <c r="AW183" i="5"/>
  <c r="AV228" i="5"/>
  <c r="AV321" i="5" a="1"/>
  <c r="AV321" i="5" s="1"/>
  <c r="AV281" i="5"/>
  <c r="AV301" i="5" a="1"/>
  <c r="AV301" i="5" s="1"/>
  <c r="AV232" i="5"/>
  <c r="AV231" i="5" s="1"/>
  <c r="AV32" i="5"/>
  <c r="AV101" i="5"/>
  <c r="AU209" i="5"/>
  <c r="BA188" i="5"/>
  <c r="AZ286" i="5"/>
  <c r="AZ326" i="5" a="1"/>
  <c r="AZ326" i="5" s="1"/>
  <c r="AZ306" i="5" a="1"/>
  <c r="AZ306" i="5" s="1"/>
  <c r="AU219" i="5" l="1"/>
  <c r="BB189" i="5"/>
  <c r="BA307" i="5" a="1"/>
  <c r="BA307" i="5" s="1"/>
  <c r="BA327" i="5" a="1"/>
  <c r="BA327" i="5" s="1"/>
  <c r="BA287" i="5"/>
  <c r="AU223" i="5"/>
  <c r="AU230" i="5"/>
  <c r="AV35" i="5"/>
  <c r="AW38" i="5"/>
  <c r="AV33" i="5"/>
  <c r="AV27" i="5" s="1" a="1"/>
  <c r="AV27" i="5" s="1"/>
  <c r="AV28" i="5" s="1"/>
  <c r="AX184" i="5"/>
  <c r="AW282" i="5"/>
  <c r="AW322" i="5" a="1"/>
  <c r="AW322" i="5" s="1"/>
  <c r="AW302" i="5" a="1"/>
  <c r="AW302" i="5" s="1"/>
  <c r="BF194" i="5"/>
  <c r="BE292" i="5"/>
  <c r="BE312" i="5" a="1"/>
  <c r="BE312" i="5" s="1"/>
  <c r="AV171" i="5" l="1"/>
  <c r="AW23" i="5"/>
  <c r="AV34" i="5"/>
  <c r="AW25" i="5" s="1"/>
  <c r="BF293" i="5"/>
  <c r="BF313" i="5" a="1"/>
  <c r="BF313" i="5" s="1"/>
  <c r="BG195" i="5"/>
  <c r="AW30" i="5"/>
  <c r="BC190" i="5"/>
  <c r="BB328" i="5" a="1"/>
  <c r="BB328" i="5" s="1"/>
  <c r="BB308" i="5" a="1"/>
  <c r="BB308" i="5" s="1"/>
  <c r="BB288" i="5"/>
  <c r="AY185" i="5"/>
  <c r="AX283" i="5"/>
  <c r="AX323" i="5" a="1"/>
  <c r="AX323" i="5" s="1"/>
  <c r="AX303" i="5" a="1"/>
  <c r="AX303" i="5" s="1"/>
  <c r="AU237" i="5"/>
  <c r="AU248" i="5" s="1"/>
  <c r="AU220" i="5"/>
  <c r="AZ186" i="5" l="1"/>
  <c r="AY324" i="5" a="1"/>
  <c r="AY324" i="5" s="1"/>
  <c r="AY304" i="5" a="1"/>
  <c r="AY304" i="5" s="1"/>
  <c r="AY249" i="5"/>
  <c r="AY284" i="5"/>
  <c r="BG294" i="5"/>
  <c r="BG314" i="5" a="1"/>
  <c r="BG314" i="5" s="1"/>
  <c r="AU239" i="5"/>
  <c r="AU247" i="5"/>
  <c r="AU246" i="5" s="1"/>
  <c r="BD191" i="5"/>
  <c r="BC289" i="5"/>
  <c r="BC309" i="5" a="1"/>
  <c r="BC309" i="5" s="1"/>
  <c r="AV176" i="5"/>
  <c r="AV181" i="5"/>
  <c r="AV200" i="5"/>
  <c r="AV204" i="5" s="1"/>
  <c r="BE192" i="5" l="1"/>
  <c r="BD310" i="5" a="1"/>
  <c r="BD310" i="5" s="1"/>
  <c r="BD290" i="5"/>
  <c r="AW182" i="5"/>
  <c r="AV280" i="5"/>
  <c r="AV296" i="5" s="1"/>
  <c r="AV297" i="5" s="1"/>
  <c r="AV177" i="5"/>
  <c r="AV178" i="5" s="1"/>
  <c r="AV172" i="5" a="1"/>
  <c r="AV172" i="5" s="1"/>
  <c r="AV320" i="5" a="1"/>
  <c r="AV320" i="5" s="1"/>
  <c r="AV330" i="5" s="1"/>
  <c r="AV331" i="5" s="1"/>
  <c r="AV335" i="5" s="1" a="1"/>
  <c r="AV335" i="5" s="1"/>
  <c r="AV300" i="5" a="1"/>
  <c r="AV300" i="5" s="1"/>
  <c r="AV316" i="5" s="1"/>
  <c r="AV317" i="5" s="1"/>
  <c r="AV208" i="5"/>
  <c r="AW40" i="5" s="1"/>
  <c r="AU245" i="5"/>
  <c r="BA187" i="5"/>
  <c r="AZ285" i="5"/>
  <c r="AZ325" i="5" a="1"/>
  <c r="AZ325" i="5" s="1"/>
  <c r="AZ305" i="5" a="1"/>
  <c r="AZ305" i="5" s="1"/>
  <c r="AV210" i="5" l="1"/>
  <c r="AV212" i="5" s="1"/>
  <c r="AV217" i="5" s="1"/>
  <c r="AV216" i="5" s="1"/>
  <c r="AV174" i="5"/>
  <c r="AV229" i="5"/>
  <c r="AV227" i="5" s="1"/>
  <c r="AV202" i="5"/>
  <c r="AV173" i="5"/>
  <c r="BB188" i="5"/>
  <c r="BA286" i="5"/>
  <c r="BA306" i="5" a="1"/>
  <c r="BA306" i="5" s="1"/>
  <c r="BA326" i="5" a="1"/>
  <c r="BA326" i="5" s="1"/>
  <c r="AX183" i="5"/>
  <c r="AW228" i="5"/>
  <c r="AW281" i="5"/>
  <c r="AW321" i="5" a="1"/>
  <c r="AW321" i="5" s="1"/>
  <c r="AW301" i="5" a="1"/>
  <c r="AW301" i="5" s="1"/>
  <c r="AV209" i="5"/>
  <c r="AU252" i="5"/>
  <c r="AU275" i="5" s="1"/>
  <c r="AU339" i="5" s="1"/>
  <c r="AU338" i="5" s="1"/>
  <c r="AW232" i="5"/>
  <c r="AW231" i="5" s="1"/>
  <c r="AW32" i="5"/>
  <c r="AW101" i="5"/>
  <c r="BF193" i="5"/>
  <c r="BE311" i="5" a="1"/>
  <c r="BE311" i="5" s="1"/>
  <c r="BE291" i="5"/>
  <c r="BG194" i="5" l="1"/>
  <c r="BF312" i="5" a="1"/>
  <c r="BF312" i="5" s="1"/>
  <c r="BF292" i="5"/>
  <c r="BC189" i="5"/>
  <c r="BB307" i="5" a="1"/>
  <c r="BB307" i="5" s="1"/>
  <c r="BB327" i="5" a="1"/>
  <c r="BB327" i="5" s="1"/>
  <c r="BB287" i="5"/>
  <c r="AW35" i="5"/>
  <c r="AX38" i="5"/>
  <c r="AV219" i="5"/>
  <c r="AV220" i="5" s="1"/>
  <c r="AY184" i="5"/>
  <c r="AX322" i="5" a="1"/>
  <c r="AX322" i="5" s="1"/>
  <c r="AX282" i="5"/>
  <c r="AX302" i="5" a="1"/>
  <c r="AX302" i="5" s="1"/>
  <c r="AW211" i="5"/>
  <c r="AW33" i="5"/>
  <c r="AW27" i="5" s="1" a="1"/>
  <c r="AW27" i="5" s="1"/>
  <c r="AW28" i="5" s="1"/>
  <c r="AV223" i="5"/>
  <c r="AV230" i="5"/>
  <c r="AW171" i="5" l="1"/>
  <c r="AX23" i="5"/>
  <c r="AV247" i="5"/>
  <c r="AV237" i="5"/>
  <c r="AV248" i="5" s="1"/>
  <c r="BD190" i="5"/>
  <c r="BC308" i="5" a="1"/>
  <c r="BC308" i="5" s="1"/>
  <c r="BC328" i="5" a="1"/>
  <c r="BC328" i="5" s="1"/>
  <c r="BC288" i="5"/>
  <c r="AW34" i="5"/>
  <c r="AX25" i="5" s="1"/>
  <c r="AZ185" i="5"/>
  <c r="AY303" i="5" a="1"/>
  <c r="AY303" i="5" s="1"/>
  <c r="AY323" i="5" a="1"/>
  <c r="AY323" i="5" s="1"/>
  <c r="AY283" i="5"/>
  <c r="AX30" i="5"/>
  <c r="BG313" i="5" a="1"/>
  <c r="BG313" i="5" s="1"/>
  <c r="BG293" i="5"/>
  <c r="BH195" i="5"/>
  <c r="AV246" i="5" l="1"/>
  <c r="BE191" i="5"/>
  <c r="BD289" i="5"/>
  <c r="BD309" i="5" a="1"/>
  <c r="BD309" i="5" s="1"/>
  <c r="BA186" i="5"/>
  <c r="AZ284" i="5"/>
  <c r="AZ304" i="5" a="1"/>
  <c r="AZ304" i="5" s="1"/>
  <c r="AZ324" i="5" a="1"/>
  <c r="AZ324" i="5" s="1"/>
  <c r="AZ249" i="5"/>
  <c r="AV239" i="5"/>
  <c r="BH314" i="5" a="1"/>
  <c r="BH314" i="5" s="1"/>
  <c r="BH294" i="5"/>
  <c r="AW176" i="5"/>
  <c r="AW181" i="5"/>
  <c r="AW200" i="5"/>
  <c r="AW204" i="5" s="1"/>
  <c r="BB187" i="5" l="1"/>
  <c r="BA325" i="5" a="1"/>
  <c r="BA325" i="5" s="1"/>
  <c r="BA305" i="5" a="1"/>
  <c r="BA305" i="5" s="1"/>
  <c r="BA285" i="5"/>
  <c r="AX182" i="5"/>
  <c r="AW172" i="5" a="1"/>
  <c r="AW172" i="5" s="1"/>
  <c r="AW300" i="5" a="1"/>
  <c r="AW300" i="5" s="1"/>
  <c r="AW316" i="5" s="1"/>
  <c r="AW317" i="5" s="1"/>
  <c r="AW320" i="5" a="1"/>
  <c r="AW320" i="5" s="1"/>
  <c r="AW330" i="5" s="1"/>
  <c r="AW331" i="5" s="1"/>
  <c r="AW335" i="5" s="1" a="1"/>
  <c r="AW335" i="5" s="1"/>
  <c r="AW177" i="5"/>
  <c r="AW280" i="5"/>
  <c r="AW296" i="5" s="1"/>
  <c r="AW297" i="5" s="1"/>
  <c r="AW208" i="5"/>
  <c r="AX40" i="5" s="1"/>
  <c r="AV245" i="5"/>
  <c r="AV252" i="5" s="1"/>
  <c r="AV275" i="5" s="1"/>
  <c r="AV339" i="5" s="1"/>
  <c r="AV338" i="5" s="1"/>
  <c r="BF192" i="5"/>
  <c r="BE290" i="5"/>
  <c r="BE310" i="5" a="1"/>
  <c r="BE310" i="5" s="1"/>
  <c r="AW178" i="5"/>
  <c r="BG193" i="5" l="1"/>
  <c r="BF311" i="5" a="1"/>
  <c r="BF311" i="5" s="1"/>
  <c r="BF291" i="5"/>
  <c r="AX232" i="5"/>
  <c r="AX231" i="5" s="1"/>
  <c r="AX32" i="5"/>
  <c r="AX101" i="5"/>
  <c r="AW210" i="5"/>
  <c r="AW212" i="5" s="1"/>
  <c r="AW217" i="5" s="1"/>
  <c r="AW216" i="5" s="1"/>
  <c r="AW174" i="5"/>
  <c r="AW202" i="5"/>
  <c r="AW229" i="5"/>
  <c r="AW227" i="5" s="1"/>
  <c r="AW173" i="5"/>
  <c r="AY183" i="5"/>
  <c r="AX301" i="5" a="1"/>
  <c r="AX301" i="5" s="1"/>
  <c r="AX281" i="5"/>
  <c r="AX228" i="5"/>
  <c r="AX321" i="5" a="1"/>
  <c r="AX321" i="5" s="1"/>
  <c r="AW209" i="5"/>
  <c r="BC188" i="5"/>
  <c r="BB306" i="5" a="1"/>
  <c r="BB306" i="5" s="1"/>
  <c r="BB326" i="5" a="1"/>
  <c r="BB326" i="5" s="1"/>
  <c r="BB286" i="5"/>
  <c r="AX33" i="5" l="1"/>
  <c r="AX34" i="5" s="1"/>
  <c r="AY25" i="5" s="1"/>
  <c r="AZ184" i="5"/>
  <c r="AY322" i="5" a="1"/>
  <c r="AY322" i="5" s="1"/>
  <c r="AY302" i="5" a="1"/>
  <c r="AY302" i="5" s="1"/>
  <c r="AY282" i="5"/>
  <c r="AX35" i="5"/>
  <c r="AY38" i="5"/>
  <c r="AW223" i="5"/>
  <c r="AW230" i="5"/>
  <c r="AW219" i="5"/>
  <c r="AW220" i="5" s="1"/>
  <c r="AX27" i="5" a="1"/>
  <c r="AX27" i="5" s="1"/>
  <c r="AX28" i="5" s="1"/>
  <c r="BD189" i="5"/>
  <c r="BC287" i="5"/>
  <c r="BC327" i="5" a="1"/>
  <c r="BC327" i="5" s="1"/>
  <c r="BC307" i="5" a="1"/>
  <c r="BC307" i="5" s="1"/>
  <c r="AX211" i="5"/>
  <c r="BH194" i="5"/>
  <c r="BG292" i="5"/>
  <c r="BG312" i="5" a="1"/>
  <c r="BG312" i="5" s="1"/>
  <c r="BE190" i="5" l="1"/>
  <c r="BD328" i="5" a="1"/>
  <c r="BD328" i="5" s="1"/>
  <c r="BD308" i="5" a="1"/>
  <c r="BD308" i="5" s="1"/>
  <c r="BD288" i="5"/>
  <c r="AX171" i="5"/>
  <c r="AY23" i="5"/>
  <c r="AW247" i="5"/>
  <c r="BH293" i="5"/>
  <c r="BH313" i="5" a="1"/>
  <c r="BH313" i="5" s="1"/>
  <c r="BI195" i="5"/>
  <c r="AW237" i="5"/>
  <c r="AW248" i="5" s="1"/>
  <c r="BA185" i="5"/>
  <c r="AZ283" i="5"/>
  <c r="AZ303" i="5" a="1"/>
  <c r="AZ303" i="5" s="1"/>
  <c r="AZ323" i="5" a="1"/>
  <c r="AZ323" i="5" s="1"/>
  <c r="AY30" i="5"/>
  <c r="AW239" i="5" l="1"/>
  <c r="AX176" i="5"/>
  <c r="AX181" i="5"/>
  <c r="AX200" i="5"/>
  <c r="AX204" i="5" s="1"/>
  <c r="BI314" i="5" a="1"/>
  <c r="BI314" i="5" s="1"/>
  <c r="BI294" i="5"/>
  <c r="AW246" i="5"/>
  <c r="BB186" i="5"/>
  <c r="BA324" i="5" a="1"/>
  <c r="BA324" i="5" s="1"/>
  <c r="BA304" i="5" a="1"/>
  <c r="BA304" i="5" s="1"/>
  <c r="BA284" i="5"/>
  <c r="BA249" i="5"/>
  <c r="BF191" i="5"/>
  <c r="BE289" i="5"/>
  <c r="BE309" i="5" a="1"/>
  <c r="BE309" i="5" s="1"/>
  <c r="AY182" i="5" l="1"/>
  <c r="AX177" i="5"/>
  <c r="AX300" i="5" a="1"/>
  <c r="AX300" i="5" s="1"/>
  <c r="AX316" i="5" s="1"/>
  <c r="AX317" i="5" s="1"/>
  <c r="AX172" i="5" a="1"/>
  <c r="AX172" i="5" s="1"/>
  <c r="AX320" i="5" a="1"/>
  <c r="AX320" i="5" s="1"/>
  <c r="AX330" i="5" s="1"/>
  <c r="AX331" i="5" s="1"/>
  <c r="AX335" i="5" s="1" a="1"/>
  <c r="AX335" i="5" s="1"/>
  <c r="AX280" i="5"/>
  <c r="AX296" i="5" s="1"/>
  <c r="AX297" i="5" s="1"/>
  <c r="AX209" i="5"/>
  <c r="AX208" i="5"/>
  <c r="AY40" i="5" s="1"/>
  <c r="BC187" i="5"/>
  <c r="BB305" i="5" a="1"/>
  <c r="BB305" i="5" s="1"/>
  <c r="BB285" i="5"/>
  <c r="BB325" i="5" a="1"/>
  <c r="BB325" i="5" s="1"/>
  <c r="AX178" i="5"/>
  <c r="BG192" i="5"/>
  <c r="BF310" i="5" a="1"/>
  <c r="BF310" i="5" s="1"/>
  <c r="BF290" i="5"/>
  <c r="AW245" i="5"/>
  <c r="AW252" i="5" s="1"/>
  <c r="AW275" i="5" s="1"/>
  <c r="AW339" i="5" s="1"/>
  <c r="AW338" i="5" s="1"/>
  <c r="AY232" i="5" l="1"/>
  <c r="AY231" i="5" s="1"/>
  <c r="AY32" i="5"/>
  <c r="AY101" i="5"/>
  <c r="AX223" i="5"/>
  <c r="AX237" i="5" s="1"/>
  <c r="AX248" i="5" s="1"/>
  <c r="AX230" i="5"/>
  <c r="AX174" i="5"/>
  <c r="AY211" i="5" s="1"/>
  <c r="AX210" i="5"/>
  <c r="AX212" i="5" s="1"/>
  <c r="AX217" i="5" s="1"/>
  <c r="AX216" i="5" s="1"/>
  <c r="AX229" i="5"/>
  <c r="AX227" i="5" s="1"/>
  <c r="AX202" i="5"/>
  <c r="AX173" i="5"/>
  <c r="BH193" i="5"/>
  <c r="BG311" i="5" a="1"/>
  <c r="BG311" i="5" s="1"/>
  <c r="BG291" i="5"/>
  <c r="BD188" i="5"/>
  <c r="BC326" i="5" a="1"/>
  <c r="BC326" i="5" s="1"/>
  <c r="BC286" i="5"/>
  <c r="BC306" i="5" a="1"/>
  <c r="BC306" i="5" s="1"/>
  <c r="AZ183" i="5"/>
  <c r="AY228" i="5"/>
  <c r="AY281" i="5"/>
  <c r="AY321" i="5" a="1"/>
  <c r="AY321" i="5" s="1"/>
  <c r="AY301" i="5" a="1"/>
  <c r="AY301" i="5" s="1"/>
  <c r="BE189" i="5" l="1"/>
  <c r="BD307" i="5" a="1"/>
  <c r="BD307" i="5" s="1"/>
  <c r="BD327" i="5" a="1"/>
  <c r="BD327" i="5" s="1"/>
  <c r="BD287" i="5"/>
  <c r="BA184" i="5"/>
  <c r="AZ302" i="5" a="1"/>
  <c r="AZ302" i="5" s="1"/>
  <c r="AZ282" i="5"/>
  <c r="AZ322" i="5" a="1"/>
  <c r="AZ322" i="5" s="1"/>
  <c r="AY35" i="5"/>
  <c r="AZ38" i="5"/>
  <c r="AY27" i="5" a="1"/>
  <c r="AY27" i="5" s="1"/>
  <c r="AY28" i="5" s="1"/>
  <c r="AX219" i="5"/>
  <c r="AX220" i="5" s="1"/>
  <c r="AY34" i="5"/>
  <c r="AZ25" i="5" s="1"/>
  <c r="AY33" i="5"/>
  <c r="BI194" i="5"/>
  <c r="BH312" i="5" a="1"/>
  <c r="BH312" i="5" s="1"/>
  <c r="BH292" i="5"/>
  <c r="AX239" i="5" l="1"/>
  <c r="AX247" i="5"/>
  <c r="AX246" i="5" s="1"/>
  <c r="BB185" i="5"/>
  <c r="BA303" i="5" a="1"/>
  <c r="BA303" i="5" s="1"/>
  <c r="BA323" i="5" a="1"/>
  <c r="BA323" i="5" s="1"/>
  <c r="BA283" i="5"/>
  <c r="AY171" i="5"/>
  <c r="AZ23" i="5"/>
  <c r="AZ30" i="5"/>
  <c r="BI293" i="5"/>
  <c r="BI313" i="5" a="1"/>
  <c r="BI313" i="5" s="1"/>
  <c r="BJ195" i="5"/>
  <c r="BF190" i="5"/>
  <c r="BE288" i="5"/>
  <c r="BE308" i="5" a="1"/>
  <c r="BE308" i="5" s="1"/>
  <c r="BE328" i="5" a="1"/>
  <c r="BE328" i="5" s="1"/>
  <c r="BJ294" i="5" l="1"/>
  <c r="BJ314" i="5" a="1"/>
  <c r="BJ314" i="5" s="1"/>
  <c r="BC186" i="5"/>
  <c r="BB324" i="5" a="1"/>
  <c r="BB324" i="5" s="1"/>
  <c r="BB304" i="5" a="1"/>
  <c r="BB304" i="5" s="1"/>
  <c r="BB284" i="5"/>
  <c r="BB249" i="5"/>
  <c r="AY176" i="5"/>
  <c r="AY181" i="5"/>
  <c r="AY200" i="5"/>
  <c r="AY204" i="5" s="1"/>
  <c r="BG191" i="5"/>
  <c r="BF289" i="5"/>
  <c r="BF309" i="5" a="1"/>
  <c r="BF309" i="5" s="1"/>
  <c r="AX245" i="5"/>
  <c r="AX252" i="5" s="1"/>
  <c r="AX275" i="5" s="1"/>
  <c r="AX339" i="5" s="1"/>
  <c r="AX338" i="5" s="1"/>
  <c r="BH192" i="5" l="1"/>
  <c r="BG310" i="5" a="1"/>
  <c r="BG310" i="5" s="1"/>
  <c r="BG290" i="5"/>
  <c r="AZ182" i="5"/>
  <c r="AY300" i="5" a="1"/>
  <c r="AY300" i="5" s="1"/>
  <c r="AY316" i="5" s="1"/>
  <c r="AY317" i="5" s="1"/>
  <c r="AY320" i="5" a="1"/>
  <c r="AY320" i="5" s="1"/>
  <c r="AY330" i="5" s="1"/>
  <c r="AY331" i="5" s="1"/>
  <c r="AY335" i="5" s="1" a="1"/>
  <c r="AY335" i="5" s="1"/>
  <c r="AY172" i="5" a="1"/>
  <c r="AY172" i="5" s="1"/>
  <c r="AY280" i="5"/>
  <c r="AY296" i="5" s="1"/>
  <c r="AY297" i="5" s="1"/>
  <c r="AY177" i="5"/>
  <c r="AY208" i="5"/>
  <c r="AZ40" i="5" s="1"/>
  <c r="AY178" i="5"/>
  <c r="BD187" i="5"/>
  <c r="BC305" i="5" a="1"/>
  <c r="BC305" i="5" s="1"/>
  <c r="BC325" i="5" a="1"/>
  <c r="BC325" i="5" s="1"/>
  <c r="BC285" i="5"/>
  <c r="AY174" i="5" l="1"/>
  <c r="AY210" i="5"/>
  <c r="AY212" i="5" s="1"/>
  <c r="AY217" i="5" s="1"/>
  <c r="AY216" i="5" s="1"/>
  <c r="AY229" i="5"/>
  <c r="AY227" i="5" s="1"/>
  <c r="AY202" i="5"/>
  <c r="AY173" i="5"/>
  <c r="BE188" i="5"/>
  <c r="BD306" i="5" a="1"/>
  <c r="BD306" i="5" s="1"/>
  <c r="BD286" i="5"/>
  <c r="BD326" i="5" a="1"/>
  <c r="BD326" i="5" s="1"/>
  <c r="BA183" i="5"/>
  <c r="AZ301" i="5" a="1"/>
  <c r="AZ301" i="5" s="1"/>
  <c r="AZ228" i="5"/>
  <c r="AZ281" i="5"/>
  <c r="AZ321" i="5" a="1"/>
  <c r="AZ321" i="5" s="1"/>
  <c r="AZ232" i="5"/>
  <c r="AZ231" i="5" s="1"/>
  <c r="AZ32" i="5"/>
  <c r="AZ101" i="5"/>
  <c r="AY209" i="5"/>
  <c r="BI193" i="5"/>
  <c r="BH291" i="5"/>
  <c r="BH311" i="5" a="1"/>
  <c r="BH311" i="5" s="1"/>
  <c r="AY219" i="5" l="1"/>
  <c r="AY220" i="5" s="1"/>
  <c r="BF189" i="5"/>
  <c r="BE287" i="5"/>
  <c r="BE327" i="5" a="1"/>
  <c r="BE327" i="5" s="1"/>
  <c r="BE307" i="5" a="1"/>
  <c r="BE307" i="5" s="1"/>
  <c r="BJ194" i="5"/>
  <c r="BI292" i="5"/>
  <c r="BI312" i="5" a="1"/>
  <c r="BI312" i="5" s="1"/>
  <c r="AY223" i="5"/>
  <c r="AY230" i="5"/>
  <c r="AZ35" i="5"/>
  <c r="BA38" i="5"/>
  <c r="AZ33" i="5"/>
  <c r="AZ27" i="5" s="1" a="1"/>
  <c r="AZ27" i="5" s="1"/>
  <c r="AZ28" i="5" s="1"/>
  <c r="AZ34" i="5"/>
  <c r="BA25" i="5" s="1"/>
  <c r="BB184" i="5"/>
  <c r="BA282" i="5"/>
  <c r="BA302" i="5" a="1"/>
  <c r="BA302" i="5" s="1"/>
  <c r="BA322" i="5" a="1"/>
  <c r="BA322" i="5" s="1"/>
  <c r="AZ211" i="5"/>
  <c r="AZ171" i="5" l="1"/>
  <c r="BA23" i="5"/>
  <c r="BC185" i="5"/>
  <c r="BB323" i="5" a="1"/>
  <c r="BB323" i="5" s="1"/>
  <c r="BB303" i="5" a="1"/>
  <c r="BB303" i="5" s="1"/>
  <c r="BB283" i="5"/>
  <c r="BJ293" i="5"/>
  <c r="BJ313" i="5" a="1"/>
  <c r="BJ313" i="5" s="1"/>
  <c r="BK195" i="5"/>
  <c r="BG190" i="5"/>
  <c r="BF308" i="5" a="1"/>
  <c r="BF308" i="5" s="1"/>
  <c r="BF328" i="5" a="1"/>
  <c r="BF328" i="5" s="1"/>
  <c r="BF288" i="5"/>
  <c r="AY237" i="5"/>
  <c r="AY248" i="5" s="1"/>
  <c r="AY239" i="5"/>
  <c r="AY247" i="5"/>
  <c r="AY246" i="5" s="1"/>
  <c r="BA30" i="5"/>
  <c r="BD186" i="5" l="1"/>
  <c r="BC324" i="5" a="1"/>
  <c r="BC324" i="5" s="1"/>
  <c r="BC284" i="5"/>
  <c r="BC304" i="5" a="1"/>
  <c r="BC304" i="5" s="1"/>
  <c r="BC249" i="5"/>
  <c r="AY245" i="5"/>
  <c r="AY252" i="5" s="1"/>
  <c r="AY275" i="5" s="1"/>
  <c r="AY339" i="5" s="1"/>
  <c r="AY338" i="5" s="1"/>
  <c r="BH191" i="5"/>
  <c r="BG309" i="5" a="1"/>
  <c r="BG309" i="5" s="1"/>
  <c r="BG289" i="5"/>
  <c r="BK294" i="5"/>
  <c r="BK314" i="5" a="1"/>
  <c r="BK314" i="5" s="1"/>
  <c r="AZ176" i="5"/>
  <c r="AZ181" i="5"/>
  <c r="AZ200" i="5"/>
  <c r="AZ204" i="5" s="1"/>
  <c r="BI192" i="5" l="1"/>
  <c r="BH310" i="5" a="1"/>
  <c r="BH310" i="5" s="1"/>
  <c r="BH290" i="5"/>
  <c r="BA182" i="5"/>
  <c r="AZ209" i="5"/>
  <c r="AZ300" i="5" a="1"/>
  <c r="AZ300" i="5" s="1"/>
  <c r="AZ316" i="5" s="1"/>
  <c r="AZ317" i="5" s="1"/>
  <c r="AZ320" i="5" a="1"/>
  <c r="AZ320" i="5" s="1"/>
  <c r="AZ330" i="5" s="1"/>
  <c r="AZ331" i="5" s="1"/>
  <c r="AZ335" i="5" s="1" a="1"/>
  <c r="AZ335" i="5" s="1"/>
  <c r="AZ177" i="5"/>
  <c r="AZ178" i="5" s="1"/>
  <c r="AZ280" i="5"/>
  <c r="AZ296" i="5" s="1"/>
  <c r="AZ297" i="5" s="1"/>
  <c r="AZ172" i="5" a="1"/>
  <c r="AZ172" i="5" s="1"/>
  <c r="AZ208" i="5"/>
  <c r="BA40" i="5" s="1"/>
  <c r="BE187" i="5"/>
  <c r="BD305" i="5" a="1"/>
  <c r="BD305" i="5" s="1"/>
  <c r="BD325" i="5" a="1"/>
  <c r="BD325" i="5" s="1"/>
  <c r="BD285" i="5"/>
  <c r="BF188" i="5" l="1"/>
  <c r="BE306" i="5" a="1"/>
  <c r="BE306" i="5" s="1"/>
  <c r="BE286" i="5"/>
  <c r="BE326" i="5" a="1"/>
  <c r="BE326" i="5" s="1"/>
  <c r="BB183" i="5"/>
  <c r="BA281" i="5"/>
  <c r="BA228" i="5"/>
  <c r="BA301" i="5" a="1"/>
  <c r="BA301" i="5" s="1"/>
  <c r="BA321" i="5" a="1"/>
  <c r="BA321" i="5" s="1"/>
  <c r="BA232" i="5"/>
  <c r="BA231" i="5" s="1"/>
  <c r="BA32" i="5"/>
  <c r="BA101" i="5"/>
  <c r="AZ210" i="5"/>
  <c r="AZ212" i="5" s="1"/>
  <c r="AZ217" i="5" s="1"/>
  <c r="AZ216" i="5" s="1"/>
  <c r="AZ174" i="5"/>
  <c r="BA211" i="5" s="1"/>
  <c r="AZ202" i="5"/>
  <c r="AZ229" i="5"/>
  <c r="AZ227" i="5" s="1"/>
  <c r="AZ173" i="5"/>
  <c r="BJ193" i="5"/>
  <c r="BI311" i="5" a="1"/>
  <c r="BI311" i="5" s="1"/>
  <c r="BI291" i="5"/>
  <c r="AZ223" i="5"/>
  <c r="AZ237" i="5" s="1"/>
  <c r="AZ248" i="5" s="1"/>
  <c r="AZ230" i="5"/>
  <c r="BK194" i="5" l="1"/>
  <c r="BJ292" i="5"/>
  <c r="BJ312" i="5" a="1"/>
  <c r="BJ312" i="5" s="1"/>
  <c r="BC184" i="5"/>
  <c r="BB302" i="5" a="1"/>
  <c r="BB302" i="5" s="1"/>
  <c r="BB322" i="5" a="1"/>
  <c r="BB322" i="5" s="1"/>
  <c r="BB282" i="5"/>
  <c r="BA35" i="5"/>
  <c r="BB38" i="5"/>
  <c r="AZ219" i="5"/>
  <c r="AZ220" i="5" s="1"/>
  <c r="BA27" i="5" a="1"/>
  <c r="BA27" i="5" s="1"/>
  <c r="BA28" i="5" s="1"/>
  <c r="BA33" i="5"/>
  <c r="BA34" i="5" s="1"/>
  <c r="BB25" i="5" s="1"/>
  <c r="BG189" i="5"/>
  <c r="BF327" i="5" a="1"/>
  <c r="BF327" i="5" s="1"/>
  <c r="BF287" i="5"/>
  <c r="BF307" i="5" a="1"/>
  <c r="BF307" i="5" s="1"/>
  <c r="BA171" i="5" l="1"/>
  <c r="BB23" i="5"/>
  <c r="BD185" i="5"/>
  <c r="BC283" i="5"/>
  <c r="BC303" i="5" a="1"/>
  <c r="BC303" i="5" s="1"/>
  <c r="BC323" i="5" a="1"/>
  <c r="BC323" i="5" s="1"/>
  <c r="BB30" i="5"/>
  <c r="BK293" i="5"/>
  <c r="BK313" i="5" a="1"/>
  <c r="BK313" i="5" s="1"/>
  <c r="BL195" i="5"/>
  <c r="AZ239" i="5"/>
  <c r="AZ247" i="5"/>
  <c r="AZ246" i="5" s="1"/>
  <c r="BH190" i="5"/>
  <c r="BG308" i="5" a="1"/>
  <c r="BG308" i="5" s="1"/>
  <c r="BG328" i="5" a="1"/>
  <c r="BG328" i="5" s="1"/>
  <c r="BG288" i="5"/>
  <c r="BI191" i="5" l="1"/>
  <c r="BH309" i="5" a="1"/>
  <c r="BH309" i="5" s="1"/>
  <c r="BH289" i="5"/>
  <c r="BL314" i="5" a="1"/>
  <c r="BL314" i="5" s="1"/>
  <c r="BL294" i="5"/>
  <c r="BE186" i="5"/>
  <c r="BD304" i="5" a="1"/>
  <c r="BD304" i="5" s="1"/>
  <c r="BD284" i="5"/>
  <c r="BD249" i="5"/>
  <c r="BD324" i="5" a="1"/>
  <c r="BD324" i="5" s="1"/>
  <c r="AZ245" i="5"/>
  <c r="AZ252" i="5" s="1"/>
  <c r="AZ275" i="5" s="1"/>
  <c r="AZ339" i="5" s="1"/>
  <c r="AZ338" i="5" s="1"/>
  <c r="BA176" i="5"/>
  <c r="BA181" i="5"/>
  <c r="BA200" i="5"/>
  <c r="BA204" i="5" s="1"/>
  <c r="BF187" i="5" l="1"/>
  <c r="BE285" i="5"/>
  <c r="BE305" i="5" a="1"/>
  <c r="BE305" i="5" s="1"/>
  <c r="BE325" i="5" a="1"/>
  <c r="BE325" i="5" s="1"/>
  <c r="BA178" i="5"/>
  <c r="BB182" i="5"/>
  <c r="BA320" i="5" a="1"/>
  <c r="BA320" i="5" s="1"/>
  <c r="BA330" i="5" s="1"/>
  <c r="BA331" i="5" s="1"/>
  <c r="BA335" i="5" s="1" a="1"/>
  <c r="BA335" i="5" s="1"/>
  <c r="BA177" i="5"/>
  <c r="BA172" i="5" a="1"/>
  <c r="BA172" i="5" s="1"/>
  <c r="BA300" i="5" a="1"/>
  <c r="BA300" i="5" s="1"/>
  <c r="BA316" i="5" s="1"/>
  <c r="BA317" i="5" s="1"/>
  <c r="BA280" i="5"/>
  <c r="BA296" i="5" s="1"/>
  <c r="BA297" i="5" s="1"/>
  <c r="BA208" i="5"/>
  <c r="BB40" i="5" s="1"/>
  <c r="BJ192" i="5"/>
  <c r="BI310" i="5" a="1"/>
  <c r="BI310" i="5" s="1"/>
  <c r="BI290" i="5"/>
  <c r="BB232" i="5" l="1"/>
  <c r="BB231" i="5" s="1"/>
  <c r="R30" i="3" s="1"/>
  <c r="BB32" i="5"/>
  <c r="BB101" i="5"/>
  <c r="BK193" i="5"/>
  <c r="BJ291" i="5"/>
  <c r="BJ311" i="5" a="1"/>
  <c r="BJ311" i="5" s="1"/>
  <c r="BC183" i="5"/>
  <c r="BB281" i="5"/>
  <c r="BB321" i="5" a="1"/>
  <c r="BB321" i="5" s="1"/>
  <c r="BB228" i="5"/>
  <c r="BB301" i="5" a="1"/>
  <c r="BB301" i="5" s="1"/>
  <c r="BA210" i="5"/>
  <c r="BA212" i="5" s="1"/>
  <c r="BA217" i="5" s="1"/>
  <c r="BA216" i="5" s="1"/>
  <c r="BA174" i="5"/>
  <c r="BA202" i="5"/>
  <c r="BA229" i="5"/>
  <c r="BA227" i="5" s="1"/>
  <c r="BA173" i="5"/>
  <c r="BA209" i="5"/>
  <c r="BG188" i="5"/>
  <c r="BF286" i="5"/>
  <c r="BF306" i="5" a="1"/>
  <c r="BF306" i="5" s="1"/>
  <c r="BF326" i="5" a="1"/>
  <c r="BF326" i="5" s="1"/>
  <c r="BB211" i="5" l="1"/>
  <c r="BD184" i="5"/>
  <c r="BC322" i="5" a="1"/>
  <c r="BC322" i="5" s="1"/>
  <c r="BC282" i="5"/>
  <c r="BC302" i="5" a="1"/>
  <c r="BC302" i="5" s="1"/>
  <c r="BL194" i="5"/>
  <c r="BK312" i="5" a="1"/>
  <c r="BK312" i="5" s="1"/>
  <c r="BK292" i="5"/>
  <c r="BB35" i="5"/>
  <c r="BC38" i="5"/>
  <c r="BA223" i="5"/>
  <c r="BA237" i="5" s="1"/>
  <c r="BA248" i="5" s="1"/>
  <c r="BA230" i="5"/>
  <c r="BB27" i="5" a="1"/>
  <c r="BB27" i="5" s="1"/>
  <c r="BB28" i="5" s="1"/>
  <c r="BA219" i="5"/>
  <c r="BA220" i="5" s="1"/>
  <c r="BB33" i="5"/>
  <c r="BB34" i="5" s="1"/>
  <c r="BC25" i="5" s="1"/>
  <c r="BH189" i="5"/>
  <c r="BG307" i="5" a="1"/>
  <c r="BG307" i="5" s="1"/>
  <c r="BG287" i="5"/>
  <c r="BG327" i="5" a="1"/>
  <c r="BG327" i="5" s="1"/>
  <c r="BL313" i="5" l="1" a="1"/>
  <c r="BL313" i="5" s="1"/>
  <c r="BL293" i="5"/>
  <c r="BM195" i="5"/>
  <c r="BA239" i="5"/>
  <c r="BA247" i="5"/>
  <c r="BA246" i="5" s="1"/>
  <c r="BC30" i="5"/>
  <c r="BE185" i="5"/>
  <c r="BD283" i="5"/>
  <c r="BD323" i="5" a="1"/>
  <c r="BD323" i="5" s="1"/>
  <c r="BD303" i="5" a="1"/>
  <c r="BD303" i="5" s="1"/>
  <c r="BB171" i="5"/>
  <c r="BC23" i="5"/>
  <c r="BI190" i="5"/>
  <c r="BH288" i="5"/>
  <c r="BH328" i="5" a="1"/>
  <c r="BH328" i="5" s="1"/>
  <c r="BH308" i="5" a="1"/>
  <c r="BH308" i="5" s="1"/>
  <c r="BF186" i="5" l="1"/>
  <c r="BE249" i="5"/>
  <c r="BE304" i="5" a="1"/>
  <c r="BE304" i="5" s="1"/>
  <c r="BE324" i="5" a="1"/>
  <c r="BE324" i="5" s="1"/>
  <c r="BE284" i="5"/>
  <c r="BJ191" i="5"/>
  <c r="BI289" i="5"/>
  <c r="BI309" i="5" a="1"/>
  <c r="BI309" i="5" s="1"/>
  <c r="BB176" i="5"/>
  <c r="BB181" i="5"/>
  <c r="BB200" i="5"/>
  <c r="BB204" i="5" s="1"/>
  <c r="BA339" i="5"/>
  <c r="BA338" i="5" s="1"/>
  <c r="BA245" i="5"/>
  <c r="BA252" i="5" s="1"/>
  <c r="BA275" i="5" s="1"/>
  <c r="BM314" i="5" a="1"/>
  <c r="BM314" i="5" s="1"/>
  <c r="BM294" i="5"/>
  <c r="BC182" i="5" l="1"/>
  <c r="BB280" i="5"/>
  <c r="BB296" i="5" s="1"/>
  <c r="BB297" i="5" s="1"/>
  <c r="BB320" i="5" a="1"/>
  <c r="BB320" i="5" s="1"/>
  <c r="BB330" i="5" s="1"/>
  <c r="BB331" i="5" s="1"/>
  <c r="BB335" i="5" s="1" a="1"/>
  <c r="BB335" i="5" s="1"/>
  <c r="R34" i="3" s="1"/>
  <c r="BB172" i="5" a="1"/>
  <c r="BB172" i="5" s="1"/>
  <c r="BB300" i="5" a="1"/>
  <c r="BB300" i="5" s="1"/>
  <c r="BB316" i="5" s="1"/>
  <c r="BB317" i="5" s="1"/>
  <c r="BB177" i="5"/>
  <c r="BB178" i="5" s="1"/>
  <c r="BB208" i="5"/>
  <c r="BC40" i="5" s="1"/>
  <c r="BK192" i="5"/>
  <c r="BJ290" i="5"/>
  <c r="BJ310" i="5" a="1"/>
  <c r="BJ310" i="5" s="1"/>
  <c r="BG187" i="5"/>
  <c r="BF325" i="5" a="1"/>
  <c r="BF325" i="5" s="1"/>
  <c r="BF305" i="5" a="1"/>
  <c r="BF305" i="5" s="1"/>
  <c r="BF285" i="5"/>
  <c r="BB210" i="5" l="1"/>
  <c r="BB212" i="5" s="1"/>
  <c r="BB217" i="5" s="1"/>
  <c r="BB216" i="5" s="1"/>
  <c r="R20" i="3" s="1"/>
  <c r="BB174" i="5"/>
  <c r="BB202" i="5"/>
  <c r="BB229" i="5"/>
  <c r="BB227" i="5" s="1"/>
  <c r="R28" i="3" s="1"/>
  <c r="BB173" i="5"/>
  <c r="BB209" i="5"/>
  <c r="BH188" i="5"/>
  <c r="BG326" i="5" a="1"/>
  <c r="BG326" i="5" s="1"/>
  <c r="BG306" i="5" a="1"/>
  <c r="BG306" i="5" s="1"/>
  <c r="BG286" i="5"/>
  <c r="BL193" i="5"/>
  <c r="BK291" i="5"/>
  <c r="BK311" i="5" a="1"/>
  <c r="BK311" i="5" s="1"/>
  <c r="BD183" i="5"/>
  <c r="BC228" i="5"/>
  <c r="BC281" i="5"/>
  <c r="BC321" i="5" a="1"/>
  <c r="BC321" i="5" s="1"/>
  <c r="BC301" i="5" a="1"/>
  <c r="BC301" i="5" s="1"/>
  <c r="R72" i="3"/>
  <c r="BC232" i="5"/>
  <c r="BC231" i="5" s="1"/>
  <c r="BC32" i="5"/>
  <c r="BC101" i="5"/>
  <c r="BI189" i="5" l="1"/>
  <c r="BH327" i="5" a="1"/>
  <c r="BH327" i="5" s="1"/>
  <c r="BH287" i="5"/>
  <c r="BH307" i="5" a="1"/>
  <c r="BH307" i="5" s="1"/>
  <c r="BC211" i="5"/>
  <c r="BE184" i="5"/>
  <c r="BD302" i="5" a="1"/>
  <c r="BD302" i="5" s="1"/>
  <c r="BD282" i="5"/>
  <c r="BD322" i="5" a="1"/>
  <c r="BD322" i="5" s="1"/>
  <c r="BB219" i="5"/>
  <c r="R17" i="3"/>
  <c r="R68" i="3" s="1"/>
  <c r="BC35" i="5"/>
  <c r="BD38" i="5"/>
  <c r="BB223" i="5"/>
  <c r="BB230" i="5"/>
  <c r="R29" i="3" s="1"/>
  <c r="BM194" i="5"/>
  <c r="BL312" i="5" a="1"/>
  <c r="BL312" i="5" s="1"/>
  <c r="BL292" i="5"/>
  <c r="BC33" i="5"/>
  <c r="BC34" i="5" s="1"/>
  <c r="BD25" i="5" s="1"/>
  <c r="BC27" i="5" l="1" a="1"/>
  <c r="BC27" i="5" s="1"/>
  <c r="BC28" i="5" s="1"/>
  <c r="BD30" i="5"/>
  <c r="BF185" i="5"/>
  <c r="BE283" i="5"/>
  <c r="BE323" i="5" a="1"/>
  <c r="BE323" i="5" s="1"/>
  <c r="BE303" i="5" a="1"/>
  <c r="BE303" i="5" s="1"/>
  <c r="BB220" i="5"/>
  <c r="R21" i="3"/>
  <c r="R19" i="3" s="1"/>
  <c r="BM313" i="5" a="1"/>
  <c r="BM313" i="5" s="1"/>
  <c r="BM293" i="5"/>
  <c r="BN195" i="5"/>
  <c r="BJ190" i="5"/>
  <c r="BI328" i="5" a="1"/>
  <c r="BI328" i="5" s="1"/>
  <c r="BI288" i="5"/>
  <c r="BI308" i="5" a="1"/>
  <c r="BI308" i="5" s="1"/>
  <c r="BB237" i="5"/>
  <c r="BB248" i="5" s="1"/>
  <c r="R24" i="3"/>
  <c r="R22" i="3" s="1"/>
  <c r="BK191" i="5" l="1"/>
  <c r="BJ309" i="5" a="1"/>
  <c r="BJ309" i="5" s="1"/>
  <c r="BJ289" i="5"/>
  <c r="BN294" i="5"/>
  <c r="BN314" i="5" a="1"/>
  <c r="BN314" i="5" s="1"/>
  <c r="BB239" i="5"/>
  <c r="BB247" i="5"/>
  <c r="BB246" i="5" s="1"/>
  <c r="R39" i="3" s="1"/>
  <c r="BG186" i="5"/>
  <c r="BF304" i="5" a="1"/>
  <c r="BF304" i="5" s="1"/>
  <c r="BF324" i="5" a="1"/>
  <c r="BF324" i="5" s="1"/>
  <c r="BF284" i="5"/>
  <c r="BF249" i="5"/>
  <c r="R18" i="3"/>
  <c r="BC171" i="5"/>
  <c r="BD23" i="5"/>
  <c r="BC176" i="5" l="1"/>
  <c r="BC181" i="5"/>
  <c r="BC200" i="5"/>
  <c r="BC204" i="5" s="1"/>
  <c r="BB245" i="5"/>
  <c r="R69" i="3"/>
  <c r="BH187" i="5"/>
  <c r="BG325" i="5" a="1"/>
  <c r="BG325" i="5" s="1"/>
  <c r="BG285" i="5"/>
  <c r="BG305" i="5" a="1"/>
  <c r="BG305" i="5" s="1"/>
  <c r="BL192" i="5"/>
  <c r="BK290" i="5"/>
  <c r="BK310" i="5" a="1"/>
  <c r="BK310" i="5" s="1"/>
  <c r="BM193" i="5" l="1"/>
  <c r="BL291" i="5"/>
  <c r="BL311" i="5" a="1"/>
  <c r="BL311" i="5" s="1"/>
  <c r="BB252" i="5"/>
  <c r="BB275" i="5" s="1"/>
  <c r="BB339" i="5" s="1"/>
  <c r="BB338" i="5" s="1"/>
  <c r="R38" i="3"/>
  <c r="R36" i="3" s="1"/>
  <c r="R35" i="3" s="1"/>
  <c r="BI188" i="5"/>
  <c r="BH306" i="5" a="1"/>
  <c r="BH306" i="5" s="1"/>
  <c r="BH286" i="5"/>
  <c r="BH326" i="5" a="1"/>
  <c r="BH326" i="5" s="1"/>
  <c r="BD182" i="5"/>
  <c r="BC172" i="5" a="1"/>
  <c r="BC172" i="5" s="1"/>
  <c r="BC177" i="5"/>
  <c r="BC178" i="5" s="1"/>
  <c r="BC280" i="5"/>
  <c r="BC296" i="5" s="1"/>
  <c r="BC297" i="5" s="1"/>
  <c r="BC300" i="5" a="1"/>
  <c r="BC300" i="5" s="1"/>
  <c r="BC316" i="5" s="1"/>
  <c r="BC317" i="5" s="1"/>
  <c r="BC320" i="5" a="1"/>
  <c r="BC320" i="5" s="1"/>
  <c r="BC330" i="5" s="1"/>
  <c r="BC331" i="5" s="1"/>
  <c r="BC335" i="5" s="1" a="1"/>
  <c r="BC335" i="5" s="1"/>
  <c r="BC208" i="5"/>
  <c r="BD40" i="5" s="1"/>
  <c r="BC210" i="5" l="1"/>
  <c r="BC212" i="5" s="1"/>
  <c r="BC217" i="5" s="1"/>
  <c r="BC216" i="5" s="1"/>
  <c r="BC174" i="5"/>
  <c r="BC229" i="5"/>
  <c r="BC227" i="5" s="1"/>
  <c r="BC202" i="5"/>
  <c r="BC173" i="5"/>
  <c r="BJ189" i="5"/>
  <c r="BI307" i="5" a="1"/>
  <c r="BI307" i="5" s="1"/>
  <c r="BI287" i="5"/>
  <c r="BI327" i="5" a="1"/>
  <c r="BI327" i="5" s="1"/>
  <c r="R71" i="3"/>
  <c r="R73" i="3" s="1"/>
  <c r="R75" i="3" s="1"/>
  <c r="R51" i="3"/>
  <c r="R50" i="3"/>
  <c r="BE183" i="5"/>
  <c r="BD321" i="5" a="1"/>
  <c r="BD321" i="5" s="1"/>
  <c r="BD281" i="5"/>
  <c r="BD301" i="5" a="1"/>
  <c r="BD301" i="5" s="1"/>
  <c r="BD228" i="5"/>
  <c r="BC209" i="5"/>
  <c r="BD232" i="5"/>
  <c r="BD231" i="5" s="1"/>
  <c r="BD32" i="5"/>
  <c r="BD101" i="5"/>
  <c r="BN194" i="5"/>
  <c r="BM292" i="5"/>
  <c r="BM312" i="5" a="1"/>
  <c r="BM312" i="5" s="1"/>
  <c r="BK190" i="5" l="1"/>
  <c r="BJ328" i="5" a="1"/>
  <c r="BJ328" i="5" s="1"/>
  <c r="BJ308" i="5" a="1"/>
  <c r="BJ308" i="5" s="1"/>
  <c r="BJ288" i="5"/>
  <c r="BC223" i="5"/>
  <c r="BC222" i="5"/>
  <c r="BC230" i="5"/>
  <c r="BC219" i="5"/>
  <c r="BD35" i="5"/>
  <c r="BE38" i="5"/>
  <c r="BD34" i="5"/>
  <c r="BE25" i="5" s="1"/>
  <c r="BD33" i="5"/>
  <c r="BD27" i="5" s="1" a="1"/>
  <c r="BD27" i="5" s="1"/>
  <c r="BD28" i="5" s="1"/>
  <c r="BD211" i="5"/>
  <c r="BN293" i="5"/>
  <c r="BN313" i="5" a="1"/>
  <c r="BN313" i="5" s="1"/>
  <c r="BO195" i="5"/>
  <c r="BF184" i="5"/>
  <c r="BE282" i="5"/>
  <c r="BE302" i="5" a="1"/>
  <c r="BE302" i="5" s="1"/>
  <c r="BE322" i="5" a="1"/>
  <c r="BE322" i="5" s="1"/>
  <c r="BD171" i="5" l="1"/>
  <c r="BE23" i="5"/>
  <c r="BG185" i="5"/>
  <c r="BF303" i="5" a="1"/>
  <c r="BF303" i="5" s="1"/>
  <c r="BF323" i="5" a="1"/>
  <c r="BF323" i="5" s="1"/>
  <c r="BF283" i="5"/>
  <c r="BC237" i="5"/>
  <c r="BC248" i="5" s="1"/>
  <c r="S23" i="3"/>
  <c r="BE14" i="7" a="1"/>
  <c r="BE14" i="7" s="1"/>
  <c r="BD14" i="7" a="1"/>
  <c r="BD14" i="7" s="1"/>
  <c r="BF14" i="7" a="1"/>
  <c r="BF14" i="7" s="1"/>
  <c r="BH14" i="7" a="1"/>
  <c r="BH14" i="7" s="1"/>
  <c r="BG14" i="7" a="1"/>
  <c r="BG14" i="7" s="1"/>
  <c r="BJ14" i="7" a="1"/>
  <c r="BJ14" i="7" s="1"/>
  <c r="BI14" i="7" a="1"/>
  <c r="BI14" i="7" s="1"/>
  <c r="AA14" i="7" a="1"/>
  <c r="AA14" i="7" s="1"/>
  <c r="P14" i="7" a="1"/>
  <c r="P14" i="7" s="1"/>
  <c r="Y14" i="7" a="1"/>
  <c r="Y14" i="7" s="1"/>
  <c r="AK14" i="7" a="1"/>
  <c r="AK14" i="7" s="1"/>
  <c r="BB14" i="7" a="1"/>
  <c r="BB14" i="7" s="1"/>
  <c r="AZ14" i="7" a="1"/>
  <c r="AZ14" i="7" s="1"/>
  <c r="AE14" i="7" a="1"/>
  <c r="AE14" i="7" s="1"/>
  <c r="T14" i="7" a="1"/>
  <c r="T14" i="7" s="1"/>
  <c r="AB14" i="7" a="1"/>
  <c r="AB14" i="7" s="1"/>
  <c r="Z14" i="7" a="1"/>
  <c r="Z14" i="7" s="1"/>
  <c r="G14" i="7" a="1"/>
  <c r="G14" i="7" s="1"/>
  <c r="AC14" i="7" a="1"/>
  <c r="AC14" i="7" s="1"/>
  <c r="J14" i="7" a="1"/>
  <c r="J14" i="7" s="1"/>
  <c r="K14" i="7" a="1"/>
  <c r="K14" i="7" s="1"/>
  <c r="W14" i="7" a="1"/>
  <c r="W14" i="7" s="1"/>
  <c r="O14" i="7" a="1"/>
  <c r="O14" i="7" s="1"/>
  <c r="R14" i="7" a="1"/>
  <c r="R14" i="7" s="1"/>
  <c r="L14" i="7" a="1"/>
  <c r="L14" i="7" s="1"/>
  <c r="AW14" i="7" a="1"/>
  <c r="AW14" i="7" s="1"/>
  <c r="BL14" i="7" a="1"/>
  <c r="BL14" i="7" s="1"/>
  <c r="N14" i="7" a="1"/>
  <c r="N14" i="7" s="1"/>
  <c r="AH14" i="7" a="1"/>
  <c r="AH14" i="7" s="1"/>
  <c r="F14" i="7" a="1"/>
  <c r="F14" i="7" s="1"/>
  <c r="BC14" i="7" a="1"/>
  <c r="BC14" i="7" s="1"/>
  <c r="AJ14" i="7" a="1"/>
  <c r="AJ14" i="7" s="1"/>
  <c r="V14" i="7" a="1"/>
  <c r="V14" i="7" s="1"/>
  <c r="AG14" i="7" a="1"/>
  <c r="AG14" i="7" s="1"/>
  <c r="N23" i="3"/>
  <c r="AI14" i="7" a="1"/>
  <c r="AI14" i="7" s="1"/>
  <c r="H14" i="7" a="1"/>
  <c r="H14" i="7" s="1"/>
  <c r="AP14" i="7" a="1"/>
  <c r="AP14" i="7" s="1"/>
  <c r="AY14" i="7" a="1"/>
  <c r="AY14" i="7" s="1"/>
  <c r="AT14" i="7" a="1"/>
  <c r="AT14" i="7" s="1"/>
  <c r="Q14" i="7" a="1"/>
  <c r="Q14" i="7" s="1"/>
  <c r="AR14" i="7" a="1"/>
  <c r="AR14" i="7" s="1"/>
  <c r="AU14" i="7" a="1"/>
  <c r="AU14" i="7" s="1"/>
  <c r="BK14" i="7" a="1"/>
  <c r="BK14" i="7" s="1"/>
  <c r="BA14" i="7" a="1"/>
  <c r="BA14" i="7" s="1"/>
  <c r="AL14" i="7" a="1"/>
  <c r="AL14" i="7" s="1"/>
  <c r="AF14" i="7" a="1"/>
  <c r="AF14" i="7" s="1"/>
  <c r="M14" i="7" a="1"/>
  <c r="M14" i="7" s="1"/>
  <c r="AQ14" i="7" a="1"/>
  <c r="AQ14" i="7" s="1"/>
  <c r="X14" i="7" a="1"/>
  <c r="X14" i="7" s="1"/>
  <c r="U14" i="7" a="1"/>
  <c r="U14" i="7" s="1"/>
  <c r="AM14" i="7" a="1"/>
  <c r="AM14" i="7" s="1"/>
  <c r="AO14" i="7" a="1"/>
  <c r="AO14" i="7" s="1"/>
  <c r="E14" i="7" a="1"/>
  <c r="E14" i="7" s="1"/>
  <c r="AD14" i="7" a="1"/>
  <c r="AD14" i="7" s="1"/>
  <c r="AN14" i="7" a="1"/>
  <c r="AN14" i="7" s="1"/>
  <c r="I14" i="7" a="1"/>
  <c r="I14" i="7" s="1"/>
  <c r="AS14" i="7" a="1"/>
  <c r="AS14" i="7" s="1"/>
  <c r="S14" i="7" a="1"/>
  <c r="S14" i="7" s="1"/>
  <c r="AV14" i="7" a="1"/>
  <c r="AV14" i="7" s="1"/>
  <c r="AX14" i="7" a="1"/>
  <c r="AX14" i="7" s="1"/>
  <c r="BE30" i="5"/>
  <c r="BO314" i="5" a="1"/>
  <c r="BO314" i="5" s="1"/>
  <c r="BC220" i="5"/>
  <c r="BL191" i="5"/>
  <c r="BK309" i="5" a="1"/>
  <c r="BK309" i="5" s="1"/>
  <c r="BK289" i="5"/>
  <c r="BM192" i="5" l="1"/>
  <c r="BL310" i="5" a="1"/>
  <c r="BL310" i="5" s="1"/>
  <c r="BL290" i="5"/>
  <c r="K28" i="6"/>
  <c r="N28" i="6"/>
  <c r="O28" i="6"/>
  <c r="M28" i="6"/>
  <c r="L28" i="6"/>
  <c r="BH186" i="5"/>
  <c r="BG324" i="5" a="1"/>
  <c r="BG324" i="5" s="1"/>
  <c r="BG284" i="5"/>
  <c r="BG304" i="5" a="1"/>
  <c r="BG304" i="5" s="1"/>
  <c r="BG249" i="5"/>
  <c r="BC239" i="5"/>
  <c r="BC247" i="5"/>
  <c r="BC246" i="5" s="1"/>
  <c r="V23" i="3"/>
  <c r="BD176" i="5"/>
  <c r="BD181" i="5"/>
  <c r="BD200" i="5"/>
  <c r="BD204" i="5" s="1"/>
  <c r="J28" i="6" l="1"/>
  <c r="BC245" i="5"/>
  <c r="BD178" i="5"/>
  <c r="BE182" i="5"/>
  <c r="BD280" i="5"/>
  <c r="BD296" i="5" s="1"/>
  <c r="BD297" i="5" s="1"/>
  <c r="BD172" i="5" a="1"/>
  <c r="BD172" i="5" s="1"/>
  <c r="BD300" i="5" a="1"/>
  <c r="BD300" i="5" s="1"/>
  <c r="BD316" i="5" s="1"/>
  <c r="BD317" i="5" s="1"/>
  <c r="BD177" i="5"/>
  <c r="BD320" i="5" a="1"/>
  <c r="BD320" i="5" s="1"/>
  <c r="BD330" i="5" s="1"/>
  <c r="BD331" i="5" s="1"/>
  <c r="BD335" i="5" s="1" a="1"/>
  <c r="BD335" i="5" s="1"/>
  <c r="BD208" i="5"/>
  <c r="BE40" i="5" s="1"/>
  <c r="BI187" i="5"/>
  <c r="BH285" i="5"/>
  <c r="BH305" i="5" a="1"/>
  <c r="BH305" i="5" s="1"/>
  <c r="BH325" i="5" a="1"/>
  <c r="BH325" i="5" s="1"/>
  <c r="BN193" i="5"/>
  <c r="BM311" i="5" a="1"/>
  <c r="BM311" i="5" s="1"/>
  <c r="BM291" i="5"/>
  <c r="BE232" i="5" l="1"/>
  <c r="BE231" i="5" s="1"/>
  <c r="BE32" i="5"/>
  <c r="BE101" i="5"/>
  <c r="BD174" i="5"/>
  <c r="BD210" i="5"/>
  <c r="BD212" i="5" s="1"/>
  <c r="BD217" i="5" s="1"/>
  <c r="BD216" i="5" s="1"/>
  <c r="BD202" i="5"/>
  <c r="BD229" i="5"/>
  <c r="BD227" i="5" s="1"/>
  <c r="BD173" i="5"/>
  <c r="BF183" i="5"/>
  <c r="BE321" i="5" a="1"/>
  <c r="BE321" i="5" s="1"/>
  <c r="BE301" i="5" a="1"/>
  <c r="BE301" i="5" s="1"/>
  <c r="BE228" i="5"/>
  <c r="BE281" i="5"/>
  <c r="BJ188" i="5"/>
  <c r="BI306" i="5" a="1"/>
  <c r="BI306" i="5" s="1"/>
  <c r="BI286" i="5"/>
  <c r="BI326" i="5" a="1"/>
  <c r="BI326" i="5" s="1"/>
  <c r="BC252" i="5"/>
  <c r="BC275" i="5" s="1"/>
  <c r="BC339" i="5" s="1"/>
  <c r="BC338" i="5" s="1"/>
  <c r="BO194" i="5"/>
  <c r="BN292" i="5"/>
  <c r="BN312" i="5" a="1"/>
  <c r="BN312" i="5" s="1"/>
  <c r="BE55" i="7" a="1"/>
  <c r="BE55" i="7" s="1"/>
  <c r="BG55" i="7" a="1"/>
  <c r="BG55" i="7" s="1"/>
  <c r="BF55" i="7" a="1"/>
  <c r="BF55" i="7" s="1"/>
  <c r="BH55" i="7" a="1"/>
  <c r="BH55" i="7" s="1"/>
  <c r="BI55" i="7" a="1"/>
  <c r="BI55" i="7" s="1"/>
  <c r="BJ55" i="7" a="1"/>
  <c r="BJ55" i="7" s="1"/>
  <c r="G55" i="7" a="1"/>
  <c r="G55" i="7" s="1"/>
  <c r="AO55" i="7" a="1"/>
  <c r="AO55" i="7" s="1"/>
  <c r="BK55" i="7" a="1"/>
  <c r="BK55" i="7" s="1"/>
  <c r="AK55" i="7" a="1"/>
  <c r="AK55" i="7" s="1"/>
  <c r="M55" i="7" a="1"/>
  <c r="M55" i="7" s="1"/>
  <c r="U55" i="7" a="1"/>
  <c r="U55" i="7" s="1"/>
  <c r="W55" i="7" a="1"/>
  <c r="W55" i="7" s="1"/>
  <c r="E55" i="7" a="1"/>
  <c r="E55" i="7" s="1"/>
  <c r="L55" i="7" a="1"/>
  <c r="L55" i="7" s="1"/>
  <c r="AQ55" i="7" a="1"/>
  <c r="AQ55" i="7" s="1"/>
  <c r="Z55" i="7" a="1"/>
  <c r="Z55" i="7" s="1"/>
  <c r="Y55" i="7" a="1"/>
  <c r="Y55" i="7" s="1"/>
  <c r="AT55" i="7" a="1"/>
  <c r="AT55" i="7" s="1"/>
  <c r="S55" i="7" a="1"/>
  <c r="S55" i="7" s="1"/>
  <c r="AW55" i="7" a="1"/>
  <c r="AW55" i="7" s="1"/>
  <c r="AG55" i="7" a="1"/>
  <c r="AG55" i="7" s="1"/>
  <c r="AJ55" i="7" a="1"/>
  <c r="AJ55" i="7" s="1"/>
  <c r="AL55" i="7" a="1"/>
  <c r="AL55" i="7" s="1"/>
  <c r="AI55" i="7" a="1"/>
  <c r="AI55" i="7" s="1"/>
  <c r="AH55" i="7" a="1"/>
  <c r="AH55" i="7" s="1"/>
  <c r="AD55" i="7" a="1"/>
  <c r="AD55" i="7" s="1"/>
  <c r="P55" i="7" a="1"/>
  <c r="P55" i="7" s="1"/>
  <c r="H55" i="7" a="1"/>
  <c r="H55" i="7" s="1"/>
  <c r="N55" i="7" a="1"/>
  <c r="N55" i="7" s="1"/>
  <c r="BA55" i="7" a="1"/>
  <c r="BA55" i="7" s="1"/>
  <c r="AF55" i="7" a="1"/>
  <c r="AF55" i="7" s="1"/>
  <c r="BD55" i="7" a="1"/>
  <c r="BD55" i="7" s="1"/>
  <c r="V55" i="7" a="1"/>
  <c r="V55" i="7" s="1"/>
  <c r="AU55" i="7" a="1"/>
  <c r="AU55" i="7" s="1"/>
  <c r="AE55" i="7" a="1"/>
  <c r="AE55" i="7" s="1"/>
  <c r="AA55" i="7" a="1"/>
  <c r="AA55" i="7" s="1"/>
  <c r="AN55" i="7" a="1"/>
  <c r="AN55" i="7" s="1"/>
  <c r="AR55" i="7" a="1"/>
  <c r="AR55" i="7" s="1"/>
  <c r="X55" i="7" a="1"/>
  <c r="X55" i="7" s="1"/>
  <c r="O55" i="7" a="1"/>
  <c r="O55" i="7" s="1"/>
  <c r="R55" i="7" a="1"/>
  <c r="R55" i="7" s="1"/>
  <c r="Q55" i="7" a="1"/>
  <c r="Q55" i="7" s="1"/>
  <c r="AX55" i="7" a="1"/>
  <c r="AX55" i="7" s="1"/>
  <c r="BL55" i="7" a="1"/>
  <c r="BL55" i="7" s="1"/>
  <c r="AY55" i="7" a="1"/>
  <c r="AY55" i="7" s="1"/>
  <c r="AP55" i="7" a="1"/>
  <c r="AP55" i="7" s="1"/>
  <c r="J55" i="7" a="1"/>
  <c r="J55" i="7" s="1"/>
  <c r="BB55" i="7" a="1"/>
  <c r="BB55" i="7" s="1"/>
  <c r="K55" i="7" a="1"/>
  <c r="K55" i="7" s="1"/>
  <c r="AS55" i="7" a="1"/>
  <c r="AS55" i="7" s="1"/>
  <c r="AZ55" i="7" a="1"/>
  <c r="AZ55" i="7" s="1"/>
  <c r="F55" i="7" a="1"/>
  <c r="F55" i="7" s="1"/>
  <c r="AM55" i="7" a="1"/>
  <c r="AM55" i="7" s="1"/>
  <c r="I55" i="7" a="1"/>
  <c r="I55" i="7" s="1"/>
  <c r="AV55" i="7" a="1"/>
  <c r="AV55" i="7" s="1"/>
  <c r="AB55" i="7" a="1"/>
  <c r="AB55" i="7" s="1"/>
  <c r="BC55" i="7" a="1"/>
  <c r="BC55" i="7" s="1"/>
  <c r="AC55" i="7" a="1"/>
  <c r="AC55" i="7" s="1"/>
  <c r="T55" i="7" a="1"/>
  <c r="T55" i="7" s="1"/>
  <c r="BD209" i="5"/>
  <c r="BO313" i="5" l="1" a="1"/>
  <c r="BO313" i="5" s="1"/>
  <c r="BP195" i="5"/>
  <c r="BD223" i="5"/>
  <c r="BD230" i="5"/>
  <c r="BD219" i="5"/>
  <c r="BE27" i="5" a="1"/>
  <c r="BE27" i="5" s="1"/>
  <c r="BE28" i="5" s="1"/>
  <c r="BE211" i="5"/>
  <c r="BE35" i="5"/>
  <c r="BF38" i="5"/>
  <c r="BG184" i="5"/>
  <c r="BF282" i="5"/>
  <c r="BF302" i="5" a="1"/>
  <c r="BF302" i="5" s="1"/>
  <c r="BF322" i="5" a="1"/>
  <c r="BF322" i="5" s="1"/>
  <c r="BE33" i="5"/>
  <c r="BE34" i="5" s="1"/>
  <c r="BF25" i="5" s="1"/>
  <c r="BK189" i="5"/>
  <c r="BJ327" i="5" a="1"/>
  <c r="BJ327" i="5" s="1"/>
  <c r="BJ287" i="5"/>
  <c r="BJ307" i="5" a="1"/>
  <c r="BJ307" i="5" s="1"/>
  <c r="BE171" i="5" l="1"/>
  <c r="BF23" i="5"/>
  <c r="BH185" i="5"/>
  <c r="BG283" i="5"/>
  <c r="BG323" i="5" a="1"/>
  <c r="BG323" i="5" s="1"/>
  <c r="BG303" i="5" a="1"/>
  <c r="BG303" i="5" s="1"/>
  <c r="BD220" i="5"/>
  <c r="BL190" i="5"/>
  <c r="BK328" i="5" a="1"/>
  <c r="BK328" i="5" s="1"/>
  <c r="BK308" i="5" a="1"/>
  <c r="BK308" i="5" s="1"/>
  <c r="BK288" i="5"/>
  <c r="BF30" i="5"/>
  <c r="BP314" i="5" a="1"/>
  <c r="BP314" i="5" s="1"/>
  <c r="BD237" i="5"/>
  <c r="BD248" i="5" s="1"/>
  <c r="BD239" i="5" l="1"/>
  <c r="BD247" i="5"/>
  <c r="BD246" i="5" s="1"/>
  <c r="BI186" i="5"/>
  <c r="BH284" i="5"/>
  <c r="BH304" i="5" a="1"/>
  <c r="BH304" i="5" s="1"/>
  <c r="BH324" i="5" a="1"/>
  <c r="BH324" i="5" s="1"/>
  <c r="BH249" i="5"/>
  <c r="BM191" i="5"/>
  <c r="BL289" i="5"/>
  <c r="BL309" i="5" a="1"/>
  <c r="BL309" i="5" s="1"/>
  <c r="BE176" i="5"/>
  <c r="BE181" i="5"/>
  <c r="BE200" i="5"/>
  <c r="BE204" i="5" s="1"/>
  <c r="BF182" i="5" l="1"/>
  <c r="BE177" i="5"/>
  <c r="BE178" i="5" s="1"/>
  <c r="BE300" i="5" a="1"/>
  <c r="BE300" i="5" s="1"/>
  <c r="BE316" i="5" s="1"/>
  <c r="BE317" i="5" s="1"/>
  <c r="BE320" i="5" a="1"/>
  <c r="BE320" i="5" s="1"/>
  <c r="BE330" i="5" s="1"/>
  <c r="BE331" i="5" s="1"/>
  <c r="BE335" i="5" s="1" a="1"/>
  <c r="BE335" i="5" s="1"/>
  <c r="BE280" i="5"/>
  <c r="BE296" i="5" s="1"/>
  <c r="BE297" i="5" s="1"/>
  <c r="BE172" i="5" a="1"/>
  <c r="BE172" i="5" s="1"/>
  <c r="BE209" i="5" s="1"/>
  <c r="BE208" i="5"/>
  <c r="BF40" i="5" s="1"/>
  <c r="BJ187" i="5"/>
  <c r="BI305" i="5" a="1"/>
  <c r="BI305" i="5" s="1"/>
  <c r="BI285" i="5"/>
  <c r="BI325" i="5" a="1"/>
  <c r="BI325" i="5" s="1"/>
  <c r="BN192" i="5"/>
  <c r="BM290" i="5"/>
  <c r="BM310" i="5" a="1"/>
  <c r="BM310" i="5" s="1"/>
  <c r="BD245" i="5"/>
  <c r="BE223" i="5" l="1"/>
  <c r="BE230" i="5"/>
  <c r="BF232" i="5"/>
  <c r="BF231" i="5" s="1"/>
  <c r="BF32" i="5"/>
  <c r="BF101" i="5"/>
  <c r="BD252" i="5"/>
  <c r="BD275" i="5" s="1"/>
  <c r="BD339" i="5" s="1"/>
  <c r="BD338" i="5" s="1"/>
  <c r="BO193" i="5"/>
  <c r="BN291" i="5"/>
  <c r="BN311" i="5" a="1"/>
  <c r="BN311" i="5" s="1"/>
  <c r="BC54" i="7" a="1"/>
  <c r="BC54" i="7" s="1"/>
  <c r="BE54" i="7" a="1"/>
  <c r="BE54" i="7" s="1"/>
  <c r="BD54" i="7" a="1"/>
  <c r="BD54" i="7" s="1"/>
  <c r="BF54" i="7" a="1"/>
  <c r="BF54" i="7" s="1"/>
  <c r="BG54" i="7" a="1"/>
  <c r="BG54" i="7" s="1"/>
  <c r="BH54" i="7" a="1"/>
  <c r="BH54" i="7" s="1"/>
  <c r="BI54" i="7" a="1"/>
  <c r="BI54" i="7" s="1"/>
  <c r="BJ54" i="7" a="1"/>
  <c r="BJ54" i="7" s="1"/>
  <c r="W54" i="7" a="1"/>
  <c r="W54" i="7" s="1"/>
  <c r="AV54" i="7" a="1"/>
  <c r="AV54" i="7" s="1"/>
  <c r="O54" i="7" a="1"/>
  <c r="O54" i="7" s="1"/>
  <c r="X54" i="7" a="1"/>
  <c r="X54" i="7" s="1"/>
  <c r="H54" i="7" a="1"/>
  <c r="H54" i="7" s="1"/>
  <c r="Y54" i="7" a="1"/>
  <c r="Y54" i="7" s="1"/>
  <c r="AM54" i="7" a="1"/>
  <c r="AM54" i="7" s="1"/>
  <c r="AX54" i="7" a="1"/>
  <c r="AX54" i="7" s="1"/>
  <c r="F54" i="7" a="1"/>
  <c r="F54" i="7" s="1"/>
  <c r="Q54" i="7" a="1"/>
  <c r="Q54" i="7" s="1"/>
  <c r="R54" i="7" a="1"/>
  <c r="R54" i="7" s="1"/>
  <c r="T54" i="7" a="1"/>
  <c r="T54" i="7" s="1"/>
  <c r="BB54" i="7" a="1"/>
  <c r="BB54" i="7" s="1"/>
  <c r="BK54" i="7" a="1"/>
  <c r="BK54" i="7" s="1"/>
  <c r="E54" i="7" a="1"/>
  <c r="E54" i="7" s="1"/>
  <c r="AW54" i="7" a="1"/>
  <c r="AW54" i="7" s="1"/>
  <c r="AK54" i="7" a="1"/>
  <c r="AK54" i="7" s="1"/>
  <c r="AQ54" i="7" a="1"/>
  <c r="AQ54" i="7" s="1"/>
  <c r="BL54" i="7" a="1"/>
  <c r="BL54" i="7" s="1"/>
  <c r="Z54" i="7" a="1"/>
  <c r="Z54" i="7" s="1"/>
  <c r="AC54" i="7" a="1"/>
  <c r="AC54" i="7" s="1"/>
  <c r="AE54" i="7" a="1"/>
  <c r="AE54" i="7" s="1"/>
  <c r="AL54" i="7" a="1"/>
  <c r="AL54" i="7" s="1"/>
  <c r="AO54" i="7" a="1"/>
  <c r="AO54" i="7" s="1"/>
  <c r="V54" i="7" a="1"/>
  <c r="V54" i="7" s="1"/>
  <c r="AH54" i="7" a="1"/>
  <c r="AH54" i="7" s="1"/>
  <c r="K54" i="7" a="1"/>
  <c r="K54" i="7" s="1"/>
  <c r="G54" i="7" a="1"/>
  <c r="G54" i="7" s="1"/>
  <c r="AN54" i="7" a="1"/>
  <c r="AN54" i="7" s="1"/>
  <c r="AZ54" i="7" a="1"/>
  <c r="AZ54" i="7" s="1"/>
  <c r="AS54" i="7" a="1"/>
  <c r="AS54" i="7" s="1"/>
  <c r="S54" i="7" a="1"/>
  <c r="S54" i="7" s="1"/>
  <c r="M54" i="7" a="1"/>
  <c r="M54" i="7" s="1"/>
  <c r="AJ54" i="7" a="1"/>
  <c r="AJ54" i="7" s="1"/>
  <c r="AI54" i="7" a="1"/>
  <c r="AI54" i="7" s="1"/>
  <c r="AU54" i="7" a="1"/>
  <c r="AU54" i="7" s="1"/>
  <c r="AD54" i="7" a="1"/>
  <c r="AD54" i="7" s="1"/>
  <c r="AG54" i="7" a="1"/>
  <c r="AG54" i="7" s="1"/>
  <c r="AT54" i="7" a="1"/>
  <c r="AT54" i="7" s="1"/>
  <c r="L54" i="7" a="1"/>
  <c r="L54" i="7" s="1"/>
  <c r="BA54" i="7" a="1"/>
  <c r="BA54" i="7" s="1"/>
  <c r="U54" i="7" a="1"/>
  <c r="U54" i="7" s="1"/>
  <c r="N54" i="7" a="1"/>
  <c r="N54" i="7" s="1"/>
  <c r="J54" i="7" a="1"/>
  <c r="J54" i="7" s="1"/>
  <c r="AA54" i="7" a="1"/>
  <c r="AA54" i="7" s="1"/>
  <c r="AB54" i="7" a="1"/>
  <c r="AB54" i="7" s="1"/>
  <c r="AR54" i="7" a="1"/>
  <c r="AR54" i="7" s="1"/>
  <c r="AP54" i="7" a="1"/>
  <c r="AP54" i="7" s="1"/>
  <c r="AF54" i="7" a="1"/>
  <c r="AF54" i="7" s="1"/>
  <c r="I54" i="7" a="1"/>
  <c r="I54" i="7" s="1"/>
  <c r="P54" i="7" a="1"/>
  <c r="P54" i="7" s="1"/>
  <c r="AY54" i="7" a="1"/>
  <c r="AY54" i="7" s="1"/>
  <c r="BK188" i="5"/>
  <c r="BJ326" i="5" a="1"/>
  <c r="BJ326" i="5" s="1"/>
  <c r="BJ306" i="5" a="1"/>
  <c r="BJ306" i="5" s="1"/>
  <c r="BJ286" i="5"/>
  <c r="BE174" i="5"/>
  <c r="BF211" i="5" s="1"/>
  <c r="BE210" i="5"/>
  <c r="BE212" i="5" s="1"/>
  <c r="BE217" i="5" s="1"/>
  <c r="BE216" i="5" s="1"/>
  <c r="BE229" i="5"/>
  <c r="BE227" i="5" s="1"/>
  <c r="BE202" i="5"/>
  <c r="BE173" i="5"/>
  <c r="BG183" i="5"/>
  <c r="BF321" i="5" a="1"/>
  <c r="BF321" i="5" s="1"/>
  <c r="BF228" i="5"/>
  <c r="BF301" i="5" a="1"/>
  <c r="BF301" i="5" s="1"/>
  <c r="BF281" i="5"/>
  <c r="BE219" i="5" l="1"/>
  <c r="BL189" i="5"/>
  <c r="BK327" i="5" a="1"/>
  <c r="BK327" i="5" s="1"/>
  <c r="BK307" i="5" a="1"/>
  <c r="BK307" i="5" s="1"/>
  <c r="BK287" i="5"/>
  <c r="BF35" i="5"/>
  <c r="BG38" i="5"/>
  <c r="BF33" i="5"/>
  <c r="BF27" i="5" s="1" a="1"/>
  <c r="BF27" i="5" s="1"/>
  <c r="BF28" i="5" s="1"/>
  <c r="BH184" i="5"/>
  <c r="BG282" i="5"/>
  <c r="BG322" i="5" a="1"/>
  <c r="BG322" i="5" s="1"/>
  <c r="BG302" i="5" a="1"/>
  <c r="BG302" i="5" s="1"/>
  <c r="BP194" i="5"/>
  <c r="BO312" i="5" a="1"/>
  <c r="BO312" i="5" s="1"/>
  <c r="BE237" i="5"/>
  <c r="BE248" i="5" s="1"/>
  <c r="BF171" i="5" l="1"/>
  <c r="BG23" i="5"/>
  <c r="BP313" i="5" a="1"/>
  <c r="BP313" i="5" s="1"/>
  <c r="BQ195" i="5"/>
  <c r="BM190" i="5"/>
  <c r="BL308" i="5" a="1"/>
  <c r="BL308" i="5" s="1"/>
  <c r="BL328" i="5" a="1"/>
  <c r="BL328" i="5" s="1"/>
  <c r="BL288" i="5"/>
  <c r="BF34" i="5"/>
  <c r="BG25" i="5" s="1"/>
  <c r="BI185" i="5"/>
  <c r="BH303" i="5" a="1"/>
  <c r="BH303" i="5" s="1"/>
  <c r="BH283" i="5"/>
  <c r="BH323" i="5" a="1"/>
  <c r="BH323" i="5" s="1"/>
  <c r="BG30" i="5"/>
  <c r="BE220" i="5"/>
  <c r="BE239" i="5" l="1"/>
  <c r="BE247" i="5"/>
  <c r="BE246" i="5" s="1"/>
  <c r="BN191" i="5"/>
  <c r="BM309" i="5" a="1"/>
  <c r="BM309" i="5" s="1"/>
  <c r="BM289" i="5"/>
  <c r="BQ314" i="5" a="1"/>
  <c r="BQ314" i="5" s="1"/>
  <c r="BJ186" i="5"/>
  <c r="BI284" i="5"/>
  <c r="BI249" i="5"/>
  <c r="BI324" i="5" a="1"/>
  <c r="BI324" i="5" s="1"/>
  <c r="BI304" i="5" a="1"/>
  <c r="BI304" i="5" s="1"/>
  <c r="BF176" i="5"/>
  <c r="BF181" i="5"/>
  <c r="BF200" i="5"/>
  <c r="BF204" i="5" s="1"/>
  <c r="BK187" i="5" l="1"/>
  <c r="BJ305" i="5" a="1"/>
  <c r="BJ305" i="5" s="1"/>
  <c r="BJ325" i="5" a="1"/>
  <c r="BJ325" i="5" s="1"/>
  <c r="BJ285" i="5"/>
  <c r="BO192" i="5"/>
  <c r="BN310" i="5" a="1"/>
  <c r="BN310" i="5" s="1"/>
  <c r="BN290" i="5"/>
  <c r="BD53" i="7" a="1"/>
  <c r="BD53" i="7" s="1"/>
  <c r="BH53" i="7" a="1"/>
  <c r="BH53" i="7" s="1"/>
  <c r="BE53" i="7" a="1"/>
  <c r="BE53" i="7" s="1"/>
  <c r="BF53" i="7" a="1"/>
  <c r="BF53" i="7" s="1"/>
  <c r="BG53" i="7" a="1"/>
  <c r="BG53" i="7" s="1"/>
  <c r="BI53" i="7" a="1"/>
  <c r="BI53" i="7" s="1"/>
  <c r="BJ53" i="7" a="1"/>
  <c r="BJ53" i="7" s="1"/>
  <c r="AO53" i="7" a="1"/>
  <c r="AO53" i="7" s="1"/>
  <c r="AH53" i="7" a="1"/>
  <c r="AH53" i="7" s="1"/>
  <c r="AV53" i="7" a="1"/>
  <c r="AV53" i="7" s="1"/>
  <c r="AD53" i="7" a="1"/>
  <c r="AD53" i="7" s="1"/>
  <c r="AF53" i="7" a="1"/>
  <c r="AF53" i="7" s="1"/>
  <c r="R53" i="7" a="1"/>
  <c r="R53" i="7" s="1"/>
  <c r="AU53" i="7" a="1"/>
  <c r="AU53" i="7" s="1"/>
  <c r="F53" i="7" a="1"/>
  <c r="F53" i="7" s="1"/>
  <c r="AX53" i="7" a="1"/>
  <c r="AX53" i="7" s="1"/>
  <c r="AA53" i="7" a="1"/>
  <c r="AA53" i="7" s="1"/>
  <c r="AW53" i="7" a="1"/>
  <c r="AW53" i="7" s="1"/>
  <c r="BL53" i="7" a="1"/>
  <c r="BL53" i="7" s="1"/>
  <c r="AB53" i="7" a="1"/>
  <c r="AB53" i="7" s="1"/>
  <c r="AI53" i="7" a="1"/>
  <c r="AI53" i="7" s="1"/>
  <c r="AE53" i="7" a="1"/>
  <c r="AE53" i="7" s="1"/>
  <c r="K53" i="7" a="1"/>
  <c r="K53" i="7" s="1"/>
  <c r="S53" i="7" a="1"/>
  <c r="S53" i="7" s="1"/>
  <c r="E53" i="7" a="1"/>
  <c r="E53" i="7" s="1"/>
  <c r="U53" i="7" a="1"/>
  <c r="U53" i="7" s="1"/>
  <c r="AS53" i="7" a="1"/>
  <c r="AS53" i="7" s="1"/>
  <c r="AC53" i="7" a="1"/>
  <c r="AC53" i="7" s="1"/>
  <c r="Y53" i="7" a="1"/>
  <c r="Y53" i="7" s="1"/>
  <c r="AM53" i="7" a="1"/>
  <c r="AM53" i="7" s="1"/>
  <c r="Q53" i="7" a="1"/>
  <c r="Q53" i="7" s="1"/>
  <c r="X53" i="7" a="1"/>
  <c r="X53" i="7" s="1"/>
  <c r="P53" i="7" a="1"/>
  <c r="P53" i="7" s="1"/>
  <c r="G53" i="7" a="1"/>
  <c r="G53" i="7" s="1"/>
  <c r="BC53" i="7" a="1"/>
  <c r="BC53" i="7" s="1"/>
  <c r="AJ53" i="7" a="1"/>
  <c r="AJ53" i="7" s="1"/>
  <c r="AL53" i="7" a="1"/>
  <c r="AL53" i="7" s="1"/>
  <c r="L53" i="7" a="1"/>
  <c r="L53" i="7" s="1"/>
  <c r="BK53" i="7" a="1"/>
  <c r="BK53" i="7" s="1"/>
  <c r="BA53" i="7" a="1"/>
  <c r="BA53" i="7" s="1"/>
  <c r="BB53" i="7" a="1"/>
  <c r="BB53" i="7" s="1"/>
  <c r="AG53" i="7" a="1"/>
  <c r="AG53" i="7" s="1"/>
  <c r="J53" i="7" a="1"/>
  <c r="J53" i="7" s="1"/>
  <c r="W53" i="7" a="1"/>
  <c r="W53" i="7" s="1"/>
  <c r="N53" i="7" a="1"/>
  <c r="N53" i="7" s="1"/>
  <c r="I53" i="7" a="1"/>
  <c r="I53" i="7" s="1"/>
  <c r="AY53" i="7" a="1"/>
  <c r="AY53" i="7" s="1"/>
  <c r="AP53" i="7" a="1"/>
  <c r="AP53" i="7" s="1"/>
  <c r="Z53" i="7" a="1"/>
  <c r="Z53" i="7" s="1"/>
  <c r="AQ53" i="7" a="1"/>
  <c r="AQ53" i="7" s="1"/>
  <c r="H53" i="7" a="1"/>
  <c r="H53" i="7" s="1"/>
  <c r="AN53" i="7" a="1"/>
  <c r="AN53" i="7" s="1"/>
  <c r="O53" i="7" a="1"/>
  <c r="O53" i="7" s="1"/>
  <c r="AK53" i="7" a="1"/>
  <c r="AK53" i="7" s="1"/>
  <c r="AZ53" i="7" a="1"/>
  <c r="AZ53" i="7" s="1"/>
  <c r="AT53" i="7" a="1"/>
  <c r="AT53" i="7" s="1"/>
  <c r="M53" i="7" a="1"/>
  <c r="M53" i="7" s="1"/>
  <c r="V53" i="7" a="1"/>
  <c r="V53" i="7" s="1"/>
  <c r="AR53" i="7" a="1"/>
  <c r="AR53" i="7" s="1"/>
  <c r="T53" i="7" a="1"/>
  <c r="T53" i="7" s="1"/>
  <c r="BG182" i="5"/>
  <c r="BF172" i="5" a="1"/>
  <c r="BF172" i="5" s="1"/>
  <c r="BF320" i="5" a="1"/>
  <c r="BF320" i="5" s="1"/>
  <c r="BF330" i="5" s="1"/>
  <c r="BF331" i="5" s="1"/>
  <c r="BF335" i="5" s="1" a="1"/>
  <c r="BF335" i="5" s="1"/>
  <c r="BF280" i="5"/>
  <c r="BF296" i="5" s="1"/>
  <c r="BF297" i="5" s="1"/>
  <c r="BF300" i="5" a="1"/>
  <c r="BF300" i="5" s="1"/>
  <c r="BF316" i="5" s="1"/>
  <c r="BF317" i="5" s="1"/>
  <c r="BF209" i="5"/>
  <c r="BF177" i="5"/>
  <c r="BF178" i="5" s="1"/>
  <c r="BF208" i="5"/>
  <c r="BG40" i="5" s="1"/>
  <c r="BE245" i="5"/>
  <c r="BF174" i="5" l="1"/>
  <c r="BF210" i="5"/>
  <c r="BF212" i="5" s="1"/>
  <c r="BF217" i="5" s="1"/>
  <c r="BF216" i="5" s="1"/>
  <c r="BF202" i="5"/>
  <c r="BF229" i="5"/>
  <c r="BF227" i="5" s="1"/>
  <c r="BF173" i="5"/>
  <c r="BE252" i="5"/>
  <c r="BE275" i="5" s="1"/>
  <c r="BE339" i="5" s="1"/>
  <c r="BE338" i="5" s="1"/>
  <c r="BH183" i="5"/>
  <c r="BG301" i="5" a="1"/>
  <c r="BG301" i="5" s="1"/>
  <c r="BG228" i="5"/>
  <c r="BG321" i="5" a="1"/>
  <c r="BG321" i="5" s="1"/>
  <c r="BG281" i="5"/>
  <c r="BP193" i="5"/>
  <c r="BO311" i="5" a="1"/>
  <c r="BO311" i="5" s="1"/>
  <c r="BG232" i="5"/>
  <c r="BG231" i="5" s="1"/>
  <c r="BG32" i="5"/>
  <c r="BG101" i="5"/>
  <c r="BF223" i="5"/>
  <c r="BF230" i="5"/>
  <c r="BL188" i="5"/>
  <c r="BK286" i="5"/>
  <c r="BK326" i="5" a="1"/>
  <c r="BK326" i="5" s="1"/>
  <c r="BK306" i="5" a="1"/>
  <c r="BK306" i="5" s="1"/>
  <c r="BF237" i="5" l="1"/>
  <c r="BF248" i="5" s="1"/>
  <c r="BQ194" i="5"/>
  <c r="BP312" i="5" a="1"/>
  <c r="BP312" i="5" s="1"/>
  <c r="BM189" i="5"/>
  <c r="BL307" i="5" a="1"/>
  <c r="BL307" i="5" s="1"/>
  <c r="BL327" i="5" a="1"/>
  <c r="BL327" i="5" s="1"/>
  <c r="BL287" i="5"/>
  <c r="BG35" i="5"/>
  <c r="BH38" i="5"/>
  <c r="BF219" i="5"/>
  <c r="BG33" i="5"/>
  <c r="BG27" i="5" s="1" a="1"/>
  <c r="BG27" i="5" s="1"/>
  <c r="BG28" i="5" s="1"/>
  <c r="BI184" i="5"/>
  <c r="BH322" i="5" a="1"/>
  <c r="BH322" i="5" s="1"/>
  <c r="BH302" i="5" a="1"/>
  <c r="BH302" i="5" s="1"/>
  <c r="BH282" i="5"/>
  <c r="BG211" i="5"/>
  <c r="BG171" i="5" l="1"/>
  <c r="BH23" i="5"/>
  <c r="BG34" i="5"/>
  <c r="BH25" i="5" s="1"/>
  <c r="BJ185" i="5"/>
  <c r="BI283" i="5"/>
  <c r="BI323" i="5" a="1"/>
  <c r="BI323" i="5" s="1"/>
  <c r="BI303" i="5" a="1"/>
  <c r="BI303" i="5" s="1"/>
  <c r="BH30" i="5"/>
  <c r="BQ313" i="5" a="1"/>
  <c r="BQ313" i="5" s="1"/>
  <c r="BR195" i="5"/>
  <c r="BF220" i="5"/>
  <c r="BN190" i="5"/>
  <c r="BM288" i="5"/>
  <c r="BM328" i="5" a="1"/>
  <c r="BM328" i="5" s="1"/>
  <c r="BM308" i="5" a="1"/>
  <c r="BM308" i="5" s="1"/>
  <c r="BO191" i="5" l="1"/>
  <c r="BN309" i="5" a="1"/>
  <c r="BN309" i="5" s="1"/>
  <c r="BN289" i="5"/>
  <c r="BH52" i="7" a="1"/>
  <c r="BH52" i="7" s="1"/>
  <c r="BF52" i="7" a="1"/>
  <c r="BF52" i="7" s="1"/>
  <c r="BD52" i="7" a="1"/>
  <c r="BD52" i="7" s="1"/>
  <c r="BI52" i="7" a="1"/>
  <c r="BI52" i="7" s="1"/>
  <c r="BE52" i="7" a="1"/>
  <c r="BE52" i="7" s="1"/>
  <c r="BG52" i="7" a="1"/>
  <c r="BG52" i="7" s="1"/>
  <c r="BJ52" i="7" a="1"/>
  <c r="BJ52" i="7" s="1"/>
  <c r="AB52" i="7" a="1"/>
  <c r="AB52" i="7" s="1"/>
  <c r="T52" i="7" a="1"/>
  <c r="T52" i="7" s="1"/>
  <c r="O52" i="7" a="1"/>
  <c r="O52" i="7" s="1"/>
  <c r="L52" i="7" a="1"/>
  <c r="L52" i="7" s="1"/>
  <c r="BA52" i="7" a="1"/>
  <c r="BA52" i="7" s="1"/>
  <c r="E52" i="7" a="1"/>
  <c r="E52" i="7" s="1"/>
  <c r="R52" i="7" a="1"/>
  <c r="R52" i="7" s="1"/>
  <c r="AD52" i="7" a="1"/>
  <c r="AD52" i="7" s="1"/>
  <c r="AC52" i="7" a="1"/>
  <c r="AC52" i="7" s="1"/>
  <c r="AO52" i="7" a="1"/>
  <c r="AO52" i="7" s="1"/>
  <c r="Y52" i="7" a="1"/>
  <c r="Y52" i="7" s="1"/>
  <c r="AV52" i="7" a="1"/>
  <c r="AV52" i="7" s="1"/>
  <c r="AR52" i="7" a="1"/>
  <c r="AR52" i="7" s="1"/>
  <c r="AW52" i="7" a="1"/>
  <c r="AW52" i="7" s="1"/>
  <c r="I52" i="7" a="1"/>
  <c r="I52" i="7" s="1"/>
  <c r="K52" i="7" a="1"/>
  <c r="K52" i="7" s="1"/>
  <c r="U52" i="7" a="1"/>
  <c r="U52" i="7" s="1"/>
  <c r="AJ52" i="7" a="1"/>
  <c r="AJ52" i="7" s="1"/>
  <c r="N52" i="7" a="1"/>
  <c r="N52" i="7" s="1"/>
  <c r="H52" i="7" a="1"/>
  <c r="H52" i="7" s="1"/>
  <c r="P52" i="7" a="1"/>
  <c r="P52" i="7" s="1"/>
  <c r="AY52" i="7" a="1"/>
  <c r="AY52" i="7" s="1"/>
  <c r="BB52" i="7" a="1"/>
  <c r="BB52" i="7" s="1"/>
  <c r="AI52" i="7" a="1"/>
  <c r="AI52" i="7" s="1"/>
  <c r="J52" i="7" a="1"/>
  <c r="J52" i="7" s="1"/>
  <c r="AZ52" i="7" a="1"/>
  <c r="AZ52" i="7" s="1"/>
  <c r="Z52" i="7" a="1"/>
  <c r="Z52" i="7" s="1"/>
  <c r="AN52" i="7" a="1"/>
  <c r="AN52" i="7" s="1"/>
  <c r="S52" i="7" a="1"/>
  <c r="S52" i="7" s="1"/>
  <c r="AK52" i="7" a="1"/>
  <c r="AK52" i="7" s="1"/>
  <c r="X52" i="7" a="1"/>
  <c r="X52" i="7" s="1"/>
  <c r="AL52" i="7" a="1"/>
  <c r="AL52" i="7" s="1"/>
  <c r="AP52" i="7" a="1"/>
  <c r="AP52" i="7" s="1"/>
  <c r="AS52" i="7" a="1"/>
  <c r="AS52" i="7" s="1"/>
  <c r="AM52" i="7" a="1"/>
  <c r="AM52" i="7" s="1"/>
  <c r="BK52" i="7" a="1"/>
  <c r="BK52" i="7" s="1"/>
  <c r="AH52" i="7" a="1"/>
  <c r="AH52" i="7" s="1"/>
  <c r="AG52" i="7" a="1"/>
  <c r="AG52" i="7" s="1"/>
  <c r="W52" i="7" a="1"/>
  <c r="W52" i="7" s="1"/>
  <c r="M52" i="7" a="1"/>
  <c r="M52" i="7" s="1"/>
  <c r="F52" i="7" a="1"/>
  <c r="F52" i="7" s="1"/>
  <c r="BL52" i="7" a="1"/>
  <c r="BL52" i="7" s="1"/>
  <c r="G52" i="7" a="1"/>
  <c r="G52" i="7" s="1"/>
  <c r="AF52" i="7" a="1"/>
  <c r="AF52" i="7" s="1"/>
  <c r="AX52" i="7" a="1"/>
  <c r="AX52" i="7" s="1"/>
  <c r="AU52" i="7" a="1"/>
  <c r="AU52" i="7" s="1"/>
  <c r="V52" i="7" a="1"/>
  <c r="V52" i="7" s="1"/>
  <c r="AE52" i="7" a="1"/>
  <c r="AE52" i="7" s="1"/>
  <c r="AQ52" i="7" a="1"/>
  <c r="AQ52" i="7" s="1"/>
  <c r="AA52" i="7" a="1"/>
  <c r="AA52" i="7" s="1"/>
  <c r="Q52" i="7" a="1"/>
  <c r="Q52" i="7" s="1"/>
  <c r="BC52" i="7" a="1"/>
  <c r="BC52" i="7" s="1"/>
  <c r="AT52" i="7" a="1"/>
  <c r="AT52" i="7" s="1"/>
  <c r="BF239" i="5"/>
  <c r="BF247" i="5"/>
  <c r="BF246" i="5" s="1"/>
  <c r="BK186" i="5"/>
  <c r="BJ304" i="5" a="1"/>
  <c r="BJ304" i="5" s="1"/>
  <c r="BJ249" i="5"/>
  <c r="BJ324" i="5" a="1"/>
  <c r="BJ324" i="5" s="1"/>
  <c r="BJ284" i="5"/>
  <c r="BR314" i="5" a="1"/>
  <c r="BR314" i="5" s="1"/>
  <c r="BG176" i="5"/>
  <c r="BG181" i="5"/>
  <c r="BG200" i="5"/>
  <c r="BG204" i="5" s="1"/>
  <c r="BH182" i="5" l="1"/>
  <c r="BG300" i="5" a="1"/>
  <c r="BG300" i="5" s="1"/>
  <c r="BG316" i="5" s="1"/>
  <c r="BG317" i="5" s="1"/>
  <c r="BG320" i="5" a="1"/>
  <c r="BG320" i="5" s="1"/>
  <c r="BG330" i="5" s="1"/>
  <c r="BG331" i="5" s="1"/>
  <c r="BG335" i="5" s="1" a="1"/>
  <c r="BG335" i="5" s="1"/>
  <c r="BG172" i="5" a="1"/>
  <c r="BG172" i="5" s="1"/>
  <c r="BG209" i="5" s="1"/>
  <c r="BG280" i="5"/>
  <c r="BG296" i="5" s="1"/>
  <c r="BG297" i="5" s="1"/>
  <c r="BG177" i="5"/>
  <c r="BG208" i="5"/>
  <c r="BH40" i="5" s="1"/>
  <c r="BL187" i="5"/>
  <c r="BK305" i="5" a="1"/>
  <c r="BK305" i="5" s="1"/>
  <c r="BK285" i="5"/>
  <c r="BK325" i="5" a="1"/>
  <c r="BK325" i="5" s="1"/>
  <c r="BP192" i="5"/>
  <c r="BO310" i="5" a="1"/>
  <c r="BO310" i="5" s="1"/>
  <c r="BG178" i="5"/>
  <c r="BF245" i="5"/>
  <c r="BG223" i="5" l="1"/>
  <c r="BG230" i="5"/>
  <c r="BH232" i="5"/>
  <c r="BH231" i="5" s="1"/>
  <c r="BH32" i="5"/>
  <c r="BH101" i="5"/>
  <c r="BQ193" i="5"/>
  <c r="BP311" i="5" a="1"/>
  <c r="BP311" i="5" s="1"/>
  <c r="BG174" i="5"/>
  <c r="BG210" i="5"/>
  <c r="BG212" i="5" s="1"/>
  <c r="BG217" i="5" s="1"/>
  <c r="BG216" i="5" s="1"/>
  <c r="BG202" i="5"/>
  <c r="BG229" i="5"/>
  <c r="BG227" i="5" s="1"/>
  <c r="BG173" i="5"/>
  <c r="BF252" i="5"/>
  <c r="BF275" i="5" s="1"/>
  <c r="BF339" i="5" s="1"/>
  <c r="BF338" i="5" s="1"/>
  <c r="BM188" i="5"/>
  <c r="BL326" i="5" a="1"/>
  <c r="BL326" i="5" s="1"/>
  <c r="BL286" i="5"/>
  <c r="BL306" i="5" a="1"/>
  <c r="BL306" i="5" s="1"/>
  <c r="BI183" i="5"/>
  <c r="BH321" i="5" a="1"/>
  <c r="BH321" i="5" s="1"/>
  <c r="BH301" i="5" a="1"/>
  <c r="BH301" i="5" s="1"/>
  <c r="BH281" i="5"/>
  <c r="BH228" i="5"/>
  <c r="BR194" i="5" l="1"/>
  <c r="BQ312" i="5" a="1"/>
  <c r="BQ312" i="5" s="1"/>
  <c r="BN189" i="5"/>
  <c r="BM287" i="5"/>
  <c r="BM307" i="5" a="1"/>
  <c r="BM307" i="5" s="1"/>
  <c r="BM327" i="5" a="1"/>
  <c r="BM327" i="5" s="1"/>
  <c r="BH211" i="5"/>
  <c r="BH35" i="5"/>
  <c r="BI38" i="5"/>
  <c r="BJ184" i="5"/>
  <c r="BI302" i="5" a="1"/>
  <c r="BI302" i="5" s="1"/>
  <c r="BI322" i="5" a="1"/>
  <c r="BI322" i="5" s="1"/>
  <c r="BI282" i="5"/>
  <c r="BG219" i="5"/>
  <c r="BH27" i="5" a="1"/>
  <c r="BH27" i="5" s="1"/>
  <c r="BH28" i="5" s="1"/>
  <c r="BH33" i="5"/>
  <c r="BH34" i="5"/>
  <c r="BI25" i="5" s="1"/>
  <c r="BG237" i="5"/>
  <c r="BG248" i="5" s="1"/>
  <c r="BH171" i="5" l="1"/>
  <c r="BI23" i="5"/>
  <c r="BK185" i="5"/>
  <c r="BJ283" i="5"/>
  <c r="BJ323" i="5" a="1"/>
  <c r="BJ323" i="5" s="1"/>
  <c r="BJ303" i="5" a="1"/>
  <c r="BJ303" i="5" s="1"/>
  <c r="BG220" i="5"/>
  <c r="BO190" i="5"/>
  <c r="BN308" i="5" a="1"/>
  <c r="BN308" i="5" s="1"/>
  <c r="BN288" i="5"/>
  <c r="BN328" i="5" a="1"/>
  <c r="BN328" i="5" s="1"/>
  <c r="BE51" i="7" a="1"/>
  <c r="BE51" i="7" s="1"/>
  <c r="BF51" i="7" a="1"/>
  <c r="BF51" i="7" s="1"/>
  <c r="BD51" i="7" a="1"/>
  <c r="BD51" i="7" s="1"/>
  <c r="BH51" i="7" a="1"/>
  <c r="BH51" i="7" s="1"/>
  <c r="BG51" i="7" a="1"/>
  <c r="BG51" i="7" s="1"/>
  <c r="BJ51" i="7" a="1"/>
  <c r="BJ51" i="7" s="1"/>
  <c r="BI51" i="7" a="1"/>
  <c r="BI51" i="7" s="1"/>
  <c r="W51" i="7" a="1"/>
  <c r="W51" i="7" s="1"/>
  <c r="Q51" i="7" a="1"/>
  <c r="Q51" i="7" s="1"/>
  <c r="BL51" i="7" a="1"/>
  <c r="BL51" i="7" s="1"/>
  <c r="BK51" i="7" a="1"/>
  <c r="BK51" i="7" s="1"/>
  <c r="AO51" i="7" a="1"/>
  <c r="AO51" i="7" s="1"/>
  <c r="G51" i="7" a="1"/>
  <c r="G51" i="7" s="1"/>
  <c r="AH51" i="7" a="1"/>
  <c r="AH51" i="7" s="1"/>
  <c r="AK51" i="7" a="1"/>
  <c r="AK51" i="7" s="1"/>
  <c r="AS51" i="7" a="1"/>
  <c r="AS51" i="7" s="1"/>
  <c r="AL51" i="7" a="1"/>
  <c r="AL51" i="7" s="1"/>
  <c r="AX51" i="7" a="1"/>
  <c r="AX51" i="7" s="1"/>
  <c r="BA51" i="7" a="1"/>
  <c r="BA51" i="7" s="1"/>
  <c r="F51" i="7" a="1"/>
  <c r="F51" i="7" s="1"/>
  <c r="AJ51" i="7" a="1"/>
  <c r="AJ51" i="7" s="1"/>
  <c r="AN51" i="7" a="1"/>
  <c r="AN51" i="7" s="1"/>
  <c r="N51" i="7" a="1"/>
  <c r="N51" i="7" s="1"/>
  <c r="J51" i="7" a="1"/>
  <c r="J51" i="7" s="1"/>
  <c r="R51" i="7" a="1"/>
  <c r="R51" i="7" s="1"/>
  <c r="AI51" i="7" a="1"/>
  <c r="AI51" i="7" s="1"/>
  <c r="U51" i="7" a="1"/>
  <c r="U51" i="7" s="1"/>
  <c r="AR51" i="7" a="1"/>
  <c r="AR51" i="7" s="1"/>
  <c r="Z51" i="7" a="1"/>
  <c r="Z51" i="7" s="1"/>
  <c r="K51" i="7" a="1"/>
  <c r="K51" i="7" s="1"/>
  <c r="AU51" i="7" a="1"/>
  <c r="AU51" i="7" s="1"/>
  <c r="AA51" i="7" a="1"/>
  <c r="AA51" i="7" s="1"/>
  <c r="L51" i="7" a="1"/>
  <c r="L51" i="7" s="1"/>
  <c r="AZ51" i="7" a="1"/>
  <c r="AZ51" i="7" s="1"/>
  <c r="Y51" i="7" a="1"/>
  <c r="Y51" i="7" s="1"/>
  <c r="AD51" i="7" a="1"/>
  <c r="AD51" i="7" s="1"/>
  <c r="P51" i="7" a="1"/>
  <c r="P51" i="7" s="1"/>
  <c r="AG51" i="7" a="1"/>
  <c r="AG51" i="7" s="1"/>
  <c r="AQ51" i="7" a="1"/>
  <c r="AQ51" i="7" s="1"/>
  <c r="AM51" i="7" a="1"/>
  <c r="AM51" i="7" s="1"/>
  <c r="I51" i="7" a="1"/>
  <c r="I51" i="7" s="1"/>
  <c r="AP51" i="7" a="1"/>
  <c r="AP51" i="7" s="1"/>
  <c r="S51" i="7" a="1"/>
  <c r="S51" i="7" s="1"/>
  <c r="AB51" i="7" a="1"/>
  <c r="AB51" i="7" s="1"/>
  <c r="AE51" i="7" a="1"/>
  <c r="AE51" i="7" s="1"/>
  <c r="V51" i="7" a="1"/>
  <c r="V51" i="7" s="1"/>
  <c r="AW51" i="7" a="1"/>
  <c r="AW51" i="7" s="1"/>
  <c r="AY51" i="7" a="1"/>
  <c r="AY51" i="7" s="1"/>
  <c r="E51" i="7" a="1"/>
  <c r="E51" i="7" s="1"/>
  <c r="T51" i="7" a="1"/>
  <c r="T51" i="7" s="1"/>
  <c r="AF51" i="7" a="1"/>
  <c r="AF51" i="7" s="1"/>
  <c r="M51" i="7" a="1"/>
  <c r="M51" i="7" s="1"/>
  <c r="X51" i="7" a="1"/>
  <c r="X51" i="7" s="1"/>
  <c r="H51" i="7" a="1"/>
  <c r="H51" i="7" s="1"/>
  <c r="BC51" i="7" a="1"/>
  <c r="BC51" i="7" s="1"/>
  <c r="AC51" i="7" a="1"/>
  <c r="AC51" i="7" s="1"/>
  <c r="BB51" i="7" a="1"/>
  <c r="BB51" i="7" s="1"/>
  <c r="AT51" i="7" a="1"/>
  <c r="AT51" i="7" s="1"/>
  <c r="O51" i="7" a="1"/>
  <c r="O51" i="7" s="1"/>
  <c r="AV51" i="7" a="1"/>
  <c r="AV51" i="7" s="1"/>
  <c r="BI30" i="5"/>
  <c r="BR313" i="5" a="1"/>
  <c r="BR313" i="5" s="1"/>
  <c r="BS195" i="5"/>
  <c r="BL186" i="5" l="1"/>
  <c r="BK284" i="5"/>
  <c r="BK324" i="5" a="1"/>
  <c r="BK324" i="5" s="1"/>
  <c r="BK304" i="5" a="1"/>
  <c r="BK304" i="5" s="1"/>
  <c r="BK249" i="5"/>
  <c r="BS314" i="5" a="1"/>
  <c r="BS314" i="5" s="1"/>
  <c r="BP191" i="5"/>
  <c r="BO309" i="5" a="1"/>
  <c r="BO309" i="5" s="1"/>
  <c r="BG239" i="5"/>
  <c r="BG247" i="5"/>
  <c r="BG246" i="5" s="1"/>
  <c r="BH176" i="5"/>
  <c r="BH181" i="5"/>
  <c r="BH200" i="5"/>
  <c r="BH204" i="5" s="1"/>
  <c r="BI182" i="5" l="1"/>
  <c r="BH300" i="5" a="1"/>
  <c r="BH300" i="5" s="1"/>
  <c r="BH316" i="5" s="1"/>
  <c r="BH317" i="5" s="1"/>
  <c r="BH177" i="5"/>
  <c r="BH178" i="5" s="1"/>
  <c r="BH320" i="5" a="1"/>
  <c r="BH320" i="5" s="1"/>
  <c r="BH330" i="5" s="1"/>
  <c r="BH331" i="5" s="1"/>
  <c r="BH335" i="5" s="1" a="1"/>
  <c r="BH335" i="5" s="1"/>
  <c r="BH172" i="5" a="1"/>
  <c r="BH172" i="5" s="1"/>
  <c r="BH209" i="5"/>
  <c r="BH280" i="5"/>
  <c r="BH296" i="5" s="1"/>
  <c r="BH297" i="5" s="1"/>
  <c r="BH208" i="5"/>
  <c r="BI40" i="5" s="1"/>
  <c r="BQ192" i="5"/>
  <c r="BP310" i="5" a="1"/>
  <c r="BP310" i="5" s="1"/>
  <c r="BG245" i="5"/>
  <c r="BM187" i="5"/>
  <c r="BL305" i="5" a="1"/>
  <c r="BL305" i="5" s="1"/>
  <c r="BL325" i="5" a="1"/>
  <c r="BL325" i="5" s="1"/>
  <c r="BL285" i="5"/>
  <c r="BI232" i="5" l="1"/>
  <c r="BI231" i="5" s="1"/>
  <c r="BI32" i="5"/>
  <c r="BI101" i="5"/>
  <c r="BN188" i="5"/>
  <c r="BM306" i="5" a="1"/>
  <c r="BM306" i="5" s="1"/>
  <c r="BM326" i="5" a="1"/>
  <c r="BM326" i="5" s="1"/>
  <c r="BM286" i="5"/>
  <c r="BG252" i="5"/>
  <c r="BG275" i="5" s="1"/>
  <c r="BG339" i="5" s="1"/>
  <c r="BG338" i="5" s="1"/>
  <c r="BH210" i="5"/>
  <c r="BH212" i="5" s="1"/>
  <c r="BH217" i="5" s="1"/>
  <c r="BH216" i="5" s="1"/>
  <c r="BH174" i="5"/>
  <c r="BH202" i="5"/>
  <c r="BH229" i="5"/>
  <c r="BH227" i="5" s="1"/>
  <c r="BH173" i="5"/>
  <c r="BH223" i="5"/>
  <c r="BH230" i="5"/>
  <c r="BR193" i="5"/>
  <c r="BQ311" i="5" a="1"/>
  <c r="BQ311" i="5" s="1"/>
  <c r="BJ183" i="5"/>
  <c r="BI228" i="5"/>
  <c r="BI301" i="5" a="1"/>
  <c r="BI301" i="5" s="1"/>
  <c r="BI321" i="5" a="1"/>
  <c r="BI321" i="5" s="1"/>
  <c r="BI281" i="5"/>
  <c r="BH237" i="5" l="1"/>
  <c r="BH248" i="5" s="1"/>
  <c r="BI211" i="5"/>
  <c r="BI35" i="5"/>
  <c r="BJ38" i="5"/>
  <c r="BS194" i="5"/>
  <c r="BR312" i="5" a="1"/>
  <c r="BR312" i="5" s="1"/>
  <c r="BI33" i="5"/>
  <c r="BI27" i="5" s="1" a="1"/>
  <c r="BI27" i="5" s="1"/>
  <c r="BI28" i="5" s="1"/>
  <c r="BI34" i="5"/>
  <c r="BJ25" i="5" s="1"/>
  <c r="BH219" i="5"/>
  <c r="BH220" i="5" s="1"/>
  <c r="BK184" i="5"/>
  <c r="BJ302" i="5" a="1"/>
  <c r="BJ302" i="5" s="1"/>
  <c r="BJ282" i="5"/>
  <c r="BJ322" i="5" a="1"/>
  <c r="BJ322" i="5" s="1"/>
  <c r="BO189" i="5"/>
  <c r="BD50" i="7" a="1"/>
  <c r="BD50" i="7" s="1"/>
  <c r="BN307" i="5" a="1"/>
  <c r="BN307" i="5" s="1"/>
  <c r="BN327" i="5" a="1"/>
  <c r="BN327" i="5" s="1"/>
  <c r="BN287" i="5"/>
  <c r="BF50" i="7" a="1"/>
  <c r="BF50" i="7" s="1"/>
  <c r="BE50" i="7" a="1"/>
  <c r="BE50" i="7" s="1"/>
  <c r="BG50" i="7" a="1"/>
  <c r="BG50" i="7" s="1"/>
  <c r="BH50" i="7" a="1"/>
  <c r="BH50" i="7" s="1"/>
  <c r="BJ50" i="7" a="1"/>
  <c r="BJ50" i="7" s="1"/>
  <c r="BI50" i="7" a="1"/>
  <c r="BI50" i="7" s="1"/>
  <c r="J50" i="7" a="1"/>
  <c r="J50" i="7" s="1"/>
  <c r="M50" i="7" a="1"/>
  <c r="M50" i="7" s="1"/>
  <c r="H50" i="7" a="1"/>
  <c r="H50" i="7" s="1"/>
  <c r="AI50" i="7" a="1"/>
  <c r="AI50" i="7" s="1"/>
  <c r="AA50" i="7" a="1"/>
  <c r="AA50" i="7" s="1"/>
  <c r="O50" i="7" a="1"/>
  <c r="O50" i="7" s="1"/>
  <c r="AL50" i="7" a="1"/>
  <c r="AL50" i="7" s="1"/>
  <c r="AD50" i="7" a="1"/>
  <c r="AD50" i="7" s="1"/>
  <c r="BA50" i="7" a="1"/>
  <c r="BA50" i="7" s="1"/>
  <c r="P50" i="7" a="1"/>
  <c r="P50" i="7" s="1"/>
  <c r="AK50" i="7" a="1"/>
  <c r="AK50" i="7" s="1"/>
  <c r="Q50" i="7" a="1"/>
  <c r="Q50" i="7" s="1"/>
  <c r="AN50" i="7" a="1"/>
  <c r="AN50" i="7" s="1"/>
  <c r="AQ50" i="7" a="1"/>
  <c r="AQ50" i="7" s="1"/>
  <c r="AU50" i="7" a="1"/>
  <c r="AU50" i="7" s="1"/>
  <c r="E50" i="7" a="1"/>
  <c r="E50" i="7" s="1"/>
  <c r="I50" i="7" a="1"/>
  <c r="I50" i="7" s="1"/>
  <c r="AJ50" i="7" a="1"/>
  <c r="AJ50" i="7" s="1"/>
  <c r="V50" i="7" a="1"/>
  <c r="V50" i="7" s="1"/>
  <c r="F50" i="7" a="1"/>
  <c r="F50" i="7" s="1"/>
  <c r="AE50" i="7" a="1"/>
  <c r="AE50" i="7" s="1"/>
  <c r="AM50" i="7" a="1"/>
  <c r="AM50" i="7" s="1"/>
  <c r="AO50" i="7" a="1"/>
  <c r="AO50" i="7" s="1"/>
  <c r="AR50" i="7" a="1"/>
  <c r="AR50" i="7" s="1"/>
  <c r="AF50" i="7" a="1"/>
  <c r="AF50" i="7" s="1"/>
  <c r="AC50" i="7" a="1"/>
  <c r="AC50" i="7" s="1"/>
  <c r="AX50" i="7" a="1"/>
  <c r="AX50" i="7" s="1"/>
  <c r="T50" i="7" a="1"/>
  <c r="T50" i="7" s="1"/>
  <c r="N50" i="7" a="1"/>
  <c r="N50" i="7" s="1"/>
  <c r="AB50" i="7" a="1"/>
  <c r="AB50" i="7" s="1"/>
  <c r="BB50" i="7" a="1"/>
  <c r="BB50" i="7" s="1"/>
  <c r="S50" i="7" a="1"/>
  <c r="S50" i="7" s="1"/>
  <c r="BC50" i="7" a="1"/>
  <c r="BC50" i="7" s="1"/>
  <c r="AH50" i="7" a="1"/>
  <c r="AH50" i="7" s="1"/>
  <c r="BL50" i="7" a="1"/>
  <c r="BL50" i="7" s="1"/>
  <c r="K50" i="7" a="1"/>
  <c r="K50" i="7" s="1"/>
  <c r="G50" i="7" a="1"/>
  <c r="G50" i="7" s="1"/>
  <c r="AP50" i="7" a="1"/>
  <c r="AP50" i="7" s="1"/>
  <c r="Y50" i="7" a="1"/>
  <c r="Y50" i="7" s="1"/>
  <c r="AS50" i="7" a="1"/>
  <c r="AS50" i="7" s="1"/>
  <c r="BK50" i="7" a="1"/>
  <c r="BK50" i="7" s="1"/>
  <c r="W50" i="7" a="1"/>
  <c r="W50" i="7" s="1"/>
  <c r="U50" i="7" a="1"/>
  <c r="U50" i="7" s="1"/>
  <c r="Z50" i="7" a="1"/>
  <c r="Z50" i="7" s="1"/>
  <c r="AZ50" i="7" a="1"/>
  <c r="AZ50" i="7" s="1"/>
  <c r="AW50" i="7" a="1"/>
  <c r="AW50" i="7" s="1"/>
  <c r="AG50" i="7" a="1"/>
  <c r="AG50" i="7" s="1"/>
  <c r="R50" i="7" a="1"/>
  <c r="R50" i="7" s="1"/>
  <c r="L50" i="7" a="1"/>
  <c r="L50" i="7" s="1"/>
  <c r="AY50" i="7" a="1"/>
  <c r="AY50" i="7" s="1"/>
  <c r="AV50" i="7" a="1"/>
  <c r="AV50" i="7" s="1"/>
  <c r="AT50" i="7" a="1"/>
  <c r="AT50" i="7" s="1"/>
  <c r="X50" i="7" a="1"/>
  <c r="X50" i="7" s="1"/>
  <c r="BI171" i="5" l="1"/>
  <c r="BJ23" i="5"/>
  <c r="BP190" i="5"/>
  <c r="BO308" i="5" a="1"/>
  <c r="BO308" i="5" s="1"/>
  <c r="BO328" i="5" a="1"/>
  <c r="BO328" i="5" s="1"/>
  <c r="BH239" i="5"/>
  <c r="BH247" i="5"/>
  <c r="BH246" i="5" s="1"/>
  <c r="BL185" i="5"/>
  <c r="BK283" i="5"/>
  <c r="BK303" i="5" a="1"/>
  <c r="BK303" i="5" s="1"/>
  <c r="BK323" i="5" a="1"/>
  <c r="BK323" i="5" s="1"/>
  <c r="BS313" i="5" a="1"/>
  <c r="BS313" i="5" s="1"/>
  <c r="BT195" i="5"/>
  <c r="BJ30" i="5"/>
  <c r="BM186" i="5" l="1"/>
  <c r="BL324" i="5" a="1"/>
  <c r="BL324" i="5" s="1"/>
  <c r="BL249" i="5"/>
  <c r="BL284" i="5"/>
  <c r="BL304" i="5" a="1"/>
  <c r="BL304" i="5" s="1"/>
  <c r="BT314" i="5" a="1"/>
  <c r="BT314" i="5" s="1"/>
  <c r="BH339" i="5"/>
  <c r="BH338" i="5" s="1"/>
  <c r="BH245" i="5"/>
  <c r="BH252" i="5" s="1"/>
  <c r="BH275" i="5" s="1"/>
  <c r="BQ191" i="5"/>
  <c r="BP309" i="5" a="1"/>
  <c r="BP309" i="5" s="1"/>
  <c r="BI176" i="5"/>
  <c r="BI181" i="5"/>
  <c r="BI200" i="5"/>
  <c r="BI204" i="5" s="1"/>
  <c r="BJ182" i="5" l="1"/>
  <c r="BI177" i="5"/>
  <c r="BI178" i="5" s="1"/>
  <c r="BI172" i="5" a="1"/>
  <c r="BI172" i="5" s="1"/>
  <c r="BI209" i="5"/>
  <c r="BI280" i="5"/>
  <c r="BI296" i="5" s="1"/>
  <c r="BI297" i="5" s="1"/>
  <c r="BI320" i="5" a="1"/>
  <c r="BI320" i="5" s="1"/>
  <c r="BI330" i="5" s="1"/>
  <c r="BI331" i="5" s="1"/>
  <c r="BI335" i="5" s="1" a="1"/>
  <c r="BI335" i="5" s="1"/>
  <c r="BI300" i="5" a="1"/>
  <c r="BI300" i="5" s="1"/>
  <c r="BI316" i="5" s="1"/>
  <c r="BI317" i="5" s="1"/>
  <c r="BI208" i="5"/>
  <c r="BJ40" i="5" s="1"/>
  <c r="BR192" i="5"/>
  <c r="BQ310" i="5" a="1"/>
  <c r="BQ310" i="5" s="1"/>
  <c r="BN187" i="5"/>
  <c r="BM285" i="5"/>
  <c r="BM305" i="5" a="1"/>
  <c r="BM305" i="5" s="1"/>
  <c r="BM325" i="5" a="1"/>
  <c r="BM325" i="5" s="1"/>
  <c r="BJ232" i="5" l="1"/>
  <c r="BJ231" i="5" s="1"/>
  <c r="BJ32" i="5"/>
  <c r="BJ101" i="5"/>
  <c r="BO188" i="5"/>
  <c r="BN306" i="5" a="1"/>
  <c r="BN306" i="5" s="1"/>
  <c r="BN286" i="5"/>
  <c r="BN326" i="5" a="1"/>
  <c r="BN326" i="5" s="1"/>
  <c r="BI49" i="7" a="1"/>
  <c r="BI49" i="7" s="1"/>
  <c r="BH49" i="7" a="1"/>
  <c r="BH49" i="7" s="1"/>
  <c r="BF49" i="7" a="1"/>
  <c r="BF49" i="7" s="1"/>
  <c r="BG49" i="7" a="1"/>
  <c r="BG49" i="7" s="1"/>
  <c r="BJ49" i="7" a="1"/>
  <c r="BJ49" i="7" s="1"/>
  <c r="AI49" i="7" a="1"/>
  <c r="AI49" i="7" s="1"/>
  <c r="F49" i="7" a="1"/>
  <c r="F49" i="7" s="1"/>
  <c r="AE49" i="7" a="1"/>
  <c r="AE49" i="7" s="1"/>
  <c r="AR49" i="7" a="1"/>
  <c r="AR49" i="7" s="1"/>
  <c r="L49" i="7" a="1"/>
  <c r="L49" i="7" s="1"/>
  <c r="AX49" i="7" a="1"/>
  <c r="AX49" i="7" s="1"/>
  <c r="Z49" i="7" a="1"/>
  <c r="Z49" i="7" s="1"/>
  <c r="N49" i="7" a="1"/>
  <c r="N49" i="7" s="1"/>
  <c r="AV49" i="7" a="1"/>
  <c r="AV49" i="7" s="1"/>
  <c r="AY49" i="7" a="1"/>
  <c r="AY49" i="7" s="1"/>
  <c r="Y49" i="7" a="1"/>
  <c r="Y49" i="7" s="1"/>
  <c r="AB49" i="7" a="1"/>
  <c r="AB49" i="7" s="1"/>
  <c r="BE49" i="7" a="1"/>
  <c r="BE49" i="7" s="1"/>
  <c r="J49" i="7" a="1"/>
  <c r="J49" i="7" s="1"/>
  <c r="AJ49" i="7" a="1"/>
  <c r="AJ49" i="7" s="1"/>
  <c r="Q49" i="7" a="1"/>
  <c r="Q49" i="7" s="1"/>
  <c r="BA49" i="7" a="1"/>
  <c r="BA49" i="7" s="1"/>
  <c r="AA49" i="7" a="1"/>
  <c r="AA49" i="7" s="1"/>
  <c r="AN49" i="7" a="1"/>
  <c r="AN49" i="7" s="1"/>
  <c r="AS49" i="7" a="1"/>
  <c r="AS49" i="7" s="1"/>
  <c r="AU49" i="7" a="1"/>
  <c r="AU49" i="7" s="1"/>
  <c r="K49" i="7" a="1"/>
  <c r="K49" i="7" s="1"/>
  <c r="AW49" i="7" a="1"/>
  <c r="AW49" i="7" s="1"/>
  <c r="H49" i="7" a="1"/>
  <c r="H49" i="7" s="1"/>
  <c r="G49" i="7" a="1"/>
  <c r="G49" i="7" s="1"/>
  <c r="BB49" i="7" a="1"/>
  <c r="BB49" i="7" s="1"/>
  <c r="AC49" i="7" a="1"/>
  <c r="AC49" i="7" s="1"/>
  <c r="BC49" i="7" a="1"/>
  <c r="BC49" i="7" s="1"/>
  <c r="P49" i="7" a="1"/>
  <c r="P49" i="7" s="1"/>
  <c r="X49" i="7" a="1"/>
  <c r="X49" i="7" s="1"/>
  <c r="O49" i="7" a="1"/>
  <c r="O49" i="7" s="1"/>
  <c r="W49" i="7" a="1"/>
  <c r="W49" i="7" s="1"/>
  <c r="AH49" i="7" a="1"/>
  <c r="AH49" i="7" s="1"/>
  <c r="BK49" i="7" a="1"/>
  <c r="BK49" i="7" s="1"/>
  <c r="AZ49" i="7" a="1"/>
  <c r="AZ49" i="7" s="1"/>
  <c r="S49" i="7" a="1"/>
  <c r="S49" i="7" s="1"/>
  <c r="AT49" i="7" a="1"/>
  <c r="AT49" i="7" s="1"/>
  <c r="AK49" i="7" a="1"/>
  <c r="AK49" i="7" s="1"/>
  <c r="AM49" i="7" a="1"/>
  <c r="AM49" i="7" s="1"/>
  <c r="BD49" i="7" a="1"/>
  <c r="BD49" i="7" s="1"/>
  <c r="M49" i="7" a="1"/>
  <c r="M49" i="7" s="1"/>
  <c r="E49" i="7" a="1"/>
  <c r="E49" i="7" s="1"/>
  <c r="R49" i="7" a="1"/>
  <c r="R49" i="7" s="1"/>
  <c r="AO49" i="7" a="1"/>
  <c r="AO49" i="7" s="1"/>
  <c r="T49" i="7" a="1"/>
  <c r="T49" i="7" s="1"/>
  <c r="AF49" i="7" a="1"/>
  <c r="AF49" i="7" s="1"/>
  <c r="AD49" i="7" a="1"/>
  <c r="AD49" i="7" s="1"/>
  <c r="AQ49" i="7" a="1"/>
  <c r="AQ49" i="7" s="1"/>
  <c r="V49" i="7" a="1"/>
  <c r="V49" i="7" s="1"/>
  <c r="BL49" i="7" a="1"/>
  <c r="BL49" i="7" s="1"/>
  <c r="AL49" i="7" a="1"/>
  <c r="AL49" i="7" s="1"/>
  <c r="I49" i="7" a="1"/>
  <c r="I49" i="7" s="1"/>
  <c r="U49" i="7" a="1"/>
  <c r="U49" i="7" s="1"/>
  <c r="AP49" i="7" a="1"/>
  <c r="AP49" i="7" s="1"/>
  <c r="AG49" i="7" a="1"/>
  <c r="AG49" i="7" s="1"/>
  <c r="BI223" i="5"/>
  <c r="BI230" i="5"/>
  <c r="BI210" i="5"/>
  <c r="BI212" i="5" s="1"/>
  <c r="BI217" i="5" s="1"/>
  <c r="BI216" i="5" s="1"/>
  <c r="BI174" i="5"/>
  <c r="BJ211" i="5" s="1"/>
  <c r="BI202" i="5"/>
  <c r="BI229" i="5"/>
  <c r="BI227" i="5" s="1"/>
  <c r="BI173" i="5"/>
  <c r="BS193" i="5"/>
  <c r="BR311" i="5" a="1"/>
  <c r="BR311" i="5" s="1"/>
  <c r="BK183" i="5"/>
  <c r="BJ321" i="5" a="1"/>
  <c r="BJ321" i="5" s="1"/>
  <c r="BJ301" i="5" a="1"/>
  <c r="BJ301" i="5" s="1"/>
  <c r="BJ228" i="5"/>
  <c r="BJ281" i="5"/>
  <c r="BL184" i="5" l="1"/>
  <c r="BK302" i="5" a="1"/>
  <c r="BK302" i="5" s="1"/>
  <c r="BK282" i="5"/>
  <c r="BK322" i="5" a="1"/>
  <c r="BK322" i="5" s="1"/>
  <c r="BT194" i="5"/>
  <c r="BS312" i="5" a="1"/>
  <c r="BS312" i="5" s="1"/>
  <c r="BI237" i="5"/>
  <c r="BI248" i="5" s="1"/>
  <c r="BP189" i="5"/>
  <c r="BO307" i="5" a="1"/>
  <c r="BO307" i="5" s="1"/>
  <c r="BO327" i="5" a="1"/>
  <c r="BO327" i="5" s="1"/>
  <c r="BJ35" i="5"/>
  <c r="BK38" i="5"/>
  <c r="BJ33" i="5"/>
  <c r="BJ34" i="5" s="1"/>
  <c r="BK25" i="5" s="1"/>
  <c r="BI219" i="5"/>
  <c r="BI220" i="5" s="1"/>
  <c r="BQ190" i="5" l="1"/>
  <c r="BP328" i="5" a="1"/>
  <c r="BP328" i="5" s="1"/>
  <c r="BP308" i="5" a="1"/>
  <c r="BP308" i="5" s="1"/>
  <c r="BT313" i="5" a="1"/>
  <c r="BT313" i="5" s="1"/>
  <c r="BU195" i="5"/>
  <c r="BK30" i="5"/>
  <c r="BI239" i="5"/>
  <c r="BI247" i="5"/>
  <c r="BI246" i="5" s="1"/>
  <c r="BJ27" i="5" a="1"/>
  <c r="BJ27" i="5" s="1"/>
  <c r="BJ28" i="5" s="1"/>
  <c r="BM185" i="5"/>
  <c r="BL283" i="5"/>
  <c r="BL303" i="5" a="1"/>
  <c r="BL303" i="5" s="1"/>
  <c r="BL323" i="5" a="1"/>
  <c r="BL323" i="5" s="1"/>
  <c r="BI245" i="5" l="1"/>
  <c r="BI252" i="5" s="1"/>
  <c r="BI275" i="5" s="1"/>
  <c r="BI339" i="5" s="1"/>
  <c r="BI338" i="5" s="1"/>
  <c r="BN186" i="5"/>
  <c r="BM304" i="5" a="1"/>
  <c r="BM304" i="5" s="1"/>
  <c r="BM284" i="5"/>
  <c r="BM324" i="5" a="1"/>
  <c r="BM324" i="5" s="1"/>
  <c r="BM249" i="5"/>
  <c r="BU314" i="5" a="1"/>
  <c r="BU314" i="5" s="1"/>
  <c r="BJ171" i="5"/>
  <c r="BK23" i="5"/>
  <c r="BR191" i="5"/>
  <c r="BQ309" i="5" a="1"/>
  <c r="BQ309" i="5" s="1"/>
  <c r="BO187" i="5" l="1"/>
  <c r="BN325" i="5" a="1"/>
  <c r="BN325" i="5" s="1"/>
  <c r="BN305" i="5" a="1"/>
  <c r="BN305" i="5" s="1"/>
  <c r="BN285" i="5"/>
  <c r="BG48" i="7" a="1"/>
  <c r="BG48" i="7" s="1"/>
  <c r="BE48" i="7" a="1"/>
  <c r="BE48" i="7" s="1"/>
  <c r="BF48" i="7" a="1"/>
  <c r="BF48" i="7" s="1"/>
  <c r="BH48" i="7" a="1"/>
  <c r="BH48" i="7" s="1"/>
  <c r="BJ48" i="7" a="1"/>
  <c r="BJ48" i="7" s="1"/>
  <c r="BI48" i="7" a="1"/>
  <c r="BI48" i="7" s="1"/>
  <c r="BC48" i="7" a="1"/>
  <c r="BC48" i="7" s="1"/>
  <c r="AP48" i="7" a="1"/>
  <c r="AP48" i="7" s="1"/>
  <c r="AI48" i="7" a="1"/>
  <c r="AI48" i="7" s="1"/>
  <c r="AH48" i="7" a="1"/>
  <c r="AH48" i="7" s="1"/>
  <c r="M48" i="7" a="1"/>
  <c r="M48" i="7" s="1"/>
  <c r="Q48" i="7" a="1"/>
  <c r="Q48" i="7" s="1"/>
  <c r="BK48" i="7" a="1"/>
  <c r="BK48" i="7" s="1"/>
  <c r="AA48" i="7" a="1"/>
  <c r="AA48" i="7" s="1"/>
  <c r="AL48" i="7" a="1"/>
  <c r="AL48" i="7" s="1"/>
  <c r="J48" i="7" a="1"/>
  <c r="J48" i="7" s="1"/>
  <c r="AX48" i="7" a="1"/>
  <c r="AX48" i="7" s="1"/>
  <c r="BB48" i="7" a="1"/>
  <c r="BB48" i="7" s="1"/>
  <c r="P48" i="7" a="1"/>
  <c r="P48" i="7" s="1"/>
  <c r="F48" i="7" a="1"/>
  <c r="F48" i="7" s="1"/>
  <c r="AJ48" i="7" a="1"/>
  <c r="AJ48" i="7" s="1"/>
  <c r="AD48" i="7" a="1"/>
  <c r="AD48" i="7" s="1"/>
  <c r="AY48" i="7" a="1"/>
  <c r="AY48" i="7" s="1"/>
  <c r="X48" i="7" a="1"/>
  <c r="X48" i="7" s="1"/>
  <c r="AC48" i="7" a="1"/>
  <c r="AC48" i="7" s="1"/>
  <c r="W48" i="7" a="1"/>
  <c r="W48" i="7" s="1"/>
  <c r="L48" i="7" a="1"/>
  <c r="L48" i="7" s="1"/>
  <c r="AG48" i="7" a="1"/>
  <c r="AG48" i="7" s="1"/>
  <c r="AZ48" i="7" a="1"/>
  <c r="AZ48" i="7" s="1"/>
  <c r="BD48" i="7" a="1"/>
  <c r="BD48" i="7" s="1"/>
  <c r="BA48" i="7" a="1"/>
  <c r="BA48" i="7" s="1"/>
  <c r="AB48" i="7" a="1"/>
  <c r="AB48" i="7" s="1"/>
  <c r="H48" i="7" a="1"/>
  <c r="H48" i="7" s="1"/>
  <c r="AN48" i="7" a="1"/>
  <c r="AN48" i="7" s="1"/>
  <c r="AF48" i="7" a="1"/>
  <c r="AF48" i="7" s="1"/>
  <c r="AK48" i="7" a="1"/>
  <c r="AK48" i="7" s="1"/>
  <c r="Y48" i="7" a="1"/>
  <c r="Y48" i="7" s="1"/>
  <c r="E48" i="7" a="1"/>
  <c r="E48" i="7" s="1"/>
  <c r="V48" i="7" a="1"/>
  <c r="V48" i="7" s="1"/>
  <c r="AW48" i="7" a="1"/>
  <c r="AW48" i="7" s="1"/>
  <c r="O48" i="7" a="1"/>
  <c r="O48" i="7" s="1"/>
  <c r="T48" i="7" a="1"/>
  <c r="T48" i="7" s="1"/>
  <c r="BL48" i="7" a="1"/>
  <c r="BL48" i="7" s="1"/>
  <c r="I48" i="7" a="1"/>
  <c r="I48" i="7" s="1"/>
  <c r="Z48" i="7" a="1"/>
  <c r="Z48" i="7" s="1"/>
  <c r="AQ48" i="7" a="1"/>
  <c r="AQ48" i="7" s="1"/>
  <c r="G48" i="7" a="1"/>
  <c r="G48" i="7" s="1"/>
  <c r="K48" i="7" a="1"/>
  <c r="K48" i="7" s="1"/>
  <c r="AE48" i="7" a="1"/>
  <c r="AE48" i="7" s="1"/>
  <c r="AO48" i="7" a="1"/>
  <c r="AO48" i="7" s="1"/>
  <c r="AM48" i="7" a="1"/>
  <c r="AM48" i="7" s="1"/>
  <c r="N48" i="7" a="1"/>
  <c r="N48" i="7" s="1"/>
  <c r="S48" i="7" a="1"/>
  <c r="S48" i="7" s="1"/>
  <c r="U48" i="7" a="1"/>
  <c r="U48" i="7" s="1"/>
  <c r="AT48" i="7" a="1"/>
  <c r="AT48" i="7" s="1"/>
  <c r="AV48" i="7" a="1"/>
  <c r="AV48" i="7" s="1"/>
  <c r="AR48" i="7" a="1"/>
  <c r="AR48" i="7" s="1"/>
  <c r="R48" i="7" a="1"/>
  <c r="R48" i="7" s="1"/>
  <c r="AS48" i="7" a="1"/>
  <c r="AS48" i="7" s="1"/>
  <c r="AU48" i="7" a="1"/>
  <c r="AU48" i="7" s="1"/>
  <c r="BS192" i="5"/>
  <c r="BR310" i="5" a="1"/>
  <c r="BR310" i="5" s="1"/>
  <c r="BJ176" i="5"/>
  <c r="BJ181" i="5"/>
  <c r="BJ200" i="5"/>
  <c r="BJ204" i="5" s="1"/>
  <c r="BK182" i="5" l="1"/>
  <c r="BJ280" i="5"/>
  <c r="BJ296" i="5" s="1"/>
  <c r="BJ297" i="5" s="1"/>
  <c r="BJ172" i="5" a="1"/>
  <c r="BJ172" i="5" s="1"/>
  <c r="BJ300" i="5" a="1"/>
  <c r="BJ300" i="5" s="1"/>
  <c r="BJ316" i="5" s="1"/>
  <c r="BJ317" i="5" s="1"/>
  <c r="BJ177" i="5"/>
  <c r="BJ178" i="5" s="1"/>
  <c r="BJ320" i="5" a="1"/>
  <c r="BJ320" i="5" s="1"/>
  <c r="BJ330" i="5" s="1"/>
  <c r="BJ331" i="5" s="1"/>
  <c r="BJ335" i="5" s="1" a="1"/>
  <c r="BJ335" i="5" s="1"/>
  <c r="BJ208" i="5"/>
  <c r="BK40" i="5" s="1"/>
  <c r="BT193" i="5"/>
  <c r="BS311" i="5" a="1"/>
  <c r="BS311" i="5" s="1"/>
  <c r="BP188" i="5"/>
  <c r="BO306" i="5" a="1"/>
  <c r="BO306" i="5" s="1"/>
  <c r="BO326" i="5" a="1"/>
  <c r="BO326" i="5" s="1"/>
  <c r="BJ210" i="5" l="1"/>
  <c r="BJ212" i="5" s="1"/>
  <c r="BJ217" i="5" s="1"/>
  <c r="BJ216" i="5" s="1"/>
  <c r="BJ174" i="5"/>
  <c r="BJ229" i="5"/>
  <c r="BJ227" i="5" s="1"/>
  <c r="BJ202" i="5"/>
  <c r="BJ173" i="5"/>
  <c r="BQ189" i="5"/>
  <c r="BP327" i="5" a="1"/>
  <c r="BP327" i="5" s="1"/>
  <c r="BP307" i="5" a="1"/>
  <c r="BP307" i="5" s="1"/>
  <c r="BJ209" i="5"/>
  <c r="BU194" i="5"/>
  <c r="BT312" i="5" a="1"/>
  <c r="BT312" i="5" s="1"/>
  <c r="BL183" i="5"/>
  <c r="BK321" i="5" a="1"/>
  <c r="BK321" i="5" s="1"/>
  <c r="BK228" i="5"/>
  <c r="BK281" i="5"/>
  <c r="BK301" i="5" a="1"/>
  <c r="BK301" i="5" s="1"/>
  <c r="BK232" i="5"/>
  <c r="BK231" i="5" s="1"/>
  <c r="BK32" i="5"/>
  <c r="BK101" i="5"/>
  <c r="BK33" i="5" l="1"/>
  <c r="BK27" i="5" s="1" a="1"/>
  <c r="BK27" i="5" s="1"/>
  <c r="BK28" i="5" s="1"/>
  <c r="BM184" i="5"/>
  <c r="BL322" i="5" a="1"/>
  <c r="BL322" i="5" s="1"/>
  <c r="BL282" i="5"/>
  <c r="BL302" i="5" a="1"/>
  <c r="BL302" i="5" s="1"/>
  <c r="BJ219" i="5"/>
  <c r="BJ220" i="5" s="1"/>
  <c r="BK211" i="5"/>
  <c r="BK35" i="5"/>
  <c r="BL38" i="5"/>
  <c r="BR190" i="5"/>
  <c r="BQ308" i="5" a="1"/>
  <c r="BQ308" i="5" s="1"/>
  <c r="BQ328" i="5" a="1"/>
  <c r="BQ328" i="5" s="1"/>
  <c r="BU313" i="5" a="1"/>
  <c r="BU313" i="5" s="1"/>
  <c r="BV195" i="5"/>
  <c r="BJ223" i="5"/>
  <c r="BJ237" i="5" s="1"/>
  <c r="BJ248" i="5" s="1"/>
  <c r="BJ230" i="5"/>
  <c r="BK171" i="5" l="1"/>
  <c r="BL23" i="5"/>
  <c r="BJ239" i="5"/>
  <c r="BJ247" i="5"/>
  <c r="BJ246" i="5" s="1"/>
  <c r="BL30" i="5"/>
  <c r="BK34" i="5"/>
  <c r="BL25" i="5" s="1"/>
  <c r="BS191" i="5"/>
  <c r="BR309" i="5" a="1"/>
  <c r="BR309" i="5" s="1"/>
  <c r="BN185" i="5"/>
  <c r="BM323" i="5" a="1"/>
  <c r="BM323" i="5" s="1"/>
  <c r="BM283" i="5"/>
  <c r="BM303" i="5" a="1"/>
  <c r="BM303" i="5" s="1"/>
  <c r="BV314" i="5" a="1"/>
  <c r="BV314" i="5" s="1"/>
  <c r="BO186" i="5" l="1"/>
  <c r="BN324" i="5" a="1"/>
  <c r="BN324" i="5" s="1"/>
  <c r="BN284" i="5"/>
  <c r="BN304" i="5" a="1"/>
  <c r="BN304" i="5" s="1"/>
  <c r="BN249" i="5"/>
  <c r="BE47" i="7" a="1"/>
  <c r="BE47" i="7" s="1"/>
  <c r="BD47" i="7" a="1"/>
  <c r="BD47" i="7" s="1"/>
  <c r="BH47" i="7" a="1"/>
  <c r="BH47" i="7" s="1"/>
  <c r="BG47" i="7" a="1"/>
  <c r="BG47" i="7" s="1"/>
  <c r="BI47" i="7" a="1"/>
  <c r="BI47" i="7" s="1"/>
  <c r="BJ47" i="7" a="1"/>
  <c r="BJ47" i="7" s="1"/>
  <c r="AL47" i="7" a="1"/>
  <c r="AL47" i="7" s="1"/>
  <c r="BB47" i="7" a="1"/>
  <c r="BB47" i="7" s="1"/>
  <c r="AX47" i="7" a="1"/>
  <c r="AX47" i="7" s="1"/>
  <c r="V47" i="7" a="1"/>
  <c r="V47" i="7" s="1"/>
  <c r="AG47" i="7" a="1"/>
  <c r="AG47" i="7" s="1"/>
  <c r="U47" i="7" a="1"/>
  <c r="U47" i="7" s="1"/>
  <c r="AS47" i="7" a="1"/>
  <c r="AS47" i="7" s="1"/>
  <c r="AC47" i="7" a="1"/>
  <c r="AC47" i="7" s="1"/>
  <c r="AK47" i="7" a="1"/>
  <c r="AK47" i="7" s="1"/>
  <c r="AP47" i="7" a="1"/>
  <c r="AP47" i="7" s="1"/>
  <c r="BL47" i="7" a="1"/>
  <c r="BL47" i="7" s="1"/>
  <c r="AI47" i="7" a="1"/>
  <c r="AI47" i="7" s="1"/>
  <c r="S47" i="7" a="1"/>
  <c r="S47" i="7" s="1"/>
  <c r="AE47" i="7" a="1"/>
  <c r="AE47" i="7" s="1"/>
  <c r="P47" i="7" a="1"/>
  <c r="P47" i="7" s="1"/>
  <c r="AZ47" i="7" a="1"/>
  <c r="AZ47" i="7" s="1"/>
  <c r="N47" i="7" a="1"/>
  <c r="N47" i="7" s="1"/>
  <c r="AW47" i="7" a="1"/>
  <c r="AW47" i="7" s="1"/>
  <c r="AD47" i="7" a="1"/>
  <c r="AD47" i="7" s="1"/>
  <c r="E47" i="7" a="1"/>
  <c r="E47" i="7" s="1"/>
  <c r="Y47" i="7" a="1"/>
  <c r="Y47" i="7" s="1"/>
  <c r="BK47" i="7" a="1"/>
  <c r="BK47" i="7" s="1"/>
  <c r="AN47" i="7" a="1"/>
  <c r="AN47" i="7" s="1"/>
  <c r="I47" i="7" a="1"/>
  <c r="I47" i="7" s="1"/>
  <c r="W47" i="7" a="1"/>
  <c r="W47" i="7" s="1"/>
  <c r="AA47" i="7" a="1"/>
  <c r="AA47" i="7" s="1"/>
  <c r="T47" i="7" a="1"/>
  <c r="T47" i="7" s="1"/>
  <c r="Z47" i="7" a="1"/>
  <c r="Z47" i="7" s="1"/>
  <c r="L47" i="7" a="1"/>
  <c r="L47" i="7" s="1"/>
  <c r="AF47" i="7" a="1"/>
  <c r="AF47" i="7" s="1"/>
  <c r="M47" i="7" a="1"/>
  <c r="M47" i="7" s="1"/>
  <c r="AH47" i="7" a="1"/>
  <c r="AH47" i="7" s="1"/>
  <c r="AO47" i="7" a="1"/>
  <c r="AO47" i="7" s="1"/>
  <c r="G47" i="7" a="1"/>
  <c r="G47" i="7" s="1"/>
  <c r="AV47" i="7" a="1"/>
  <c r="AV47" i="7" s="1"/>
  <c r="AQ47" i="7" a="1"/>
  <c r="AQ47" i="7" s="1"/>
  <c r="AU47" i="7" a="1"/>
  <c r="AU47" i="7" s="1"/>
  <c r="R47" i="7" a="1"/>
  <c r="R47" i="7" s="1"/>
  <c r="F47" i="7" a="1"/>
  <c r="F47" i="7" s="1"/>
  <c r="BA47" i="7" a="1"/>
  <c r="BA47" i="7" s="1"/>
  <c r="AR47" i="7" a="1"/>
  <c r="AR47" i="7" s="1"/>
  <c r="AM47" i="7" a="1"/>
  <c r="AM47" i="7" s="1"/>
  <c r="H47" i="7" a="1"/>
  <c r="H47" i="7" s="1"/>
  <c r="BF47" i="7" a="1"/>
  <c r="BF47" i="7" s="1"/>
  <c r="BC47" i="7" a="1"/>
  <c r="BC47" i="7" s="1"/>
  <c r="Q47" i="7" a="1"/>
  <c r="Q47" i="7" s="1"/>
  <c r="O47" i="7" a="1"/>
  <c r="O47" i="7" s="1"/>
  <c r="J47" i="7" a="1"/>
  <c r="J47" i="7" s="1"/>
  <c r="AT47" i="7" a="1"/>
  <c r="AT47" i="7" s="1"/>
  <c r="X47" i="7" a="1"/>
  <c r="X47" i="7" s="1"/>
  <c r="K47" i="7" a="1"/>
  <c r="K47" i="7" s="1"/>
  <c r="AJ47" i="7" a="1"/>
  <c r="AJ47" i="7" s="1"/>
  <c r="AY47" i="7" a="1"/>
  <c r="AY47" i="7" s="1"/>
  <c r="AB47" i="7" a="1"/>
  <c r="AB47" i="7" s="1"/>
  <c r="BJ245" i="5"/>
  <c r="BJ252" i="5" s="1"/>
  <c r="BJ275" i="5" s="1"/>
  <c r="BJ339" i="5" s="1"/>
  <c r="BJ338" i="5" s="1"/>
  <c r="BT192" i="5"/>
  <c r="BS310" i="5" a="1"/>
  <c r="BS310" i="5" s="1"/>
  <c r="BK176" i="5"/>
  <c r="BK181" i="5"/>
  <c r="BK200" i="5"/>
  <c r="BK204" i="5" s="1"/>
  <c r="BU193" i="5" l="1"/>
  <c r="BT311" i="5" a="1"/>
  <c r="BT311" i="5" s="1"/>
  <c r="BL182" i="5"/>
  <c r="BK172" i="5" a="1"/>
  <c r="BK172" i="5" s="1"/>
  <c r="BK300" i="5" a="1"/>
  <c r="BK300" i="5" s="1"/>
  <c r="BK316" i="5" s="1"/>
  <c r="BK317" i="5" s="1"/>
  <c r="BK177" i="5"/>
  <c r="BK320" i="5" a="1"/>
  <c r="BK320" i="5" s="1"/>
  <c r="BK330" i="5" s="1"/>
  <c r="BK331" i="5" s="1"/>
  <c r="BK335" i="5" s="1" a="1"/>
  <c r="BK335" i="5" s="1"/>
  <c r="BK280" i="5"/>
  <c r="BK296" i="5" s="1"/>
  <c r="BK297" i="5" s="1"/>
  <c r="BK208" i="5"/>
  <c r="BL40" i="5" s="1"/>
  <c r="BK178" i="5"/>
  <c r="BP187" i="5"/>
  <c r="BO305" i="5" a="1"/>
  <c r="BO305" i="5" s="1"/>
  <c r="BO325" i="5" a="1"/>
  <c r="BO325" i="5" s="1"/>
  <c r="BK210" i="5" l="1"/>
  <c r="BK212" i="5" s="1"/>
  <c r="BK217" i="5" s="1"/>
  <c r="BK216" i="5" s="1"/>
  <c r="BK174" i="5"/>
  <c r="BK202" i="5"/>
  <c r="BK229" i="5"/>
  <c r="BK227" i="5" s="1"/>
  <c r="BK173" i="5"/>
  <c r="BM183" i="5"/>
  <c r="BL321" i="5" a="1"/>
  <c r="BL321" i="5" s="1"/>
  <c r="BL281" i="5"/>
  <c r="BL228" i="5"/>
  <c r="BL301" i="5" a="1"/>
  <c r="BL301" i="5" s="1"/>
  <c r="BL232" i="5"/>
  <c r="BL231" i="5" s="1"/>
  <c r="BL32" i="5"/>
  <c r="BL101" i="5"/>
  <c r="BQ188" i="5"/>
  <c r="BP326" i="5" a="1"/>
  <c r="BP326" i="5" s="1"/>
  <c r="BP306" i="5" a="1"/>
  <c r="BP306" i="5" s="1"/>
  <c r="BK209" i="5"/>
  <c r="BV194" i="5"/>
  <c r="BU312" i="5" a="1"/>
  <c r="BU312" i="5" s="1"/>
  <c r="BL35" i="5" l="1"/>
  <c r="BM38" i="5"/>
  <c r="BL33" i="5"/>
  <c r="BL27" i="5" s="1" a="1"/>
  <c r="BL27" i="5" s="1"/>
  <c r="BL28" i="5" s="1"/>
  <c r="BL34" i="5"/>
  <c r="BM25" i="5" s="1"/>
  <c r="BN184" i="5"/>
  <c r="BM322" i="5" a="1"/>
  <c r="BM322" i="5" s="1"/>
  <c r="BM282" i="5"/>
  <c r="BM302" i="5" a="1"/>
  <c r="BM302" i="5" s="1"/>
  <c r="BK223" i="5"/>
  <c r="BK230" i="5"/>
  <c r="BV313" i="5" a="1"/>
  <c r="BV313" i="5" s="1"/>
  <c r="BW195" i="5"/>
  <c r="BK219" i="5"/>
  <c r="BK220" i="5" s="1"/>
  <c r="BL211" i="5"/>
  <c r="BR189" i="5"/>
  <c r="BQ327" i="5" a="1"/>
  <c r="BQ327" i="5" s="1"/>
  <c r="BQ307" i="5" a="1"/>
  <c r="BQ307" i="5" s="1"/>
  <c r="BL171" i="5" l="1"/>
  <c r="BM23" i="5"/>
  <c r="BK247" i="5"/>
  <c r="BW314" i="5" a="1"/>
  <c r="BW314" i="5" s="1"/>
  <c r="BM30" i="5"/>
  <c r="BO185" i="5"/>
  <c r="BN323" i="5" a="1"/>
  <c r="BN323" i="5" s="1"/>
  <c r="BN283" i="5"/>
  <c r="BN303" i="5" a="1"/>
  <c r="BN303" i="5" s="1"/>
  <c r="BC46" i="7" a="1"/>
  <c r="BC46" i="7" s="1"/>
  <c r="BD46" i="7" a="1"/>
  <c r="BD46" i="7" s="1"/>
  <c r="BE46" i="7" a="1"/>
  <c r="BE46" i="7" s="1"/>
  <c r="BH46" i="7" a="1"/>
  <c r="BH46" i="7" s="1"/>
  <c r="BF46" i="7" a="1"/>
  <c r="BF46" i="7" s="1"/>
  <c r="BG46" i="7" a="1"/>
  <c r="BG46" i="7" s="1"/>
  <c r="BJ46" i="7" a="1"/>
  <c r="BJ46" i="7" s="1"/>
  <c r="BI46" i="7" a="1"/>
  <c r="BI46" i="7" s="1"/>
  <c r="AR46" i="7" a="1"/>
  <c r="AR46" i="7" s="1"/>
  <c r="BA46" i="7" a="1"/>
  <c r="BA46" i="7" s="1"/>
  <c r="AP46" i="7" a="1"/>
  <c r="AP46" i="7" s="1"/>
  <c r="F46" i="7" a="1"/>
  <c r="F46" i="7" s="1"/>
  <c r="AB46" i="7" a="1"/>
  <c r="AB46" i="7" s="1"/>
  <c r="H46" i="7" a="1"/>
  <c r="H46" i="7" s="1"/>
  <c r="AU46" i="7" a="1"/>
  <c r="AU46" i="7" s="1"/>
  <c r="AS46" i="7" a="1"/>
  <c r="AS46" i="7" s="1"/>
  <c r="Q46" i="7" a="1"/>
  <c r="Q46" i="7" s="1"/>
  <c r="P46" i="7" a="1"/>
  <c r="P46" i="7" s="1"/>
  <c r="AZ46" i="7" a="1"/>
  <c r="AZ46" i="7" s="1"/>
  <c r="J46" i="7" a="1"/>
  <c r="J46" i="7" s="1"/>
  <c r="R46" i="7" a="1"/>
  <c r="R46" i="7" s="1"/>
  <c r="M46" i="7" a="1"/>
  <c r="M46" i="7" s="1"/>
  <c r="AG46" i="7" a="1"/>
  <c r="AG46" i="7" s="1"/>
  <c r="X46" i="7" a="1"/>
  <c r="X46" i="7" s="1"/>
  <c r="AN46" i="7" a="1"/>
  <c r="AN46" i="7" s="1"/>
  <c r="BK46" i="7" a="1"/>
  <c r="BK46" i="7" s="1"/>
  <c r="BB46" i="7" a="1"/>
  <c r="BB46" i="7" s="1"/>
  <c r="AC46" i="7" a="1"/>
  <c r="AC46" i="7" s="1"/>
  <c r="AD46" i="7" a="1"/>
  <c r="AD46" i="7" s="1"/>
  <c r="AQ46" i="7" a="1"/>
  <c r="AQ46" i="7" s="1"/>
  <c r="V46" i="7" a="1"/>
  <c r="V46" i="7" s="1"/>
  <c r="W46" i="7" a="1"/>
  <c r="W46" i="7" s="1"/>
  <c r="AK46" i="7" a="1"/>
  <c r="AK46" i="7" s="1"/>
  <c r="N46" i="7" a="1"/>
  <c r="N46" i="7" s="1"/>
  <c r="S46" i="7" a="1"/>
  <c r="S46" i="7" s="1"/>
  <c r="BL46" i="7" a="1"/>
  <c r="BL46" i="7" s="1"/>
  <c r="G46" i="7" a="1"/>
  <c r="G46" i="7" s="1"/>
  <c r="AO46" i="7" a="1"/>
  <c r="AO46" i="7" s="1"/>
  <c r="AW46" i="7" a="1"/>
  <c r="AW46" i="7" s="1"/>
  <c r="AI46" i="7" a="1"/>
  <c r="AI46" i="7" s="1"/>
  <c r="I46" i="7" a="1"/>
  <c r="I46" i="7" s="1"/>
  <c r="L46" i="7" a="1"/>
  <c r="L46" i="7" s="1"/>
  <c r="AL46" i="7" a="1"/>
  <c r="AL46" i="7" s="1"/>
  <c r="T46" i="7" a="1"/>
  <c r="T46" i="7" s="1"/>
  <c r="AT46" i="7" a="1"/>
  <c r="AT46" i="7" s="1"/>
  <c r="AA46" i="7" a="1"/>
  <c r="AA46" i="7" s="1"/>
  <c r="AF46" i="7" a="1"/>
  <c r="AF46" i="7" s="1"/>
  <c r="O46" i="7" a="1"/>
  <c r="O46" i="7" s="1"/>
  <c r="AM46" i="7" a="1"/>
  <c r="AM46" i="7" s="1"/>
  <c r="K46" i="7" a="1"/>
  <c r="K46" i="7" s="1"/>
  <c r="AV46" i="7" a="1"/>
  <c r="AV46" i="7" s="1"/>
  <c r="AX46" i="7" a="1"/>
  <c r="AX46" i="7" s="1"/>
  <c r="AE46" i="7" a="1"/>
  <c r="AE46" i="7" s="1"/>
  <c r="U46" i="7" a="1"/>
  <c r="U46" i="7" s="1"/>
  <c r="Y46" i="7" a="1"/>
  <c r="Y46" i="7" s="1"/>
  <c r="AJ46" i="7" a="1"/>
  <c r="AJ46" i="7" s="1"/>
  <c r="E46" i="7" a="1"/>
  <c r="E46" i="7" s="1"/>
  <c r="AH46" i="7" a="1"/>
  <c r="AH46" i="7" s="1"/>
  <c r="Z46" i="7" a="1"/>
  <c r="Z46" i="7" s="1"/>
  <c r="AY46" i="7" a="1"/>
  <c r="AY46" i="7" s="1"/>
  <c r="BS190" i="5"/>
  <c r="BR328" i="5" a="1"/>
  <c r="BR328" i="5" s="1"/>
  <c r="BR308" i="5" a="1"/>
  <c r="BR308" i="5" s="1"/>
  <c r="BK237" i="5"/>
  <c r="BK248" i="5" s="1"/>
  <c r="BK246" i="5" l="1"/>
  <c r="BK239" i="5"/>
  <c r="BT191" i="5"/>
  <c r="BS309" i="5" a="1"/>
  <c r="BS309" i="5" s="1"/>
  <c r="BP186" i="5"/>
  <c r="BO324" i="5" a="1"/>
  <c r="BO324" i="5" s="1"/>
  <c r="BO304" i="5" a="1"/>
  <c r="BO304" i="5" s="1"/>
  <c r="BL176" i="5"/>
  <c r="BL181" i="5"/>
  <c r="BL200" i="5"/>
  <c r="BL204" i="5" s="1"/>
  <c r="BQ187" i="5" l="1"/>
  <c r="BP325" i="5" a="1"/>
  <c r="BP325" i="5" s="1"/>
  <c r="BP305" i="5" a="1"/>
  <c r="BP305" i="5" s="1"/>
  <c r="BU192" i="5"/>
  <c r="BT310" i="5" a="1"/>
  <c r="BT310" i="5" s="1"/>
  <c r="BM182" i="5"/>
  <c r="BL300" i="5" a="1"/>
  <c r="BL300" i="5" s="1"/>
  <c r="BL316" i="5" s="1"/>
  <c r="BL317" i="5" s="1"/>
  <c r="BL209" i="5"/>
  <c r="BL177" i="5"/>
  <c r="BL320" i="5" a="1"/>
  <c r="BL320" i="5" s="1"/>
  <c r="BL330" i="5" s="1"/>
  <c r="BL331" i="5" s="1"/>
  <c r="BL335" i="5" s="1" a="1"/>
  <c r="BL335" i="5" s="1"/>
  <c r="BL280" i="5"/>
  <c r="BL296" i="5" s="1"/>
  <c r="BL297" i="5" s="1"/>
  <c r="BL172" i="5" a="1"/>
  <c r="BL172" i="5" s="1"/>
  <c r="BL208" i="5"/>
  <c r="BM40" i="5" s="1"/>
  <c r="BK245" i="5"/>
  <c r="BK252" i="5" s="1"/>
  <c r="BK275" i="5" s="1"/>
  <c r="BK339" i="5" s="1"/>
  <c r="BK338" i="5" s="1"/>
  <c r="BL178" i="5"/>
  <c r="BL223" i="5" l="1"/>
  <c r="BL230" i="5"/>
  <c r="BV193" i="5"/>
  <c r="BU311" i="5" a="1"/>
  <c r="BU311" i="5" s="1"/>
  <c r="BM232" i="5"/>
  <c r="BM231" i="5" s="1"/>
  <c r="BM32" i="5"/>
  <c r="BM101" i="5"/>
  <c r="BN183" i="5"/>
  <c r="BM301" i="5" a="1"/>
  <c r="BM301" i="5" s="1"/>
  <c r="BM321" i="5" a="1"/>
  <c r="BM321" i="5" s="1"/>
  <c r="BM228" i="5"/>
  <c r="BM281" i="5"/>
  <c r="BL174" i="5"/>
  <c r="BM211" i="5" s="1"/>
  <c r="BL210" i="5"/>
  <c r="BL212" i="5" s="1"/>
  <c r="BL217" i="5" s="1"/>
  <c r="BL216" i="5" s="1"/>
  <c r="BL202" i="5"/>
  <c r="BL229" i="5"/>
  <c r="BL227" i="5" s="1"/>
  <c r="BL173" i="5"/>
  <c r="BR188" i="5"/>
  <c r="BQ326" i="5" a="1"/>
  <c r="BQ326" i="5" s="1"/>
  <c r="BQ306" i="5" a="1"/>
  <c r="BQ306" i="5" s="1"/>
  <c r="BO184" i="5" l="1"/>
  <c r="BN302" i="5" a="1"/>
  <c r="BN302" i="5" s="1"/>
  <c r="BN322" i="5" a="1"/>
  <c r="BN322" i="5" s="1"/>
  <c r="BC45" i="7" a="1"/>
  <c r="BC45" i="7" s="1"/>
  <c r="BN282" i="5"/>
  <c r="BE45" i="7" a="1"/>
  <c r="BE45" i="7" s="1"/>
  <c r="BF45" i="7" a="1"/>
  <c r="BF45" i="7" s="1"/>
  <c r="BH45" i="7" a="1"/>
  <c r="BH45" i="7" s="1"/>
  <c r="BG45" i="7" a="1"/>
  <c r="BG45" i="7" s="1"/>
  <c r="BI45" i="7" a="1"/>
  <c r="BI45" i="7" s="1"/>
  <c r="BJ45" i="7" a="1"/>
  <c r="BJ45" i="7" s="1"/>
  <c r="AI45" i="7" a="1"/>
  <c r="AI45" i="7" s="1"/>
  <c r="V45" i="7" a="1"/>
  <c r="V45" i="7" s="1"/>
  <c r="M45" i="7" a="1"/>
  <c r="M45" i="7" s="1"/>
  <c r="AK45" i="7" a="1"/>
  <c r="AK45" i="7" s="1"/>
  <c r="AM45" i="7" a="1"/>
  <c r="AM45" i="7" s="1"/>
  <c r="AY45" i="7" a="1"/>
  <c r="AY45" i="7" s="1"/>
  <c r="N45" i="7" a="1"/>
  <c r="N45" i="7" s="1"/>
  <c r="J45" i="7" a="1"/>
  <c r="J45" i="7" s="1"/>
  <c r="AG45" i="7" a="1"/>
  <c r="AG45" i="7" s="1"/>
  <c r="O45" i="7" a="1"/>
  <c r="O45" i="7" s="1"/>
  <c r="AD45" i="7" a="1"/>
  <c r="AD45" i="7" s="1"/>
  <c r="AZ45" i="7" a="1"/>
  <c r="AZ45" i="7" s="1"/>
  <c r="K45" i="7" a="1"/>
  <c r="K45" i="7" s="1"/>
  <c r="BA45" i="7" a="1"/>
  <c r="BA45" i="7" s="1"/>
  <c r="AW45" i="7" a="1"/>
  <c r="AW45" i="7" s="1"/>
  <c r="AB45" i="7" a="1"/>
  <c r="AB45" i="7" s="1"/>
  <c r="AC45" i="7" a="1"/>
  <c r="AC45" i="7" s="1"/>
  <c r="X45" i="7" a="1"/>
  <c r="X45" i="7" s="1"/>
  <c r="AA45" i="7" a="1"/>
  <c r="AA45" i="7" s="1"/>
  <c r="AS45" i="7" a="1"/>
  <c r="AS45" i="7" s="1"/>
  <c r="AX45" i="7" a="1"/>
  <c r="AX45" i="7" s="1"/>
  <c r="AP45" i="7" a="1"/>
  <c r="AP45" i="7" s="1"/>
  <c r="E45" i="7" a="1"/>
  <c r="E45" i="7" s="1"/>
  <c r="Z45" i="7" a="1"/>
  <c r="Z45" i="7" s="1"/>
  <c r="AQ45" i="7" a="1"/>
  <c r="AQ45" i="7" s="1"/>
  <c r="AO45" i="7" a="1"/>
  <c r="AO45" i="7" s="1"/>
  <c r="AR45" i="7" a="1"/>
  <c r="AR45" i="7" s="1"/>
  <c r="S45" i="7" a="1"/>
  <c r="S45" i="7" s="1"/>
  <c r="AH45" i="7" a="1"/>
  <c r="AH45" i="7" s="1"/>
  <c r="AU45" i="7" a="1"/>
  <c r="AU45" i="7" s="1"/>
  <c r="BD45" i="7" a="1"/>
  <c r="BD45" i="7" s="1"/>
  <c r="G45" i="7" a="1"/>
  <c r="G45" i="7" s="1"/>
  <c r="AL45" i="7" a="1"/>
  <c r="AL45" i="7" s="1"/>
  <c r="AE45" i="7" a="1"/>
  <c r="AE45" i="7" s="1"/>
  <c r="T45" i="7" a="1"/>
  <c r="T45" i="7" s="1"/>
  <c r="Q45" i="7" a="1"/>
  <c r="Q45" i="7" s="1"/>
  <c r="Y45" i="7" a="1"/>
  <c r="Y45" i="7" s="1"/>
  <c r="H45" i="7" a="1"/>
  <c r="H45" i="7" s="1"/>
  <c r="R45" i="7" a="1"/>
  <c r="R45" i="7" s="1"/>
  <c r="U45" i="7" a="1"/>
  <c r="U45" i="7" s="1"/>
  <c r="F45" i="7" a="1"/>
  <c r="F45" i="7" s="1"/>
  <c r="AV45" i="7" a="1"/>
  <c r="AV45" i="7" s="1"/>
  <c r="AN45" i="7" a="1"/>
  <c r="AN45" i="7" s="1"/>
  <c r="BK45" i="7" a="1"/>
  <c r="BK45" i="7" s="1"/>
  <c r="AT45" i="7" a="1"/>
  <c r="AT45" i="7" s="1"/>
  <c r="W45" i="7" a="1"/>
  <c r="W45" i="7" s="1"/>
  <c r="BL45" i="7" a="1"/>
  <c r="BL45" i="7" s="1"/>
  <c r="I45" i="7" a="1"/>
  <c r="I45" i="7" s="1"/>
  <c r="P45" i="7" a="1"/>
  <c r="P45" i="7" s="1"/>
  <c r="BB45" i="7" a="1"/>
  <c r="BB45" i="7" s="1"/>
  <c r="L45" i="7" a="1"/>
  <c r="L45" i="7" s="1"/>
  <c r="AJ45" i="7" a="1"/>
  <c r="AJ45" i="7" s="1"/>
  <c r="AF45" i="7" a="1"/>
  <c r="AF45" i="7" s="1"/>
  <c r="BS189" i="5"/>
  <c r="BR327" i="5" a="1"/>
  <c r="BR327" i="5" s="1"/>
  <c r="BR307" i="5" a="1"/>
  <c r="BR307" i="5" s="1"/>
  <c r="BM35" i="5"/>
  <c r="BN38" i="5"/>
  <c r="BM34" i="5"/>
  <c r="BN25" i="5" s="1"/>
  <c r="BM33" i="5"/>
  <c r="BW194" i="5"/>
  <c r="BV312" i="5" a="1"/>
  <c r="BV312" i="5" s="1"/>
  <c r="BL219" i="5"/>
  <c r="BL220" i="5" s="1"/>
  <c r="BM27" i="5" a="1"/>
  <c r="BM27" i="5" s="1"/>
  <c r="BM28" i="5" s="1"/>
  <c r="BL237" i="5"/>
  <c r="BL248" i="5" s="1"/>
  <c r="BM171" i="5" l="1"/>
  <c r="BN23" i="5"/>
  <c r="BL239" i="5"/>
  <c r="BL247" i="5"/>
  <c r="BL246" i="5" s="1"/>
  <c r="BP185" i="5"/>
  <c r="BO323" i="5" a="1"/>
  <c r="BO323" i="5" s="1"/>
  <c r="BO303" i="5" a="1"/>
  <c r="BO303" i="5" s="1"/>
  <c r="BW313" i="5" a="1"/>
  <c r="BW313" i="5" s="1"/>
  <c r="BX195" i="5"/>
  <c r="BT190" i="5"/>
  <c r="BS308" i="5" a="1"/>
  <c r="BS308" i="5" s="1"/>
  <c r="BS328" i="5" a="1"/>
  <c r="BS328" i="5" s="1"/>
  <c r="BN30" i="5"/>
  <c r="BL245" i="5" l="1"/>
  <c r="BL252" i="5" s="1"/>
  <c r="BL275" i="5" s="1"/>
  <c r="BL339" i="5" s="1"/>
  <c r="BL338" i="5" s="1"/>
  <c r="BQ186" i="5"/>
  <c r="BP304" i="5" a="1"/>
  <c r="BP304" i="5" s="1"/>
  <c r="BP324" i="5" a="1"/>
  <c r="BP324" i="5" s="1"/>
  <c r="BU191" i="5"/>
  <c r="BT309" i="5" a="1"/>
  <c r="BT309" i="5" s="1"/>
  <c r="BX314" i="5" a="1"/>
  <c r="BX314" i="5" s="1"/>
  <c r="BM176" i="5"/>
  <c r="BM181" i="5"/>
  <c r="BM200" i="5"/>
  <c r="BM204" i="5" s="1"/>
  <c r="BN182" i="5" l="1"/>
  <c r="BM300" i="5" a="1"/>
  <c r="BM300" i="5" s="1"/>
  <c r="BM316" i="5" s="1"/>
  <c r="BM317" i="5" s="1"/>
  <c r="BM320" i="5" a="1"/>
  <c r="BM320" i="5" s="1"/>
  <c r="BM330" i="5" s="1"/>
  <c r="BM331" i="5" s="1"/>
  <c r="BM335" i="5" s="1" a="1"/>
  <c r="BM335" i="5" s="1"/>
  <c r="BM177" i="5"/>
  <c r="BM178" i="5" s="1"/>
  <c r="BM209" i="5"/>
  <c r="BM280" i="5"/>
  <c r="BM296" i="5" s="1"/>
  <c r="BM297" i="5" s="1"/>
  <c r="BM172" i="5" a="1"/>
  <c r="BM172" i="5" s="1"/>
  <c r="BM208" i="5"/>
  <c r="BN40" i="5" s="1"/>
  <c r="BV192" i="5"/>
  <c r="BU310" i="5" a="1"/>
  <c r="BU310" i="5" s="1"/>
  <c r="BR187" i="5"/>
  <c r="BQ325" i="5" a="1"/>
  <c r="BQ325" i="5" s="1"/>
  <c r="BQ305" i="5" a="1"/>
  <c r="BQ305" i="5" s="1"/>
  <c r="BM223" i="5" l="1"/>
  <c r="BM230" i="5"/>
  <c r="BN232" i="5"/>
  <c r="BN231" i="5" s="1"/>
  <c r="BN32" i="5"/>
  <c r="BN101" i="5"/>
  <c r="BN35" i="5" s="1"/>
  <c r="BS188" i="5"/>
  <c r="BR306" i="5" a="1"/>
  <c r="BR306" i="5" s="1"/>
  <c r="BR326" i="5" a="1"/>
  <c r="BR326" i="5" s="1"/>
  <c r="BM174" i="5"/>
  <c r="BM210" i="5"/>
  <c r="BM212" i="5" s="1"/>
  <c r="BM217" i="5" s="1"/>
  <c r="BM216" i="5" s="1"/>
  <c r="BM229" i="5"/>
  <c r="BM227" i="5" s="1"/>
  <c r="BM202" i="5"/>
  <c r="BM173" i="5"/>
  <c r="BW193" i="5"/>
  <c r="BV311" i="5" a="1"/>
  <c r="BV311" i="5" s="1"/>
  <c r="BO183" i="5"/>
  <c r="BN301" i="5" a="1"/>
  <c r="BN301" i="5" s="1"/>
  <c r="BN321" i="5" a="1"/>
  <c r="BN321" i="5" s="1"/>
  <c r="BD44" i="7" a="1"/>
  <c r="BD44" i="7" s="1"/>
  <c r="BN281" i="5"/>
  <c r="BN228" i="5"/>
  <c r="BE44" i="7" a="1"/>
  <c r="BE44" i="7" s="1"/>
  <c r="BF44" i="7" a="1"/>
  <c r="BF44" i="7" s="1"/>
  <c r="BH44" i="7" a="1"/>
  <c r="BH44" i="7" s="1"/>
  <c r="BG44" i="7" a="1"/>
  <c r="BG44" i="7" s="1"/>
  <c r="BJ44" i="7" a="1"/>
  <c r="BJ44" i="7" s="1"/>
  <c r="BI44" i="7" a="1"/>
  <c r="BI44" i="7" s="1"/>
  <c r="AY44" i="7" a="1"/>
  <c r="AY44" i="7" s="1"/>
  <c r="BC44" i="7" a="1"/>
  <c r="BC44" i="7" s="1"/>
  <c r="AN44" i="7" a="1"/>
  <c r="AN44" i="7" s="1"/>
  <c r="I44" i="7" a="1"/>
  <c r="I44" i="7" s="1"/>
  <c r="AF44" i="7" a="1"/>
  <c r="AF44" i="7" s="1"/>
  <c r="AO44" i="7" a="1"/>
  <c r="AO44" i="7" s="1"/>
  <c r="Y44" i="7" a="1"/>
  <c r="Y44" i="7" s="1"/>
  <c r="AG44" i="7" a="1"/>
  <c r="AG44" i="7" s="1"/>
  <c r="AL44" i="7" a="1"/>
  <c r="AL44" i="7" s="1"/>
  <c r="AA44" i="7" a="1"/>
  <c r="AA44" i="7" s="1"/>
  <c r="G44" i="7" a="1"/>
  <c r="G44" i="7" s="1"/>
  <c r="AE44" i="7" a="1"/>
  <c r="AE44" i="7" s="1"/>
  <c r="AJ44" i="7" a="1"/>
  <c r="AJ44" i="7" s="1"/>
  <c r="AH44" i="7" a="1"/>
  <c r="AH44" i="7" s="1"/>
  <c r="V44" i="7" a="1"/>
  <c r="V44" i="7" s="1"/>
  <c r="BB44" i="7" a="1"/>
  <c r="BB44" i="7" s="1"/>
  <c r="AK44" i="7" a="1"/>
  <c r="AK44" i="7" s="1"/>
  <c r="BK44" i="7" a="1"/>
  <c r="BK44" i="7" s="1"/>
  <c r="BA44" i="7" a="1"/>
  <c r="BA44" i="7" s="1"/>
  <c r="N44" i="7" a="1"/>
  <c r="N44" i="7" s="1"/>
  <c r="AM44" i="7" a="1"/>
  <c r="AM44" i="7" s="1"/>
  <c r="AQ44" i="7" a="1"/>
  <c r="AQ44" i="7" s="1"/>
  <c r="U44" i="7" a="1"/>
  <c r="U44" i="7" s="1"/>
  <c r="K44" i="7" a="1"/>
  <c r="K44" i="7" s="1"/>
  <c r="AC44" i="7" a="1"/>
  <c r="AC44" i="7" s="1"/>
  <c r="AW44" i="7" a="1"/>
  <c r="AW44" i="7" s="1"/>
  <c r="AR44" i="7" a="1"/>
  <c r="AR44" i="7" s="1"/>
  <c r="R44" i="7" a="1"/>
  <c r="R44" i="7" s="1"/>
  <c r="W44" i="7" a="1"/>
  <c r="W44" i="7" s="1"/>
  <c r="Z44" i="7" a="1"/>
  <c r="Z44" i="7" s="1"/>
  <c r="X44" i="7" a="1"/>
  <c r="X44" i="7" s="1"/>
  <c r="L44" i="7" a="1"/>
  <c r="L44" i="7" s="1"/>
  <c r="AB44" i="7" a="1"/>
  <c r="AB44" i="7" s="1"/>
  <c r="AZ44" i="7" a="1"/>
  <c r="AZ44" i="7" s="1"/>
  <c r="AI44" i="7" a="1"/>
  <c r="AI44" i="7" s="1"/>
  <c r="AV44" i="7" a="1"/>
  <c r="AV44" i="7" s="1"/>
  <c r="H44" i="7" a="1"/>
  <c r="H44" i="7" s="1"/>
  <c r="F44" i="7" a="1"/>
  <c r="F44" i="7" s="1"/>
  <c r="AX44" i="7" a="1"/>
  <c r="AX44" i="7" s="1"/>
  <c r="AU44" i="7" a="1"/>
  <c r="AU44" i="7" s="1"/>
  <c r="AP44" i="7" a="1"/>
  <c r="AP44" i="7" s="1"/>
  <c r="J44" i="7" a="1"/>
  <c r="J44" i="7" s="1"/>
  <c r="AS44" i="7" a="1"/>
  <c r="AS44" i="7" s="1"/>
  <c r="P44" i="7" a="1"/>
  <c r="P44" i="7" s="1"/>
  <c r="BL44" i="7" a="1"/>
  <c r="BL44" i="7" s="1"/>
  <c r="O44" i="7" a="1"/>
  <c r="O44" i="7" s="1"/>
  <c r="AD44" i="7" a="1"/>
  <c r="AD44" i="7" s="1"/>
  <c r="Q44" i="7" a="1"/>
  <c r="Q44" i="7" s="1"/>
  <c r="E44" i="7" a="1"/>
  <c r="E44" i="7" s="1"/>
  <c r="M44" i="7" a="1"/>
  <c r="M44" i="7" s="1"/>
  <c r="AT44" i="7" a="1"/>
  <c r="AT44" i="7" s="1"/>
  <c r="T44" i="7" a="1"/>
  <c r="T44" i="7" s="1"/>
  <c r="S44" i="7" a="1"/>
  <c r="S44" i="7" s="1"/>
  <c r="BX194" i="5" l="1"/>
  <c r="BW312" i="5" a="1"/>
  <c r="BW312" i="5" s="1"/>
  <c r="BT189" i="5"/>
  <c r="BS307" i="5" a="1"/>
  <c r="BS307" i="5" s="1"/>
  <c r="BS327" i="5" a="1"/>
  <c r="BS327" i="5" s="1"/>
  <c r="BN27" i="5" a="1"/>
  <c r="BN27" i="5" s="1"/>
  <c r="BN28" i="5" s="1"/>
  <c r="BN171" i="5" s="1"/>
  <c r="BM219" i="5"/>
  <c r="BM220" i="5" s="1"/>
  <c r="BN33" i="5"/>
  <c r="BN34" i="5" s="1"/>
  <c r="BE21" i="7" a="1"/>
  <c r="BE21" i="7" s="1"/>
  <c r="BF21" i="7" a="1"/>
  <c r="BF21" i="7" s="1"/>
  <c r="BD21" i="7" a="1"/>
  <c r="BD21" i="7" s="1"/>
  <c r="BG21" i="7" a="1"/>
  <c r="BG21" i="7" s="1"/>
  <c r="BH21" i="7" a="1"/>
  <c r="BH21" i="7" s="1"/>
  <c r="BI21" i="7" a="1"/>
  <c r="BI21" i="7" s="1"/>
  <c r="BJ21" i="7" a="1"/>
  <c r="BJ21" i="7" s="1"/>
  <c r="O21" i="7" a="1"/>
  <c r="O21" i="7" s="1"/>
  <c r="Q21" i="7" a="1"/>
  <c r="Q21" i="7" s="1"/>
  <c r="AQ21" i="7" a="1"/>
  <c r="AQ21" i="7" s="1"/>
  <c r="AP21" i="7" a="1"/>
  <c r="AP21" i="7" s="1"/>
  <c r="H21" i="7" a="1"/>
  <c r="H21" i="7" s="1"/>
  <c r="Z21" i="7" a="1"/>
  <c r="Z21" i="7" s="1"/>
  <c r="AE21" i="7" a="1"/>
  <c r="AE21" i="7" s="1"/>
  <c r="AF21" i="7" a="1"/>
  <c r="AF21" i="7" s="1"/>
  <c r="W21" i="7" a="1"/>
  <c r="W21" i="7" s="1"/>
  <c r="AO21" i="7" a="1"/>
  <c r="AO21" i="7" s="1"/>
  <c r="BC21" i="7" a="1"/>
  <c r="BC21" i="7" s="1"/>
  <c r="AV21" i="7" a="1"/>
  <c r="AV21" i="7" s="1"/>
  <c r="S21" i="7" a="1"/>
  <c r="S21" i="7" s="1"/>
  <c r="AN21" i="7" a="1"/>
  <c r="AN21" i="7" s="1"/>
  <c r="AG21" i="7" a="1"/>
  <c r="AG21" i="7" s="1"/>
  <c r="AX21" i="7" a="1"/>
  <c r="AX21" i="7" s="1"/>
  <c r="F21" i="7" a="1"/>
  <c r="F21" i="7" s="1"/>
  <c r="L21" i="7" a="1"/>
  <c r="L21" i="7" s="1"/>
  <c r="BA21" i="7" a="1"/>
  <c r="BA21" i="7" s="1"/>
  <c r="AJ21" i="7" a="1"/>
  <c r="AJ21" i="7" s="1"/>
  <c r="BL21" i="7" a="1"/>
  <c r="BL21" i="7" s="1"/>
  <c r="AC21" i="7" a="1"/>
  <c r="AC21" i="7" s="1"/>
  <c r="R21" i="7" a="1"/>
  <c r="R21" i="7" s="1"/>
  <c r="Y21" i="7" a="1"/>
  <c r="Y21" i="7" s="1"/>
  <c r="T21" i="7" a="1"/>
  <c r="T21" i="7" s="1"/>
  <c r="AZ21" i="7" a="1"/>
  <c r="AZ21" i="7" s="1"/>
  <c r="M21" i="7" a="1"/>
  <c r="M21" i="7" s="1"/>
  <c r="E21" i="7" a="1"/>
  <c r="E21" i="7" s="1"/>
  <c r="X21" i="7" a="1"/>
  <c r="X21" i="7" s="1"/>
  <c r="AR21" i="7" a="1"/>
  <c r="AR21" i="7" s="1"/>
  <c r="AH21" i="7" a="1"/>
  <c r="AH21" i="7" s="1"/>
  <c r="G21" i="7" a="1"/>
  <c r="G21" i="7" s="1"/>
  <c r="N30" i="3"/>
  <c r="I21" i="7" a="1"/>
  <c r="I21" i="7" s="1"/>
  <c r="AT21" i="7" a="1"/>
  <c r="AT21" i="7" s="1"/>
  <c r="J21" i="7" a="1"/>
  <c r="J21" i="7" s="1"/>
  <c r="BK21" i="7" a="1"/>
  <c r="BK21" i="7" s="1"/>
  <c r="AD21" i="7" a="1"/>
  <c r="AD21" i="7" s="1"/>
  <c r="P21" i="7" a="1"/>
  <c r="P21" i="7" s="1"/>
  <c r="AL21" i="7" a="1"/>
  <c r="AL21" i="7" s="1"/>
  <c r="AI21" i="7" a="1"/>
  <c r="AI21" i="7" s="1"/>
  <c r="AW21" i="7" a="1"/>
  <c r="AW21" i="7" s="1"/>
  <c r="AY21" i="7" a="1"/>
  <c r="AY21" i="7" s="1"/>
  <c r="K21" i="7" a="1"/>
  <c r="K21" i="7" s="1"/>
  <c r="BB21" i="7" a="1"/>
  <c r="BB21" i="7" s="1"/>
  <c r="AA21" i="7" a="1"/>
  <c r="AA21" i="7" s="1"/>
  <c r="AB21" i="7" a="1"/>
  <c r="AB21" i="7" s="1"/>
  <c r="AM21" i="7" a="1"/>
  <c r="AM21" i="7" s="1"/>
  <c r="V21" i="7" a="1"/>
  <c r="V21" i="7" s="1"/>
  <c r="U21" i="7" a="1"/>
  <c r="U21" i="7" s="1"/>
  <c r="AK21" i="7" a="1"/>
  <c r="AK21" i="7" s="1"/>
  <c r="AU21" i="7" a="1"/>
  <c r="AU21" i="7" s="1"/>
  <c r="N21" i="7" a="1"/>
  <c r="N21" i="7" s="1"/>
  <c r="AS21" i="7" a="1"/>
  <c r="AS21" i="7" s="1"/>
  <c r="S30" i="3"/>
  <c r="BN211" i="5"/>
  <c r="BP184" i="5"/>
  <c r="BO322" i="5" a="1"/>
  <c r="BO322" i="5" s="1"/>
  <c r="BO302" i="5" a="1"/>
  <c r="BO302" i="5" s="1"/>
  <c r="BM237" i="5"/>
  <c r="BM248" i="5" s="1"/>
  <c r="K35" i="6" l="1"/>
  <c r="BM239" i="5"/>
  <c r="BM247" i="5"/>
  <c r="BM246" i="5" s="1"/>
  <c r="M35" i="6"/>
  <c r="BN176" i="5"/>
  <c r="BN181" i="5"/>
  <c r="BN200" i="5"/>
  <c r="BN204" i="5" s="1"/>
  <c r="O35" i="6"/>
  <c r="BU190" i="5"/>
  <c r="BT328" i="5" a="1"/>
  <c r="BT328" i="5" s="1"/>
  <c r="BT308" i="5" a="1"/>
  <c r="BT308" i="5" s="1"/>
  <c r="N35" i="6"/>
  <c r="L35" i="6"/>
  <c r="BQ185" i="5"/>
  <c r="BP303" i="5" a="1"/>
  <c r="BP303" i="5" s="1"/>
  <c r="BP323" i="5" a="1"/>
  <c r="BP323" i="5" s="1"/>
  <c r="V30" i="3"/>
  <c r="BX313" i="5" a="1"/>
  <c r="BX313" i="5" s="1"/>
  <c r="BY195" i="5"/>
  <c r="BR186" i="5" l="1"/>
  <c r="BQ304" i="5" a="1"/>
  <c r="BQ304" i="5" s="1"/>
  <c r="BQ324" i="5" a="1"/>
  <c r="BQ324" i="5" s="1"/>
  <c r="BY314" i="5" a="1"/>
  <c r="BY314" i="5" s="1"/>
  <c r="BO182" i="5"/>
  <c r="BN280" i="5"/>
  <c r="BN296" i="5" s="1"/>
  <c r="BN297" i="5" s="1"/>
  <c r="BN172" i="5" a="1"/>
  <c r="BN172" i="5" s="1"/>
  <c r="BN300" i="5" a="1"/>
  <c r="BN300" i="5" s="1"/>
  <c r="BN316" i="5" s="1"/>
  <c r="BN317" i="5" s="1"/>
  <c r="BN320" i="5" a="1"/>
  <c r="BN320" i="5" s="1"/>
  <c r="BN330" i="5" s="1"/>
  <c r="BN331" i="5" s="1"/>
  <c r="BN335" i="5" s="1" a="1"/>
  <c r="BN335" i="5" s="1"/>
  <c r="BN177" i="5"/>
  <c r="AO43" i="7" a="1"/>
  <c r="AO43" i="7" s="1"/>
  <c r="BD43" i="7" a="1"/>
  <c r="BD43" i="7" s="1"/>
  <c r="AA43" i="7" a="1"/>
  <c r="AA43" i="7" s="1"/>
  <c r="AI43" i="7" a="1"/>
  <c r="AI43" i="7" s="1"/>
  <c r="AW43" i="7" a="1"/>
  <c r="AW43" i="7" s="1"/>
  <c r="AJ43" i="7" a="1"/>
  <c r="AJ43" i="7" s="1"/>
  <c r="R43" i="7" a="1"/>
  <c r="R43" i="7" s="1"/>
  <c r="X43" i="7" a="1"/>
  <c r="X43" i="7" s="1"/>
  <c r="AQ43" i="7" a="1"/>
  <c r="AQ43" i="7" s="1"/>
  <c r="Z43" i="7" a="1"/>
  <c r="Z43" i="7" s="1"/>
  <c r="BI43" i="7" a="1"/>
  <c r="BI43" i="7" s="1"/>
  <c r="AG43" i="7" a="1"/>
  <c r="AG43" i="7" s="1"/>
  <c r="I43" i="7" a="1"/>
  <c r="I43" i="7" s="1"/>
  <c r="E43" i="7" a="1"/>
  <c r="E43" i="7" s="1"/>
  <c r="F43" i="7" a="1"/>
  <c r="F43" i="7" s="1"/>
  <c r="S43" i="7" a="1"/>
  <c r="S43" i="7" s="1"/>
  <c r="V43" i="7" a="1"/>
  <c r="V43" i="7" s="1"/>
  <c r="AX43" i="7" a="1"/>
  <c r="AX43" i="7" s="1"/>
  <c r="T43" i="7" a="1"/>
  <c r="T43" i="7" s="1"/>
  <c r="AT43" i="7" a="1"/>
  <c r="AT43" i="7" s="1"/>
  <c r="AC43" i="7" a="1"/>
  <c r="AC43" i="7" s="1"/>
  <c r="AR43" i="7" a="1"/>
  <c r="AR43" i="7" s="1"/>
  <c r="BB43" i="7" a="1"/>
  <c r="BB43" i="7" s="1"/>
  <c r="AE43" i="7" a="1"/>
  <c r="AE43" i="7" s="1"/>
  <c r="BL43" i="7" a="1"/>
  <c r="BL43" i="7" s="1"/>
  <c r="BJ43" i="7" a="1"/>
  <c r="BJ43" i="7" s="1"/>
  <c r="AP43" i="7" a="1"/>
  <c r="AP43" i="7" s="1"/>
  <c r="O43" i="7" a="1"/>
  <c r="O43" i="7" s="1"/>
  <c r="BH43" i="7" a="1"/>
  <c r="BH43" i="7" s="1"/>
  <c r="AU43" i="7" a="1"/>
  <c r="AU43" i="7" s="1"/>
  <c r="AV43" i="7" a="1"/>
  <c r="AV43" i="7" s="1"/>
  <c r="AY43" i="7" a="1"/>
  <c r="AY43" i="7" s="1"/>
  <c r="AL43" i="7" a="1"/>
  <c r="AL43" i="7" s="1"/>
  <c r="AZ43" i="7" a="1"/>
  <c r="AZ43" i="7" s="1"/>
  <c r="BG43" i="7" a="1"/>
  <c r="BG43" i="7" s="1"/>
  <c r="W43" i="7" a="1"/>
  <c r="W43" i="7" s="1"/>
  <c r="H43" i="7" a="1"/>
  <c r="H43" i="7" s="1"/>
  <c r="AB43" i="7" a="1"/>
  <c r="AB43" i="7" s="1"/>
  <c r="AF43" i="7" a="1"/>
  <c r="AF43" i="7" s="1"/>
  <c r="AM43" i="7" a="1"/>
  <c r="AM43" i="7" s="1"/>
  <c r="BE43" i="7" a="1"/>
  <c r="BE43" i="7" s="1"/>
  <c r="BC43" i="7" a="1"/>
  <c r="BC43" i="7" s="1"/>
  <c r="M43" i="7" a="1"/>
  <c r="M43" i="7" s="1"/>
  <c r="BF43" i="7" a="1"/>
  <c r="BF43" i="7" s="1"/>
  <c r="L43" i="7" a="1"/>
  <c r="L43" i="7" s="1"/>
  <c r="U43" i="7" a="1"/>
  <c r="U43" i="7" s="1"/>
  <c r="P43" i="7" a="1"/>
  <c r="P43" i="7" s="1"/>
  <c r="Q43" i="7" a="1"/>
  <c r="Q43" i="7" s="1"/>
  <c r="AK43" i="7" a="1"/>
  <c r="AK43" i="7" s="1"/>
  <c r="BA43" i="7" a="1"/>
  <c r="BA43" i="7" s="1"/>
  <c r="AS43" i="7" a="1"/>
  <c r="AS43" i="7" s="1"/>
  <c r="AH43" i="7" a="1"/>
  <c r="AH43" i="7" s="1"/>
  <c r="Y43" i="7" a="1"/>
  <c r="Y43" i="7" s="1"/>
  <c r="AN43" i="7" a="1"/>
  <c r="AN43" i="7" s="1"/>
  <c r="K43" i="7" a="1"/>
  <c r="K43" i="7" s="1"/>
  <c r="N43" i="7" a="1"/>
  <c r="N43" i="7" s="1"/>
  <c r="AD43" i="7" a="1"/>
  <c r="AD43" i="7" s="1"/>
  <c r="G43" i="7" a="1"/>
  <c r="G43" i="7" s="1"/>
  <c r="J43" i="7" a="1"/>
  <c r="J43" i="7" s="1"/>
  <c r="BK43" i="7" a="1"/>
  <c r="BK43" i="7" s="1"/>
  <c r="BN208" i="5"/>
  <c r="BN178" i="5"/>
  <c r="BV191" i="5"/>
  <c r="BU309" i="5" a="1"/>
  <c r="BU309" i="5" s="1"/>
  <c r="BM245" i="5"/>
  <c r="BM252" i="5" s="1"/>
  <c r="BM275" i="5" s="1"/>
  <c r="BM339" i="5" s="1"/>
  <c r="BM338" i="5" s="1"/>
  <c r="J35" i="6"/>
  <c r="BN174" i="5" l="1"/>
  <c r="BN210" i="5"/>
  <c r="BN212" i="5" s="1"/>
  <c r="BN217" i="5" s="1"/>
  <c r="BN216" i="5" s="1"/>
  <c r="BJ7" i="7" a="1"/>
  <c r="BJ7" i="7" s="1"/>
  <c r="AM7" i="7" a="1"/>
  <c r="AM7" i="7" s="1"/>
  <c r="AX7" i="7" a="1"/>
  <c r="AX7" i="7" s="1"/>
  <c r="AW7" i="7" a="1"/>
  <c r="AW7" i="7" s="1"/>
  <c r="X7" i="7" a="1"/>
  <c r="X7" i="7" s="1"/>
  <c r="AG7" i="7" a="1"/>
  <c r="AG7" i="7" s="1"/>
  <c r="AO7" i="7" a="1"/>
  <c r="AO7" i="7" s="1"/>
  <c r="J7" i="7" a="1"/>
  <c r="J7" i="7" s="1"/>
  <c r="P7" i="7" a="1"/>
  <c r="P7" i="7" s="1"/>
  <c r="K20" i="6" s="1"/>
  <c r="AA7" i="7" a="1"/>
  <c r="AA7" i="7" s="1"/>
  <c r="BL7" i="7" a="1"/>
  <c r="BL7" i="7" s="1"/>
  <c r="O20" i="6" s="1"/>
  <c r="O7" i="7" a="1"/>
  <c r="O7" i="7" s="1"/>
  <c r="AQ7" i="7" a="1"/>
  <c r="AQ7" i="7" s="1"/>
  <c r="AY7" i="7" a="1"/>
  <c r="AY7" i="7" s="1"/>
  <c r="AK7" i="7" a="1"/>
  <c r="AK7" i="7" s="1"/>
  <c r="AB7" i="7" a="1"/>
  <c r="AB7" i="7" s="1"/>
  <c r="L20" i="6" s="1"/>
  <c r="BC7" i="7" a="1"/>
  <c r="BC7" i="7" s="1"/>
  <c r="V7" i="7" a="1"/>
  <c r="V7" i="7" s="1"/>
  <c r="AI7" i="7" a="1"/>
  <c r="AI7" i="7" s="1"/>
  <c r="AT7" i="7" a="1"/>
  <c r="AT7" i="7" s="1"/>
  <c r="AZ7" i="7" a="1"/>
  <c r="AZ7" i="7" s="1"/>
  <c r="N20" i="6" s="1"/>
  <c r="M7" i="7" a="1"/>
  <c r="M7" i="7" s="1"/>
  <c r="AD7" i="7" a="1"/>
  <c r="AD7" i="7" s="1"/>
  <c r="Z7" i="7" a="1"/>
  <c r="Z7" i="7" s="1"/>
  <c r="Q7" i="7" a="1"/>
  <c r="Q7" i="7" s="1"/>
  <c r="AE7" i="7" a="1"/>
  <c r="AE7" i="7" s="1"/>
  <c r="E7" i="7" a="1"/>
  <c r="E7" i="7" s="1"/>
  <c r="BF7" i="7" a="1"/>
  <c r="BF7" i="7" s="1"/>
  <c r="G7" i="7" a="1"/>
  <c r="G7" i="7" s="1"/>
  <c r="AJ7" i="7" a="1"/>
  <c r="AJ7" i="7" s="1"/>
  <c r="U7" i="7" a="1"/>
  <c r="U7" i="7" s="1"/>
  <c r="BK7" i="7" a="1"/>
  <c r="BK7" i="7" s="1"/>
  <c r="N7" i="7" a="1"/>
  <c r="N7" i="7" s="1"/>
  <c r="AL7" i="7" a="1"/>
  <c r="AL7" i="7" s="1"/>
  <c r="BG7" i="7" a="1"/>
  <c r="BG7" i="7" s="1"/>
  <c r="BA7" i="7" a="1"/>
  <c r="BA7" i="7" s="1"/>
  <c r="H7" i="7" a="1"/>
  <c r="H7" i="7" s="1"/>
  <c r="AU7" i="7" a="1"/>
  <c r="AU7" i="7" s="1"/>
  <c r="R7" i="7" a="1"/>
  <c r="R7" i="7" s="1"/>
  <c r="AN7" i="7" a="1"/>
  <c r="AN7" i="7" s="1"/>
  <c r="M20" i="6" s="1"/>
  <c r="S7" i="7" a="1"/>
  <c r="S7" i="7" s="1"/>
  <c r="AS7" i="7" a="1"/>
  <c r="AS7" i="7" s="1"/>
  <c r="W7" i="7" a="1"/>
  <c r="W7" i="7" s="1"/>
  <c r="AR7" i="7" a="1"/>
  <c r="AR7" i="7" s="1"/>
  <c r="BB7" i="7" a="1"/>
  <c r="BB7" i="7" s="1"/>
  <c r="BE7" i="7" a="1"/>
  <c r="BE7" i="7" s="1"/>
  <c r="K7" i="7" a="1"/>
  <c r="K7" i="7" s="1"/>
  <c r="AP7" i="7" a="1"/>
  <c r="AP7" i="7" s="1"/>
  <c r="BI7" i="7" a="1"/>
  <c r="BI7" i="7" s="1"/>
  <c r="T7" i="7" a="1"/>
  <c r="T7" i="7" s="1"/>
  <c r="I7" i="7" a="1"/>
  <c r="I7" i="7" s="1"/>
  <c r="BH7" i="7" a="1"/>
  <c r="BH7" i="7" s="1"/>
  <c r="AF7" i="7" a="1"/>
  <c r="AF7" i="7" s="1"/>
  <c r="L7" i="7" a="1"/>
  <c r="L7" i="7" s="1"/>
  <c r="BD7" i="7" a="1"/>
  <c r="BD7" i="7" s="1"/>
  <c r="AV7" i="7" a="1"/>
  <c r="AV7" i="7" s="1"/>
  <c r="AH7" i="7" a="1"/>
  <c r="AH7" i="7" s="1"/>
  <c r="F7" i="7" a="1"/>
  <c r="F7" i="7" s="1"/>
  <c r="AC7" i="7" a="1"/>
  <c r="AC7" i="7" s="1"/>
  <c r="Y7" i="7" a="1"/>
  <c r="Y7" i="7" s="1"/>
  <c r="BN202" i="5"/>
  <c r="BN229" i="5"/>
  <c r="BN227" i="5" s="1"/>
  <c r="BN173" i="5"/>
  <c r="BP183" i="5"/>
  <c r="BO321" i="5" a="1"/>
  <c r="BO321" i="5" s="1"/>
  <c r="BO330" i="5" s="1"/>
  <c r="BO331" i="5" s="1"/>
  <c r="BO335" i="5" s="1" a="1"/>
  <c r="BO335" i="5" s="1"/>
  <c r="BO301" i="5" a="1"/>
  <c r="BO301" i="5" s="1"/>
  <c r="BO316" i="5" s="1"/>
  <c r="BO317" i="5" s="1"/>
  <c r="BW192" i="5"/>
  <c r="BV310" i="5" a="1"/>
  <c r="BV310" i="5" s="1"/>
  <c r="BG37" i="7" a="1"/>
  <c r="BG37" i="7" s="1"/>
  <c r="AD37" i="7" a="1"/>
  <c r="AD37" i="7" s="1"/>
  <c r="AY37" i="7" a="1"/>
  <c r="AY37" i="7" s="1"/>
  <c r="AQ37" i="7" a="1"/>
  <c r="AQ37" i="7" s="1"/>
  <c r="P37" i="7" a="1"/>
  <c r="P37" i="7" s="1"/>
  <c r="BE37" i="7" a="1"/>
  <c r="BE37" i="7" s="1"/>
  <c r="Z37" i="7" a="1"/>
  <c r="Z37" i="7" s="1"/>
  <c r="E37" i="7" a="1"/>
  <c r="E37" i="7" s="1"/>
  <c r="BH37" i="7" a="1"/>
  <c r="BH37" i="7" s="1"/>
  <c r="BI37" i="7" a="1"/>
  <c r="BI37" i="7" s="1"/>
  <c r="AI37" i="7" a="1"/>
  <c r="AI37" i="7" s="1"/>
  <c r="V37" i="7" a="1"/>
  <c r="V37" i="7" s="1"/>
  <c r="S37" i="7" a="1"/>
  <c r="S37" i="7" s="1"/>
  <c r="X37" i="7" a="1"/>
  <c r="X37" i="7" s="1"/>
  <c r="AR37" i="7" a="1"/>
  <c r="AR37" i="7" s="1"/>
  <c r="N37" i="7" a="1"/>
  <c r="N37" i="7" s="1"/>
  <c r="K37" i="7" a="1"/>
  <c r="K37" i="7" s="1"/>
  <c r="F37" i="7" a="1"/>
  <c r="F37" i="7" s="1"/>
  <c r="BJ37" i="7" a="1"/>
  <c r="BJ37" i="7" s="1"/>
  <c r="AC37" i="7" a="1"/>
  <c r="AC37" i="7" s="1"/>
  <c r="AH37" i="7" a="1"/>
  <c r="AH37" i="7" s="1"/>
  <c r="AE37" i="7" a="1"/>
  <c r="AE37" i="7" s="1"/>
  <c r="AS37" i="7" a="1"/>
  <c r="AS37" i="7" s="1"/>
  <c r="T37" i="7" a="1"/>
  <c r="T37" i="7" s="1"/>
  <c r="AX37" i="7" a="1"/>
  <c r="AX37" i="7" s="1"/>
  <c r="O37" i="7" a="1"/>
  <c r="O37" i="7" s="1"/>
  <c r="AG37" i="7" a="1"/>
  <c r="AG37" i="7" s="1"/>
  <c r="AW37" i="7" a="1"/>
  <c r="AW37" i="7" s="1"/>
  <c r="AM37" i="7" a="1"/>
  <c r="AM37" i="7" s="1"/>
  <c r="H37" i="7" a="1"/>
  <c r="H37" i="7" s="1"/>
  <c r="AA37" i="7" a="1"/>
  <c r="AA37" i="7" s="1"/>
  <c r="J37" i="7" a="1"/>
  <c r="J37" i="7" s="1"/>
  <c r="U37" i="7" a="1"/>
  <c r="U37" i="7" s="1"/>
  <c r="AV37" i="7" a="1"/>
  <c r="AV37" i="7" s="1"/>
  <c r="Q37" i="7" a="1"/>
  <c r="Q37" i="7" s="1"/>
  <c r="BF37" i="7" a="1"/>
  <c r="BF37" i="7" s="1"/>
  <c r="AO37" i="7" a="1"/>
  <c r="AO37" i="7" s="1"/>
  <c r="AJ37" i="7" a="1"/>
  <c r="AJ37" i="7" s="1"/>
  <c r="M37" i="7" a="1"/>
  <c r="M37" i="7" s="1"/>
  <c r="AB37" i="7" a="1"/>
  <c r="AB37" i="7" s="1"/>
  <c r="AZ37" i="7" a="1"/>
  <c r="AZ37" i="7" s="1"/>
  <c r="BC37" i="7" a="1"/>
  <c r="BC37" i="7" s="1"/>
  <c r="BB37" i="7" a="1"/>
  <c r="BB37" i="7" s="1"/>
  <c r="AK37" i="7" a="1"/>
  <c r="AK37" i="7" s="1"/>
  <c r="AT37" i="7" a="1"/>
  <c r="AT37" i="7" s="1"/>
  <c r="BA37" i="7" a="1"/>
  <c r="BA37" i="7" s="1"/>
  <c r="AP37" i="7" a="1"/>
  <c r="AP37" i="7" s="1"/>
  <c r="AL37" i="7" a="1"/>
  <c r="AL37" i="7" s="1"/>
  <c r="BK37" i="7" a="1"/>
  <c r="BK37" i="7" s="1"/>
  <c r="AF37" i="7" a="1"/>
  <c r="AF37" i="7" s="1"/>
  <c r="BL37" i="7" a="1"/>
  <c r="BL37" i="7" s="1"/>
  <c r="Y37" i="7" a="1"/>
  <c r="Y37" i="7" s="1"/>
  <c r="I37" i="7" a="1"/>
  <c r="I37" i="7" s="1"/>
  <c r="R37" i="7" a="1"/>
  <c r="R37" i="7" s="1"/>
  <c r="AU37" i="7" a="1"/>
  <c r="AU37" i="7" s="1"/>
  <c r="W37" i="7" a="1"/>
  <c r="W37" i="7" s="1"/>
  <c r="G37" i="7" a="1"/>
  <c r="G37" i="7" s="1"/>
  <c r="BD37" i="7" a="1"/>
  <c r="BD37" i="7" s="1"/>
  <c r="AN37" i="7" a="1"/>
  <c r="AN37" i="7" s="1"/>
  <c r="L37" i="7" a="1"/>
  <c r="L37" i="7" s="1"/>
  <c r="S34" i="3"/>
  <c r="BN209" i="5"/>
  <c r="BS187" i="5"/>
  <c r="BR305" i="5" a="1"/>
  <c r="BR305" i="5" s="1"/>
  <c r="BR325" i="5" a="1"/>
  <c r="BR325" i="5" s="1"/>
  <c r="O46" i="6" l="1"/>
  <c r="O19" i="7" a="1"/>
  <c r="O19" i="7" s="1"/>
  <c r="AZ19" i="7" a="1"/>
  <c r="AZ19" i="7" s="1"/>
  <c r="P19" i="7" a="1"/>
  <c r="P19" i="7" s="1"/>
  <c r="Q19" i="7" a="1"/>
  <c r="Q19" i="7" s="1"/>
  <c r="J19" i="7" a="1"/>
  <c r="J19" i="7" s="1"/>
  <c r="AH19" i="7" a="1"/>
  <c r="AH19" i="7" s="1"/>
  <c r="AQ19" i="7" a="1"/>
  <c r="AQ19" i="7" s="1"/>
  <c r="W19" i="7" a="1"/>
  <c r="W19" i="7" s="1"/>
  <c r="X19" i="7" a="1"/>
  <c r="X19" i="7" s="1"/>
  <c r="Y19" i="7" a="1"/>
  <c r="Y19" i="7" s="1"/>
  <c r="AY19" i="7" a="1"/>
  <c r="AY19" i="7" s="1"/>
  <c r="AW19" i="7" a="1"/>
  <c r="AW19" i="7" s="1"/>
  <c r="T19" i="7" a="1"/>
  <c r="T19" i="7" s="1"/>
  <c r="AN19" i="7" a="1"/>
  <c r="AN19" i="7" s="1"/>
  <c r="V19" i="7" a="1"/>
  <c r="V19" i="7" s="1"/>
  <c r="AP19" i="7" a="1"/>
  <c r="AP19" i="7" s="1"/>
  <c r="BE19" i="7" a="1"/>
  <c r="BE19" i="7" s="1"/>
  <c r="S19" i="7" a="1"/>
  <c r="S19" i="7" s="1"/>
  <c r="AC19" i="7" a="1"/>
  <c r="AC19" i="7" s="1"/>
  <c r="AG19" i="7" a="1"/>
  <c r="AG19" i="7" s="1"/>
  <c r="AD19" i="7" a="1"/>
  <c r="AD19" i="7" s="1"/>
  <c r="AE19" i="7" a="1"/>
  <c r="AE19" i="7" s="1"/>
  <c r="F19" i="7" a="1"/>
  <c r="F19" i="7" s="1"/>
  <c r="AO19" i="7" a="1"/>
  <c r="AO19" i="7" s="1"/>
  <c r="AX19" i="7" a="1"/>
  <c r="AX19" i="7" s="1"/>
  <c r="BG19" i="7" a="1"/>
  <c r="BG19" i="7" s="1"/>
  <c r="AF19" i="7" a="1"/>
  <c r="AF19" i="7" s="1"/>
  <c r="AS19" i="7" a="1"/>
  <c r="AS19" i="7" s="1"/>
  <c r="AL19" i="7" a="1"/>
  <c r="AL19" i="7" s="1"/>
  <c r="AR19" i="7" a="1"/>
  <c r="AR19" i="7" s="1"/>
  <c r="AT19" i="7" a="1"/>
  <c r="AT19" i="7" s="1"/>
  <c r="BA19" i="7" a="1"/>
  <c r="BA19" i="7" s="1"/>
  <c r="K19" i="7" a="1"/>
  <c r="K19" i="7" s="1"/>
  <c r="BB19" i="7" a="1"/>
  <c r="BB19" i="7" s="1"/>
  <c r="BC19" i="7" a="1"/>
  <c r="BC19" i="7" s="1"/>
  <c r="AV19" i="7" a="1"/>
  <c r="AV19" i="7" s="1"/>
  <c r="N19" i="7" a="1"/>
  <c r="N19" i="7" s="1"/>
  <c r="U19" i="7" a="1"/>
  <c r="U19" i="7" s="1"/>
  <c r="BI19" i="7" a="1"/>
  <c r="BI19" i="7" s="1"/>
  <c r="BJ19" i="7" a="1"/>
  <c r="BJ19" i="7" s="1"/>
  <c r="BD19" i="7" a="1"/>
  <c r="BD19" i="7" s="1"/>
  <c r="AA19" i="7" a="1"/>
  <c r="AA19" i="7" s="1"/>
  <c r="BF19" i="7" a="1"/>
  <c r="BF19" i="7" s="1"/>
  <c r="BK19" i="7" a="1"/>
  <c r="BK19" i="7" s="1"/>
  <c r="L19" i="7" a="1"/>
  <c r="L19" i="7" s="1"/>
  <c r="AJ19" i="7" a="1"/>
  <c r="AJ19" i="7" s="1"/>
  <c r="G19" i="7" a="1"/>
  <c r="G19" i="7" s="1"/>
  <c r="AB19" i="7" a="1"/>
  <c r="AB19" i="7" s="1"/>
  <c r="H19" i="7" a="1"/>
  <c r="H19" i="7" s="1"/>
  <c r="I19" i="7" a="1"/>
  <c r="I19" i="7" s="1"/>
  <c r="BL19" i="7" a="1"/>
  <c r="BL19" i="7" s="1"/>
  <c r="Z19" i="7" a="1"/>
  <c r="Z19" i="7" s="1"/>
  <c r="AI19" i="7" a="1"/>
  <c r="AI19" i="7" s="1"/>
  <c r="BH19" i="7" a="1"/>
  <c r="BH19" i="7" s="1"/>
  <c r="R19" i="7" a="1"/>
  <c r="R19" i="7" s="1"/>
  <c r="AK19" i="7" a="1"/>
  <c r="AK19" i="7" s="1"/>
  <c r="AM19" i="7" a="1"/>
  <c r="AM19" i="7" s="1"/>
  <c r="E19" i="7" a="1"/>
  <c r="E19" i="7" s="1"/>
  <c r="AU19" i="7" a="1"/>
  <c r="AU19" i="7" s="1"/>
  <c r="M19" i="7" a="1"/>
  <c r="M19" i="7" s="1"/>
  <c r="N28" i="3"/>
  <c r="S28" i="3"/>
  <c r="BX193" i="5"/>
  <c r="BW311" i="5" a="1"/>
  <c r="BW311" i="5" s="1"/>
  <c r="K46" i="6"/>
  <c r="S72" i="3"/>
  <c r="N46" i="6"/>
  <c r="BO339" i="5"/>
  <c r="BO338" i="5" s="1"/>
  <c r="BN219" i="5"/>
  <c r="AR8" i="7" a="1"/>
  <c r="AR8" i="7" s="1"/>
  <c r="AH8" i="7" a="1"/>
  <c r="AH8" i="7" s="1"/>
  <c r="S8" i="7" a="1"/>
  <c r="S8" i="7" s="1"/>
  <c r="U8" i="7" a="1"/>
  <c r="U8" i="7" s="1"/>
  <c r="AX8" i="7" a="1"/>
  <c r="AX8" i="7" s="1"/>
  <c r="AI8" i="7" a="1"/>
  <c r="AI8" i="7" s="1"/>
  <c r="L8" i="7" a="1"/>
  <c r="L8" i="7" s="1"/>
  <c r="AL8" i="7" a="1"/>
  <c r="AL8" i="7" s="1"/>
  <c r="AM8" i="7" a="1"/>
  <c r="AM8" i="7" s="1"/>
  <c r="AP8" i="7" a="1"/>
  <c r="AP8" i="7" s="1"/>
  <c r="Y8" i="7" a="1"/>
  <c r="Y8" i="7" s="1"/>
  <c r="BF8" i="7" a="1"/>
  <c r="BF8" i="7" s="1"/>
  <c r="AQ8" i="7" a="1"/>
  <c r="AQ8" i="7" s="1"/>
  <c r="BB8" i="7" a="1"/>
  <c r="BB8" i="7" s="1"/>
  <c r="AT8" i="7" a="1"/>
  <c r="AT8" i="7" s="1"/>
  <c r="BC8" i="7" a="1"/>
  <c r="BC8" i="7" s="1"/>
  <c r="AU8" i="7" a="1"/>
  <c r="AU8" i="7" s="1"/>
  <c r="AG8" i="7" a="1"/>
  <c r="AG8" i="7" s="1"/>
  <c r="BI8" i="7" a="1"/>
  <c r="BI8" i="7" s="1"/>
  <c r="AJ8" i="7" a="1"/>
  <c r="AJ8" i="7" s="1"/>
  <c r="AY8" i="7" a="1"/>
  <c r="AY8" i="7" s="1"/>
  <c r="E8" i="7" a="1"/>
  <c r="E8" i="7" s="1"/>
  <c r="BJ8" i="7" a="1"/>
  <c r="BJ8" i="7" s="1"/>
  <c r="BK8" i="7" a="1"/>
  <c r="BK8" i="7" s="1"/>
  <c r="BD8" i="7" a="1"/>
  <c r="BD8" i="7" s="1"/>
  <c r="AO8" i="7" a="1"/>
  <c r="AO8" i="7" s="1"/>
  <c r="AK8" i="7" a="1"/>
  <c r="AK8" i="7" s="1"/>
  <c r="BG8" i="7" a="1"/>
  <c r="BG8" i="7" s="1"/>
  <c r="M8" i="7" a="1"/>
  <c r="M8" i="7" s="1"/>
  <c r="G8" i="7" a="1"/>
  <c r="G8" i="7" s="1"/>
  <c r="H8" i="7" a="1"/>
  <c r="H8" i="7" s="1"/>
  <c r="BL8" i="7" a="1"/>
  <c r="BL8" i="7" s="1"/>
  <c r="AW8" i="7" a="1"/>
  <c r="AW8" i="7" s="1"/>
  <c r="J8" i="7" a="1"/>
  <c r="J8" i="7" s="1"/>
  <c r="BE8" i="7" a="1"/>
  <c r="BE8" i="7" s="1"/>
  <c r="R8" i="7" a="1"/>
  <c r="R8" i="7" s="1"/>
  <c r="AB8" i="7" a="1"/>
  <c r="AB8" i="7" s="1"/>
  <c r="AS8" i="7" a="1"/>
  <c r="AS8" i="7" s="1"/>
  <c r="AD8" i="7" a="1"/>
  <c r="AD8" i="7" s="1"/>
  <c r="Q8" i="7" a="1"/>
  <c r="Q8" i="7" s="1"/>
  <c r="AA8" i="7" a="1"/>
  <c r="AA8" i="7" s="1"/>
  <c r="AN8" i="7" a="1"/>
  <c r="AN8" i="7" s="1"/>
  <c r="T8" i="7" a="1"/>
  <c r="T8" i="7" s="1"/>
  <c r="Z8" i="7" a="1"/>
  <c r="Z8" i="7" s="1"/>
  <c r="F8" i="7" a="1"/>
  <c r="F8" i="7" s="1"/>
  <c r="O8" i="7" a="1"/>
  <c r="O8" i="7" s="1"/>
  <c r="P8" i="7" a="1"/>
  <c r="P8" i="7" s="1"/>
  <c r="W8" i="7" a="1"/>
  <c r="W8" i="7" s="1"/>
  <c r="X8" i="7" a="1"/>
  <c r="X8" i="7" s="1"/>
  <c r="BA8" i="7" a="1"/>
  <c r="BA8" i="7" s="1"/>
  <c r="AV8" i="7" a="1"/>
  <c r="AV8" i="7" s="1"/>
  <c r="I8" i="7" a="1"/>
  <c r="I8" i="7" s="1"/>
  <c r="K8" i="7" a="1"/>
  <c r="K8" i="7" s="1"/>
  <c r="AZ8" i="7" a="1"/>
  <c r="AZ8" i="7" s="1"/>
  <c r="N8" i="7" a="1"/>
  <c r="N8" i="7" s="1"/>
  <c r="AC8" i="7" a="1"/>
  <c r="AC8" i="7" s="1"/>
  <c r="V8" i="7" a="1"/>
  <c r="V8" i="7" s="1"/>
  <c r="AE8" i="7" a="1"/>
  <c r="AE8" i="7" s="1"/>
  <c r="AF8" i="7" a="1"/>
  <c r="AF8" i="7" s="1"/>
  <c r="BH8" i="7" a="1"/>
  <c r="BH8" i="7" s="1"/>
  <c r="N17" i="3"/>
  <c r="S17" i="3"/>
  <c r="S68" i="3" s="1"/>
  <c r="M46" i="6"/>
  <c r="BQ184" i="5"/>
  <c r="BP302" i="5" a="1"/>
  <c r="BP302" i="5" s="1"/>
  <c r="BP316" i="5" s="1"/>
  <c r="BP317" i="5" s="1"/>
  <c r="BP322" i="5" a="1"/>
  <c r="BP322" i="5" s="1"/>
  <c r="BP330" i="5" s="1"/>
  <c r="BP331" i="5" s="1"/>
  <c r="BP335" i="5" s="1" a="1"/>
  <c r="BP335" i="5" s="1"/>
  <c r="BP339" i="5" s="1"/>
  <c r="BP338" i="5" s="1"/>
  <c r="BD11" i="7" a="1"/>
  <c r="BD11" i="7" s="1"/>
  <c r="BE11" i="7" a="1"/>
  <c r="BE11" i="7" s="1"/>
  <c r="BF11" i="7" a="1"/>
  <c r="BF11" i="7" s="1"/>
  <c r="BG11" i="7" a="1"/>
  <c r="BG11" i="7" s="1"/>
  <c r="BH11" i="7" a="1"/>
  <c r="BH11" i="7" s="1"/>
  <c r="BI11" i="7" a="1"/>
  <c r="BI11" i="7" s="1"/>
  <c r="BJ11" i="7" a="1"/>
  <c r="BJ11" i="7" s="1"/>
  <c r="AE11" i="7" a="1"/>
  <c r="AE11" i="7" s="1"/>
  <c r="BB11" i="7" a="1"/>
  <c r="BB11" i="7" s="1"/>
  <c r="AA11" i="7" a="1"/>
  <c r="AA11" i="7" s="1"/>
  <c r="AT11" i="7" a="1"/>
  <c r="AT11" i="7" s="1"/>
  <c r="I11" i="7" a="1"/>
  <c r="I11" i="7" s="1"/>
  <c r="BA11" i="7" a="1"/>
  <c r="BA11" i="7" s="1"/>
  <c r="T11" i="7" a="1"/>
  <c r="T11" i="7" s="1"/>
  <c r="L11" i="7" a="1"/>
  <c r="L11" i="7" s="1"/>
  <c r="AF11" i="7" a="1"/>
  <c r="AF11" i="7" s="1"/>
  <c r="V11" i="7" a="1"/>
  <c r="V11" i="7" s="1"/>
  <c r="AX11" i="7" a="1"/>
  <c r="AX11" i="7" s="1"/>
  <c r="N11" i="7" a="1"/>
  <c r="N11" i="7" s="1"/>
  <c r="Q11" i="7" a="1"/>
  <c r="Q11" i="7" s="1"/>
  <c r="AB11" i="7" a="1"/>
  <c r="AB11" i="7" s="1"/>
  <c r="AL11" i="7" a="1"/>
  <c r="AL11" i="7" s="1"/>
  <c r="AU11" i="7" a="1"/>
  <c r="AU11" i="7" s="1"/>
  <c r="P11" i="7" a="1"/>
  <c r="P11" i="7" s="1"/>
  <c r="F11" i="7" a="1"/>
  <c r="F11" i="7" s="1"/>
  <c r="X11" i="7" a="1"/>
  <c r="X11" i="7" s="1"/>
  <c r="AI11" i="7" a="1"/>
  <c r="AI11" i="7" s="1"/>
  <c r="U11" i="7" a="1"/>
  <c r="U11" i="7" s="1"/>
  <c r="Y11" i="7" a="1"/>
  <c r="Y11" i="7" s="1"/>
  <c r="AP11" i="7" a="1"/>
  <c r="AP11" i="7" s="1"/>
  <c r="G11" i="7" a="1"/>
  <c r="G11" i="7" s="1"/>
  <c r="BC11" i="7" a="1"/>
  <c r="BC11" i="7" s="1"/>
  <c r="AV11" i="7" a="1"/>
  <c r="AV11" i="7" s="1"/>
  <c r="K11" i="7" a="1"/>
  <c r="K11" i="7" s="1"/>
  <c r="AZ11" i="7" a="1"/>
  <c r="AZ11" i="7" s="1"/>
  <c r="E11" i="7" a="1"/>
  <c r="E11" i="7" s="1"/>
  <c r="K25" i="6" s="1"/>
  <c r="AD11" i="7" a="1"/>
  <c r="AD11" i="7" s="1"/>
  <c r="M11" i="7" a="1"/>
  <c r="M11" i="7" s="1"/>
  <c r="AQ11" i="7" a="1"/>
  <c r="AQ11" i="7" s="1"/>
  <c r="AG11" i="7" a="1"/>
  <c r="AG11" i="7" s="1"/>
  <c r="W11" i="7" a="1"/>
  <c r="W11" i="7" s="1"/>
  <c r="AR11" i="7" a="1"/>
  <c r="AR11" i="7" s="1"/>
  <c r="AS11" i="7" a="1"/>
  <c r="AS11" i="7" s="1"/>
  <c r="BK11" i="7" a="1"/>
  <c r="BK11" i="7" s="1"/>
  <c r="AK11" i="7" a="1"/>
  <c r="AK11" i="7" s="1"/>
  <c r="AN11" i="7" a="1"/>
  <c r="AN11" i="7" s="1"/>
  <c r="AO11" i="7" a="1"/>
  <c r="AO11" i="7" s="1"/>
  <c r="AH11" i="7" a="1"/>
  <c r="AH11" i="7" s="1"/>
  <c r="AM11" i="7" a="1"/>
  <c r="AM11" i="7" s="1"/>
  <c r="AC11" i="7" a="1"/>
  <c r="AC11" i="7" s="1"/>
  <c r="M25" i="6" s="1"/>
  <c r="R11" i="7" a="1"/>
  <c r="R11" i="7" s="1"/>
  <c r="AW11" i="7" a="1"/>
  <c r="AW11" i="7" s="1"/>
  <c r="AJ11" i="7" a="1"/>
  <c r="AJ11" i="7" s="1"/>
  <c r="BL11" i="7" a="1"/>
  <c r="BL11" i="7" s="1"/>
  <c r="S11" i="7" a="1"/>
  <c r="S11" i="7" s="1"/>
  <c r="O11" i="7" a="1"/>
  <c r="O11" i="7" s="1"/>
  <c r="H11" i="7" a="1"/>
  <c r="H11" i="7" s="1"/>
  <c r="AY11" i="7" a="1"/>
  <c r="AY11" i="7" s="1"/>
  <c r="Z11" i="7" a="1"/>
  <c r="Z11" i="7" s="1"/>
  <c r="J11" i="7" a="1"/>
  <c r="J11" i="7" s="1"/>
  <c r="N20" i="3"/>
  <c r="S20" i="3"/>
  <c r="BT188" i="5"/>
  <c r="BS326" i="5" a="1"/>
  <c r="BS326" i="5" s="1"/>
  <c r="BS306" i="5" a="1"/>
  <c r="BS306" i="5" s="1"/>
  <c r="BN223" i="5"/>
  <c r="BN230" i="5"/>
  <c r="L46" i="6"/>
  <c r="BR185" i="5" l="1"/>
  <c r="BQ303" i="5" a="1"/>
  <c r="BQ303" i="5" s="1"/>
  <c r="BQ316" i="5" s="1"/>
  <c r="BQ317" i="5" s="1"/>
  <c r="BQ323" i="5" a="1"/>
  <c r="BQ323" i="5" s="1"/>
  <c r="BQ330" i="5" s="1"/>
  <c r="BQ331" i="5" s="1"/>
  <c r="BQ335" i="5" s="1" a="1"/>
  <c r="BQ335" i="5" s="1"/>
  <c r="M21" i="6"/>
  <c r="L21" i="6"/>
  <c r="BN220" i="5"/>
  <c r="Q12" i="7" a="1"/>
  <c r="Q12" i="7" s="1"/>
  <c r="G12" i="7" a="1"/>
  <c r="G12" i="7" s="1"/>
  <c r="AI12" i="7" a="1"/>
  <c r="AI12" i="7" s="1"/>
  <c r="V12" i="7" a="1"/>
  <c r="V12" i="7" s="1"/>
  <c r="I12" i="7" a="1"/>
  <c r="I12" i="7" s="1"/>
  <c r="O12" i="7" a="1"/>
  <c r="O12" i="7" s="1"/>
  <c r="AH12" i="7" a="1"/>
  <c r="AH12" i="7" s="1"/>
  <c r="AP12" i="7" a="1"/>
  <c r="AP12" i="7" s="1"/>
  <c r="AV12" i="7" a="1"/>
  <c r="AV12" i="7" s="1"/>
  <c r="BF12" i="7" a="1"/>
  <c r="BF12" i="7" s="1"/>
  <c r="AB12" i="7" a="1"/>
  <c r="AB12" i="7" s="1"/>
  <c r="AN12" i="7" a="1"/>
  <c r="AN12" i="7" s="1"/>
  <c r="BL12" i="7" a="1"/>
  <c r="BL12" i="7" s="1"/>
  <c r="BG12" i="7" a="1"/>
  <c r="BG12" i="7" s="1"/>
  <c r="BJ12" i="7" a="1"/>
  <c r="BJ12" i="7" s="1"/>
  <c r="N12" i="7" a="1"/>
  <c r="N12" i="7" s="1"/>
  <c r="AO12" i="7" a="1"/>
  <c r="AO12" i="7" s="1"/>
  <c r="AL12" i="7" a="1"/>
  <c r="AL12" i="7" s="1"/>
  <c r="R12" i="7" a="1"/>
  <c r="R12" i="7" s="1"/>
  <c r="BH12" i="7" a="1"/>
  <c r="BH12" i="7" s="1"/>
  <c r="AK12" i="7" a="1"/>
  <c r="AK12" i="7" s="1"/>
  <c r="Z12" i="7" a="1"/>
  <c r="Z12" i="7" s="1"/>
  <c r="AR12" i="7" a="1"/>
  <c r="AR12" i="7" s="1"/>
  <c r="F12" i="7" a="1"/>
  <c r="F12" i="7" s="1"/>
  <c r="K12" i="7" a="1"/>
  <c r="K12" i="7" s="1"/>
  <c r="X12" i="7" a="1"/>
  <c r="X12" i="7" s="1"/>
  <c r="P12" i="7" a="1"/>
  <c r="P12" i="7" s="1"/>
  <c r="Y12" i="7" a="1"/>
  <c r="Y12" i="7" s="1"/>
  <c r="BE12" i="7" a="1"/>
  <c r="BE12" i="7" s="1"/>
  <c r="BI12" i="7" a="1"/>
  <c r="BI12" i="7" s="1"/>
  <c r="U12" i="7" a="1"/>
  <c r="U12" i="7" s="1"/>
  <c r="AU12" i="7" a="1"/>
  <c r="AU12" i="7" s="1"/>
  <c r="AF12" i="7" a="1"/>
  <c r="AF12" i="7" s="1"/>
  <c r="W12" i="7" a="1"/>
  <c r="W12" i="7" s="1"/>
  <c r="AA12" i="7" a="1"/>
  <c r="AA12" i="7" s="1"/>
  <c r="AM12" i="7" a="1"/>
  <c r="AM12" i="7" s="1"/>
  <c r="AQ12" i="7" a="1"/>
  <c r="AQ12" i="7" s="1"/>
  <c r="AE12" i="7" a="1"/>
  <c r="AE12" i="7" s="1"/>
  <c r="BC12" i="7" a="1"/>
  <c r="BC12" i="7" s="1"/>
  <c r="AG12" i="7" a="1"/>
  <c r="AG12" i="7" s="1"/>
  <c r="J12" i="7" a="1"/>
  <c r="J12" i="7" s="1"/>
  <c r="M12" i="7" a="1"/>
  <c r="M12" i="7" s="1"/>
  <c r="AT12" i="7" a="1"/>
  <c r="AT12" i="7" s="1"/>
  <c r="AS12" i="7" a="1"/>
  <c r="AS12" i="7" s="1"/>
  <c r="AC12" i="7" a="1"/>
  <c r="AC12" i="7" s="1"/>
  <c r="AZ12" i="7" a="1"/>
  <c r="AZ12" i="7" s="1"/>
  <c r="BB12" i="7" a="1"/>
  <c r="BB12" i="7" s="1"/>
  <c r="T12" i="7" a="1"/>
  <c r="T12" i="7" s="1"/>
  <c r="BD12" i="7" a="1"/>
  <c r="BD12" i="7" s="1"/>
  <c r="H12" i="7" a="1"/>
  <c r="H12" i="7" s="1"/>
  <c r="AY12" i="7" a="1"/>
  <c r="AY12" i="7" s="1"/>
  <c r="L12" i="7" a="1"/>
  <c r="L12" i="7" s="1"/>
  <c r="AD12" i="7" a="1"/>
  <c r="AD12" i="7" s="1"/>
  <c r="E12" i="7" a="1"/>
  <c r="E12" i="7" s="1"/>
  <c r="BA12" i="7" a="1"/>
  <c r="BA12" i="7" s="1"/>
  <c r="AX12" i="7" a="1"/>
  <c r="AX12" i="7" s="1"/>
  <c r="AJ12" i="7" a="1"/>
  <c r="AJ12" i="7" s="1"/>
  <c r="BK12" i="7" a="1"/>
  <c r="BK12" i="7" s="1"/>
  <c r="S12" i="7" a="1"/>
  <c r="S12" i="7" s="1"/>
  <c r="AW12" i="7" a="1"/>
  <c r="AW12" i="7" s="1"/>
  <c r="N21" i="3"/>
  <c r="S21" i="3"/>
  <c r="S19" i="3" s="1"/>
  <c r="S18" i="3" s="1"/>
  <c r="BY194" i="5"/>
  <c r="BX312" i="5" a="1"/>
  <c r="BX312" i="5" s="1"/>
  <c r="U20" i="3"/>
  <c r="N19" i="3"/>
  <c r="V20" i="3"/>
  <c r="O25" i="6"/>
  <c r="L25" i="6"/>
  <c r="J21" i="6"/>
  <c r="K21" i="6"/>
  <c r="V28" i="3"/>
  <c r="U28" i="3"/>
  <c r="Z20" i="7" a="1"/>
  <c r="Z20" i="7" s="1"/>
  <c r="AN20" i="7" a="1"/>
  <c r="AN20" i="7" s="1"/>
  <c r="BC20" i="7" a="1"/>
  <c r="BC20" i="7" s="1"/>
  <c r="K20" i="7" a="1"/>
  <c r="K20" i="7" s="1"/>
  <c r="M20" i="7" a="1"/>
  <c r="M20" i="7" s="1"/>
  <c r="BK20" i="7" a="1"/>
  <c r="BK20" i="7" s="1"/>
  <c r="Q20" i="7" a="1"/>
  <c r="Q20" i="7" s="1"/>
  <c r="BG20" i="7" a="1"/>
  <c r="BG20" i="7" s="1"/>
  <c r="AO20" i="7" a="1"/>
  <c r="AO20" i="7" s="1"/>
  <c r="I20" i="7" a="1"/>
  <c r="I20" i="7" s="1"/>
  <c r="BI20" i="7" a="1"/>
  <c r="BI20" i="7" s="1"/>
  <c r="AU20" i="7" a="1"/>
  <c r="AU20" i="7" s="1"/>
  <c r="BL20" i="7" a="1"/>
  <c r="BL20" i="7" s="1"/>
  <c r="BD20" i="7" a="1"/>
  <c r="BD20" i="7" s="1"/>
  <c r="AE20" i="7" a="1"/>
  <c r="AE20" i="7" s="1"/>
  <c r="W20" i="7" a="1"/>
  <c r="W20" i="7" s="1"/>
  <c r="AP20" i="7" a="1"/>
  <c r="AP20" i="7" s="1"/>
  <c r="P20" i="7" a="1"/>
  <c r="P20" i="7" s="1"/>
  <c r="F20" i="7" a="1"/>
  <c r="F20" i="7" s="1"/>
  <c r="AQ20" i="7" a="1"/>
  <c r="AQ20" i="7" s="1"/>
  <c r="AF20" i="7" a="1"/>
  <c r="AF20" i="7" s="1"/>
  <c r="T20" i="7" a="1"/>
  <c r="T20" i="7" s="1"/>
  <c r="J20" i="7" a="1"/>
  <c r="J20" i="7" s="1"/>
  <c r="E20" i="7" a="1"/>
  <c r="E20" i="7" s="1"/>
  <c r="BE20" i="7" a="1"/>
  <c r="BE20" i="7" s="1"/>
  <c r="AZ20" i="7" a="1"/>
  <c r="AZ20" i="7" s="1"/>
  <c r="AM20" i="7" a="1"/>
  <c r="AM20" i="7" s="1"/>
  <c r="R20" i="7" a="1"/>
  <c r="R20" i="7" s="1"/>
  <c r="AC20" i="7" a="1"/>
  <c r="AC20" i="7" s="1"/>
  <c r="BH20" i="7" a="1"/>
  <c r="BH20" i="7" s="1"/>
  <c r="Y20" i="7" a="1"/>
  <c r="Y20" i="7" s="1"/>
  <c r="AS20" i="7" a="1"/>
  <c r="AS20" i="7" s="1"/>
  <c r="AG20" i="7" a="1"/>
  <c r="AG20" i="7" s="1"/>
  <c r="BJ20" i="7" a="1"/>
  <c r="BJ20" i="7" s="1"/>
  <c r="V20" i="7" a="1"/>
  <c r="V20" i="7" s="1"/>
  <c r="H20" i="7" a="1"/>
  <c r="H20" i="7" s="1"/>
  <c r="AD20" i="7" a="1"/>
  <c r="AD20" i="7" s="1"/>
  <c r="G20" i="7" a="1"/>
  <c r="G20" i="7" s="1"/>
  <c r="AB20" i="7" a="1"/>
  <c r="AB20" i="7" s="1"/>
  <c r="S20" i="7" a="1"/>
  <c r="S20" i="7" s="1"/>
  <c r="U20" i="7" a="1"/>
  <c r="U20" i="7" s="1"/>
  <c r="AT20" i="7" a="1"/>
  <c r="AT20" i="7" s="1"/>
  <c r="X20" i="7" a="1"/>
  <c r="X20" i="7" s="1"/>
  <c r="AV20" i="7" a="1"/>
  <c r="AV20" i="7" s="1"/>
  <c r="AK20" i="7" a="1"/>
  <c r="AK20" i="7" s="1"/>
  <c r="BA20" i="7" a="1"/>
  <c r="BA20" i="7" s="1"/>
  <c r="AJ20" i="7" a="1"/>
  <c r="AJ20" i="7" s="1"/>
  <c r="BB20" i="7" a="1"/>
  <c r="BB20" i="7" s="1"/>
  <c r="AI20" i="7" a="1"/>
  <c r="AI20" i="7" s="1"/>
  <c r="L20" i="7" a="1"/>
  <c r="L20" i="7" s="1"/>
  <c r="AW20" i="7" a="1"/>
  <c r="AW20" i="7" s="1"/>
  <c r="AH20" i="7" a="1"/>
  <c r="AH20" i="7" s="1"/>
  <c r="AL20" i="7" a="1"/>
  <c r="AL20" i="7" s="1"/>
  <c r="N20" i="7" a="1"/>
  <c r="N20" i="7" s="1"/>
  <c r="BF20" i="7" a="1"/>
  <c r="BF20" i="7" s="1"/>
  <c r="AY20" i="7" a="1"/>
  <c r="AY20" i="7" s="1"/>
  <c r="O20" i="7" a="1"/>
  <c r="O20" i="7" s="1"/>
  <c r="AA20" i="7" a="1"/>
  <c r="AA20" i="7" s="1"/>
  <c r="AX20" i="7" a="1"/>
  <c r="AX20" i="7" s="1"/>
  <c r="AR20" i="7" a="1"/>
  <c r="AR20" i="7" s="1"/>
  <c r="N29" i="3"/>
  <c r="S29" i="3"/>
  <c r="U32" i="3"/>
  <c r="U31" i="3"/>
  <c r="U26" i="3"/>
  <c r="N68" i="3"/>
  <c r="U47" i="3"/>
  <c r="U27" i="3"/>
  <c r="U37" i="3"/>
  <c r="U40" i="3"/>
  <c r="U41" i="3"/>
  <c r="U44" i="3"/>
  <c r="U43" i="3"/>
  <c r="U42" i="3"/>
  <c r="U33" i="3"/>
  <c r="U70" i="3"/>
  <c r="U25" i="3"/>
  <c r="U49" i="3"/>
  <c r="U48" i="3"/>
  <c r="U46" i="3"/>
  <c r="U45" i="3"/>
  <c r="U74" i="3"/>
  <c r="U23" i="3"/>
  <c r="U30" i="3"/>
  <c r="L33" i="6"/>
  <c r="M33" i="6"/>
  <c r="K33" i="6"/>
  <c r="BN237" i="5"/>
  <c r="Q15" i="7" a="1"/>
  <c r="Q15" i="7" s="1"/>
  <c r="AB15" i="7" a="1"/>
  <c r="AB15" i="7" s="1"/>
  <c r="R15" i="7" a="1"/>
  <c r="R15" i="7" s="1"/>
  <c r="AJ15" i="7" a="1"/>
  <c r="AJ15" i="7" s="1"/>
  <c r="AH15" i="7" a="1"/>
  <c r="AH15" i="7" s="1"/>
  <c r="AT15" i="7" a="1"/>
  <c r="AT15" i="7" s="1"/>
  <c r="AI15" i="7" a="1"/>
  <c r="AI15" i="7" s="1"/>
  <c r="BD15" i="7" a="1"/>
  <c r="BD15" i="7" s="1"/>
  <c r="BG15" i="7" a="1"/>
  <c r="BG15" i="7" s="1"/>
  <c r="W15" i="7" a="1"/>
  <c r="W15" i="7" s="1"/>
  <c r="S15" i="7" a="1"/>
  <c r="S15" i="7" s="1"/>
  <c r="AX15" i="7" a="1"/>
  <c r="AX15" i="7" s="1"/>
  <c r="X15" i="7" a="1"/>
  <c r="X15" i="7" s="1"/>
  <c r="BC15" i="7" a="1"/>
  <c r="BC15" i="7" s="1"/>
  <c r="AK15" i="7" a="1"/>
  <c r="AK15" i="7" s="1"/>
  <c r="AG15" i="7" a="1"/>
  <c r="AG15" i="7" s="1"/>
  <c r="BF15" i="7" a="1"/>
  <c r="BF15" i="7" s="1"/>
  <c r="BI15" i="7" a="1"/>
  <c r="BI15" i="7" s="1"/>
  <c r="AE15" i="7" a="1"/>
  <c r="AE15" i="7" s="1"/>
  <c r="H15" i="7" a="1"/>
  <c r="H15" i="7" s="1"/>
  <c r="G15" i="7" a="1"/>
  <c r="G15" i="7" s="1"/>
  <c r="O15" i="7" a="1"/>
  <c r="O15" i="7" s="1"/>
  <c r="AA15" i="7" a="1"/>
  <c r="AA15" i="7" s="1"/>
  <c r="T15" i="7" a="1"/>
  <c r="T15" i="7" s="1"/>
  <c r="K15" i="7" a="1"/>
  <c r="K15" i="7" s="1"/>
  <c r="Z15" i="7" a="1"/>
  <c r="Z15" i="7" s="1"/>
  <c r="BA15" i="7" a="1"/>
  <c r="BA15" i="7" s="1"/>
  <c r="AU15" i="7" a="1"/>
  <c r="AU15" i="7" s="1"/>
  <c r="N15" i="7" a="1"/>
  <c r="N15" i="7" s="1"/>
  <c r="AQ15" i="7" a="1"/>
  <c r="AQ15" i="7" s="1"/>
  <c r="AR15" i="7" a="1"/>
  <c r="AR15" i="7" s="1"/>
  <c r="BL15" i="7" a="1"/>
  <c r="BL15" i="7" s="1"/>
  <c r="AZ15" i="7" a="1"/>
  <c r="AZ15" i="7" s="1"/>
  <c r="I15" i="7" a="1"/>
  <c r="I15" i="7" s="1"/>
  <c r="Y15" i="7" a="1"/>
  <c r="Y15" i="7" s="1"/>
  <c r="AO15" i="7" a="1"/>
  <c r="AO15" i="7" s="1"/>
  <c r="M15" i="7" a="1"/>
  <c r="M15" i="7" s="1"/>
  <c r="BK15" i="7" a="1"/>
  <c r="BK15" i="7" s="1"/>
  <c r="AC15" i="7" a="1"/>
  <c r="AC15" i="7" s="1"/>
  <c r="AM15" i="7" a="1"/>
  <c r="AM15" i="7" s="1"/>
  <c r="AD15" i="7" a="1"/>
  <c r="AD15" i="7" s="1"/>
  <c r="AN15" i="7" a="1"/>
  <c r="AN15" i="7" s="1"/>
  <c r="L15" i="7" a="1"/>
  <c r="L15" i="7" s="1"/>
  <c r="BB15" i="7" a="1"/>
  <c r="BB15" i="7" s="1"/>
  <c r="BE15" i="7" a="1"/>
  <c r="BE15" i="7" s="1"/>
  <c r="AF15" i="7" a="1"/>
  <c r="AF15" i="7" s="1"/>
  <c r="P15" i="7" a="1"/>
  <c r="P15" i="7" s="1"/>
  <c r="J15" i="7" a="1"/>
  <c r="J15" i="7" s="1"/>
  <c r="AV15" i="7" a="1"/>
  <c r="AV15" i="7" s="1"/>
  <c r="V15" i="7" a="1"/>
  <c r="V15" i="7" s="1"/>
  <c r="AW15" i="7" a="1"/>
  <c r="AW15" i="7" s="1"/>
  <c r="U15" i="7" a="1"/>
  <c r="U15" i="7" s="1"/>
  <c r="AY15" i="7" a="1"/>
  <c r="AY15" i="7" s="1"/>
  <c r="F15" i="7" a="1"/>
  <c r="F15" i="7" s="1"/>
  <c r="AL15" i="7" a="1"/>
  <c r="AL15" i="7" s="1"/>
  <c r="BH15" i="7" a="1"/>
  <c r="BH15" i="7" s="1"/>
  <c r="E15" i="7" a="1"/>
  <c r="E15" i="7" s="1"/>
  <c r="K29" i="6" s="1"/>
  <c r="AS15" i="7" a="1"/>
  <c r="AS15" i="7" s="1"/>
  <c r="BJ15" i="7" a="1"/>
  <c r="BJ15" i="7" s="1"/>
  <c r="AP15" i="7" a="1"/>
  <c r="AP15" i="7" s="1"/>
  <c r="N24" i="3"/>
  <c r="S24" i="3"/>
  <c r="S22" i="3" s="1"/>
  <c r="O21" i="6"/>
  <c r="N21" i="6"/>
  <c r="J46" i="6"/>
  <c r="BU189" i="5"/>
  <c r="BT327" i="5" a="1"/>
  <c r="BT327" i="5" s="1"/>
  <c r="BT307" i="5" a="1"/>
  <c r="BT307" i="5" s="1"/>
  <c r="N25" i="6"/>
  <c r="J25" i="6" s="1"/>
  <c r="O33" i="6"/>
  <c r="N33" i="6"/>
  <c r="S69" i="3" l="1"/>
  <c r="M29" i="6"/>
  <c r="K34" i="6"/>
  <c r="N26" i="6"/>
  <c r="L26" i="6"/>
  <c r="J33" i="6"/>
  <c r="L34" i="6"/>
  <c r="BN239" i="5"/>
  <c r="BN247" i="5"/>
  <c r="AA10" i="7" a="1"/>
  <c r="AA10" i="7" s="1"/>
  <c r="BI10" i="7" a="1"/>
  <c r="BI10" i="7" s="1"/>
  <c r="AD10" i="7" a="1"/>
  <c r="AD10" i="7" s="1"/>
  <c r="N10" i="7" a="1"/>
  <c r="N10" i="7" s="1"/>
  <c r="AW10" i="7" a="1"/>
  <c r="AW10" i="7" s="1"/>
  <c r="BL10" i="7" a="1"/>
  <c r="BL10" i="7" s="1"/>
  <c r="AB10" i="7" a="1"/>
  <c r="AB10" i="7" s="1"/>
  <c r="K10" i="7" a="1"/>
  <c r="K10" i="7" s="1"/>
  <c r="E10" i="7" a="1"/>
  <c r="E10" i="7" s="1"/>
  <c r="X10" i="7" a="1"/>
  <c r="X10" i="7" s="1"/>
  <c r="AR10" i="7" a="1"/>
  <c r="AR10" i="7" s="1"/>
  <c r="BK10" i="7" a="1"/>
  <c r="BK10" i="7" s="1"/>
  <c r="R10" i="7" a="1"/>
  <c r="R10" i="7" s="1"/>
  <c r="AE10" i="7" a="1"/>
  <c r="AE10" i="7" s="1"/>
  <c r="AC10" i="7" a="1"/>
  <c r="AC10" i="7" s="1"/>
  <c r="AY10" i="7" a="1"/>
  <c r="AY10" i="7" s="1"/>
  <c r="P10" i="7" a="1"/>
  <c r="P10" i="7" s="1"/>
  <c r="AO10" i="7" a="1"/>
  <c r="AO10" i="7" s="1"/>
  <c r="BB10" i="7" a="1"/>
  <c r="BB10" i="7" s="1"/>
  <c r="I10" i="7" a="1"/>
  <c r="I10" i="7" s="1"/>
  <c r="G10" i="7" a="1"/>
  <c r="G10" i="7" s="1"/>
  <c r="AX10" i="7" a="1"/>
  <c r="AX10" i="7" s="1"/>
  <c r="Q10" i="7" a="1"/>
  <c r="Q10" i="7" s="1"/>
  <c r="AS10" i="7" a="1"/>
  <c r="AS10" i="7" s="1"/>
  <c r="AG10" i="7" a="1"/>
  <c r="AG10" i="7" s="1"/>
  <c r="BC10" i="7" a="1"/>
  <c r="BC10" i="7" s="1"/>
  <c r="Y10" i="7" a="1"/>
  <c r="Y10" i="7" s="1"/>
  <c r="AH10" i="7" a="1"/>
  <c r="AH10" i="7" s="1"/>
  <c r="AI10" i="7" a="1"/>
  <c r="AI10" i="7" s="1"/>
  <c r="AF10" i="7" a="1"/>
  <c r="AF10" i="7" s="1"/>
  <c r="BJ10" i="7" a="1"/>
  <c r="BJ10" i="7" s="1"/>
  <c r="BE10" i="7" a="1"/>
  <c r="BE10" i="7" s="1"/>
  <c r="U10" i="7" a="1"/>
  <c r="U10" i="7" s="1"/>
  <c r="J10" i="7" a="1"/>
  <c r="J10" i="7" s="1"/>
  <c r="AJ10" i="7" a="1"/>
  <c r="AJ10" i="7" s="1"/>
  <c r="M10" i="7" a="1"/>
  <c r="M10" i="7" s="1"/>
  <c r="BD10" i="7" a="1"/>
  <c r="BD10" i="7" s="1"/>
  <c r="AM10" i="7" a="1"/>
  <c r="AM10" i="7" s="1"/>
  <c r="BG10" i="7" a="1"/>
  <c r="BG10" i="7" s="1"/>
  <c r="O10" i="7" a="1"/>
  <c r="O10" i="7" s="1"/>
  <c r="AU10" i="7" a="1"/>
  <c r="AU10" i="7" s="1"/>
  <c r="AL10" i="7" a="1"/>
  <c r="AL10" i="7" s="1"/>
  <c r="AN10" i="7" a="1"/>
  <c r="AN10" i="7" s="1"/>
  <c r="AT10" i="7" a="1"/>
  <c r="AT10" i="7" s="1"/>
  <c r="AK10" i="7" a="1"/>
  <c r="AK10" i="7" s="1"/>
  <c r="F10" i="7" a="1"/>
  <c r="F10" i="7" s="1"/>
  <c r="BA10" i="7" a="1"/>
  <c r="BA10" i="7" s="1"/>
  <c r="BH10" i="7" a="1"/>
  <c r="BH10" i="7" s="1"/>
  <c r="AQ10" i="7" a="1"/>
  <c r="AQ10" i="7" s="1"/>
  <c r="L10" i="7" a="1"/>
  <c r="L10" i="7" s="1"/>
  <c r="W10" i="7" a="1"/>
  <c r="W10" i="7" s="1"/>
  <c r="AZ10" i="7" a="1"/>
  <c r="AZ10" i="7" s="1"/>
  <c r="V10" i="7" a="1"/>
  <c r="V10" i="7" s="1"/>
  <c r="BF10" i="7" a="1"/>
  <c r="BF10" i="7" s="1"/>
  <c r="H10" i="7" a="1"/>
  <c r="H10" i="7" s="1"/>
  <c r="AP10" i="7" a="1"/>
  <c r="AP10" i="7" s="1"/>
  <c r="T10" i="7" a="1"/>
  <c r="T10" i="7" s="1"/>
  <c r="AV10" i="7" a="1"/>
  <c r="AV10" i="7" s="1"/>
  <c r="S10" i="7" a="1"/>
  <c r="S10" i="7" s="1"/>
  <c r="Z10" i="7" a="1"/>
  <c r="Z10" i="7" s="1"/>
  <c r="U24" i="3"/>
  <c r="V24" i="3"/>
  <c r="N22" i="3"/>
  <c r="O34" i="6"/>
  <c r="BY313" i="5" a="1"/>
  <c r="BY313" i="5" s="1"/>
  <c r="BZ195" i="5"/>
  <c r="BZ314" i="5" s="1" a="1"/>
  <c r="BZ314" i="5" s="1"/>
  <c r="O26" i="6"/>
  <c r="N29" i="6"/>
  <c r="V29" i="3"/>
  <c r="U29" i="3"/>
  <c r="M34" i="6"/>
  <c r="K26" i="6"/>
  <c r="O29" i="6"/>
  <c r="U21" i="3"/>
  <c r="V21" i="3"/>
  <c r="M26" i="6"/>
  <c r="BQ339" i="5"/>
  <c r="BQ338" i="5" s="1"/>
  <c r="BV190" i="5"/>
  <c r="BU308" i="5" a="1"/>
  <c r="BU308" i="5" s="1"/>
  <c r="BU328" i="5" a="1"/>
  <c r="BU328" i="5" s="1"/>
  <c r="L29" i="6"/>
  <c r="J29" i="6" s="1"/>
  <c r="BS186" i="5"/>
  <c r="BR304" i="5" a="1"/>
  <c r="BR304" i="5" s="1"/>
  <c r="BR316" i="5" s="1"/>
  <c r="BR317" i="5" s="1"/>
  <c r="BR324" i="5" a="1"/>
  <c r="BR324" i="5" s="1"/>
  <c r="BR330" i="5" s="1"/>
  <c r="BR331" i="5" s="1"/>
  <c r="BR335" i="5" s="1" a="1"/>
  <c r="BR335" i="5" s="1"/>
  <c r="BR339" i="5" s="1"/>
  <c r="BR338" i="5" s="1"/>
  <c r="BN248" i="5"/>
  <c r="AM13" i="7" a="1"/>
  <c r="AM13" i="7" s="1"/>
  <c r="BB13" i="7" a="1"/>
  <c r="BB13" i="7" s="1"/>
  <c r="M13" i="7" a="1"/>
  <c r="M13" i="7" s="1"/>
  <c r="AX13" i="7" a="1"/>
  <c r="AX13" i="7" s="1"/>
  <c r="AO13" i="7" a="1"/>
  <c r="AO13" i="7" s="1"/>
  <c r="F13" i="7" a="1"/>
  <c r="F13" i="7" s="1"/>
  <c r="K13" i="7" a="1"/>
  <c r="K13" i="7" s="1"/>
  <c r="AD13" i="7" a="1"/>
  <c r="AD13" i="7" s="1"/>
  <c r="S13" i="7" a="1"/>
  <c r="S13" i="7" s="1"/>
  <c r="AI13" i="7" a="1"/>
  <c r="AI13" i="7" s="1"/>
  <c r="AW13" i="7" a="1"/>
  <c r="AW13" i="7" s="1"/>
  <c r="U13" i="7" a="1"/>
  <c r="U13" i="7" s="1"/>
  <c r="AF13" i="7" a="1"/>
  <c r="AF13" i="7" s="1"/>
  <c r="V13" i="7" a="1"/>
  <c r="V13" i="7" s="1"/>
  <c r="P13" i="7" a="1"/>
  <c r="P13" i="7" s="1"/>
  <c r="BA13" i="7" a="1"/>
  <c r="BA13" i="7" s="1"/>
  <c r="AG13" i="7" a="1"/>
  <c r="AG13" i="7" s="1"/>
  <c r="E13" i="7" a="1"/>
  <c r="E13" i="7" s="1"/>
  <c r="T13" i="7" a="1"/>
  <c r="T13" i="7" s="1"/>
  <c r="AJ13" i="7" a="1"/>
  <c r="AJ13" i="7" s="1"/>
  <c r="AT13" i="7" a="1"/>
  <c r="AT13" i="7" s="1"/>
  <c r="AR13" i="7" a="1"/>
  <c r="AR13" i="7" s="1"/>
  <c r="AK13" i="7" a="1"/>
  <c r="AK13" i="7" s="1"/>
  <c r="BF13" i="7" a="1"/>
  <c r="BF13" i="7" s="1"/>
  <c r="AA13" i="7" a="1"/>
  <c r="AA13" i="7" s="1"/>
  <c r="AP13" i="7" a="1"/>
  <c r="AP13" i="7" s="1"/>
  <c r="X13" i="7" a="1"/>
  <c r="X13" i="7" s="1"/>
  <c r="BK13" i="7" a="1"/>
  <c r="BK13" i="7" s="1"/>
  <c r="J13" i="7" a="1"/>
  <c r="J13" i="7" s="1"/>
  <c r="Q13" i="7" a="1"/>
  <c r="Q13" i="7" s="1"/>
  <c r="H13" i="7" a="1"/>
  <c r="H13" i="7" s="1"/>
  <c r="BD13" i="7" a="1"/>
  <c r="BD13" i="7" s="1"/>
  <c r="BG13" i="7" a="1"/>
  <c r="BG13" i="7" s="1"/>
  <c r="AS13" i="7" a="1"/>
  <c r="AS13" i="7" s="1"/>
  <c r="L13" i="7" a="1"/>
  <c r="L13" i="7" s="1"/>
  <c r="R13" i="7" a="1"/>
  <c r="R13" i="7" s="1"/>
  <c r="AL13" i="7" a="1"/>
  <c r="AL13" i="7" s="1"/>
  <c r="AV13" i="7" a="1"/>
  <c r="AV13" i="7" s="1"/>
  <c r="AZ13" i="7" a="1"/>
  <c r="AZ13" i="7" s="1"/>
  <c r="AE13" i="7" a="1"/>
  <c r="AE13" i="7" s="1"/>
  <c r="AC13" i="7" a="1"/>
  <c r="AC13" i="7" s="1"/>
  <c r="Y13" i="7" a="1"/>
  <c r="Y13" i="7" s="1"/>
  <c r="AN13" i="7" a="1"/>
  <c r="AN13" i="7" s="1"/>
  <c r="AU13" i="7" a="1"/>
  <c r="AU13" i="7" s="1"/>
  <c r="N13" i="7" a="1"/>
  <c r="N13" i="7" s="1"/>
  <c r="BC13" i="7" a="1"/>
  <c r="BC13" i="7" s="1"/>
  <c r="I13" i="7" a="1"/>
  <c r="I13" i="7" s="1"/>
  <c r="AH13" i="7" a="1"/>
  <c r="AH13" i="7" s="1"/>
  <c r="AB13" i="7" a="1"/>
  <c r="AB13" i="7" s="1"/>
  <c r="W13" i="7" a="1"/>
  <c r="W13" i="7" s="1"/>
  <c r="BH13" i="7" a="1"/>
  <c r="BH13" i="7" s="1"/>
  <c r="BE13" i="7" a="1"/>
  <c r="BE13" i="7" s="1"/>
  <c r="BL13" i="7" a="1"/>
  <c r="BL13" i="7" s="1"/>
  <c r="G13" i="7" a="1"/>
  <c r="G13" i="7" s="1"/>
  <c r="AQ13" i="7" a="1"/>
  <c r="AQ13" i="7" s="1"/>
  <c r="BI13" i="7" a="1"/>
  <c r="BI13" i="7" s="1"/>
  <c r="BJ13" i="7" a="1"/>
  <c r="BJ13" i="7" s="1"/>
  <c r="AY13" i="7" a="1"/>
  <c r="AY13" i="7" s="1"/>
  <c r="Z13" i="7" a="1"/>
  <c r="Z13" i="7" s="1"/>
  <c r="O13" i="7" a="1"/>
  <c r="O13" i="7" s="1"/>
  <c r="N34" i="6"/>
  <c r="U19" i="3"/>
  <c r="V19" i="3"/>
  <c r="N18" i="3"/>
  <c r="K27" i="6" l="1"/>
  <c r="L27" i="6"/>
  <c r="N27" i="6"/>
  <c r="BT187" i="5"/>
  <c r="BS305" i="5" a="1"/>
  <c r="BS305" i="5" s="1"/>
  <c r="BS316" i="5" s="1"/>
  <c r="BS317" i="5" s="1"/>
  <c r="BS325" i="5" a="1"/>
  <c r="BS325" i="5" s="1"/>
  <c r="BS330" i="5" s="1"/>
  <c r="BS331" i="5" s="1"/>
  <c r="BS335" i="5" s="1" a="1"/>
  <c r="BS335" i="5" s="1"/>
  <c r="BS339" i="5" s="1"/>
  <c r="BS338" i="5" s="1"/>
  <c r="N24" i="6"/>
  <c r="J34" i="6"/>
  <c r="K24" i="6"/>
  <c r="M27" i="6"/>
  <c r="J26" i="6"/>
  <c r="BN246" i="5"/>
  <c r="U18" i="3"/>
  <c r="N69" i="3"/>
  <c r="V18" i="3"/>
  <c r="O27" i="6"/>
  <c r="BW191" i="5"/>
  <c r="BV309" i="5" a="1"/>
  <c r="BV309" i="5" s="1"/>
  <c r="U22" i="3"/>
  <c r="V22" i="3"/>
  <c r="O24" i="6"/>
  <c r="L24" i="6"/>
  <c r="M24" i="6"/>
  <c r="BN245" i="5"/>
  <c r="BG9" i="7" a="1"/>
  <c r="BG9" i="7" s="1"/>
  <c r="R9" i="7" a="1"/>
  <c r="R9" i="7" s="1"/>
  <c r="F9" i="7" a="1"/>
  <c r="F9" i="7" s="1"/>
  <c r="AI9" i="7" a="1"/>
  <c r="AI9" i="7" s="1"/>
  <c r="AS9" i="7" a="1"/>
  <c r="AS9" i="7" s="1"/>
  <c r="Z9" i="7" a="1"/>
  <c r="Z9" i="7" s="1"/>
  <c r="BI9" i="7" a="1"/>
  <c r="BI9" i="7" s="1"/>
  <c r="BJ9" i="7" a="1"/>
  <c r="BJ9" i="7" s="1"/>
  <c r="AD9" i="7" a="1"/>
  <c r="AD9" i="7" s="1"/>
  <c r="Q9" i="7" a="1"/>
  <c r="Q9" i="7" s="1"/>
  <c r="Y9" i="7" a="1"/>
  <c r="Y9" i="7" s="1"/>
  <c r="AF9" i="7" a="1"/>
  <c r="AF9" i="7" s="1"/>
  <c r="AB9" i="7" a="1"/>
  <c r="AB9" i="7" s="1"/>
  <c r="AV9" i="7" a="1"/>
  <c r="AV9" i="7" s="1"/>
  <c r="E9" i="7" a="1"/>
  <c r="E9" i="7" s="1"/>
  <c r="AH9" i="7" a="1"/>
  <c r="AH9" i="7" s="1"/>
  <c r="I9" i="7" a="1"/>
  <c r="I9" i="7" s="1"/>
  <c r="BC9" i="7" a="1"/>
  <c r="BC9" i="7" s="1"/>
  <c r="AY9" i="7" a="1"/>
  <c r="AY9" i="7" s="1"/>
  <c r="K9" i="7" a="1"/>
  <c r="K9" i="7" s="1"/>
  <c r="BD9" i="7" a="1"/>
  <c r="BD9" i="7" s="1"/>
  <c r="G9" i="7" a="1"/>
  <c r="G9" i="7" s="1"/>
  <c r="AQ9" i="7" a="1"/>
  <c r="AQ9" i="7" s="1"/>
  <c r="U9" i="7" a="1"/>
  <c r="U9" i="7" s="1"/>
  <c r="AO9" i="7" a="1"/>
  <c r="AO9" i="7" s="1"/>
  <c r="X9" i="7" a="1"/>
  <c r="X9" i="7" s="1"/>
  <c r="AN9" i="7" a="1"/>
  <c r="AN9" i="7" s="1"/>
  <c r="AX9" i="7" a="1"/>
  <c r="AX9" i="7" s="1"/>
  <c r="L9" i="7" a="1"/>
  <c r="L9" i="7" s="1"/>
  <c r="AE9" i="7" a="1"/>
  <c r="AE9" i="7" s="1"/>
  <c r="AC9" i="7" a="1"/>
  <c r="AC9" i="7" s="1"/>
  <c r="BL9" i="7" a="1"/>
  <c r="BL9" i="7" s="1"/>
  <c r="AP9" i="7" a="1"/>
  <c r="AP9" i="7" s="1"/>
  <c r="BB9" i="7" a="1"/>
  <c r="BB9" i="7" s="1"/>
  <c r="M9" i="7" a="1"/>
  <c r="M9" i="7" s="1"/>
  <c r="AR9" i="7" a="1"/>
  <c r="AR9" i="7" s="1"/>
  <c r="AZ9" i="7" a="1"/>
  <c r="AZ9" i="7" s="1"/>
  <c r="W9" i="7" a="1"/>
  <c r="W9" i="7" s="1"/>
  <c r="AA9" i="7" a="1"/>
  <c r="AA9" i="7" s="1"/>
  <c r="T9" i="7" a="1"/>
  <c r="T9" i="7" s="1"/>
  <c r="O9" i="7" a="1"/>
  <c r="O9" i="7" s="1"/>
  <c r="P9" i="7" a="1"/>
  <c r="P9" i="7" s="1"/>
  <c r="AW9" i="7" a="1"/>
  <c r="AW9" i="7" s="1"/>
  <c r="AK9" i="7" a="1"/>
  <c r="AK9" i="7" s="1"/>
  <c r="BA9" i="7" a="1"/>
  <c r="BA9" i="7" s="1"/>
  <c r="V9" i="7" a="1"/>
  <c r="V9" i="7" s="1"/>
  <c r="AG9" i="7" a="1"/>
  <c r="AG9" i="7" s="1"/>
  <c r="AJ9" i="7" a="1"/>
  <c r="AJ9" i="7" s="1"/>
  <c r="BK9" i="7" a="1"/>
  <c r="BK9" i="7" s="1"/>
  <c r="BE9" i="7" a="1"/>
  <c r="BE9" i="7" s="1"/>
  <c r="AM9" i="7" a="1"/>
  <c r="AM9" i="7" s="1"/>
  <c r="N9" i="7" a="1"/>
  <c r="N9" i="7" s="1"/>
  <c r="J9" i="7" a="1"/>
  <c r="J9" i="7" s="1"/>
  <c r="AU9" i="7" a="1"/>
  <c r="AU9" i="7" s="1"/>
  <c r="AT9" i="7" a="1"/>
  <c r="AT9" i="7" s="1"/>
  <c r="BF9" i="7" a="1"/>
  <c r="BF9" i="7" s="1"/>
  <c r="AL9" i="7" a="1"/>
  <c r="AL9" i="7" s="1"/>
  <c r="S9" i="7" a="1"/>
  <c r="S9" i="7" s="1"/>
  <c r="H9" i="7" a="1"/>
  <c r="H9" i="7" s="1"/>
  <c r="BH9" i="7" a="1"/>
  <c r="BH9" i="7" s="1"/>
  <c r="O23" i="6" l="1"/>
  <c r="O49" i="6" s="1"/>
  <c r="U69" i="3"/>
  <c r="V69" i="3"/>
  <c r="L23" i="6"/>
  <c r="L49" i="6" s="1"/>
  <c r="N23" i="6"/>
  <c r="N49" i="6" s="1"/>
  <c r="N39" i="3"/>
  <c r="S39" i="3"/>
  <c r="BU188" i="5"/>
  <c r="BT326" i="5" a="1"/>
  <c r="BT326" i="5" s="1"/>
  <c r="BT330" i="5" s="1"/>
  <c r="BT331" i="5" s="1"/>
  <c r="BT335" i="5" s="1" a="1"/>
  <c r="BT335" i="5" s="1"/>
  <c r="BT306" i="5" a="1"/>
  <c r="BT306" i="5" s="1"/>
  <c r="BT316" i="5" s="1"/>
  <c r="BT317" i="5" s="1"/>
  <c r="BN252" i="5"/>
  <c r="BN275" i="5" s="1"/>
  <c r="F28" i="7" a="1"/>
  <c r="F28" i="7" s="1"/>
  <c r="Z28" i="7" a="1"/>
  <c r="Z28" i="7" s="1"/>
  <c r="O27" i="7" a="1"/>
  <c r="O27" i="7" s="1"/>
  <c r="AH27" i="7" a="1"/>
  <c r="AH27" i="7" s="1"/>
  <c r="AH25" i="7" s="1"/>
  <c r="V27" i="7" a="1"/>
  <c r="V27" i="7" s="1"/>
  <c r="AA28" i="7" a="1"/>
  <c r="AA28" i="7" s="1"/>
  <c r="BF28" i="7" a="1"/>
  <c r="BF28" i="7" s="1"/>
  <c r="X27" i="7" a="1"/>
  <c r="X27" i="7" s="1"/>
  <c r="M27" i="7" a="1"/>
  <c r="M27" i="7" s="1"/>
  <c r="M25" i="7" s="1"/>
  <c r="AW27" i="7" a="1"/>
  <c r="AW27" i="7" s="1"/>
  <c r="Q27" i="7" a="1"/>
  <c r="Q27" i="7" s="1"/>
  <c r="AM27" i="7" a="1"/>
  <c r="AM27" i="7" s="1"/>
  <c r="AM25" i="7" s="1"/>
  <c r="BA27" i="7" a="1"/>
  <c r="BA27" i="7" s="1"/>
  <c r="BB27" i="7" a="1"/>
  <c r="BB27" i="7" s="1"/>
  <c r="BB25" i="7" s="1"/>
  <c r="Y28" i="7" a="1"/>
  <c r="Y28" i="7" s="1"/>
  <c r="BE27" i="7" a="1"/>
  <c r="BE27" i="7" s="1"/>
  <c r="BE25" i="7" s="1"/>
  <c r="AQ27" i="7" a="1"/>
  <c r="AQ27" i="7" s="1"/>
  <c r="AQ25" i="7" s="1"/>
  <c r="BE28" i="7" a="1"/>
  <c r="BE28" i="7" s="1"/>
  <c r="T27" i="7" a="1"/>
  <c r="T27" i="7" s="1"/>
  <c r="AJ28" i="7" a="1"/>
  <c r="AJ28" i="7" s="1"/>
  <c r="AC28" i="7" a="1"/>
  <c r="AC28" i="7" s="1"/>
  <c r="AV28" i="7" a="1"/>
  <c r="AV28" i="7" s="1"/>
  <c r="AF28" i="7" a="1"/>
  <c r="AF28" i="7" s="1"/>
  <c r="AM28" i="7" a="1"/>
  <c r="AM28" i="7" s="1"/>
  <c r="AD28" i="7" a="1"/>
  <c r="AD28" i="7" s="1"/>
  <c r="R28" i="7" a="1"/>
  <c r="R28" i="7" s="1"/>
  <c r="BJ28" i="7" a="1"/>
  <c r="BJ28" i="7" s="1"/>
  <c r="BC28" i="7" a="1"/>
  <c r="BC28" i="7" s="1"/>
  <c r="AO27" i="7" a="1"/>
  <c r="AO27" i="7" s="1"/>
  <c r="AS27" i="7" a="1"/>
  <c r="AS27" i="7" s="1"/>
  <c r="AY27" i="7" a="1"/>
  <c r="AY27" i="7" s="1"/>
  <c r="AI27" i="7" a="1"/>
  <c r="AI27" i="7" s="1"/>
  <c r="AN27" i="7" a="1"/>
  <c r="AN27" i="7" s="1"/>
  <c r="AN25" i="7" s="1"/>
  <c r="AD27" i="7" a="1"/>
  <c r="AD27" i="7" s="1"/>
  <c r="J27" i="7" a="1"/>
  <c r="J27" i="7" s="1"/>
  <c r="BJ27" i="7" a="1"/>
  <c r="BJ27" i="7" s="1"/>
  <c r="BJ25" i="7" s="1"/>
  <c r="H27" i="7" a="1"/>
  <c r="H27" i="7" s="1"/>
  <c r="AL27" i="7" a="1"/>
  <c r="AL27" i="7" s="1"/>
  <c r="AL25" i="7" s="1"/>
  <c r="BF27" i="7" a="1"/>
  <c r="BF27" i="7" s="1"/>
  <c r="BF25" i="7" s="1"/>
  <c r="AR28" i="7" a="1"/>
  <c r="AR28" i="7" s="1"/>
  <c r="AR27" i="7" a="1"/>
  <c r="AR27" i="7" s="1"/>
  <c r="AR25" i="7" s="1"/>
  <c r="AB28" i="7" a="1"/>
  <c r="AB28" i="7" s="1"/>
  <c r="AP28" i="7" a="1"/>
  <c r="AP28" i="7" s="1"/>
  <c r="O28" i="7" a="1"/>
  <c r="O28" i="7" s="1"/>
  <c r="X28" i="7" a="1"/>
  <c r="X28" i="7" s="1"/>
  <c r="I28" i="7" a="1"/>
  <c r="I28" i="7" s="1"/>
  <c r="AY28" i="7" a="1"/>
  <c r="AY28" i="7" s="1"/>
  <c r="AZ28" i="7" a="1"/>
  <c r="AZ28" i="7" s="1"/>
  <c r="E27" i="7" a="1"/>
  <c r="E27" i="7" s="1"/>
  <c r="E25" i="7" s="1"/>
  <c r="S27" i="7" a="1"/>
  <c r="S27" i="7" s="1"/>
  <c r="F27" i="7" a="1"/>
  <c r="F27" i="7" s="1"/>
  <c r="BB28" i="7" a="1"/>
  <c r="BB28" i="7" s="1"/>
  <c r="BH27" i="7" a="1"/>
  <c r="BH27" i="7" s="1"/>
  <c r="AA27" i="7" a="1"/>
  <c r="AA27" i="7" s="1"/>
  <c r="Y27" i="7" a="1"/>
  <c r="Y27" i="7" s="1"/>
  <c r="Y25" i="7" s="1"/>
  <c r="U27" i="7" a="1"/>
  <c r="U27" i="7" s="1"/>
  <c r="BC27" i="7" a="1"/>
  <c r="BC27" i="7" s="1"/>
  <c r="BC25" i="7" s="1"/>
  <c r="AN28" i="7" a="1"/>
  <c r="AN28" i="7" s="1"/>
  <c r="N27" i="7" a="1"/>
  <c r="N27" i="7" s="1"/>
  <c r="AL28" i="7" a="1"/>
  <c r="AL28" i="7" s="1"/>
  <c r="AK27" i="7" a="1"/>
  <c r="AK27" i="7" s="1"/>
  <c r="AP27" i="7" a="1"/>
  <c r="AP27" i="7" s="1"/>
  <c r="AP25" i="7" s="1"/>
  <c r="AI28" i="7" a="1"/>
  <c r="AI28" i="7" s="1"/>
  <c r="E28" i="7" a="1"/>
  <c r="E28" i="7" s="1"/>
  <c r="P28" i="7" a="1"/>
  <c r="P28" i="7" s="1"/>
  <c r="BL28" i="7" a="1"/>
  <c r="BL28" i="7" s="1"/>
  <c r="I27" i="7" a="1"/>
  <c r="I27" i="7" s="1"/>
  <c r="BD27" i="7" a="1"/>
  <c r="BD27" i="7" s="1"/>
  <c r="G28" i="7" a="1"/>
  <c r="G28" i="7" s="1"/>
  <c r="S28" i="7" a="1"/>
  <c r="S28" i="7" s="1"/>
  <c r="BI28" i="7" a="1"/>
  <c r="BI28" i="7" s="1"/>
  <c r="AV27" i="7" a="1"/>
  <c r="AV27" i="7" s="1"/>
  <c r="Z27" i="7" a="1"/>
  <c r="Z27" i="7" s="1"/>
  <c r="Z25" i="7" s="1"/>
  <c r="AQ28" i="7" a="1"/>
  <c r="AQ28" i="7" s="1"/>
  <c r="AB27" i="7" a="1"/>
  <c r="AB27" i="7" s="1"/>
  <c r="AB25" i="7" s="1"/>
  <c r="AT27" i="7" a="1"/>
  <c r="AT27" i="7" s="1"/>
  <c r="W28" i="7" a="1"/>
  <c r="W28" i="7" s="1"/>
  <c r="BD28" i="7" a="1"/>
  <c r="BD28" i="7" s="1"/>
  <c r="AO28" i="7" a="1"/>
  <c r="AO28" i="7" s="1"/>
  <c r="AU27" i="7" a="1"/>
  <c r="AU27" i="7" s="1"/>
  <c r="J28" i="7" a="1"/>
  <c r="J28" i="7" s="1"/>
  <c r="AE28" i="7" a="1"/>
  <c r="AE28" i="7" s="1"/>
  <c r="AH28" i="7" a="1"/>
  <c r="AH28" i="7" s="1"/>
  <c r="W27" i="7" a="1"/>
  <c r="W27" i="7" s="1"/>
  <c r="W25" i="7" s="1"/>
  <c r="M28" i="7" a="1"/>
  <c r="M28" i="7" s="1"/>
  <c r="K28" i="7" a="1"/>
  <c r="K28" i="7" s="1"/>
  <c r="BG27" i="7" a="1"/>
  <c r="BG27" i="7" s="1"/>
  <c r="BG25" i="7" s="1"/>
  <c r="AX28" i="7" a="1"/>
  <c r="AX28" i="7" s="1"/>
  <c r="BK28" i="7" a="1"/>
  <c r="BK28" i="7" s="1"/>
  <c r="AW28" i="7" a="1"/>
  <c r="AW28" i="7" s="1"/>
  <c r="AX27" i="7" a="1"/>
  <c r="AX27" i="7" s="1"/>
  <c r="AG28" i="7" a="1"/>
  <c r="AG28" i="7" s="1"/>
  <c r="AJ27" i="7" a="1"/>
  <c r="AJ27" i="7" s="1"/>
  <c r="AT28" i="7" a="1"/>
  <c r="AT28" i="7" s="1"/>
  <c r="L28" i="7" a="1"/>
  <c r="L28" i="7" s="1"/>
  <c r="BI27" i="7" a="1"/>
  <c r="BI27" i="7" s="1"/>
  <c r="T28" i="7" a="1"/>
  <c r="T28" i="7" s="1"/>
  <c r="AK28" i="7" a="1"/>
  <c r="AK28" i="7" s="1"/>
  <c r="U28" i="7" a="1"/>
  <c r="U28" i="7" s="1"/>
  <c r="BA28" i="7" a="1"/>
  <c r="BA28" i="7" s="1"/>
  <c r="AE27" i="7" a="1"/>
  <c r="AE27" i="7" s="1"/>
  <c r="AE25" i="7" s="1"/>
  <c r="Q28" i="7" a="1"/>
  <c r="Q28" i="7" s="1"/>
  <c r="R27" i="7" a="1"/>
  <c r="R27" i="7" s="1"/>
  <c r="R25" i="7" s="1"/>
  <c r="BK27" i="7" a="1"/>
  <c r="BK27" i="7" s="1"/>
  <c r="H28" i="7" a="1"/>
  <c r="H28" i="7" s="1"/>
  <c r="P27" i="7" a="1"/>
  <c r="P27" i="7" s="1"/>
  <c r="BL27" i="7" a="1"/>
  <c r="BL27" i="7" s="1"/>
  <c r="BL25" i="7" s="1"/>
  <c r="AS28" i="7" a="1"/>
  <c r="AS28" i="7" s="1"/>
  <c r="L27" i="7" a="1"/>
  <c r="L27" i="7" s="1"/>
  <c r="BH28" i="7" a="1"/>
  <c r="BH28" i="7" s="1"/>
  <c r="AZ27" i="7" a="1"/>
  <c r="AZ27" i="7" s="1"/>
  <c r="AZ25" i="7" s="1"/>
  <c r="AG27" i="7" a="1"/>
  <c r="AG27" i="7" s="1"/>
  <c r="N28" i="7" a="1"/>
  <c r="N28" i="7" s="1"/>
  <c r="G27" i="7" a="1"/>
  <c r="G27" i="7" s="1"/>
  <c r="G25" i="7" s="1"/>
  <c r="BG28" i="7" a="1"/>
  <c r="BG28" i="7" s="1"/>
  <c r="V28" i="7" a="1"/>
  <c r="V28" i="7" s="1"/>
  <c r="AC27" i="7" a="1"/>
  <c r="AC27" i="7" s="1"/>
  <c r="AC25" i="7" s="1"/>
  <c r="AU28" i="7" a="1"/>
  <c r="AU28" i="7" s="1"/>
  <c r="AF27" i="7" a="1"/>
  <c r="AF27" i="7" s="1"/>
  <c r="AF25" i="7" s="1"/>
  <c r="K27" i="7" a="1"/>
  <c r="K27" i="7" s="1"/>
  <c r="N38" i="3"/>
  <c r="S38" i="3"/>
  <c r="S36" i="3" s="1"/>
  <c r="S35" i="3" s="1"/>
  <c r="BX192" i="5"/>
  <c r="BW310" i="5" a="1"/>
  <c r="BW310" i="5" s="1"/>
  <c r="M23" i="6"/>
  <c r="M49" i="6" s="1"/>
  <c r="K23" i="6"/>
  <c r="J24" i="6"/>
  <c r="J27" i="6"/>
  <c r="N36" i="3" l="1"/>
  <c r="V38" i="3"/>
  <c r="U38" i="3"/>
  <c r="K25" i="7"/>
  <c r="AG25" i="7"/>
  <c r="BK25" i="7"/>
  <c r="BI25" i="7"/>
  <c r="M39" i="6" s="1"/>
  <c r="AU25" i="7"/>
  <c r="AV25" i="7"/>
  <c r="U25" i="7"/>
  <c r="AI25" i="7"/>
  <c r="X25" i="7"/>
  <c r="BF24" i="7" a="1"/>
  <c r="BF24" i="7" s="1"/>
  <c r="AD24" i="7" a="1"/>
  <c r="AD24" i="7" s="1"/>
  <c r="Y24" i="7" a="1"/>
  <c r="Y24" i="7" s="1"/>
  <c r="AQ24" i="7" a="1"/>
  <c r="AQ24" i="7" s="1"/>
  <c r="AU24" i="7" a="1"/>
  <c r="AU24" i="7" s="1"/>
  <c r="AN24" i="7" a="1"/>
  <c r="AN24" i="7" s="1"/>
  <c r="AW24" i="7" a="1"/>
  <c r="AW24" i="7" s="1"/>
  <c r="AL24" i="7" a="1"/>
  <c r="AL24" i="7" s="1"/>
  <c r="F24" i="7" a="1"/>
  <c r="F24" i="7" s="1"/>
  <c r="W24" i="7" a="1"/>
  <c r="W24" i="7" s="1"/>
  <c r="AJ24" i="7" a="1"/>
  <c r="AJ24" i="7" s="1"/>
  <c r="AV24" i="7" a="1"/>
  <c r="AV24" i="7" s="1"/>
  <c r="AR24" i="7" a="1"/>
  <c r="AR24" i="7" s="1"/>
  <c r="AO24" i="7" a="1"/>
  <c r="AO24" i="7" s="1"/>
  <c r="U24" i="7" a="1"/>
  <c r="U24" i="7" s="1"/>
  <c r="BC24" i="7" a="1"/>
  <c r="BC24" i="7" s="1"/>
  <c r="S24" i="7" a="1"/>
  <c r="S24" i="7" s="1"/>
  <c r="BI24" i="7" a="1"/>
  <c r="BI24" i="7" s="1"/>
  <c r="H24" i="7" a="1"/>
  <c r="H24" i="7" s="1"/>
  <c r="BH24" i="7" a="1"/>
  <c r="BH24" i="7" s="1"/>
  <c r="BK24" i="7" a="1"/>
  <c r="BK24" i="7" s="1"/>
  <c r="BJ24" i="7" a="1"/>
  <c r="BJ24" i="7" s="1"/>
  <c r="J24" i="7" a="1"/>
  <c r="J24" i="7" s="1"/>
  <c r="I24" i="7" a="1"/>
  <c r="I24" i="7" s="1"/>
  <c r="AC24" i="7" a="1"/>
  <c r="AC24" i="7" s="1"/>
  <c r="AT24" i="7" a="1"/>
  <c r="AT24" i="7" s="1"/>
  <c r="N24" i="7" a="1"/>
  <c r="N24" i="7" s="1"/>
  <c r="T24" i="7" a="1"/>
  <c r="T24" i="7" s="1"/>
  <c r="V24" i="7" a="1"/>
  <c r="V24" i="7" s="1"/>
  <c r="BB24" i="7" a="1"/>
  <c r="BB24" i="7" s="1"/>
  <c r="AI24" i="7" a="1"/>
  <c r="AI24" i="7" s="1"/>
  <c r="R24" i="7" a="1"/>
  <c r="R24" i="7" s="1"/>
  <c r="O24" i="7" a="1"/>
  <c r="O24" i="7" s="1"/>
  <c r="AH24" i="7" a="1"/>
  <c r="AH24" i="7" s="1"/>
  <c r="AB24" i="7" a="1"/>
  <c r="AB24" i="7" s="1"/>
  <c r="BL24" i="7" a="1"/>
  <c r="BL24" i="7" s="1"/>
  <c r="AM24" i="7" a="1"/>
  <c r="AM24" i="7" s="1"/>
  <c r="K24" i="7" a="1"/>
  <c r="K24" i="7" s="1"/>
  <c r="X24" i="7" a="1"/>
  <c r="X24" i="7" s="1"/>
  <c r="BD24" i="7" a="1"/>
  <c r="BD24" i="7" s="1"/>
  <c r="Z24" i="7" a="1"/>
  <c r="Z24" i="7" s="1"/>
  <c r="P24" i="7" a="1"/>
  <c r="P24" i="7" s="1"/>
  <c r="BG24" i="7" a="1"/>
  <c r="BG24" i="7" s="1"/>
  <c r="BA24" i="7" a="1"/>
  <c r="BA24" i="7" s="1"/>
  <c r="G24" i="7" a="1"/>
  <c r="G24" i="7" s="1"/>
  <c r="AZ24" i="7" a="1"/>
  <c r="AZ24" i="7" s="1"/>
  <c r="M24" i="7" a="1"/>
  <c r="M24" i="7" s="1"/>
  <c r="AE24" i="7" a="1"/>
  <c r="AE24" i="7" s="1"/>
  <c r="AY24" i="7" a="1"/>
  <c r="AY24" i="7" s="1"/>
  <c r="Q24" i="7" a="1"/>
  <c r="Q24" i="7" s="1"/>
  <c r="AK24" i="7" a="1"/>
  <c r="AK24" i="7" s="1"/>
  <c r="E24" i="7" a="1"/>
  <c r="E24" i="7" s="1"/>
  <c r="AF24" i="7" a="1"/>
  <c r="AF24" i="7" s="1"/>
  <c r="AA24" i="7" a="1"/>
  <c r="AA24" i="7" s="1"/>
  <c r="AP24" i="7" a="1"/>
  <c r="AP24" i="7" s="1"/>
  <c r="BE24" i="7" a="1"/>
  <c r="BE24" i="7" s="1"/>
  <c r="AG24" i="7" a="1"/>
  <c r="AG24" i="7" s="1"/>
  <c r="AS24" i="7" a="1"/>
  <c r="AS24" i="7" s="1"/>
  <c r="AX24" i="7" a="1"/>
  <c r="AX24" i="7" s="1"/>
  <c r="L24" i="7" a="1"/>
  <c r="L24" i="7" s="1"/>
  <c r="BN339" i="5"/>
  <c r="BN338" i="5" s="1"/>
  <c r="AY25" i="7"/>
  <c r="AA25" i="7"/>
  <c r="AS25" i="7"/>
  <c r="L25" i="7"/>
  <c r="AJ25" i="7"/>
  <c r="AK25" i="7"/>
  <c r="BH25" i="7"/>
  <c r="H25" i="7"/>
  <c r="AO25" i="7"/>
  <c r="BA25" i="7"/>
  <c r="O39" i="6" s="1"/>
  <c r="V25" i="7"/>
  <c r="BD25" i="7"/>
  <c r="BT339" i="5"/>
  <c r="BT338" i="5" s="1"/>
  <c r="BY193" i="5"/>
  <c r="BX311" i="5" a="1"/>
  <c r="BX311" i="5" s="1"/>
  <c r="AX25" i="7"/>
  <c r="I25" i="7"/>
  <c r="N25" i="7"/>
  <c r="F25" i="7"/>
  <c r="K39" i="6" s="1"/>
  <c r="J25" i="7"/>
  <c r="T25" i="7"/>
  <c r="Q25" i="7"/>
  <c r="O25" i="7"/>
  <c r="BV189" i="5"/>
  <c r="BU307" i="5" a="1"/>
  <c r="BU307" i="5" s="1"/>
  <c r="BU316" i="5" s="1"/>
  <c r="BU317" i="5" s="1"/>
  <c r="BU327" i="5" a="1"/>
  <c r="BU327" i="5" s="1"/>
  <c r="BU330" i="5" s="1"/>
  <c r="BU331" i="5" s="1"/>
  <c r="BU335" i="5" s="1" a="1"/>
  <c r="BU335" i="5" s="1"/>
  <c r="BU339" i="5" s="1"/>
  <c r="BU338" i="5" s="1"/>
  <c r="AT25" i="7"/>
  <c r="J23" i="6"/>
  <c r="K49" i="6"/>
  <c r="J49" i="6" s="1"/>
  <c r="S71" i="3"/>
  <c r="S73" i="3" s="1"/>
  <c r="S75" i="3" s="1"/>
  <c r="S50" i="3"/>
  <c r="S51" i="3"/>
  <c r="P25" i="7"/>
  <c r="S25" i="7"/>
  <c r="AD25" i="7"/>
  <c r="AW25" i="7"/>
  <c r="V39" i="3"/>
  <c r="U39" i="3"/>
  <c r="L39" i="7" l="1"/>
  <c r="L41" i="7" s="1"/>
  <c r="K38" i="6"/>
  <c r="E41" i="7"/>
  <c r="E39" i="7"/>
  <c r="O38" i="6"/>
  <c r="BA39" i="7"/>
  <c r="BL39" i="7"/>
  <c r="BL41" i="7"/>
  <c r="T39" i="7"/>
  <c r="T41" i="7"/>
  <c r="BH39" i="7"/>
  <c r="BH41" i="7"/>
  <c r="AV39" i="7"/>
  <c r="AV41" i="7" s="1"/>
  <c r="AQ39" i="7"/>
  <c r="AQ41" i="7" s="1"/>
  <c r="BG39" i="7"/>
  <c r="BG41" i="7"/>
  <c r="H39" i="7"/>
  <c r="H41" i="7" s="1"/>
  <c r="AJ39" i="7"/>
  <c r="AJ41" i="7"/>
  <c r="Y39" i="7"/>
  <c r="Y41" i="7"/>
  <c r="AK39" i="7"/>
  <c r="AK41" i="7"/>
  <c r="N39" i="7"/>
  <c r="N41" i="7" s="1"/>
  <c r="AS39" i="7"/>
  <c r="AS41" i="7" s="1"/>
  <c r="L38" i="6"/>
  <c r="Q39" i="7"/>
  <c r="Q41" i="7"/>
  <c r="P41" i="7"/>
  <c r="P39" i="7"/>
  <c r="AH39" i="7"/>
  <c r="AH41" i="7" s="1"/>
  <c r="AT41" i="7"/>
  <c r="AT39" i="7"/>
  <c r="BI39" i="7"/>
  <c r="BI41" i="7"/>
  <c r="W39" i="7"/>
  <c r="W41" i="7" s="1"/>
  <c r="AD41" i="7"/>
  <c r="AD39" i="7"/>
  <c r="AX39" i="7"/>
  <c r="AX41" i="7" s="1"/>
  <c r="AB39" i="7"/>
  <c r="AB41" i="7"/>
  <c r="AG41" i="7"/>
  <c r="AG39" i="7"/>
  <c r="AY41" i="7"/>
  <c r="AY39" i="7"/>
  <c r="Z41" i="7"/>
  <c r="Z39" i="7"/>
  <c r="O39" i="7"/>
  <c r="O41" i="7"/>
  <c r="M38" i="6"/>
  <c r="AC39" i="7"/>
  <c r="AC41" i="7"/>
  <c r="S39" i="7"/>
  <c r="S41" i="7" s="1"/>
  <c r="F41" i="7"/>
  <c r="F39" i="7"/>
  <c r="BF39" i="7"/>
  <c r="BF41" i="7"/>
  <c r="BE39" i="7"/>
  <c r="BE41" i="7"/>
  <c r="AE39" i="7"/>
  <c r="AE41" i="7" s="1"/>
  <c r="BD41" i="7"/>
  <c r="BD39" i="7"/>
  <c r="R39" i="7"/>
  <c r="R41" i="7"/>
  <c r="I39" i="7"/>
  <c r="I41" i="7" s="1"/>
  <c r="BC39" i="7"/>
  <c r="BC41" i="7" s="1"/>
  <c r="AL39" i="7"/>
  <c r="AL41" i="7" s="1"/>
  <c r="N39" i="6"/>
  <c r="AP39" i="7"/>
  <c r="AP41" i="7"/>
  <c r="M41" i="7"/>
  <c r="M39" i="7"/>
  <c r="X41" i="7"/>
  <c r="X39" i="7"/>
  <c r="AI39" i="7"/>
  <c r="AI41" i="7"/>
  <c r="J39" i="7"/>
  <c r="J41" i="7"/>
  <c r="U41" i="7"/>
  <c r="U39" i="7"/>
  <c r="AW39" i="7"/>
  <c r="AW41" i="7" s="1"/>
  <c r="BW190" i="5"/>
  <c r="BV328" i="5" a="1"/>
  <c r="BV328" i="5" s="1"/>
  <c r="BV330" i="5" s="1"/>
  <c r="BV331" i="5" s="1"/>
  <c r="BV335" i="5" s="1" a="1"/>
  <c r="BV335" i="5" s="1"/>
  <c r="BV339" i="5" s="1"/>
  <c r="BV338" i="5" s="1"/>
  <c r="BV308" i="5" a="1"/>
  <c r="BV308" i="5" s="1"/>
  <c r="BV316" i="5" s="1"/>
  <c r="BV317" i="5" s="1"/>
  <c r="AA39" i="7"/>
  <c r="AA41" i="7" s="1"/>
  <c r="AZ39" i="7"/>
  <c r="AZ41" i="7"/>
  <c r="K41" i="7"/>
  <c r="K39" i="7"/>
  <c r="BB39" i="7"/>
  <c r="BB41" i="7" s="1"/>
  <c r="BJ39" i="7"/>
  <c r="BJ41" i="7" s="1"/>
  <c r="N38" i="6"/>
  <c r="AO39" i="7"/>
  <c r="AO41" i="7" s="1"/>
  <c r="AN39" i="7"/>
  <c r="AN41" i="7"/>
  <c r="L39" i="6"/>
  <c r="J39" i="6" s="1"/>
  <c r="BZ194" i="5"/>
  <c r="BZ313" i="5" s="1" a="1"/>
  <c r="BZ313" i="5" s="1"/>
  <c r="BY312" i="5" a="1"/>
  <c r="BY312" i="5" s="1"/>
  <c r="AF41" i="7"/>
  <c r="AF39" i="7"/>
  <c r="G39" i="7"/>
  <c r="G41" i="7" s="1"/>
  <c r="AM39" i="7"/>
  <c r="AM41" i="7"/>
  <c r="V41" i="7"/>
  <c r="V39" i="7"/>
  <c r="BK41" i="7"/>
  <c r="BK39" i="7"/>
  <c r="AR39" i="7"/>
  <c r="AR41" i="7" s="1"/>
  <c r="AU39" i="7"/>
  <c r="AU41" i="7"/>
  <c r="V36" i="3"/>
  <c r="N35" i="3"/>
  <c r="U36" i="3"/>
  <c r="M48" i="6" l="1"/>
  <c r="K48" i="6"/>
  <c r="J38" i="6"/>
  <c r="BX191" i="5"/>
  <c r="BW309" i="5" a="1"/>
  <c r="BW309" i="5" s="1"/>
  <c r="BW316" i="5" s="1"/>
  <c r="BW317" i="5" s="1"/>
  <c r="BW328" i="5" a="1"/>
  <c r="BW328" i="5" s="1"/>
  <c r="BW330" i="5" s="1"/>
  <c r="BW331" i="5" s="1"/>
  <c r="BW335" i="5" s="1" a="1"/>
  <c r="BW335" i="5" s="1"/>
  <c r="BW339" i="5" s="1"/>
  <c r="BW338" i="5" s="1"/>
  <c r="L48" i="6"/>
  <c r="V35" i="3"/>
  <c r="U35" i="3"/>
  <c r="N71" i="3"/>
  <c r="N48" i="6"/>
  <c r="O48" i="6"/>
  <c r="BA41" i="7"/>
  <c r="BY192" i="5" l="1"/>
  <c r="BX328" i="5" a="1"/>
  <c r="BX328" i="5" s="1"/>
  <c r="BX330" i="5" s="1"/>
  <c r="BX331" i="5" s="1"/>
  <c r="BX335" i="5" s="1" a="1"/>
  <c r="BX335" i="5" s="1"/>
  <c r="BX339" i="5" s="1"/>
  <c r="BX338" i="5" s="1"/>
  <c r="BX310" i="5" a="1"/>
  <c r="BX310" i="5" s="1"/>
  <c r="BX316" i="5" s="1"/>
  <c r="BX317" i="5" s="1"/>
  <c r="U71" i="3"/>
  <c r="V71" i="3"/>
  <c r="J48" i="6"/>
  <c r="BZ193" i="5" l="1"/>
  <c r="BY328" i="5" a="1"/>
  <c r="BY328" i="5" s="1"/>
  <c r="BY330" i="5" s="1"/>
  <c r="BY331" i="5" s="1"/>
  <c r="BY335" i="5" s="1" a="1"/>
  <c r="BY335" i="5" s="1"/>
  <c r="BY339" i="5" s="1"/>
  <c r="BY338" i="5" s="1"/>
  <c r="BY311" i="5" a="1"/>
  <c r="BY311" i="5" s="1"/>
  <c r="BY316" i="5" s="1"/>
  <c r="BY317" i="5" s="1"/>
  <c r="BZ328" i="5" l="1" a="1"/>
  <c r="BZ328" i="5" s="1"/>
  <c r="BZ330" i="5" s="1"/>
  <c r="BZ331" i="5" s="1"/>
  <c r="BZ335" i="5" s="1" a="1"/>
  <c r="BZ335" i="5" s="1"/>
  <c r="BZ312" i="5" a="1"/>
  <c r="BZ312" i="5" s="1"/>
  <c r="BZ316" i="5" s="1"/>
  <c r="BZ317" i="5" s="1"/>
  <c r="BZ339" i="5" l="1"/>
  <c r="BZ338" i="5" s="1"/>
  <c r="T34" i="3"/>
  <c r="T51" i="3" l="1"/>
  <c r="T72" i="3"/>
  <c r="T73" i="3" s="1"/>
  <c r="T75" i="3" s="1"/>
  <c r="N34" i="3"/>
  <c r="N72" i="3" l="1"/>
  <c r="V34" i="3"/>
  <c r="E120" i="3" s="1"/>
  <c r="U34" i="3"/>
  <c r="E119" i="3" s="1"/>
  <c r="N51" i="3"/>
  <c r="N50" i="3"/>
  <c r="V51" i="3" l="1"/>
  <c r="U51" i="3"/>
  <c r="V50" i="3"/>
  <c r="U50" i="3"/>
  <c r="V72" i="3"/>
  <c r="U72" i="3"/>
  <c r="N73" i="3"/>
  <c r="V73" i="3" l="1"/>
  <c r="U73" i="3"/>
  <c r="N75" i="3"/>
  <c r="U75" i="3" l="1"/>
  <c r="V7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18" authorId="0" shapeId="0" xr:uid="{E8D9DCD4-8776-F84F-984B-ED3643D86F6C}">
      <text>
        <r>
          <rPr>
            <b/>
            <sz val="9"/>
            <color indexed="81"/>
            <rFont val="Tahoma"/>
            <family val="2"/>
          </rPr>
          <t>Hà Ngô (Business Finance Analyst):</t>
        </r>
        <r>
          <rPr>
            <sz val="9"/>
            <color indexed="81"/>
            <rFont val="Tahoma"/>
            <family val="2"/>
          </rPr>
          <t xml:space="preserve">
Account have spending and/or outstanding 
balance</t>
        </r>
      </text>
    </comment>
    <comment ref="C85" authorId="0" shapeId="0" xr:uid="{9CAA02A5-EBB8-4A48-B9DC-FFFCDD2A0C3F}">
      <text>
        <r>
          <rPr>
            <b/>
            <sz val="9"/>
            <color indexed="81"/>
            <rFont val="Tahoma"/>
            <family val="2"/>
          </rPr>
          <t>Hà Ngô (Business Finance Analyst)
Tạm thời chưa tách chi phí, bổ đều chi phí collection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<sst xmlns="http://schemas.openxmlformats.org/spreadsheetml/2006/main" count="947" uniqueCount="471">
  <si>
    <t>SAP MODEL - PAYLATER</t>
  </si>
  <si>
    <t>KHN</t>
  </si>
  <si>
    <t>v8</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</si>
  <si>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</si>
  <si>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</si>
  <si>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</si>
  <si>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</si>
  <si>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</si>
  <si>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</si>
  <si>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Paylater tính hiệu quả của 1 thẻ mở và được cutoff tối đa tại thời điểm 5 năm ( 60 tháng) kể từ ngày bắt đầu sản phẩm</t>
  </si>
  <si>
    <t xml:space="preserve">- Trường hợp sử dụng phương pháp tính dự phòng VAS, cần ghi nhận thêm chi phí dự phòng năm thứ 6 liên quan tới hiệu quả sản phẩm thẻ 5 năm. </t>
  </si>
  <si>
    <t xml:space="preserve">- Trường hợp sử dụng phương pháp tính dự phòng VAS, cần ghi nhận thêm chi phí dự phòng năm thứ 4 liên quan tới hiệu quả sản phẩm thẻ 3 năm. </t>
  </si>
  <si>
    <t>b. Giới thiệu về PnL</t>
  </si>
  <si>
    <t xml:space="preserve">- Trong file tính này, Profit &amp; Lost (PnL) được dự phóng từ trung bình cộng kết quả kinh doanh trên từng sản phẩm (SAP) với yếu tố "sale plan" (số thẻ mở mới)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</si>
  <si>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</si>
  <si>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</si>
  <si>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</si>
  <si>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</si>
  <si>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</si>
  <si>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</si>
  <si>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</si>
  <si>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</si>
  <si>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</si>
  <si>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</si>
  <si>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</si>
  <si>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</si>
  <si>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</si>
  <si>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</si>
  <si>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</si>
  <si>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Card Status</t>
  </si>
  <si>
    <t>Activate  at beginning</t>
  </si>
  <si>
    <t>Tỉ lệ active thẻ tại thời điểm tháng 1</t>
  </si>
  <si>
    <t>Tỉ lệ active được tính là khách hàng có spending và/hoặc có outstanding balance</t>
  </si>
  <si>
    <t>Average attrition rate</t>
  </si>
  <si>
    <t>Tỉ lệ giảm active qua từng thàng</t>
  </si>
  <si>
    <t>Lấy trung bình tỉ lệ giảm active thẻ của các tháng  (tính theo cohort)</t>
  </si>
  <si>
    <t>Term of using</t>
  </si>
  <si>
    <t>Tenor</t>
  </si>
  <si>
    <t>Thời hạn tài khoản</t>
  </si>
  <si>
    <t>Due date</t>
  </si>
  <si>
    <t>Ngày tới thời hạn miễn lãi</t>
  </si>
  <si>
    <t>Free-interest period</t>
  </si>
  <si>
    <t>Thời gian được miễn lãi (VD 45-55 ngày)</t>
  </si>
  <si>
    <t>Usage Status</t>
  </si>
  <si>
    <t>Spd / active card</t>
  </si>
  <si>
    <t>Tổng chi tiêu tiêu tháng/số thẻ active</t>
  </si>
  <si>
    <t>Payment status</t>
  </si>
  <si>
    <t>Port Revolving rate</t>
  </si>
  <si>
    <t>Tỉ lệ chuyển đổi dư nợ (được tính là %/ANR tháng trước)</t>
  </si>
  <si>
    <t>Repayment rate</t>
  </si>
  <si>
    <t>Tỉ lệ thanh toán dư nợ (được tính %/ANR tháng trước)</t>
  </si>
  <si>
    <t>Pricing</t>
  </si>
  <si>
    <t>CII rate</t>
  </si>
  <si>
    <t>Chi phí lãi vay (annually)</t>
  </si>
  <si>
    <t>Lấy trung bình tỉ lãi của rút tiền và chi tiêu</t>
  </si>
  <si>
    <t>COF rate</t>
  </si>
  <si>
    <t>Chi phí vốn (annually)</t>
  </si>
  <si>
    <t>Lấy theo BRD</t>
  </si>
  <si>
    <t>Customer fee</t>
  </si>
  <si>
    <t>Annual fee</t>
  </si>
  <si>
    <t>Phí thường niên</t>
  </si>
  <si>
    <t>Lấy trung bình tỉ lệ các thẻ</t>
  </si>
  <si>
    <t>Annual Fee waiver</t>
  </si>
  <si>
    <t>Tỉ lệ miễn phí thường niên (trừ năm 1)</t>
  </si>
  <si>
    <t>Monthly fee</t>
  </si>
  <si>
    <t>Phí hàng tháng (subcription fee,…)</t>
  </si>
  <si>
    <t>Issuance fee</t>
  </si>
  <si>
    <t>Phí mở thẻ mới</t>
  </si>
  <si>
    <t>Termination fee</t>
  </si>
  <si>
    <t>Phí đóng thẻ</t>
  </si>
  <si>
    <t>Late payment rate</t>
  </si>
  <si>
    <t>Phí chậm trả</t>
  </si>
  <si>
    <t>%Latepayment collected</t>
  </si>
  <si>
    <t>Tỉ lệ thu hồi chậm trả</t>
  </si>
  <si>
    <t>Min due fee</t>
  </si>
  <si>
    <t xml:space="preserve">Phí nếu min&lt; trả phí+gốc &lt; phí gốc cần thu </t>
  </si>
  <si>
    <t>EMI</t>
  </si>
  <si>
    <t>EMI Penetration</t>
  </si>
  <si>
    <t>Tỉ lệ chuyển đổi trả góp/spending trong tháng</t>
  </si>
  <si>
    <t>Average tenor</t>
  </si>
  <si>
    <t>Thời hạn chuyển đổi trung bình</t>
  </si>
  <si>
    <t>Initial fee</t>
  </si>
  <si>
    <t>Phí chuyển đổi trung bình/tháng</t>
  </si>
  <si>
    <t>COST INPUT</t>
  </si>
  <si>
    <t>Inflation rate</t>
  </si>
  <si>
    <t>Tỉ lệ dự kiến tăng chi phí qua các năm</t>
  </si>
  <si>
    <t>Sales &amp; Marketing</t>
  </si>
  <si>
    <t>Lead acquisition</t>
  </si>
  <si>
    <t>Chi phí leadgen trả cho đối tác</t>
  </si>
  <si>
    <t>Sharing TOI+RISKDPD90+</t>
  </si>
  <si>
    <t>Chi phí chia sẻ doanh thu chi phí rủi ro cho đối tác</t>
  </si>
  <si>
    <t>Auto mode</t>
  </si>
  <si>
    <t>Sharing NII</t>
  </si>
  <si>
    <t>Chia sẻ thu nhập từ lãi cho đối tác</t>
  </si>
  <si>
    <t>Manual mode</t>
  </si>
  <si>
    <t>Sharing NFI</t>
  </si>
  <si>
    <t>Chia sẻ thu nhập từ phí cho đối tác</t>
  </si>
  <si>
    <t>Sharing Risk DPD 90+</t>
  </si>
  <si>
    <t>Chia sẻ thu nhập từ chi phí rủi ro</t>
  </si>
  <si>
    <t>Marketing cost for acquisition</t>
  </si>
  <si>
    <t>Chi phí marketing cho thẻ mở</t>
  </si>
  <si>
    <t>Marketing cost for usage</t>
  </si>
  <si>
    <t>Chi phí promotion hàng tháng cho thẻ hoạt động</t>
  </si>
  <si>
    <t>UW &amp; Disbursal cost</t>
  </si>
  <si>
    <t>Underwriting cost</t>
  </si>
  <si>
    <t>Chi phí underwriting cost/thẻ mở</t>
  </si>
  <si>
    <t>Chi phí bao gồm (PBC, KLP, CIC,…)</t>
  </si>
  <si>
    <t>DOP cost</t>
  </si>
  <si>
    <t>Chi phí luồng DOP</t>
  </si>
  <si>
    <t>Bao gồm SMS,…</t>
  </si>
  <si>
    <t>Approval rate</t>
  </si>
  <si>
    <t>Tỉ lệ chấp thuận mở thẻ</t>
  </si>
  <si>
    <t>Tỉ lệ số thẻ được chấp thuận/số thẻ vào luồng LOS</t>
  </si>
  <si>
    <t>Opening rate</t>
  </si>
  <si>
    <t>Tỉ lệ mở thẻ</t>
  </si>
  <si>
    <t>Tỉ lệ số thẻ mở /số thẻ được chấp thuận mở</t>
  </si>
  <si>
    <t>Opening cost</t>
  </si>
  <si>
    <t>Chi phí mở thẻ</t>
  </si>
  <si>
    <t>Bao gồm các chi phí hợp đồng, SMS khi mở thẻ</t>
  </si>
  <si>
    <t>Credit Support</t>
  </si>
  <si>
    <t>Chi phí khác( hiện tại chưa có)</t>
  </si>
  <si>
    <t>Collection &amp; AMC</t>
  </si>
  <si>
    <t>Chi phí thu hồi nợ/số thẻ activated</t>
  </si>
  <si>
    <t xml:space="preserve">Hiện tại VPB đang chỉ phân bổ chi phí GB (B0-B3) cho CAKE, chưa bao gồm BB( B4+) </t>
  </si>
  <si>
    <t>After-sales services</t>
  </si>
  <si>
    <t>SMS</t>
  </si>
  <si>
    <t>Chi phí tin nhắn tháng</t>
  </si>
  <si>
    <t>x</t>
  </si>
  <si>
    <t>Overheads</t>
  </si>
  <si>
    <t>SU_HR direct</t>
  </si>
  <si>
    <t>Chi phí nhân sự trực tiếp phân bổ</t>
  </si>
  <si>
    <t>Lấy theo trung bình năm</t>
  </si>
  <si>
    <t>SU_HR indirect</t>
  </si>
  <si>
    <t>Chi phí nhân sự hỗ trợ phân bổ</t>
  </si>
  <si>
    <t>SU_IT</t>
  </si>
  <si>
    <t>Chi phí IT phân bổ</t>
  </si>
  <si>
    <t>SU_Others</t>
  </si>
  <si>
    <t>Các chi phí khác phân bổ</t>
  </si>
  <si>
    <t>RISK INPUT</t>
  </si>
  <si>
    <t>Recovery rate</t>
  </si>
  <si>
    <t>Tỉ lệ thu hồi nợ sau WO</t>
  </si>
  <si>
    <t>Hiện tại chưa đủ dữ liệu tính nên để =0</t>
  </si>
  <si>
    <t>Provision rate</t>
  </si>
  <si>
    <t>Avg NF</t>
  </si>
  <si>
    <t>Netflow- Tỉ lệ chuyển nợ</t>
  </si>
  <si>
    <t>PD</t>
  </si>
  <si>
    <t>Percentage of debt (tỉ lệ vỡ nợ)</t>
  </si>
  <si>
    <t>Pro. rate</t>
  </si>
  <si>
    <t>Tỉ lệ vỡ nợ đã điều chỉnh thu hồi nợ</t>
  </si>
  <si>
    <t>DPD360+</t>
  </si>
  <si>
    <t>IFRS</t>
  </si>
  <si>
    <t>DPD180+</t>
  </si>
  <si>
    <t>VAS</t>
  </si>
  <si>
    <t>non-EMI</t>
  </si>
  <si>
    <t>SAP MODEL - PAYLATER CARD</t>
  </si>
  <si>
    <t>Leadsheet</t>
  </si>
  <si>
    <t>OUTPUT</t>
  </si>
  <si>
    <t>HKN</t>
  </si>
  <si>
    <t>ANR</t>
  </si>
  <si>
    <t>TOI</t>
  </si>
  <si>
    <t>Select model type</t>
  </si>
  <si>
    <t>Net interest income</t>
  </si>
  <si>
    <t>Write off</t>
  </si>
  <si>
    <t>Provision</t>
  </si>
  <si>
    <t>PROVISION</t>
  </si>
  <si>
    <t>Chanel</t>
  </si>
  <si>
    <t>ALL</t>
  </si>
  <si>
    <t>OPEX</t>
  </si>
  <si>
    <t>EMI mode</t>
  </si>
  <si>
    <t>Acq</t>
  </si>
  <si>
    <t>Customer type</t>
  </si>
  <si>
    <t>Alter-sale mgt</t>
  </si>
  <si>
    <t>Quarter</t>
  </si>
  <si>
    <t>Q3.2025</t>
  </si>
  <si>
    <t>%</t>
  </si>
  <si>
    <t>Cur: mVND, %</t>
  </si>
  <si>
    <t>PERFORMANCE OUTPUT</t>
  </si>
  <si>
    <t>Year 1</t>
  </si>
  <si>
    <t>Year 2</t>
  </si>
  <si>
    <t>Year 3</t>
  </si>
  <si>
    <t>Year 4</t>
  </si>
  <si>
    <t>Year 5</t>
  </si>
  <si>
    <t>Lifetime</t>
  </si>
  <si>
    <t>Year 6</t>
  </si>
  <si>
    <t>% of ANR</t>
  </si>
  <si>
    <t>% of Spending</t>
  </si>
  <si>
    <t>Spending</t>
  </si>
  <si>
    <t>Avg card sau attrition * spending/card</t>
  </si>
  <si>
    <t>Account having spending at month 1</t>
  </si>
  <si>
    <t>per cohort</t>
  </si>
  <si>
    <t>including account have spending &amp; balance</t>
  </si>
  <si>
    <t>CII</t>
  </si>
  <si>
    <t>ANR*%B0&amp;1 thu được*%IR</t>
  </si>
  <si>
    <t>month</t>
  </si>
  <si>
    <t>COF</t>
  </si>
  <si>
    <t>ANR*%COF</t>
  </si>
  <si>
    <t>Date of month</t>
  </si>
  <si>
    <t>Net fee income</t>
  </si>
  <si>
    <t>days</t>
  </si>
  <si>
    <t>Avg card sau waiver * annual fee</t>
  </si>
  <si>
    <t>Avg card*%B0&amp;1 thu được*monthly fee</t>
  </si>
  <si>
    <t>Spd / activate card</t>
  </si>
  <si>
    <t>Transaction fee</t>
  </si>
  <si>
    <t>Newspending * %transaction fee * (1-%RRB0-1)</t>
  </si>
  <si>
    <t>New spending = spending/active * avg active card sau attrition</t>
  </si>
  <si>
    <t>Payment rate</t>
  </si>
  <si>
    <t>Late payment</t>
  </si>
  <si>
    <t>Late pmt fee * [B1 * (1-%RRB1-2)/total balacne] * avg card</t>
  </si>
  <si>
    <t>payment T/ANR T-1 (excl WO)</t>
  </si>
  <si>
    <t>ANR*%B0&amp;1 thu được*%Mindue</t>
  </si>
  <si>
    <t>[B1 * (1-%RRB1-2)/total balacne] -&gt; tính ra số thẻ late</t>
  </si>
  <si>
    <t>EMI initial fee</t>
  </si>
  <si>
    <t>EMI amt * tenor * 3%</t>
  </si>
  <si>
    <t>annually</t>
  </si>
  <si>
    <t>EMI- early termination</t>
  </si>
  <si>
    <t>Fee suspended due to CIC</t>
  </si>
  <si>
    <t>Other income</t>
  </si>
  <si>
    <t>Fee/charge</t>
  </si>
  <si>
    <t>per card/year</t>
  </si>
  <si>
    <t>% accard port</t>
  </si>
  <si>
    <t>Monthtly fee (Subcription fee)</t>
  </si>
  <si>
    <t>per card having spending/month</t>
  </si>
  <si>
    <t>per spend/month</t>
  </si>
  <si>
    <t>per issued account</t>
  </si>
  <si>
    <t>Sharing TOI +Risk DPD90+</t>
  </si>
  <si>
    <t>per terminated account</t>
  </si>
  <si>
    <t>Sharing adjusted</t>
  </si>
  <si>
    <t>Marketing cost for acquistion</t>
  </si>
  <si>
    <t>Late payment interest</t>
  </si>
  <si>
    <t>Promotion cost</t>
  </si>
  <si>
    <t>Late payment penalty (fee)</t>
  </si>
  <si>
    <t>per account</t>
  </si>
  <si>
    <t>Disbursement cost</t>
  </si>
  <si>
    <t>per revolving balance/month</t>
  </si>
  <si>
    <t>Collection</t>
  </si>
  <si>
    <t>Early collection</t>
  </si>
  <si>
    <t>AMC</t>
  </si>
  <si>
    <t>Payment by months</t>
  </si>
  <si>
    <t>After sale service</t>
  </si>
  <si>
    <t>per spending per month</t>
  </si>
  <si>
    <t>Other support units</t>
  </si>
  <si>
    <t>per transaction</t>
  </si>
  <si>
    <t>PROFIT BEFORE SU</t>
  </si>
  <si>
    <t>per month</t>
  </si>
  <si>
    <t>PBT</t>
  </si>
  <si>
    <t>Early repayment</t>
  </si>
  <si>
    <t>transaction</t>
  </si>
  <si>
    <t>% early</t>
  </si>
  <si>
    <t>Retail 0% Installment</t>
  </si>
  <si>
    <t>#start month</t>
  </si>
  <si>
    <t>Account having installments</t>
  </si>
  <si>
    <t xml:space="preserve"># EMI tnx </t>
  </si>
  <si>
    <t># times (max 5)</t>
  </si>
  <si>
    <t>Ticket size</t>
  </si>
  <si>
    <t>per installment transaction</t>
  </si>
  <si>
    <t>Prepayment</t>
  </si>
  <si>
    <t>per transaction (max 10m)</t>
  </si>
  <si>
    <t>per installment product price</t>
  </si>
  <si>
    <t>SUMMARY OUTPUT</t>
  </si>
  <si>
    <t>annual rate</t>
  </si>
  <si>
    <t>Variable Cost</t>
  </si>
  <si>
    <t>Provision cost</t>
  </si>
  <si>
    <t>Profit before fixed cost</t>
  </si>
  <si>
    <t>Fixed cost</t>
  </si>
  <si>
    <t>per application</t>
  </si>
  <si>
    <t>of applications submitted</t>
  </si>
  <si>
    <t>Disbursement rate</t>
  </si>
  <si>
    <t>of applications approved</t>
  </si>
  <si>
    <t>per new issued account</t>
  </si>
  <si>
    <t>Early collection of B0</t>
  </si>
  <si>
    <t>per account / month</t>
  </si>
  <si>
    <t>Early collection &gt; B0</t>
  </si>
  <si>
    <t>of B1</t>
  </si>
  <si>
    <t>B4-B12</t>
  </si>
  <si>
    <t>per mVND (&gt;= 90D) / month</t>
  </si>
  <si>
    <t>Other after-sale cost</t>
  </si>
  <si>
    <t>SMS &amp; Email</t>
  </si>
  <si>
    <t>per active card / month</t>
  </si>
  <si>
    <t>SU_Direct HR</t>
  </si>
  <si>
    <t>per existing card / month</t>
  </si>
  <si>
    <t>SU_Indirect HR</t>
  </si>
  <si>
    <t>Bucket</t>
  </si>
  <si>
    <t>B00</t>
  </si>
  <si>
    <t>B01</t>
  </si>
  <si>
    <t>B02</t>
  </si>
  <si>
    <t>B03</t>
  </si>
  <si>
    <t>B04</t>
  </si>
  <si>
    <t>B05</t>
  </si>
  <si>
    <t>B06</t>
  </si>
  <si>
    <t>B07</t>
  </si>
  <si>
    <t>B08</t>
  </si>
  <si>
    <t>B09</t>
  </si>
  <si>
    <t>B10</t>
  </si>
  <si>
    <t>B11</t>
  </si>
  <si>
    <t>B12</t>
  </si>
  <si>
    <t>B13-B24</t>
  </si>
  <si>
    <t>B25-B36</t>
  </si>
  <si>
    <t>B36+</t>
  </si>
  <si>
    <t>risk cost/ ARN</t>
  </si>
  <si>
    <t>risk cost/ spending</t>
  </si>
  <si>
    <t>B24-B36</t>
  </si>
  <si>
    <t>1. Attrition</t>
  </si>
  <si>
    <t>VDS</t>
  </si>
  <si>
    <t>BE</t>
  </si>
  <si>
    <t>VNPAY</t>
  </si>
  <si>
    <t>MWG</t>
  </si>
  <si>
    <t>2. Spending</t>
  </si>
  <si>
    <t>3. Revolving, repayment</t>
  </si>
  <si>
    <t>Revolving</t>
  </si>
  <si>
    <t>Repayment</t>
  </si>
  <si>
    <t>IR</t>
  </si>
  <si>
    <t>4. FEE</t>
  </si>
  <si>
    <t>monthly fee</t>
  </si>
  <si>
    <t>5. UW</t>
  </si>
  <si>
    <t>UW</t>
  </si>
  <si>
    <t>new account</t>
  </si>
  <si>
    <t>Sharing</t>
  </si>
  <si>
    <t>New account</t>
  </si>
  <si>
    <t>BEG</t>
  </si>
  <si>
    <t>Active account</t>
  </si>
  <si>
    <t>Installment spending</t>
  </si>
  <si>
    <t>ENR</t>
  </si>
  <si>
    <t>ENR exclude WO180</t>
  </si>
  <si>
    <t>ENR exclude EMI</t>
  </si>
  <si>
    <t>Revolving exclude WO180</t>
  </si>
  <si>
    <t>Index!A1</t>
  </si>
  <si>
    <t>SAP Model Paylater</t>
  </si>
  <si>
    <t>Spreadsheet</t>
  </si>
  <si>
    <t>Calendar</t>
  </si>
  <si>
    <t>Validation</t>
  </si>
  <si>
    <t>No</t>
  </si>
  <si>
    <t>COF (*)</t>
  </si>
  <si>
    <t>Year</t>
  </si>
  <si>
    <t>Month</t>
  </si>
  <si>
    <t>CARD OPERATION</t>
  </si>
  <si>
    <t>Issued card</t>
  </si>
  <si>
    <t># Card</t>
  </si>
  <si>
    <t>Activate card</t>
  </si>
  <si>
    <t>Attrition rate</t>
  </si>
  <si>
    <t>Spending status</t>
  </si>
  <si>
    <t>Spd per activate card (Port)</t>
  </si>
  <si>
    <t>mVND</t>
  </si>
  <si>
    <t>Card Port</t>
  </si>
  <si>
    <t>Transactor</t>
  </si>
  <si>
    <t>Revolver</t>
  </si>
  <si>
    <t>BS by bucket</t>
  </si>
  <si>
    <t>CORE</t>
  </si>
  <si>
    <t>Core statement</t>
  </si>
  <si>
    <t>Beginning Bal</t>
  </si>
  <si>
    <t>New spending</t>
  </si>
  <si>
    <t>EMI Capitalized</t>
  </si>
  <si>
    <t>Move to EMI</t>
  </si>
  <si>
    <t>Paid off</t>
  </si>
  <si>
    <t>Ending Bal</t>
  </si>
  <si>
    <t>Installment</t>
  </si>
  <si>
    <t>Total EMI</t>
  </si>
  <si>
    <t>New Billing</t>
  </si>
  <si>
    <t>Move to Core statement</t>
  </si>
  <si>
    <t>Loại 1</t>
  </si>
  <si>
    <t>EMI penetration</t>
  </si>
  <si>
    <t>Sửa sau</t>
  </si>
  <si>
    <t>EMI statement</t>
  </si>
  <si>
    <t>EMI Retail 0%</t>
  </si>
  <si>
    <t># EMI</t>
  </si>
  <si>
    <t>#</t>
  </si>
  <si>
    <t>Penetration</t>
  </si>
  <si>
    <t>Total bank</t>
  </si>
  <si>
    <t>Outstanding balance</t>
  </si>
  <si>
    <t>Writeoff balance</t>
  </si>
  <si>
    <t>Outstanding Bal/TB</t>
  </si>
  <si>
    <t>ENR TB</t>
  </si>
  <si>
    <t>ENR GB</t>
  </si>
  <si>
    <t>ENR BB</t>
  </si>
  <si>
    <t>B13</t>
  </si>
  <si>
    <t>B14+</t>
  </si>
  <si>
    <t>of month</t>
  </si>
  <si>
    <t>Statement date</t>
  </si>
  <si>
    <t>date of month</t>
  </si>
  <si>
    <t>ANR TB</t>
  </si>
  <si>
    <t>ANR outstanding (excl WO)</t>
  </si>
  <si>
    <t>ANR/ENR</t>
  </si>
  <si>
    <t>Revolving status</t>
  </si>
  <si>
    <t>Revol Port</t>
  </si>
  <si>
    <t>B0&amp;B1/total balance (inclWO)</t>
  </si>
  <si>
    <t>B0&amp;B1/balance (tỉ lệ  thu phí)</t>
  </si>
  <si>
    <t>B0&amp;B1/balance (tỉ lệ thu lãi)</t>
  </si>
  <si>
    <t>Revolving balance Non EMI</t>
  </si>
  <si>
    <t>ANR Non EMI for CII earning</t>
  </si>
  <si>
    <t>NII</t>
  </si>
  <si>
    <t>CII Non EMI</t>
  </si>
  <si>
    <t>CI Non EMI</t>
  </si>
  <si>
    <t>NFI</t>
  </si>
  <si>
    <t>EMI_Initial fee</t>
  </si>
  <si>
    <t>Per month</t>
  </si>
  <si>
    <t>Retail 0%</t>
  </si>
  <si>
    <t>xxx</t>
  </si>
  <si>
    <t>EMI- Early termination fee</t>
  </si>
  <si>
    <t>OPERATING COST</t>
  </si>
  <si>
    <t>Sales &amp;MKT</t>
  </si>
  <si>
    <t>Sharing adjust</t>
  </si>
  <si>
    <t>Sharing Risk DPD90+</t>
  </si>
  <si>
    <t>Total Sales &amp; MKT</t>
  </si>
  <si>
    <t>Total UW &amp; Disb</t>
  </si>
  <si>
    <t>Expense increase</t>
  </si>
  <si>
    <t>Total Alter-sale services</t>
  </si>
  <si>
    <t>Early collections</t>
  </si>
  <si>
    <t>Total Collection &amp; AMC</t>
  </si>
  <si>
    <t>Overhead</t>
  </si>
  <si>
    <t>Overhead Total</t>
  </si>
  <si>
    <t>Total operating cost</t>
  </si>
  <si>
    <t>IFRS Provision cost</t>
  </si>
  <si>
    <t>B0</t>
  </si>
  <si>
    <t>B1</t>
  </si>
  <si>
    <t>B2</t>
  </si>
  <si>
    <t>B3</t>
  </si>
  <si>
    <t>B4</t>
  </si>
  <si>
    <t>B5</t>
  </si>
  <si>
    <t>B6</t>
  </si>
  <si>
    <t>B7</t>
  </si>
  <si>
    <t>B8</t>
  </si>
  <si>
    <t>B9</t>
  </si>
  <si>
    <t>Accum. provision</t>
  </si>
  <si>
    <t>VAS 360</t>
  </si>
  <si>
    <t>VAS 180</t>
  </si>
  <si>
    <t>B8+</t>
  </si>
  <si>
    <t>PROFIT</t>
  </si>
  <si>
    <t>Profit before supporting cost</t>
  </si>
  <si>
    <t>Net PBT</t>
  </si>
  <si>
    <t>PROFIT &amp; LOSS 60M</t>
  </si>
  <si>
    <t>Code</t>
  </si>
  <si>
    <t>Product</t>
  </si>
  <si>
    <t>Old/new</t>
  </si>
  <si>
    <t>Item</t>
  </si>
  <si>
    <t>I.</t>
  </si>
  <si>
    <t>SALES PLAN</t>
  </si>
  <si>
    <t>Auto loan</t>
  </si>
  <si>
    <t>If you want to estimate the mix price &amp; promotion tenor for your product package, please input here &amp; link to Leadsheet properly in term of pricing</t>
  </si>
  <si>
    <t>Please input your expected disbursement volume with date of lauching out product if you would like to project 60M profit and loss.</t>
  </si>
  <si>
    <t>Business month</t>
  </si>
  <si>
    <t>Don't delete</t>
  </si>
  <si>
    <t>New issued (Card)</t>
  </si>
  <si>
    <t>II.</t>
  </si>
  <si>
    <t>PROFIT &amp; LOSS</t>
  </si>
  <si>
    <t>FISCAL YEAR</t>
  </si>
  <si>
    <t>Total</t>
  </si>
  <si>
    <t>bVND</t>
  </si>
  <si>
    <t>New Issued Paylater</t>
  </si>
  <si>
    <t>Average monthly issued Paylater</t>
  </si>
  <si>
    <t>EOP</t>
  </si>
  <si>
    <t>ADB</t>
  </si>
  <si>
    <t>EMI fee</t>
  </si>
  <si>
    <t>Sharing to partner</t>
  </si>
  <si>
    <t>Marketing acquisition</t>
  </si>
  <si>
    <t>Marketing promotion</t>
  </si>
  <si>
    <t>UW &amp; Disbursal</t>
  </si>
  <si>
    <t>In which: PROFIT BEFORE SUPPORT COST</t>
  </si>
  <si>
    <t>PL PROJECTION</t>
  </si>
  <si>
    <t>60 months</t>
  </si>
  <si>
    <t>Month on board</t>
  </si>
  <si>
    <t>Unit: mVND</t>
  </si>
  <si>
    <t>Sales team &amp; mgt</t>
  </si>
  <si>
    <t>Marketing cost for promotion</t>
  </si>
  <si>
    <t>Other Income</t>
  </si>
  <si>
    <t>Checking</t>
  </si>
  <si>
    <t>EOP BY BUCKET</t>
  </si>
  <si>
    <t>Accumulated Card</t>
  </si>
  <si>
    <t>Activated card</t>
  </si>
  <si>
    <t>Total Usage</t>
  </si>
  <si>
    <t>Term card</t>
  </si>
  <si>
    <t>Iss @attrition</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</si>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</sst>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0.0%"/>
    <numFmt numFmtId="165" formatCode="_-* #,##0.00\ _₫_-;\-* #,##0.00\ _₫_-;_-* &quot;-&quot;??\ _₫_-;_-@_-"/>
    <numFmt numFmtId="166" formatCode="_-* #,##0\ _₫_-;\-* #,##0\ _₫_-;_-* &quot;-&quot;??\ _₫_-;_-@_-"/>
    <numFmt numFmtId="167" formatCode="_-* #,##0.00_-;\-* #,##0.00_-;_-* &quot;-&quot;??_-;_-@_-"/>
    <numFmt numFmtId="168" formatCode="_-* #,##0.0\ _₫_-;\-* #,##0.0\ _₫_-;_-* &quot;-&quot;??\ _₫_-;_-@_-"/>
    <numFmt numFmtId="169" formatCode="_(* #,##0.000_);_(* \(#,##0.000\);_(* &quot;-&quot;???_);_(@_)"/>
    <numFmt numFmtId="170" formatCode="_-* #,##0.0000\ _₫_-;\-* #,##0.0000\ _₫_-;_-* &quot;-&quot;??\ _₫_-;_-@_-"/>
    <numFmt numFmtId="171" formatCode="_-* #,##0.000\ _₫_-;\-* #,##0.000\ _₫_-;_-* &quot;-&quot;??\ _₫_-;_-@_-"/>
    <numFmt numFmtId="172" formatCode="_(* #,##0.000_);_(* \(#,##0.000\);_(* &quot;-&quot;??_);_(@_)"/>
    <numFmt numFmtId="173" formatCode="_-* #,##0.00000\ _₫_-;\-* #,##0.00000\ _₫_-;_-* &quot;-&quot;??\ _₫_-;_-@_-"/>
    <numFmt numFmtId="174" formatCode="_(* #,##0_);_(* \(#,##0\);_(* &quot;-&quot;??_);_(@_)"/>
    <numFmt numFmtId="175" formatCode="0.000%"/>
    <numFmt numFmtId="176" formatCode="_(* #,##0.0_);_(* \(#,##0.0\);_(* &quot;-&quot;??_);_(@_)"/>
    <numFmt numFmtId="177" formatCode="_(* #,##0.00000_);_(* \(#,##0.00000\);_(* &quot;-&quot;??_);_(@_)"/>
    <numFmt numFmtId="178" formatCode="[$-409]mmm\-yy;@"/>
    <numFmt numFmtId="179" formatCode="[$-409]dd\-mmm\-yy;@"/>
  </numFmts>
  <fonts count="93" x14ac:knownFonts="1">
    <font>
      <sz val="12"/>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5"/>
      <color theme="3"/>
      <name val="Aptos Narrow"/>
      <family val="2"/>
      <charset val="163"/>
      <scheme val="minor"/>
    </font>
    <font>
      <b/>
      <sz val="12"/>
      <color theme="1" tint="0.499984740745262"/>
      <name val="Arial"/>
      <family val="2"/>
    </font>
    <font>
      <i/>
      <sz val="11"/>
      <color rgb="FFFF0000"/>
      <name val="Arial"/>
      <family val="2"/>
    </font>
    <font>
      <sz val="11"/>
      <color theme="4" tint="-0.499984740745262"/>
      <name val="Arial"/>
      <family val="2"/>
    </font>
    <font>
      <b/>
      <sz val="11"/>
      <color theme="4" tint="-0.499984740745262"/>
      <name val="Arial"/>
      <family val="2"/>
    </font>
    <font>
      <sz val="10"/>
      <name val="Arial"/>
      <family val="2"/>
    </font>
    <font>
      <b/>
      <sz val="10"/>
      <color theme="1"/>
      <name val="Arial"/>
      <family val="2"/>
    </font>
    <font>
      <sz val="11"/>
      <name val="Arial"/>
      <family val="2"/>
    </font>
    <font>
      <sz val="11"/>
      <color theme="0" tint="-0.249977111117893"/>
      <name val="Arial"/>
      <family val="2"/>
    </font>
    <font>
      <sz val="10"/>
      <color theme="1"/>
      <name val="Arial"/>
      <family val="2"/>
    </font>
    <font>
      <i/>
      <sz val="10"/>
      <name val="arial"/>
      <family val="2"/>
    </font>
    <font>
      <i/>
      <sz val="11"/>
      <color theme="4" tint="-0.499984740745262"/>
      <name val="Arial"/>
      <family val="2"/>
    </font>
    <font>
      <sz val="10"/>
      <color theme="0" tint="-0.249977111117893"/>
      <name val="arial"/>
      <family val="2"/>
    </font>
    <font>
      <b/>
      <sz val="10"/>
      <color theme="3"/>
      <name val="Arial"/>
      <family val="2"/>
    </font>
    <font>
      <b/>
      <sz val="10"/>
      <color theme="4" tint="-0.499984740745262"/>
      <name val="Arial"/>
      <family val="2"/>
    </font>
    <font>
      <u/>
      <sz val="10"/>
      <color indexed="12"/>
      <name val="Verdana"/>
      <family val="2"/>
    </font>
    <font>
      <u/>
      <sz val="10"/>
      <color theme="1"/>
      <name val="Verdana"/>
      <family val="2"/>
    </font>
    <font>
      <b/>
      <sz val="14"/>
      <color theme="1" tint="0.499984740745262"/>
      <name val="Arial"/>
      <family val="2"/>
    </font>
    <font>
      <sz val="14"/>
      <color theme="1"/>
      <name val="Arial"/>
      <family val="2"/>
    </font>
    <font>
      <sz val="10"/>
      <color rgb="FFFF0000"/>
      <name val="Arial"/>
      <family val="2"/>
    </font>
    <font>
      <sz val="10"/>
      <color theme="0"/>
      <name val="Arial"/>
      <family val="2"/>
    </font>
    <font>
      <b/>
      <sz val="10"/>
      <color theme="0"/>
      <name val="Arial"/>
      <family val="2"/>
    </font>
    <font>
      <b/>
      <i/>
      <sz val="9"/>
      <color theme="3" tint="0.249977111117893"/>
      <name val="Arial"/>
      <family val="2"/>
    </font>
    <font>
      <b/>
      <sz val="10"/>
      <color rgb="FFFF0000"/>
      <name val="Arial"/>
      <family val="2"/>
    </font>
    <font>
      <i/>
      <sz val="8"/>
      <color theme="1"/>
      <name val="Arial"/>
      <family val="2"/>
    </font>
    <font>
      <b/>
      <i/>
      <sz val="8"/>
      <color theme="3" tint="0.249977111117893"/>
      <name val="Arial"/>
      <family val="2"/>
    </font>
    <font>
      <i/>
      <sz val="10"/>
      <color theme="1"/>
      <name val="Arial"/>
      <family val="2"/>
    </font>
    <font>
      <i/>
      <sz val="8"/>
      <color rgb="FFFF0000"/>
      <name val="Arial"/>
      <family val="2"/>
    </font>
    <font>
      <i/>
      <sz val="8"/>
      <color theme="0"/>
      <name val="Arial"/>
      <family val="2"/>
    </font>
    <font>
      <b/>
      <sz val="10"/>
      <color rgb="FFFFC000"/>
      <name val="Arial"/>
      <family val="2"/>
    </font>
    <font>
      <sz val="12"/>
      <color theme="1"/>
      <name val="Arial"/>
      <family val="2"/>
    </font>
    <font>
      <b/>
      <sz val="10"/>
      <color theme="1" tint="0.34998626667073579"/>
      <name val="Arial"/>
      <family val="2"/>
    </font>
    <font>
      <i/>
      <sz val="10"/>
      <color rgb="FFFF0000"/>
      <name val="Arial"/>
      <family val="2"/>
    </font>
    <font>
      <sz val="10"/>
      <color theme="2"/>
      <name val="arial"/>
      <family val="2"/>
    </font>
    <font>
      <b/>
      <sz val="10"/>
      <color theme="2"/>
      <name val="arial"/>
      <family val="2"/>
    </font>
    <font>
      <sz val="10"/>
      <color theme="1" tint="0.499984740745262"/>
      <name val="Arial"/>
      <family val="2"/>
    </font>
    <font>
      <sz val="12"/>
      <color theme="1" tint="0.499984740745262"/>
      <name val="Arial"/>
      <family val="2"/>
    </font>
    <font>
      <b/>
      <sz val="10"/>
      <color theme="1"/>
      <name val="Arial"/>
      <family val="2"/>
      <charset val="163"/>
    </font>
    <font>
      <b/>
      <sz val="10"/>
      <name val="Arial"/>
      <family val="2"/>
    </font>
    <font>
      <i/>
      <sz val="11"/>
      <color rgb="FF7F7F7F"/>
      <name val="Aptos Narrow"/>
      <family val="2"/>
      <charset val="163"/>
      <scheme val="minor"/>
    </font>
    <font>
      <i/>
      <sz val="10"/>
      <color rgb="FF7F7F7F"/>
      <name val="Arial"/>
      <family val="2"/>
    </font>
    <font>
      <i/>
      <sz val="10"/>
      <color theme="2" tint="-0.499984740745262"/>
      <name val="Arial"/>
      <family val="2"/>
    </font>
    <font>
      <i/>
      <sz val="10"/>
      <color theme="0" tint="-0.249977111117893"/>
      <name val="arial"/>
      <family val="2"/>
    </font>
    <font>
      <i/>
      <sz val="10"/>
      <color theme="0" tint="-0.34998626667073579"/>
      <name val="Arial"/>
      <family val="2"/>
    </font>
    <font>
      <sz val="10"/>
      <color theme="0"/>
      <name val="Arial"/>
      <family val="2"/>
      <charset val="163"/>
    </font>
    <font>
      <sz val="10"/>
      <color theme="0" tint="-0.499984740745262"/>
      <name val="Arial"/>
      <family val="2"/>
    </font>
    <font>
      <b/>
      <sz val="10"/>
      <color theme="0" tint="-0.249977111117893"/>
      <name val="arial"/>
      <family val="2"/>
    </font>
    <font>
      <i/>
      <sz val="9"/>
      <color rgb="FF7F7F7F"/>
      <name val="Arial"/>
      <family val="2"/>
    </font>
    <font>
      <sz val="10"/>
      <color theme="0" tint="-0.34998626667073579"/>
      <name val="Arial"/>
      <family val="2"/>
    </font>
    <font>
      <sz val="11"/>
      <color rgb="FF3F3F76"/>
      <name val="Aptos Narrow"/>
      <family val="2"/>
      <charset val="163"/>
      <scheme val="minor"/>
    </font>
    <font>
      <b/>
      <sz val="9"/>
      <color indexed="81"/>
      <name val="Tahoma"/>
      <family val="2"/>
    </font>
    <font>
      <sz val="9"/>
      <color indexed="81"/>
      <name val="Tahoma"/>
      <family val="2"/>
    </font>
    <font>
      <b/>
      <sz val="11"/>
      <color theme="1"/>
      <name val="Aptos Narrow"/>
      <family val="2"/>
      <scheme val="minor"/>
    </font>
    <font>
      <b/>
      <sz val="11"/>
      <color theme="0"/>
      <name val="Aptos Narrow"/>
      <family val="2"/>
      <scheme val="minor"/>
    </font>
    <font>
      <sz val="11"/>
      <color rgb="FF00B050"/>
      <name val="Aptos Narrow"/>
      <family val="2"/>
      <scheme val="minor"/>
    </font>
    <font>
      <b/>
      <sz val="11"/>
      <color theme="1"/>
      <name val="Aptos Narrow"/>
      <family val="2"/>
      <charset val="163"/>
      <scheme val="minor"/>
    </font>
    <font>
      <u/>
      <sz val="10"/>
      <color theme="0"/>
      <name val="Verdana"/>
      <family val="2"/>
    </font>
    <font>
      <b/>
      <sz val="14"/>
      <color theme="1"/>
      <name val="Arial"/>
      <family val="2"/>
    </font>
    <font>
      <b/>
      <sz val="12"/>
      <color theme="1"/>
      <name val="Arial"/>
      <family val="2"/>
    </font>
    <font>
      <sz val="8"/>
      <color theme="1"/>
      <name val="Arial"/>
      <family val="2"/>
    </font>
    <font>
      <b/>
      <sz val="8"/>
      <color theme="1"/>
      <name val="Arial"/>
      <family val="2"/>
    </font>
    <font>
      <i/>
      <sz val="8"/>
      <color theme="0" tint="-0.499984740745262"/>
      <name val="Arial"/>
      <family val="2"/>
    </font>
    <font>
      <b/>
      <sz val="8"/>
      <color theme="1" tint="0.34998626667073579"/>
      <name val="Arial"/>
      <family val="2"/>
    </font>
    <font>
      <sz val="8"/>
      <color theme="0" tint="-0.249977111117893"/>
      <name val="Arial"/>
      <family val="2"/>
    </font>
    <font>
      <b/>
      <sz val="8"/>
      <color theme="0" tint="-0.249977111117893"/>
      <name val="Arial"/>
      <family val="2"/>
    </font>
    <font>
      <sz val="10"/>
      <color rgb="FF000000"/>
      <name val="Times New Roman"/>
      <family val="1"/>
    </font>
    <font>
      <sz val="8"/>
      <color theme="1"/>
      <name val="Aptos Narrow"/>
      <family val="2"/>
      <scheme val="minor"/>
    </font>
    <font>
      <sz val="8"/>
      <color theme="1" tint="0.34998626667073579"/>
      <name val="Arial"/>
      <family val="2"/>
    </font>
    <font>
      <b/>
      <sz val="10"/>
      <color theme="1"/>
      <name val="Aptos Narrow"/>
      <family val="2"/>
      <scheme val="minor"/>
    </font>
    <font>
      <b/>
      <sz val="8"/>
      <color theme="1"/>
      <name val="Aptos Narrow"/>
      <family val="2"/>
      <scheme val="minor"/>
    </font>
    <font>
      <sz val="10"/>
      <color theme="1"/>
      <name val="Aptos Narrow"/>
      <family val="2"/>
      <scheme val="minor"/>
    </font>
    <font>
      <b/>
      <sz val="10"/>
      <name val="Aptos Narrow"/>
      <family val="2"/>
      <scheme val="minor"/>
    </font>
    <font>
      <b/>
      <sz val="8"/>
      <color rgb="FFFF0000"/>
      <name val="Aptos Narrow"/>
      <family val="2"/>
      <scheme val="minor"/>
    </font>
    <font>
      <sz val="8"/>
      <color rgb="FFFF0000"/>
      <name val="Aptos Narrow"/>
      <family val="2"/>
      <scheme val="minor"/>
    </font>
    <font>
      <sz val="10"/>
      <color theme="1"/>
      <name val="Aptos Narrow"/>
      <family val="2"/>
      <charset val="163"/>
      <scheme val="minor"/>
    </font>
    <font>
      <sz val="8"/>
      <color theme="1"/>
      <name val="Aptos Narrow"/>
      <family val="2"/>
      <charset val="163"/>
      <scheme val="minor"/>
    </font>
    <font>
      <b/>
      <sz val="8"/>
      <color theme="0"/>
      <name val="Aptos Narrow"/>
      <family val="2"/>
      <scheme val="minor"/>
    </font>
    <font>
      <sz val="8"/>
      <color theme="0"/>
      <name val="Aptos Narrow"/>
      <family val="2"/>
      <scheme val="minor"/>
    </font>
    <font>
      <b/>
      <sz val="8"/>
      <name val="Aptos Narrow"/>
      <family val="2"/>
      <scheme val="minor"/>
    </font>
    <font>
      <sz val="8"/>
      <name val="Aptos Narrow"/>
      <family val="2"/>
      <scheme val="minor"/>
    </font>
    <font>
      <sz val="8"/>
      <color theme="0" tint="-0.34998626667073579"/>
      <name val="Aptos Narrow"/>
      <family val="2"/>
      <scheme val="minor"/>
    </font>
    <font>
      <sz val="8"/>
      <color theme="0" tint="-0.249977111117893"/>
      <name val="Aptos Narrow"/>
      <family val="2"/>
      <scheme val="minor"/>
    </font>
  </fonts>
  <fills count="1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5" tint="0.59999389629810485"/>
        <bgColor indexed="64"/>
      </patternFill>
    </fill>
    <fill>
      <patternFill patternType="solid">
        <fgColor rgb="FFFFC000"/>
        <bgColor indexed="64"/>
      </patternFill>
    </fill>
    <fill>
      <patternFill patternType="solid">
        <fgColor theme="2" tint="-0.249977111117893"/>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1" tint="0.34998626667073579"/>
        <bgColor indexed="64"/>
      </patternFill>
    </fill>
  </fills>
  <borders count="13">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FFC000"/>
      </bottom>
      <diagonal/>
    </border>
    <border>
      <left/>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bottom style="thin">
        <color theme="4" tint="0.39997558519241921"/>
      </bottom>
      <diagonal/>
    </border>
    <border>
      <left/>
      <right/>
      <top/>
      <bottom style="medium">
        <color theme="0" tint="-0.499984740745262"/>
      </bottom>
      <diagonal/>
    </border>
    <border>
      <left/>
      <right/>
      <top/>
      <bottom style="medium">
        <color rgb="FF00B050"/>
      </bottom>
      <diagonal/>
    </border>
    <border>
      <left/>
      <right/>
      <top/>
      <bottom style="thin">
        <color theme="0" tint="-0.499984740745262"/>
      </bottom>
      <diagonal/>
    </border>
    <border>
      <left style="thin">
        <color rgb="FF808080"/>
      </left>
      <right style="thin">
        <color rgb="FF808080"/>
      </right>
      <top/>
      <bottom/>
      <diagonal/>
    </border>
    <border>
      <left/>
      <right/>
      <top/>
      <bottom style="thin">
        <color indexed="64"/>
      </bottom>
      <diagonal/>
    </border>
  </borders>
  <cellStyleXfs count="12">
    <xf numFmtId="0" fontId="0" fillId="0" borderId="0"/>
    <xf numFmtId="0" fontId="1" fillId="0" borderId="0"/>
    <xf numFmtId="0" fontId="8" fillId="0" borderId="0"/>
    <xf numFmtId="0" fontId="11" fillId="0" borderId="1" applyNumberFormat="0" applyFill="0" applyAlignment="0" applyProtection="0"/>
    <xf numFmtId="9" fontId="1" fillId="0" borderId="0" applyFont="0" applyFill="0" applyBorder="0" applyAlignment="0" applyProtection="0"/>
    <xf numFmtId="0" fontId="26" fillId="0" borderId="0" applyNumberFormat="0" applyFill="0" applyBorder="0" applyAlignment="0" applyProtection="0">
      <alignment vertical="top"/>
      <protection locked="0"/>
    </xf>
    <xf numFmtId="165" fontId="1" fillId="0" borderId="0" applyFont="0" applyFill="0" applyBorder="0" applyAlignment="0" applyProtection="0"/>
    <xf numFmtId="167" fontId="8" fillId="0" borderId="0" applyFont="0" applyFill="0" applyBorder="0" applyAlignment="0" applyProtection="0"/>
    <xf numFmtId="0" fontId="50" fillId="0" borderId="0" applyNumberFormat="0" applyFill="0" applyBorder="0" applyAlignment="0" applyProtection="0"/>
    <xf numFmtId="0" fontId="60" fillId="2" borderId="2" applyNumberFormat="0" applyAlignment="0" applyProtection="0"/>
    <xf numFmtId="0" fontId="8" fillId="0" borderId="0"/>
    <xf numFmtId="43" fontId="8" fillId="0" borderId="0" applyFont="0" applyFill="0" applyBorder="0" applyAlignment="0" applyProtection="0"/>
  </cellStyleXfs>
  <cellXfs count="397">
    <xf numFmtId="0" fontId="0" fillId="0" borderId="0" xfId="0"/>
    <xf numFmtId="0" fontId="2" fillId="0" borderId="0" xfId="1" applyFont="1"/>
    <xf numFmtId="0" fontId="3" fillId="0" borderId="0" xfId="1" applyFont="1"/>
    <xf numFmtId="0" fontId="4" fillId="0" borderId="0" xfId="1" applyFont="1"/>
    <xf numFmtId="0" fontId="5" fillId="0" borderId="0" xfId="1" applyFont="1" applyAlignment="1">
      <alignment vertical="center"/>
    </xf>
    <xf numFmtId="0" fontId="6" fillId="0" borderId="0" xfId="1" applyFont="1"/>
    <xf numFmtId="0" fontId="7" fillId="0" borderId="0" xfId="1" applyFont="1" applyAlignment="1">
      <alignment vertical="center"/>
    </xf>
    <xf numFmtId="0" fontId="3" fillId="0" borderId="0" xfId="2" quotePrefix="1" applyFont="1" applyAlignment="1">
      <alignment vertical="center"/>
    </xf>
    <xf numFmtId="0" fontId="3" fillId="0" borderId="0" xfId="2" applyFont="1"/>
    <xf numFmtId="0" fontId="10" fillId="0" borderId="0" xfId="1" applyFont="1"/>
    <xf numFmtId="0" fontId="10" fillId="0" borderId="0" xfId="2" quotePrefix="1" applyFont="1" applyAlignment="1">
      <alignment vertical="center"/>
    </xf>
    <xf numFmtId="0" fontId="3" fillId="3" borderId="0" xfId="2" quotePrefix="1" applyFont="1" applyFill="1" applyAlignment="1">
      <alignment vertical="center"/>
    </xf>
    <xf numFmtId="0" fontId="3" fillId="3" borderId="0" xfId="1" applyFont="1" applyFill="1"/>
    <xf numFmtId="0" fontId="3" fillId="0" borderId="0" xfId="2" quotePrefix="1" applyFont="1"/>
    <xf numFmtId="0" fontId="3" fillId="0" borderId="0" xfId="1" quotePrefix="1" applyFont="1"/>
    <xf numFmtId="0" fontId="3" fillId="0" borderId="0" xfId="2" applyFont="1" applyAlignment="1">
      <alignment vertical="center"/>
    </xf>
    <xf numFmtId="0" fontId="12" fillId="0" borderId="3" xfId="3" applyFont="1" applyBorder="1"/>
    <xf numFmtId="0" fontId="13" fillId="0" borderId="0" xfId="1" applyFont="1"/>
    <xf numFmtId="0" fontId="3" fillId="0" borderId="0" xfId="1" applyFont="1" applyAlignment="1">
      <alignment wrapText="1"/>
    </xf>
    <xf numFmtId="0" fontId="14" fillId="0" borderId="0" xfId="2" applyFont="1"/>
    <xf numFmtId="0" fontId="14" fillId="0" borderId="0" xfId="1" applyFont="1"/>
    <xf numFmtId="0" fontId="15" fillId="0" borderId="0" xfId="1" applyFont="1"/>
    <xf numFmtId="0" fontId="16" fillId="4" borderId="0" xfId="1" applyFont="1" applyFill="1"/>
    <xf numFmtId="0" fontId="17" fillId="0" borderId="0" xfId="1" applyFont="1"/>
    <xf numFmtId="10" fontId="18" fillId="0" borderId="0" xfId="4" applyNumberFormat="1" applyFont="1"/>
    <xf numFmtId="0" fontId="19" fillId="0" borderId="0" xfId="1" applyFont="1"/>
    <xf numFmtId="0" fontId="20" fillId="0" borderId="0" xfId="1" applyFont="1"/>
    <xf numFmtId="0" fontId="16" fillId="0" borderId="0" xfId="1" quotePrefix="1" applyFont="1" applyAlignment="1">
      <alignment horizontal="left"/>
    </xf>
    <xf numFmtId="0" fontId="20" fillId="0" borderId="0" xfId="1" applyFont="1" applyAlignment="1">
      <alignment horizontal="left"/>
    </xf>
    <xf numFmtId="0" fontId="21" fillId="0" borderId="0" xfId="1" applyFont="1" applyAlignment="1">
      <alignment horizontal="left" indent="3"/>
    </xf>
    <xf numFmtId="0" fontId="22" fillId="0" borderId="0" xfId="1" applyFont="1" applyAlignment="1">
      <alignment horizontal="left" indent="2"/>
    </xf>
    <xf numFmtId="0" fontId="16" fillId="0" borderId="0" xfId="1" applyFont="1"/>
    <xf numFmtId="0" fontId="23" fillId="0" borderId="0" xfId="1" applyFont="1"/>
    <xf numFmtId="0" fontId="24" fillId="0" borderId="3" xfId="3" applyFont="1" applyBorder="1"/>
    <xf numFmtId="0" fontId="25" fillId="0" borderId="3" xfId="3" applyFont="1" applyBorder="1"/>
    <xf numFmtId="0" fontId="17" fillId="0" borderId="0" xfId="1" applyFont="1" applyAlignment="1">
      <alignment horizontal="left"/>
    </xf>
    <xf numFmtId="0" fontId="27" fillId="4" borderId="0" xfId="5" applyFont="1" applyFill="1" applyAlignment="1" applyProtection="1">
      <alignment horizontal="left"/>
    </xf>
    <xf numFmtId="0" fontId="28" fillId="0" borderId="0" xfId="1" applyFont="1"/>
    <xf numFmtId="0" fontId="29" fillId="0" borderId="0" xfId="1" applyFont="1"/>
    <xf numFmtId="10" fontId="20" fillId="0" borderId="0" xfId="4" applyNumberFormat="1" applyFont="1"/>
    <xf numFmtId="0" fontId="30" fillId="0" borderId="0" xfId="1" applyFont="1"/>
    <xf numFmtId="164" fontId="31" fillId="0" borderId="0" xfId="4" applyNumberFormat="1" applyFont="1" applyBorder="1"/>
    <xf numFmtId="0" fontId="31" fillId="0" borderId="0" xfId="1" applyFont="1"/>
    <xf numFmtId="0" fontId="32" fillId="0" borderId="0" xfId="1" applyFont="1" applyAlignment="1">
      <alignment horizontal="right"/>
    </xf>
    <xf numFmtId="0" fontId="20" fillId="4" borderId="0" xfId="1" applyFont="1" applyFill="1" applyAlignment="1">
      <alignment horizontal="left"/>
    </xf>
    <xf numFmtId="0" fontId="12" fillId="0" borderId="0" xfId="1" applyFont="1"/>
    <xf numFmtId="0" fontId="33" fillId="0" borderId="0" xfId="1" applyFont="1"/>
    <xf numFmtId="0" fontId="34" fillId="0" borderId="0" xfId="1" applyFont="1"/>
    <xf numFmtId="0" fontId="34" fillId="0" borderId="0" xfId="1" applyFont="1" applyAlignment="1">
      <alignment horizontal="left"/>
    </xf>
    <xf numFmtId="164" fontId="32" fillId="0" borderId="0" xfId="4" applyNumberFormat="1" applyFont="1" applyBorder="1" applyAlignment="1">
      <alignment horizontal="left"/>
    </xf>
    <xf numFmtId="0" fontId="32" fillId="0" borderId="0" xfId="1" applyFont="1" applyAlignment="1">
      <alignment horizontal="left"/>
    </xf>
    <xf numFmtId="0" fontId="35" fillId="4" borderId="0" xfId="1" applyFont="1" applyFill="1" applyAlignment="1">
      <alignment horizontal="left"/>
    </xf>
    <xf numFmtId="0" fontId="36" fillId="0" borderId="0" xfId="1" applyFont="1"/>
    <xf numFmtId="0" fontId="35" fillId="0" borderId="0" xfId="1" applyFont="1"/>
    <xf numFmtId="10" fontId="35" fillId="0" borderId="0" xfId="4" applyNumberFormat="1" applyFont="1"/>
    <xf numFmtId="0" fontId="37" fillId="0" borderId="0" xfId="1" quotePrefix="1" applyFont="1"/>
    <xf numFmtId="166" fontId="35" fillId="0" borderId="0" xfId="6" applyNumberFormat="1" applyFont="1"/>
    <xf numFmtId="0" fontId="38" fillId="0" borderId="0" xfId="1" applyFont="1"/>
    <xf numFmtId="164" fontId="39" fillId="0" borderId="0" xfId="4" applyNumberFormat="1" applyFont="1" applyBorder="1"/>
    <xf numFmtId="0" fontId="39" fillId="0" borderId="0" xfId="1" applyFont="1"/>
    <xf numFmtId="39" fontId="39" fillId="0" borderId="0" xfId="7" applyNumberFormat="1" applyFont="1" applyFill="1" applyBorder="1"/>
    <xf numFmtId="166" fontId="20" fillId="0" borderId="0" xfId="6" applyNumberFormat="1" applyFont="1"/>
    <xf numFmtId="0" fontId="30" fillId="0" borderId="0" xfId="1" applyFont="1" applyAlignment="1">
      <alignment horizontal="left"/>
    </xf>
    <xf numFmtId="164" fontId="31" fillId="0" borderId="0" xfId="4" applyNumberFormat="1" applyFont="1" applyBorder="1" applyAlignment="1">
      <alignment horizontal="left"/>
    </xf>
    <xf numFmtId="0" fontId="31" fillId="0" borderId="0" xfId="1" applyFont="1" applyAlignment="1">
      <alignment horizontal="left"/>
    </xf>
    <xf numFmtId="39" fontId="31" fillId="0" borderId="0" xfId="7" applyNumberFormat="1" applyFont="1" applyFill="1" applyBorder="1"/>
    <xf numFmtId="0" fontId="40" fillId="0" borderId="0" xfId="1" applyFont="1"/>
    <xf numFmtId="0" fontId="41" fillId="0" borderId="0" xfId="1" applyFont="1"/>
    <xf numFmtId="166" fontId="20" fillId="0" borderId="0" xfId="1" applyNumberFormat="1" applyFont="1"/>
    <xf numFmtId="0" fontId="30" fillId="0" borderId="0" xfId="1" applyFont="1" applyAlignment="1">
      <alignment horizontal="left" indent="2"/>
    </xf>
    <xf numFmtId="164" fontId="31" fillId="0" borderId="0" xfId="4" applyNumberFormat="1" applyFont="1" applyBorder="1" applyAlignment="1">
      <alignment horizontal="left" indent="2"/>
    </xf>
    <xf numFmtId="0" fontId="31" fillId="0" borderId="0" xfId="1" applyFont="1" applyAlignment="1">
      <alignment horizontal="left" indent="2"/>
    </xf>
    <xf numFmtId="0" fontId="42" fillId="0" borderId="4" xfId="1" applyFont="1" applyBorder="1" applyAlignment="1">
      <alignment horizontal="left"/>
    </xf>
    <xf numFmtId="0" fontId="42" fillId="0" borderId="4" xfId="1" applyFont="1" applyBorder="1" applyAlignment="1">
      <alignment horizontal="right"/>
    </xf>
    <xf numFmtId="0" fontId="43" fillId="0" borderId="0" xfId="1" applyFont="1"/>
    <xf numFmtId="9" fontId="20" fillId="0" borderId="0" xfId="4" applyFont="1"/>
    <xf numFmtId="168" fontId="20" fillId="0" borderId="0" xfId="6" applyNumberFormat="1" applyFont="1"/>
    <xf numFmtId="10" fontId="16" fillId="0" borderId="0" xfId="1" applyNumberFormat="1" applyFont="1"/>
    <xf numFmtId="14" fontId="16" fillId="0" borderId="0" xfId="1" quotePrefix="1" applyNumberFormat="1" applyFont="1"/>
    <xf numFmtId="39" fontId="31" fillId="0" borderId="0" xfId="7" applyNumberFormat="1" applyFont="1" applyBorder="1"/>
    <xf numFmtId="43" fontId="20" fillId="0" borderId="0" xfId="1" applyNumberFormat="1" applyFont="1"/>
    <xf numFmtId="165" fontId="20" fillId="0" borderId="0" xfId="6" applyFont="1"/>
    <xf numFmtId="0" fontId="44" fillId="4" borderId="0" xfId="1" applyFont="1" applyFill="1" applyAlignment="1">
      <alignment horizontal="left"/>
    </xf>
    <xf numFmtId="0" fontId="44" fillId="0" borderId="0" xfId="1" applyFont="1"/>
    <xf numFmtId="10" fontId="44" fillId="0" borderId="0" xfId="1" applyNumberFormat="1" applyFont="1"/>
    <xf numFmtId="10" fontId="44" fillId="0" borderId="0" xfId="4" applyNumberFormat="1" applyFont="1"/>
    <xf numFmtId="166" fontId="44" fillId="0" borderId="0" xfId="6" applyNumberFormat="1" applyFont="1"/>
    <xf numFmtId="0" fontId="45" fillId="0" borderId="0" xfId="3" applyFont="1" applyBorder="1"/>
    <xf numFmtId="0" fontId="44" fillId="0" borderId="0" xfId="1" applyFont="1" applyAlignment="1">
      <alignment horizontal="left" indent="2"/>
    </xf>
    <xf numFmtId="164" fontId="44" fillId="0" borderId="0" xfId="4" applyNumberFormat="1" applyFont="1" applyBorder="1" applyAlignment="1">
      <alignment horizontal="left" indent="2"/>
    </xf>
    <xf numFmtId="39" fontId="44" fillId="0" borderId="0" xfId="7" applyNumberFormat="1" applyFont="1" applyFill="1" applyBorder="1"/>
    <xf numFmtId="0" fontId="12" fillId="0" borderId="3" xfId="3" applyFont="1" applyBorder="1" applyAlignment="1">
      <alignment horizontal="center"/>
    </xf>
    <xf numFmtId="0" fontId="46" fillId="0" borderId="3" xfId="3" applyFont="1" applyBorder="1" applyAlignment="1">
      <alignment horizontal="right"/>
    </xf>
    <xf numFmtId="10" fontId="47" fillId="0" borderId="0" xfId="4" applyNumberFormat="1" applyFont="1"/>
    <xf numFmtId="0" fontId="47" fillId="0" borderId="0" xfId="1" applyFont="1"/>
    <xf numFmtId="10" fontId="24" fillId="0" borderId="3" xfId="4" applyNumberFormat="1" applyFont="1" applyBorder="1"/>
    <xf numFmtId="166" fontId="24" fillId="0" borderId="3" xfId="6" applyNumberFormat="1" applyFont="1" applyBorder="1"/>
    <xf numFmtId="0" fontId="20" fillId="0" borderId="3" xfId="3" applyFont="1" applyBorder="1" applyAlignment="1">
      <alignment horizontal="right"/>
    </xf>
    <xf numFmtId="165" fontId="30" fillId="0" borderId="0" xfId="6" applyFont="1"/>
    <xf numFmtId="164" fontId="31" fillId="0" borderId="0" xfId="4" applyNumberFormat="1" applyFont="1"/>
    <xf numFmtId="165" fontId="31" fillId="0" borderId="0" xfId="6" applyFont="1"/>
    <xf numFmtId="9" fontId="30" fillId="0" borderId="0" xfId="1" applyNumberFormat="1" applyFont="1"/>
    <xf numFmtId="0" fontId="48" fillId="0" borderId="0" xfId="1" applyFont="1" applyAlignment="1">
      <alignment horizontal="center"/>
    </xf>
    <xf numFmtId="0" fontId="17" fillId="0" borderId="0" xfId="1" applyFont="1" applyAlignment="1">
      <alignment horizontal="center"/>
    </xf>
    <xf numFmtId="0" fontId="17" fillId="0" borderId="0" xfId="1" applyFont="1" applyAlignment="1">
      <alignment horizontal="right"/>
    </xf>
    <xf numFmtId="0" fontId="34" fillId="0" borderId="0" xfId="1" applyFont="1" applyAlignment="1">
      <alignment horizontal="center"/>
    </xf>
    <xf numFmtId="164" fontId="32" fillId="0" borderId="0" xfId="4" applyNumberFormat="1" applyFont="1" applyAlignment="1">
      <alignment horizontal="center"/>
    </xf>
    <xf numFmtId="0" fontId="32" fillId="0" borderId="0" xfId="1" applyFont="1" applyAlignment="1">
      <alignment horizontal="center"/>
    </xf>
    <xf numFmtId="10" fontId="30" fillId="0" borderId="0" xfId="4" applyNumberFormat="1" applyFont="1"/>
    <xf numFmtId="43" fontId="49" fillId="5" borderId="5" xfId="6" applyNumberFormat="1" applyFont="1" applyFill="1" applyBorder="1"/>
    <xf numFmtId="10" fontId="30" fillId="0" borderId="0" xfId="1" applyNumberFormat="1" applyFont="1"/>
    <xf numFmtId="10" fontId="31" fillId="0" borderId="0" xfId="1" applyNumberFormat="1" applyFont="1"/>
    <xf numFmtId="164" fontId="20" fillId="3" borderId="5" xfId="1" applyNumberFormat="1" applyFont="1" applyFill="1" applyBorder="1"/>
    <xf numFmtId="0" fontId="51" fillId="0" borderId="0" xfId="8" applyFont="1"/>
    <xf numFmtId="165" fontId="16" fillId="0" borderId="0" xfId="6" applyFont="1"/>
    <xf numFmtId="43" fontId="16" fillId="5" borderId="5" xfId="6" applyNumberFormat="1" applyFont="1" applyFill="1" applyBorder="1"/>
    <xf numFmtId="10" fontId="17" fillId="5" borderId="5" xfId="6" applyNumberFormat="1" applyFont="1" applyFill="1" applyBorder="1"/>
    <xf numFmtId="0" fontId="43" fillId="0" borderId="0" xfId="1" applyFont="1" applyAlignment="1">
      <alignment wrapText="1"/>
    </xf>
    <xf numFmtId="165" fontId="34" fillId="0" borderId="0" xfId="6" applyFont="1" applyFill="1" applyBorder="1"/>
    <xf numFmtId="164" fontId="32" fillId="0" borderId="0" xfId="4" applyNumberFormat="1" applyFont="1" applyFill="1" applyBorder="1"/>
    <xf numFmtId="165" fontId="32" fillId="0" borderId="0" xfId="6" applyFont="1" applyFill="1" applyBorder="1"/>
    <xf numFmtId="10" fontId="20" fillId="0" borderId="0" xfId="6" applyNumberFormat="1" applyFont="1" applyFill="1" applyBorder="1"/>
    <xf numFmtId="0" fontId="17" fillId="0" borderId="0" xfId="1" applyFont="1" applyAlignment="1">
      <alignment horizontal="left" indent="2"/>
    </xf>
    <xf numFmtId="10" fontId="30" fillId="0" borderId="0" xfId="4" applyNumberFormat="1" applyFont="1" applyFill="1" applyBorder="1"/>
    <xf numFmtId="164" fontId="30" fillId="0" borderId="0" xfId="4" applyNumberFormat="1" applyFont="1"/>
    <xf numFmtId="0" fontId="20" fillId="0" borderId="0" xfId="1" applyFont="1" applyAlignment="1">
      <alignment horizontal="left" indent="4"/>
    </xf>
    <xf numFmtId="10" fontId="20" fillId="5" borderId="5" xfId="6" applyNumberFormat="1" applyFont="1" applyFill="1" applyBorder="1"/>
    <xf numFmtId="168" fontId="30" fillId="0" borderId="0" xfId="6" applyNumberFormat="1" applyFont="1" applyFill="1" applyBorder="1"/>
    <xf numFmtId="164" fontId="31" fillId="0" borderId="0" xfId="4" applyNumberFormat="1" applyFont="1" applyFill="1" applyBorder="1"/>
    <xf numFmtId="168" fontId="31" fillId="0" borderId="0" xfId="6" applyNumberFormat="1" applyFont="1" applyFill="1" applyBorder="1"/>
    <xf numFmtId="0" fontId="31" fillId="4" borderId="0" xfId="1" applyFont="1" applyFill="1"/>
    <xf numFmtId="166" fontId="20" fillId="3" borderId="5" xfId="6" applyNumberFormat="1" applyFont="1" applyFill="1" applyBorder="1"/>
    <xf numFmtId="10" fontId="52" fillId="0" borderId="0" xfId="1" applyNumberFormat="1" applyFont="1"/>
    <xf numFmtId="169" fontId="20" fillId="0" borderId="0" xfId="1" applyNumberFormat="1" applyFont="1"/>
    <xf numFmtId="168" fontId="20" fillId="3" borderId="5" xfId="6" applyNumberFormat="1" applyFont="1" applyFill="1" applyBorder="1"/>
    <xf numFmtId="168" fontId="30" fillId="0" borderId="0" xfId="6" applyNumberFormat="1" applyFont="1"/>
    <xf numFmtId="0" fontId="53" fillId="0" borderId="0" xfId="1" applyFont="1"/>
    <xf numFmtId="164" fontId="20" fillId="0" borderId="0" xfId="1" applyNumberFormat="1" applyFont="1"/>
    <xf numFmtId="0" fontId="54" fillId="0" borderId="0" xfId="1" applyFont="1"/>
    <xf numFmtId="9" fontId="20" fillId="3" borderId="5" xfId="6" applyNumberFormat="1" applyFont="1" applyFill="1" applyBorder="1"/>
    <xf numFmtId="10" fontId="20" fillId="0" borderId="0" xfId="1" applyNumberFormat="1" applyFont="1"/>
    <xf numFmtId="10" fontId="55" fillId="0" borderId="0" xfId="6" applyNumberFormat="1" applyFont="1" applyBorder="1"/>
    <xf numFmtId="0" fontId="55" fillId="0" borderId="0" xfId="1" applyFont="1"/>
    <xf numFmtId="0" fontId="23" fillId="0" borderId="0" xfId="1" applyFont="1" applyAlignment="1">
      <alignment horizontal="left" indent="4"/>
    </xf>
    <xf numFmtId="9" fontId="20" fillId="3" borderId="5" xfId="1" applyNumberFormat="1" applyFont="1" applyFill="1" applyBorder="1"/>
    <xf numFmtId="10" fontId="16" fillId="0" borderId="0" xfId="4" applyNumberFormat="1" applyFont="1"/>
    <xf numFmtId="16" fontId="30" fillId="0" borderId="0" xfId="1" applyNumberFormat="1" applyFont="1"/>
    <xf numFmtId="0" fontId="53" fillId="0" borderId="0" xfId="1" quotePrefix="1" applyFont="1"/>
    <xf numFmtId="165" fontId="30" fillId="0" borderId="0" xfId="6" applyFont="1" applyBorder="1"/>
    <xf numFmtId="9" fontId="30" fillId="0" borderId="0" xfId="4" applyFont="1"/>
    <xf numFmtId="10" fontId="20" fillId="3" borderId="5" xfId="1" applyNumberFormat="1" applyFont="1" applyFill="1" applyBorder="1"/>
    <xf numFmtId="10" fontId="20" fillId="0" borderId="0" xfId="6" applyNumberFormat="1" applyFont="1"/>
    <xf numFmtId="165" fontId="56" fillId="0" borderId="0" xfId="6" applyFont="1"/>
    <xf numFmtId="10" fontId="31" fillId="0" borderId="0" xfId="6" applyNumberFormat="1" applyFont="1"/>
    <xf numFmtId="10" fontId="34" fillId="0" borderId="0" xfId="4" applyNumberFormat="1" applyFont="1" applyFill="1" applyBorder="1"/>
    <xf numFmtId="168" fontId="32" fillId="0" borderId="0" xfId="6" applyNumberFormat="1" applyFont="1" applyFill="1" applyBorder="1"/>
    <xf numFmtId="168" fontId="32" fillId="0" borderId="0" xfId="6" applyNumberFormat="1" applyFont="1" applyFill="1" applyBorder="1" applyAlignment="1">
      <alignment horizontal="left" indent="1"/>
    </xf>
    <xf numFmtId="165" fontId="20" fillId="3" borderId="5" xfId="6" applyFont="1" applyFill="1" applyBorder="1" applyAlignment="1">
      <alignment horizontal="right"/>
    </xf>
    <xf numFmtId="165" fontId="30" fillId="0" borderId="0" xfId="6" applyFont="1" applyFill="1" applyBorder="1"/>
    <xf numFmtId="170" fontId="20" fillId="3" borderId="5" xfId="6" applyNumberFormat="1" applyFont="1" applyFill="1" applyBorder="1"/>
    <xf numFmtId="166" fontId="16" fillId="0" borderId="0" xfId="6" applyNumberFormat="1" applyFont="1"/>
    <xf numFmtId="0" fontId="49" fillId="0" borderId="0" xfId="1" applyFont="1" applyAlignment="1">
      <alignment horizontal="left" indent="2"/>
    </xf>
    <xf numFmtId="0" fontId="16" fillId="0" borderId="0" xfId="1" applyFont="1" applyAlignment="1">
      <alignment horizontal="left" indent="4"/>
    </xf>
    <xf numFmtId="165" fontId="31" fillId="0" borderId="0" xfId="6" applyFont="1" applyFill="1" applyBorder="1"/>
    <xf numFmtId="165" fontId="20" fillId="3" borderId="5" xfId="6" applyFont="1" applyFill="1" applyBorder="1"/>
    <xf numFmtId="0" fontId="20" fillId="0" borderId="0" xfId="1" quotePrefix="1" applyFont="1" applyAlignment="1">
      <alignment horizontal="left" indent="4"/>
    </xf>
    <xf numFmtId="171" fontId="30" fillId="0" borderId="0" xfId="6" applyNumberFormat="1" applyFont="1" applyFill="1" applyBorder="1"/>
    <xf numFmtId="10" fontId="20" fillId="0" borderId="5" xfId="1" applyNumberFormat="1" applyFont="1" applyBorder="1" applyAlignment="1">
      <alignment horizontal="right"/>
    </xf>
    <xf numFmtId="10" fontId="20" fillId="0" borderId="0" xfId="4" applyNumberFormat="1" applyFont="1" applyFill="1"/>
    <xf numFmtId="165" fontId="16" fillId="0" borderId="0" xfId="6" applyFont="1" applyFill="1"/>
    <xf numFmtId="0" fontId="16" fillId="0" borderId="0" xfId="1" quotePrefix="1" applyFont="1" applyAlignment="1">
      <alignment horizontal="left" indent="4"/>
    </xf>
    <xf numFmtId="9" fontId="20" fillId="3" borderId="5" xfId="4" applyFont="1" applyFill="1" applyBorder="1"/>
    <xf numFmtId="0" fontId="57" fillId="0" borderId="0" xfId="1" quotePrefix="1" applyFont="1" applyAlignment="1">
      <alignment horizontal="left" indent="2"/>
    </xf>
    <xf numFmtId="165" fontId="20" fillId="3" borderId="5" xfId="6" applyFont="1" applyFill="1" applyBorder="1" applyAlignment="1">
      <alignment horizontal="right" vertical="center"/>
    </xf>
    <xf numFmtId="9" fontId="20" fillId="0" borderId="5" xfId="4" applyFont="1" applyFill="1" applyBorder="1" applyAlignment="1">
      <alignment horizontal="right" vertical="center"/>
    </xf>
    <xf numFmtId="0" fontId="58" fillId="0" borderId="0" xfId="8" applyFont="1" applyFill="1"/>
    <xf numFmtId="10" fontId="30" fillId="0" borderId="0" xfId="6" applyNumberFormat="1" applyFont="1" applyFill="1" applyBorder="1"/>
    <xf numFmtId="0" fontId="58" fillId="0" borderId="0" xfId="8" applyFont="1"/>
    <xf numFmtId="172" fontId="16" fillId="5" borderId="5" xfId="6" applyNumberFormat="1" applyFont="1" applyFill="1" applyBorder="1"/>
    <xf numFmtId="10" fontId="20" fillId="3" borderId="5" xfId="1" applyNumberFormat="1" applyFont="1" applyFill="1" applyBorder="1" applyAlignment="1">
      <alignment horizontal="right"/>
    </xf>
    <xf numFmtId="10" fontId="20" fillId="0" borderId="0" xfId="6" applyNumberFormat="1" applyFont="1" applyBorder="1"/>
    <xf numFmtId="0" fontId="23" fillId="0" borderId="0" xfId="1" quotePrefix="1" applyFont="1" applyAlignment="1">
      <alignment horizontal="left" indent="4"/>
    </xf>
    <xf numFmtId="0" fontId="59" fillId="0" borderId="0" xfId="1" applyFont="1"/>
    <xf numFmtId="10" fontId="20" fillId="0" borderId="5" xfId="6" applyNumberFormat="1" applyFont="1" applyFill="1" applyBorder="1"/>
    <xf numFmtId="166" fontId="20" fillId="0" borderId="5" xfId="6" applyNumberFormat="1" applyFont="1" applyFill="1" applyBorder="1"/>
    <xf numFmtId="2" fontId="20" fillId="0" borderId="6" xfId="4" applyNumberFormat="1" applyFont="1" applyFill="1" applyBorder="1"/>
    <xf numFmtId="0" fontId="23" fillId="0" borderId="0" xfId="1" applyFont="1" applyAlignment="1">
      <alignment horizontal="left" indent="2"/>
    </xf>
    <xf numFmtId="0" fontId="51" fillId="0" borderId="0" xfId="8" applyFont="1" applyFill="1" applyBorder="1"/>
    <xf numFmtId="2" fontId="20" fillId="0" borderId="0" xfId="4" applyNumberFormat="1" applyFont="1" applyFill="1" applyBorder="1"/>
    <xf numFmtId="164" fontId="20" fillId="3" borderId="5" xfId="4" applyNumberFormat="1" applyFont="1" applyFill="1" applyBorder="1"/>
    <xf numFmtId="10" fontId="20" fillId="3" borderId="5" xfId="6" applyNumberFormat="1" applyFont="1" applyFill="1" applyBorder="1"/>
    <xf numFmtId="173" fontId="20" fillId="0" borderId="0" xfId="6" applyNumberFormat="1" applyFont="1" applyFill="1" applyBorder="1"/>
    <xf numFmtId="10" fontId="49" fillId="0" borderId="0" xfId="4" applyNumberFormat="1" applyFont="1" applyFill="1"/>
    <xf numFmtId="43" fontId="16" fillId="0" borderId="0" xfId="6" applyNumberFormat="1" applyFont="1" applyFill="1" applyBorder="1"/>
    <xf numFmtId="171" fontId="20" fillId="3" borderId="5" xfId="6" applyNumberFormat="1" applyFont="1" applyFill="1" applyBorder="1"/>
    <xf numFmtId="9" fontId="49" fillId="5" borderId="5" xfId="4" applyFont="1" applyFill="1" applyBorder="1"/>
    <xf numFmtId="164" fontId="49" fillId="5" borderId="5" xfId="4" applyNumberFormat="1" applyFont="1" applyFill="1" applyBorder="1"/>
    <xf numFmtId="164" fontId="17" fillId="5" borderId="5" xfId="6" applyNumberFormat="1" applyFont="1" applyFill="1" applyBorder="1"/>
    <xf numFmtId="165" fontId="20" fillId="0" borderId="0" xfId="1" applyNumberFormat="1" applyFont="1"/>
    <xf numFmtId="164" fontId="16" fillId="5" borderId="5" xfId="4" applyNumberFormat="1" applyFont="1" applyFill="1" applyBorder="1"/>
    <xf numFmtId="164" fontId="20" fillId="5" borderId="5" xfId="6" applyNumberFormat="1" applyFont="1" applyFill="1" applyBorder="1"/>
    <xf numFmtId="171" fontId="16" fillId="3" borderId="5" xfId="6" applyNumberFormat="1" applyFont="1" applyFill="1" applyBorder="1" applyAlignment="1">
      <alignment horizontal="right"/>
    </xf>
    <xf numFmtId="10" fontId="16" fillId="0" borderId="0" xfId="4" applyNumberFormat="1" applyFont="1" applyFill="1"/>
    <xf numFmtId="0" fontId="21" fillId="0" borderId="0" xfId="8" applyFont="1" applyFill="1"/>
    <xf numFmtId="171" fontId="20" fillId="0" borderId="0" xfId="6" applyNumberFormat="1" applyFont="1" applyFill="1" applyBorder="1"/>
    <xf numFmtId="165" fontId="54" fillId="0" borderId="0" xfId="6" applyFont="1"/>
    <xf numFmtId="43" fontId="16" fillId="0" borderId="0" xfId="1" applyNumberFormat="1" applyFont="1"/>
    <xf numFmtId="10" fontId="16" fillId="3" borderId="5" xfId="6" applyNumberFormat="1" applyFont="1" applyFill="1" applyBorder="1"/>
    <xf numFmtId="164" fontId="16" fillId="0" borderId="0" xfId="4" applyNumberFormat="1" applyFont="1" applyFill="1" applyBorder="1" applyAlignment="1">
      <alignment horizontal="right"/>
    </xf>
    <xf numFmtId="0" fontId="21" fillId="0" borderId="0" xfId="8" applyFont="1" applyFill="1" applyBorder="1"/>
    <xf numFmtId="174" fontId="16" fillId="0" borderId="0" xfId="1" applyNumberFormat="1" applyFont="1"/>
    <xf numFmtId="171" fontId="20" fillId="0" borderId="5" xfId="6" applyNumberFormat="1" applyFont="1" applyFill="1" applyBorder="1"/>
    <xf numFmtId="9" fontId="20" fillId="0" borderId="0" xfId="4" applyFont="1" applyFill="1" applyBorder="1"/>
    <xf numFmtId="9" fontId="20" fillId="0" borderId="5" xfId="4" applyFont="1" applyFill="1" applyBorder="1"/>
    <xf numFmtId="9" fontId="20" fillId="0" borderId="0" xfId="1" applyNumberFormat="1" applyFont="1"/>
    <xf numFmtId="16" fontId="20" fillId="0" borderId="0" xfId="1" applyNumberFormat="1" applyFont="1"/>
    <xf numFmtId="170" fontId="20" fillId="0" borderId="5" xfId="6" applyNumberFormat="1" applyFont="1" applyBorder="1"/>
    <xf numFmtId="0" fontId="24" fillId="0" borderId="0" xfId="3" applyFont="1" applyBorder="1"/>
    <xf numFmtId="10" fontId="20" fillId="3" borderId="5" xfId="9" applyNumberFormat="1" applyFont="1" applyFill="1" applyBorder="1"/>
    <xf numFmtId="10" fontId="20" fillId="0" borderId="5" xfId="9" applyNumberFormat="1" applyFont="1" applyFill="1" applyBorder="1"/>
    <xf numFmtId="10" fontId="31" fillId="0" borderId="0" xfId="4" applyNumberFormat="1" applyFont="1"/>
    <xf numFmtId="164" fontId="20" fillId="0" borderId="5" xfId="4" applyNumberFormat="1" applyFont="1" applyFill="1" applyBorder="1"/>
    <xf numFmtId="164" fontId="16" fillId="0" borderId="0" xfId="4" applyNumberFormat="1" applyFont="1"/>
    <xf numFmtId="0" fontId="63" fillId="0" borderId="0" xfId="1" applyFont="1"/>
    <xf numFmtId="0" fontId="1" fillId="0" borderId="0" xfId="1"/>
    <xf numFmtId="0" fontId="1" fillId="3" borderId="0" xfId="1" applyFill="1"/>
    <xf numFmtId="9" fontId="1" fillId="0" borderId="0" xfId="1" applyNumberFormat="1"/>
    <xf numFmtId="17" fontId="64" fillId="6" borderId="0" xfId="1" applyNumberFormat="1" applyFont="1" applyFill="1" applyAlignment="1">
      <alignment horizontal="center" vertical="center"/>
    </xf>
    <xf numFmtId="174" fontId="64" fillId="6" borderId="0" xfId="6" applyNumberFormat="1" applyFont="1" applyFill="1" applyAlignment="1">
      <alignment horizontal="center" vertical="center"/>
    </xf>
    <xf numFmtId="0" fontId="65" fillId="0" borderId="0" xfId="1" applyFont="1"/>
    <xf numFmtId="174" fontId="0" fillId="0" borderId="0" xfId="6" applyNumberFormat="1" applyFont="1"/>
    <xf numFmtId="174" fontId="1" fillId="7" borderId="0" xfId="1" applyNumberFormat="1" applyFill="1"/>
    <xf numFmtId="165" fontId="0" fillId="3" borderId="0" xfId="6" applyFont="1" applyFill="1"/>
    <xf numFmtId="43" fontId="66" fillId="0" borderId="7" xfId="1" applyNumberFormat="1" applyFont="1" applyBorder="1"/>
    <xf numFmtId="166" fontId="0" fillId="0" borderId="0" xfId="6" applyNumberFormat="1" applyFont="1"/>
    <xf numFmtId="166" fontId="1" fillId="7" borderId="0" xfId="1" applyNumberFormat="1" applyFill="1"/>
    <xf numFmtId="166" fontId="8" fillId="0" borderId="0" xfId="6" applyNumberFormat="1" applyFont="1"/>
    <xf numFmtId="174" fontId="1" fillId="0" borderId="0" xfId="1" applyNumberFormat="1"/>
    <xf numFmtId="166" fontId="1" fillId="0" borderId="0" xfId="1" applyNumberFormat="1"/>
    <xf numFmtId="0" fontId="67" fillId="0" borderId="0" xfId="5" applyFont="1" applyFill="1" applyAlignment="1" applyProtection="1">
      <alignment horizontal="left"/>
    </xf>
    <xf numFmtId="0" fontId="68" fillId="0" borderId="0" xfId="1" applyFont="1"/>
    <xf numFmtId="0" fontId="69" fillId="0" borderId="0" xfId="1" applyFont="1"/>
    <xf numFmtId="165" fontId="17" fillId="0" borderId="0" xfId="6" applyFont="1" applyBorder="1" applyAlignment="1">
      <alignment horizontal="right"/>
    </xf>
    <xf numFmtId="43" fontId="31" fillId="0" borderId="0" xfId="1" applyNumberFormat="1" applyFont="1"/>
    <xf numFmtId="0" fontId="20" fillId="0" borderId="0" xfId="1" applyFont="1" applyAlignment="1">
      <alignment horizontal="right"/>
    </xf>
    <xf numFmtId="0" fontId="31" fillId="0" borderId="8" xfId="1" applyFont="1" applyBorder="1" applyAlignment="1">
      <alignment horizontal="left"/>
    </xf>
    <xf numFmtId="0" fontId="20" fillId="8" borderId="8" xfId="1" applyFont="1" applyFill="1" applyBorder="1"/>
    <xf numFmtId="0" fontId="17" fillId="8" borderId="8" xfId="1" applyFont="1" applyFill="1" applyBorder="1"/>
    <xf numFmtId="0" fontId="17" fillId="8" borderId="8" xfId="1" applyFont="1" applyFill="1" applyBorder="1" applyAlignment="1">
      <alignment horizontal="right" vertical="center"/>
    </xf>
    <xf numFmtId="0" fontId="20" fillId="0" borderId="0" xfId="1" applyFont="1" applyAlignment="1">
      <alignment horizontal="centerContinuous"/>
    </xf>
    <xf numFmtId="0" fontId="32" fillId="0" borderId="3" xfId="1" applyFont="1" applyBorder="1" applyAlignment="1">
      <alignment horizontal="left"/>
    </xf>
    <xf numFmtId="0" fontId="17" fillId="0" borderId="3" xfId="1" applyFont="1" applyBorder="1"/>
    <xf numFmtId="0" fontId="20" fillId="0" borderId="3" xfId="1" applyFont="1" applyBorder="1"/>
    <xf numFmtId="39" fontId="20" fillId="0" borderId="0" xfId="6" applyNumberFormat="1" applyFont="1" applyFill="1"/>
    <xf numFmtId="165" fontId="20" fillId="0" borderId="0" xfId="6" applyFont="1" applyFill="1" applyBorder="1"/>
    <xf numFmtId="10" fontId="31" fillId="0" borderId="0" xfId="4" applyNumberFormat="1" applyFont="1" applyFill="1" applyAlignment="1">
      <alignment horizontal="left"/>
    </xf>
    <xf numFmtId="164" fontId="20" fillId="0" borderId="0" xfId="4" applyNumberFormat="1" applyFont="1" applyFill="1"/>
    <xf numFmtId="10" fontId="20" fillId="0" borderId="0" xfId="4" applyNumberFormat="1" applyFont="1" applyFill="1" applyBorder="1"/>
    <xf numFmtId="0" fontId="37" fillId="0" borderId="0" xfId="1" applyFont="1"/>
    <xf numFmtId="0" fontId="20" fillId="0" borderId="0" xfId="1" applyFont="1" applyAlignment="1">
      <alignment horizontal="left" indent="1"/>
    </xf>
    <xf numFmtId="9" fontId="20" fillId="0" borderId="0" xfId="4" applyFont="1" applyFill="1"/>
    <xf numFmtId="10" fontId="20" fillId="0" borderId="0" xfId="6" applyNumberFormat="1" applyFont="1" applyFill="1"/>
    <xf numFmtId="43" fontId="17" fillId="0" borderId="0" xfId="6" applyNumberFormat="1" applyFont="1" applyFill="1"/>
    <xf numFmtId="43" fontId="20" fillId="0" borderId="0" xfId="6" applyNumberFormat="1" applyFont="1" applyFill="1"/>
    <xf numFmtId="165" fontId="17" fillId="0" borderId="0" xfId="6" applyFont="1" applyFill="1" applyBorder="1"/>
    <xf numFmtId="165" fontId="31" fillId="0" borderId="0" xfId="6" applyFont="1" applyFill="1" applyAlignment="1">
      <alignment horizontal="left"/>
    </xf>
    <xf numFmtId="165" fontId="20" fillId="0" borderId="0" xfId="6" applyFont="1" applyFill="1"/>
    <xf numFmtId="172" fontId="20" fillId="0" borderId="0" xfId="6" applyNumberFormat="1" applyFont="1" applyFill="1"/>
    <xf numFmtId="9" fontId="31" fillId="0" borderId="0" xfId="1" applyNumberFormat="1" applyFont="1" applyAlignment="1">
      <alignment horizontal="left"/>
    </xf>
    <xf numFmtId="165" fontId="17" fillId="0" borderId="0" xfId="1" applyNumberFormat="1" applyFont="1"/>
    <xf numFmtId="0" fontId="37" fillId="0" borderId="0" xfId="1" applyFont="1" applyAlignment="1">
      <alignment horizontal="left" indent="1"/>
    </xf>
    <xf numFmtId="43" fontId="37" fillId="0" borderId="0" xfId="6" applyNumberFormat="1" applyFont="1" applyFill="1"/>
    <xf numFmtId="0" fontId="32" fillId="9" borderId="0" xfId="1" applyFont="1" applyFill="1" applyAlignment="1">
      <alignment horizontal="left"/>
    </xf>
    <xf numFmtId="0" fontId="17" fillId="9" borderId="0" xfId="1" applyFont="1" applyFill="1"/>
    <xf numFmtId="10" fontId="17" fillId="9" borderId="0" xfId="1" applyNumberFormat="1" applyFont="1" applyFill="1"/>
    <xf numFmtId="0" fontId="20" fillId="9" borderId="0" xfId="1" applyFont="1" applyFill="1"/>
    <xf numFmtId="43" fontId="20" fillId="9" borderId="0" xfId="6" applyNumberFormat="1" applyFont="1" applyFill="1"/>
    <xf numFmtId="165" fontId="20" fillId="9" borderId="0" xfId="6" applyFont="1" applyFill="1" applyBorder="1"/>
    <xf numFmtId="171" fontId="20" fillId="9" borderId="0" xfId="6" applyNumberFormat="1" applyFont="1" applyFill="1"/>
    <xf numFmtId="43" fontId="17" fillId="9" borderId="0" xfId="6" applyNumberFormat="1" applyFont="1" applyFill="1"/>
    <xf numFmtId="174" fontId="17" fillId="0" borderId="0" xfId="6" applyNumberFormat="1" applyFont="1" applyFill="1"/>
    <xf numFmtId="171" fontId="20" fillId="0" borderId="0" xfId="6" applyNumberFormat="1" applyFont="1" applyFill="1"/>
    <xf numFmtId="0" fontId="20" fillId="0" borderId="0" xfId="1" applyFont="1" applyAlignment="1">
      <alignment horizontal="left" indent="2"/>
    </xf>
    <xf numFmtId="165" fontId="30" fillId="0" borderId="0" xfId="6" applyFont="1" applyFill="1"/>
    <xf numFmtId="166" fontId="20" fillId="0" borderId="0" xfId="6" applyNumberFormat="1" applyFont="1" applyFill="1"/>
    <xf numFmtId="165" fontId="17" fillId="0" borderId="0" xfId="6" applyFont="1" applyFill="1"/>
    <xf numFmtId="165" fontId="30" fillId="0" borderId="0" xfId="1" applyNumberFormat="1" applyFont="1"/>
    <xf numFmtId="43" fontId="20" fillId="0" borderId="3" xfId="1" applyNumberFormat="1" applyFont="1" applyBorder="1"/>
    <xf numFmtId="165" fontId="32" fillId="0" borderId="0" xfId="6" applyFont="1" applyFill="1"/>
    <xf numFmtId="0" fontId="48" fillId="0" borderId="0" xfId="1" applyFont="1"/>
    <xf numFmtId="0" fontId="20" fillId="0" borderId="0" xfId="1" applyFont="1" applyAlignment="1">
      <alignment vertical="center"/>
    </xf>
    <xf numFmtId="43" fontId="20" fillId="0" borderId="0" xfId="6" applyNumberFormat="1" applyFont="1"/>
    <xf numFmtId="0" fontId="23" fillId="0" borderId="0" xfId="1" applyFont="1" applyAlignment="1">
      <alignment horizontal="left"/>
    </xf>
    <xf numFmtId="0" fontId="37" fillId="0" borderId="0" xfId="1" applyFont="1" applyAlignment="1">
      <alignment horizontal="left" indent="2"/>
    </xf>
    <xf numFmtId="165" fontId="20" fillId="0" borderId="0" xfId="6" applyFont="1" applyFill="1" applyAlignment="1">
      <alignment horizontal="left" indent="1"/>
    </xf>
    <xf numFmtId="0" fontId="59" fillId="0" borderId="0" xfId="1" applyFont="1" applyAlignment="1">
      <alignment horizontal="left"/>
    </xf>
    <xf numFmtId="165" fontId="20" fillId="0" borderId="3" xfId="6" applyFont="1" applyBorder="1"/>
    <xf numFmtId="43" fontId="17" fillId="0" borderId="0" xfId="6" applyNumberFormat="1" applyFont="1"/>
    <xf numFmtId="165" fontId="31" fillId="0" borderId="0" xfId="6" applyFont="1" applyFill="1"/>
    <xf numFmtId="175" fontId="17" fillId="0" borderId="0" xfId="4" applyNumberFormat="1" applyFont="1" applyFill="1"/>
    <xf numFmtId="9" fontId="30" fillId="0" borderId="0" xfId="1" applyNumberFormat="1" applyFont="1" applyAlignment="1">
      <alignment horizontal="left"/>
    </xf>
    <xf numFmtId="176" fontId="20" fillId="0" borderId="0" xfId="6" applyNumberFormat="1" applyFont="1" applyFill="1"/>
    <xf numFmtId="177" fontId="20" fillId="0" borderId="0" xfId="6" applyNumberFormat="1" applyFont="1" applyFill="1"/>
    <xf numFmtId="170" fontId="31" fillId="0" borderId="0" xfId="1" applyNumberFormat="1" applyFont="1" applyAlignment="1">
      <alignment horizontal="left"/>
    </xf>
    <xf numFmtId="170" fontId="20" fillId="0" borderId="0" xfId="1" applyNumberFormat="1" applyFont="1"/>
    <xf numFmtId="0" fontId="70" fillId="0" borderId="0" xfId="10" applyFont="1"/>
    <xf numFmtId="0" fontId="71" fillId="0" borderId="0" xfId="10" applyFont="1"/>
    <xf numFmtId="0" fontId="70" fillId="0" borderId="0" xfId="10" applyFont="1" applyAlignment="1">
      <alignment horizontal="left"/>
    </xf>
    <xf numFmtId="0" fontId="71" fillId="0" borderId="9" xfId="10" applyFont="1" applyBorder="1" applyAlignment="1">
      <alignment horizontal="left"/>
    </xf>
    <xf numFmtId="0" fontId="71" fillId="0" borderId="9" xfId="10" applyFont="1" applyBorder="1"/>
    <xf numFmtId="0" fontId="70" fillId="0" borderId="9" xfId="10" applyFont="1" applyBorder="1"/>
    <xf numFmtId="0" fontId="71" fillId="0" borderId="0" xfId="10" applyFont="1" applyAlignment="1">
      <alignment horizontal="left"/>
    </xf>
    <xf numFmtId="0" fontId="72" fillId="0" borderId="0" xfId="10" applyFont="1"/>
    <xf numFmtId="0" fontId="70" fillId="0" borderId="0" xfId="10" applyFont="1" applyAlignment="1">
      <alignment horizontal="center"/>
    </xf>
    <xf numFmtId="0" fontId="73" fillId="0" borderId="10" xfId="10" applyFont="1" applyBorder="1"/>
    <xf numFmtId="178" fontId="73" fillId="3" borderId="10" xfId="10" applyNumberFormat="1" applyFont="1" applyFill="1" applyBorder="1" applyAlignment="1">
      <alignment horizontal="right"/>
    </xf>
    <xf numFmtId="178" fontId="73" fillId="0" borderId="10" xfId="10" applyNumberFormat="1" applyFont="1" applyBorder="1" applyAlignment="1">
      <alignment horizontal="right"/>
    </xf>
    <xf numFmtId="0" fontId="70" fillId="0" borderId="0" xfId="10" applyFont="1" applyAlignment="1">
      <alignment horizontal="right"/>
    </xf>
    <xf numFmtId="0" fontId="74" fillId="0" borderId="0" xfId="10" applyFont="1"/>
    <xf numFmtId="0" fontId="75" fillId="0" borderId="0" xfId="10" applyFont="1"/>
    <xf numFmtId="174" fontId="75" fillId="0" borderId="0" xfId="11" applyNumberFormat="1" applyFont="1" applyFill="1" applyBorder="1" applyAlignment="1">
      <alignment horizontal="right"/>
    </xf>
    <xf numFmtId="0" fontId="74" fillId="0" borderId="0" xfId="10" applyFont="1" applyAlignment="1">
      <alignment horizontal="right"/>
    </xf>
    <xf numFmtId="3" fontId="76" fillId="10" borderId="11" xfId="1" applyNumberFormat="1" applyFont="1" applyFill="1" applyBorder="1"/>
    <xf numFmtId="0" fontId="77" fillId="0" borderId="0" xfId="10" applyFont="1"/>
    <xf numFmtId="174" fontId="77" fillId="0" borderId="0" xfId="11" applyNumberFormat="1" applyFont="1"/>
    <xf numFmtId="0" fontId="17" fillId="0" borderId="9" xfId="10" applyFont="1" applyBorder="1" applyAlignment="1">
      <alignment horizontal="left"/>
    </xf>
    <xf numFmtId="0" fontId="17" fillId="0" borderId="9" xfId="10" applyFont="1" applyBorder="1"/>
    <xf numFmtId="0" fontId="20" fillId="0" borderId="9" xfId="10" applyFont="1" applyBorder="1"/>
    <xf numFmtId="0" fontId="20" fillId="0" borderId="0" xfId="10" applyFont="1"/>
    <xf numFmtId="0" fontId="20" fillId="0" borderId="0" xfId="10" applyFont="1" applyAlignment="1">
      <alignment horizontal="right"/>
    </xf>
    <xf numFmtId="0" fontId="17" fillId="0" borderId="0" xfId="10" applyFont="1" applyAlignment="1">
      <alignment horizontal="left"/>
    </xf>
    <xf numFmtId="0" fontId="17" fillId="0" borderId="0" xfId="10" applyFont="1"/>
    <xf numFmtId="0" fontId="42" fillId="11" borderId="0" xfId="10" applyFont="1" applyFill="1" applyAlignment="1">
      <alignment horizontal="right"/>
    </xf>
    <xf numFmtId="174" fontId="42" fillId="11" borderId="0" xfId="10" applyNumberFormat="1" applyFont="1" applyFill="1" applyAlignment="1">
      <alignment horizontal="right"/>
    </xf>
    <xf numFmtId="0" fontId="78" fillId="0" borderId="0" xfId="10" applyFont="1" applyAlignment="1">
      <alignment horizontal="right"/>
    </xf>
    <xf numFmtId="0" fontId="37" fillId="0" borderId="0" xfId="10" applyFont="1"/>
    <xf numFmtId="0" fontId="20" fillId="0" borderId="10" xfId="10" applyFont="1" applyBorder="1" applyAlignment="1">
      <alignment horizontal="right"/>
    </xf>
    <xf numFmtId="0" fontId="20" fillId="0" borderId="0" xfId="10" applyFont="1" applyAlignment="1">
      <alignment horizontal="left"/>
    </xf>
    <xf numFmtId="174" fontId="79" fillId="0" borderId="0" xfId="11" applyNumberFormat="1" applyFont="1" applyFill="1"/>
    <xf numFmtId="174" fontId="80" fillId="0" borderId="0" xfId="11" applyNumberFormat="1" applyFont="1" applyFill="1" applyBorder="1"/>
    <xf numFmtId="174" fontId="77" fillId="0" borderId="0" xfId="11" applyNumberFormat="1" applyFont="1" applyFill="1" applyBorder="1"/>
    <xf numFmtId="174" fontId="77" fillId="0" borderId="0" xfId="11" applyNumberFormat="1" applyFont="1" applyFill="1"/>
    <xf numFmtId="174" fontId="81" fillId="0" borderId="10" xfId="11" applyNumberFormat="1" applyFont="1" applyFill="1" applyBorder="1"/>
    <xf numFmtId="174" fontId="81" fillId="0" borderId="0" xfId="11" applyNumberFormat="1" applyFont="1" applyFill="1"/>
    <xf numFmtId="0" fontId="79" fillId="0" borderId="0" xfId="10" applyFont="1"/>
    <xf numFmtId="174" fontId="82" fillId="0" borderId="0" xfId="11" applyNumberFormat="1" applyFont="1" applyFill="1"/>
    <xf numFmtId="174" fontId="83" fillId="0" borderId="0" xfId="11" applyNumberFormat="1" applyFont="1" applyFill="1" applyBorder="1"/>
    <xf numFmtId="174" fontId="84" fillId="0" borderId="0" xfId="11" applyNumberFormat="1" applyFont="1" applyFill="1" applyBorder="1"/>
    <xf numFmtId="0" fontId="30" fillId="0" borderId="0" xfId="10" applyFont="1" applyAlignment="1">
      <alignment horizontal="left"/>
    </xf>
    <xf numFmtId="174" fontId="82" fillId="0" borderId="10" xfId="11" applyNumberFormat="1" applyFont="1" applyFill="1" applyBorder="1"/>
    <xf numFmtId="43" fontId="84" fillId="0" borderId="0" xfId="10" applyNumberFormat="1" applyFont="1"/>
    <xf numFmtId="43" fontId="77" fillId="0" borderId="0" xfId="10" applyNumberFormat="1" applyFont="1"/>
    <xf numFmtId="0" fontId="81" fillId="0" borderId="0" xfId="10" applyFont="1"/>
    <xf numFmtId="43" fontId="80" fillId="0" borderId="0" xfId="10" applyNumberFormat="1" applyFont="1"/>
    <xf numFmtId="0" fontId="79" fillId="0" borderId="0" xfId="10" applyFont="1" applyAlignment="1">
      <alignment horizontal="left"/>
    </xf>
    <xf numFmtId="174" fontId="20" fillId="0" borderId="0" xfId="1" applyNumberFormat="1" applyFont="1" applyAlignment="1">
      <alignment horizontal="left" indent="2"/>
    </xf>
    <xf numFmtId="174" fontId="20" fillId="0" borderId="0" xfId="10" applyNumberFormat="1" applyFont="1"/>
    <xf numFmtId="43" fontId="81" fillId="0" borderId="0" xfId="11" applyFont="1" applyFill="1"/>
    <xf numFmtId="0" fontId="16" fillId="0" borderId="0" xfId="1" applyFont="1" applyAlignment="1">
      <alignment horizontal="left" indent="2"/>
    </xf>
    <xf numFmtId="174" fontId="80" fillId="0" borderId="0" xfId="10" applyNumberFormat="1" applyFont="1"/>
    <xf numFmtId="174" fontId="17" fillId="0" borderId="0" xfId="10" applyNumberFormat="1" applyFont="1" applyAlignment="1">
      <alignment horizontal="left"/>
    </xf>
    <xf numFmtId="174" fontId="16" fillId="0" borderId="0" xfId="1" applyNumberFormat="1" applyFont="1" applyAlignment="1">
      <alignment horizontal="left" indent="2"/>
    </xf>
    <xf numFmtId="174" fontId="23" fillId="0" borderId="0" xfId="1" applyNumberFormat="1" applyFont="1" applyAlignment="1">
      <alignment horizontal="left" indent="2"/>
    </xf>
    <xf numFmtId="174" fontId="17" fillId="0" borderId="0" xfId="10" applyNumberFormat="1" applyFont="1"/>
    <xf numFmtId="174" fontId="79" fillId="0" borderId="0" xfId="10" applyNumberFormat="1" applyFont="1"/>
    <xf numFmtId="174" fontId="20" fillId="0" borderId="0" xfId="10" applyNumberFormat="1" applyFont="1" applyAlignment="1">
      <alignment horizontal="left" indent="2"/>
    </xf>
    <xf numFmtId="174" fontId="85" fillId="0" borderId="0" xfId="10" applyNumberFormat="1" applyFont="1"/>
    <xf numFmtId="174" fontId="86" fillId="0" borderId="0" xfId="10" applyNumberFormat="1" applyFont="1"/>
    <xf numFmtId="174" fontId="79" fillId="0" borderId="10" xfId="11" applyNumberFormat="1" applyFont="1" applyFill="1" applyBorder="1"/>
    <xf numFmtId="174" fontId="81" fillId="0" borderId="0" xfId="11" applyNumberFormat="1" applyFont="1" applyFill="1" applyBorder="1"/>
    <xf numFmtId="174" fontId="70" fillId="0" borderId="0" xfId="10" applyNumberFormat="1" applyFont="1"/>
    <xf numFmtId="0" fontId="84" fillId="0" borderId="0" xfId="10" applyFont="1"/>
    <xf numFmtId="0" fontId="80" fillId="0" borderId="0" xfId="10" applyFont="1"/>
    <xf numFmtId="0" fontId="87" fillId="12" borderId="12" xfId="10" applyFont="1" applyFill="1" applyBorder="1"/>
    <xf numFmtId="179" fontId="88" fillId="12" borderId="12" xfId="10" applyNumberFormat="1" applyFont="1" applyFill="1" applyBorder="1" applyAlignment="1">
      <alignment horizontal="right"/>
    </xf>
    <xf numFmtId="0" fontId="83" fillId="0" borderId="0" xfId="10" applyFont="1"/>
    <xf numFmtId="0" fontId="87" fillId="12" borderId="0" xfId="10" applyFont="1" applyFill="1"/>
    <xf numFmtId="0" fontId="89" fillId="0" borderId="0" xfId="10" applyFont="1"/>
    <xf numFmtId="174" fontId="89" fillId="0" borderId="0" xfId="11" applyNumberFormat="1" applyFont="1"/>
    <xf numFmtId="0" fontId="90" fillId="0" borderId="0" xfId="10" applyFont="1"/>
    <xf numFmtId="0" fontId="80" fillId="0" borderId="0" xfId="1" applyFont="1"/>
    <xf numFmtId="0" fontId="77" fillId="0" borderId="0" xfId="1" applyFont="1" applyAlignment="1">
      <alignment horizontal="left" indent="2"/>
    </xf>
    <xf numFmtId="174" fontId="90" fillId="0" borderId="0" xfId="11" applyNumberFormat="1" applyFont="1"/>
    <xf numFmtId="0" fontId="91" fillId="0" borderId="0" xfId="1" applyFont="1" applyAlignment="1">
      <alignment horizontal="left" indent="2"/>
    </xf>
    <xf numFmtId="0" fontId="90" fillId="0" borderId="0" xfId="1" applyFont="1" applyAlignment="1">
      <alignment horizontal="left" indent="2"/>
    </xf>
    <xf numFmtId="0" fontId="92" fillId="0" borderId="0" xfId="1" applyFont="1" applyAlignment="1">
      <alignment horizontal="left" indent="2"/>
    </xf>
    <xf numFmtId="0" fontId="77" fillId="0" borderId="0" xfId="1" quotePrefix="1" applyFont="1" applyAlignment="1">
      <alignment horizontal="left" indent="2"/>
    </xf>
    <xf numFmtId="0" fontId="80" fillId="0" borderId="0" xfId="1" quotePrefix="1" applyFont="1" applyAlignment="1">
      <alignment horizontal="left"/>
    </xf>
    <xf numFmtId="0" fontId="80" fillId="0" borderId="0" xfId="1" applyFont="1" applyAlignment="1">
      <alignment horizontal="left"/>
    </xf>
    <xf numFmtId="0" fontId="87" fillId="0" borderId="0" xfId="10" applyFont="1"/>
    <xf numFmtId="174" fontId="87" fillId="0" borderId="0" xfId="11" applyNumberFormat="1" applyFont="1"/>
    <xf numFmtId="174" fontId="89" fillId="0" borderId="0" xfId="10" applyNumberFormat="1" applyFont="1"/>
    <xf numFmtId="177" fontId="90" fillId="0" borderId="0" xfId="11" applyNumberFormat="1" applyFont="1"/>
    <xf numFmtId="0" fontId="89" fillId="11" borderId="12" xfId="10" applyFont="1" applyFill="1" applyBorder="1"/>
    <xf numFmtId="174" fontId="89" fillId="11" borderId="12" xfId="11" applyNumberFormat="1" applyFont="1" applyFill="1" applyBorder="1"/>
    <xf numFmtId="165" fontId="90" fillId="0" borderId="0" xfId="6" applyFont="1"/>
    <xf numFmtId="0" fontId="89" fillId="0" borderId="0" xfId="10" applyFont="1" applyAlignment="1">
      <alignment horizontal="left"/>
    </xf>
  </cellXfs>
  <cellStyles count="12">
    <cellStyle name="Comma 14 2" xfId="11" xr:uid="{D3A1556C-48E5-9A4C-91D3-2697B2FCC472}"/>
    <cellStyle name="Comma 2" xfId="6" xr:uid="{7F09C8FB-1924-B44E-9D9C-302BA08630E0}"/>
    <cellStyle name="Comma 2 2" xfId="7" xr:uid="{4FF4DEB9-8371-5447-B65A-30A8AE8FB802}"/>
    <cellStyle name="Explanatory Text 2" xfId="8" xr:uid="{B40F8071-8D12-7E41-B8CA-A0F1E233B784}"/>
    <cellStyle name="Heading 1 2" xfId="3" xr:uid="{952E37D3-5E88-B343-8B93-ACFA789EF6F5}"/>
    <cellStyle name="Hyperlink" xfId="5" builtinId="8"/>
    <cellStyle name="Input 2" xfId="9" xr:uid="{F5840511-265A-B745-B398-42E64D8A9F85}"/>
    <cellStyle name="Normal" xfId="0" builtinId="0"/>
    <cellStyle name="Normal 17 2" xfId="10" xr:uid="{E4756339-8E31-A047-B036-68535D483B2F}"/>
    <cellStyle name="Normal 2" xfId="1" xr:uid="{3E1C2DB1-DB6C-EF45-97CE-ACB5D17294E6}"/>
    <cellStyle name="Normal 25" xfId="2" xr:uid="{D9FB5DA5-5875-1743-8F3D-A04B81079BA1}"/>
    <cellStyle name="Percent 2" xfId="4" xr:uid="{63045D56-7714-8F48-96C7-241F875C8C35}"/>
  </cellStyles>
  <dxfs count="2">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New</a:t>
            </a:r>
            <a:r>
              <a:rPr lang="en-US" sz="1200" b="1" baseline="0">
                <a:latin typeface="Arial" panose="020B0604020202020204" pitchFamily="34" charset="0"/>
                <a:cs typeface="Arial" panose="020B0604020202020204" pitchFamily="34" charset="0"/>
              </a:rPr>
              <a:t> card portion</a:t>
            </a:r>
            <a:endParaRPr lang="en-US" sz="1200" b="1">
              <a:latin typeface="Arial" panose="020B0604020202020204" pitchFamily="34" charset="0"/>
              <a:cs typeface="Arial" panose="020B0604020202020204" pitchFamily="34" charset="0"/>
            </a:endParaRPr>
          </a:p>
        </c:rich>
      </c:tx>
      <c:layout>
        <c:manualLayout>
          <c:xMode val="edge"/>
          <c:yMode val="edge"/>
          <c:x val="0.16388965916158044"/>
          <c:y val="0.1209949301855177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178145615353531E-2"/>
          <c:y val="0.22401465441819776"/>
          <c:w val="0.56634225724948128"/>
          <c:h val="0.7057429279673375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D2-7542-A61B-ACE1B8871B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SAP_Leadsheet!#REF!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SAP_Leadsheet!#REF!</c15:sqref>
                        </c15:formulaRef>
                      </c:ext>
                    </c:extLst>
                    <c:strCache>
                      <c:ptCount val="1"/>
                      <c:pt idx="0">
                        <c:v>#REF!</c:v>
                      </c:pt>
                    </c:strCache>
                  </c:strRef>
                </c15:cat>
              </c15:filteredCategoryTitle>
            </c:ext>
            <c:ext xmlns:c16="http://schemas.microsoft.com/office/drawing/2014/chart" uri="{C3380CC4-5D6E-409C-BE32-E72D297353CC}">
              <c16:uniqueId val="{00000002-A9D2-7542-A61B-ACE1B8871BC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774805902034652"/>
          <c:y val="0.36991128032893222"/>
          <c:w val="0.29086067366579177"/>
          <c:h val="0.4963109454628432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238125</xdr:colOff>
      <xdr:row>9</xdr:row>
      <xdr:rowOff>0</xdr:rowOff>
    </xdr:from>
    <xdr:to>
      <xdr:col>3</xdr:col>
      <xdr:colOff>254265</xdr:colOff>
      <xdr:row>9</xdr:row>
      <xdr:rowOff>9261</xdr:rowOff>
    </xdr:to>
    <xdr:graphicFrame macro="">
      <xdr:nvGraphicFramePr>
        <xdr:cNvPr id="2" name="Chart 1">
          <a:extLst>
            <a:ext uri="{FF2B5EF4-FFF2-40B4-BE49-F238E27FC236}">
              <a16:creationId xmlns:a16="http://schemas.microsoft.com/office/drawing/2014/main" id="{99D86E69-6355-0F4B-B07B-67E4C4812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1054100</xdr:colOff>
      <xdr:row>21</xdr:row>
      <xdr:rowOff>76200</xdr:rowOff>
    </xdr:from>
    <xdr:to>
      <xdr:col>20</xdr:col>
      <xdr:colOff>514838</xdr:colOff>
      <xdr:row>43</xdr:row>
      <xdr:rowOff>104353</xdr:rowOff>
    </xdr:to>
    <xdr:pic>
      <xdr:nvPicPr>
        <xdr:cNvPr id="2" name="Picture 1">
          <a:extLst>
            <a:ext uri="{FF2B5EF4-FFF2-40B4-BE49-F238E27FC236}">
              <a16:creationId xmlns:a16="http://schemas.microsoft.com/office/drawing/2014/main" id="{91B83918-0B44-CF4F-95A9-765EA30A5045}"/>
            </a:ext>
          </a:extLst>
        </xdr:cNvPr>
        <xdr:cNvPicPr>
          <a:picLocks noChangeAspect="1"/>
        </xdr:cNvPicPr>
      </xdr:nvPicPr>
      <xdr:blipFill>
        <a:blip xmlns:r="http://schemas.openxmlformats.org/officeDocument/2006/relationships" r:embed="rId1"/>
        <a:stretch>
          <a:fillRect/>
        </a:stretch>
      </xdr:blipFill>
      <xdr:spPr>
        <a:xfrm>
          <a:off x="10160000" y="4076700"/>
          <a:ext cx="9709638" cy="42572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3.%20Paylater/0.Paylater_ModelSAP&amp;PnL_v8_Q3.2025%201.xlsx" TargetMode="External"/><Relationship Id="rId2" Type="http://schemas.openxmlformats.org/officeDocument/2006/relationships/externalLinkPath" Target="/Users/dam.ho/Downloads/Actual%20SAP%20Q3.25%20-%20share/3.%20Paylater/0.Paylater_ModelSAP&amp;PnL_v8_Q3.2025%201.xlsx" TargetMode="External"/><Relationship Id="rId1" Type="http://schemas.openxmlformats.org/officeDocument/2006/relationships/externalLinkPath" Target="/Users/dam.ho/Downloads/Actual%20SAP%20Q3.25%20-%20share/3.%20Paylater/0.Paylater_ModelSAP&amp;PnL_v8_Q3.202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SAP_Leadsheet"/>
      <sheetName val="DATA"/>
      <sheetName val="SAP_Spreadsheet"/>
      <sheetName val="Sales plan&amp; 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922FD-558A-C44E-86D5-6474E40E2B10}">
  <sheetPr>
    <tabColor rgb="FFFF0000"/>
  </sheetPr>
  <dimension ref="A1:W141"/>
  <sheetViews>
    <sheetView showGridLines="0" tabSelected="1" zoomScale="94" workbookViewId="0">
      <pane xSplit="1" ySplit="2" topLeftCell="B3" activePane="bottomRight" state="frozen"/>
      <selection activeCell="P2" sqref="P2"/>
      <selection pane="topRight" activeCell="P2" sqref="P2"/>
      <selection pane="bottomLeft" activeCell="P2" sqref="P2"/>
      <selection pane="bottomRight" activeCell="P2" sqref="P2"/>
    </sheetView>
  </sheetViews>
  <sheetFormatPr baseColWidth="10" defaultColWidth="8.83203125" defaultRowHeight="14" x14ac:dyDescent="0.15"/>
  <cols>
    <col min="1" max="1" width="8.83203125" style="2"/>
    <col min="2" max="2" width="5.5" style="2" customWidth="1"/>
    <col min="3" max="3" width="5" style="2" customWidth="1"/>
    <col min="4" max="4" width="21.83203125" style="2" customWidth="1"/>
    <col min="5" max="5" width="29.5" style="2" customWidth="1"/>
    <col min="6" max="16384" width="8.83203125" style="2"/>
  </cols>
  <sheetData>
    <row r="1" spans="1:20" ht="25" x14ac:dyDescent="0.25">
      <c r="A1" s="1" t="s">
        <v>0</v>
      </c>
    </row>
    <row r="2" spans="1:20" ht="25" x14ac:dyDescent="0.25">
      <c r="A2" s="1"/>
      <c r="N2" s="3" t="s">
        <v>1</v>
      </c>
      <c r="O2" s="3" t="s">
        <v>2</v>
      </c>
      <c r="P2" s="3">
        <v>20250401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7" t="s">
        <v>11</v>
      </c>
      <c r="Q11" s="8"/>
      <c r="R11" s="8"/>
      <c r="S11" s="8"/>
      <c r="T11" s="8"/>
    </row>
    <row r="12" spans="1:20" x14ac:dyDescent="0.15">
      <c r="E12" s="8"/>
      <c r="Q12" s="8"/>
      <c r="R12" s="8"/>
      <c r="S12" s="8"/>
      <c r="T12" s="8"/>
    </row>
    <row r="13" spans="1:20" x14ac:dyDescent="0.15">
      <c r="C13" s="9" t="s">
        <v>12</v>
      </c>
      <c r="D13" s="8"/>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x14ac:dyDescent="0.15">
      <c r="D16" s="7" t="s">
        <v>15</v>
      </c>
      <c r="E16" s="8"/>
      <c r="Q16" s="8"/>
      <c r="R16" s="8"/>
      <c r="S16" s="8"/>
      <c r="T16" s="8"/>
    </row>
    <row r="17" spans="2:20" ht="12" customHeight="1" x14ac:dyDescent="0.15">
      <c r="B17" s="4"/>
      <c r="C17" s="9"/>
      <c r="D17" s="7"/>
      <c r="E17" s="8"/>
      <c r="Q17" s="8"/>
      <c r="R17" s="8"/>
      <c r="S17" s="8"/>
      <c r="T17" s="8"/>
    </row>
    <row r="18" spans="2:20" ht="25" x14ac:dyDescent="0.15">
      <c r="B18" s="4" t="s">
        <v>16</v>
      </c>
      <c r="D18" s="7"/>
      <c r="E18" s="8"/>
      <c r="Q18" s="8"/>
      <c r="R18" s="8"/>
      <c r="S18" s="8"/>
      <c r="T18" s="8"/>
    </row>
    <row r="19" spans="2:20" x14ac:dyDescent="0.15">
      <c r="D19" s="10" t="s">
        <v>17</v>
      </c>
      <c r="E19" s="8"/>
      <c r="Q19" s="8"/>
      <c r="R19" s="8"/>
      <c r="S19" s="8"/>
      <c r="T19" s="8"/>
    </row>
    <row r="20" spans="2:20" x14ac:dyDescent="0.15">
      <c r="D20" s="7"/>
      <c r="E20" s="11" t="s">
        <v>18</v>
      </c>
      <c r="F20" s="12"/>
      <c r="G20" s="12"/>
      <c r="H20" s="12"/>
      <c r="Q20" s="8"/>
      <c r="R20" s="8"/>
      <c r="S20" s="8"/>
      <c r="T20" s="8"/>
    </row>
    <row r="21" spans="2:20" x14ac:dyDescent="0.15">
      <c r="D21" s="7"/>
      <c r="E21" s="13" t="s">
        <v>19</v>
      </c>
      <c r="Q21" s="8"/>
      <c r="R21" s="8"/>
      <c r="S21" s="8"/>
      <c r="T21" s="8"/>
    </row>
    <row r="22" spans="2:20" x14ac:dyDescent="0.15">
      <c r="D22" s="7"/>
      <c r="E22" s="13"/>
      <c r="F22" s="7" t="s">
        <v>20</v>
      </c>
      <c r="Q22" s="8"/>
      <c r="R22" s="8"/>
      <c r="S22" s="8"/>
      <c r="T22" s="8"/>
    </row>
    <row r="23" spans="2:20" x14ac:dyDescent="0.15">
      <c r="D23" s="7"/>
      <c r="F23" s="14" t="s">
        <v>21</v>
      </c>
      <c r="Q23" s="8"/>
      <c r="R23" s="8"/>
      <c r="S23" s="8"/>
      <c r="T23" s="8"/>
    </row>
    <row r="24" spans="2:20" x14ac:dyDescent="0.15">
      <c r="D24" s="7"/>
      <c r="E24" s="13" t="s">
        <v>22</v>
      </c>
      <c r="Q24" s="8"/>
      <c r="R24" s="8"/>
      <c r="S24" s="8"/>
      <c r="T24" s="8"/>
    </row>
    <row r="25" spans="2:20" x14ac:dyDescent="0.15">
      <c r="D25" s="7"/>
      <c r="E25" s="13"/>
      <c r="F25" s="14" t="s">
        <v>23</v>
      </c>
      <c r="Q25" s="8"/>
      <c r="R25" s="8"/>
      <c r="S25" s="8"/>
      <c r="T25" s="8"/>
    </row>
    <row r="26" spans="2:20" x14ac:dyDescent="0.15">
      <c r="D26" s="7"/>
      <c r="E26" s="13"/>
      <c r="F26" s="14" t="s">
        <v>24</v>
      </c>
      <c r="Q26" s="8"/>
      <c r="R26" s="8"/>
      <c r="S26" s="8"/>
      <c r="T26" s="8"/>
    </row>
    <row r="27" spans="2:20" x14ac:dyDescent="0.15">
      <c r="D27" s="7"/>
      <c r="E27" s="8"/>
      <c r="Q27" s="8"/>
      <c r="R27" s="8"/>
      <c r="S27" s="8"/>
      <c r="T27" s="8"/>
    </row>
    <row r="28" spans="2:20" x14ac:dyDescent="0.15">
      <c r="D28" s="10" t="s">
        <v>25</v>
      </c>
      <c r="E28" s="8"/>
      <c r="Q28" s="8"/>
      <c r="R28" s="8"/>
      <c r="S28" s="8"/>
      <c r="T28" s="8"/>
    </row>
    <row r="29" spans="2:20" x14ac:dyDescent="0.15">
      <c r="D29" s="7"/>
      <c r="E29" s="13" t="s">
        <v>26</v>
      </c>
      <c r="Q29" s="8"/>
      <c r="R29" s="8"/>
      <c r="S29" s="8"/>
      <c r="T29" s="8"/>
    </row>
    <row r="30" spans="2:20" x14ac:dyDescent="0.15">
      <c r="D30" s="7"/>
      <c r="E30" s="13"/>
      <c r="Q30" s="8"/>
      <c r="R30" s="8"/>
      <c r="S30" s="8"/>
      <c r="T30" s="8"/>
    </row>
    <row r="31" spans="2:20" x14ac:dyDescent="0.15">
      <c r="D31" s="7"/>
      <c r="E31" s="8"/>
      <c r="Q31" s="8"/>
      <c r="R31" s="8"/>
      <c r="S31" s="8"/>
      <c r="T31" s="8"/>
    </row>
    <row r="32" spans="2:20" ht="25" x14ac:dyDescent="0.15">
      <c r="B32" s="4" t="s">
        <v>27</v>
      </c>
      <c r="D32" s="7"/>
      <c r="E32" s="8"/>
      <c r="Q32" s="8"/>
      <c r="R32" s="8"/>
      <c r="S32" s="8"/>
      <c r="T32" s="8"/>
    </row>
    <row r="33" spans="2:20" x14ac:dyDescent="0.15">
      <c r="Q33" s="15"/>
      <c r="R33" s="15"/>
      <c r="S33" s="15"/>
      <c r="T33" s="15"/>
    </row>
    <row r="34" spans="2:20" ht="17" thickBot="1" x14ac:dyDescent="0.25">
      <c r="B34" s="16"/>
      <c r="C34" s="16" t="s">
        <v>28</v>
      </c>
      <c r="D34" s="16"/>
      <c r="E34" s="16"/>
      <c r="F34" s="16"/>
      <c r="G34" s="16"/>
      <c r="H34" s="16"/>
      <c r="I34" s="16"/>
      <c r="J34" s="16"/>
      <c r="K34" s="16"/>
      <c r="L34" s="16"/>
      <c r="M34" s="16"/>
      <c r="N34" s="16"/>
      <c r="O34" s="16"/>
      <c r="P34" s="16"/>
      <c r="Q34" s="16"/>
      <c r="R34" s="16"/>
      <c r="S34" s="16"/>
      <c r="T34" s="8"/>
    </row>
    <row r="35" spans="2:20" ht="15" thickTop="1" x14ac:dyDescent="0.15">
      <c r="D35" s="7"/>
      <c r="E35" s="8"/>
      <c r="Q35" s="8"/>
      <c r="R35" s="8"/>
      <c r="S35" s="8"/>
      <c r="T35" s="8"/>
    </row>
    <row r="36" spans="2:20" x14ac:dyDescent="0.15">
      <c r="C36" s="9" t="s">
        <v>29</v>
      </c>
      <c r="E36" s="8"/>
      <c r="Q36" s="8"/>
      <c r="R36" s="8"/>
      <c r="S36" s="8"/>
      <c r="T36" s="8"/>
    </row>
    <row r="37" spans="2:20" ht="15" x14ac:dyDescent="0.15">
      <c r="C37" s="17"/>
      <c r="D37" s="18" t="s">
        <v>30</v>
      </c>
      <c r="E37" s="19" t="s">
        <v>31</v>
      </c>
      <c r="F37" s="20"/>
      <c r="G37" s="20" t="s">
        <v>32</v>
      </c>
      <c r="H37" s="21"/>
      <c r="Q37" s="8"/>
      <c r="R37" s="8"/>
      <c r="S37" s="8"/>
      <c r="T37" s="8"/>
    </row>
    <row r="38" spans="2:20" ht="15" x14ac:dyDescent="0.15">
      <c r="C38" s="17"/>
      <c r="D38" s="18" t="s">
        <v>33</v>
      </c>
      <c r="E38" s="19" t="s">
        <v>34</v>
      </c>
      <c r="F38" s="20"/>
      <c r="G38" s="20" t="s">
        <v>35</v>
      </c>
      <c r="H38" s="20"/>
      <c r="Q38" s="8"/>
      <c r="R38" s="8"/>
      <c r="S38" s="8"/>
      <c r="T38" s="8"/>
    </row>
    <row r="39" spans="2:20" x14ac:dyDescent="0.15">
      <c r="C39" s="17"/>
      <c r="D39" s="18"/>
      <c r="E39" s="19"/>
      <c r="F39" s="20"/>
      <c r="G39" s="20"/>
      <c r="H39" s="20"/>
      <c r="Q39" s="8"/>
      <c r="R39" s="8"/>
      <c r="S39" s="8"/>
      <c r="T39" s="8"/>
    </row>
    <row r="40" spans="2:20" x14ac:dyDescent="0.15">
      <c r="C40" s="9" t="s">
        <v>36</v>
      </c>
      <c r="D40" s="22"/>
      <c r="E40" s="19"/>
      <c r="F40" s="20"/>
      <c r="G40" s="20"/>
      <c r="H40" s="20"/>
      <c r="Q40" s="8"/>
      <c r="R40" s="8"/>
      <c r="S40" s="8"/>
      <c r="T40" s="8"/>
    </row>
    <row r="41" spans="2:20" x14ac:dyDescent="0.15">
      <c r="C41" s="23"/>
      <c r="D41" s="2" t="s">
        <v>37</v>
      </c>
      <c r="E41" s="19" t="s">
        <v>38</v>
      </c>
      <c r="F41" s="20"/>
      <c r="G41" s="20"/>
      <c r="H41" s="20"/>
      <c r="Q41" s="8"/>
      <c r="R41" s="8"/>
      <c r="S41" s="8"/>
      <c r="T41" s="8"/>
    </row>
    <row r="42" spans="2:20" x14ac:dyDescent="0.15">
      <c r="C42" s="23"/>
      <c r="D42" s="2" t="s">
        <v>39</v>
      </c>
      <c r="E42" s="19" t="s">
        <v>40</v>
      </c>
      <c r="F42" s="20"/>
      <c r="G42" s="20"/>
      <c r="H42" s="20"/>
      <c r="Q42" s="8"/>
      <c r="R42" s="8"/>
      <c r="S42" s="8"/>
      <c r="T42" s="8"/>
    </row>
    <row r="43" spans="2:20" x14ac:dyDescent="0.15">
      <c r="D43" s="2" t="s">
        <v>41</v>
      </c>
      <c r="E43" s="20" t="s">
        <v>42</v>
      </c>
      <c r="F43" s="20"/>
      <c r="G43" s="20"/>
      <c r="H43" s="20"/>
      <c r="Q43" s="8"/>
      <c r="R43" s="8"/>
      <c r="S43" s="8"/>
      <c r="T43" s="8"/>
    </row>
    <row r="44" spans="2:20" x14ac:dyDescent="0.15">
      <c r="E44" s="19"/>
      <c r="F44" s="20"/>
      <c r="G44" s="20"/>
      <c r="H44" s="20"/>
      <c r="Q44" s="8"/>
      <c r="R44" s="8"/>
      <c r="S44" s="8"/>
      <c r="T44" s="8"/>
    </row>
    <row r="45" spans="2:20" x14ac:dyDescent="0.15">
      <c r="C45" s="9" t="s">
        <v>43</v>
      </c>
      <c r="E45" s="20"/>
      <c r="F45" s="20"/>
      <c r="G45" s="20"/>
      <c r="H45" s="20"/>
      <c r="T45" s="8"/>
    </row>
    <row r="46" spans="2:20" x14ac:dyDescent="0.15">
      <c r="D46" s="2" t="s">
        <v>44</v>
      </c>
      <c r="E46" s="20" t="s">
        <v>45</v>
      </c>
      <c r="F46" s="20"/>
      <c r="G46" s="20"/>
      <c r="H46" s="20"/>
      <c r="T46" s="8"/>
    </row>
    <row r="47" spans="2:20" x14ac:dyDescent="0.15">
      <c r="E47" s="20"/>
      <c r="F47" s="20"/>
      <c r="G47" s="20"/>
      <c r="H47" s="20"/>
      <c r="T47" s="8"/>
    </row>
    <row r="48" spans="2:20" x14ac:dyDescent="0.15">
      <c r="C48" s="9" t="s">
        <v>46</v>
      </c>
      <c r="E48" s="19"/>
      <c r="F48" s="20"/>
      <c r="G48" s="20"/>
      <c r="H48" s="20"/>
      <c r="Q48" s="8"/>
      <c r="R48" s="8"/>
      <c r="S48" s="8"/>
      <c r="T48" s="8"/>
    </row>
    <row r="49" spans="3:20" x14ac:dyDescent="0.15">
      <c r="C49" s="17"/>
      <c r="D49" s="2" t="s">
        <v>47</v>
      </c>
      <c r="E49" s="20" t="s">
        <v>48</v>
      </c>
      <c r="F49" s="20"/>
      <c r="G49" s="20"/>
      <c r="H49" s="20"/>
      <c r="T49" s="8"/>
    </row>
    <row r="50" spans="3:20" x14ac:dyDescent="0.15">
      <c r="D50" s="2" t="s">
        <v>49</v>
      </c>
      <c r="E50" s="20" t="s">
        <v>50</v>
      </c>
      <c r="F50" s="20"/>
      <c r="G50" s="20"/>
      <c r="H50" s="20"/>
      <c r="T50" s="8"/>
    </row>
    <row r="51" spans="3:20" x14ac:dyDescent="0.15">
      <c r="D51" s="24"/>
      <c r="E51" s="20"/>
      <c r="F51" s="20"/>
      <c r="G51" s="20"/>
      <c r="H51" s="20"/>
      <c r="T51" s="8"/>
    </row>
    <row r="52" spans="3:20" x14ac:dyDescent="0.15">
      <c r="C52" s="9" t="s">
        <v>51</v>
      </c>
      <c r="E52" s="20"/>
      <c r="F52" s="20"/>
      <c r="G52" s="20"/>
      <c r="H52" s="20"/>
      <c r="T52" s="8"/>
    </row>
    <row r="53" spans="3:20" x14ac:dyDescent="0.15">
      <c r="D53" s="2" t="s">
        <v>52</v>
      </c>
      <c r="E53" s="20" t="s">
        <v>53</v>
      </c>
      <c r="F53" s="20"/>
      <c r="G53" s="20" t="s">
        <v>54</v>
      </c>
      <c r="H53" s="20"/>
      <c r="T53" s="8"/>
    </row>
    <row r="54" spans="3:20" x14ac:dyDescent="0.15">
      <c r="C54" s="9"/>
      <c r="D54" s="2" t="s">
        <v>55</v>
      </c>
      <c r="E54" s="20" t="s">
        <v>56</v>
      </c>
      <c r="F54" s="20"/>
      <c r="G54" s="20" t="s">
        <v>57</v>
      </c>
      <c r="H54" s="20"/>
      <c r="T54" s="8"/>
    </row>
    <row r="55" spans="3:20" x14ac:dyDescent="0.15">
      <c r="C55" s="9"/>
      <c r="E55" s="20"/>
      <c r="F55" s="20"/>
      <c r="G55" s="20"/>
      <c r="H55" s="20"/>
      <c r="T55" s="8"/>
    </row>
    <row r="56" spans="3:20" x14ac:dyDescent="0.15">
      <c r="C56" s="9" t="s">
        <v>58</v>
      </c>
      <c r="E56" s="20"/>
      <c r="F56" s="20"/>
      <c r="G56" s="20"/>
      <c r="H56" s="20"/>
      <c r="T56" s="8"/>
    </row>
    <row r="57" spans="3:20" x14ac:dyDescent="0.15">
      <c r="D57" s="2" t="s">
        <v>59</v>
      </c>
      <c r="E57" s="20" t="s">
        <v>60</v>
      </c>
      <c r="F57" s="20"/>
      <c r="G57" s="20" t="s">
        <v>61</v>
      </c>
      <c r="H57" s="20"/>
      <c r="T57" s="8"/>
    </row>
    <row r="58" spans="3:20" x14ac:dyDescent="0.15">
      <c r="C58" s="9"/>
      <c r="D58" s="2" t="s">
        <v>62</v>
      </c>
      <c r="E58" s="20" t="s">
        <v>63</v>
      </c>
      <c r="F58" s="20"/>
      <c r="G58" s="20"/>
      <c r="H58" s="20"/>
      <c r="T58" s="8"/>
    </row>
    <row r="59" spans="3:20" x14ac:dyDescent="0.15">
      <c r="C59" s="9"/>
      <c r="D59" s="2" t="s">
        <v>64</v>
      </c>
      <c r="E59" s="20" t="s">
        <v>65</v>
      </c>
      <c r="F59" s="20"/>
      <c r="G59" s="20"/>
      <c r="H59" s="20"/>
      <c r="T59" s="8"/>
    </row>
    <row r="60" spans="3:20" x14ac:dyDescent="0.15">
      <c r="C60" s="9"/>
      <c r="D60" s="2" t="s">
        <v>66</v>
      </c>
      <c r="E60" s="20" t="s">
        <v>67</v>
      </c>
      <c r="F60" s="20"/>
      <c r="G60" s="20"/>
      <c r="H60" s="20"/>
      <c r="T60" s="8"/>
    </row>
    <row r="61" spans="3:20" x14ac:dyDescent="0.15">
      <c r="C61" s="9"/>
      <c r="D61" s="25" t="s">
        <v>68</v>
      </c>
      <c r="E61" s="25" t="s">
        <v>69</v>
      </c>
      <c r="F61" s="20"/>
      <c r="G61" s="20"/>
      <c r="H61" s="20"/>
      <c r="T61" s="8"/>
    </row>
    <row r="62" spans="3:20" x14ac:dyDescent="0.15">
      <c r="C62" s="9"/>
      <c r="D62" s="2" t="s">
        <v>70</v>
      </c>
      <c r="E62" s="20" t="s">
        <v>71</v>
      </c>
      <c r="F62" s="20"/>
      <c r="G62" s="20"/>
      <c r="H62" s="20"/>
      <c r="T62" s="8"/>
    </row>
    <row r="63" spans="3:20" x14ac:dyDescent="0.15">
      <c r="C63" s="9"/>
      <c r="D63" s="2" t="s">
        <v>72</v>
      </c>
      <c r="E63" s="20" t="s">
        <v>73</v>
      </c>
      <c r="F63" s="20"/>
      <c r="G63" s="20"/>
      <c r="H63" s="20"/>
      <c r="T63" s="8"/>
    </row>
    <row r="64" spans="3:20" x14ac:dyDescent="0.15">
      <c r="C64" s="9"/>
      <c r="D64" s="2" t="s">
        <v>74</v>
      </c>
      <c r="E64" s="2" t="s">
        <v>75</v>
      </c>
      <c r="H64" s="20"/>
    </row>
    <row r="65" spans="2:19" x14ac:dyDescent="0.15">
      <c r="E65" s="20"/>
      <c r="F65" s="20"/>
      <c r="G65" s="20"/>
      <c r="H65" s="20"/>
    </row>
    <row r="66" spans="2:19" x14ac:dyDescent="0.15">
      <c r="C66" s="9" t="s">
        <v>76</v>
      </c>
      <c r="E66" s="20"/>
      <c r="F66" s="20"/>
      <c r="G66" s="20"/>
      <c r="H66" s="20"/>
    </row>
    <row r="67" spans="2:19" x14ac:dyDescent="0.15">
      <c r="D67" s="2" t="s">
        <v>77</v>
      </c>
      <c r="E67" s="20" t="s">
        <v>78</v>
      </c>
      <c r="F67" s="20"/>
      <c r="G67" s="20"/>
      <c r="H67" s="20"/>
    </row>
    <row r="68" spans="2:19" x14ac:dyDescent="0.15">
      <c r="D68" s="2" t="s">
        <v>79</v>
      </c>
      <c r="E68" s="20" t="s">
        <v>80</v>
      </c>
      <c r="F68" s="20"/>
      <c r="G68" s="20"/>
      <c r="H68" s="20"/>
    </row>
    <row r="69" spans="2:19" x14ac:dyDescent="0.15">
      <c r="D69" s="2" t="s">
        <v>81</v>
      </c>
      <c r="E69" s="20" t="s">
        <v>82</v>
      </c>
      <c r="F69" s="20"/>
      <c r="G69" s="20"/>
      <c r="H69" s="20"/>
    </row>
    <row r="70" spans="2:19" x14ac:dyDescent="0.15">
      <c r="C70" s="9"/>
      <c r="E70" s="20"/>
      <c r="F70" s="20"/>
      <c r="G70" s="20"/>
      <c r="H70" s="20"/>
    </row>
    <row r="71" spans="2:19" ht="17" thickBot="1" x14ac:dyDescent="0.25">
      <c r="B71" s="16"/>
      <c r="C71" s="16" t="s">
        <v>83</v>
      </c>
      <c r="D71" s="16"/>
      <c r="E71" s="16"/>
      <c r="F71" s="16"/>
      <c r="G71" s="16"/>
      <c r="H71" s="16"/>
      <c r="I71" s="16"/>
      <c r="J71" s="16"/>
      <c r="K71" s="16"/>
      <c r="L71" s="16"/>
      <c r="M71" s="16"/>
      <c r="N71" s="16"/>
      <c r="O71" s="16"/>
      <c r="P71" s="16"/>
      <c r="Q71" s="16"/>
      <c r="R71" s="16"/>
      <c r="S71" s="16"/>
    </row>
    <row r="72" spans="2:19" ht="15" thickTop="1" x14ac:dyDescent="0.15">
      <c r="C72" s="23" t="s">
        <v>84</v>
      </c>
      <c r="D72" s="26"/>
      <c r="E72" s="20" t="s">
        <v>85</v>
      </c>
      <c r="F72" s="20"/>
      <c r="G72" s="20"/>
      <c r="H72" s="20"/>
      <c r="I72" s="20"/>
      <c r="J72" s="20"/>
      <c r="K72" s="20"/>
      <c r="L72" s="20"/>
    </row>
    <row r="73" spans="2:19" x14ac:dyDescent="0.15">
      <c r="C73" s="23" t="s">
        <v>86</v>
      </c>
      <c r="D73" s="26"/>
      <c r="E73" s="20"/>
      <c r="F73" s="20"/>
      <c r="G73" s="20"/>
      <c r="H73" s="20"/>
      <c r="I73" s="20"/>
      <c r="J73" s="20"/>
      <c r="K73" s="20"/>
      <c r="L73" s="20"/>
    </row>
    <row r="74" spans="2:19" x14ac:dyDescent="0.15">
      <c r="C74" s="23"/>
      <c r="D74" s="26" t="s">
        <v>87</v>
      </c>
      <c r="E74" s="20" t="s">
        <v>88</v>
      </c>
      <c r="F74" s="20"/>
      <c r="G74" s="20"/>
      <c r="H74" s="20"/>
      <c r="I74" s="20"/>
      <c r="J74" s="20"/>
      <c r="K74" s="20"/>
      <c r="L74" s="20"/>
    </row>
    <row r="75" spans="2:19" x14ac:dyDescent="0.15">
      <c r="C75" s="26"/>
      <c r="D75" s="27" t="s">
        <v>89</v>
      </c>
      <c r="E75" s="20" t="s">
        <v>90</v>
      </c>
      <c r="F75" s="20"/>
      <c r="G75" s="20" t="s">
        <v>91</v>
      </c>
      <c r="H75" s="20"/>
      <c r="I75" s="20"/>
      <c r="J75" s="20"/>
      <c r="K75" s="20"/>
      <c r="L75" s="20"/>
    </row>
    <row r="76" spans="2:19" x14ac:dyDescent="0.15">
      <c r="C76" s="26"/>
      <c r="D76" s="28" t="s">
        <v>92</v>
      </c>
      <c r="E76" s="20" t="s">
        <v>93</v>
      </c>
      <c r="F76" s="20"/>
      <c r="G76" s="20" t="s">
        <v>94</v>
      </c>
      <c r="H76" s="20"/>
      <c r="I76" s="20"/>
      <c r="J76" s="20"/>
      <c r="K76" s="20"/>
      <c r="L76" s="20"/>
    </row>
    <row r="77" spans="2:19" x14ac:dyDescent="0.15">
      <c r="C77" s="26"/>
      <c r="D77" s="26" t="s">
        <v>95</v>
      </c>
      <c r="E77" s="20" t="s">
        <v>96</v>
      </c>
      <c r="F77" s="20"/>
      <c r="G77" s="20" t="s">
        <v>94</v>
      </c>
      <c r="H77" s="20"/>
      <c r="I77" s="20"/>
      <c r="J77" s="20"/>
      <c r="K77" s="20"/>
      <c r="L77" s="20"/>
    </row>
    <row r="78" spans="2:19" x14ac:dyDescent="0.15">
      <c r="C78" s="26"/>
      <c r="D78" s="26" t="s">
        <v>97</v>
      </c>
      <c r="E78" s="20" t="s">
        <v>98</v>
      </c>
      <c r="F78" s="20"/>
      <c r="G78" s="20" t="s">
        <v>94</v>
      </c>
      <c r="H78" s="20"/>
      <c r="I78" s="20"/>
      <c r="J78" s="20"/>
      <c r="K78" s="20"/>
      <c r="L78" s="20"/>
    </row>
    <row r="79" spans="2:19" x14ac:dyDescent="0.15">
      <c r="C79" s="26"/>
      <c r="D79" s="29"/>
      <c r="E79" s="30"/>
      <c r="F79" s="20"/>
      <c r="G79" s="20"/>
      <c r="H79" s="20"/>
      <c r="I79" s="20"/>
      <c r="J79" s="20"/>
      <c r="K79" s="20"/>
      <c r="L79" s="20"/>
    </row>
    <row r="80" spans="2:19" x14ac:dyDescent="0.15">
      <c r="C80" s="26"/>
      <c r="D80" s="31" t="s">
        <v>99</v>
      </c>
      <c r="E80" s="20" t="s">
        <v>100</v>
      </c>
      <c r="F80" s="20"/>
      <c r="G80" s="20"/>
      <c r="H80" s="20"/>
      <c r="I80" s="20"/>
      <c r="J80" s="20"/>
      <c r="K80" s="20"/>
      <c r="L80" s="20"/>
    </row>
    <row r="81" spans="3:12" x14ac:dyDescent="0.15">
      <c r="C81" s="26"/>
      <c r="D81" s="32" t="s">
        <v>101</v>
      </c>
      <c r="E81" s="25" t="s">
        <v>102</v>
      </c>
      <c r="F81" s="20"/>
      <c r="G81" s="20"/>
      <c r="H81" s="20"/>
      <c r="I81" s="20"/>
      <c r="J81" s="20"/>
      <c r="K81" s="20"/>
      <c r="L81" s="20"/>
    </row>
    <row r="82" spans="3:12" x14ac:dyDescent="0.15">
      <c r="C82" s="26"/>
      <c r="D82" s="31"/>
      <c r="E82" s="20"/>
      <c r="F82" s="20"/>
      <c r="G82" s="20"/>
      <c r="H82" s="20"/>
      <c r="I82" s="20"/>
      <c r="J82" s="20"/>
      <c r="K82" s="20"/>
      <c r="L82" s="20"/>
    </row>
    <row r="83" spans="3:12" x14ac:dyDescent="0.15">
      <c r="C83" s="23" t="s">
        <v>103</v>
      </c>
      <c r="D83" s="31"/>
      <c r="E83" s="20"/>
      <c r="F83" s="20"/>
      <c r="G83" s="20"/>
      <c r="H83" s="20"/>
      <c r="I83" s="20"/>
      <c r="J83" s="20"/>
      <c r="K83" s="20"/>
      <c r="L83" s="20"/>
    </row>
    <row r="84" spans="3:12" x14ac:dyDescent="0.15">
      <c r="D84" s="31" t="s">
        <v>104</v>
      </c>
      <c r="E84" s="20" t="s">
        <v>105</v>
      </c>
      <c r="F84" s="20"/>
      <c r="G84" s="20" t="s">
        <v>106</v>
      </c>
      <c r="H84" s="20"/>
      <c r="I84" s="20"/>
      <c r="J84" s="20"/>
      <c r="K84" s="20"/>
      <c r="L84" s="20"/>
    </row>
    <row r="85" spans="3:12" x14ac:dyDescent="0.15">
      <c r="C85" s="26"/>
      <c r="D85" s="26" t="s">
        <v>107</v>
      </c>
      <c r="E85" s="20" t="s">
        <v>108</v>
      </c>
      <c r="F85" s="20"/>
      <c r="G85" s="20" t="s">
        <v>109</v>
      </c>
      <c r="H85" s="20"/>
      <c r="I85" s="20"/>
      <c r="J85" s="20"/>
      <c r="K85" s="20"/>
      <c r="L85" s="20"/>
    </row>
    <row r="86" spans="3:12" x14ac:dyDescent="0.15">
      <c r="C86" s="26"/>
      <c r="D86" s="26" t="s">
        <v>110</v>
      </c>
      <c r="E86" s="20" t="s">
        <v>111</v>
      </c>
      <c r="F86" s="20"/>
      <c r="G86" s="20" t="s">
        <v>112</v>
      </c>
      <c r="H86" s="20"/>
      <c r="I86" s="20"/>
      <c r="J86" s="20"/>
      <c r="K86" s="20"/>
      <c r="L86" s="20"/>
    </row>
    <row r="87" spans="3:12" x14ac:dyDescent="0.15">
      <c r="C87" s="26"/>
      <c r="D87" s="26" t="s">
        <v>113</v>
      </c>
      <c r="E87" s="20" t="s">
        <v>114</v>
      </c>
      <c r="F87" s="20"/>
      <c r="G87" s="20" t="s">
        <v>115</v>
      </c>
      <c r="H87" s="20"/>
      <c r="I87" s="20"/>
      <c r="J87" s="20"/>
      <c r="K87" s="20"/>
      <c r="L87" s="20"/>
    </row>
    <row r="88" spans="3:12" x14ac:dyDescent="0.15">
      <c r="C88" s="26"/>
      <c r="D88" s="26" t="s">
        <v>116</v>
      </c>
      <c r="E88" s="20" t="s">
        <v>117</v>
      </c>
      <c r="F88" s="20"/>
      <c r="G88" s="20" t="s">
        <v>118</v>
      </c>
      <c r="H88" s="20"/>
      <c r="I88" s="20"/>
      <c r="J88" s="20"/>
      <c r="K88" s="20"/>
      <c r="L88" s="20"/>
    </row>
    <row r="89" spans="3:12" x14ac:dyDescent="0.15">
      <c r="C89" s="26"/>
      <c r="D89" s="26" t="s">
        <v>119</v>
      </c>
      <c r="E89" s="20" t="s">
        <v>120</v>
      </c>
      <c r="F89" s="20"/>
      <c r="G89" s="20"/>
      <c r="H89" s="20"/>
      <c r="I89" s="20"/>
      <c r="J89" s="20"/>
      <c r="K89" s="20"/>
      <c r="L89" s="20"/>
    </row>
    <row r="90" spans="3:12" x14ac:dyDescent="0.15">
      <c r="C90" s="26"/>
      <c r="D90" s="31"/>
      <c r="E90" s="20"/>
      <c r="F90" s="20"/>
      <c r="G90" s="20"/>
      <c r="H90" s="20"/>
      <c r="I90" s="20"/>
      <c r="J90" s="20"/>
      <c r="K90" s="20"/>
      <c r="L90" s="20"/>
    </row>
    <row r="91" spans="3:12" x14ac:dyDescent="0.15">
      <c r="C91" s="23" t="s">
        <v>121</v>
      </c>
      <c r="D91" s="26"/>
      <c r="E91" s="20" t="s">
        <v>122</v>
      </c>
      <c r="F91" s="20"/>
      <c r="G91" s="20" t="s">
        <v>123</v>
      </c>
      <c r="H91" s="20"/>
      <c r="I91" s="20"/>
      <c r="J91" s="20"/>
      <c r="K91" s="20"/>
      <c r="L91" s="20"/>
    </row>
    <row r="92" spans="3:12" x14ac:dyDescent="0.15">
      <c r="C92" s="23"/>
      <c r="D92" s="26"/>
      <c r="E92" s="20"/>
      <c r="F92" s="20"/>
      <c r="G92" s="20"/>
      <c r="H92" s="20"/>
      <c r="I92" s="20"/>
      <c r="J92" s="20"/>
      <c r="K92" s="20"/>
      <c r="L92" s="20"/>
    </row>
    <row r="93" spans="3:12" x14ac:dyDescent="0.15">
      <c r="C93" s="23" t="s">
        <v>124</v>
      </c>
      <c r="D93" s="26"/>
      <c r="E93" s="20"/>
      <c r="F93" s="20"/>
      <c r="G93" s="20"/>
      <c r="H93" s="20"/>
      <c r="I93" s="20"/>
      <c r="J93" s="20"/>
      <c r="K93" s="20"/>
      <c r="L93" s="20"/>
    </row>
    <row r="94" spans="3:12" x14ac:dyDescent="0.15">
      <c r="C94" s="26"/>
      <c r="D94" s="26" t="s">
        <v>125</v>
      </c>
      <c r="E94" s="20" t="s">
        <v>126</v>
      </c>
      <c r="F94" s="20"/>
      <c r="G94" s="20"/>
      <c r="H94" s="20"/>
      <c r="I94" s="20"/>
      <c r="J94" s="20"/>
      <c r="K94" s="20"/>
      <c r="L94" s="20"/>
    </row>
    <row r="95" spans="3:12" x14ac:dyDescent="0.15">
      <c r="C95" s="26"/>
      <c r="D95" s="32" t="s">
        <v>127</v>
      </c>
      <c r="E95" s="20"/>
      <c r="F95" s="20"/>
      <c r="G95" s="20"/>
      <c r="H95" s="20"/>
      <c r="I95" s="20"/>
      <c r="J95" s="20"/>
      <c r="K95" s="20"/>
      <c r="L95" s="20"/>
    </row>
    <row r="96" spans="3:12" x14ac:dyDescent="0.15">
      <c r="C96" s="26"/>
      <c r="D96" s="32"/>
      <c r="E96" s="20"/>
      <c r="F96" s="20"/>
      <c r="G96" s="20"/>
      <c r="H96" s="20"/>
      <c r="I96" s="20"/>
      <c r="J96" s="20"/>
      <c r="K96" s="20"/>
      <c r="L96" s="20"/>
    </row>
    <row r="97" spans="2:23" x14ac:dyDescent="0.15">
      <c r="C97" s="23" t="s">
        <v>128</v>
      </c>
      <c r="D97" s="26"/>
      <c r="E97" s="20"/>
      <c r="F97" s="20"/>
      <c r="G97" s="20"/>
      <c r="H97" s="20"/>
      <c r="I97" s="20"/>
      <c r="J97" s="20"/>
      <c r="K97" s="20"/>
      <c r="L97" s="20"/>
    </row>
    <row r="98" spans="2:23" x14ac:dyDescent="0.15">
      <c r="C98" s="26"/>
      <c r="D98" s="26" t="s">
        <v>129</v>
      </c>
      <c r="E98" s="20" t="s">
        <v>130</v>
      </c>
      <c r="F98" s="20"/>
      <c r="G98" s="20" t="s">
        <v>131</v>
      </c>
      <c r="H98" s="20"/>
      <c r="I98" s="20"/>
      <c r="J98" s="20"/>
      <c r="K98" s="20"/>
      <c r="L98" s="20"/>
    </row>
    <row r="99" spans="2:23" x14ac:dyDescent="0.15">
      <c r="C99" s="26"/>
      <c r="D99" s="26" t="s">
        <v>132</v>
      </c>
      <c r="E99" s="20" t="s">
        <v>133</v>
      </c>
      <c r="F99" s="20"/>
      <c r="G99" s="20" t="s">
        <v>131</v>
      </c>
      <c r="H99" s="20"/>
      <c r="I99" s="20"/>
      <c r="J99" s="20"/>
      <c r="K99" s="20"/>
      <c r="L99" s="20"/>
    </row>
    <row r="100" spans="2:23" x14ac:dyDescent="0.15">
      <c r="C100" s="26"/>
      <c r="D100" s="26" t="s">
        <v>134</v>
      </c>
      <c r="E100" s="20" t="s">
        <v>135</v>
      </c>
      <c r="F100" s="20"/>
      <c r="G100" s="20" t="s">
        <v>131</v>
      </c>
      <c r="H100" s="20"/>
      <c r="I100" s="20"/>
      <c r="J100" s="20"/>
      <c r="K100" s="20"/>
      <c r="L100" s="20"/>
    </row>
    <row r="101" spans="2:23" x14ac:dyDescent="0.15">
      <c r="C101" s="26"/>
      <c r="D101" s="26" t="s">
        <v>136</v>
      </c>
      <c r="E101" s="20" t="s">
        <v>137</v>
      </c>
      <c r="F101" s="20"/>
      <c r="G101" s="20" t="s">
        <v>131</v>
      </c>
      <c r="H101" s="20"/>
      <c r="I101" s="20"/>
      <c r="J101" s="20"/>
      <c r="K101" s="20"/>
      <c r="L101" s="20"/>
    </row>
    <row r="102" spans="2:23" x14ac:dyDescent="0.15">
      <c r="C102" s="26"/>
      <c r="D102" s="32"/>
      <c r="E102" s="20"/>
      <c r="F102" s="20"/>
      <c r="G102" s="20"/>
      <c r="H102" s="20"/>
      <c r="I102" s="20"/>
      <c r="J102" s="20"/>
      <c r="K102" s="20"/>
      <c r="L102" s="20"/>
    </row>
    <row r="103" spans="2:23" ht="17" thickBot="1" x14ac:dyDescent="0.25">
      <c r="B103" s="33"/>
      <c r="C103" s="16" t="s">
        <v>138</v>
      </c>
      <c r="D103" s="33"/>
      <c r="E103" s="34"/>
      <c r="F103" s="34"/>
      <c r="G103" s="34"/>
      <c r="H103" s="34"/>
      <c r="I103" s="34"/>
      <c r="J103" s="34"/>
      <c r="K103" s="34"/>
      <c r="L103" s="34"/>
      <c r="M103" s="33"/>
      <c r="N103" s="33"/>
      <c r="O103" s="33"/>
      <c r="P103" s="33"/>
      <c r="Q103" s="33"/>
      <c r="R103" s="33"/>
      <c r="S103" s="33"/>
      <c r="T103" s="33"/>
      <c r="U103" s="33"/>
      <c r="V103" s="33"/>
      <c r="W103" s="33"/>
    </row>
    <row r="104" spans="2:23" ht="15" thickTop="1" x14ac:dyDescent="0.15">
      <c r="C104" s="26"/>
      <c r="D104" s="32"/>
      <c r="E104" s="20"/>
      <c r="F104" s="20"/>
      <c r="G104" s="20"/>
      <c r="H104" s="20"/>
      <c r="I104" s="20"/>
      <c r="J104" s="20"/>
      <c r="K104" s="20"/>
      <c r="L104" s="20"/>
    </row>
    <row r="105" spans="2:23" x14ac:dyDescent="0.15">
      <c r="C105" s="23" t="s">
        <v>139</v>
      </c>
      <c r="D105" s="32"/>
      <c r="E105" s="20" t="s">
        <v>140</v>
      </c>
      <c r="F105" s="20"/>
      <c r="G105" s="20" t="s">
        <v>141</v>
      </c>
      <c r="H105" s="20"/>
      <c r="I105" s="20"/>
      <c r="J105" s="20"/>
      <c r="K105" s="20"/>
      <c r="L105" s="20"/>
    </row>
    <row r="106" spans="2:23" x14ac:dyDescent="0.15">
      <c r="C106" s="26"/>
      <c r="D106" s="32"/>
      <c r="E106" s="20"/>
      <c r="F106" s="20"/>
      <c r="G106" s="20"/>
      <c r="H106" s="20"/>
      <c r="I106" s="20"/>
      <c r="J106" s="20"/>
      <c r="K106" s="20"/>
      <c r="L106" s="20"/>
    </row>
    <row r="107" spans="2:23" x14ac:dyDescent="0.15">
      <c r="C107" s="23" t="s">
        <v>142</v>
      </c>
      <c r="D107" s="32"/>
      <c r="E107" s="20"/>
      <c r="F107" s="20"/>
      <c r="G107" s="20"/>
      <c r="H107" s="20"/>
      <c r="I107" s="20"/>
      <c r="J107" s="20"/>
      <c r="K107" s="20"/>
      <c r="L107" s="20"/>
    </row>
    <row r="108" spans="2:23" x14ac:dyDescent="0.15">
      <c r="C108" s="26"/>
      <c r="D108" s="28" t="s">
        <v>143</v>
      </c>
      <c r="E108" s="20" t="s">
        <v>144</v>
      </c>
      <c r="F108" s="20"/>
      <c r="G108" s="20"/>
      <c r="H108" s="20"/>
      <c r="I108" s="20"/>
      <c r="J108" s="20"/>
      <c r="K108" s="20"/>
      <c r="L108" s="20"/>
    </row>
    <row r="109" spans="2:23" x14ac:dyDescent="0.15">
      <c r="C109" s="26"/>
      <c r="D109" s="28" t="s">
        <v>145</v>
      </c>
      <c r="E109" s="20" t="s">
        <v>146</v>
      </c>
      <c r="F109" s="20"/>
      <c r="G109" s="20"/>
      <c r="H109" s="20"/>
      <c r="I109" s="20"/>
      <c r="J109" s="20"/>
      <c r="K109" s="20"/>
      <c r="L109" s="20"/>
    </row>
    <row r="110" spans="2:23" x14ac:dyDescent="0.15">
      <c r="C110" s="26"/>
      <c r="D110" s="28" t="s">
        <v>147</v>
      </c>
      <c r="E110" s="20" t="s">
        <v>148</v>
      </c>
      <c r="F110" s="20"/>
      <c r="G110" s="20"/>
      <c r="H110" s="20"/>
      <c r="I110" s="20"/>
      <c r="J110" s="20"/>
      <c r="K110" s="20"/>
      <c r="L110" s="20"/>
    </row>
    <row r="111" spans="2:23" x14ac:dyDescent="0.15">
      <c r="C111" s="26"/>
      <c r="D111" s="35"/>
      <c r="E111" s="20"/>
      <c r="F111" s="20"/>
      <c r="G111" s="20"/>
      <c r="H111" s="20"/>
      <c r="I111" s="20"/>
      <c r="J111" s="20"/>
      <c r="K111" s="20"/>
      <c r="L111" s="20"/>
    </row>
    <row r="112" spans="2:23" x14ac:dyDescent="0.15">
      <c r="C112" s="23"/>
      <c r="D112" s="26"/>
      <c r="E112" s="20"/>
      <c r="F112" s="20"/>
      <c r="G112" s="20"/>
      <c r="H112" s="20"/>
      <c r="I112" s="20"/>
      <c r="J112" s="20"/>
      <c r="K112" s="20"/>
      <c r="L112" s="20"/>
    </row>
    <row r="113" spans="3:12" x14ac:dyDescent="0.15">
      <c r="C113" s="23"/>
      <c r="D113" s="26"/>
      <c r="E113" s="20"/>
      <c r="F113" s="20"/>
      <c r="G113" s="20"/>
      <c r="H113" s="20"/>
      <c r="I113" s="20"/>
      <c r="J113" s="20"/>
      <c r="K113" s="20"/>
      <c r="L113" s="20"/>
    </row>
    <row r="114" spans="3:12" x14ac:dyDescent="0.15">
      <c r="C114" s="23"/>
      <c r="D114" s="26"/>
      <c r="E114" s="20"/>
      <c r="F114" s="20"/>
      <c r="G114" s="20"/>
      <c r="H114" s="20"/>
      <c r="I114" s="20"/>
      <c r="J114" s="20"/>
      <c r="K114" s="20"/>
      <c r="L114" s="20"/>
    </row>
    <row r="115" spans="3:12" x14ac:dyDescent="0.15">
      <c r="C115" s="23"/>
      <c r="D115" s="26"/>
      <c r="E115" s="20"/>
      <c r="F115" s="20"/>
      <c r="G115" s="20"/>
      <c r="H115" s="20"/>
      <c r="I115" s="20"/>
      <c r="J115" s="20"/>
      <c r="K115" s="20"/>
      <c r="L115" s="20"/>
    </row>
    <row r="116" spans="3:12" x14ac:dyDescent="0.15">
      <c r="C116" s="23"/>
      <c r="D116" s="26"/>
      <c r="E116" s="20"/>
      <c r="F116" s="20"/>
      <c r="G116" s="20"/>
      <c r="H116" s="20"/>
      <c r="I116" s="20"/>
      <c r="J116" s="20"/>
      <c r="K116" s="20"/>
      <c r="L116" s="20"/>
    </row>
    <row r="117" spans="3:12" x14ac:dyDescent="0.15">
      <c r="C117" s="23"/>
      <c r="D117" s="26"/>
      <c r="E117" s="20"/>
      <c r="F117" s="20"/>
      <c r="G117" s="20"/>
      <c r="H117" s="20"/>
      <c r="I117" s="20"/>
      <c r="J117" s="20"/>
      <c r="K117" s="20"/>
      <c r="L117" s="20"/>
    </row>
    <row r="118" spans="3:12" x14ac:dyDescent="0.15">
      <c r="C118" s="23"/>
      <c r="D118" s="26"/>
      <c r="E118" s="20"/>
      <c r="F118" s="20"/>
      <c r="G118" s="20"/>
      <c r="H118" s="20"/>
      <c r="I118" s="20"/>
      <c r="J118" s="20"/>
      <c r="K118" s="20"/>
      <c r="L118" s="20"/>
    </row>
    <row r="119" spans="3:12" x14ac:dyDescent="0.15">
      <c r="C119" s="23"/>
      <c r="D119" s="26"/>
      <c r="E119" s="20"/>
      <c r="F119" s="20"/>
      <c r="G119" s="20"/>
      <c r="H119" s="20"/>
      <c r="I119" s="20"/>
      <c r="J119" s="20"/>
      <c r="K119" s="20"/>
      <c r="L119" s="20"/>
    </row>
    <row r="120" spans="3:12" x14ac:dyDescent="0.15">
      <c r="C120" s="23"/>
      <c r="D120" s="26"/>
      <c r="E120" s="20"/>
      <c r="F120" s="20"/>
      <c r="G120" s="20"/>
      <c r="H120" s="20"/>
      <c r="I120" s="20"/>
      <c r="J120" s="20"/>
      <c r="K120" s="20"/>
      <c r="L120" s="20"/>
    </row>
    <row r="121" spans="3:12" x14ac:dyDescent="0.15">
      <c r="C121" s="23"/>
      <c r="D121" s="26"/>
      <c r="E121" s="20"/>
      <c r="F121" s="20"/>
      <c r="G121" s="20"/>
      <c r="H121" s="20"/>
      <c r="I121" s="20"/>
      <c r="J121" s="20"/>
      <c r="K121" s="20"/>
      <c r="L121" s="20"/>
    </row>
    <row r="122" spans="3:12" x14ac:dyDescent="0.15">
      <c r="C122" s="23"/>
      <c r="D122" s="26"/>
      <c r="E122" s="20"/>
      <c r="F122" s="20"/>
      <c r="G122" s="20"/>
      <c r="H122" s="20"/>
      <c r="I122" s="20"/>
      <c r="J122" s="20"/>
      <c r="K122" s="20"/>
      <c r="L122" s="20"/>
    </row>
    <row r="123" spans="3:12" x14ac:dyDescent="0.15">
      <c r="C123" s="23"/>
      <c r="D123" s="26"/>
      <c r="E123" s="20"/>
      <c r="F123" s="20"/>
      <c r="G123" s="20"/>
      <c r="H123" s="20"/>
      <c r="I123" s="20"/>
      <c r="J123" s="20"/>
      <c r="K123" s="20"/>
      <c r="L123" s="20"/>
    </row>
    <row r="124" spans="3:12" x14ac:dyDescent="0.15">
      <c r="C124" s="23"/>
      <c r="D124" s="26"/>
      <c r="E124" s="20"/>
      <c r="F124" s="20"/>
      <c r="G124" s="20"/>
      <c r="H124" s="20"/>
      <c r="I124" s="20"/>
      <c r="J124" s="20"/>
      <c r="K124" s="20"/>
      <c r="L124" s="20"/>
    </row>
    <row r="125" spans="3:12" x14ac:dyDescent="0.15">
      <c r="C125" s="23"/>
      <c r="D125" s="26"/>
      <c r="E125" s="20"/>
      <c r="F125" s="20"/>
      <c r="G125" s="20"/>
      <c r="H125" s="20"/>
      <c r="I125" s="20"/>
      <c r="J125" s="20"/>
      <c r="K125" s="20"/>
      <c r="L125" s="20"/>
    </row>
    <row r="126" spans="3:12" x14ac:dyDescent="0.15">
      <c r="C126" s="23"/>
      <c r="D126" s="26"/>
      <c r="E126" s="20"/>
      <c r="F126" s="20"/>
      <c r="G126" s="20"/>
      <c r="H126" s="20"/>
      <c r="I126" s="20"/>
      <c r="J126" s="20"/>
      <c r="K126" s="20"/>
      <c r="L126" s="20"/>
    </row>
    <row r="127" spans="3:12" x14ac:dyDescent="0.15">
      <c r="C127" s="23"/>
      <c r="D127" s="26"/>
      <c r="E127" s="20"/>
      <c r="F127" s="20"/>
      <c r="G127" s="20"/>
      <c r="H127" s="20"/>
      <c r="I127" s="20"/>
      <c r="J127" s="20"/>
      <c r="K127" s="20"/>
      <c r="L127" s="20"/>
    </row>
    <row r="128" spans="3:12" x14ac:dyDescent="0.15">
      <c r="C128" s="23"/>
      <c r="D128" s="26"/>
      <c r="E128" s="20"/>
      <c r="F128" s="20"/>
      <c r="G128" s="20"/>
      <c r="H128" s="20"/>
      <c r="I128" s="20"/>
      <c r="J128" s="20"/>
      <c r="K128" s="20"/>
      <c r="L128" s="20"/>
    </row>
    <row r="129" spans="2:12" x14ac:dyDescent="0.15">
      <c r="C129" s="23"/>
      <c r="D129" s="26"/>
      <c r="E129" s="20"/>
      <c r="F129" s="20"/>
      <c r="G129" s="20"/>
      <c r="H129" s="20"/>
      <c r="I129" s="20"/>
      <c r="J129" s="20"/>
      <c r="K129" s="20"/>
      <c r="L129" s="20"/>
    </row>
    <row r="130" spans="2:12" x14ac:dyDescent="0.15">
      <c r="C130" s="23"/>
      <c r="D130" s="26"/>
      <c r="E130" s="20"/>
      <c r="F130" s="20"/>
      <c r="G130" s="20"/>
      <c r="H130" s="20"/>
      <c r="I130" s="20"/>
      <c r="J130" s="20"/>
      <c r="K130" s="20"/>
      <c r="L130" s="20"/>
    </row>
    <row r="131" spans="2:12" x14ac:dyDescent="0.15">
      <c r="C131" s="23"/>
      <c r="D131" s="26"/>
      <c r="E131" s="20"/>
      <c r="F131" s="20"/>
      <c r="G131" s="20"/>
      <c r="H131" s="20"/>
      <c r="I131" s="20"/>
      <c r="J131" s="20"/>
      <c r="K131" s="20"/>
      <c r="L131" s="20"/>
    </row>
    <row r="132" spans="2:12" x14ac:dyDescent="0.15">
      <c r="C132" s="23"/>
      <c r="D132" s="26"/>
      <c r="E132" s="20"/>
      <c r="F132" s="20"/>
      <c r="G132" s="20"/>
      <c r="H132" s="20"/>
      <c r="I132" s="20"/>
      <c r="J132" s="20"/>
      <c r="K132" s="20"/>
      <c r="L132" s="20"/>
    </row>
    <row r="133" spans="2:12" x14ac:dyDescent="0.15">
      <c r="C133" s="23"/>
      <c r="D133" s="26"/>
      <c r="E133" s="20"/>
      <c r="F133" s="20"/>
      <c r="G133" s="20"/>
      <c r="H133" s="20"/>
      <c r="I133" s="20"/>
      <c r="J133" s="20"/>
      <c r="K133" s="20"/>
      <c r="L133" s="20"/>
    </row>
    <row r="134" spans="2:12" x14ac:dyDescent="0.15">
      <c r="C134" s="23"/>
      <c r="D134" s="26"/>
      <c r="E134" s="20"/>
      <c r="F134" s="20"/>
      <c r="G134" s="20"/>
      <c r="H134" s="20"/>
      <c r="I134" s="20"/>
      <c r="J134" s="20"/>
      <c r="K134" s="20"/>
      <c r="L134" s="20"/>
    </row>
    <row r="135" spans="2:12" x14ac:dyDescent="0.15">
      <c r="C135" s="23"/>
      <c r="D135" s="26"/>
      <c r="E135" s="20"/>
      <c r="F135" s="20"/>
      <c r="G135" s="20"/>
      <c r="H135" s="20"/>
      <c r="I135" s="20"/>
      <c r="J135" s="20"/>
      <c r="K135" s="20"/>
      <c r="L135" s="20"/>
    </row>
    <row r="136" spans="2:12" x14ac:dyDescent="0.15">
      <c r="C136" s="23"/>
      <c r="D136" s="26"/>
      <c r="E136" s="20"/>
      <c r="F136" s="20"/>
      <c r="G136" s="20"/>
      <c r="H136" s="20"/>
      <c r="I136" s="20"/>
      <c r="J136" s="20"/>
      <c r="K136" s="20"/>
      <c r="L136" s="20"/>
    </row>
    <row r="137" spans="2:12" x14ac:dyDescent="0.15">
      <c r="C137" s="23"/>
      <c r="D137" s="26"/>
      <c r="E137" s="20"/>
      <c r="F137" s="20"/>
      <c r="G137" s="20"/>
      <c r="H137" s="20"/>
      <c r="I137" s="20"/>
      <c r="J137" s="20"/>
      <c r="K137" s="20"/>
      <c r="L137" s="20"/>
    </row>
    <row r="138" spans="2:12" x14ac:dyDescent="0.15">
      <c r="C138" s="23"/>
      <c r="D138" s="26"/>
      <c r="E138" s="20"/>
      <c r="F138" s="20"/>
      <c r="G138" s="20"/>
      <c r="H138" s="20"/>
      <c r="I138" s="20"/>
      <c r="J138" s="20"/>
      <c r="K138" s="20"/>
      <c r="L138" s="20"/>
    </row>
    <row r="139" spans="2:12" x14ac:dyDescent="0.15">
      <c r="C139" s="23"/>
      <c r="D139" s="26"/>
      <c r="E139" s="20"/>
      <c r="F139" s="20"/>
      <c r="G139" s="20"/>
      <c r="H139" s="20"/>
      <c r="I139" s="20"/>
      <c r="J139" s="20"/>
      <c r="K139" s="20"/>
      <c r="L139" s="20"/>
    </row>
    <row r="140" spans="2:12" x14ac:dyDescent="0.15">
      <c r="B140" s="2" t="s">
        <v>149</v>
      </c>
      <c r="E140" s="2" t="s">
        <v>150</v>
      </c>
      <c r="F140" s="2" t="s">
        <v>76</v>
      </c>
    </row>
    <row r="141" spans="2:12" x14ac:dyDescent="0.15">
      <c r="B141" s="2" t="s">
        <v>151</v>
      </c>
      <c r="E141" s="2" t="s">
        <v>152</v>
      </c>
      <c r="F141" s="2" t="s">
        <v>153</v>
      </c>
    </row>
  </sheetData>
  <sheetProtection algorithmName="SHA-512" hashValue="1SH0IpVA805AgdfrpIVJrDY7cloExMPKSz5I/sSYKKXM09dbVRPHIxN3chQzqRo2eF0lwMvBG5lhpKH5F71k2g==" saltValue="Tky1C7wf+Mg5+vK9cWIhYg==" spinCount="100000" sheet="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ACD8D-B020-E945-9FD4-DCED7665FC1E}">
  <sheetPr>
    <tabColor rgb="FFFFFF00"/>
    <pageSetUpPr fitToPage="1"/>
  </sheetPr>
  <dimension ref="A1:AB185"/>
  <sheetViews>
    <sheetView showGridLines="0" topLeftCell="F13" zoomScale="117" zoomScaleNormal="60" workbookViewId="0">
      <selection activeCell="P2" sqref="P2"/>
    </sheetView>
  </sheetViews>
  <sheetFormatPr baseColWidth="10" defaultColWidth="9" defaultRowHeight="13" x14ac:dyDescent="0.15"/>
  <cols>
    <col min="1" max="1" width="2.5" style="44" customWidth="1"/>
    <col min="2" max="2" width="27.5" style="26" customWidth="1"/>
    <col min="3" max="3" width="23.33203125" style="26" customWidth="1"/>
    <col min="4" max="4" width="9" style="26" customWidth="1"/>
    <col min="5" max="9" width="12.5" style="26" customWidth="1"/>
    <col min="10" max="10" width="12" style="39" bestFit="1" customWidth="1"/>
    <col min="11" max="11" width="11.83203125" style="26" bestFit="1" customWidth="1"/>
    <col min="12" max="12" width="14.83203125" style="26" customWidth="1"/>
    <col min="13" max="13" width="16.83203125" style="26" customWidth="1"/>
    <col min="14" max="20" width="10.5" style="26" customWidth="1"/>
    <col min="21" max="21" width="11.5" style="26" bestFit="1" customWidth="1"/>
    <col min="22" max="22" width="13.83203125" style="40" bestFit="1" customWidth="1"/>
    <col min="23" max="23" width="9.83203125" style="40" customWidth="1"/>
    <col min="24" max="24" width="9.83203125" style="99" customWidth="1"/>
    <col min="25" max="25" width="9.83203125" style="42" customWidth="1"/>
    <col min="26" max="26" width="9.1640625" style="42" customWidth="1"/>
    <col min="27" max="27" width="12.33203125" style="26" customWidth="1"/>
    <col min="28" max="16384" width="9" style="26"/>
  </cols>
  <sheetData>
    <row r="1" spans="1:26" ht="18" x14ac:dyDescent="0.2">
      <c r="A1" s="36"/>
      <c r="B1" s="37" t="s">
        <v>154</v>
      </c>
      <c r="C1" s="38"/>
      <c r="X1" s="41"/>
      <c r="Z1" s="43"/>
    </row>
    <row r="2" spans="1:26" ht="16" x14ac:dyDescent="0.2">
      <c r="B2" s="45" t="s">
        <v>155</v>
      </c>
      <c r="C2" s="46"/>
      <c r="D2" s="46"/>
      <c r="L2" s="47"/>
      <c r="W2" s="48"/>
      <c r="X2" s="49"/>
      <c r="Y2" s="50" t="s">
        <v>156</v>
      </c>
      <c r="Z2" s="43"/>
    </row>
    <row r="3" spans="1:26" s="53" customFormat="1" x14ac:dyDescent="0.15">
      <c r="A3" s="51"/>
      <c r="B3" s="52" t="s">
        <v>157</v>
      </c>
      <c r="C3" s="52">
        <f>NOTE!P2</f>
        <v>20250401</v>
      </c>
      <c r="D3" s="52" t="str">
        <f>NOTE!O2</f>
        <v>v8</v>
      </c>
      <c r="J3" s="54"/>
      <c r="M3" s="55"/>
      <c r="N3" s="56"/>
      <c r="O3" s="56"/>
      <c r="V3" s="57"/>
      <c r="W3" s="57"/>
      <c r="X3" s="58"/>
      <c r="Y3" s="59" t="s">
        <v>158</v>
      </c>
      <c r="Z3" s="60"/>
    </row>
    <row r="4" spans="1:26" x14ac:dyDescent="0.15">
      <c r="N4" s="61"/>
      <c r="O4" s="61"/>
      <c r="W4" s="62"/>
      <c r="X4" s="63"/>
      <c r="Y4" s="64" t="s">
        <v>159</v>
      </c>
      <c r="Z4" s="65"/>
    </row>
    <row r="5" spans="1:26" ht="17" thickBot="1" x14ac:dyDescent="0.25">
      <c r="B5" s="66" t="s">
        <v>160</v>
      </c>
      <c r="C5" s="67"/>
      <c r="N5" s="68"/>
      <c r="O5" s="68"/>
      <c r="P5" s="68"/>
      <c r="Q5" s="68"/>
      <c r="R5" s="68"/>
      <c r="S5" s="68"/>
      <c r="T5" s="68"/>
      <c r="W5" s="69"/>
      <c r="X5" s="70"/>
      <c r="Y5" s="71" t="s">
        <v>161</v>
      </c>
      <c r="Z5" s="65"/>
    </row>
    <row r="6" spans="1:26" ht="14" thickBot="1" x14ac:dyDescent="0.2">
      <c r="B6" s="72" t="s">
        <v>162</v>
      </c>
      <c r="C6" s="73" t="s">
        <v>151</v>
      </c>
      <c r="D6" s="74"/>
      <c r="N6" s="75"/>
      <c r="O6" s="75"/>
      <c r="P6" s="75"/>
      <c r="Q6" s="75"/>
      <c r="R6" s="75"/>
      <c r="S6" s="75"/>
      <c r="T6" s="75"/>
      <c r="W6" s="69"/>
      <c r="X6" s="70"/>
      <c r="Y6" s="71"/>
      <c r="Z6" s="65"/>
    </row>
    <row r="7" spans="1:26" ht="14" thickBot="1" x14ac:dyDescent="0.2">
      <c r="B7" s="72" t="s">
        <v>163</v>
      </c>
      <c r="C7" s="73" t="s">
        <v>152</v>
      </c>
      <c r="N7" s="76"/>
      <c r="O7" s="39"/>
      <c r="P7" s="39"/>
      <c r="Q7" s="39"/>
      <c r="R7" s="39"/>
      <c r="S7" s="39"/>
      <c r="T7" s="39"/>
      <c r="W7" s="62"/>
      <c r="X7" s="63"/>
      <c r="Y7" s="64" t="s">
        <v>164</v>
      </c>
      <c r="Z7" s="65"/>
    </row>
    <row r="8" spans="1:26" ht="14" thickBot="1" x14ac:dyDescent="0.2">
      <c r="B8" s="72" t="s">
        <v>165</v>
      </c>
      <c r="C8" s="73" t="s">
        <v>166</v>
      </c>
      <c r="E8" s="77"/>
      <c r="F8" s="77"/>
      <c r="G8" s="78"/>
      <c r="H8" s="77"/>
      <c r="N8" s="76"/>
      <c r="O8" s="39"/>
      <c r="P8" s="39"/>
      <c r="Q8" s="39"/>
      <c r="R8" s="39"/>
      <c r="S8" s="39"/>
      <c r="T8" s="39"/>
      <c r="U8" s="39"/>
      <c r="W8" s="62"/>
      <c r="X8" s="63"/>
      <c r="Y8" s="64" t="s">
        <v>167</v>
      </c>
      <c r="Z8" s="65"/>
    </row>
    <row r="9" spans="1:26" ht="14" thickBot="1" x14ac:dyDescent="0.2">
      <c r="B9" s="72" t="s">
        <v>168</v>
      </c>
      <c r="C9" s="73" t="s">
        <v>76</v>
      </c>
      <c r="E9" s="77"/>
      <c r="F9" s="77"/>
      <c r="G9" s="77"/>
      <c r="H9" s="77"/>
      <c r="N9" s="39"/>
      <c r="O9" s="39"/>
      <c r="P9" s="39"/>
      <c r="Q9" s="39"/>
      <c r="R9" s="39"/>
      <c r="W9" s="69"/>
      <c r="X9" s="70"/>
      <c r="Y9" s="71" t="s">
        <v>169</v>
      </c>
      <c r="Z9" s="79"/>
    </row>
    <row r="10" spans="1:26" ht="14" thickBot="1" x14ac:dyDescent="0.2">
      <c r="B10" s="72" t="s">
        <v>170</v>
      </c>
      <c r="C10" s="73"/>
      <c r="D10" s="74"/>
      <c r="E10" s="77"/>
      <c r="F10" s="77"/>
      <c r="G10" s="77"/>
      <c r="H10" s="77"/>
      <c r="N10" s="80"/>
      <c r="O10" s="81"/>
      <c r="P10" s="61"/>
      <c r="Q10" s="75"/>
      <c r="R10" s="61"/>
      <c r="S10" s="61"/>
      <c r="T10" s="61"/>
      <c r="W10" s="69"/>
      <c r="X10" s="70"/>
      <c r="Y10" s="71" t="s">
        <v>171</v>
      </c>
      <c r="Z10" s="79"/>
    </row>
    <row r="11" spans="1:26" ht="14" thickBot="1" x14ac:dyDescent="0.2">
      <c r="B11" s="72" t="s">
        <v>172</v>
      </c>
      <c r="C11" s="73" t="s">
        <v>173</v>
      </c>
      <c r="D11" s="74"/>
      <c r="E11" s="77"/>
      <c r="F11" s="77"/>
      <c r="G11" s="77"/>
      <c r="H11" s="77"/>
      <c r="N11" s="80"/>
      <c r="O11" s="81"/>
      <c r="P11" s="61"/>
      <c r="Q11" s="75"/>
      <c r="R11" s="61"/>
      <c r="S11" s="61"/>
      <c r="T11" s="61"/>
      <c r="W11" s="69"/>
      <c r="X11" s="70"/>
      <c r="Y11" s="71"/>
      <c r="Z11" s="79"/>
    </row>
    <row r="12" spans="1:26" s="83" customFormat="1" x14ac:dyDescent="0.15">
      <c r="A12" s="82"/>
      <c r="E12" s="84">
        <v>0.98</v>
      </c>
      <c r="F12" s="84"/>
      <c r="G12" s="84"/>
      <c r="H12" s="84" t="s">
        <v>174</v>
      </c>
      <c r="J12" s="85"/>
      <c r="O12" s="86"/>
      <c r="P12" s="86"/>
      <c r="Q12" s="86"/>
      <c r="R12" s="86"/>
      <c r="S12" s="86"/>
      <c r="T12" s="86"/>
      <c r="U12" s="26"/>
      <c r="V12" s="87"/>
      <c r="W12" s="88"/>
      <c r="X12" s="89"/>
      <c r="Y12" s="88"/>
      <c r="Z12" s="90"/>
    </row>
    <row r="13" spans="1:26" ht="17" thickBot="1" x14ac:dyDescent="0.25">
      <c r="B13" s="16" t="s">
        <v>28</v>
      </c>
      <c r="C13" s="16"/>
      <c r="D13" s="16"/>
      <c r="E13" s="91"/>
      <c r="F13" s="16"/>
      <c r="G13" s="16"/>
      <c r="H13" s="16"/>
      <c r="I13" s="92" t="s">
        <v>175</v>
      </c>
      <c r="J13" s="93"/>
      <c r="K13" s="94"/>
      <c r="L13" s="16" t="s">
        <v>176</v>
      </c>
      <c r="M13" s="33"/>
      <c r="N13" s="95"/>
      <c r="O13" s="96"/>
      <c r="P13" s="96"/>
      <c r="Q13" s="96"/>
      <c r="R13" s="96"/>
      <c r="S13" s="96"/>
      <c r="T13" s="96"/>
      <c r="U13" s="96"/>
      <c r="V13" s="97" t="s">
        <v>175</v>
      </c>
      <c r="W13" s="98"/>
      <c r="Y13" s="100"/>
      <c r="Z13" s="100"/>
    </row>
    <row r="14" spans="1:26" ht="14" thickTop="1" x14ac:dyDescent="0.15">
      <c r="O14" s="81"/>
      <c r="P14" s="39"/>
      <c r="Q14" s="39"/>
      <c r="R14" s="39"/>
      <c r="S14" s="39"/>
      <c r="T14" s="39"/>
      <c r="V14" s="101"/>
      <c r="W14" s="98"/>
      <c r="Y14" s="100"/>
      <c r="Z14" s="100"/>
    </row>
    <row r="15" spans="1:26" x14ac:dyDescent="0.15">
      <c r="E15" s="102" t="s">
        <v>177</v>
      </c>
      <c r="F15" s="102" t="s">
        <v>178</v>
      </c>
      <c r="G15" s="102" t="s">
        <v>179</v>
      </c>
      <c r="H15" s="102" t="s">
        <v>180</v>
      </c>
      <c r="I15" s="102" t="s">
        <v>181</v>
      </c>
      <c r="L15" s="40"/>
      <c r="N15" s="103" t="s">
        <v>182</v>
      </c>
      <c r="O15" s="103" t="s">
        <v>177</v>
      </c>
      <c r="P15" s="103" t="s">
        <v>178</v>
      </c>
      <c r="Q15" s="103" t="s">
        <v>179</v>
      </c>
      <c r="R15" s="103" t="s">
        <v>180</v>
      </c>
      <c r="S15" s="103" t="s">
        <v>181</v>
      </c>
      <c r="T15" s="103" t="s">
        <v>183</v>
      </c>
      <c r="U15" s="104" t="s">
        <v>184</v>
      </c>
      <c r="V15" s="104" t="s">
        <v>185</v>
      </c>
      <c r="W15" s="105"/>
      <c r="X15" s="106"/>
      <c r="Y15" s="107"/>
      <c r="Z15" s="107"/>
    </row>
    <row r="16" spans="1:26" x14ac:dyDescent="0.15">
      <c r="E16" s="40"/>
      <c r="F16" s="40"/>
      <c r="G16" s="40"/>
      <c r="H16" s="40"/>
      <c r="I16" s="40"/>
      <c r="J16" s="108"/>
      <c r="L16" s="23" t="s">
        <v>186</v>
      </c>
      <c r="N16" s="109">
        <f ca="1">SUM(O16:S16)</f>
        <v>12.727565025337945</v>
      </c>
      <c r="O16" s="109">
        <f ca="1">SUM(SAP_Spreadsheet!G24:R24)</f>
        <v>4.3750360495251659</v>
      </c>
      <c r="P16" s="109">
        <f ca="1">SUM(SAP_Spreadsheet!S24:AD24)</f>
        <v>2.7462140265291834</v>
      </c>
      <c r="Q16" s="109">
        <f ca="1">SUM(SAP_Spreadsheet!AE24:AP24)</f>
        <v>2.4523702503310103</v>
      </c>
      <c r="R16" s="109">
        <f ca="1">SUM(SAP_Spreadsheet!AQ24:BB24)</f>
        <v>1.8369478291703465</v>
      </c>
      <c r="S16" s="109">
        <f ca="1">SUM(SAP_Spreadsheet!BC24:BN24)</f>
        <v>1.3169968697822392</v>
      </c>
      <c r="T16" s="109"/>
      <c r="U16" s="109"/>
      <c r="V16" s="109"/>
      <c r="W16" s="110" t="s">
        <v>187</v>
      </c>
      <c r="Y16" s="111"/>
      <c r="Z16" s="111"/>
    </row>
    <row r="17" spans="1:28" x14ac:dyDescent="0.15">
      <c r="B17" s="23" t="s">
        <v>29</v>
      </c>
      <c r="C17" s="26" t="s">
        <v>30</v>
      </c>
      <c r="E17" s="112">
        <f>DATA!B5</f>
        <v>0.66492240904536892</v>
      </c>
      <c r="F17" s="113" t="s">
        <v>188</v>
      </c>
      <c r="G17" s="111"/>
      <c r="H17" s="111"/>
      <c r="I17" s="111"/>
      <c r="J17" s="108"/>
      <c r="K17" s="114"/>
      <c r="L17" s="23" t="s">
        <v>158</v>
      </c>
      <c r="M17" s="80"/>
      <c r="N17" s="109">
        <f ca="1">AVERAGEIF(SAP_Spreadsheet!G202:BN202,"&lt;&gt;0")</f>
        <v>0.50119743950466156</v>
      </c>
      <c r="O17" s="109">
        <f ca="1">IFERROR(AVERAGEIF(SAP_Spreadsheet!G202:R202,"&lt;&gt;0"),0)</f>
        <v>0.80495309022298878</v>
      </c>
      <c r="P17" s="109">
        <f ca="1">IFERROR(AVERAGEIF(SAP_Spreadsheet!S202:AD202,"&lt;&gt;0"),0)</f>
        <v>0.54304048660150361</v>
      </c>
      <c r="Q17" s="109">
        <f ca="1">IFERROR(AVERAGEIF(SAP_Spreadsheet!AE202:AP202,"&lt;&gt;0"),0)</f>
        <v>0.49769693305453738</v>
      </c>
      <c r="R17" s="109">
        <f ca="1">IFERROR(AVERAGEIF(SAP_Spreadsheet!AQ202:BB202,"&lt;&gt;0"),0)</f>
        <v>0.38169085598493951</v>
      </c>
      <c r="S17" s="109">
        <f ca="1">IFERROR(AVERAGEIF(SAP_Spreadsheet!BC202:BN202,"&lt;&gt;0"),0)</f>
        <v>0.278605831659339</v>
      </c>
      <c r="T17" s="115"/>
      <c r="U17" s="116"/>
      <c r="V17" s="116"/>
    </row>
    <row r="18" spans="1:28" ht="12" customHeight="1" x14ac:dyDescent="0.15">
      <c r="B18" s="117"/>
      <c r="C18" s="26" t="s">
        <v>33</v>
      </c>
      <c r="E18" s="112">
        <f>DATA!B6</f>
        <v>2.4514721065959501E-2</v>
      </c>
      <c r="F18" s="112">
        <f>DATA!C6</f>
        <v>9.618708632663486E-3</v>
      </c>
      <c r="G18" s="112">
        <f>DATA!D6</f>
        <v>5.8085881035963094E-3</v>
      </c>
      <c r="H18" s="112">
        <f>DATA!E6</f>
        <v>4.4311984436643448E-3</v>
      </c>
      <c r="I18" s="112">
        <f>DATA!F6</f>
        <v>4.1467976654965171E-3</v>
      </c>
      <c r="J18" s="108" t="str">
        <f>IF(E17-E18*11-(F18+G18+H18+I18)*12&lt;0,"check","OK")</f>
        <v>OK</v>
      </c>
      <c r="K18" s="114"/>
      <c r="L18" s="23" t="s">
        <v>159</v>
      </c>
      <c r="M18" s="80"/>
      <c r="N18" s="109">
        <f t="shared" ref="N18:S18" ca="1" si="0">N19+N22</f>
        <v>0.76624158997422409</v>
      </c>
      <c r="O18" s="109">
        <f t="shared" ca="1" si="0"/>
        <v>0.3043316090045568</v>
      </c>
      <c r="P18" s="109">
        <f t="shared" ca="1" si="0"/>
        <v>0.28020682272879099</v>
      </c>
      <c r="Q18" s="109">
        <f t="shared" ca="1" si="0"/>
        <v>8.5345069143883373E-2</v>
      </c>
      <c r="R18" s="109">
        <f t="shared" ca="1" si="0"/>
        <v>5.8305771154704922E-2</v>
      </c>
      <c r="S18" s="109">
        <f t="shared" ca="1" si="0"/>
        <v>3.8052317942288104E-2</v>
      </c>
      <c r="T18" s="115"/>
      <c r="U18" s="116">
        <f t="shared" ref="U18:U51" ca="1" si="1">N18/$N$17/60*12</f>
        <v>0.30576436732458506</v>
      </c>
      <c r="V18" s="116">
        <f ca="1">N18/$N$16</f>
        <v>6.0203313709165568E-2</v>
      </c>
      <c r="W18" s="118"/>
      <c r="X18" s="119"/>
      <c r="Y18" s="120"/>
      <c r="Z18" s="120"/>
    </row>
    <row r="19" spans="1:28" x14ac:dyDescent="0.15">
      <c r="B19" s="74"/>
      <c r="C19" s="113" t="s">
        <v>189</v>
      </c>
      <c r="E19" s="113" t="s">
        <v>190</v>
      </c>
      <c r="F19" s="121"/>
      <c r="G19" s="121"/>
      <c r="H19" s="121"/>
      <c r="I19" s="121"/>
      <c r="K19" s="114"/>
      <c r="L19" s="122" t="s">
        <v>161</v>
      </c>
      <c r="M19" s="80"/>
      <c r="N19" s="109">
        <f t="shared" ref="N19:S19" ca="1" si="2">SUM(N20:N21)</f>
        <v>4.5832731271198329E-2</v>
      </c>
      <c r="O19" s="109">
        <f t="shared" ca="1" si="2"/>
        <v>4.8879926963546177E-2</v>
      </c>
      <c r="P19" s="109">
        <f t="shared" ca="1" si="2"/>
        <v>6.8769217021851792E-3</v>
      </c>
      <c r="Q19" s="109">
        <f t="shared" ca="1" si="2"/>
        <v>2.3911483468537775E-3</v>
      </c>
      <c r="R19" s="109">
        <f t="shared" ca="1" si="2"/>
        <v>-4.6592940288902075E-3</v>
      </c>
      <c r="S19" s="109">
        <f t="shared" ca="1" si="2"/>
        <v>-7.6559717124965307E-3</v>
      </c>
      <c r="T19" s="115"/>
      <c r="U19" s="116">
        <f t="shared" ca="1" si="1"/>
        <v>1.8289291867290974E-2</v>
      </c>
      <c r="V19" s="116">
        <f t="shared" ref="V19:V51" ca="1" si="3">N19/$N$16</f>
        <v>3.6010604683578405E-3</v>
      </c>
      <c r="W19" s="123"/>
      <c r="X19" s="124"/>
      <c r="Y19" s="120"/>
      <c r="Z19" s="120"/>
    </row>
    <row r="20" spans="1:28" x14ac:dyDescent="0.15">
      <c r="J20" s="108"/>
      <c r="K20" s="114"/>
      <c r="L20" s="125" t="s">
        <v>191</v>
      </c>
      <c r="M20" s="80"/>
      <c r="N20" s="115">
        <f ca="1">SUM(  SAP_Spreadsheet!G216:BN216)</f>
        <v>0.1786500527399337</v>
      </c>
      <c r="O20" s="115">
        <f ca="1">SUM(SAP_Spreadsheet!G216:R216)</f>
        <v>9.1542440745364578E-2</v>
      </c>
      <c r="P20" s="115">
        <f ca="1">SUM(SAP_Spreadsheet!S216:AD216)</f>
        <v>3.5658067492064877E-2</v>
      </c>
      <c r="Q20" s="115">
        <f ca="1">SUM(  SAP_Spreadsheet!AE216:AP216)</f>
        <v>2.8769085798744262E-2</v>
      </c>
      <c r="R20" s="115">
        <f ca="1">SUM(  SAP_Spreadsheet!AQ216:BB216)</f>
        <v>1.5570321338311592E-2</v>
      </c>
      <c r="S20" s="115">
        <f ca="1">SUM(SAP_Spreadsheet!BC216:BN216)</f>
        <v>7.1101373654484335E-3</v>
      </c>
      <c r="T20" s="115"/>
      <c r="U20" s="126">
        <f t="shared" ca="1" si="1"/>
        <v>7.1289291867290994E-2</v>
      </c>
      <c r="V20" s="126">
        <f t="shared" ca="1" si="3"/>
        <v>1.4036467492743385E-2</v>
      </c>
      <c r="W20" s="127" t="s">
        <v>192</v>
      </c>
      <c r="X20" s="128"/>
      <c r="Y20" s="129"/>
      <c r="Z20" s="129"/>
    </row>
    <row r="21" spans="1:28" x14ac:dyDescent="0.15">
      <c r="B21" s="23" t="s">
        <v>36</v>
      </c>
      <c r="C21" s="22" t="s">
        <v>37</v>
      </c>
      <c r="D21" s="130"/>
      <c r="E21" s="131">
        <v>60</v>
      </c>
      <c r="F21" s="113" t="s">
        <v>193</v>
      </c>
      <c r="H21" s="68"/>
      <c r="K21" s="114"/>
      <c r="L21" s="125" t="s">
        <v>194</v>
      </c>
      <c r="M21" s="80"/>
      <c r="N21" s="115">
        <f ca="1">SUM(  SAP_Spreadsheet!G219:BN219)</f>
        <v>-0.13281732146873537</v>
      </c>
      <c r="O21" s="115">
        <f ca="1">SUM(SAP_Spreadsheet!G219:R219)</f>
        <v>-4.2662513781818401E-2</v>
      </c>
      <c r="P21" s="115">
        <f ca="1">SUM(SAP_Spreadsheet!S219:AD219)</f>
        <v>-2.8781145789879697E-2</v>
      </c>
      <c r="Q21" s="115">
        <f ca="1">SUM(  SAP_Spreadsheet!AE219:AP219)</f>
        <v>-2.6377937451890484E-2</v>
      </c>
      <c r="R21" s="115">
        <f ca="1">SUM(  SAP_Spreadsheet!AQ219:BB219)</f>
        <v>-2.02296153672018E-2</v>
      </c>
      <c r="S21" s="115">
        <f ca="1">SUM(SAP_Spreadsheet!BC219:BN219)</f>
        <v>-1.4766109077944964E-2</v>
      </c>
      <c r="T21" s="115"/>
      <c r="U21" s="126">
        <f t="shared" ca="1" si="1"/>
        <v>-5.3000000000000019E-2</v>
      </c>
      <c r="V21" s="126">
        <f t="shared" ca="1" si="3"/>
        <v>-1.0435407024385545E-2</v>
      </c>
      <c r="W21" s="127" t="s">
        <v>195</v>
      </c>
      <c r="X21" s="128"/>
      <c r="Y21" s="129"/>
      <c r="Z21" s="129"/>
    </row>
    <row r="22" spans="1:28" x14ac:dyDescent="0.15">
      <c r="B22" s="23"/>
      <c r="C22" s="31" t="s">
        <v>39</v>
      </c>
      <c r="E22" s="131">
        <v>5</v>
      </c>
      <c r="F22" s="113" t="s">
        <v>196</v>
      </c>
      <c r="K22" s="114"/>
      <c r="L22" s="122" t="s">
        <v>197</v>
      </c>
      <c r="M22" s="80"/>
      <c r="N22" s="109">
        <f t="shared" ref="N22:S22" ca="1" si="4">SUM(N23:N32)</f>
        <v>0.72040885870302573</v>
      </c>
      <c r="O22" s="109">
        <f t="shared" ca="1" si="4"/>
        <v>0.25545168204101065</v>
      </c>
      <c r="P22" s="109">
        <f t="shared" ca="1" si="4"/>
        <v>0.27332990102660581</v>
      </c>
      <c r="Q22" s="109">
        <f t="shared" ca="1" si="4"/>
        <v>8.2953920797029596E-2</v>
      </c>
      <c r="R22" s="109">
        <f t="shared" ca="1" si="4"/>
        <v>6.2965065183595126E-2</v>
      </c>
      <c r="S22" s="109">
        <f t="shared" ca="1" si="4"/>
        <v>4.5708289654784635E-2</v>
      </c>
      <c r="T22" s="115"/>
      <c r="U22" s="116">
        <f t="shared" ca="1" si="1"/>
        <v>0.287475075457294</v>
      </c>
      <c r="V22" s="116">
        <f t="shared" ca="1" si="3"/>
        <v>5.6602253240807719E-2</v>
      </c>
      <c r="W22" s="123"/>
      <c r="X22" s="124"/>
      <c r="Y22" s="120"/>
      <c r="Z22" s="120"/>
    </row>
    <row r="23" spans="1:28" x14ac:dyDescent="0.15">
      <c r="B23" s="23"/>
      <c r="C23" s="26" t="s">
        <v>41</v>
      </c>
      <c r="E23" s="131">
        <v>45</v>
      </c>
      <c r="F23" s="132" t="s">
        <v>198</v>
      </c>
      <c r="J23" s="108"/>
      <c r="K23" s="114"/>
      <c r="L23" s="125" t="s">
        <v>59</v>
      </c>
      <c r="M23" s="80"/>
      <c r="N23" s="115">
        <f ca="1">SUM(  SAP_Spreadsheet!G222:BN222)</f>
        <v>0</v>
      </c>
      <c r="O23" s="115">
        <f ca="1">SUM(SAP_Spreadsheet!G222:R222)</f>
        <v>0</v>
      </c>
      <c r="P23" s="115">
        <f ca="1">SUM(SAP_Spreadsheet!S222:AD222)</f>
        <v>0</v>
      </c>
      <c r="Q23" s="115">
        <f ca="1">SUM(  SAP_Spreadsheet!AE222:AP222)</f>
        <v>0</v>
      </c>
      <c r="R23" s="115">
        <f ca="1">SUM(  SAP_Spreadsheet!AQ222:BB222)</f>
        <v>0</v>
      </c>
      <c r="S23" s="115">
        <f ca="1">SUM(  SAP_Spreadsheet!BC222:BN222)</f>
        <v>0</v>
      </c>
      <c r="T23" s="115"/>
      <c r="U23" s="126">
        <f t="shared" ca="1" si="1"/>
        <v>0</v>
      </c>
      <c r="V23" s="126">
        <f t="shared" ca="1" si="3"/>
        <v>0</v>
      </c>
      <c r="W23" s="123" t="s">
        <v>199</v>
      </c>
      <c r="X23" s="128"/>
      <c r="Y23" s="129"/>
      <c r="Z23" s="129"/>
    </row>
    <row r="24" spans="1:28" x14ac:dyDescent="0.15">
      <c r="B24" s="23"/>
      <c r="I24" s="133"/>
      <c r="K24" s="114"/>
      <c r="L24" s="125" t="s">
        <v>64</v>
      </c>
      <c r="M24" s="80"/>
      <c r="N24" s="115">
        <f ca="1">SUM(  SAP_Spreadsheet!G223:BN223)</f>
        <v>0.46565711639609098</v>
      </c>
      <c r="O24" s="115">
        <f ca="1">SUM(SAP_Spreadsheet!G223:R223)</f>
        <v>0.16955431788181075</v>
      </c>
      <c r="P24" s="115">
        <f ca="1">SUM(SAP_Spreadsheet!S223:AD223)</f>
        <v>0.1060175837129681</v>
      </c>
      <c r="Q24" s="115">
        <f ca="1">SUM(  SAP_Spreadsheet!AE223:AP223)</f>
        <v>8.220668667409288E-2</v>
      </c>
      <c r="R24" s="115">
        <f ca="1">SUM(  SAP_Spreadsheet!AQ223:BB223)</f>
        <v>6.2482457576010869E-2</v>
      </c>
      <c r="S24" s="115">
        <f ca="1">SUM(  SAP_Spreadsheet!BC223:BN223)</f>
        <v>4.5396070551208451E-2</v>
      </c>
      <c r="T24" s="115"/>
      <c r="U24" s="126">
        <f t="shared" ca="1" si="1"/>
        <v>0.18581783532505858</v>
      </c>
      <c r="V24" s="126">
        <f t="shared" ca="1" si="3"/>
        <v>3.6586504603910025E-2</v>
      </c>
      <c r="W24" s="123" t="s">
        <v>200</v>
      </c>
      <c r="X24" s="128"/>
      <c r="Y24" s="129"/>
      <c r="Z24" s="129"/>
    </row>
    <row r="25" spans="1:28" x14ac:dyDescent="0.15">
      <c r="B25" s="23" t="s">
        <v>43</v>
      </c>
      <c r="C25" s="26" t="s">
        <v>201</v>
      </c>
      <c r="E25" s="134">
        <f>DATA!B13</f>
        <v>0.68778008426528714</v>
      </c>
      <c r="F25" s="134">
        <f>DATA!C13</f>
        <v>0.68778008426528714</v>
      </c>
      <c r="G25" s="134">
        <f>DATA!D13</f>
        <v>0.84420051225759229</v>
      </c>
      <c r="H25" s="134">
        <f>DATA!E13</f>
        <v>0.84420051225759229</v>
      </c>
      <c r="I25" s="134">
        <f>DATA!F13</f>
        <v>0.84420051225759229</v>
      </c>
      <c r="J25" s="135"/>
      <c r="K25" s="98"/>
      <c r="L25" s="125" t="s">
        <v>202</v>
      </c>
      <c r="M25" s="80"/>
      <c r="N25" s="115">
        <f ca="1">SUM(  SAP_Spreadsheet!G224:BN224)</f>
        <v>0</v>
      </c>
      <c r="O25" s="115">
        <f ca="1">SUM(SAP_Spreadsheet!G224:R224)</f>
        <v>0</v>
      </c>
      <c r="P25" s="115">
        <f ca="1">SUM(SAP_Spreadsheet!S224:AD224)</f>
        <v>0</v>
      </c>
      <c r="Q25" s="115">
        <f ca="1">SUM(  SAP_Spreadsheet!AE224:AP224)</f>
        <v>0</v>
      </c>
      <c r="R25" s="115">
        <f ca="1">SUM(  SAP_Spreadsheet!AQ224:BB224)</f>
        <v>0</v>
      </c>
      <c r="S25" s="115">
        <f ca="1">SUM(  SAP_Spreadsheet!BC224:BN224)</f>
        <v>0</v>
      </c>
      <c r="T25" s="115"/>
      <c r="U25" s="126">
        <f t="shared" ca="1" si="1"/>
        <v>0</v>
      </c>
      <c r="V25" s="126">
        <f t="shared" ca="1" si="3"/>
        <v>0</v>
      </c>
      <c r="W25" s="123" t="s">
        <v>203</v>
      </c>
      <c r="X25" s="128"/>
      <c r="Y25" s="129"/>
      <c r="Z25" s="129"/>
    </row>
    <row r="26" spans="1:28" x14ac:dyDescent="0.15">
      <c r="B26" s="23"/>
      <c r="C26" s="136"/>
      <c r="E26" s="137"/>
      <c r="J26" s="108"/>
      <c r="K26" s="114"/>
      <c r="L26" s="125" t="s">
        <v>66</v>
      </c>
      <c r="M26" s="80"/>
      <c r="N26" s="115">
        <f>SUM(  SAP_Spreadsheet!G225:BN225)</f>
        <v>0</v>
      </c>
      <c r="O26" s="115">
        <f>SUM(SAP_Spreadsheet!G225:R225)</f>
        <v>0</v>
      </c>
      <c r="P26" s="115">
        <f>SUM(SAP_Spreadsheet!S225:AD225)</f>
        <v>0</v>
      </c>
      <c r="Q26" s="115">
        <f>SUM(  SAP_Spreadsheet!AE225:AP225)</f>
        <v>0</v>
      </c>
      <c r="R26" s="115">
        <f>SUM(  SAP_Spreadsheet!AQ225:BB225)</f>
        <v>0</v>
      </c>
      <c r="S26" s="115">
        <f>SUM(  SAP_Spreadsheet!BC225:BN225)</f>
        <v>0</v>
      </c>
      <c r="T26" s="115"/>
      <c r="U26" s="126">
        <f t="shared" ca="1" si="1"/>
        <v>0</v>
      </c>
      <c r="V26" s="126">
        <f t="shared" ca="1" si="3"/>
        <v>0</v>
      </c>
      <c r="W26" s="123"/>
      <c r="X26" s="128"/>
      <c r="Y26" s="129"/>
      <c r="Z26" s="129"/>
      <c r="AB26" s="138" t="s">
        <v>204</v>
      </c>
    </row>
    <row r="27" spans="1:28" x14ac:dyDescent="0.15">
      <c r="B27" s="23" t="s">
        <v>46</v>
      </c>
      <c r="C27" s="26" t="s">
        <v>47</v>
      </c>
      <c r="E27" s="139">
        <f>DATA!D20</f>
        <v>0.51159989507505566</v>
      </c>
      <c r="F27" s="140"/>
      <c r="G27" s="81"/>
      <c r="H27" s="141"/>
      <c r="I27" s="142"/>
      <c r="K27" s="114"/>
      <c r="L27" s="143" t="s">
        <v>68</v>
      </c>
      <c r="M27" s="80"/>
      <c r="N27" s="115">
        <f>SUM(  SAP_Spreadsheet!G226:BN226)</f>
        <v>0</v>
      </c>
      <c r="O27" s="115">
        <f>SUM(SAP_Spreadsheet!G226:R226)</f>
        <v>0</v>
      </c>
      <c r="P27" s="115">
        <f>SUM(SAP_Spreadsheet!S226:AD226)</f>
        <v>0</v>
      </c>
      <c r="Q27" s="115">
        <f>SUM(  SAP_Spreadsheet!AE226:AP226)</f>
        <v>0</v>
      </c>
      <c r="R27" s="115">
        <f>SUM(  SAP_Spreadsheet!AQ226:BB226)</f>
        <v>0</v>
      </c>
      <c r="S27" s="115">
        <f>SUM(  SAP_Spreadsheet!BC226:BN226)</f>
        <v>0</v>
      </c>
      <c r="T27" s="115"/>
      <c r="U27" s="126">
        <f t="shared" ca="1" si="1"/>
        <v>0</v>
      </c>
      <c r="V27" s="126">
        <f t="shared" ca="1" si="3"/>
        <v>0</v>
      </c>
      <c r="W27" s="123"/>
      <c r="X27" s="128"/>
      <c r="Y27" s="129"/>
      <c r="Z27" s="129"/>
    </row>
    <row r="28" spans="1:28" x14ac:dyDescent="0.15">
      <c r="A28" s="28"/>
      <c r="B28" s="23"/>
      <c r="C28" s="26" t="s">
        <v>205</v>
      </c>
      <c r="E28" s="144">
        <f>DATA!D21</f>
        <v>0.39533386000913312</v>
      </c>
      <c r="F28" s="144">
        <f>E28</f>
        <v>0.39533386000913312</v>
      </c>
      <c r="G28" s="144">
        <f t="shared" ref="G28:I28" si="5">F28</f>
        <v>0.39533386000913312</v>
      </c>
      <c r="H28" s="144">
        <f t="shared" si="5"/>
        <v>0.39533386000913312</v>
      </c>
      <c r="I28" s="144">
        <f t="shared" si="5"/>
        <v>0.39533386000913312</v>
      </c>
      <c r="J28" s="145"/>
      <c r="K28" s="98"/>
      <c r="L28" s="125" t="s">
        <v>206</v>
      </c>
      <c r="M28" s="80"/>
      <c r="N28" s="115">
        <f ca="1">SUM(  SAP_Spreadsheet!G227:BN227)</f>
        <v>5.4397423069347311E-3</v>
      </c>
      <c r="O28" s="115">
        <f ca="1">SUM(SAP_Spreadsheet!G227:R227)</f>
        <v>2.7933641591999037E-3</v>
      </c>
      <c r="P28" s="115">
        <f ca="1">SUM(SAP_Spreadsheet!S227:AD227)</f>
        <v>1.1043173136376667E-3</v>
      </c>
      <c r="Q28" s="115">
        <f ca="1">SUM(  SAP_Spreadsheet!AE227:AP227)</f>
        <v>7.4723412293671891E-4</v>
      </c>
      <c r="R28" s="115">
        <f ca="1">SUM(  SAP_Spreadsheet!AQ227:BB227)</f>
        <v>4.826076075842587E-4</v>
      </c>
      <c r="S28" s="115">
        <f ca="1">SUM(  SAP_Spreadsheet!BC227:BN227)</f>
        <v>3.1221910357618346E-4</v>
      </c>
      <c r="T28" s="115"/>
      <c r="U28" s="126">
        <f t="shared" ca="1" si="1"/>
        <v>2.1706983628291803E-3</v>
      </c>
      <c r="V28" s="126">
        <f t="shared" ca="1" si="3"/>
        <v>4.2739850836395895E-4</v>
      </c>
      <c r="W28" s="123" t="s">
        <v>207</v>
      </c>
      <c r="X28" s="128"/>
      <c r="Y28" s="129"/>
      <c r="Z28" s="129"/>
    </row>
    <row r="29" spans="1:28" x14ac:dyDescent="0.15">
      <c r="B29" s="23"/>
      <c r="C29" s="146"/>
      <c r="E29" s="147" t="s">
        <v>208</v>
      </c>
      <c r="K29" s="114"/>
      <c r="L29" s="125" t="s">
        <v>74</v>
      </c>
      <c r="M29" s="80"/>
      <c r="N29" s="115">
        <f ca="1">SUM(  SAP_Spreadsheet!G230:BN230)</f>
        <v>0</v>
      </c>
      <c r="O29" s="115">
        <f ca="1">SUM(SAP_Spreadsheet!G230:R230)</f>
        <v>0</v>
      </c>
      <c r="P29" s="115">
        <f ca="1">SUM(SAP_Spreadsheet!S230:AD230)</f>
        <v>0</v>
      </c>
      <c r="Q29" s="115">
        <f ca="1">SUM(  SAP_Spreadsheet!AE230:AP230)</f>
        <v>0</v>
      </c>
      <c r="R29" s="115">
        <f ca="1">SUM(  SAP_Spreadsheet!AQ230:BB230)</f>
        <v>0</v>
      </c>
      <c r="S29" s="115">
        <f ca="1">SUM(  SAP_Spreadsheet!BC230:BN230)</f>
        <v>0</v>
      </c>
      <c r="T29" s="115"/>
      <c r="U29" s="126">
        <f t="shared" ca="1" si="1"/>
        <v>0</v>
      </c>
      <c r="V29" s="126">
        <f t="shared" ca="1" si="3"/>
        <v>0</v>
      </c>
      <c r="W29" s="127" t="s">
        <v>209</v>
      </c>
      <c r="X29" s="128"/>
      <c r="Y29" s="129"/>
      <c r="Z29" s="129"/>
      <c r="AB29" s="138" t="s">
        <v>210</v>
      </c>
    </row>
    <row r="30" spans="1:28" x14ac:dyDescent="0.15">
      <c r="B30" s="23"/>
      <c r="E30" s="148"/>
      <c r="F30" s="149"/>
      <c r="G30" s="149"/>
      <c r="H30" s="149"/>
      <c r="I30" s="98"/>
      <c r="K30" s="98"/>
      <c r="L30" s="125" t="s">
        <v>211</v>
      </c>
      <c r="M30" s="80"/>
      <c r="N30" s="115">
        <f ca="1">SUM(  SAP_Spreadsheet!G231:BN231)</f>
        <v>0.24931200000000009</v>
      </c>
      <c r="O30" s="115">
        <f ca="1">SUM(SAP_Spreadsheet!G231:R231)</f>
        <v>8.3104000000000025E-2</v>
      </c>
      <c r="P30" s="115">
        <f ca="1">SUM(SAP_Spreadsheet!S231:AD231)</f>
        <v>0.16620800000000005</v>
      </c>
      <c r="Q30" s="115">
        <f ca="1">SUM(  SAP_Spreadsheet!AE231:AP231)</f>
        <v>0</v>
      </c>
      <c r="R30" s="115">
        <f ca="1">SUM(  SAP_Spreadsheet!AQ231:BB231)</f>
        <v>0</v>
      </c>
      <c r="S30" s="115">
        <f ca="1">SUM(  SAP_Spreadsheet!BC231:BN231)</f>
        <v>0</v>
      </c>
      <c r="T30" s="115"/>
      <c r="U30" s="126">
        <f t="shared" ca="1" si="1"/>
        <v>9.9486541769406328E-2</v>
      </c>
      <c r="V30" s="126">
        <f t="shared" ca="1" si="3"/>
        <v>1.958835012853374E-2</v>
      </c>
      <c r="W30" s="123" t="s">
        <v>212</v>
      </c>
      <c r="X30" s="128"/>
      <c r="Y30" s="129"/>
      <c r="Z30" s="129"/>
    </row>
    <row r="31" spans="1:28" x14ac:dyDescent="0.15">
      <c r="B31" s="23" t="s">
        <v>51</v>
      </c>
      <c r="C31" s="26" t="s">
        <v>52</v>
      </c>
      <c r="E31" s="150">
        <f>DATA!D22</f>
        <v>0.41540864486632539</v>
      </c>
      <c r="F31" s="132" t="s">
        <v>213</v>
      </c>
      <c r="G31" s="81"/>
      <c r="H31" s="151"/>
      <c r="I31" s="140"/>
      <c r="J31" s="61"/>
      <c r="K31" s="114"/>
      <c r="L31" s="143" t="s">
        <v>214</v>
      </c>
      <c r="M31" s="80"/>
      <c r="N31" s="115">
        <f>SUM(  SAP_Spreadsheet!G235:BN235)</f>
        <v>0</v>
      </c>
      <c r="O31" s="115">
        <f>SUM(SAP_Spreadsheet!G235:R235)</f>
        <v>0</v>
      </c>
      <c r="P31" s="115">
        <f>SUM(SAP_Spreadsheet!S235:AD235)</f>
        <v>0</v>
      </c>
      <c r="Q31" s="115">
        <f>SUM(  SAP_Spreadsheet!AE235:AP235)</f>
        <v>0</v>
      </c>
      <c r="R31" s="115">
        <f>SUM(  SAP_Spreadsheet!AQ235:BB235)</f>
        <v>0</v>
      </c>
      <c r="S31" s="115">
        <f>SUM(  SAP_Spreadsheet!BC235:BN235)</f>
        <v>0</v>
      </c>
      <c r="T31" s="115"/>
      <c r="U31" s="126">
        <f t="shared" ca="1" si="1"/>
        <v>0</v>
      </c>
      <c r="V31" s="126">
        <f t="shared" ca="1" si="3"/>
        <v>0</v>
      </c>
      <c r="W31" s="123"/>
      <c r="X31" s="128"/>
      <c r="Y31" s="129"/>
      <c r="Z31" s="129"/>
    </row>
    <row r="32" spans="1:28" x14ac:dyDescent="0.15">
      <c r="B32" s="23"/>
      <c r="C32" s="26" t="s">
        <v>55</v>
      </c>
      <c r="E32" s="150">
        <v>5.2999999999999999E-2</v>
      </c>
      <c r="F32" s="132" t="s">
        <v>213</v>
      </c>
      <c r="G32" s="152"/>
      <c r="H32" s="153"/>
      <c r="I32" s="111"/>
      <c r="K32" s="114"/>
      <c r="L32" s="143" t="s">
        <v>215</v>
      </c>
      <c r="M32" s="80"/>
      <c r="N32" s="115">
        <f>SUM(  SAP_Spreadsheet!G236:BN236)</f>
        <v>0</v>
      </c>
      <c r="O32" s="115">
        <f>SUM(SAP_Spreadsheet!G236:R236)</f>
        <v>0</v>
      </c>
      <c r="P32" s="115">
        <f>SUM(SAP_Spreadsheet!S236:AD236)</f>
        <v>0</v>
      </c>
      <c r="Q32" s="115">
        <f>SUM(  SAP_Spreadsheet!AE236:AP236)</f>
        <v>0</v>
      </c>
      <c r="R32" s="115">
        <f>SUM(  SAP_Spreadsheet!AQ236:BB236)</f>
        <v>0</v>
      </c>
      <c r="S32" s="115">
        <f>SUM(  SAP_Spreadsheet!BC236:BN236)</f>
        <v>0</v>
      </c>
      <c r="T32" s="115"/>
      <c r="U32" s="126">
        <f t="shared" ca="1" si="1"/>
        <v>0</v>
      </c>
      <c r="V32" s="126">
        <f t="shared" ca="1" si="3"/>
        <v>0</v>
      </c>
      <c r="W32" s="154"/>
      <c r="X32" s="119"/>
      <c r="Y32" s="155"/>
      <c r="Z32" s="156"/>
    </row>
    <row r="33" spans="1:26" x14ac:dyDescent="0.15">
      <c r="B33" s="23"/>
      <c r="E33" s="140"/>
      <c r="F33" s="113"/>
      <c r="G33" s="81"/>
      <c r="K33" s="114"/>
      <c r="L33" s="122" t="s">
        <v>216</v>
      </c>
      <c r="M33" s="80"/>
      <c r="N33" s="115">
        <f>SUM(  SAP_Spreadsheet!G240:BN240)</f>
        <v>0</v>
      </c>
      <c r="O33" s="115">
        <f>SUM(SAP_Spreadsheet!G240:R240)</f>
        <v>0</v>
      </c>
      <c r="P33" s="115">
        <f>SUM(SAP_Spreadsheet!S240:AD240)</f>
        <v>0</v>
      </c>
      <c r="Q33" s="115">
        <f>SUM(  SAP_Spreadsheet!AE240:AP240)</f>
        <v>0</v>
      </c>
      <c r="R33" s="115">
        <f>SUM(  SAP_Spreadsheet!AQ240:BB240)</f>
        <v>0</v>
      </c>
      <c r="S33" s="115">
        <f>SUM(  SAP_Spreadsheet!BC240:BN240)</f>
        <v>0</v>
      </c>
      <c r="T33" s="115"/>
      <c r="U33" s="116">
        <f t="shared" ca="1" si="1"/>
        <v>0</v>
      </c>
      <c r="V33" s="116">
        <f t="shared" ca="1" si="3"/>
        <v>0</v>
      </c>
      <c r="W33" s="108"/>
      <c r="Z33" s="120"/>
    </row>
    <row r="34" spans="1:26" x14ac:dyDescent="0.15">
      <c r="B34" s="23" t="s">
        <v>217</v>
      </c>
      <c r="C34" s="26" t="s">
        <v>59</v>
      </c>
      <c r="E34" s="157"/>
      <c r="F34" s="113" t="s">
        <v>218</v>
      </c>
      <c r="G34" s="39"/>
      <c r="J34" s="108"/>
      <c r="K34" s="114"/>
      <c r="L34" s="23" t="s">
        <v>164</v>
      </c>
      <c r="M34" s="80"/>
      <c r="N34" s="109">
        <f ca="1">SUM(O34:T34)</f>
        <v>-0.73067779446629855</v>
      </c>
      <c r="O34" s="109">
        <f ca="1">SUM(SAP_Spreadsheet!G335:R335)</f>
        <v>-0.22082755073134841</v>
      </c>
      <c r="P34" s="109">
        <f ca="1">SUM(SAP_Spreadsheet!S335:AD335)</f>
        <v>-0.23313953695046857</v>
      </c>
      <c r="Q34" s="109">
        <f ca="1">SUM(SAP_Spreadsheet!AE335:AP335)</f>
        <v>-0.1183559318394482</v>
      </c>
      <c r="R34" s="109">
        <f ca="1">SUM(SAP_Spreadsheet!AQ335:BB335)</f>
        <v>-8.4536149241647873E-2</v>
      </c>
      <c r="S34" s="109">
        <f ca="1">SUM(SAP_Spreadsheet!BC335:BN335)</f>
        <v>-5.359494788929553E-2</v>
      </c>
      <c r="T34" s="109">
        <f ca="1">SUM(SAP_Spreadsheet!BO335:BZ335)</f>
        <v>-2.0223677814089958E-2</v>
      </c>
      <c r="U34" s="116">
        <f t="shared" ca="1" si="1"/>
        <v>-0.29157283612160301</v>
      </c>
      <c r="V34" s="116">
        <f t="shared" ca="1" si="3"/>
        <v>-5.7409079663837542E-2</v>
      </c>
      <c r="W34" s="127"/>
      <c r="X34" s="128"/>
      <c r="Y34" s="129"/>
      <c r="Z34" s="129"/>
    </row>
    <row r="35" spans="1:26" x14ac:dyDescent="0.15">
      <c r="B35" s="23"/>
      <c r="C35" s="26" t="s">
        <v>62</v>
      </c>
      <c r="E35" s="139"/>
      <c r="F35" s="113" t="s">
        <v>219</v>
      </c>
      <c r="G35" s="81"/>
      <c r="K35" s="114"/>
      <c r="L35" s="23" t="s">
        <v>167</v>
      </c>
      <c r="M35" s="80"/>
      <c r="N35" s="109">
        <f t="shared" ref="N35:S35" ca="1" si="6">N36+N41+N42+N48+N45+N49</f>
        <v>-0.38866078240699026</v>
      </c>
      <c r="O35" s="109">
        <f t="shared" ca="1" si="6"/>
        <v>-0.19668237986496084</v>
      </c>
      <c r="P35" s="109">
        <f t="shared" ca="1" si="6"/>
        <v>-0.10842666581876956</v>
      </c>
      <c r="Q35" s="109">
        <f t="shared" ca="1" si="6"/>
        <v>-3.6183467494905128E-2</v>
      </c>
      <c r="R35" s="109">
        <f t="shared" ca="1" si="6"/>
        <v>-2.7442497306589438E-2</v>
      </c>
      <c r="S35" s="109">
        <f t="shared" ca="1" si="6"/>
        <v>-1.9925771921765298E-2</v>
      </c>
      <c r="T35" s="115"/>
      <c r="U35" s="116">
        <f ca="1">N35/$N$17/60*12</f>
        <v>-0.15509288426976309</v>
      </c>
      <c r="V35" s="116">
        <f t="shared" ca="1" si="3"/>
        <v>-3.0536931583790547E-2</v>
      </c>
      <c r="W35" s="158"/>
      <c r="X35" s="124"/>
      <c r="Y35" s="129"/>
      <c r="Z35" s="129"/>
    </row>
    <row r="36" spans="1:26" x14ac:dyDescent="0.15">
      <c r="B36" s="23"/>
      <c r="C36" s="26" t="s">
        <v>220</v>
      </c>
      <c r="E36" s="159">
        <f>DATA!D26</f>
        <v>3.2220049776657135E-2</v>
      </c>
      <c r="F36" s="113" t="s">
        <v>221</v>
      </c>
      <c r="H36" s="61"/>
      <c r="J36" s="160"/>
      <c r="K36" s="114"/>
      <c r="L36" s="161" t="s">
        <v>86</v>
      </c>
      <c r="M36" s="80"/>
      <c r="N36" s="109">
        <f t="shared" ref="N36:S36" ca="1" si="7">SUM(N38:N41)</f>
        <v>-0.11800727569680533</v>
      </c>
      <c r="O36" s="109">
        <f t="shared" ca="1" si="7"/>
        <v>-5.8711755468684873E-2</v>
      </c>
      <c r="P36" s="109">
        <f t="shared" ca="1" si="7"/>
        <v>-5.929552022812045E-2</v>
      </c>
      <c r="Q36" s="109">
        <f t="shared" ca="1" si="7"/>
        <v>0</v>
      </c>
      <c r="R36" s="109">
        <f t="shared" ca="1" si="7"/>
        <v>0</v>
      </c>
      <c r="S36" s="109">
        <f t="shared" ca="1" si="7"/>
        <v>0</v>
      </c>
      <c r="T36" s="115"/>
      <c r="U36" s="126">
        <f t="shared" ca="1" si="1"/>
        <v>-4.7090135102618683E-2</v>
      </c>
      <c r="V36" s="126">
        <f t="shared" ca="1" si="3"/>
        <v>-9.2717872948892659E-3</v>
      </c>
      <c r="W36" s="123"/>
      <c r="X36" s="124"/>
      <c r="Y36" s="129"/>
      <c r="Z36" s="129"/>
    </row>
    <row r="37" spans="1:26" hidden="1" x14ac:dyDescent="0.15">
      <c r="B37" s="23"/>
      <c r="C37" s="26" t="s">
        <v>202</v>
      </c>
      <c r="E37" s="150"/>
      <c r="F37" s="113" t="s">
        <v>222</v>
      </c>
      <c r="H37" s="151"/>
      <c r="K37" s="114"/>
      <c r="L37" s="162" t="s">
        <v>87</v>
      </c>
      <c r="M37" s="80"/>
      <c r="N37" s="115">
        <f>SUM(  SAP_Spreadsheet!G244:BN244)</f>
        <v>0</v>
      </c>
      <c r="O37" s="115">
        <f>SUM(SAP_Spreadsheet!G244:R244)</f>
        <v>0</v>
      </c>
      <c r="P37" s="115">
        <f>SUM(SAP_Spreadsheet!S244:AD244)</f>
        <v>0</v>
      </c>
      <c r="Q37" s="115">
        <f>SUM(  SAP_Spreadsheet!AE244:AP244)</f>
        <v>0</v>
      </c>
      <c r="R37" s="115">
        <f>SUM(  SAP_Spreadsheet!AQ244:BB244)</f>
        <v>0</v>
      </c>
      <c r="S37" s="115">
        <f>SUM(  SAP_Spreadsheet!BC244:BN244)</f>
        <v>0</v>
      </c>
      <c r="T37" s="115"/>
      <c r="U37" s="126">
        <f t="shared" ca="1" si="1"/>
        <v>0</v>
      </c>
      <c r="V37" s="126">
        <f t="shared" ca="1" si="3"/>
        <v>0</v>
      </c>
      <c r="W37" s="158"/>
      <c r="X37" s="128"/>
      <c r="Y37" s="163"/>
      <c r="Z37" s="163"/>
    </row>
    <row r="38" spans="1:26" hidden="1" x14ac:dyDescent="0.15">
      <c r="B38" s="23"/>
      <c r="C38" s="26" t="s">
        <v>66</v>
      </c>
      <c r="E38" s="164"/>
      <c r="F38" s="113" t="s">
        <v>223</v>
      </c>
      <c r="G38" s="81"/>
      <c r="H38" s="151"/>
      <c r="I38" s="61"/>
      <c r="J38" s="108"/>
      <c r="K38" s="114"/>
      <c r="L38" s="165" t="s">
        <v>224</v>
      </c>
      <c r="M38" s="80"/>
      <c r="N38" s="115">
        <f ca="1">SUM(  SAP_Spreadsheet!G245:BN245)</f>
        <v>-0.11800727569680533</v>
      </c>
      <c r="O38" s="115">
        <f ca="1">SUM(SAP_Spreadsheet!G245:R245)</f>
        <v>-5.8711755468684873E-2</v>
      </c>
      <c r="P38" s="115">
        <f ca="1">SUM(SAP_Spreadsheet!S245:AD245)</f>
        <v>-5.929552022812045E-2</v>
      </c>
      <c r="Q38" s="115">
        <f ca="1">SUM(  SAP_Spreadsheet!AE245:AP245)</f>
        <v>0</v>
      </c>
      <c r="R38" s="115">
        <f ca="1">SUM(  SAP_Spreadsheet!AQ245:BB245)</f>
        <v>0</v>
      </c>
      <c r="S38" s="115">
        <f ca="1">SUM(  SAP_Spreadsheet!BC245:BN245)</f>
        <v>0</v>
      </c>
      <c r="T38" s="115"/>
      <c r="U38" s="126">
        <f t="shared" ca="1" si="1"/>
        <v>-4.7090135102618683E-2</v>
      </c>
      <c r="V38" s="126">
        <f t="shared" ca="1" si="3"/>
        <v>-9.2717872948892659E-3</v>
      </c>
      <c r="W38" s="166"/>
      <c r="X38" s="128"/>
      <c r="Y38" s="163"/>
      <c r="Z38" s="163"/>
    </row>
    <row r="39" spans="1:26" hidden="1" x14ac:dyDescent="0.15">
      <c r="B39" s="23"/>
      <c r="C39" s="32" t="s">
        <v>68</v>
      </c>
      <c r="E39" s="167"/>
      <c r="F39" s="113" t="s">
        <v>225</v>
      </c>
      <c r="H39" s="151"/>
      <c r="I39" s="61"/>
      <c r="K39" s="114"/>
      <c r="L39" s="125" t="s">
        <v>226</v>
      </c>
      <c r="M39" s="80"/>
      <c r="N39" s="115">
        <f ca="1">SUM(  SAP_Spreadsheet!G246:BN246)</f>
        <v>0</v>
      </c>
      <c r="O39" s="115">
        <f ca="1">SUM(SAP_Spreadsheet!G246:R246)</f>
        <v>0</v>
      </c>
      <c r="P39" s="115">
        <f ca="1">SUM(SAP_Spreadsheet!S246:AD246)</f>
        <v>0</v>
      </c>
      <c r="Q39" s="115">
        <f ca="1">SUM(  SAP_Spreadsheet!AE246:AP246)</f>
        <v>0</v>
      </c>
      <c r="R39" s="115">
        <f ca="1">SUM(  SAP_Spreadsheet!AQ246:BB246)</f>
        <v>0</v>
      </c>
      <c r="S39" s="115">
        <f ca="1">SUM(  SAP_Spreadsheet!BC246:BN246)</f>
        <v>0</v>
      </c>
      <c r="T39" s="115"/>
      <c r="U39" s="126">
        <f t="shared" ca="1" si="1"/>
        <v>0</v>
      </c>
      <c r="V39" s="126">
        <f t="shared" ca="1" si="3"/>
        <v>0</v>
      </c>
      <c r="W39" s="158"/>
      <c r="X39" s="128"/>
      <c r="Y39" s="163"/>
      <c r="Z39" s="163"/>
    </row>
    <row r="40" spans="1:26" hidden="1" x14ac:dyDescent="0.15">
      <c r="B40" s="23"/>
      <c r="H40" s="151"/>
      <c r="I40" s="61"/>
      <c r="J40" s="168"/>
      <c r="K40" s="169"/>
      <c r="L40" s="170" t="s">
        <v>227</v>
      </c>
      <c r="M40" s="80"/>
      <c r="N40" s="115">
        <f>SUM(  SAP_Spreadsheet!G250:BN250)</f>
        <v>0</v>
      </c>
      <c r="O40" s="115">
        <f>SUM(SAP_Spreadsheet!G250:R250)</f>
        <v>0</v>
      </c>
      <c r="P40" s="115">
        <f>SUM(SAP_Spreadsheet!S250:AD250)</f>
        <v>0</v>
      </c>
      <c r="Q40" s="115">
        <f>SUM(  SAP_Spreadsheet!AE250:AP250)</f>
        <v>0</v>
      </c>
      <c r="R40" s="115">
        <f>SUM(  SAP_Spreadsheet!AQ250:BB250)</f>
        <v>0</v>
      </c>
      <c r="S40" s="115">
        <f>SUM(  SAP_Spreadsheet!BC250:BN250)</f>
        <v>0</v>
      </c>
      <c r="T40" s="115"/>
      <c r="U40" s="126">
        <f t="shared" ca="1" si="1"/>
        <v>0</v>
      </c>
      <c r="V40" s="126">
        <f t="shared" ca="1" si="3"/>
        <v>0</v>
      </c>
      <c r="W40" s="158"/>
      <c r="X40" s="128"/>
      <c r="Y40" s="163"/>
      <c r="Z40" s="163"/>
    </row>
    <row r="41" spans="1:26" hidden="1" x14ac:dyDescent="0.15">
      <c r="B41" s="23"/>
      <c r="C41" s="26" t="s">
        <v>228</v>
      </c>
      <c r="E41" s="171">
        <v>0</v>
      </c>
      <c r="F41" s="113" t="s">
        <v>213</v>
      </c>
      <c r="H41" s="151"/>
      <c r="I41" s="61"/>
      <c r="K41" s="114"/>
      <c r="L41" s="172" t="s">
        <v>229</v>
      </c>
      <c r="M41" s="80"/>
      <c r="N41" s="115">
        <f>-SUM(  SAP_Spreadsheet!G251:BN251)</f>
        <v>0</v>
      </c>
      <c r="O41" s="115">
        <f>-SUM(SAP_Spreadsheet!G251:R251)</f>
        <v>0</v>
      </c>
      <c r="P41" s="115">
        <f>-SUM(SAP_Spreadsheet!S251:AD251)</f>
        <v>0</v>
      </c>
      <c r="Q41" s="115">
        <f>-SUM(  SAP_Spreadsheet!AE251:AP251)</f>
        <v>0</v>
      </c>
      <c r="R41" s="115">
        <f>-SUM(  SAP_Spreadsheet!AQ251:BB251)</f>
        <v>0</v>
      </c>
      <c r="S41" s="115">
        <f>-SUM(  SAP_Spreadsheet!BC251:BN251)</f>
        <v>0</v>
      </c>
      <c r="T41" s="115"/>
      <c r="U41" s="126">
        <f t="shared" ca="1" si="1"/>
        <v>0</v>
      </c>
      <c r="V41" s="126">
        <f t="shared" ca="1" si="3"/>
        <v>0</v>
      </c>
      <c r="W41" s="158"/>
      <c r="X41" s="128"/>
      <c r="Y41" s="163"/>
      <c r="Z41" s="163"/>
    </row>
    <row r="42" spans="1:26" x14ac:dyDescent="0.15">
      <c r="B42" s="23"/>
      <c r="C42" s="26" t="s">
        <v>230</v>
      </c>
      <c r="E42" s="173">
        <v>0.1</v>
      </c>
      <c r="F42" s="113" t="s">
        <v>231</v>
      </c>
      <c r="G42" s="80"/>
      <c r="K42" s="114"/>
      <c r="L42" s="122" t="s">
        <v>103</v>
      </c>
      <c r="M42" s="80"/>
      <c r="N42" s="109">
        <f t="shared" ref="N42:S42" si="8">SUM(N43:N44)</f>
        <v>-6.0689763204024083E-2</v>
      </c>
      <c r="O42" s="109">
        <f t="shared" si="8"/>
        <v>-6.0689763204024083E-2</v>
      </c>
      <c r="P42" s="109">
        <f t="shared" si="8"/>
        <v>0</v>
      </c>
      <c r="Q42" s="109">
        <f t="shared" si="8"/>
        <v>0</v>
      </c>
      <c r="R42" s="109">
        <f t="shared" si="8"/>
        <v>0</v>
      </c>
      <c r="S42" s="109">
        <f t="shared" si="8"/>
        <v>0</v>
      </c>
      <c r="T42" s="115"/>
      <c r="U42" s="126">
        <f t="shared" ca="1" si="1"/>
        <v>-2.4217906326099499E-2</v>
      </c>
      <c r="V42" s="126">
        <f t="shared" ca="1" si="3"/>
        <v>-4.7683718828545234E-3</v>
      </c>
      <c r="W42" s="158"/>
      <c r="X42" s="128"/>
      <c r="Y42" s="163"/>
      <c r="Z42" s="163"/>
    </row>
    <row r="43" spans="1:26" hidden="1" x14ac:dyDescent="0.15">
      <c r="A43" s="28"/>
      <c r="B43" s="23"/>
      <c r="E43" s="174"/>
      <c r="F43" s="175"/>
      <c r="H43" s="176"/>
      <c r="I43" s="177"/>
      <c r="K43" s="61"/>
      <c r="L43" s="162" t="s">
        <v>104</v>
      </c>
      <c r="M43" s="80"/>
      <c r="N43" s="115">
        <f>SUM(SAP_Spreadsheet!G254:BN254)</f>
        <v>-5.668976320402408E-2</v>
      </c>
      <c r="O43" s="178">
        <f>SUM(SAP_Spreadsheet!G254:R254)</f>
        <v>-5.668976320402408E-2</v>
      </c>
      <c r="P43" s="115">
        <f>SUM(SAP_Spreadsheet!S254:AD254)</f>
        <v>0</v>
      </c>
      <c r="Q43" s="115">
        <f>SUM(SAP_Spreadsheet!AE254:AP254)</f>
        <v>0</v>
      </c>
      <c r="R43" s="115">
        <f>SUM(SAP_Spreadsheet!AQ254:BB254)</f>
        <v>0</v>
      </c>
      <c r="S43" s="115">
        <f>SUM(SAP_Spreadsheet!BC254:BN254)</f>
        <v>0</v>
      </c>
      <c r="T43" s="115"/>
      <c r="U43" s="126">
        <f t="shared" ca="1" si="1"/>
        <v>-2.2621728977726283E-2</v>
      </c>
      <c r="V43" s="126">
        <f t="shared" ca="1" si="3"/>
        <v>-4.4540933863756738E-3</v>
      </c>
      <c r="W43" s="158"/>
      <c r="X43" s="128"/>
      <c r="Y43" s="163"/>
      <c r="Z43" s="163"/>
    </row>
    <row r="44" spans="1:26" hidden="1" x14ac:dyDescent="0.15">
      <c r="K44" s="114"/>
      <c r="L44" s="162" t="s">
        <v>232</v>
      </c>
      <c r="M44" s="80"/>
      <c r="N44" s="115">
        <f>SUM(SAP_Spreadsheet!G255:BN255)</f>
        <v>-4.0000000000000001E-3</v>
      </c>
      <c r="O44" s="115">
        <f>SUM(SAP_Spreadsheet!G255:R255)</f>
        <v>-4.0000000000000001E-3</v>
      </c>
      <c r="P44" s="115">
        <f>SUM(SAP_Spreadsheet!S255:AD255)</f>
        <v>0</v>
      </c>
      <c r="Q44" s="115">
        <f>SUM(SAP_Spreadsheet!AE255:AP255)</f>
        <v>0</v>
      </c>
      <c r="R44" s="115">
        <f>SUM(SAP_Spreadsheet!AQ255:BB255)</f>
        <v>0</v>
      </c>
      <c r="S44" s="115">
        <f>SUM(SAP_Spreadsheet!BC255:BN255)</f>
        <v>0</v>
      </c>
      <c r="T44" s="115"/>
      <c r="U44" s="126">
        <f t="shared" ca="1" si="1"/>
        <v>-1.5961773483732242E-3</v>
      </c>
      <c r="V44" s="126">
        <f t="shared" ca="1" si="3"/>
        <v>-3.1427849647884954E-4</v>
      </c>
      <c r="W44" s="158"/>
      <c r="X44" s="128"/>
      <c r="Y44" s="163"/>
      <c r="Z44" s="163"/>
    </row>
    <row r="45" spans="1:26" x14ac:dyDescent="0.15">
      <c r="B45" s="23"/>
      <c r="C45" s="26" t="s">
        <v>74</v>
      </c>
      <c r="E45" s="179"/>
      <c r="F45" s="113" t="s">
        <v>233</v>
      </c>
      <c r="G45" s="81"/>
      <c r="H45" s="151"/>
      <c r="I45" s="61"/>
      <c r="K45" s="114"/>
      <c r="L45" s="122" t="s">
        <v>234</v>
      </c>
      <c r="M45" s="80"/>
      <c r="N45" s="109">
        <f t="shared" ref="N45:S45" ca="1" si="9">SUM(N46:N47)</f>
        <v>-0.13595951446852272</v>
      </c>
      <c r="O45" s="109">
        <f t="shared" ca="1" si="9"/>
        <v>-5.0888778545528784E-2</v>
      </c>
      <c r="P45" s="109">
        <f t="shared" ca="1" si="9"/>
        <v>-3.1942931635920151E-2</v>
      </c>
      <c r="Q45" s="109">
        <f t="shared" ca="1" si="9"/>
        <v>-2.3239694501229726E-2</v>
      </c>
      <c r="R45" s="109">
        <f t="shared" ca="1" si="9"/>
        <v>-1.7407692153684318E-2</v>
      </c>
      <c r="S45" s="109">
        <f t="shared" ca="1" si="9"/>
        <v>-1.2480417632159712E-2</v>
      </c>
      <c r="T45" s="115"/>
      <c r="U45" s="126">
        <f t="shared" ca="1" si="1"/>
        <v>-5.425387432261939E-2</v>
      </c>
      <c r="V45" s="126">
        <f t="shared" ca="1" si="3"/>
        <v>-1.0682287947290429E-2</v>
      </c>
      <c r="W45" s="158"/>
      <c r="X45" s="128"/>
      <c r="Y45" s="163"/>
      <c r="Z45" s="163"/>
    </row>
    <row r="46" spans="1:26" hidden="1" x14ac:dyDescent="0.15">
      <c r="B46" s="23"/>
      <c r="K46" s="114"/>
      <c r="L46" s="165" t="s">
        <v>235</v>
      </c>
      <c r="M46" s="80"/>
      <c r="N46" s="115">
        <f ca="1">SUM(  SAP_Spreadsheet!G265:BN265)</f>
        <v>-0.13595951446852272</v>
      </c>
      <c r="O46" s="115">
        <f ca="1">SUM(SAP_Spreadsheet!G265:R265)</f>
        <v>-5.0888778545528784E-2</v>
      </c>
      <c r="P46" s="115">
        <f ca="1">SUM(SAP_Spreadsheet!S265:AD265)</f>
        <v>-3.1942931635920151E-2</v>
      </c>
      <c r="Q46" s="115">
        <f ca="1">SUM(  SAP_Spreadsheet!AE265:AP265)</f>
        <v>-2.3239694501229726E-2</v>
      </c>
      <c r="R46" s="115">
        <f ca="1">SUM(  SAP_Spreadsheet!AQ265:BB265)</f>
        <v>-1.7407692153684318E-2</v>
      </c>
      <c r="S46" s="115">
        <f ca="1">SUM(  SAP_Spreadsheet!BC265:BN265)</f>
        <v>-1.2480417632159712E-2</v>
      </c>
      <c r="T46" s="115"/>
      <c r="U46" s="126">
        <f t="shared" ca="1" si="1"/>
        <v>-5.425387432261939E-2</v>
      </c>
      <c r="V46" s="126">
        <f t="shared" ca="1" si="3"/>
        <v>-1.0682287947290429E-2</v>
      </c>
      <c r="W46" s="158"/>
      <c r="X46" s="128"/>
      <c r="Y46" s="163"/>
      <c r="Z46" s="163"/>
    </row>
    <row r="47" spans="1:26" hidden="1" x14ac:dyDescent="0.15">
      <c r="B47" s="23" t="s">
        <v>76</v>
      </c>
      <c r="C47" s="23"/>
      <c r="H47" s="180"/>
      <c r="K47" s="114"/>
      <c r="L47" s="181" t="s">
        <v>236</v>
      </c>
      <c r="M47" s="80"/>
      <c r="N47" s="115">
        <f>SUM(  SAP_Spreadsheet!G266:BN266)</f>
        <v>0</v>
      </c>
      <c r="O47" s="115">
        <f>SUM(SAP_Spreadsheet!G266:R266)</f>
        <v>0</v>
      </c>
      <c r="P47" s="115">
        <f>SUM(SAP_Spreadsheet!S266:AD266)</f>
        <v>0</v>
      </c>
      <c r="Q47" s="115">
        <f>SUM(  SAP_Spreadsheet!AE266:AP266)</f>
        <v>0</v>
      </c>
      <c r="R47" s="115">
        <f>SUM(  SAP_Spreadsheet!AQ266:BB266)</f>
        <v>0</v>
      </c>
      <c r="S47" s="115">
        <f>SUM(  SAP_Spreadsheet!BC266:BN266)</f>
        <v>0</v>
      </c>
      <c r="T47" s="115"/>
      <c r="U47" s="126">
        <f t="shared" ca="1" si="1"/>
        <v>0</v>
      </c>
      <c r="V47" s="126">
        <f t="shared" ca="1" si="3"/>
        <v>0</v>
      </c>
      <c r="W47" s="158"/>
      <c r="X47" s="128"/>
      <c r="Y47" s="163"/>
      <c r="Z47" s="163"/>
    </row>
    <row r="48" spans="1:26" x14ac:dyDescent="0.15">
      <c r="C48" s="23" t="s">
        <v>237</v>
      </c>
      <c r="H48" s="180"/>
      <c r="K48" s="114"/>
      <c r="L48" s="122" t="s">
        <v>238</v>
      </c>
      <c r="M48" s="80"/>
      <c r="N48" s="109">
        <f ca="1">SUM(SAP_Spreadsheet!G263:BN263)</f>
        <v>-1.2485701731735006E-2</v>
      </c>
      <c r="O48" s="109">
        <f ca="1">SUM(SAP_Spreadsheet!G263:R263)</f>
        <v>-4.4527681227337695E-3</v>
      </c>
      <c r="P48" s="109">
        <f ca="1">SUM(SAP_Spreadsheet!S263:AD263)</f>
        <v>-2.8999276869818217E-3</v>
      </c>
      <c r="Q48" s="109">
        <f ca="1">SUM(  SAP_Spreadsheet!AE263:AP263)</f>
        <v>-2.1838223434517854E-3</v>
      </c>
      <c r="R48" s="109">
        <f ca="1">SUM(  SAP_Spreadsheet!AQ263:BB263)</f>
        <v>-1.6930327591349961E-3</v>
      </c>
      <c r="S48" s="109">
        <f ca="1">SUM(  SAP_Spreadsheet!BC263:BN263)</f>
        <v>-1.2561508194326282E-3</v>
      </c>
      <c r="T48" s="115"/>
      <c r="U48" s="126">
        <f t="shared" ca="1" si="1"/>
        <v>-4.9823485706849378E-3</v>
      </c>
      <c r="V48" s="126">
        <f t="shared" ca="1" si="3"/>
        <v>-9.8099689193326144E-4</v>
      </c>
      <c r="W48" s="118"/>
      <c r="X48" s="128"/>
      <c r="Y48" s="163"/>
      <c r="Z48" s="163"/>
    </row>
    <row r="49" spans="2:26" x14ac:dyDescent="0.15">
      <c r="C49" s="182" t="s">
        <v>77</v>
      </c>
      <c r="E49" s="183"/>
      <c r="F49" s="113" t="s">
        <v>239</v>
      </c>
      <c r="H49" s="180"/>
      <c r="K49" s="114"/>
      <c r="L49" s="122" t="s">
        <v>240</v>
      </c>
      <c r="M49" s="80"/>
      <c r="N49" s="109">
        <f ca="1">SUM(  SAP_Spreadsheet!G269:BN272)</f>
        <v>-6.1518527305903126E-2</v>
      </c>
      <c r="O49" s="109">
        <f ca="1">SUM(SAP_Spreadsheet!G269:R272)</f>
        <v>-2.1939314523989346E-2</v>
      </c>
      <c r="P49" s="109">
        <f ca="1">SUM(SAP_Spreadsheet!S269:AD272)</f>
        <v>-1.4288286267747141E-2</v>
      </c>
      <c r="Q49" s="109">
        <f ca="1">SUM(  SAP_Spreadsheet!AE269:AP272)</f>
        <v>-1.0759950650223615E-2</v>
      </c>
      <c r="R49" s="109">
        <f ca="1">SUM(  SAP_Spreadsheet!AQ269:BB272)</f>
        <v>-8.3417723937701249E-3</v>
      </c>
      <c r="S49" s="109">
        <f ca="1">SUM(  SAP_Spreadsheet!BC269:BN272)</f>
        <v>-6.1892034701729569E-3</v>
      </c>
      <c r="T49" s="115"/>
      <c r="U49" s="126">
        <f t="shared" ca="1" si="1"/>
        <v>-2.4548619947740553E-2</v>
      </c>
      <c r="V49" s="126">
        <f t="shared" ca="1" si="3"/>
        <v>-4.8334875668230711E-3</v>
      </c>
      <c r="W49" s="118"/>
      <c r="X49" s="119"/>
      <c r="Y49" s="120"/>
      <c r="Z49" s="120"/>
    </row>
    <row r="50" spans="2:26" x14ac:dyDescent="0.15">
      <c r="C50" s="182" t="s">
        <v>79</v>
      </c>
      <c r="E50" s="184"/>
      <c r="F50" s="113" t="s">
        <v>241</v>
      </c>
      <c r="K50" s="114"/>
      <c r="L50" s="23" t="s">
        <v>242</v>
      </c>
      <c r="M50" s="80"/>
      <c r="N50" s="109">
        <f t="shared" ref="N50:S50" ca="1" si="10">N18+N34+N35-N49+N33</f>
        <v>-0.29157845959316159</v>
      </c>
      <c r="O50" s="109">
        <f t="shared" ca="1" si="10"/>
        <v>-9.1239007067763112E-2</v>
      </c>
      <c r="P50" s="109">
        <f t="shared" ca="1" si="10"/>
        <v>-4.7071093772699996E-2</v>
      </c>
      <c r="Q50" s="109">
        <f t="shared" ca="1" si="10"/>
        <v>-5.8434379540246342E-2</v>
      </c>
      <c r="R50" s="109">
        <f t="shared" ca="1" si="10"/>
        <v>-4.5331102999762264E-2</v>
      </c>
      <c r="S50" s="109">
        <f t="shared" ca="1" si="10"/>
        <v>-2.9279198398599767E-2</v>
      </c>
      <c r="T50" s="109"/>
      <c r="U50" s="116">
        <f t="shared" ca="1" si="1"/>
        <v>-0.11635273311904047</v>
      </c>
      <c r="V50" s="116">
        <f t="shared" ca="1" si="3"/>
        <v>-2.2909209971639453E-2</v>
      </c>
      <c r="X50" s="119"/>
      <c r="Y50" s="120"/>
      <c r="Z50" s="120"/>
    </row>
    <row r="51" spans="2:26" x14ac:dyDescent="0.15">
      <c r="C51" s="182" t="s">
        <v>81</v>
      </c>
      <c r="E51" s="183"/>
      <c r="F51" s="113" t="s">
        <v>243</v>
      </c>
      <c r="K51" s="114"/>
      <c r="L51" s="23" t="s">
        <v>244</v>
      </c>
      <c r="M51" s="80"/>
      <c r="N51" s="109">
        <f t="shared" ref="N51:T51" ca="1" si="11">N18+N33+N34+N35</f>
        <v>-0.35309698689906471</v>
      </c>
      <c r="O51" s="109">
        <f ca="1">O18+O33+O34+O35</f>
        <v>-0.11317832159175245</v>
      </c>
      <c r="P51" s="109">
        <f t="shared" ca="1" si="11"/>
        <v>-6.1359380040447137E-2</v>
      </c>
      <c r="Q51" s="109">
        <f t="shared" ca="1" si="11"/>
        <v>-6.9194330190469958E-2</v>
      </c>
      <c r="R51" s="109">
        <f t="shared" ca="1" si="11"/>
        <v>-5.3672875393532389E-2</v>
      </c>
      <c r="S51" s="109">
        <f t="shared" ca="1" si="11"/>
        <v>-3.5468401868772724E-2</v>
      </c>
      <c r="T51" s="109">
        <f t="shared" ca="1" si="11"/>
        <v>-2.0223677814089958E-2</v>
      </c>
      <c r="U51" s="116">
        <f t="shared" ca="1" si="1"/>
        <v>-0.14090135306678103</v>
      </c>
      <c r="V51" s="116">
        <f t="shared" ca="1" si="3"/>
        <v>-2.7742697538462521E-2</v>
      </c>
    </row>
    <row r="52" spans="2:26" x14ac:dyDescent="0.15">
      <c r="B52" s="32"/>
      <c r="C52" s="32" t="s">
        <v>245</v>
      </c>
      <c r="E52" s="185"/>
      <c r="F52" s="113" t="s">
        <v>246</v>
      </c>
      <c r="K52" s="114"/>
    </row>
    <row r="53" spans="2:26" x14ac:dyDescent="0.15">
      <c r="B53" s="32"/>
      <c r="C53" s="186" t="s">
        <v>247</v>
      </c>
      <c r="D53" s="32"/>
      <c r="E53" s="185"/>
      <c r="F53" s="187"/>
      <c r="K53" s="114"/>
    </row>
    <row r="54" spans="2:26" x14ac:dyDescent="0.15">
      <c r="B54" s="32"/>
      <c r="C54" s="186"/>
      <c r="D54" s="32"/>
      <c r="E54" s="188"/>
      <c r="F54" s="187"/>
      <c r="K54" s="114"/>
    </row>
    <row r="55" spans="2:26" x14ac:dyDescent="0.15">
      <c r="B55" s="32"/>
      <c r="C55" s="23" t="s">
        <v>248</v>
      </c>
      <c r="D55" s="32"/>
      <c r="E55" s="188"/>
      <c r="F55" s="187"/>
      <c r="K55" s="114"/>
    </row>
    <row r="56" spans="2:26" x14ac:dyDescent="0.15">
      <c r="B56" s="32"/>
      <c r="C56" s="26" t="s">
        <v>249</v>
      </c>
      <c r="D56" s="32"/>
      <c r="E56" s="131">
        <v>6</v>
      </c>
      <c r="F56" s="187"/>
      <c r="K56" s="114"/>
    </row>
    <row r="57" spans="2:26" x14ac:dyDescent="0.15">
      <c r="B57" s="32"/>
      <c r="C57" s="26" t="s">
        <v>77</v>
      </c>
      <c r="E57" s="189">
        <v>0.1</v>
      </c>
      <c r="F57" s="113" t="s">
        <v>250</v>
      </c>
      <c r="K57" s="114"/>
    </row>
    <row r="58" spans="2:26" x14ac:dyDescent="0.15">
      <c r="B58" s="32"/>
      <c r="C58" s="26" t="s">
        <v>251</v>
      </c>
      <c r="D58" s="32"/>
      <c r="E58" s="131">
        <v>3</v>
      </c>
      <c r="F58" s="187" t="s">
        <v>252</v>
      </c>
      <c r="K58" s="114"/>
    </row>
    <row r="59" spans="2:26" x14ac:dyDescent="0.15">
      <c r="B59" s="32"/>
      <c r="C59" s="26" t="s">
        <v>253</v>
      </c>
      <c r="E59" s="131">
        <v>7</v>
      </c>
      <c r="F59" s="113" t="s">
        <v>254</v>
      </c>
      <c r="K59" s="114"/>
    </row>
    <row r="60" spans="2:26" x14ac:dyDescent="0.15">
      <c r="B60" s="32"/>
      <c r="C60" s="26" t="s">
        <v>255</v>
      </c>
      <c r="E60" s="190"/>
      <c r="F60" s="113" t="s">
        <v>254</v>
      </c>
      <c r="K60" s="114"/>
    </row>
    <row r="61" spans="2:26" x14ac:dyDescent="0.15">
      <c r="B61" s="32"/>
      <c r="C61" s="26" t="s">
        <v>37</v>
      </c>
      <c r="E61" s="131">
        <v>7</v>
      </c>
      <c r="F61" s="113" t="s">
        <v>256</v>
      </c>
      <c r="K61" s="114"/>
    </row>
    <row r="62" spans="2:26" x14ac:dyDescent="0.15">
      <c r="B62" s="32"/>
      <c r="C62" s="26" t="s">
        <v>81</v>
      </c>
      <c r="E62" s="190">
        <f>7%*0.5+0.4*2.99%*E61</f>
        <v>0.11872000000000002</v>
      </c>
      <c r="F62" s="113" t="s">
        <v>257</v>
      </c>
      <c r="K62" s="114"/>
    </row>
    <row r="63" spans="2:26" x14ac:dyDescent="0.15">
      <c r="B63" s="32"/>
      <c r="C63" s="32"/>
      <c r="D63" s="32"/>
      <c r="E63" s="191"/>
      <c r="F63" s="187"/>
      <c r="G63" s="42"/>
      <c r="K63" s="114"/>
      <c r="V63" s="192"/>
      <c r="W63" s="123"/>
    </row>
    <row r="64" spans="2:26" ht="17" thickBot="1" x14ac:dyDescent="0.25">
      <c r="B64" s="16" t="s">
        <v>83</v>
      </c>
      <c r="C64" s="16"/>
      <c r="D64" s="16"/>
      <c r="E64" s="91"/>
      <c r="F64" s="16"/>
      <c r="G64" s="16"/>
      <c r="H64" s="16"/>
      <c r="I64" s="92" t="s">
        <v>175</v>
      </c>
      <c r="L64" s="16" t="s">
        <v>258</v>
      </c>
      <c r="M64" s="33"/>
      <c r="N64" s="33"/>
      <c r="O64" s="33"/>
      <c r="P64" s="33"/>
      <c r="Q64" s="33"/>
      <c r="R64" s="33"/>
      <c r="S64" s="33"/>
      <c r="T64" s="33"/>
      <c r="U64" s="33"/>
      <c r="V64" s="92" t="s">
        <v>175</v>
      </c>
    </row>
    <row r="65" spans="2:22" ht="14" thickTop="1" x14ac:dyDescent="0.15">
      <c r="B65" s="23" t="s">
        <v>84</v>
      </c>
    </row>
    <row r="66" spans="2:22" x14ac:dyDescent="0.15">
      <c r="B66" s="23"/>
      <c r="E66" s="190">
        <f>IF(SAP_Spreadsheet!$C$5="yes",0,3.5%)</f>
        <v>3.5000000000000003E-2</v>
      </c>
      <c r="F66" s="113" t="s">
        <v>259</v>
      </c>
      <c r="N66" s="103" t="s">
        <v>182</v>
      </c>
      <c r="O66" s="103" t="s">
        <v>177</v>
      </c>
      <c r="P66" s="103" t="s">
        <v>178</v>
      </c>
      <c r="Q66" s="103" t="s">
        <v>179</v>
      </c>
      <c r="R66" s="103" t="s">
        <v>180</v>
      </c>
      <c r="S66" s="103" t="s">
        <v>181</v>
      </c>
      <c r="T66" s="103" t="s">
        <v>183</v>
      </c>
      <c r="U66" s="103" t="s">
        <v>184</v>
      </c>
      <c r="V66" s="103" t="s">
        <v>185</v>
      </c>
    </row>
    <row r="67" spans="2:22" x14ac:dyDescent="0.15">
      <c r="B67" s="23" t="s">
        <v>86</v>
      </c>
      <c r="E67" s="180"/>
      <c r="N67" s="193"/>
      <c r="O67" s="193"/>
      <c r="P67" s="193"/>
      <c r="Q67" s="193"/>
      <c r="R67" s="193"/>
      <c r="S67" s="193"/>
      <c r="T67" s="193"/>
    </row>
    <row r="68" spans="2:22" x14ac:dyDescent="0.15">
      <c r="C68" s="26" t="s">
        <v>87</v>
      </c>
      <c r="E68" s="194"/>
      <c r="F68" s="113" t="s">
        <v>223</v>
      </c>
      <c r="L68" s="26" t="s">
        <v>158</v>
      </c>
      <c r="N68" s="109">
        <f t="shared" ref="N68:T69" ca="1" si="12">N17</f>
        <v>0.50119743950466156</v>
      </c>
      <c r="O68" s="109">
        <f t="shared" ca="1" si="12"/>
        <v>0.80495309022298878</v>
      </c>
      <c r="P68" s="109">
        <f t="shared" ca="1" si="12"/>
        <v>0.54304048660150361</v>
      </c>
      <c r="Q68" s="109">
        <f t="shared" ca="1" si="12"/>
        <v>0.49769693305453738</v>
      </c>
      <c r="R68" s="109">
        <f t="shared" ca="1" si="12"/>
        <v>0.38169085598493951</v>
      </c>
      <c r="S68" s="109">
        <f t="shared" ca="1" si="12"/>
        <v>0.278605831659339</v>
      </c>
      <c r="T68" s="109">
        <f t="shared" si="12"/>
        <v>0</v>
      </c>
      <c r="U68" s="195"/>
      <c r="V68" s="116"/>
    </row>
    <row r="69" spans="2:22" x14ac:dyDescent="0.15">
      <c r="C69" s="26" t="s">
        <v>224</v>
      </c>
      <c r="E69" s="171">
        <f>DATA!D36</f>
        <v>0.37546995998087951</v>
      </c>
      <c r="F69" s="113" t="s">
        <v>243</v>
      </c>
      <c r="G69" s="74" t="s">
        <v>91</v>
      </c>
      <c r="L69" s="23" t="s">
        <v>159</v>
      </c>
      <c r="N69" s="109">
        <f t="shared" ca="1" si="12"/>
        <v>0.76624158997422409</v>
      </c>
      <c r="O69" s="109">
        <f t="shared" ca="1" si="12"/>
        <v>0.3043316090045568</v>
      </c>
      <c r="P69" s="109">
        <f t="shared" ca="1" si="12"/>
        <v>0.28020682272879099</v>
      </c>
      <c r="Q69" s="109">
        <f t="shared" ca="1" si="12"/>
        <v>8.5345069143883373E-2</v>
      </c>
      <c r="R69" s="109">
        <f t="shared" ca="1" si="12"/>
        <v>5.8305771154704922E-2</v>
      </c>
      <c r="S69" s="109">
        <f t="shared" ca="1" si="12"/>
        <v>3.8052317942288104E-2</v>
      </c>
      <c r="T69" s="109">
        <f t="shared" si="12"/>
        <v>0</v>
      </c>
      <c r="U69" s="196">
        <f t="shared" ref="U69:U75" ca="1" si="13">N69/$N$17/60*12</f>
        <v>0.30576436732458506</v>
      </c>
      <c r="V69" s="197">
        <f t="shared" ref="V69:V75" ca="1" si="14">N69/$N$16/60*12</f>
        <v>1.2040662741833113E-2</v>
      </c>
    </row>
    <row r="70" spans="2:22" x14ac:dyDescent="0.15">
      <c r="C70" s="26" t="s">
        <v>92</v>
      </c>
      <c r="E70" s="171"/>
      <c r="F70" s="113" t="s">
        <v>243</v>
      </c>
      <c r="G70" s="74" t="s">
        <v>94</v>
      </c>
      <c r="K70" s="198"/>
      <c r="L70" s="26" t="s">
        <v>216</v>
      </c>
      <c r="N70" s="115">
        <f t="shared" ref="N70:T70" si="15">N33</f>
        <v>0</v>
      </c>
      <c r="O70" s="115">
        <f t="shared" si="15"/>
        <v>0</v>
      </c>
      <c r="P70" s="115">
        <f t="shared" si="15"/>
        <v>0</v>
      </c>
      <c r="Q70" s="115">
        <f t="shared" si="15"/>
        <v>0</v>
      </c>
      <c r="R70" s="115">
        <f t="shared" si="15"/>
        <v>0</v>
      </c>
      <c r="S70" s="115">
        <f t="shared" si="15"/>
        <v>0</v>
      </c>
      <c r="T70" s="115">
        <f t="shared" si="15"/>
        <v>0</v>
      </c>
      <c r="U70" s="199">
        <f t="shared" ca="1" si="13"/>
        <v>0</v>
      </c>
      <c r="V70" s="200">
        <f t="shared" ca="1" si="14"/>
        <v>0</v>
      </c>
    </row>
    <row r="71" spans="2:22" x14ac:dyDescent="0.15">
      <c r="C71" s="26" t="s">
        <v>95</v>
      </c>
      <c r="E71" s="171"/>
      <c r="F71" s="113" t="s">
        <v>243</v>
      </c>
      <c r="G71" s="74" t="s">
        <v>94</v>
      </c>
      <c r="L71" s="26" t="s">
        <v>260</v>
      </c>
      <c r="N71" s="115">
        <f t="shared" ref="N71:T71" ca="1" si="16">N35-N49</f>
        <v>-0.32714225510108713</v>
      </c>
      <c r="O71" s="115">
        <f t="shared" ca="1" si="16"/>
        <v>-0.1747430653409715</v>
      </c>
      <c r="P71" s="115">
        <f t="shared" ca="1" si="16"/>
        <v>-9.4138379551022416E-2</v>
      </c>
      <c r="Q71" s="115">
        <f t="shared" ca="1" si="16"/>
        <v>-2.5423516844681512E-2</v>
      </c>
      <c r="R71" s="115">
        <f t="shared" ca="1" si="16"/>
        <v>-1.9100724912819313E-2</v>
      </c>
      <c r="S71" s="115">
        <f t="shared" ca="1" si="16"/>
        <v>-1.3736568451592341E-2</v>
      </c>
      <c r="T71" s="115">
        <f t="shared" si="16"/>
        <v>0</v>
      </c>
      <c r="U71" s="199">
        <f t="shared" ca="1" si="13"/>
        <v>-0.13054426432202249</v>
      </c>
      <c r="V71" s="200">
        <f t="shared" ca="1" si="14"/>
        <v>-5.140688803393495E-3</v>
      </c>
    </row>
    <row r="72" spans="2:22" x14ac:dyDescent="0.15">
      <c r="C72" s="26" t="s">
        <v>97</v>
      </c>
      <c r="E72" s="171"/>
      <c r="F72" s="113" t="s">
        <v>243</v>
      </c>
      <c r="G72" s="74" t="s">
        <v>94</v>
      </c>
      <c r="L72" s="26" t="s">
        <v>261</v>
      </c>
      <c r="N72" s="115">
        <f t="shared" ref="N72:T72" ca="1" si="17">N34</f>
        <v>-0.73067779446629855</v>
      </c>
      <c r="O72" s="115">
        <f t="shared" ca="1" si="17"/>
        <v>-0.22082755073134841</v>
      </c>
      <c r="P72" s="115">
        <f t="shared" ca="1" si="17"/>
        <v>-0.23313953695046857</v>
      </c>
      <c r="Q72" s="115">
        <f t="shared" ca="1" si="17"/>
        <v>-0.1183559318394482</v>
      </c>
      <c r="R72" s="115">
        <f t="shared" ca="1" si="17"/>
        <v>-8.4536149241647873E-2</v>
      </c>
      <c r="S72" s="115">
        <f t="shared" ca="1" si="17"/>
        <v>-5.359494788929553E-2</v>
      </c>
      <c r="T72" s="115">
        <f t="shared" ca="1" si="17"/>
        <v>-2.0223677814089958E-2</v>
      </c>
      <c r="U72" s="199">
        <f t="shared" ca="1" si="13"/>
        <v>-0.29157283612160301</v>
      </c>
      <c r="V72" s="200">
        <f t="shared" ca="1" si="14"/>
        <v>-1.1481815932767508E-2</v>
      </c>
    </row>
    <row r="73" spans="2:22" x14ac:dyDescent="0.15">
      <c r="C73" s="31" t="s">
        <v>99</v>
      </c>
      <c r="D73" s="31"/>
      <c r="E73" s="201"/>
      <c r="F73" s="113" t="s">
        <v>223</v>
      </c>
      <c r="L73" s="23" t="s">
        <v>262</v>
      </c>
      <c r="N73" s="109">
        <f ca="1">SUM(N69:N72)</f>
        <v>-0.29157845959316159</v>
      </c>
      <c r="O73" s="109">
        <f t="shared" ref="O73:T73" ca="1" si="18">SUM(O69:O72)</f>
        <v>-9.1239007067763112E-2</v>
      </c>
      <c r="P73" s="109">
        <f t="shared" ca="1" si="18"/>
        <v>-4.7071093772699996E-2</v>
      </c>
      <c r="Q73" s="109">
        <f t="shared" ca="1" si="18"/>
        <v>-5.8434379540246342E-2</v>
      </c>
      <c r="R73" s="109">
        <f t="shared" ca="1" si="18"/>
        <v>-4.5331102999762264E-2</v>
      </c>
      <c r="S73" s="109">
        <f t="shared" ca="1" si="18"/>
        <v>-2.9279198398599767E-2</v>
      </c>
      <c r="T73" s="109">
        <f t="shared" ca="1" si="18"/>
        <v>-2.0223677814089958E-2</v>
      </c>
      <c r="U73" s="196">
        <f t="shared" ca="1" si="13"/>
        <v>-0.11635273311904047</v>
      </c>
      <c r="V73" s="197">
        <f t="shared" ca="1" si="14"/>
        <v>-4.5818419943278905E-3</v>
      </c>
    </row>
    <row r="74" spans="2:22" x14ac:dyDescent="0.15">
      <c r="L74" s="26" t="s">
        <v>263</v>
      </c>
      <c r="N74" s="115">
        <f t="shared" ref="N74:T74" ca="1" si="19">N49</f>
        <v>-6.1518527305903126E-2</v>
      </c>
      <c r="O74" s="115">
        <f t="shared" ca="1" si="19"/>
        <v>-2.1939314523989346E-2</v>
      </c>
      <c r="P74" s="115">
        <f t="shared" ca="1" si="19"/>
        <v>-1.4288286267747141E-2</v>
      </c>
      <c r="Q74" s="115">
        <f t="shared" ca="1" si="19"/>
        <v>-1.0759950650223615E-2</v>
      </c>
      <c r="R74" s="115">
        <f t="shared" ca="1" si="19"/>
        <v>-8.3417723937701249E-3</v>
      </c>
      <c r="S74" s="115">
        <f t="shared" ca="1" si="19"/>
        <v>-6.1892034701729569E-3</v>
      </c>
      <c r="T74" s="115">
        <f t="shared" si="19"/>
        <v>0</v>
      </c>
      <c r="U74" s="199">
        <f t="shared" ca="1" si="13"/>
        <v>-2.4548619947740553E-2</v>
      </c>
      <c r="V74" s="200">
        <f t="shared" ca="1" si="14"/>
        <v>-9.6669751336461425E-4</v>
      </c>
    </row>
    <row r="75" spans="2:22" x14ac:dyDescent="0.15">
      <c r="B75" s="23" t="s">
        <v>229</v>
      </c>
      <c r="J75" s="202"/>
      <c r="K75" s="31"/>
      <c r="L75" s="23" t="s">
        <v>244</v>
      </c>
      <c r="M75" s="23"/>
      <c r="N75" s="109">
        <f ca="1">SUM(N73:N74)</f>
        <v>-0.35309698689906471</v>
      </c>
      <c r="O75" s="109">
        <f t="shared" ref="O75:T75" ca="1" si="20">SUM(O73:O74)</f>
        <v>-0.11317832159175245</v>
      </c>
      <c r="P75" s="109">
        <f t="shared" ca="1" si="20"/>
        <v>-6.1359380040447137E-2</v>
      </c>
      <c r="Q75" s="109">
        <f t="shared" ca="1" si="20"/>
        <v>-6.9194330190469958E-2</v>
      </c>
      <c r="R75" s="109">
        <f t="shared" ca="1" si="20"/>
        <v>-5.3672875393532389E-2</v>
      </c>
      <c r="S75" s="109">
        <f t="shared" ca="1" si="20"/>
        <v>-3.5468401868772724E-2</v>
      </c>
      <c r="T75" s="109">
        <f t="shared" ca="1" si="20"/>
        <v>-2.0223677814089958E-2</v>
      </c>
      <c r="U75" s="196">
        <f t="shared" ca="1" si="13"/>
        <v>-0.14090135306678103</v>
      </c>
      <c r="V75" s="197">
        <f t="shared" ca="1" si="14"/>
        <v>-5.5485395076925043E-3</v>
      </c>
    </row>
    <row r="76" spans="2:22" x14ac:dyDescent="0.15">
      <c r="C76" s="32" t="s">
        <v>101</v>
      </c>
      <c r="D76" s="31"/>
      <c r="E76" s="194"/>
      <c r="F76" s="203"/>
      <c r="J76" s="202"/>
      <c r="K76" s="31"/>
    </row>
    <row r="77" spans="2:22" x14ac:dyDescent="0.15">
      <c r="H77" s="81"/>
      <c r="J77" s="202"/>
      <c r="K77" s="31"/>
    </row>
    <row r="78" spans="2:22" x14ac:dyDescent="0.15">
      <c r="B78" s="23" t="s">
        <v>103</v>
      </c>
      <c r="E78" s="204"/>
      <c r="F78" s="187"/>
      <c r="H78" s="61"/>
      <c r="J78" s="202"/>
      <c r="K78" s="31"/>
    </row>
    <row r="79" spans="2:22" x14ac:dyDescent="0.15">
      <c r="C79" s="31" t="s">
        <v>104</v>
      </c>
      <c r="D79" s="31"/>
      <c r="E79" s="164">
        <f>DATA!D33*SAP_Leadsheet!E81*SAP_Leadsheet!E80</f>
        <v>9.0857817282353481E-3</v>
      </c>
      <c r="F79" s="113" t="s">
        <v>264</v>
      </c>
      <c r="G79" s="160"/>
      <c r="H79" s="205"/>
      <c r="I79" s="206"/>
    </row>
    <row r="80" spans="2:22" x14ac:dyDescent="0.15">
      <c r="C80" s="26" t="s">
        <v>110</v>
      </c>
      <c r="E80" s="207">
        <v>0.216</v>
      </c>
      <c r="F80" s="113" t="s">
        <v>265</v>
      </c>
      <c r="I80" s="206"/>
      <c r="J80" s="77"/>
      <c r="K80" s="61"/>
      <c r="N80" s="193"/>
      <c r="O80" s="193"/>
      <c r="P80" s="193"/>
      <c r="Q80" s="193"/>
      <c r="R80" s="193"/>
      <c r="S80" s="193"/>
      <c r="T80" s="193"/>
    </row>
    <row r="81" spans="2:20" x14ac:dyDescent="0.15">
      <c r="C81" s="26" t="s">
        <v>266</v>
      </c>
      <c r="E81" s="207">
        <v>0.74199999999999999</v>
      </c>
      <c r="F81" s="113" t="s">
        <v>267</v>
      </c>
      <c r="H81" s="208"/>
      <c r="I81" s="209"/>
      <c r="N81" s="193"/>
      <c r="O81" s="193"/>
      <c r="P81" s="193"/>
      <c r="Q81" s="193"/>
      <c r="R81" s="193"/>
      <c r="S81" s="193"/>
      <c r="T81" s="193"/>
    </row>
    <row r="82" spans="2:20" x14ac:dyDescent="0.15">
      <c r="C82" s="26" t="s">
        <v>232</v>
      </c>
      <c r="E82" s="194">
        <v>4.0000000000000001E-3</v>
      </c>
      <c r="F82" s="113" t="s">
        <v>268</v>
      </c>
      <c r="H82" s="160"/>
      <c r="I82" s="210"/>
      <c r="J82" s="61"/>
      <c r="N82" s="193"/>
      <c r="O82" s="193"/>
      <c r="P82" s="193"/>
      <c r="Q82" s="193"/>
      <c r="R82" s="193"/>
      <c r="S82" s="193"/>
      <c r="T82" s="193"/>
    </row>
    <row r="83" spans="2:20" x14ac:dyDescent="0.15">
      <c r="H83" s="61"/>
      <c r="I83" s="61"/>
      <c r="N83" s="193"/>
      <c r="O83" s="193"/>
      <c r="P83" s="193"/>
      <c r="Q83" s="193"/>
      <c r="R83" s="193"/>
      <c r="S83" s="193"/>
      <c r="T83" s="193"/>
    </row>
    <row r="84" spans="2:20" x14ac:dyDescent="0.15">
      <c r="B84" s="23" t="s">
        <v>121</v>
      </c>
      <c r="H84" s="61"/>
      <c r="J84" s="61"/>
      <c r="L84" s="68"/>
      <c r="N84" s="193"/>
      <c r="O84" s="193"/>
      <c r="P84" s="193"/>
      <c r="Q84" s="193"/>
      <c r="R84" s="193"/>
      <c r="S84" s="193"/>
      <c r="T84" s="193"/>
    </row>
    <row r="85" spans="2:20" x14ac:dyDescent="0.15">
      <c r="C85" s="26" t="s">
        <v>269</v>
      </c>
      <c r="E85" s="194">
        <v>8.0000000000000002E-3</v>
      </c>
      <c r="F85" s="113" t="s">
        <v>270</v>
      </c>
      <c r="G85" s="160"/>
      <c r="H85" s="61"/>
      <c r="J85" s="81"/>
      <c r="N85" s="193"/>
      <c r="O85" s="193"/>
      <c r="P85" s="193"/>
      <c r="Q85" s="193"/>
      <c r="R85" s="193"/>
      <c r="S85" s="193"/>
      <c r="T85" s="193"/>
    </row>
    <row r="86" spans="2:20" x14ac:dyDescent="0.15">
      <c r="C86" s="26" t="s">
        <v>271</v>
      </c>
      <c r="D86" s="26" t="s">
        <v>272</v>
      </c>
      <c r="E86" s="211"/>
      <c r="F86" s="113" t="s">
        <v>270</v>
      </c>
      <c r="G86" s="136"/>
      <c r="N86" s="193"/>
      <c r="O86" s="193"/>
      <c r="P86" s="193"/>
      <c r="Q86" s="193"/>
      <c r="R86" s="193"/>
      <c r="S86" s="193"/>
      <c r="T86" s="193"/>
    </row>
    <row r="87" spans="2:20" x14ac:dyDescent="0.15">
      <c r="C87" s="26" t="s">
        <v>236</v>
      </c>
      <c r="D87" s="26" t="s">
        <v>273</v>
      </c>
      <c r="E87" s="211"/>
      <c r="F87" s="113" t="s">
        <v>274</v>
      </c>
      <c r="G87" s="136"/>
      <c r="N87" s="193"/>
      <c r="O87" s="193"/>
      <c r="P87" s="193"/>
      <c r="Q87" s="193"/>
      <c r="R87" s="193"/>
      <c r="S87" s="193"/>
      <c r="T87" s="193"/>
    </row>
    <row r="88" spans="2:20" x14ac:dyDescent="0.15">
      <c r="H88" s="61"/>
      <c r="N88" s="193"/>
      <c r="O88" s="193"/>
      <c r="P88" s="193"/>
      <c r="Q88" s="193"/>
      <c r="R88" s="193"/>
      <c r="S88" s="193"/>
      <c r="T88" s="193"/>
    </row>
    <row r="89" spans="2:20" x14ac:dyDescent="0.15">
      <c r="B89" s="23" t="s">
        <v>275</v>
      </c>
      <c r="H89" s="212"/>
      <c r="N89" s="193"/>
      <c r="O89" s="193"/>
      <c r="P89" s="193"/>
      <c r="Q89" s="193"/>
      <c r="R89" s="193"/>
      <c r="S89" s="193"/>
      <c r="T89" s="193"/>
    </row>
    <row r="90" spans="2:20" x14ac:dyDescent="0.15">
      <c r="C90" s="26" t="s">
        <v>276</v>
      </c>
      <c r="E90" s="194">
        <v>6.9999999999999999E-4</v>
      </c>
      <c r="F90" s="113" t="s">
        <v>277</v>
      </c>
      <c r="H90" s="61"/>
      <c r="N90" s="193"/>
      <c r="O90" s="193"/>
      <c r="P90" s="193"/>
      <c r="Q90" s="193"/>
      <c r="R90" s="193"/>
      <c r="S90" s="193"/>
      <c r="T90" s="193"/>
    </row>
    <row r="91" spans="2:20" hidden="1" x14ac:dyDescent="0.15">
      <c r="C91" s="26" t="s">
        <v>127</v>
      </c>
      <c r="E91" s="213"/>
      <c r="F91" s="113"/>
      <c r="H91" s="214"/>
      <c r="N91" s="193"/>
      <c r="O91" s="193"/>
      <c r="P91" s="193"/>
      <c r="Q91" s="193"/>
      <c r="R91" s="193"/>
      <c r="S91" s="193"/>
      <c r="T91" s="193"/>
    </row>
    <row r="92" spans="2:20" hidden="1" x14ac:dyDescent="0.15">
      <c r="C92" s="215" t="s">
        <v>127</v>
      </c>
      <c r="E92" s="216"/>
      <c r="F92" s="113"/>
      <c r="N92" s="193"/>
      <c r="O92" s="193"/>
      <c r="P92" s="193"/>
      <c r="Q92" s="193"/>
      <c r="R92" s="193"/>
      <c r="S92" s="193"/>
      <c r="T92" s="193"/>
    </row>
    <row r="93" spans="2:20" x14ac:dyDescent="0.15">
      <c r="N93" s="193"/>
      <c r="O93" s="193"/>
      <c r="P93" s="193"/>
      <c r="Q93" s="193"/>
      <c r="R93" s="193"/>
      <c r="S93" s="193"/>
      <c r="T93" s="193"/>
    </row>
    <row r="94" spans="2:20" x14ac:dyDescent="0.15">
      <c r="B94" s="23" t="s">
        <v>128</v>
      </c>
      <c r="N94" s="193"/>
      <c r="O94" s="193"/>
      <c r="P94" s="193"/>
      <c r="Q94" s="193"/>
      <c r="R94" s="193"/>
      <c r="S94" s="193"/>
      <c r="T94" s="193"/>
    </row>
    <row r="95" spans="2:20" x14ac:dyDescent="0.15">
      <c r="C95" s="26" t="s">
        <v>278</v>
      </c>
      <c r="E95" s="159">
        <v>1.0782075694187722E-3</v>
      </c>
      <c r="F95" s="113" t="s">
        <v>279</v>
      </c>
      <c r="J95" s="168"/>
      <c r="N95" s="193"/>
      <c r="O95" s="193"/>
      <c r="P95" s="193"/>
      <c r="Q95" s="193"/>
      <c r="R95" s="193"/>
      <c r="S95" s="193"/>
      <c r="T95" s="193"/>
    </row>
    <row r="96" spans="2:20" x14ac:dyDescent="0.15">
      <c r="C96" s="26" t="s">
        <v>280</v>
      </c>
      <c r="E96" s="159">
        <v>6.3414272830185836E-4</v>
      </c>
      <c r="F96" s="113" t="s">
        <v>279</v>
      </c>
      <c r="J96" s="168"/>
      <c r="N96" s="193"/>
      <c r="O96" s="193"/>
      <c r="P96" s="193"/>
      <c r="Q96" s="193"/>
      <c r="R96" s="193"/>
      <c r="S96" s="193"/>
      <c r="T96" s="193"/>
    </row>
    <row r="97" spans="2:23" x14ac:dyDescent="0.15">
      <c r="C97" s="26" t="s">
        <v>134</v>
      </c>
      <c r="E97" s="159">
        <v>7.4685949857057989E-4</v>
      </c>
      <c r="F97" s="113" t="s">
        <v>279</v>
      </c>
      <c r="J97" s="168"/>
      <c r="L97" s="39"/>
      <c r="N97" s="193"/>
      <c r="O97" s="193"/>
      <c r="P97" s="193"/>
      <c r="Q97" s="193"/>
      <c r="R97" s="193"/>
      <c r="S97" s="193"/>
      <c r="T97" s="193"/>
    </row>
    <row r="98" spans="2:23" x14ac:dyDescent="0.15">
      <c r="C98" s="26" t="s">
        <v>136</v>
      </c>
      <c r="E98" s="159">
        <v>9.8977289121595269E-4</v>
      </c>
      <c r="F98" s="113" t="s">
        <v>279</v>
      </c>
      <c r="J98" s="168"/>
      <c r="L98" s="39"/>
      <c r="N98" s="193"/>
      <c r="O98" s="193"/>
      <c r="P98" s="193"/>
      <c r="Q98" s="193"/>
      <c r="R98" s="193"/>
      <c r="S98" s="193"/>
      <c r="T98" s="193"/>
    </row>
    <row r="99" spans="2:23" ht="17" thickBot="1" x14ac:dyDescent="0.25">
      <c r="B99" s="16" t="s">
        <v>138</v>
      </c>
      <c r="C99" s="33"/>
      <c r="D99" s="33"/>
      <c r="E99" s="33"/>
      <c r="F99" s="33"/>
      <c r="G99" s="33"/>
      <c r="H99" s="33"/>
      <c r="I99" s="33"/>
      <c r="J99" s="33"/>
      <c r="K99" s="33"/>
      <c r="L99" s="33"/>
      <c r="M99" s="33"/>
      <c r="N99" s="33"/>
      <c r="O99" s="33"/>
      <c r="P99" s="33"/>
      <c r="Q99" s="33"/>
      <c r="R99" s="33"/>
      <c r="S99" s="33"/>
      <c r="T99" s="33"/>
      <c r="U99" s="33"/>
      <c r="V99" s="33"/>
      <c r="W99" s="33"/>
    </row>
    <row r="100" spans="2:23" ht="14" thickTop="1" x14ac:dyDescent="0.15">
      <c r="C100" s="217"/>
      <c r="D100" s="217"/>
      <c r="E100" s="217"/>
      <c r="F100" s="217"/>
      <c r="G100" s="217"/>
      <c r="H100" s="217"/>
      <c r="I100" s="217"/>
      <c r="K100" s="39"/>
      <c r="L100" s="39"/>
      <c r="N100" s="193"/>
      <c r="O100" s="193"/>
      <c r="P100" s="193"/>
      <c r="Q100" s="193"/>
      <c r="R100" s="193"/>
      <c r="S100" s="193"/>
      <c r="T100" s="193"/>
    </row>
    <row r="101" spans="2:23" x14ac:dyDescent="0.15">
      <c r="B101" s="23" t="s">
        <v>142</v>
      </c>
      <c r="E101" s="104" t="s">
        <v>143</v>
      </c>
      <c r="K101" s="39"/>
      <c r="L101" s="104" t="s">
        <v>145</v>
      </c>
      <c r="M101" s="193"/>
      <c r="N101" s="193"/>
      <c r="O101" s="193"/>
      <c r="P101" s="193"/>
      <c r="S101" s="104" t="s">
        <v>147</v>
      </c>
      <c r="T101" s="40"/>
      <c r="U101" s="99"/>
      <c r="V101" s="42"/>
      <c r="W101" s="42"/>
    </row>
    <row r="102" spans="2:23" x14ac:dyDescent="0.15">
      <c r="C102" s="23" t="s">
        <v>281</v>
      </c>
      <c r="E102" s="26">
        <v>1</v>
      </c>
      <c r="F102" s="26">
        <v>2</v>
      </c>
      <c r="G102" s="26">
        <v>3</v>
      </c>
      <c r="H102" s="26">
        <v>4</v>
      </c>
      <c r="I102" s="26">
        <v>5</v>
      </c>
      <c r="K102" s="23" t="s">
        <v>281</v>
      </c>
      <c r="L102" s="26">
        <v>1</v>
      </c>
      <c r="M102" s="26">
        <v>2</v>
      </c>
      <c r="N102" s="26">
        <v>3</v>
      </c>
      <c r="O102" s="26">
        <v>4</v>
      </c>
      <c r="P102" s="26">
        <v>5</v>
      </c>
      <c r="R102" s="23" t="s">
        <v>281</v>
      </c>
      <c r="S102" s="26">
        <v>1</v>
      </c>
      <c r="T102" s="26">
        <v>2</v>
      </c>
      <c r="U102" s="26">
        <v>3</v>
      </c>
      <c r="V102" s="26">
        <v>4</v>
      </c>
      <c r="W102" s="26">
        <v>5</v>
      </c>
    </row>
    <row r="103" spans="2:23" x14ac:dyDescent="0.15">
      <c r="C103" s="26" t="s">
        <v>282</v>
      </c>
      <c r="E103" s="218">
        <v>6.5000000000000002E-2</v>
      </c>
      <c r="F103" s="218">
        <v>3.5000000000000003E-2</v>
      </c>
      <c r="G103" s="218">
        <v>0.03</v>
      </c>
      <c r="H103" s="218">
        <v>2.5000000000000001E-2</v>
      </c>
      <c r="I103" s="218">
        <v>2.1999999999999999E-2</v>
      </c>
      <c r="K103" s="26" t="s">
        <v>282</v>
      </c>
      <c r="L103" s="219">
        <f>PRODUCT(E103:E$116)</f>
        <v>5.315984274534339E-2</v>
      </c>
      <c r="M103" s="219">
        <f>PRODUCT(F103:F$116)</f>
        <v>2.5235331862493764E-2</v>
      </c>
      <c r="N103" s="219">
        <f>PRODUCT(G103:G$116)</f>
        <v>2.0657180560499998E-2</v>
      </c>
      <c r="O103" s="219">
        <f>PRODUCT(H103:H$116)</f>
        <v>1.6592112900000004E-2</v>
      </c>
      <c r="P103" s="219">
        <f>PRODUCT(I103:I$116)</f>
        <v>1.4601059351999998E-2</v>
      </c>
      <c r="R103" s="26" t="s">
        <v>282</v>
      </c>
      <c r="S103" s="219">
        <f>L103*(1-SAP_Leadsheet!$E$122)*(1-SAP_Leadsheet!$E$123)*(1-SAP_Leadsheet!$E$124)</f>
        <v>5.315984274534339E-2</v>
      </c>
      <c r="T103" s="219">
        <f>M103*(1-SAP_Leadsheet!$E$122)*(1-SAP_Leadsheet!$E$123)*(1-SAP_Leadsheet!$E$124)</f>
        <v>2.5235331862493764E-2</v>
      </c>
      <c r="U103" s="219">
        <f>N103*(1-SAP_Leadsheet!$E$122)*(1-SAP_Leadsheet!$E$123)*(1-SAP_Leadsheet!$E$124)</f>
        <v>2.0657180560499998E-2</v>
      </c>
      <c r="V103" s="219">
        <f>O103*(1-SAP_Leadsheet!$E$122)*(1-SAP_Leadsheet!$E$123)*(1-SAP_Leadsheet!$E$124)</f>
        <v>1.6592112900000004E-2</v>
      </c>
      <c r="W103" s="219">
        <f>P103*(1-SAP_Leadsheet!$E$122)*(1-SAP_Leadsheet!$E$123)*(1-SAP_Leadsheet!$E$124)</f>
        <v>1.4601059351999998E-2</v>
      </c>
    </row>
    <row r="104" spans="2:23" x14ac:dyDescent="0.15">
      <c r="C104" s="26" t="s">
        <v>283</v>
      </c>
      <c r="E104" s="218">
        <v>0.9</v>
      </c>
      <c r="F104" s="218">
        <v>0.85268498053827813</v>
      </c>
      <c r="G104" s="218">
        <v>0.83</v>
      </c>
      <c r="H104" s="218">
        <v>0.8</v>
      </c>
      <c r="I104" s="218">
        <v>0.8</v>
      </c>
      <c r="K104" s="26" t="s">
        <v>283</v>
      </c>
      <c r="L104" s="219">
        <f>PRODUCT(E104:E$116)</f>
        <v>0.81784373454374437</v>
      </c>
      <c r="M104" s="219">
        <f>PRODUCT(F104:F$116)</f>
        <v>0.72100948178553603</v>
      </c>
      <c r="N104" s="219">
        <f>PRODUCT(G104:G$116)</f>
        <v>0.68857268534999994</v>
      </c>
      <c r="O104" s="219">
        <f>PRODUCT(H104:H$116)</f>
        <v>0.66368451600000011</v>
      </c>
      <c r="P104" s="219">
        <f>PRODUCT(I104:I$116)</f>
        <v>0.66368451600000011</v>
      </c>
      <c r="R104" s="26" t="s">
        <v>283</v>
      </c>
      <c r="S104" s="219">
        <f>L104*(1-SAP_Leadsheet!$E$122)*(1-SAP_Leadsheet!$E$123)*(1-SAP_Leadsheet!$E$124)</f>
        <v>0.81784373454374437</v>
      </c>
      <c r="T104" s="219">
        <f>M104*(1-SAP_Leadsheet!$E$122)*(1-SAP_Leadsheet!$E$123)*(1-SAP_Leadsheet!$E$124)</f>
        <v>0.72100948178553603</v>
      </c>
      <c r="U104" s="219">
        <f>N104*(1-SAP_Leadsheet!$E$122)*(1-SAP_Leadsheet!$E$123)*(1-SAP_Leadsheet!$E$124)</f>
        <v>0.68857268534999994</v>
      </c>
      <c r="V104" s="219">
        <f>O104*(1-SAP_Leadsheet!$E$122)*(1-SAP_Leadsheet!$E$123)*(1-SAP_Leadsheet!$E$124)</f>
        <v>0.66368451600000011</v>
      </c>
      <c r="W104" s="219">
        <f>P104*(1-SAP_Leadsheet!$E$122)*(1-SAP_Leadsheet!$E$123)*(1-SAP_Leadsheet!$E$124)</f>
        <v>0.66368451600000011</v>
      </c>
    </row>
    <row r="105" spans="2:23" x14ac:dyDescent="0.15">
      <c r="C105" s="26" t="s">
        <v>284</v>
      </c>
      <c r="E105" s="218">
        <v>0.96</v>
      </c>
      <c r="F105" s="218">
        <v>0.92697714866100644</v>
      </c>
      <c r="G105" s="218">
        <v>0.9</v>
      </c>
      <c r="H105" s="218">
        <v>0.9</v>
      </c>
      <c r="I105" s="218">
        <v>0.9</v>
      </c>
      <c r="K105" s="26" t="s">
        <v>284</v>
      </c>
      <c r="L105" s="219">
        <f>PRODUCT(E105:E$116)</f>
        <v>0.90871526060416052</v>
      </c>
      <c r="M105" s="219">
        <f>PRODUCT(F105:F$116)</f>
        <v>0.8455754449086007</v>
      </c>
      <c r="N105" s="219">
        <f>PRODUCT(G105:G$116)</f>
        <v>0.82960564499999989</v>
      </c>
      <c r="O105" s="219">
        <f>PRODUCT(H105:H$116)</f>
        <v>0.82960564499999989</v>
      </c>
      <c r="P105" s="219">
        <f>PRODUCT(I105:I$116)</f>
        <v>0.82960564499999989</v>
      </c>
      <c r="R105" s="26" t="s">
        <v>284</v>
      </c>
      <c r="S105" s="219">
        <f>L105*(1-SAP_Leadsheet!$E$122)*(1-SAP_Leadsheet!$E$123)*(1-SAP_Leadsheet!$E$124)</f>
        <v>0.90871526060416052</v>
      </c>
      <c r="T105" s="219">
        <f>M105*(1-SAP_Leadsheet!$E$122)*(1-SAP_Leadsheet!$E$123)*(1-SAP_Leadsheet!$E$124)</f>
        <v>0.8455754449086007</v>
      </c>
      <c r="U105" s="219">
        <f>N105*(1-SAP_Leadsheet!$E$122)*(1-SAP_Leadsheet!$E$123)*(1-SAP_Leadsheet!$E$124)</f>
        <v>0.82960564499999989</v>
      </c>
      <c r="V105" s="219">
        <f>O105*(1-SAP_Leadsheet!$E$122)*(1-SAP_Leadsheet!$E$123)*(1-SAP_Leadsheet!$E$124)</f>
        <v>0.82960564499999989</v>
      </c>
      <c r="W105" s="219">
        <f>P105*(1-SAP_Leadsheet!$E$122)*(1-SAP_Leadsheet!$E$123)*(1-SAP_Leadsheet!$E$124)</f>
        <v>0.82960564499999989</v>
      </c>
    </row>
    <row r="106" spans="2:23" x14ac:dyDescent="0.15">
      <c r="C106" s="26" t="s">
        <v>285</v>
      </c>
      <c r="E106" s="218">
        <v>0.98201990749437729</v>
      </c>
      <c r="F106" s="218">
        <v>0.96348519598988414</v>
      </c>
      <c r="G106" s="218">
        <v>0.95</v>
      </c>
      <c r="H106" s="218">
        <v>0.95</v>
      </c>
      <c r="I106" s="218">
        <v>0.95</v>
      </c>
      <c r="K106" s="26" t="s">
        <v>285</v>
      </c>
      <c r="L106" s="219">
        <f>PRODUCT(E106:E$116)</f>
        <v>0.94657839646266717</v>
      </c>
      <c r="M106" s="219">
        <f>PRODUCT(F106:F$116)</f>
        <v>0.91218585714870282</v>
      </c>
      <c r="N106" s="219">
        <f>PRODUCT(G106:G$116)</f>
        <v>0.92178404999999997</v>
      </c>
      <c r="O106" s="219">
        <f>PRODUCT(H106:H$116)</f>
        <v>0.92178404999999997</v>
      </c>
      <c r="P106" s="219">
        <f>PRODUCT(I106:I$116)</f>
        <v>0.92178404999999997</v>
      </c>
      <c r="R106" s="26" t="s">
        <v>285</v>
      </c>
      <c r="S106" s="219">
        <f>L106*(1-SAP_Leadsheet!$E$122)*(1-SAP_Leadsheet!$E$123)*(1-SAP_Leadsheet!$E$124)</f>
        <v>0.94657839646266717</v>
      </c>
      <c r="T106" s="219">
        <f>M106*(1-SAP_Leadsheet!$E$122)*(1-SAP_Leadsheet!$E$123)*(1-SAP_Leadsheet!$E$124)</f>
        <v>0.91218585714870282</v>
      </c>
      <c r="U106" s="219">
        <f>N106*(1-SAP_Leadsheet!$E$122)*(1-SAP_Leadsheet!$E$123)*(1-SAP_Leadsheet!$E$124)</f>
        <v>0.92178404999999997</v>
      </c>
      <c r="V106" s="219">
        <f>O106*(1-SAP_Leadsheet!$E$122)*(1-SAP_Leadsheet!$E$123)*(1-SAP_Leadsheet!$E$124)</f>
        <v>0.92178404999999997</v>
      </c>
      <c r="W106" s="219">
        <f>P106*(1-SAP_Leadsheet!$E$122)*(1-SAP_Leadsheet!$E$123)*(1-SAP_Leadsheet!$E$124)</f>
        <v>0.92178404999999997</v>
      </c>
    </row>
    <row r="107" spans="2:23" x14ac:dyDescent="0.15">
      <c r="C107" s="26" t="s">
        <v>286</v>
      </c>
      <c r="E107" s="218">
        <v>0.98498153384305265</v>
      </c>
      <c r="F107" s="218">
        <v>0.97571401114694167</v>
      </c>
      <c r="G107" s="218">
        <v>0.99</v>
      </c>
      <c r="H107" s="218">
        <v>0.99</v>
      </c>
      <c r="I107" s="218">
        <v>0.99</v>
      </c>
      <c r="K107" s="26" t="s">
        <v>286</v>
      </c>
      <c r="L107" s="219">
        <f>PRODUCT(E107:E$116)</f>
        <v>0.96390957987589165</v>
      </c>
      <c r="M107" s="219">
        <f>PRODUCT(F107:F$116)</f>
        <v>0.94675648463028395</v>
      </c>
      <c r="N107" s="219">
        <f>PRODUCT(G107:G$116)</f>
        <v>0.97029899999999991</v>
      </c>
      <c r="O107" s="219">
        <f>PRODUCT(H107:H$116)</f>
        <v>0.97029899999999991</v>
      </c>
      <c r="P107" s="219">
        <f>PRODUCT(I107:I$116)</f>
        <v>0.97029899999999991</v>
      </c>
      <c r="R107" s="26" t="s">
        <v>286</v>
      </c>
      <c r="S107" s="219">
        <f>L107*(1-SAP_Leadsheet!$E$122)*(1-SAP_Leadsheet!$E$123)*(1-SAP_Leadsheet!$E$124)</f>
        <v>0.96390957987589165</v>
      </c>
      <c r="T107" s="219">
        <f>M107*(1-SAP_Leadsheet!$E$122)*(1-SAP_Leadsheet!$E$123)*(1-SAP_Leadsheet!$E$124)</f>
        <v>0.94675648463028395</v>
      </c>
      <c r="U107" s="219">
        <f>N107*(1-SAP_Leadsheet!$E$122)*(1-SAP_Leadsheet!$E$123)*(1-SAP_Leadsheet!$E$124)</f>
        <v>0.97029899999999991</v>
      </c>
      <c r="V107" s="219">
        <f>O107*(1-SAP_Leadsheet!$E$122)*(1-SAP_Leadsheet!$E$123)*(1-SAP_Leadsheet!$E$124)</f>
        <v>0.97029899999999991</v>
      </c>
      <c r="W107" s="219">
        <f>P107*(1-SAP_Leadsheet!$E$122)*(1-SAP_Leadsheet!$E$123)*(1-SAP_Leadsheet!$E$124)</f>
        <v>0.97029899999999991</v>
      </c>
    </row>
    <row r="108" spans="2:23" x14ac:dyDescent="0.15">
      <c r="C108" s="26" t="s">
        <v>287</v>
      </c>
      <c r="E108" s="218">
        <v>0.98528360356615474</v>
      </c>
      <c r="F108" s="218">
        <v>0.98344466880097559</v>
      </c>
      <c r="G108" s="218">
        <v>0.99</v>
      </c>
      <c r="H108" s="218">
        <v>0.99</v>
      </c>
      <c r="I108" s="218">
        <v>0.99</v>
      </c>
      <c r="K108" s="26" t="s">
        <v>287</v>
      </c>
      <c r="L108" s="219">
        <f>PRODUCT(E108:E$116)</f>
        <v>0.978606752265755</v>
      </c>
      <c r="M108" s="219">
        <f>PRODUCT(F108:F$116)</f>
        <v>0.97032170678514862</v>
      </c>
      <c r="N108" s="219">
        <f>PRODUCT(G108:G$116)</f>
        <v>0.98009999999999997</v>
      </c>
      <c r="O108" s="219">
        <f>PRODUCT(H108:H$116)</f>
        <v>0.98009999999999997</v>
      </c>
      <c r="P108" s="219">
        <f>PRODUCT(I108:I$116)</f>
        <v>0.98009999999999997</v>
      </c>
      <c r="R108" s="26" t="s">
        <v>287</v>
      </c>
      <c r="S108" s="219">
        <f>L108*(1-SAP_Leadsheet!$E$122)*(1-SAP_Leadsheet!$E$123)*(1-SAP_Leadsheet!$E$124)</f>
        <v>0.978606752265755</v>
      </c>
      <c r="T108" s="219">
        <f>M108*(1-SAP_Leadsheet!$E$122)*(1-SAP_Leadsheet!$E$123)*(1-SAP_Leadsheet!$E$124)</f>
        <v>0.97032170678514862</v>
      </c>
      <c r="U108" s="219">
        <f>N108*(1-SAP_Leadsheet!$E$122)*(1-SAP_Leadsheet!$E$123)*(1-SAP_Leadsheet!$E$124)</f>
        <v>0.98009999999999997</v>
      </c>
      <c r="V108" s="219">
        <f>O108*(1-SAP_Leadsheet!$E$122)*(1-SAP_Leadsheet!$E$123)*(1-SAP_Leadsheet!$E$124)</f>
        <v>0.98009999999999997</v>
      </c>
      <c r="W108" s="219">
        <f>P108*(1-SAP_Leadsheet!$E$122)*(1-SAP_Leadsheet!$E$123)*(1-SAP_Leadsheet!$E$124)</f>
        <v>0.98009999999999997</v>
      </c>
    </row>
    <row r="109" spans="2:23" x14ac:dyDescent="0.15">
      <c r="C109" s="26" t="s">
        <v>288</v>
      </c>
      <c r="E109" s="218">
        <v>0.99322342188966362</v>
      </c>
      <c r="F109" s="218">
        <v>0.98665612572609029</v>
      </c>
      <c r="G109" s="218">
        <v>0.99</v>
      </c>
      <c r="H109" s="218">
        <v>0.99</v>
      </c>
      <c r="I109" s="218">
        <v>0.99</v>
      </c>
      <c r="K109" s="26" t="s">
        <v>288</v>
      </c>
      <c r="L109" s="219">
        <f>PRODUCT(E109:E$116)</f>
        <v>0.99322342188966362</v>
      </c>
      <c r="M109" s="219">
        <f>PRODUCT(F109:F$116)</f>
        <v>0.98665612572609029</v>
      </c>
      <c r="N109" s="219">
        <f>PRODUCT(G109:G$116)</f>
        <v>0.99</v>
      </c>
      <c r="O109" s="219">
        <f>PRODUCT(H109:H$116)</f>
        <v>0.99</v>
      </c>
      <c r="P109" s="219">
        <f>PRODUCT(I109:I$116)</f>
        <v>0.99</v>
      </c>
      <c r="R109" s="26" t="s">
        <v>288</v>
      </c>
      <c r="S109" s="219">
        <f>L109*(1-SAP_Leadsheet!$E$122)*(1-SAP_Leadsheet!$E$123)*(1-SAP_Leadsheet!$E$124)</f>
        <v>0.99322342188966362</v>
      </c>
      <c r="T109" s="219">
        <f>M109*(1-SAP_Leadsheet!$E$122)*(1-SAP_Leadsheet!$E$123)*(1-SAP_Leadsheet!$E$124)</f>
        <v>0.98665612572609029</v>
      </c>
      <c r="U109" s="219">
        <f>N109*(1-SAP_Leadsheet!$E$122)*(1-SAP_Leadsheet!$E$123)*(1-SAP_Leadsheet!$E$124)</f>
        <v>0.99</v>
      </c>
      <c r="V109" s="219">
        <f>O109*(1-SAP_Leadsheet!$E$122)*(1-SAP_Leadsheet!$E$123)*(1-SAP_Leadsheet!$E$124)</f>
        <v>0.99</v>
      </c>
      <c r="W109" s="219">
        <f>P109*(1-SAP_Leadsheet!$E$122)*(1-SAP_Leadsheet!$E$123)*(1-SAP_Leadsheet!$E$124)</f>
        <v>0.99</v>
      </c>
    </row>
    <row r="110" spans="2:23" x14ac:dyDescent="0.15">
      <c r="C110" s="26" t="s">
        <v>289</v>
      </c>
      <c r="E110" s="218">
        <v>1</v>
      </c>
      <c r="F110" s="218">
        <v>1</v>
      </c>
      <c r="G110" s="218">
        <v>1</v>
      </c>
      <c r="H110" s="218">
        <v>1</v>
      </c>
      <c r="I110" s="218">
        <v>1</v>
      </c>
      <c r="K110" s="26" t="s">
        <v>289</v>
      </c>
      <c r="L110" s="219">
        <f>PRODUCT(E110:E$116)</f>
        <v>1</v>
      </c>
      <c r="M110" s="219">
        <f>PRODUCT(F110:F$116)</f>
        <v>1</v>
      </c>
      <c r="N110" s="219">
        <f>PRODUCT(G110:G$116)</f>
        <v>1</v>
      </c>
      <c r="O110" s="219">
        <f>PRODUCT(H110:H$116)</f>
        <v>1</v>
      </c>
      <c r="P110" s="219">
        <f>PRODUCT(I110:I$116)</f>
        <v>1</v>
      </c>
      <c r="R110" s="26" t="s">
        <v>289</v>
      </c>
      <c r="S110" s="219">
        <f>L110*(1-SAP_Leadsheet!$E$122)*(1-SAP_Leadsheet!$E$123)*(1-SAP_Leadsheet!$E$124)</f>
        <v>1</v>
      </c>
      <c r="T110" s="219">
        <f>M110*(1-SAP_Leadsheet!$E$122)*(1-SAP_Leadsheet!$E$123)*(1-SAP_Leadsheet!$E$124)</f>
        <v>1</v>
      </c>
      <c r="U110" s="219">
        <f>N110*(1-SAP_Leadsheet!$E$122)*(1-SAP_Leadsheet!$E$123)*(1-SAP_Leadsheet!$E$124)</f>
        <v>1</v>
      </c>
      <c r="V110" s="219">
        <f>O110*(1-SAP_Leadsheet!$E$122)*(1-SAP_Leadsheet!$E$123)*(1-SAP_Leadsheet!$E$124)</f>
        <v>1</v>
      </c>
      <c r="W110" s="219">
        <f>P110*(1-SAP_Leadsheet!$E$122)*(1-SAP_Leadsheet!$E$123)*(1-SAP_Leadsheet!$E$124)</f>
        <v>1</v>
      </c>
    </row>
    <row r="111" spans="2:23" x14ac:dyDescent="0.15">
      <c r="C111" s="26" t="s">
        <v>290</v>
      </c>
      <c r="E111" s="218">
        <v>1</v>
      </c>
      <c r="F111" s="218">
        <v>1</v>
      </c>
      <c r="G111" s="218">
        <v>1</v>
      </c>
      <c r="H111" s="218">
        <v>1</v>
      </c>
      <c r="I111" s="218">
        <v>1</v>
      </c>
      <c r="K111" s="26" t="s">
        <v>290</v>
      </c>
      <c r="L111" s="219">
        <f>PRODUCT(E111:E$116)</f>
        <v>1</v>
      </c>
      <c r="M111" s="219">
        <f>PRODUCT(F111:F$116)</f>
        <v>1</v>
      </c>
      <c r="N111" s="219">
        <f>PRODUCT(G111:G$116)</f>
        <v>1</v>
      </c>
      <c r="O111" s="219">
        <f>PRODUCT(H111:H$116)</f>
        <v>1</v>
      </c>
      <c r="P111" s="219">
        <f>PRODUCT(I111:I$116)</f>
        <v>1</v>
      </c>
      <c r="R111" s="26" t="s">
        <v>290</v>
      </c>
      <c r="S111" s="219">
        <f>L111*(1-SAP_Leadsheet!$E$122)*(1-SAP_Leadsheet!$E$123)*(1-SAP_Leadsheet!$E$124)</f>
        <v>1</v>
      </c>
      <c r="T111" s="219">
        <f>M111*(1-SAP_Leadsheet!$E$122)*(1-SAP_Leadsheet!$E$123)*(1-SAP_Leadsheet!$E$124)</f>
        <v>1</v>
      </c>
      <c r="U111" s="219">
        <f>N111*(1-SAP_Leadsheet!$E$122)*(1-SAP_Leadsheet!$E$123)*(1-SAP_Leadsheet!$E$124)</f>
        <v>1</v>
      </c>
      <c r="V111" s="219">
        <f>O111*(1-SAP_Leadsheet!$E$122)*(1-SAP_Leadsheet!$E$123)*(1-SAP_Leadsheet!$E$124)</f>
        <v>1</v>
      </c>
      <c r="W111" s="219">
        <f>P111*(1-SAP_Leadsheet!$E$122)*(1-SAP_Leadsheet!$E$123)*(1-SAP_Leadsheet!$E$124)</f>
        <v>1</v>
      </c>
    </row>
    <row r="112" spans="2:23" x14ac:dyDescent="0.15">
      <c r="C112" s="26" t="s">
        <v>291</v>
      </c>
      <c r="E112" s="218">
        <v>1</v>
      </c>
      <c r="F112" s="218">
        <v>1</v>
      </c>
      <c r="G112" s="218">
        <v>1</v>
      </c>
      <c r="H112" s="218">
        <v>1</v>
      </c>
      <c r="I112" s="218">
        <v>1</v>
      </c>
      <c r="K112" s="26" t="s">
        <v>291</v>
      </c>
      <c r="L112" s="219">
        <f>PRODUCT(E112:E$116)</f>
        <v>1</v>
      </c>
      <c r="M112" s="219">
        <f>PRODUCT(F112:F$116)</f>
        <v>1</v>
      </c>
      <c r="N112" s="219">
        <f>PRODUCT(G112:G$116)</f>
        <v>1</v>
      </c>
      <c r="O112" s="219">
        <f>PRODUCT(H112:H$116)</f>
        <v>1</v>
      </c>
      <c r="P112" s="219">
        <f>PRODUCT(I112:I$116)</f>
        <v>1</v>
      </c>
      <c r="R112" s="26" t="s">
        <v>291</v>
      </c>
      <c r="S112" s="219">
        <f>L112*(1-SAP_Leadsheet!$E$122)*(1-SAP_Leadsheet!$E$123)*(1-SAP_Leadsheet!$E$124)</f>
        <v>1</v>
      </c>
      <c r="T112" s="219">
        <f>M112*(1-SAP_Leadsheet!$E$122)*(1-SAP_Leadsheet!$E$123)*(1-SAP_Leadsheet!$E$124)</f>
        <v>1</v>
      </c>
      <c r="U112" s="219">
        <f>N112*(1-SAP_Leadsheet!$E$122)*(1-SAP_Leadsheet!$E$123)*(1-SAP_Leadsheet!$E$124)</f>
        <v>1</v>
      </c>
      <c r="V112" s="219">
        <f>O112*(1-SAP_Leadsheet!$E$122)*(1-SAP_Leadsheet!$E$123)*(1-SAP_Leadsheet!$E$124)</f>
        <v>1</v>
      </c>
      <c r="W112" s="219">
        <f>P112*(1-SAP_Leadsheet!$E$122)*(1-SAP_Leadsheet!$E$123)*(1-SAP_Leadsheet!$E$124)</f>
        <v>1</v>
      </c>
    </row>
    <row r="113" spans="2:23" x14ac:dyDescent="0.15">
      <c r="C113" s="26" t="s">
        <v>292</v>
      </c>
      <c r="E113" s="218">
        <v>1</v>
      </c>
      <c r="F113" s="218">
        <v>1</v>
      </c>
      <c r="G113" s="218">
        <v>1</v>
      </c>
      <c r="H113" s="218">
        <v>1</v>
      </c>
      <c r="I113" s="218">
        <v>1</v>
      </c>
      <c r="K113" s="26" t="s">
        <v>292</v>
      </c>
      <c r="L113" s="219">
        <f>PRODUCT(E113:E$116)</f>
        <v>1</v>
      </c>
      <c r="M113" s="219">
        <f>PRODUCT(F113:F$116)</f>
        <v>1</v>
      </c>
      <c r="N113" s="219">
        <f>PRODUCT(G113:G$116)</f>
        <v>1</v>
      </c>
      <c r="O113" s="219">
        <f>PRODUCT(H113:H$116)</f>
        <v>1</v>
      </c>
      <c r="P113" s="219">
        <f>PRODUCT(I113:I$116)</f>
        <v>1</v>
      </c>
      <c r="R113" s="26" t="s">
        <v>292</v>
      </c>
      <c r="S113" s="219">
        <f>L113*(1-SAP_Leadsheet!$E$122)*(1-SAP_Leadsheet!$E$123)*(1-SAP_Leadsheet!$E$124)</f>
        <v>1</v>
      </c>
      <c r="T113" s="219">
        <f>M113*(1-SAP_Leadsheet!$E$122)*(1-SAP_Leadsheet!$E$123)*(1-SAP_Leadsheet!$E$124)</f>
        <v>1</v>
      </c>
      <c r="U113" s="219">
        <f>N113*(1-SAP_Leadsheet!$E$122)*(1-SAP_Leadsheet!$E$123)*(1-SAP_Leadsheet!$E$124)</f>
        <v>1</v>
      </c>
      <c r="V113" s="219">
        <f>O113*(1-SAP_Leadsheet!$E$122)*(1-SAP_Leadsheet!$E$123)*(1-SAP_Leadsheet!$E$124)</f>
        <v>1</v>
      </c>
      <c r="W113" s="219">
        <f>P113*(1-SAP_Leadsheet!$E$122)*(1-SAP_Leadsheet!$E$123)*(1-SAP_Leadsheet!$E$124)</f>
        <v>1</v>
      </c>
    </row>
    <row r="114" spans="2:23" x14ac:dyDescent="0.15">
      <c r="C114" s="26" t="s">
        <v>293</v>
      </c>
      <c r="E114" s="218">
        <v>1</v>
      </c>
      <c r="F114" s="218">
        <v>1</v>
      </c>
      <c r="G114" s="218">
        <v>1</v>
      </c>
      <c r="H114" s="218">
        <v>1</v>
      </c>
      <c r="I114" s="218">
        <v>1</v>
      </c>
      <c r="J114" s="220"/>
      <c r="K114" s="26" t="s">
        <v>293</v>
      </c>
      <c r="L114" s="219">
        <f>PRODUCT(E114:E$116)</f>
        <v>1</v>
      </c>
      <c r="M114" s="219">
        <f>PRODUCT(F114:F$116)</f>
        <v>1</v>
      </c>
      <c r="N114" s="219">
        <f>PRODUCT(G114:G$116)</f>
        <v>1</v>
      </c>
      <c r="O114" s="219">
        <f>PRODUCT(H114:H$116)</f>
        <v>1</v>
      </c>
      <c r="P114" s="219">
        <f>PRODUCT(I114:I$116)</f>
        <v>1</v>
      </c>
      <c r="R114" s="26" t="s">
        <v>293</v>
      </c>
      <c r="S114" s="219">
        <f>L114*(1-SAP_Leadsheet!$E$122)*(1-SAP_Leadsheet!$E$123)*(1-SAP_Leadsheet!$E$124)</f>
        <v>1</v>
      </c>
      <c r="T114" s="219">
        <f>M114*(1-SAP_Leadsheet!$E$122)*(1-SAP_Leadsheet!$E$123)*(1-SAP_Leadsheet!$E$124)</f>
        <v>1</v>
      </c>
      <c r="U114" s="219">
        <f>N114*(1-SAP_Leadsheet!$E$122)*(1-SAP_Leadsheet!$E$123)*(1-SAP_Leadsheet!$E$124)</f>
        <v>1</v>
      </c>
      <c r="V114" s="219">
        <f>O114*(1-SAP_Leadsheet!$E$122)*(1-SAP_Leadsheet!$E$123)*(1-SAP_Leadsheet!$E$124)</f>
        <v>1</v>
      </c>
      <c r="W114" s="219">
        <f>P114*(1-SAP_Leadsheet!$E$122)*(1-SAP_Leadsheet!$E$123)*(1-SAP_Leadsheet!$E$124)</f>
        <v>1</v>
      </c>
    </row>
    <row r="115" spans="2:23" x14ac:dyDescent="0.15">
      <c r="C115" s="26" t="s">
        <v>294</v>
      </c>
      <c r="E115" s="218">
        <v>1</v>
      </c>
      <c r="F115" s="218">
        <v>1</v>
      </c>
      <c r="G115" s="218">
        <v>1</v>
      </c>
      <c r="H115" s="218">
        <v>1</v>
      </c>
      <c r="I115" s="218">
        <v>1</v>
      </c>
      <c r="J115" s="220"/>
      <c r="K115" s="26" t="s">
        <v>294</v>
      </c>
      <c r="L115" s="219">
        <f>PRODUCT(E115:E$116)</f>
        <v>1</v>
      </c>
      <c r="M115" s="219">
        <f>PRODUCT(F115:F$116)</f>
        <v>1</v>
      </c>
      <c r="N115" s="219">
        <f>PRODUCT(G115:G$116)</f>
        <v>1</v>
      </c>
      <c r="O115" s="219">
        <f>PRODUCT(H115:H$116)</f>
        <v>1</v>
      </c>
      <c r="P115" s="219">
        <f>PRODUCT(I115:I$116)</f>
        <v>1</v>
      </c>
      <c r="R115" s="26" t="s">
        <v>294</v>
      </c>
      <c r="S115" s="219">
        <f>L115*(1-SAP_Leadsheet!$E$122)*(1-SAP_Leadsheet!$E$123)*(1-SAP_Leadsheet!$E$124)</f>
        <v>1</v>
      </c>
      <c r="T115" s="219">
        <f>M115*(1-SAP_Leadsheet!$E$122)*(1-SAP_Leadsheet!$E$123)*(1-SAP_Leadsheet!$E$124)</f>
        <v>1</v>
      </c>
      <c r="U115" s="219">
        <f>N115*(1-SAP_Leadsheet!$E$122)*(1-SAP_Leadsheet!$E$123)*(1-SAP_Leadsheet!$E$124)</f>
        <v>1</v>
      </c>
      <c r="V115" s="219">
        <f>O115*(1-SAP_Leadsheet!$E$122)*(1-SAP_Leadsheet!$E$123)*(1-SAP_Leadsheet!$E$124)</f>
        <v>1</v>
      </c>
      <c r="W115" s="219">
        <f>P115*(1-SAP_Leadsheet!$E$122)*(1-SAP_Leadsheet!$E$123)*(1-SAP_Leadsheet!$E$124)</f>
        <v>1</v>
      </c>
    </row>
    <row r="116" spans="2:23" x14ac:dyDescent="0.15">
      <c r="C116" s="26" t="s">
        <v>295</v>
      </c>
      <c r="E116" s="218">
        <v>1</v>
      </c>
      <c r="F116" s="218">
        <v>1</v>
      </c>
      <c r="G116" s="218">
        <v>1</v>
      </c>
      <c r="H116" s="218">
        <v>1</v>
      </c>
      <c r="I116" s="218">
        <v>1</v>
      </c>
      <c r="J116" s="220"/>
      <c r="K116" s="26" t="s">
        <v>295</v>
      </c>
      <c r="L116" s="219">
        <f>PRODUCT(E116:E$116)</f>
        <v>1</v>
      </c>
      <c r="M116" s="219">
        <f>PRODUCT(F116:F$116)</f>
        <v>1</v>
      </c>
      <c r="N116" s="219">
        <f>PRODUCT(G116:G$116)</f>
        <v>1</v>
      </c>
      <c r="O116" s="219">
        <f>PRODUCT(H116:H$116)</f>
        <v>1</v>
      </c>
      <c r="P116" s="219">
        <f>PRODUCT(I116:I$116)</f>
        <v>1</v>
      </c>
      <c r="R116" s="26" t="s">
        <v>295</v>
      </c>
      <c r="S116" s="219">
        <f>L116*(1-SAP_Leadsheet!$E$122)*(1-SAP_Leadsheet!$E$123)*(1-SAP_Leadsheet!$E$124)</f>
        <v>1</v>
      </c>
      <c r="T116" s="219">
        <f>M116*(1-SAP_Leadsheet!$E$122)*(1-SAP_Leadsheet!$E$123)*(1-SAP_Leadsheet!$E$124)</f>
        <v>1</v>
      </c>
      <c r="U116" s="219">
        <f>N116*(1-SAP_Leadsheet!$E$122)*(1-SAP_Leadsheet!$E$123)*(1-SAP_Leadsheet!$E$124)</f>
        <v>1</v>
      </c>
      <c r="V116" s="219">
        <f>O116*(1-SAP_Leadsheet!$E$122)*(1-SAP_Leadsheet!$E$123)*(1-SAP_Leadsheet!$E$124)</f>
        <v>1</v>
      </c>
      <c r="W116" s="219">
        <f>P116*(1-SAP_Leadsheet!$E$122)*(1-SAP_Leadsheet!$E$123)*(1-SAP_Leadsheet!$E$124)</f>
        <v>1</v>
      </c>
    </row>
    <row r="117" spans="2:23" x14ac:dyDescent="0.15">
      <c r="C117" s="26" t="s">
        <v>296</v>
      </c>
      <c r="E117" s="218"/>
      <c r="F117" s="218"/>
      <c r="G117" s="218"/>
      <c r="H117" s="218"/>
      <c r="I117" s="218"/>
      <c r="J117" s="220"/>
      <c r="K117" s="26" t="s">
        <v>296</v>
      </c>
      <c r="L117" s="219"/>
      <c r="M117" s="219"/>
      <c r="N117" s="219"/>
      <c r="O117" s="219"/>
      <c r="P117" s="219"/>
      <c r="R117" s="26" t="s">
        <v>296</v>
      </c>
      <c r="S117" s="219">
        <v>1</v>
      </c>
      <c r="T117" s="219">
        <v>1</v>
      </c>
      <c r="U117" s="219">
        <v>1</v>
      </c>
      <c r="V117" s="219">
        <v>1</v>
      </c>
      <c r="W117" s="219">
        <v>1</v>
      </c>
    </row>
    <row r="118" spans="2:23" x14ac:dyDescent="0.15">
      <c r="B118" s="42"/>
      <c r="C118" s="26" t="s">
        <v>297</v>
      </c>
      <c r="E118" s="218"/>
      <c r="F118" s="218"/>
      <c r="G118" s="218"/>
      <c r="H118" s="218"/>
      <c r="I118" s="218"/>
      <c r="J118" s="220"/>
      <c r="K118" s="26" t="s">
        <v>297</v>
      </c>
      <c r="L118" s="219"/>
      <c r="M118" s="219"/>
      <c r="N118" s="219"/>
      <c r="O118" s="219"/>
      <c r="P118" s="219"/>
      <c r="R118" s="26" t="s">
        <v>297</v>
      </c>
      <c r="S118" s="219">
        <f>L118*(1-SAP_Leadsheet!$E$122)*(1-SAP_Leadsheet!$E$123)*(1-SAP_Leadsheet!$E$124)</f>
        <v>0</v>
      </c>
      <c r="T118" s="219">
        <f>M118*(1-SAP_Leadsheet!$E$122)*(1-SAP_Leadsheet!$E$123)*(1-SAP_Leadsheet!$E$124)</f>
        <v>0</v>
      </c>
      <c r="U118" s="219">
        <f>N118*(1-SAP_Leadsheet!$E$122)*(1-SAP_Leadsheet!$E$123)*(1-SAP_Leadsheet!$E$124)</f>
        <v>0</v>
      </c>
      <c r="V118" s="219">
        <f>O118*(1-SAP_Leadsheet!$E$122)*(1-SAP_Leadsheet!$E$123)*(1-SAP_Leadsheet!$E$124)</f>
        <v>0</v>
      </c>
      <c r="W118" s="219">
        <f>P118*(1-SAP_Leadsheet!$E$122)*(1-SAP_Leadsheet!$E$123)*(1-SAP_Leadsheet!$E$124)</f>
        <v>0</v>
      </c>
    </row>
    <row r="119" spans="2:23" x14ac:dyDescent="0.15">
      <c r="B119" s="42"/>
      <c r="C119" s="31" t="s">
        <v>298</v>
      </c>
      <c r="D119" s="42"/>
      <c r="E119" s="110">
        <f ca="1">U34</f>
        <v>-0.29157283612160301</v>
      </c>
      <c r="F119" s="42"/>
      <c r="G119" s="42"/>
      <c r="I119" s="40"/>
      <c r="J119" s="220"/>
      <c r="K119" s="40"/>
      <c r="L119" s="40"/>
      <c r="N119" s="193"/>
      <c r="O119" s="193"/>
      <c r="P119" s="193"/>
      <c r="Q119" s="193"/>
      <c r="R119" s="193"/>
      <c r="S119" s="193"/>
      <c r="T119" s="193"/>
    </row>
    <row r="120" spans="2:23" x14ac:dyDescent="0.15">
      <c r="B120" s="42"/>
      <c r="C120" s="26" t="s">
        <v>299</v>
      </c>
      <c r="E120" s="110">
        <f ca="1">V34</f>
        <v>-5.7409079663837542E-2</v>
      </c>
      <c r="F120" s="42"/>
      <c r="G120" s="42"/>
      <c r="I120" s="40"/>
      <c r="J120" s="220"/>
      <c r="K120" s="40"/>
      <c r="L120" s="40"/>
      <c r="N120" s="193"/>
      <c r="O120" s="193"/>
      <c r="P120" s="193"/>
      <c r="Q120" s="193"/>
      <c r="R120" s="193"/>
      <c r="S120" s="193"/>
      <c r="T120" s="193"/>
    </row>
    <row r="121" spans="2:23" x14ac:dyDescent="0.15">
      <c r="B121" s="23" t="s">
        <v>139</v>
      </c>
      <c r="J121" s="108"/>
      <c r="K121" s="40"/>
      <c r="N121" s="193"/>
      <c r="O121" s="193"/>
      <c r="P121" s="193"/>
      <c r="Q121" s="193"/>
      <c r="R121" s="193"/>
      <c r="S121" s="193"/>
      <c r="T121" s="193"/>
    </row>
    <row r="122" spans="2:23" x14ac:dyDescent="0.15">
      <c r="C122" s="26" t="s">
        <v>295</v>
      </c>
      <c r="E122" s="221">
        <v>0</v>
      </c>
      <c r="G122" s="81"/>
      <c r="J122" s="108"/>
      <c r="K122" s="40"/>
      <c r="N122" s="193"/>
      <c r="O122" s="193"/>
      <c r="P122" s="193"/>
      <c r="Q122" s="193"/>
      <c r="R122" s="193"/>
      <c r="S122" s="193"/>
      <c r="T122" s="193"/>
    </row>
    <row r="123" spans="2:23" x14ac:dyDescent="0.15">
      <c r="C123" s="26" t="s">
        <v>300</v>
      </c>
      <c r="E123" s="221">
        <v>0</v>
      </c>
      <c r="G123" s="81"/>
      <c r="J123" s="108"/>
      <c r="K123" s="40"/>
      <c r="N123" s="193"/>
      <c r="O123" s="193"/>
      <c r="P123" s="193"/>
      <c r="Q123" s="193"/>
      <c r="R123" s="193"/>
      <c r="S123" s="193"/>
      <c r="T123" s="193"/>
    </row>
    <row r="124" spans="2:23" x14ac:dyDescent="0.15">
      <c r="C124" s="26" t="s">
        <v>297</v>
      </c>
      <c r="E124" s="221">
        <v>0</v>
      </c>
      <c r="G124" s="81"/>
      <c r="J124" s="108"/>
      <c r="K124" s="40"/>
      <c r="N124" s="193"/>
      <c r="O124" s="193"/>
      <c r="P124" s="193"/>
      <c r="Q124" s="193"/>
      <c r="R124" s="193"/>
      <c r="S124" s="193"/>
      <c r="T124" s="193"/>
    </row>
    <row r="125" spans="2:23" x14ac:dyDescent="0.15">
      <c r="B125" s="42"/>
      <c r="C125" s="42"/>
      <c r="D125" s="42"/>
      <c r="E125" s="42"/>
      <c r="F125" s="42"/>
      <c r="G125" s="42"/>
      <c r="H125" s="42"/>
      <c r="I125" s="42"/>
      <c r="J125" s="108"/>
      <c r="K125" s="40"/>
      <c r="N125" s="193"/>
      <c r="O125" s="193"/>
      <c r="P125" s="193"/>
      <c r="Q125" s="193"/>
      <c r="R125" s="193"/>
      <c r="S125" s="193"/>
      <c r="T125" s="193"/>
    </row>
    <row r="126" spans="2:23" x14ac:dyDescent="0.15">
      <c r="B126" s="40"/>
      <c r="C126" s="42"/>
      <c r="D126" s="42"/>
      <c r="E126" s="42"/>
      <c r="F126" s="42"/>
      <c r="G126" s="42"/>
      <c r="H126" s="42"/>
      <c r="I126" s="42"/>
      <c r="K126" s="40"/>
      <c r="N126" s="193"/>
      <c r="O126" s="193"/>
      <c r="P126" s="193"/>
      <c r="Q126" s="193"/>
      <c r="R126" s="193"/>
      <c r="S126" s="193"/>
      <c r="T126" s="193"/>
    </row>
    <row r="127" spans="2:23" x14ac:dyDescent="0.15">
      <c r="B127" s="40"/>
      <c r="C127" s="40"/>
      <c r="D127" s="40"/>
      <c r="E127" s="40"/>
      <c r="F127" s="40"/>
      <c r="G127" s="40"/>
      <c r="H127" s="40"/>
      <c r="I127" s="40"/>
      <c r="N127" s="193"/>
      <c r="O127" s="193"/>
      <c r="P127" s="193"/>
      <c r="Q127" s="193"/>
      <c r="R127" s="193"/>
      <c r="S127" s="193"/>
      <c r="T127" s="193"/>
    </row>
    <row r="128" spans="2:23" x14ac:dyDescent="0.15">
      <c r="C128" s="40"/>
      <c r="D128" s="40"/>
      <c r="E128" s="40"/>
      <c r="F128" s="40"/>
      <c r="G128" s="40"/>
      <c r="H128" s="40"/>
      <c r="I128" s="40"/>
      <c r="N128" s="193"/>
      <c r="O128" s="193"/>
      <c r="P128" s="193"/>
      <c r="Q128" s="193"/>
      <c r="R128" s="193"/>
      <c r="S128" s="193"/>
      <c r="T128" s="193"/>
    </row>
    <row r="129" spans="14:20" x14ac:dyDescent="0.15">
      <c r="N129" s="193"/>
      <c r="O129" s="193"/>
      <c r="P129" s="193"/>
      <c r="Q129" s="193"/>
      <c r="R129" s="193"/>
      <c r="S129" s="193"/>
      <c r="T129" s="193"/>
    </row>
    <row r="130" spans="14:20" x14ac:dyDescent="0.15">
      <c r="N130" s="193"/>
      <c r="O130" s="193"/>
      <c r="P130" s="193"/>
      <c r="Q130" s="193"/>
      <c r="R130" s="193"/>
      <c r="S130" s="193"/>
      <c r="T130" s="193"/>
    </row>
    <row r="131" spans="14:20" x14ac:dyDescent="0.15">
      <c r="N131" s="193"/>
      <c r="O131" s="193"/>
      <c r="P131" s="193"/>
      <c r="Q131" s="193"/>
      <c r="R131" s="193"/>
      <c r="S131" s="193"/>
      <c r="T131" s="193"/>
    </row>
    <row r="132" spans="14:20" x14ac:dyDescent="0.15">
      <c r="N132" s="193"/>
      <c r="O132" s="193"/>
      <c r="P132" s="193"/>
      <c r="Q132" s="193"/>
      <c r="R132" s="193"/>
      <c r="S132" s="193"/>
      <c r="T132" s="193"/>
    </row>
    <row r="133" spans="14:20" x14ac:dyDescent="0.15">
      <c r="N133" s="193"/>
      <c r="O133" s="193"/>
      <c r="P133" s="193"/>
      <c r="Q133" s="193"/>
      <c r="R133" s="193"/>
      <c r="S133" s="193"/>
      <c r="T133" s="193"/>
    </row>
    <row r="134" spans="14:20" x14ac:dyDescent="0.15">
      <c r="N134" s="193"/>
      <c r="O134" s="193"/>
      <c r="P134" s="193"/>
      <c r="Q134" s="193"/>
      <c r="R134" s="193"/>
      <c r="S134" s="193"/>
      <c r="T134" s="193"/>
    </row>
    <row r="135" spans="14:20" x14ac:dyDescent="0.15">
      <c r="N135" s="193"/>
      <c r="O135" s="193"/>
      <c r="P135" s="193"/>
      <c r="Q135" s="193"/>
      <c r="R135" s="193"/>
      <c r="S135" s="193"/>
      <c r="T135" s="193"/>
    </row>
    <row r="136" spans="14:20" x14ac:dyDescent="0.15">
      <c r="N136" s="193"/>
      <c r="O136" s="193"/>
      <c r="P136" s="193"/>
      <c r="Q136" s="193"/>
      <c r="R136" s="193"/>
      <c r="S136" s="193"/>
      <c r="T136" s="193"/>
    </row>
    <row r="137" spans="14:20" x14ac:dyDescent="0.15">
      <c r="N137" s="193"/>
      <c r="O137" s="193"/>
      <c r="P137" s="193"/>
      <c r="Q137" s="193"/>
      <c r="R137" s="193"/>
      <c r="S137" s="193"/>
      <c r="T137" s="193"/>
    </row>
    <row r="138" spans="14:20" x14ac:dyDescent="0.15">
      <c r="N138" s="193"/>
      <c r="O138" s="193"/>
      <c r="P138" s="193"/>
      <c r="Q138" s="193"/>
      <c r="R138" s="193"/>
      <c r="S138" s="193"/>
      <c r="T138" s="193"/>
    </row>
    <row r="139" spans="14:20" x14ac:dyDescent="0.15">
      <c r="N139" s="193"/>
      <c r="O139" s="193"/>
      <c r="P139" s="193"/>
      <c r="Q139" s="193"/>
      <c r="R139" s="193"/>
      <c r="S139" s="193"/>
      <c r="T139" s="193"/>
    </row>
    <row r="140" spans="14:20" x14ac:dyDescent="0.15">
      <c r="N140" s="193"/>
      <c r="O140" s="193"/>
      <c r="P140" s="193"/>
      <c r="Q140" s="193"/>
      <c r="R140" s="193"/>
      <c r="S140" s="193"/>
      <c r="T140" s="193"/>
    </row>
    <row r="141" spans="14:20" x14ac:dyDescent="0.15">
      <c r="N141" s="193"/>
      <c r="O141" s="193"/>
      <c r="P141" s="193"/>
      <c r="Q141" s="193"/>
      <c r="R141" s="193"/>
      <c r="S141" s="193"/>
      <c r="T141" s="193"/>
    </row>
    <row r="142" spans="14:20" x14ac:dyDescent="0.15">
      <c r="N142" s="193"/>
      <c r="O142" s="193"/>
      <c r="P142" s="193"/>
      <c r="Q142" s="193"/>
      <c r="R142" s="193"/>
      <c r="S142" s="193"/>
      <c r="T142" s="193"/>
    </row>
    <row r="143" spans="14:20" x14ac:dyDescent="0.15">
      <c r="N143" s="193"/>
      <c r="O143" s="193"/>
      <c r="P143" s="193"/>
      <c r="Q143" s="193"/>
      <c r="R143" s="193"/>
      <c r="S143" s="193"/>
      <c r="T143" s="193"/>
    </row>
    <row r="144" spans="14:20" x14ac:dyDescent="0.15">
      <c r="N144" s="193"/>
      <c r="O144" s="193"/>
      <c r="P144" s="193"/>
      <c r="Q144" s="193"/>
      <c r="R144" s="193"/>
      <c r="S144" s="193"/>
      <c r="T144" s="193"/>
    </row>
    <row r="145" spans="14:20" x14ac:dyDescent="0.15">
      <c r="N145" s="193"/>
      <c r="O145" s="193"/>
      <c r="P145" s="193"/>
      <c r="Q145" s="193"/>
      <c r="R145" s="193"/>
      <c r="S145" s="193"/>
      <c r="T145" s="193"/>
    </row>
    <row r="146" spans="14:20" x14ac:dyDescent="0.15">
      <c r="N146" s="193"/>
      <c r="O146" s="193"/>
      <c r="P146" s="193"/>
      <c r="Q146" s="193"/>
      <c r="R146" s="193"/>
      <c r="S146" s="193"/>
      <c r="T146" s="193"/>
    </row>
    <row r="147" spans="14:20" x14ac:dyDescent="0.15">
      <c r="N147" s="193"/>
      <c r="O147" s="193"/>
      <c r="P147" s="193"/>
      <c r="Q147" s="193"/>
      <c r="R147" s="193"/>
      <c r="S147" s="193"/>
      <c r="T147" s="193"/>
    </row>
    <row r="148" spans="14:20" x14ac:dyDescent="0.15">
      <c r="N148" s="193"/>
      <c r="O148" s="193"/>
      <c r="P148" s="193"/>
      <c r="Q148" s="193"/>
      <c r="R148" s="193"/>
      <c r="S148" s="193"/>
      <c r="T148" s="193"/>
    </row>
    <row r="149" spans="14:20" x14ac:dyDescent="0.15">
      <c r="N149" s="193"/>
      <c r="O149" s="193"/>
      <c r="P149" s="193"/>
      <c r="Q149" s="193"/>
      <c r="R149" s="193"/>
      <c r="S149" s="193"/>
      <c r="T149" s="193"/>
    </row>
    <row r="150" spans="14:20" x14ac:dyDescent="0.15">
      <c r="N150" s="193"/>
      <c r="O150" s="193"/>
      <c r="P150" s="193"/>
      <c r="Q150" s="193"/>
      <c r="R150" s="193"/>
      <c r="S150" s="193"/>
      <c r="T150" s="193"/>
    </row>
    <row r="151" spans="14:20" x14ac:dyDescent="0.15">
      <c r="N151" s="193"/>
      <c r="O151" s="193"/>
      <c r="P151" s="193"/>
      <c r="Q151" s="193"/>
      <c r="R151" s="193"/>
      <c r="S151" s="193"/>
      <c r="T151" s="193"/>
    </row>
    <row r="152" spans="14:20" x14ac:dyDescent="0.15">
      <c r="N152" s="193"/>
      <c r="O152" s="193"/>
      <c r="P152" s="193"/>
      <c r="Q152" s="193"/>
      <c r="R152" s="193"/>
      <c r="S152" s="193"/>
      <c r="T152" s="193"/>
    </row>
    <row r="153" spans="14:20" x14ac:dyDescent="0.15">
      <c r="N153" s="193"/>
      <c r="O153" s="193"/>
      <c r="P153" s="193"/>
      <c r="Q153" s="193"/>
      <c r="R153" s="193"/>
      <c r="S153" s="193"/>
      <c r="T153" s="193"/>
    </row>
    <row r="154" spans="14:20" x14ac:dyDescent="0.15">
      <c r="N154" s="193"/>
      <c r="O154" s="193"/>
      <c r="P154" s="193"/>
      <c r="Q154" s="193"/>
      <c r="R154" s="193"/>
      <c r="S154" s="193"/>
      <c r="T154" s="193"/>
    </row>
    <row r="155" spans="14:20" x14ac:dyDescent="0.15">
      <c r="N155" s="193"/>
      <c r="O155" s="193"/>
      <c r="P155" s="193"/>
      <c r="Q155" s="193"/>
      <c r="R155" s="193"/>
      <c r="S155" s="193"/>
      <c r="T155" s="193"/>
    </row>
    <row r="156" spans="14:20" x14ac:dyDescent="0.15">
      <c r="N156" s="193"/>
      <c r="O156" s="193"/>
      <c r="P156" s="193"/>
      <c r="Q156" s="193"/>
      <c r="R156" s="193"/>
      <c r="S156" s="193"/>
      <c r="T156" s="193"/>
    </row>
    <row r="157" spans="14:20" x14ac:dyDescent="0.15">
      <c r="N157" s="193"/>
      <c r="O157" s="193"/>
      <c r="P157" s="193"/>
      <c r="Q157" s="193"/>
      <c r="R157" s="193"/>
      <c r="S157" s="193"/>
      <c r="T157" s="193"/>
    </row>
    <row r="158" spans="14:20" x14ac:dyDescent="0.15">
      <c r="N158" s="193"/>
      <c r="O158" s="193"/>
      <c r="P158" s="193"/>
      <c r="Q158" s="193"/>
      <c r="R158" s="193"/>
      <c r="S158" s="193"/>
      <c r="T158" s="193"/>
    </row>
    <row r="159" spans="14:20" x14ac:dyDescent="0.15">
      <c r="N159" s="193"/>
      <c r="O159" s="193"/>
      <c r="P159" s="193"/>
      <c r="Q159" s="193"/>
      <c r="R159" s="193"/>
      <c r="S159" s="193"/>
      <c r="T159" s="193"/>
    </row>
    <row r="179" spans="2:26" x14ac:dyDescent="0.15">
      <c r="L179" s="31"/>
      <c r="M179" s="31"/>
      <c r="N179" s="31"/>
      <c r="O179" s="31"/>
      <c r="P179" s="31"/>
      <c r="Q179" s="31"/>
      <c r="R179" s="31"/>
      <c r="S179" s="31"/>
      <c r="T179" s="31"/>
      <c r="X179" s="222"/>
      <c r="Y179" s="31"/>
      <c r="Z179" s="31"/>
    </row>
    <row r="184" spans="2:26" x14ac:dyDescent="0.15">
      <c r="B184" s="31"/>
      <c r="J184" s="145"/>
    </row>
    <row r="185" spans="2:26" x14ac:dyDescent="0.15">
      <c r="C185" s="31"/>
      <c r="D185" s="31"/>
      <c r="E185" s="31"/>
      <c r="F185" s="31"/>
      <c r="G185" s="31"/>
      <c r="H185" s="31"/>
      <c r="I185" s="31"/>
      <c r="K185" s="31"/>
    </row>
  </sheetData>
  <dataConsolidate link="1"/>
  <conditionalFormatting sqref="A10:A11">
    <cfRule type="duplicateValues" dxfId="1" priority="1"/>
  </conditionalFormatting>
  <conditionalFormatting sqref="A26:A45 A1:A9 A47:A1048576 A12:A20 A23">
    <cfRule type="duplicateValues" dxfId="0" priority="2"/>
  </conditionalFormatting>
  <pageMargins left="0.7" right="0.7" top="0.75" bottom="0.75" header="0.3" footer="0.3"/>
  <pageSetup paperSize="9" scale="22" fitToHeight="0"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D6884A15-388A-1640-89C4-3A3DF7E63283}">
          <x14:formula1>
            <xm:f>NOTE!$F$140:$F$141</xm:f>
          </x14:formula1>
          <xm:sqref>C9</xm:sqref>
        </x14:dataValidation>
        <x14:dataValidation type="list" allowBlank="1" showInputMessage="1" showErrorMessage="1" xr:uid="{B90C74B5-5FEB-534E-A81C-2A821A793586}">
          <x14:formula1>
            <xm:f>NOTE!$F$70:$F$70</xm:f>
          </x14:formula1>
          <xm:sqref>C7</xm:sqref>
        </x14:dataValidation>
        <x14:dataValidation type="list" allowBlank="1" showInputMessage="1" showErrorMessage="1" xr:uid="{BFC8C4F8-552E-BA49-B2D6-D6FF4A0E8C3E}">
          <x14:formula1>
            <xm:f>NOTE!$C$70:$C$70</xm:f>
          </x14:formula1>
          <xm:sqref>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496E8-558A-5044-B571-726B9A67DA88}">
  <dimension ref="B3:O69"/>
  <sheetViews>
    <sheetView topLeftCell="A23" workbookViewId="0">
      <selection activeCell="P2" sqref="P2"/>
    </sheetView>
  </sheetViews>
  <sheetFormatPr baseColWidth="10" defaultColWidth="8.83203125" defaultRowHeight="15" x14ac:dyDescent="0.2"/>
  <cols>
    <col min="1" max="3" width="8.83203125" style="224"/>
    <col min="4" max="8" width="14.83203125" style="224" bestFit="1" customWidth="1"/>
    <col min="9" max="12" width="18.83203125" style="224" bestFit="1" customWidth="1"/>
    <col min="13" max="13" width="16.1640625" style="224" bestFit="1" customWidth="1"/>
    <col min="14" max="16384" width="8.83203125" style="224"/>
  </cols>
  <sheetData>
    <row r="3" spans="2:14" x14ac:dyDescent="0.2">
      <c r="B3" s="223" t="s">
        <v>301</v>
      </c>
    </row>
    <row r="5" spans="2:14" x14ac:dyDescent="0.2">
      <c r="B5" s="112">
        <f>SUMPRODUCT(I5:I8,$H$46:$H$49)/SUM($H$46:$H$49)</f>
        <v>0.66492240904536892</v>
      </c>
      <c r="C5" s="113" t="s">
        <v>188</v>
      </c>
      <c r="D5" s="111"/>
      <c r="E5" s="111"/>
      <c r="F5" s="111"/>
      <c r="H5" s="224" t="s">
        <v>302</v>
      </c>
      <c r="I5" s="112">
        <v>0.54</v>
      </c>
      <c r="J5" s="150">
        <v>1.2E-2</v>
      </c>
      <c r="K5" s="150">
        <v>0.01</v>
      </c>
      <c r="L5" s="150">
        <v>5.0000000000000001E-3</v>
      </c>
      <c r="M5" s="150">
        <v>5.0000000000000001E-3</v>
      </c>
      <c r="N5" s="150">
        <v>5.0000000000000001E-3</v>
      </c>
    </row>
    <row r="6" spans="2:14" x14ac:dyDescent="0.2">
      <c r="B6" s="112">
        <f>SUMPRODUCT(J5:J8,$H$46:$H$49)/SUM($H$46:$H$49)</f>
        <v>2.4514721065959501E-2</v>
      </c>
      <c r="C6" s="112">
        <f t="shared" ref="C6:F6" si="0">SUMPRODUCT(K5:K8,$H$46:$H$49)/SUM($H$46:$H$49)</f>
        <v>9.618708632663486E-3</v>
      </c>
      <c r="D6" s="112">
        <f t="shared" si="0"/>
        <v>5.8085881035963094E-3</v>
      </c>
      <c r="E6" s="112">
        <f t="shared" si="0"/>
        <v>4.4311984436643448E-3</v>
      </c>
      <c r="F6" s="112">
        <f t="shared" si="0"/>
        <v>4.1467976654965171E-3</v>
      </c>
      <c r="H6" s="224" t="s">
        <v>303</v>
      </c>
      <c r="I6" s="112">
        <v>0.8</v>
      </c>
      <c r="J6" s="150">
        <v>0.05</v>
      </c>
      <c r="K6" s="150">
        <v>7.0000000000000001E-3</v>
      </c>
      <c r="L6" s="150">
        <v>3.0000000000000001E-3</v>
      </c>
      <c r="M6" s="150">
        <v>3.0000000000000001E-3</v>
      </c>
      <c r="N6" s="150">
        <v>2E-3</v>
      </c>
    </row>
    <row r="7" spans="2:14" x14ac:dyDescent="0.2">
      <c r="H7" s="224" t="s">
        <v>304</v>
      </c>
      <c r="I7" s="112">
        <v>0.72247981136518902</v>
      </c>
      <c r="J7" s="150">
        <v>0.02</v>
      </c>
      <c r="K7" s="150">
        <v>1.2999999999999999E-2</v>
      </c>
      <c r="L7" s="150">
        <v>0.01</v>
      </c>
      <c r="M7" s="150">
        <v>5.0000000000000001E-3</v>
      </c>
      <c r="N7" s="150">
        <v>5.0000000000000001E-3</v>
      </c>
    </row>
    <row r="8" spans="2:14" x14ac:dyDescent="0.2">
      <c r="H8" s="224" t="s">
        <v>305</v>
      </c>
      <c r="I8" s="112">
        <v>0.55000000000000004</v>
      </c>
      <c r="J8" s="150">
        <v>5.0000000000000001E-3</v>
      </c>
      <c r="K8" s="150">
        <v>5.0000000000000001E-3</v>
      </c>
      <c r="L8" s="150">
        <v>5.0000000000000001E-3</v>
      </c>
      <c r="M8" s="150">
        <v>5.0000000000000001E-3</v>
      </c>
      <c r="N8" s="150">
        <v>5.0000000000000001E-3</v>
      </c>
    </row>
    <row r="10" spans="2:14" x14ac:dyDescent="0.2">
      <c r="B10" s="223" t="s">
        <v>306</v>
      </c>
    </row>
    <row r="11" spans="2:14" x14ac:dyDescent="0.2">
      <c r="J11" s="113"/>
      <c r="K11" s="111"/>
      <c r="L11" s="111"/>
      <c r="M11" s="111"/>
    </row>
    <row r="12" spans="2:14" x14ac:dyDescent="0.2">
      <c r="J12" s="113"/>
      <c r="K12" s="111"/>
      <c r="L12" s="111"/>
      <c r="M12" s="111"/>
    </row>
    <row r="13" spans="2:14" x14ac:dyDescent="0.2">
      <c r="B13" s="164">
        <f>SUMPRODUCT(I13:I16,$H$46:$H$49)/SUM($H$46:$H$49)</f>
        <v>0.68778008426528714</v>
      </c>
      <c r="C13" s="164">
        <f t="shared" ref="C13:F13" si="1">SUMPRODUCT(J13:J16,$H$46:$H$49)/SUM($H$46:$H$49)</f>
        <v>0.68778008426528714</v>
      </c>
      <c r="D13" s="164">
        <f t="shared" si="1"/>
        <v>0.84420051225759229</v>
      </c>
      <c r="E13" s="164">
        <f t="shared" si="1"/>
        <v>0.84420051225759229</v>
      </c>
      <c r="F13" s="164">
        <f t="shared" si="1"/>
        <v>0.84420051225759229</v>
      </c>
      <c r="H13" s="224" t="s">
        <v>302</v>
      </c>
      <c r="I13" s="134">
        <v>0.45</v>
      </c>
      <c r="J13" s="134">
        <f>I13</f>
        <v>0.45</v>
      </c>
      <c r="K13" s="134">
        <f t="shared" ref="K13:M13" si="2">J13</f>
        <v>0.45</v>
      </c>
      <c r="L13" s="134">
        <f t="shared" si="2"/>
        <v>0.45</v>
      </c>
      <c r="M13" s="134">
        <f t="shared" si="2"/>
        <v>0.45</v>
      </c>
    </row>
    <row r="14" spans="2:14" x14ac:dyDescent="0.2">
      <c r="H14" s="224" t="s">
        <v>303</v>
      </c>
      <c r="I14" s="134">
        <v>0.45</v>
      </c>
      <c r="J14" s="134">
        <f>I14</f>
        <v>0.45</v>
      </c>
      <c r="K14" s="134">
        <v>1</v>
      </c>
      <c r="L14" s="134">
        <v>1</v>
      </c>
      <c r="M14" s="134">
        <v>1</v>
      </c>
    </row>
    <row r="15" spans="2:14" x14ac:dyDescent="0.2">
      <c r="H15" s="224" t="s">
        <v>304</v>
      </c>
      <c r="I15" s="134">
        <v>1</v>
      </c>
      <c r="J15" s="134">
        <v>1</v>
      </c>
      <c r="K15" s="134">
        <v>1</v>
      </c>
      <c r="L15" s="134">
        <v>1</v>
      </c>
      <c r="M15" s="134">
        <v>1</v>
      </c>
    </row>
    <row r="16" spans="2:14" x14ac:dyDescent="0.2">
      <c r="H16" s="224" t="s">
        <v>305</v>
      </c>
      <c r="I16" s="134">
        <f>5/3</f>
        <v>1.6666666666666667</v>
      </c>
      <c r="J16" s="134">
        <f>I16</f>
        <v>1.6666666666666667</v>
      </c>
      <c r="K16" s="134">
        <f t="shared" ref="K16:M16" si="3">J16</f>
        <v>1.6666666666666667</v>
      </c>
      <c r="L16" s="134">
        <f t="shared" si="3"/>
        <v>1.6666666666666667</v>
      </c>
      <c r="M16" s="134">
        <f t="shared" si="3"/>
        <v>1.6666666666666667</v>
      </c>
    </row>
    <row r="18" spans="2:13" x14ac:dyDescent="0.2">
      <c r="B18" s="223" t="s">
        <v>307</v>
      </c>
      <c r="I18" s="224" t="s">
        <v>308</v>
      </c>
      <c r="J18" s="224" t="s">
        <v>309</v>
      </c>
      <c r="K18" s="224" t="s">
        <v>310</v>
      </c>
    </row>
    <row r="19" spans="2:13" x14ac:dyDescent="0.2">
      <c r="H19" s="224" t="s">
        <v>302</v>
      </c>
      <c r="I19" s="139">
        <v>0.62120390489092681</v>
      </c>
      <c r="J19" s="144">
        <v>0.37604790061242799</v>
      </c>
      <c r="K19" s="144">
        <v>0.39</v>
      </c>
      <c r="L19" s="111"/>
      <c r="M19" s="111"/>
    </row>
    <row r="20" spans="2:13" x14ac:dyDescent="0.2">
      <c r="B20" s="224" t="s">
        <v>308</v>
      </c>
      <c r="D20" s="164">
        <f>SUMPRODUCT(I19:I22,$M$56:$M$59)/SUM($M$56:$M$59)</f>
        <v>0.51159989507505566</v>
      </c>
      <c r="H20" s="224" t="s">
        <v>303</v>
      </c>
      <c r="I20" s="139">
        <v>0.56195721278687039</v>
      </c>
      <c r="J20" s="144">
        <v>0.44620292989196314</v>
      </c>
      <c r="K20" s="144">
        <v>0.39</v>
      </c>
      <c r="L20" s="111"/>
      <c r="M20" s="111"/>
    </row>
    <row r="21" spans="2:13" x14ac:dyDescent="0.2">
      <c r="B21" s="224" t="s">
        <v>309</v>
      </c>
      <c r="D21" s="164">
        <f>SUMPRODUCT(J19:J22,$M$56:$M$59)/SUM($M$56:$M$59)</f>
        <v>0.39533386000913312</v>
      </c>
      <c r="H21" s="224" t="s">
        <v>304</v>
      </c>
      <c r="I21" s="139">
        <v>0.56195721278687039</v>
      </c>
      <c r="J21" s="144">
        <v>0.44620292989196314</v>
      </c>
      <c r="K21" s="144">
        <v>0.39</v>
      </c>
      <c r="L21" s="111"/>
      <c r="M21" s="111"/>
    </row>
    <row r="22" spans="2:13" x14ac:dyDescent="0.2">
      <c r="B22" s="224" t="s">
        <v>310</v>
      </c>
      <c r="D22" s="164">
        <f>SUMPRODUCT(K19:K22,$M$61:$M$64)/SUM($M$61:$M$64)</f>
        <v>0.41540864486632539</v>
      </c>
      <c r="H22" s="224" t="s">
        <v>305</v>
      </c>
      <c r="I22" s="139">
        <v>0.3</v>
      </c>
      <c r="J22" s="144">
        <v>0.3</v>
      </c>
      <c r="K22" s="144">
        <v>0.55000000000000004</v>
      </c>
    </row>
    <row r="25" spans="2:13" x14ac:dyDescent="0.2">
      <c r="B25" s="224" t="s">
        <v>311</v>
      </c>
    </row>
    <row r="26" spans="2:13" x14ac:dyDescent="0.2">
      <c r="B26" s="224" t="s">
        <v>64</v>
      </c>
      <c r="D26" s="164">
        <f>SUMPRODUCT(I27:I30,$H$46:$H$49)/SUM($H$46:$H$49)</f>
        <v>3.2220049776657135E-2</v>
      </c>
      <c r="I26" s="224" t="s">
        <v>312</v>
      </c>
    </row>
    <row r="27" spans="2:13" x14ac:dyDescent="0.2">
      <c r="H27" s="224" t="s">
        <v>302</v>
      </c>
      <c r="I27" s="225">
        <v>3.3000000000000002E-2</v>
      </c>
    </row>
    <row r="28" spans="2:13" x14ac:dyDescent="0.2">
      <c r="H28" s="224" t="s">
        <v>303</v>
      </c>
      <c r="I28" s="225">
        <v>3.3000000000000002E-2</v>
      </c>
    </row>
    <row r="29" spans="2:13" x14ac:dyDescent="0.2">
      <c r="H29" s="224" t="s">
        <v>304</v>
      </c>
      <c r="I29" s="225">
        <v>3.3000000000000002E-2</v>
      </c>
    </row>
    <row r="30" spans="2:13" x14ac:dyDescent="0.2">
      <c r="H30" s="224" t="s">
        <v>305</v>
      </c>
      <c r="I30" s="225">
        <v>2.1999999999999999E-2</v>
      </c>
    </row>
    <row r="32" spans="2:13" x14ac:dyDescent="0.2">
      <c r="B32" s="224" t="s">
        <v>313</v>
      </c>
    </row>
    <row r="33" spans="2:9" x14ac:dyDescent="0.2">
      <c r="B33" s="224" t="s">
        <v>314</v>
      </c>
      <c r="D33" s="225">
        <f>SUM(E33:G33)/SUM(E34:G34)/10^6</f>
        <v>5.6689763204024086E-2</v>
      </c>
      <c r="E33" s="224">
        <v>518864882</v>
      </c>
      <c r="F33" s="224">
        <v>491421302</v>
      </c>
      <c r="G33" s="224">
        <v>477366582</v>
      </c>
    </row>
    <row r="34" spans="2:9" x14ac:dyDescent="0.2">
      <c r="B34" s="224" t="s">
        <v>315</v>
      </c>
      <c r="E34" s="224">
        <v>9371</v>
      </c>
      <c r="F34" s="224">
        <v>8431</v>
      </c>
      <c r="G34" s="224">
        <v>8440</v>
      </c>
      <c r="I34" s="226"/>
    </row>
    <row r="35" spans="2:9" x14ac:dyDescent="0.2">
      <c r="H35" s="224" t="s">
        <v>302</v>
      </c>
      <c r="I35" s="226">
        <v>0.5</v>
      </c>
    </row>
    <row r="36" spans="2:9" x14ac:dyDescent="0.2">
      <c r="B36" s="224" t="s">
        <v>316</v>
      </c>
      <c r="D36" s="164">
        <f>SUMPRODUCT(I35:I38,$M$56:$M$59)/SUM($M$56:$M$59)</f>
        <v>0.37546995998087951</v>
      </c>
      <c r="H36" s="224" t="s">
        <v>303</v>
      </c>
      <c r="I36" s="226">
        <v>0.5</v>
      </c>
    </row>
    <row r="37" spans="2:9" x14ac:dyDescent="0.2">
      <c r="H37" s="224" t="s">
        <v>304</v>
      </c>
      <c r="I37" s="226">
        <v>0.1</v>
      </c>
    </row>
    <row r="38" spans="2:9" x14ac:dyDescent="0.2">
      <c r="H38" s="224" t="s">
        <v>305</v>
      </c>
      <c r="I38" s="226">
        <v>0.35</v>
      </c>
    </row>
    <row r="39" spans="2:9" x14ac:dyDescent="0.2">
      <c r="D39" s="227">
        <v>45809</v>
      </c>
      <c r="E39" s="227">
        <v>45839</v>
      </c>
      <c r="F39" s="227">
        <v>45870</v>
      </c>
      <c r="G39" s="227">
        <v>45901</v>
      </c>
    </row>
    <row r="40" spans="2:9" x14ac:dyDescent="0.2">
      <c r="B40" s="224" t="s">
        <v>317</v>
      </c>
      <c r="D40" s="227"/>
      <c r="E40" s="228"/>
      <c r="F40" s="227"/>
      <c r="G40" s="227"/>
    </row>
    <row r="41" spans="2:9" ht="16" x14ac:dyDescent="0.2">
      <c r="C41" s="229" t="s">
        <v>302</v>
      </c>
      <c r="D41" s="230">
        <v>3055</v>
      </c>
      <c r="E41" s="230">
        <v>1904</v>
      </c>
      <c r="F41" s="230">
        <v>1887</v>
      </c>
      <c r="G41" s="230">
        <v>2031</v>
      </c>
    </row>
    <row r="42" spans="2:9" ht="16" x14ac:dyDescent="0.2">
      <c r="C42" s="229" t="s">
        <v>318</v>
      </c>
      <c r="D42" s="224">
        <v>1914</v>
      </c>
      <c r="E42" s="230">
        <v>1866</v>
      </c>
      <c r="F42" s="230">
        <v>1741</v>
      </c>
      <c r="G42" s="230">
        <v>1832</v>
      </c>
    </row>
    <row r="43" spans="2:9" ht="16" x14ac:dyDescent="0.2">
      <c r="C43" s="229" t="s">
        <v>304</v>
      </c>
      <c r="D43" s="224">
        <v>2503</v>
      </c>
      <c r="E43" s="230">
        <v>2589</v>
      </c>
      <c r="F43" s="224">
        <v>2029</v>
      </c>
      <c r="G43" s="230">
        <v>2239</v>
      </c>
    </row>
    <row r="44" spans="2:9" ht="16" x14ac:dyDescent="0.2">
      <c r="C44" s="229" t="s">
        <v>305</v>
      </c>
      <c r="D44" s="224">
        <v>1974</v>
      </c>
      <c r="E44" s="230">
        <v>2919</v>
      </c>
      <c r="F44" s="230">
        <v>2689</v>
      </c>
      <c r="G44" s="230">
        <v>2261</v>
      </c>
    </row>
    <row r="45" spans="2:9" x14ac:dyDescent="0.2">
      <c r="B45" s="224" t="s">
        <v>319</v>
      </c>
    </row>
    <row r="46" spans="2:9" ht="16" x14ac:dyDescent="0.2">
      <c r="C46" s="229" t="s">
        <v>302</v>
      </c>
      <c r="D46" s="230">
        <v>12498</v>
      </c>
      <c r="E46" s="230">
        <v>12437</v>
      </c>
      <c r="F46" s="230">
        <v>11083</v>
      </c>
      <c r="G46" s="230">
        <v>10452</v>
      </c>
      <c r="H46" s="231">
        <f>SUM(E46:G46)</f>
        <v>33972</v>
      </c>
    </row>
    <row r="47" spans="2:9" ht="16" x14ac:dyDescent="0.2">
      <c r="C47" s="229" t="s">
        <v>318</v>
      </c>
      <c r="D47" s="224">
        <v>7542</v>
      </c>
      <c r="E47" s="230">
        <v>8354</v>
      </c>
      <c r="F47" s="230">
        <v>8582</v>
      </c>
      <c r="G47" s="230">
        <v>9232</v>
      </c>
      <c r="H47" s="231">
        <f t="shared" ref="H47:H49" si="4">SUM(E47:G47)</f>
        <v>26168</v>
      </c>
    </row>
    <row r="48" spans="2:9" ht="16" x14ac:dyDescent="0.2">
      <c r="C48" s="229" t="s">
        <v>304</v>
      </c>
      <c r="D48" s="224">
        <v>8022</v>
      </c>
      <c r="E48" s="230">
        <v>9017</v>
      </c>
      <c r="F48" s="230">
        <v>8214</v>
      </c>
      <c r="G48" s="230">
        <v>8116</v>
      </c>
      <c r="H48" s="231">
        <f t="shared" si="4"/>
        <v>25347</v>
      </c>
    </row>
    <row r="49" spans="2:15" ht="16" x14ac:dyDescent="0.2">
      <c r="C49" s="229" t="s">
        <v>305</v>
      </c>
      <c r="D49" s="224">
        <v>733</v>
      </c>
      <c r="E49" s="230">
        <v>1762</v>
      </c>
      <c r="F49" s="230">
        <v>2527</v>
      </c>
      <c r="G49" s="230">
        <v>2235</v>
      </c>
      <c r="H49" s="231">
        <f t="shared" si="4"/>
        <v>6524</v>
      </c>
    </row>
    <row r="50" spans="2:15" ht="16" x14ac:dyDescent="0.2">
      <c r="B50" s="224" t="s">
        <v>186</v>
      </c>
      <c r="I50" s="224" t="s">
        <v>309</v>
      </c>
      <c r="J50" s="224" t="s">
        <v>320</v>
      </c>
      <c r="K50" s="232">
        <f>SUM(J54:L54)/SUM(E51:G54)</f>
        <v>0.11722891045183201</v>
      </c>
    </row>
    <row r="51" spans="2:15" ht="16" x14ac:dyDescent="0.2">
      <c r="C51" s="229" t="s">
        <v>302</v>
      </c>
      <c r="D51" s="230">
        <v>12929240094</v>
      </c>
      <c r="E51" s="230">
        <v>12474809632</v>
      </c>
      <c r="F51" s="230">
        <v>9445336586</v>
      </c>
      <c r="G51" s="230">
        <v>9125003063</v>
      </c>
      <c r="H51" s="231">
        <f>SUM(E51:G51)</f>
        <v>31045149281</v>
      </c>
    </row>
    <row r="52" spans="2:15" ht="16" x14ac:dyDescent="0.2">
      <c r="C52" s="229" t="s">
        <v>318</v>
      </c>
      <c r="D52" s="230">
        <v>7745288700</v>
      </c>
      <c r="E52" s="230">
        <v>8142216513</v>
      </c>
      <c r="F52" s="230">
        <v>7801255169</v>
      </c>
      <c r="G52" s="230">
        <v>7926201248</v>
      </c>
      <c r="H52" s="231">
        <f t="shared" ref="H52:H54" si="5">SUM(E52:G52)</f>
        <v>23869672930</v>
      </c>
    </row>
    <row r="53" spans="2:15" ht="16" x14ac:dyDescent="0.2">
      <c r="C53" s="229" t="s">
        <v>304</v>
      </c>
      <c r="D53" s="230">
        <v>17622441300</v>
      </c>
      <c r="E53" s="230">
        <v>17881303472</v>
      </c>
      <c r="F53" s="230">
        <v>16244324841</v>
      </c>
      <c r="G53" s="230">
        <v>15275927270</v>
      </c>
      <c r="H53" s="231">
        <f t="shared" si="5"/>
        <v>49401555583</v>
      </c>
    </row>
    <row r="54" spans="2:15" ht="16" x14ac:dyDescent="0.2">
      <c r="C54" s="229" t="s">
        <v>305</v>
      </c>
      <c r="D54" s="230">
        <v>4117630449.9999995</v>
      </c>
      <c r="E54" s="230">
        <v>8932559708</v>
      </c>
      <c r="F54" s="230">
        <v>12586882650</v>
      </c>
      <c r="G54" s="230">
        <v>12824214914</v>
      </c>
      <c r="H54" s="231">
        <f t="shared" si="5"/>
        <v>34343657272</v>
      </c>
      <c r="J54" s="233">
        <v>5100227209</v>
      </c>
      <c r="K54" s="233">
        <v>5070914850</v>
      </c>
      <c r="L54" s="233">
        <v>6083822775</v>
      </c>
    </row>
    <row r="55" spans="2:15" x14ac:dyDescent="0.2">
      <c r="B55" s="224" t="s">
        <v>321</v>
      </c>
      <c r="I55" s="224" t="s">
        <v>322</v>
      </c>
    </row>
    <row r="56" spans="2:15" ht="16" x14ac:dyDescent="0.2">
      <c r="C56" s="229" t="s">
        <v>302</v>
      </c>
      <c r="D56" s="230">
        <v>26040511140</v>
      </c>
      <c r="E56" s="230">
        <v>27730732486</v>
      </c>
      <c r="F56" s="230">
        <v>28744359931</v>
      </c>
      <c r="G56" s="230">
        <v>30178361985</v>
      </c>
      <c r="I56" s="234">
        <v>22148871140</v>
      </c>
      <c r="J56" s="234">
        <v>22693234757</v>
      </c>
      <c r="K56" s="234">
        <v>22507599931</v>
      </c>
      <c r="L56" s="234">
        <v>22942521985</v>
      </c>
      <c r="M56" s="235">
        <f>SUM(J56:L56)</f>
        <v>68143356673</v>
      </c>
      <c r="O56" s="236"/>
    </row>
    <row r="57" spans="2:15" ht="16" x14ac:dyDescent="0.2">
      <c r="C57" s="229" t="s">
        <v>318</v>
      </c>
      <c r="D57" s="230">
        <v>13217594611</v>
      </c>
      <c r="E57" s="230">
        <v>15461800031</v>
      </c>
      <c r="F57" s="230">
        <v>17508750374</v>
      </c>
      <c r="G57" s="237">
        <v>19473181026</v>
      </c>
      <c r="I57" s="236">
        <v>25457141269</v>
      </c>
      <c r="J57" s="236">
        <v>29352371776</v>
      </c>
      <c r="K57" s="236">
        <v>32677251042</v>
      </c>
      <c r="L57" s="236">
        <v>35866402954</v>
      </c>
      <c r="M57" s="235">
        <f t="shared" ref="M57:M59" si="6">SUM(J57:L57)</f>
        <v>97896025772</v>
      </c>
      <c r="O57" s="236"/>
    </row>
    <row r="58" spans="2:15" ht="16" x14ac:dyDescent="0.2">
      <c r="C58" s="229" t="s">
        <v>304</v>
      </c>
      <c r="D58" s="230">
        <v>25457141269</v>
      </c>
      <c r="E58" s="230">
        <v>29352371776</v>
      </c>
      <c r="F58" s="230">
        <v>32857251042</v>
      </c>
      <c r="G58" s="230">
        <v>36526402954</v>
      </c>
      <c r="I58" s="234">
        <v>22148871140</v>
      </c>
      <c r="J58" s="234">
        <v>22693234757</v>
      </c>
      <c r="K58" s="234">
        <v>22507599931</v>
      </c>
      <c r="L58" s="234">
        <v>22942521985</v>
      </c>
      <c r="M58" s="235">
        <f t="shared" si="6"/>
        <v>68143356673</v>
      </c>
      <c r="O58" s="236"/>
    </row>
    <row r="59" spans="2:15" ht="16" x14ac:dyDescent="0.2">
      <c r="C59" s="229" t="s">
        <v>305</v>
      </c>
      <c r="D59" s="230">
        <v>8462495252</v>
      </c>
      <c r="E59" s="230">
        <v>16239237866</v>
      </c>
      <c r="F59" s="230">
        <v>25467548263</v>
      </c>
      <c r="G59" s="230">
        <v>33104607622</v>
      </c>
      <c r="I59" s="234">
        <v>8462495252</v>
      </c>
      <c r="J59" s="234">
        <v>16239237866</v>
      </c>
      <c r="K59" s="234">
        <v>25467548263</v>
      </c>
      <c r="L59" s="234">
        <v>33104607622</v>
      </c>
      <c r="M59" s="235">
        <f t="shared" si="6"/>
        <v>74811393751</v>
      </c>
      <c r="O59" s="236"/>
    </row>
    <row r="60" spans="2:15" x14ac:dyDescent="0.2">
      <c r="B60" s="224" t="s">
        <v>76</v>
      </c>
      <c r="I60" s="224" t="s">
        <v>323</v>
      </c>
    </row>
    <row r="61" spans="2:15" x14ac:dyDescent="0.2">
      <c r="C61" s="229" t="s">
        <v>302</v>
      </c>
      <c r="I61" s="238">
        <f t="shared" ref="I61:L64" si="7">I56-D61</f>
        <v>22148871140</v>
      </c>
      <c r="J61" s="238">
        <f t="shared" si="7"/>
        <v>22693234757</v>
      </c>
      <c r="K61" s="238">
        <f t="shared" si="7"/>
        <v>22507599931</v>
      </c>
      <c r="L61" s="238">
        <f t="shared" si="7"/>
        <v>22942521985</v>
      </c>
      <c r="M61" s="235">
        <f>SUM(J61:L61)</f>
        <v>68143356673</v>
      </c>
    </row>
    <row r="62" spans="2:15" x14ac:dyDescent="0.2">
      <c r="C62" s="229" t="s">
        <v>318</v>
      </c>
      <c r="I62" s="238">
        <f t="shared" si="7"/>
        <v>25457141269</v>
      </c>
      <c r="J62" s="238">
        <f t="shared" si="7"/>
        <v>29352371776</v>
      </c>
      <c r="K62" s="238">
        <f t="shared" si="7"/>
        <v>32677251042</v>
      </c>
      <c r="L62" s="238">
        <f t="shared" si="7"/>
        <v>35866402954</v>
      </c>
      <c r="M62" s="235">
        <f>SUM(J62:L62)</f>
        <v>97896025772</v>
      </c>
    </row>
    <row r="63" spans="2:15" x14ac:dyDescent="0.2">
      <c r="C63" s="229" t="s">
        <v>304</v>
      </c>
      <c r="I63" s="238">
        <f t="shared" si="7"/>
        <v>22148871140</v>
      </c>
      <c r="J63" s="238">
        <f t="shared" si="7"/>
        <v>22693234757</v>
      </c>
      <c r="K63" s="238">
        <f t="shared" si="7"/>
        <v>22507599931</v>
      </c>
      <c r="L63" s="238">
        <f t="shared" si="7"/>
        <v>22942521985</v>
      </c>
      <c r="M63" s="235">
        <f>SUM(J63:L63)</f>
        <v>68143356673</v>
      </c>
    </row>
    <row r="64" spans="2:15" ht="16" x14ac:dyDescent="0.2">
      <c r="C64" s="229" t="s">
        <v>305</v>
      </c>
      <c r="D64" s="230">
        <v>2402781546</v>
      </c>
      <c r="E64" s="230">
        <v>6822970698</v>
      </c>
      <c r="F64" s="230">
        <v>10095884056</v>
      </c>
      <c r="G64" s="230">
        <v>13682670940</v>
      </c>
      <c r="I64" s="238">
        <f t="shared" si="7"/>
        <v>6059713706</v>
      </c>
      <c r="J64" s="238">
        <f t="shared" si="7"/>
        <v>9416267168</v>
      </c>
      <c r="K64" s="238">
        <f t="shared" si="7"/>
        <v>15371664207</v>
      </c>
      <c r="L64" s="238">
        <f t="shared" si="7"/>
        <v>19421936682</v>
      </c>
      <c r="M64" s="235">
        <f>SUM(J64:L64)</f>
        <v>44209868057</v>
      </c>
    </row>
    <row r="65" spans="2:12" x14ac:dyDescent="0.2">
      <c r="B65" s="224" t="s">
        <v>308</v>
      </c>
      <c r="I65" s="224" t="s">
        <v>324</v>
      </c>
    </row>
    <row r="66" spans="2:12" ht="16" x14ac:dyDescent="0.2">
      <c r="C66" s="229" t="s">
        <v>302</v>
      </c>
      <c r="D66" s="230">
        <v>15087266335</v>
      </c>
      <c r="E66" s="230">
        <v>17380177451</v>
      </c>
      <c r="F66" s="230">
        <v>20452614720</v>
      </c>
      <c r="G66" s="230">
        <v>22543365551</v>
      </c>
      <c r="I66" s="224">
        <v>11189853973</v>
      </c>
      <c r="J66" s="224">
        <v>12338497463</v>
      </c>
      <c r="K66" s="224">
        <v>14215854722</v>
      </c>
      <c r="L66" s="224">
        <v>15307525551</v>
      </c>
    </row>
    <row r="67" spans="2:12" ht="16" x14ac:dyDescent="0.2">
      <c r="C67" s="229" t="s">
        <v>318</v>
      </c>
      <c r="D67" s="230">
        <v>5656858758</v>
      </c>
      <c r="E67" s="230">
        <v>7759192645</v>
      </c>
      <c r="F67" s="230">
        <v>10531083260</v>
      </c>
      <c r="G67" s="230">
        <v>12502625335</v>
      </c>
      <c r="I67" s="224">
        <v>8248829038</v>
      </c>
      <c r="J67" s="224">
        <v>12261732849</v>
      </c>
      <c r="K67" s="224">
        <v>17144605013</v>
      </c>
      <c r="L67" s="224">
        <v>20263612803</v>
      </c>
    </row>
    <row r="68" spans="2:12" ht="16" x14ac:dyDescent="0.2">
      <c r="C68" s="229" t="s">
        <v>304</v>
      </c>
      <c r="D68" s="230">
        <v>8253816353</v>
      </c>
      <c r="E68" s="230">
        <v>12266675272</v>
      </c>
      <c r="F68" s="230">
        <v>17324605010</v>
      </c>
      <c r="G68" s="230">
        <v>20923612803</v>
      </c>
      <c r="I68" s="224">
        <v>25457141269</v>
      </c>
      <c r="J68" s="224">
        <v>29352371776</v>
      </c>
      <c r="K68" s="224">
        <v>32677251042</v>
      </c>
      <c r="L68" s="224">
        <v>35866402954</v>
      </c>
    </row>
    <row r="69" spans="2:12" ht="16" x14ac:dyDescent="0.2">
      <c r="C69" s="229" t="s">
        <v>305</v>
      </c>
      <c r="D69" s="230">
        <v>4511359745</v>
      </c>
      <c r="E69" s="230">
        <v>4420584123</v>
      </c>
      <c r="F69" s="230">
        <v>6692794577</v>
      </c>
      <c r="G69" s="230">
        <v>11786886990</v>
      </c>
      <c r="I69" s="224">
        <v>4511359745</v>
      </c>
      <c r="J69" s="224">
        <v>4420584123</v>
      </c>
      <c r="K69" s="224">
        <v>6692794577</v>
      </c>
      <c r="L69" s="224">
        <v>11786886990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0C151-046B-4343-8BB8-AD39F21B309B}">
  <sheetPr>
    <tabColor theme="3" tint="0.499984740745262"/>
  </sheetPr>
  <dimension ref="A1:IH349"/>
  <sheetViews>
    <sheetView showGridLines="0" zoomScale="71" zoomScaleNormal="60" workbookViewId="0">
      <pane xSplit="5" ySplit="7" topLeftCell="F8"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3" outlineLevelRow="1" x14ac:dyDescent="0.15"/>
  <cols>
    <col min="1" max="1" width="10.1640625" style="64" customWidth="1"/>
    <col min="2" max="2" width="12.83203125" style="26" customWidth="1"/>
    <col min="3" max="3" width="19.33203125" style="26" customWidth="1"/>
    <col min="4" max="4" width="20" style="26" customWidth="1"/>
    <col min="5" max="5" width="11" style="26" customWidth="1"/>
    <col min="6" max="6" width="9.5" style="26" bestFit="1" customWidth="1"/>
    <col min="7" max="7" width="11.1640625" style="26" customWidth="1"/>
    <col min="8" max="8" width="11" style="26" bestFit="1" customWidth="1"/>
    <col min="9" max="9" width="12.5" style="26" bestFit="1" customWidth="1"/>
    <col min="10" max="13" width="11" style="26" bestFit="1" customWidth="1"/>
    <col min="14" max="30" width="12.5" style="26" bestFit="1" customWidth="1"/>
    <col min="31" max="35" width="10.5" style="26" customWidth="1"/>
    <col min="36" max="36" width="11.1640625" style="26" customWidth="1"/>
    <col min="37" max="37" width="11.5" style="26" customWidth="1"/>
    <col min="38" max="90" width="10.5" style="26" customWidth="1"/>
    <col min="91" max="16384" width="9" style="26"/>
  </cols>
  <sheetData>
    <row r="1" spans="1:242" ht="18" x14ac:dyDescent="0.2">
      <c r="A1" s="239" t="s">
        <v>325</v>
      </c>
      <c r="B1" s="240" t="s">
        <v>326</v>
      </c>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163"/>
      <c r="BP1" s="163"/>
      <c r="BQ1" s="163"/>
      <c r="BR1" s="163"/>
      <c r="BS1" s="163"/>
      <c r="BT1" s="163"/>
      <c r="BU1" s="163"/>
      <c r="BV1" s="163"/>
      <c r="BW1" s="163"/>
      <c r="BX1" s="163"/>
      <c r="BY1" s="163"/>
      <c r="BZ1" s="163"/>
      <c r="CA1" s="163"/>
      <c r="CB1" s="163"/>
      <c r="CC1" s="163"/>
      <c r="CD1" s="163"/>
      <c r="CE1" s="163"/>
      <c r="CF1" s="163"/>
      <c r="CG1" s="163"/>
      <c r="CH1" s="163"/>
      <c r="CI1" s="163"/>
      <c r="CJ1" s="163"/>
      <c r="CK1" s="163"/>
      <c r="CL1" s="163"/>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row>
    <row r="2" spans="1:242" ht="16" x14ac:dyDescent="0.2">
      <c r="A2" s="239"/>
      <c r="B2" s="241" t="s">
        <v>327</v>
      </c>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163"/>
      <c r="BP2" s="163"/>
      <c r="BQ2" s="163"/>
      <c r="BR2" s="163"/>
      <c r="BS2" s="163"/>
      <c r="BT2" s="163"/>
      <c r="BU2" s="163"/>
      <c r="BV2" s="163"/>
      <c r="BW2" s="163"/>
      <c r="BX2" s="163"/>
      <c r="BY2" s="163"/>
      <c r="BZ2" s="163"/>
      <c r="CA2" s="163"/>
      <c r="CB2" s="163"/>
      <c r="CC2" s="163"/>
      <c r="CD2" s="163"/>
      <c r="CE2" s="163"/>
      <c r="CF2" s="163"/>
      <c r="CG2" s="163"/>
      <c r="CH2" s="163"/>
      <c r="CI2" s="163"/>
      <c r="CJ2" s="163"/>
      <c r="CK2" s="163"/>
      <c r="CL2" s="163"/>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row>
    <row r="3" spans="1:242" ht="16" x14ac:dyDescent="0.2">
      <c r="A3" s="239"/>
      <c r="B3" s="241"/>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163"/>
      <c r="BP3" s="163"/>
      <c r="BQ3" s="163"/>
      <c r="BR3" s="163"/>
      <c r="BS3" s="163"/>
      <c r="BT3" s="163"/>
      <c r="BU3" s="163"/>
      <c r="BV3" s="163"/>
      <c r="BW3" s="163"/>
      <c r="BX3" s="163"/>
      <c r="BY3" s="163"/>
      <c r="BZ3" s="163"/>
      <c r="CA3" s="163"/>
      <c r="CB3" s="163"/>
      <c r="CC3" s="163"/>
      <c r="CD3" s="163"/>
      <c r="CE3" s="163"/>
      <c r="CF3" s="163"/>
      <c r="CG3" s="163"/>
      <c r="CH3" s="163"/>
      <c r="CI3" s="163"/>
      <c r="CJ3" s="163"/>
      <c r="CK3" s="163"/>
      <c r="CL3" s="163"/>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row>
    <row r="4" spans="1:242" ht="16" x14ac:dyDescent="0.2">
      <c r="B4" s="241" t="s">
        <v>328</v>
      </c>
      <c r="C4" s="242">
        <f>(30*4+31*7+28)/12</f>
        <v>30.416666666666668</v>
      </c>
      <c r="G4" s="42"/>
      <c r="H4" s="42"/>
      <c r="I4" s="243"/>
      <c r="J4" s="243"/>
      <c r="K4" s="243"/>
      <c r="L4" s="42"/>
      <c r="M4" s="42"/>
      <c r="N4" s="42"/>
      <c r="O4" s="42"/>
      <c r="P4" s="42"/>
      <c r="Q4" s="42"/>
      <c r="R4" s="42"/>
      <c r="S4" s="42"/>
      <c r="T4" s="42"/>
      <c r="U4" s="42"/>
      <c r="V4" s="42"/>
      <c r="W4" s="42"/>
      <c r="X4" s="42"/>
      <c r="Y4" s="42"/>
      <c r="Z4" s="42"/>
      <c r="AA4" s="42"/>
      <c r="AB4" s="42"/>
      <c r="AC4" s="42"/>
      <c r="AD4" s="42"/>
      <c r="AE4" s="26">
        <f>IF(AE$7&lt;13,SAP_Leadsheet!$E$18,IF(SAP_Leadsheet!AF$6&lt;25,SAP_Leadsheet!$F$18,IF(AE$7&lt;37,SAP_Leadsheet!$G$18,IF(AE$7&lt;49,SAP_Leadsheet!$H$18,SAP_Leadsheet!$I$18))))</f>
        <v>9.618708632663486E-3</v>
      </c>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row>
    <row r="5" spans="1:242" ht="16" x14ac:dyDescent="0.2">
      <c r="B5" s="241" t="s">
        <v>329</v>
      </c>
      <c r="C5" s="242" t="s">
        <v>330</v>
      </c>
      <c r="D5" s="244" t="s">
        <v>331</v>
      </c>
      <c r="E5" s="140">
        <f>SAP_Leadsheet!E32</f>
        <v>5.2999999999999999E-2</v>
      </c>
      <c r="G5" s="42"/>
      <c r="H5" s="42"/>
      <c r="I5" s="42"/>
      <c r="J5" s="42"/>
      <c r="K5" s="42"/>
      <c r="L5" s="42"/>
      <c r="M5" s="42"/>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9"/>
      <c r="BM5" s="99"/>
      <c r="BN5" s="99"/>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row>
    <row r="6" spans="1:242" ht="14" thickBot="1" x14ac:dyDescent="0.2">
      <c r="A6" s="245"/>
      <c r="B6" s="246"/>
      <c r="C6" s="246"/>
      <c r="D6" s="246"/>
      <c r="E6" s="247" t="s">
        <v>332</v>
      </c>
      <c r="F6" s="246"/>
      <c r="G6" s="248">
        <f>ROUNDUP(G7/12,0)</f>
        <v>1</v>
      </c>
      <c r="H6" s="248">
        <f t="shared" ref="H6:BS6" si="0">ROUNDUP(H7/12,0)</f>
        <v>1</v>
      </c>
      <c r="I6" s="248">
        <f t="shared" si="0"/>
        <v>1</v>
      </c>
      <c r="J6" s="248">
        <f t="shared" si="0"/>
        <v>1</v>
      </c>
      <c r="K6" s="248">
        <f t="shared" si="0"/>
        <v>1</v>
      </c>
      <c r="L6" s="248">
        <f t="shared" si="0"/>
        <v>1</v>
      </c>
      <c r="M6" s="248">
        <f t="shared" si="0"/>
        <v>1</v>
      </c>
      <c r="N6" s="248">
        <f t="shared" si="0"/>
        <v>1</v>
      </c>
      <c r="O6" s="248">
        <f t="shared" si="0"/>
        <v>1</v>
      </c>
      <c r="P6" s="248">
        <f t="shared" si="0"/>
        <v>1</v>
      </c>
      <c r="Q6" s="248">
        <f t="shared" si="0"/>
        <v>1</v>
      </c>
      <c r="R6" s="248">
        <f t="shared" si="0"/>
        <v>1</v>
      </c>
      <c r="S6" s="248">
        <f t="shared" si="0"/>
        <v>2</v>
      </c>
      <c r="T6" s="248">
        <f t="shared" si="0"/>
        <v>2</v>
      </c>
      <c r="U6" s="248">
        <f t="shared" si="0"/>
        <v>2</v>
      </c>
      <c r="V6" s="248">
        <f t="shared" si="0"/>
        <v>2</v>
      </c>
      <c r="W6" s="248">
        <f t="shared" si="0"/>
        <v>2</v>
      </c>
      <c r="X6" s="248">
        <f t="shared" si="0"/>
        <v>2</v>
      </c>
      <c r="Y6" s="248">
        <f t="shared" si="0"/>
        <v>2</v>
      </c>
      <c r="Z6" s="248">
        <f t="shared" si="0"/>
        <v>2</v>
      </c>
      <c r="AA6" s="248">
        <f t="shared" si="0"/>
        <v>2</v>
      </c>
      <c r="AB6" s="248">
        <f t="shared" si="0"/>
        <v>2</v>
      </c>
      <c r="AC6" s="248">
        <f t="shared" si="0"/>
        <v>2</v>
      </c>
      <c r="AD6" s="248">
        <f t="shared" si="0"/>
        <v>2</v>
      </c>
      <c r="AE6" s="248">
        <f t="shared" si="0"/>
        <v>3</v>
      </c>
      <c r="AF6" s="248">
        <f t="shared" si="0"/>
        <v>3</v>
      </c>
      <c r="AG6" s="248">
        <f t="shared" si="0"/>
        <v>3</v>
      </c>
      <c r="AH6" s="248">
        <f t="shared" si="0"/>
        <v>3</v>
      </c>
      <c r="AI6" s="248">
        <f t="shared" si="0"/>
        <v>3</v>
      </c>
      <c r="AJ6" s="248">
        <f t="shared" si="0"/>
        <v>3</v>
      </c>
      <c r="AK6" s="248">
        <f t="shared" si="0"/>
        <v>3</v>
      </c>
      <c r="AL6" s="248">
        <f t="shared" si="0"/>
        <v>3</v>
      </c>
      <c r="AM6" s="248">
        <f t="shared" si="0"/>
        <v>3</v>
      </c>
      <c r="AN6" s="248">
        <f t="shared" si="0"/>
        <v>3</v>
      </c>
      <c r="AO6" s="248">
        <f t="shared" si="0"/>
        <v>3</v>
      </c>
      <c r="AP6" s="248">
        <f t="shared" si="0"/>
        <v>3</v>
      </c>
      <c r="AQ6" s="248">
        <f t="shared" si="0"/>
        <v>4</v>
      </c>
      <c r="AR6" s="248">
        <f t="shared" si="0"/>
        <v>4</v>
      </c>
      <c r="AS6" s="248">
        <f t="shared" si="0"/>
        <v>4</v>
      </c>
      <c r="AT6" s="248">
        <f t="shared" si="0"/>
        <v>4</v>
      </c>
      <c r="AU6" s="248">
        <f t="shared" si="0"/>
        <v>4</v>
      </c>
      <c r="AV6" s="248">
        <f t="shared" si="0"/>
        <v>4</v>
      </c>
      <c r="AW6" s="248">
        <f t="shared" si="0"/>
        <v>4</v>
      </c>
      <c r="AX6" s="248">
        <f t="shared" si="0"/>
        <v>4</v>
      </c>
      <c r="AY6" s="248">
        <f t="shared" si="0"/>
        <v>4</v>
      </c>
      <c r="AZ6" s="248">
        <f t="shared" si="0"/>
        <v>4</v>
      </c>
      <c r="BA6" s="248">
        <f t="shared" si="0"/>
        <v>4</v>
      </c>
      <c r="BB6" s="248">
        <f t="shared" si="0"/>
        <v>4</v>
      </c>
      <c r="BC6" s="248">
        <f t="shared" si="0"/>
        <v>5</v>
      </c>
      <c r="BD6" s="248">
        <f t="shared" si="0"/>
        <v>5</v>
      </c>
      <c r="BE6" s="248">
        <f t="shared" si="0"/>
        <v>5</v>
      </c>
      <c r="BF6" s="248">
        <f t="shared" si="0"/>
        <v>5</v>
      </c>
      <c r="BG6" s="248">
        <f t="shared" si="0"/>
        <v>5</v>
      </c>
      <c r="BH6" s="248">
        <f t="shared" si="0"/>
        <v>5</v>
      </c>
      <c r="BI6" s="248">
        <f t="shared" si="0"/>
        <v>5</v>
      </c>
      <c r="BJ6" s="248">
        <f t="shared" si="0"/>
        <v>5</v>
      </c>
      <c r="BK6" s="248">
        <f t="shared" si="0"/>
        <v>5</v>
      </c>
      <c r="BL6" s="248">
        <f t="shared" si="0"/>
        <v>5</v>
      </c>
      <c r="BM6" s="248">
        <f t="shared" si="0"/>
        <v>5</v>
      </c>
      <c r="BN6" s="248">
        <f t="shared" si="0"/>
        <v>5</v>
      </c>
      <c r="BO6" s="248">
        <f t="shared" si="0"/>
        <v>6</v>
      </c>
      <c r="BP6" s="248">
        <f t="shared" si="0"/>
        <v>6</v>
      </c>
      <c r="BQ6" s="248">
        <f t="shared" si="0"/>
        <v>6</v>
      </c>
      <c r="BR6" s="248">
        <f t="shared" si="0"/>
        <v>6</v>
      </c>
      <c r="BS6" s="248">
        <f t="shared" si="0"/>
        <v>6</v>
      </c>
      <c r="BT6" s="248">
        <f t="shared" ref="BT6:CE6" si="1">ROUNDUP(BT7/12,0)</f>
        <v>6</v>
      </c>
      <c r="BU6" s="248">
        <f t="shared" si="1"/>
        <v>6</v>
      </c>
      <c r="BV6" s="248">
        <f t="shared" si="1"/>
        <v>6</v>
      </c>
      <c r="BW6" s="248">
        <f t="shared" si="1"/>
        <v>6</v>
      </c>
      <c r="BX6" s="248">
        <f t="shared" si="1"/>
        <v>6</v>
      </c>
      <c r="BY6" s="248">
        <f t="shared" si="1"/>
        <v>6</v>
      </c>
      <c r="BZ6" s="248">
        <f t="shared" si="1"/>
        <v>6</v>
      </c>
      <c r="CA6" s="249"/>
      <c r="CB6" s="249"/>
      <c r="CC6" s="249"/>
      <c r="CD6" s="249"/>
      <c r="CE6" s="249"/>
      <c r="CF6" s="249"/>
      <c r="CG6" s="249"/>
      <c r="CH6" s="249"/>
      <c r="CI6" s="249"/>
      <c r="CJ6" s="249"/>
      <c r="CK6" s="249"/>
      <c r="CL6" s="249"/>
    </row>
    <row r="7" spans="1:242" x14ac:dyDescent="0.15">
      <c r="E7" s="23" t="s">
        <v>333</v>
      </c>
      <c r="F7" s="23"/>
      <c r="G7" s="104">
        <v>1</v>
      </c>
      <c r="H7" s="104">
        <f>G7+1</f>
        <v>2</v>
      </c>
      <c r="I7" s="104">
        <f t="shared" ref="I7:BT7" si="2">H7+1</f>
        <v>3</v>
      </c>
      <c r="J7" s="104">
        <f t="shared" si="2"/>
        <v>4</v>
      </c>
      <c r="K7" s="104">
        <f t="shared" si="2"/>
        <v>5</v>
      </c>
      <c r="L7" s="104">
        <f t="shared" si="2"/>
        <v>6</v>
      </c>
      <c r="M7" s="104">
        <f t="shared" si="2"/>
        <v>7</v>
      </c>
      <c r="N7" s="104">
        <f t="shared" si="2"/>
        <v>8</v>
      </c>
      <c r="O7" s="104">
        <f t="shared" si="2"/>
        <v>9</v>
      </c>
      <c r="P7" s="104">
        <f t="shared" si="2"/>
        <v>10</v>
      </c>
      <c r="Q7" s="104">
        <f t="shared" si="2"/>
        <v>11</v>
      </c>
      <c r="R7" s="104">
        <f t="shared" si="2"/>
        <v>12</v>
      </c>
      <c r="S7" s="104">
        <f t="shared" si="2"/>
        <v>13</v>
      </c>
      <c r="T7" s="104">
        <f t="shared" si="2"/>
        <v>14</v>
      </c>
      <c r="U7" s="104">
        <f t="shared" si="2"/>
        <v>15</v>
      </c>
      <c r="V7" s="104">
        <f t="shared" si="2"/>
        <v>16</v>
      </c>
      <c r="W7" s="104">
        <f t="shared" si="2"/>
        <v>17</v>
      </c>
      <c r="X7" s="104">
        <f t="shared" si="2"/>
        <v>18</v>
      </c>
      <c r="Y7" s="104">
        <f t="shared" si="2"/>
        <v>19</v>
      </c>
      <c r="Z7" s="104">
        <f t="shared" si="2"/>
        <v>20</v>
      </c>
      <c r="AA7" s="104">
        <f t="shared" si="2"/>
        <v>21</v>
      </c>
      <c r="AB7" s="104">
        <f t="shared" si="2"/>
        <v>22</v>
      </c>
      <c r="AC7" s="104">
        <f t="shared" si="2"/>
        <v>23</v>
      </c>
      <c r="AD7" s="104">
        <f t="shared" si="2"/>
        <v>24</v>
      </c>
      <c r="AE7" s="104">
        <f t="shared" si="2"/>
        <v>25</v>
      </c>
      <c r="AF7" s="104">
        <f t="shared" si="2"/>
        <v>26</v>
      </c>
      <c r="AG7" s="104">
        <f t="shared" si="2"/>
        <v>27</v>
      </c>
      <c r="AH7" s="104">
        <f t="shared" si="2"/>
        <v>28</v>
      </c>
      <c r="AI7" s="104">
        <f t="shared" si="2"/>
        <v>29</v>
      </c>
      <c r="AJ7" s="104">
        <f t="shared" si="2"/>
        <v>30</v>
      </c>
      <c r="AK7" s="104">
        <f t="shared" si="2"/>
        <v>31</v>
      </c>
      <c r="AL7" s="104">
        <f t="shared" si="2"/>
        <v>32</v>
      </c>
      <c r="AM7" s="104">
        <f t="shared" si="2"/>
        <v>33</v>
      </c>
      <c r="AN7" s="104">
        <f t="shared" si="2"/>
        <v>34</v>
      </c>
      <c r="AO7" s="104">
        <f t="shared" si="2"/>
        <v>35</v>
      </c>
      <c r="AP7" s="104">
        <f t="shared" si="2"/>
        <v>36</v>
      </c>
      <c r="AQ7" s="104">
        <f t="shared" si="2"/>
        <v>37</v>
      </c>
      <c r="AR7" s="104">
        <f t="shared" si="2"/>
        <v>38</v>
      </c>
      <c r="AS7" s="104">
        <f t="shared" si="2"/>
        <v>39</v>
      </c>
      <c r="AT7" s="104">
        <f t="shared" si="2"/>
        <v>40</v>
      </c>
      <c r="AU7" s="104">
        <f t="shared" si="2"/>
        <v>41</v>
      </c>
      <c r="AV7" s="104">
        <f t="shared" si="2"/>
        <v>42</v>
      </c>
      <c r="AW7" s="104">
        <f t="shared" si="2"/>
        <v>43</v>
      </c>
      <c r="AX7" s="104">
        <f t="shared" si="2"/>
        <v>44</v>
      </c>
      <c r="AY7" s="104">
        <f t="shared" si="2"/>
        <v>45</v>
      </c>
      <c r="AZ7" s="104">
        <f t="shared" si="2"/>
        <v>46</v>
      </c>
      <c r="BA7" s="104">
        <f t="shared" si="2"/>
        <v>47</v>
      </c>
      <c r="BB7" s="104">
        <f t="shared" si="2"/>
        <v>48</v>
      </c>
      <c r="BC7" s="104">
        <f t="shared" si="2"/>
        <v>49</v>
      </c>
      <c r="BD7" s="104">
        <f t="shared" si="2"/>
        <v>50</v>
      </c>
      <c r="BE7" s="104">
        <f t="shared" si="2"/>
        <v>51</v>
      </c>
      <c r="BF7" s="104">
        <f t="shared" si="2"/>
        <v>52</v>
      </c>
      <c r="BG7" s="104">
        <f t="shared" si="2"/>
        <v>53</v>
      </c>
      <c r="BH7" s="104">
        <f t="shared" si="2"/>
        <v>54</v>
      </c>
      <c r="BI7" s="104">
        <f t="shared" si="2"/>
        <v>55</v>
      </c>
      <c r="BJ7" s="104">
        <f t="shared" si="2"/>
        <v>56</v>
      </c>
      <c r="BK7" s="104">
        <f t="shared" si="2"/>
        <v>57</v>
      </c>
      <c r="BL7" s="104">
        <f t="shared" si="2"/>
        <v>58</v>
      </c>
      <c r="BM7" s="104">
        <f t="shared" si="2"/>
        <v>59</v>
      </c>
      <c r="BN7" s="104">
        <f t="shared" si="2"/>
        <v>60</v>
      </c>
      <c r="BO7" s="104">
        <f t="shared" si="2"/>
        <v>61</v>
      </c>
      <c r="BP7" s="104">
        <f t="shared" si="2"/>
        <v>62</v>
      </c>
      <c r="BQ7" s="104">
        <f t="shared" si="2"/>
        <v>63</v>
      </c>
      <c r="BR7" s="104">
        <f t="shared" si="2"/>
        <v>64</v>
      </c>
      <c r="BS7" s="104">
        <f t="shared" si="2"/>
        <v>65</v>
      </c>
      <c r="BT7" s="104">
        <f t="shared" si="2"/>
        <v>66</v>
      </c>
      <c r="BU7" s="104">
        <f t="shared" ref="BU7:BZ7" si="3">BT7+1</f>
        <v>67</v>
      </c>
      <c r="BV7" s="104">
        <f t="shared" si="3"/>
        <v>68</v>
      </c>
      <c r="BW7" s="104">
        <f t="shared" si="3"/>
        <v>69</v>
      </c>
      <c r="BX7" s="104">
        <f t="shared" si="3"/>
        <v>70</v>
      </c>
      <c r="BY7" s="104">
        <f t="shared" si="3"/>
        <v>71</v>
      </c>
      <c r="BZ7" s="104">
        <f t="shared" si="3"/>
        <v>72</v>
      </c>
      <c r="CA7" s="104"/>
      <c r="CB7" s="104"/>
      <c r="CC7" s="104"/>
      <c r="CD7" s="104"/>
      <c r="CE7" s="104"/>
      <c r="CF7" s="104"/>
      <c r="CG7" s="104"/>
      <c r="CH7" s="104"/>
      <c r="CI7" s="104"/>
      <c r="CJ7" s="104"/>
      <c r="CK7" s="104"/>
      <c r="CL7" s="104"/>
    </row>
    <row r="8" spans="1:242" ht="14" thickBot="1" x14ac:dyDescent="0.2">
      <c r="A8" s="250">
        <v>1</v>
      </c>
      <c r="B8" s="251" t="s">
        <v>334</v>
      </c>
      <c r="C8" s="252"/>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f>IF(AE$7&lt;37,SAP_Leadsheet!$G$18,IF(AE$7&lt;49,SAP_Leadsheet!$H$18,SAP_Leadsheet!$I$18))</f>
        <v>5.8085881035963094E-3</v>
      </c>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52"/>
      <c r="BD8" s="252"/>
      <c r="BE8" s="252"/>
      <c r="BF8" s="252"/>
      <c r="BG8" s="252"/>
      <c r="BH8" s="252"/>
      <c r="BI8" s="252"/>
      <c r="BJ8" s="252"/>
      <c r="BK8" s="252"/>
      <c r="BL8" s="252"/>
      <c r="BM8" s="252"/>
      <c r="BN8" s="252"/>
    </row>
    <row r="9" spans="1:242" ht="14" thickTop="1" x14ac:dyDescent="0.15"/>
    <row r="10" spans="1:242" x14ac:dyDescent="0.15">
      <c r="C10" s="23" t="s">
        <v>29</v>
      </c>
      <c r="D10" s="26" t="s">
        <v>335</v>
      </c>
      <c r="F10" s="26" t="s">
        <v>336</v>
      </c>
      <c r="G10" s="253">
        <v>1</v>
      </c>
      <c r="H10" s="253">
        <f>G10</f>
        <v>1</v>
      </c>
      <c r="I10" s="253">
        <f t="shared" ref="I10:BN10" si="4">H10</f>
        <v>1</v>
      </c>
      <c r="J10" s="253">
        <f t="shared" si="4"/>
        <v>1</v>
      </c>
      <c r="K10" s="253">
        <f t="shared" si="4"/>
        <v>1</v>
      </c>
      <c r="L10" s="253">
        <f t="shared" si="4"/>
        <v>1</v>
      </c>
      <c r="M10" s="253">
        <f t="shared" si="4"/>
        <v>1</v>
      </c>
      <c r="N10" s="253">
        <f t="shared" si="4"/>
        <v>1</v>
      </c>
      <c r="O10" s="253">
        <f t="shared" si="4"/>
        <v>1</v>
      </c>
      <c r="P10" s="253">
        <f t="shared" si="4"/>
        <v>1</v>
      </c>
      <c r="Q10" s="253">
        <f t="shared" si="4"/>
        <v>1</v>
      </c>
      <c r="R10" s="253">
        <f t="shared" si="4"/>
        <v>1</v>
      </c>
      <c r="S10" s="253">
        <f t="shared" si="4"/>
        <v>1</v>
      </c>
      <c r="T10" s="253">
        <f t="shared" si="4"/>
        <v>1</v>
      </c>
      <c r="U10" s="253">
        <f t="shared" si="4"/>
        <v>1</v>
      </c>
      <c r="V10" s="253">
        <f t="shared" si="4"/>
        <v>1</v>
      </c>
      <c r="W10" s="253">
        <f t="shared" si="4"/>
        <v>1</v>
      </c>
      <c r="X10" s="253">
        <f t="shared" si="4"/>
        <v>1</v>
      </c>
      <c r="Y10" s="253">
        <f t="shared" si="4"/>
        <v>1</v>
      </c>
      <c r="Z10" s="253">
        <f t="shared" si="4"/>
        <v>1</v>
      </c>
      <c r="AA10" s="253">
        <f t="shared" si="4"/>
        <v>1</v>
      </c>
      <c r="AB10" s="253">
        <f t="shared" si="4"/>
        <v>1</v>
      </c>
      <c r="AC10" s="253">
        <f t="shared" si="4"/>
        <v>1</v>
      </c>
      <c r="AD10" s="253">
        <f t="shared" si="4"/>
        <v>1</v>
      </c>
      <c r="AE10" s="253">
        <f t="shared" si="4"/>
        <v>1</v>
      </c>
      <c r="AF10" s="253">
        <f t="shared" si="4"/>
        <v>1</v>
      </c>
      <c r="AG10" s="253">
        <f t="shared" si="4"/>
        <v>1</v>
      </c>
      <c r="AH10" s="253">
        <f t="shared" si="4"/>
        <v>1</v>
      </c>
      <c r="AI10" s="253">
        <f t="shared" si="4"/>
        <v>1</v>
      </c>
      <c r="AJ10" s="253">
        <f t="shared" si="4"/>
        <v>1</v>
      </c>
      <c r="AK10" s="253">
        <f t="shared" si="4"/>
        <v>1</v>
      </c>
      <c r="AL10" s="253">
        <f t="shared" si="4"/>
        <v>1</v>
      </c>
      <c r="AM10" s="253">
        <f t="shared" si="4"/>
        <v>1</v>
      </c>
      <c r="AN10" s="253">
        <f t="shared" si="4"/>
        <v>1</v>
      </c>
      <c r="AO10" s="253">
        <f t="shared" si="4"/>
        <v>1</v>
      </c>
      <c r="AP10" s="253">
        <f t="shared" si="4"/>
        <v>1</v>
      </c>
      <c r="AQ10" s="253">
        <f t="shared" si="4"/>
        <v>1</v>
      </c>
      <c r="AR10" s="253">
        <f t="shared" si="4"/>
        <v>1</v>
      </c>
      <c r="AS10" s="253">
        <f t="shared" si="4"/>
        <v>1</v>
      </c>
      <c r="AT10" s="253">
        <f t="shared" si="4"/>
        <v>1</v>
      </c>
      <c r="AU10" s="253">
        <f t="shared" si="4"/>
        <v>1</v>
      </c>
      <c r="AV10" s="253">
        <f t="shared" si="4"/>
        <v>1</v>
      </c>
      <c r="AW10" s="253">
        <f t="shared" si="4"/>
        <v>1</v>
      </c>
      <c r="AX10" s="253">
        <f t="shared" si="4"/>
        <v>1</v>
      </c>
      <c r="AY10" s="253">
        <f t="shared" si="4"/>
        <v>1</v>
      </c>
      <c r="AZ10" s="253">
        <f t="shared" si="4"/>
        <v>1</v>
      </c>
      <c r="BA10" s="253">
        <f t="shared" si="4"/>
        <v>1</v>
      </c>
      <c r="BB10" s="253">
        <f t="shared" si="4"/>
        <v>1</v>
      </c>
      <c r="BC10" s="253">
        <f t="shared" si="4"/>
        <v>1</v>
      </c>
      <c r="BD10" s="253">
        <f t="shared" si="4"/>
        <v>1</v>
      </c>
      <c r="BE10" s="253">
        <f t="shared" si="4"/>
        <v>1</v>
      </c>
      <c r="BF10" s="253">
        <f t="shared" si="4"/>
        <v>1</v>
      </c>
      <c r="BG10" s="253">
        <f t="shared" si="4"/>
        <v>1</v>
      </c>
      <c r="BH10" s="253">
        <f t="shared" si="4"/>
        <v>1</v>
      </c>
      <c r="BI10" s="253">
        <f t="shared" si="4"/>
        <v>1</v>
      </c>
      <c r="BJ10" s="253">
        <f t="shared" si="4"/>
        <v>1</v>
      </c>
      <c r="BK10" s="253">
        <f t="shared" si="4"/>
        <v>1</v>
      </c>
      <c r="BL10" s="253">
        <f t="shared" si="4"/>
        <v>1</v>
      </c>
      <c r="BM10" s="253">
        <f t="shared" si="4"/>
        <v>1</v>
      </c>
      <c r="BN10" s="253">
        <f t="shared" si="4"/>
        <v>1</v>
      </c>
      <c r="BO10" s="253"/>
      <c r="BP10" s="253"/>
      <c r="BQ10" s="253"/>
      <c r="BR10" s="253"/>
      <c r="BS10" s="253"/>
      <c r="BT10" s="253"/>
      <c r="BU10" s="253"/>
      <c r="BV10" s="253"/>
      <c r="BW10" s="253"/>
      <c r="BX10" s="253"/>
      <c r="BY10" s="253"/>
      <c r="BZ10" s="253"/>
      <c r="CA10" s="254"/>
      <c r="CB10" s="254"/>
      <c r="CC10" s="254"/>
      <c r="CD10" s="254"/>
      <c r="CE10" s="254"/>
      <c r="CF10" s="254"/>
      <c r="CG10" s="254"/>
      <c r="CH10" s="254"/>
      <c r="CI10" s="254"/>
      <c r="CJ10" s="254"/>
      <c r="CK10" s="254"/>
      <c r="CL10" s="254"/>
    </row>
    <row r="11" spans="1:242" s="168" customFormat="1" x14ac:dyDescent="0.15">
      <c r="A11" s="255"/>
      <c r="B11" s="39"/>
      <c r="C11" s="39"/>
      <c r="D11" s="39" t="s">
        <v>337</v>
      </c>
      <c r="E11" s="39"/>
      <c r="F11" s="39" t="s">
        <v>336</v>
      </c>
      <c r="G11" s="256">
        <f>G10*SAP_Leadsheet!E17</f>
        <v>0.66492240904536892</v>
      </c>
      <c r="H11" s="256">
        <f ca="1">G11-H12</f>
        <v>0.64040768797940939</v>
      </c>
      <c r="I11" s="256">
        <f t="shared" ref="I11:BN11" ca="1" si="5">H11-I12</f>
        <v>0.61589296691344986</v>
      </c>
      <c r="J11" s="256">
        <f t="shared" ca="1" si="5"/>
        <v>0.59137824584749032</v>
      </c>
      <c r="K11" s="256">
        <f t="shared" ca="1" si="5"/>
        <v>0.56686352478153079</v>
      </c>
      <c r="L11" s="256">
        <f t="shared" ca="1" si="5"/>
        <v>0.54234880371557126</v>
      </c>
      <c r="M11" s="256">
        <f t="shared" ca="1" si="5"/>
        <v>0.51783408264961173</v>
      </c>
      <c r="N11" s="256">
        <f t="shared" ca="1" si="5"/>
        <v>0.49331936158365225</v>
      </c>
      <c r="O11" s="256">
        <f t="shared" ca="1" si="5"/>
        <v>0.46880464051769277</v>
      </c>
      <c r="P11" s="256">
        <f t="shared" ca="1" si="5"/>
        <v>0.4442899194517333</v>
      </c>
      <c r="Q11" s="256">
        <f t="shared" ca="1" si="5"/>
        <v>0.41977519838577382</v>
      </c>
      <c r="R11" s="256">
        <f t="shared" ca="1" si="5"/>
        <v>0.39526047731981434</v>
      </c>
      <c r="S11" s="256">
        <f t="shared" ca="1" si="5"/>
        <v>0.38564176868715083</v>
      </c>
      <c r="T11" s="256">
        <f t="shared" ca="1" si="5"/>
        <v>0.37602306005448732</v>
      </c>
      <c r="U11" s="256">
        <f t="shared" ca="1" si="5"/>
        <v>0.36640435142182382</v>
      </c>
      <c r="V11" s="256">
        <f t="shared" ca="1" si="5"/>
        <v>0.35678564278916031</v>
      </c>
      <c r="W11" s="256">
        <f t="shared" ca="1" si="5"/>
        <v>0.3471669341564968</v>
      </c>
      <c r="X11" s="256">
        <f t="shared" ca="1" si="5"/>
        <v>0.33754822552383329</v>
      </c>
      <c r="Y11" s="256">
        <f t="shared" ca="1" si="5"/>
        <v>0.32792951689116978</v>
      </c>
      <c r="Z11" s="256">
        <f t="shared" ca="1" si="5"/>
        <v>0.31831080825850627</v>
      </c>
      <c r="AA11" s="256">
        <f t="shared" ca="1" si="5"/>
        <v>0.30869209962584276</v>
      </c>
      <c r="AB11" s="256">
        <f t="shared" ca="1" si="5"/>
        <v>0.29907339099317926</v>
      </c>
      <c r="AC11" s="256">
        <f t="shared" ca="1" si="5"/>
        <v>0.28945468236051575</v>
      </c>
      <c r="AD11" s="256">
        <f t="shared" ca="1" si="5"/>
        <v>0.27983597372785224</v>
      </c>
      <c r="AE11" s="256">
        <f t="shared" ca="1" si="5"/>
        <v>0.27402738562425594</v>
      </c>
      <c r="AF11" s="256">
        <f t="shared" ca="1" si="5"/>
        <v>0.26821879752065964</v>
      </c>
      <c r="AG11" s="256">
        <f t="shared" ca="1" si="5"/>
        <v>0.26241020941706333</v>
      </c>
      <c r="AH11" s="256">
        <f t="shared" ca="1" si="5"/>
        <v>0.25660162131346703</v>
      </c>
      <c r="AI11" s="256">
        <f t="shared" ca="1" si="5"/>
        <v>0.25079303320987073</v>
      </c>
      <c r="AJ11" s="256">
        <f t="shared" ca="1" si="5"/>
        <v>0.24498444510627443</v>
      </c>
      <c r="AK11" s="256">
        <f t="shared" ca="1" si="5"/>
        <v>0.23917585700267813</v>
      </c>
      <c r="AL11" s="256">
        <f t="shared" ca="1" si="5"/>
        <v>0.23336726889908183</v>
      </c>
      <c r="AM11" s="256">
        <f t="shared" ca="1" si="5"/>
        <v>0.22755868079548552</v>
      </c>
      <c r="AN11" s="256">
        <f t="shared" ca="1" si="5"/>
        <v>0.22175009269188922</v>
      </c>
      <c r="AO11" s="256">
        <f ca="1">AN11-AO12</f>
        <v>0.21594150458829292</v>
      </c>
      <c r="AP11" s="256">
        <f t="shared" ca="1" si="5"/>
        <v>0.21013291648469662</v>
      </c>
      <c r="AQ11" s="256">
        <f t="shared" ca="1" si="5"/>
        <v>0.20570171804103227</v>
      </c>
      <c r="AR11" s="256">
        <f t="shared" ca="1" si="5"/>
        <v>0.20127051959736791</v>
      </c>
      <c r="AS11" s="256">
        <f t="shared" ca="1" si="5"/>
        <v>0.19683932115370356</v>
      </c>
      <c r="AT11" s="256">
        <f t="shared" ca="1" si="5"/>
        <v>0.19240812271003921</v>
      </c>
      <c r="AU11" s="256">
        <f t="shared" ca="1" si="5"/>
        <v>0.18797692426637486</v>
      </c>
      <c r="AV11" s="256">
        <f t="shared" ca="1" si="5"/>
        <v>0.1835457258227105</v>
      </c>
      <c r="AW11" s="256">
        <f t="shared" ca="1" si="5"/>
        <v>0.17911452737904615</v>
      </c>
      <c r="AX11" s="256">
        <f t="shared" ca="1" si="5"/>
        <v>0.1746833289353818</v>
      </c>
      <c r="AY11" s="256">
        <f t="shared" ca="1" si="5"/>
        <v>0.17025213049171745</v>
      </c>
      <c r="AZ11" s="256">
        <f t="shared" ca="1" si="5"/>
        <v>0.16582093204805309</v>
      </c>
      <c r="BA11" s="256">
        <f t="shared" ca="1" si="5"/>
        <v>0.16138973360438874</v>
      </c>
      <c r="BB11" s="256">
        <f t="shared" ca="1" si="5"/>
        <v>0.15695853516072439</v>
      </c>
      <c r="BC11" s="256">
        <f t="shared" ca="1" si="5"/>
        <v>0.15281173749522786</v>
      </c>
      <c r="BD11" s="256">
        <f t="shared" ca="1" si="5"/>
        <v>0.14866493982973134</v>
      </c>
      <c r="BE11" s="256">
        <f t="shared" ca="1" si="5"/>
        <v>0.14451814216423481</v>
      </c>
      <c r="BF11" s="256">
        <f t="shared" ca="1" si="5"/>
        <v>0.14037134449873828</v>
      </c>
      <c r="BG11" s="256">
        <f t="shared" ca="1" si="5"/>
        <v>0.13622454683324176</v>
      </c>
      <c r="BH11" s="256">
        <f t="shared" ca="1" si="5"/>
        <v>0.13207774916774523</v>
      </c>
      <c r="BI11" s="256">
        <f t="shared" ca="1" si="5"/>
        <v>0.1279309515022487</v>
      </c>
      <c r="BJ11" s="256">
        <f t="shared" ca="1" si="5"/>
        <v>0.12378415383675219</v>
      </c>
      <c r="BK11" s="256">
        <f t="shared" ca="1" si="5"/>
        <v>0.11963735617125568</v>
      </c>
      <c r="BL11" s="256">
        <f t="shared" ca="1" si="5"/>
        <v>0.11549055850575916</v>
      </c>
      <c r="BM11" s="256">
        <f t="shared" ca="1" si="5"/>
        <v>0.11134376084026265</v>
      </c>
      <c r="BN11" s="256">
        <f t="shared" ca="1" si="5"/>
        <v>0.10719696317476614</v>
      </c>
      <c r="BO11" s="256"/>
      <c r="BP11" s="256"/>
      <c r="BQ11" s="256"/>
      <c r="BR11" s="256"/>
      <c r="BS11" s="256"/>
      <c r="BT11" s="256"/>
      <c r="BU11" s="256"/>
      <c r="BV11" s="256"/>
      <c r="BW11" s="256"/>
      <c r="BX11" s="256"/>
      <c r="BY11" s="256"/>
      <c r="BZ11" s="256"/>
      <c r="CA11" s="257"/>
      <c r="CB11" s="257"/>
      <c r="CC11" s="257"/>
      <c r="CD11" s="257"/>
      <c r="CE11" s="257"/>
      <c r="CF11" s="257"/>
      <c r="CG11" s="257"/>
      <c r="CH11" s="257"/>
      <c r="CI11" s="257"/>
      <c r="CJ11" s="257"/>
      <c r="CK11" s="257"/>
      <c r="CL11" s="257"/>
    </row>
    <row r="12" spans="1:242" s="168" customFormat="1" x14ac:dyDescent="0.15">
      <c r="A12" s="255"/>
      <c r="B12" s="39"/>
      <c r="C12" s="39"/>
      <c r="D12" s="39" t="s">
        <v>338</v>
      </c>
      <c r="E12" s="39"/>
      <c r="F12" s="39" t="s">
        <v>174</v>
      </c>
      <c r="G12" s="256">
        <f ca="1">OFFSET(SAP_Leadsheet!$D$18,0,SAP_Spreadsheet!G6)</f>
        <v>2.4514721065959501E-2</v>
      </c>
      <c r="H12" s="256">
        <f ca="1">OFFSET(SAP_Leadsheet!$D$18,0,SAP_Spreadsheet!H6)</f>
        <v>2.4514721065959501E-2</v>
      </c>
      <c r="I12" s="256">
        <f ca="1">OFFSET(SAP_Leadsheet!$D$18,0,SAP_Spreadsheet!I6)</f>
        <v>2.4514721065959501E-2</v>
      </c>
      <c r="J12" s="256">
        <f ca="1">OFFSET(SAP_Leadsheet!$D$18,0,SAP_Spreadsheet!J6)</f>
        <v>2.4514721065959501E-2</v>
      </c>
      <c r="K12" s="256">
        <f ca="1">OFFSET(SAP_Leadsheet!$D$18,0,SAP_Spreadsheet!K6)</f>
        <v>2.4514721065959501E-2</v>
      </c>
      <c r="L12" s="256">
        <f ca="1">OFFSET(SAP_Leadsheet!$D$18,0,SAP_Spreadsheet!L6)</f>
        <v>2.4514721065959501E-2</v>
      </c>
      <c r="M12" s="256">
        <f ca="1">OFFSET(SAP_Leadsheet!$D$18,0,SAP_Spreadsheet!M6)</f>
        <v>2.4514721065959501E-2</v>
      </c>
      <c r="N12" s="256">
        <f ca="1">OFFSET(SAP_Leadsheet!$D$18,0,SAP_Spreadsheet!N6)</f>
        <v>2.4514721065959501E-2</v>
      </c>
      <c r="O12" s="256">
        <f ca="1">OFFSET(SAP_Leadsheet!$D$18,0,SAP_Spreadsheet!O6)</f>
        <v>2.4514721065959501E-2</v>
      </c>
      <c r="P12" s="256">
        <f ca="1">OFFSET(SAP_Leadsheet!$D$18,0,SAP_Spreadsheet!P6)</f>
        <v>2.4514721065959501E-2</v>
      </c>
      <c r="Q12" s="256">
        <f ca="1">OFFSET(SAP_Leadsheet!$D$18,0,SAP_Spreadsheet!Q6)</f>
        <v>2.4514721065959501E-2</v>
      </c>
      <c r="R12" s="256">
        <f ca="1">OFFSET(SAP_Leadsheet!$D$18,0,SAP_Spreadsheet!R6)</f>
        <v>2.4514721065959501E-2</v>
      </c>
      <c r="S12" s="256">
        <f ca="1">OFFSET(SAP_Leadsheet!$D$18,0,SAP_Spreadsheet!S6)</f>
        <v>9.618708632663486E-3</v>
      </c>
      <c r="T12" s="256">
        <f ca="1">OFFSET(SAP_Leadsheet!$D$18,0,SAP_Spreadsheet!T6)</f>
        <v>9.618708632663486E-3</v>
      </c>
      <c r="U12" s="256">
        <f ca="1">OFFSET(SAP_Leadsheet!$D$18,0,SAP_Spreadsheet!U6)</f>
        <v>9.618708632663486E-3</v>
      </c>
      <c r="V12" s="256">
        <f ca="1">OFFSET(SAP_Leadsheet!$D$18,0,SAP_Spreadsheet!V6)</f>
        <v>9.618708632663486E-3</v>
      </c>
      <c r="W12" s="256">
        <f ca="1">OFFSET(SAP_Leadsheet!$D$18,0,SAP_Spreadsheet!W6)</f>
        <v>9.618708632663486E-3</v>
      </c>
      <c r="X12" s="256">
        <f ca="1">OFFSET(SAP_Leadsheet!$D$18,0,SAP_Spreadsheet!X6)</f>
        <v>9.618708632663486E-3</v>
      </c>
      <c r="Y12" s="256">
        <f ca="1">OFFSET(SAP_Leadsheet!$D$18,0,SAP_Spreadsheet!Y6)</f>
        <v>9.618708632663486E-3</v>
      </c>
      <c r="Z12" s="256">
        <f ca="1">OFFSET(SAP_Leadsheet!$D$18,0,SAP_Spreadsheet!Z6)</f>
        <v>9.618708632663486E-3</v>
      </c>
      <c r="AA12" s="256">
        <f ca="1">OFFSET(SAP_Leadsheet!$D$18,0,SAP_Spreadsheet!AA6)</f>
        <v>9.618708632663486E-3</v>
      </c>
      <c r="AB12" s="256">
        <f ca="1">OFFSET(SAP_Leadsheet!$D$18,0,SAP_Spreadsheet!AB6)</f>
        <v>9.618708632663486E-3</v>
      </c>
      <c r="AC12" s="256">
        <f ca="1">OFFSET(SAP_Leadsheet!$D$18,0,SAP_Spreadsheet!AC6)</f>
        <v>9.618708632663486E-3</v>
      </c>
      <c r="AD12" s="256">
        <f ca="1">OFFSET(SAP_Leadsheet!$D$18,0,SAP_Spreadsheet!AD6)</f>
        <v>9.618708632663486E-3</v>
      </c>
      <c r="AE12" s="256">
        <f ca="1">OFFSET(SAP_Leadsheet!$D$18,0,SAP_Spreadsheet!AE6)</f>
        <v>5.8085881035963094E-3</v>
      </c>
      <c r="AF12" s="256">
        <f ca="1">OFFSET(SAP_Leadsheet!$D$18,0,SAP_Spreadsheet!AF6)</f>
        <v>5.8085881035963094E-3</v>
      </c>
      <c r="AG12" s="256">
        <f ca="1">OFFSET(SAP_Leadsheet!$D$18,0,SAP_Spreadsheet!AG6)</f>
        <v>5.8085881035963094E-3</v>
      </c>
      <c r="AH12" s="256">
        <f ca="1">OFFSET(SAP_Leadsheet!$D$18,0,SAP_Spreadsheet!AH6)</f>
        <v>5.8085881035963094E-3</v>
      </c>
      <c r="AI12" s="256">
        <f ca="1">OFFSET(SAP_Leadsheet!$D$18,0,SAP_Spreadsheet!AI6)</f>
        <v>5.8085881035963094E-3</v>
      </c>
      <c r="AJ12" s="256">
        <f ca="1">OFFSET(SAP_Leadsheet!$D$18,0,SAP_Spreadsheet!AJ6)</f>
        <v>5.8085881035963094E-3</v>
      </c>
      <c r="AK12" s="256">
        <f ca="1">OFFSET(SAP_Leadsheet!$D$18,0,SAP_Spreadsheet!AK6)</f>
        <v>5.8085881035963094E-3</v>
      </c>
      <c r="AL12" s="256">
        <f ca="1">OFFSET(SAP_Leadsheet!$D$18,0,SAP_Spreadsheet!AL6)</f>
        <v>5.8085881035963094E-3</v>
      </c>
      <c r="AM12" s="256">
        <f ca="1">OFFSET(SAP_Leadsheet!$D$18,0,SAP_Spreadsheet!AM6)</f>
        <v>5.8085881035963094E-3</v>
      </c>
      <c r="AN12" s="256">
        <f ca="1">OFFSET(SAP_Leadsheet!$D$18,0,SAP_Spreadsheet!AN6)</f>
        <v>5.8085881035963094E-3</v>
      </c>
      <c r="AO12" s="256">
        <f ca="1">OFFSET(SAP_Leadsheet!$D$18,0,SAP_Spreadsheet!AO6)</f>
        <v>5.8085881035963094E-3</v>
      </c>
      <c r="AP12" s="256">
        <f ca="1">OFFSET(SAP_Leadsheet!$D$18,0,SAP_Spreadsheet!AP6)</f>
        <v>5.8085881035963094E-3</v>
      </c>
      <c r="AQ12" s="256">
        <f ca="1">OFFSET(SAP_Leadsheet!$D$18,0,SAP_Spreadsheet!AQ6)</f>
        <v>4.4311984436643448E-3</v>
      </c>
      <c r="AR12" s="256">
        <f ca="1">OFFSET(SAP_Leadsheet!$D$18,0,SAP_Spreadsheet!AR6)</f>
        <v>4.4311984436643448E-3</v>
      </c>
      <c r="AS12" s="256">
        <f ca="1">OFFSET(SAP_Leadsheet!$D$18,0,SAP_Spreadsheet!AS6)</f>
        <v>4.4311984436643448E-3</v>
      </c>
      <c r="AT12" s="256">
        <f ca="1">OFFSET(SAP_Leadsheet!$D$18,0,SAP_Spreadsheet!AT6)</f>
        <v>4.4311984436643448E-3</v>
      </c>
      <c r="AU12" s="256">
        <f ca="1">OFFSET(SAP_Leadsheet!$D$18,0,SAP_Spreadsheet!AU6)</f>
        <v>4.4311984436643448E-3</v>
      </c>
      <c r="AV12" s="256">
        <f ca="1">OFFSET(SAP_Leadsheet!$D$18,0,SAP_Spreadsheet!AV6)</f>
        <v>4.4311984436643448E-3</v>
      </c>
      <c r="AW12" s="256">
        <f ca="1">OFFSET(SAP_Leadsheet!$D$18,0,SAP_Spreadsheet!AW6)</f>
        <v>4.4311984436643448E-3</v>
      </c>
      <c r="AX12" s="256">
        <f ca="1">OFFSET(SAP_Leadsheet!$D$18,0,SAP_Spreadsheet!AX6)</f>
        <v>4.4311984436643448E-3</v>
      </c>
      <c r="AY12" s="256">
        <f ca="1">OFFSET(SAP_Leadsheet!$D$18,0,SAP_Spreadsheet!AY6)</f>
        <v>4.4311984436643448E-3</v>
      </c>
      <c r="AZ12" s="256">
        <f ca="1">OFFSET(SAP_Leadsheet!$D$18,0,SAP_Spreadsheet!AZ6)</f>
        <v>4.4311984436643448E-3</v>
      </c>
      <c r="BA12" s="256">
        <f ca="1">OFFSET(SAP_Leadsheet!$D$18,0,SAP_Spreadsheet!BA6)</f>
        <v>4.4311984436643448E-3</v>
      </c>
      <c r="BB12" s="256">
        <f ca="1">OFFSET(SAP_Leadsheet!$D$18,0,SAP_Spreadsheet!BB6)</f>
        <v>4.4311984436643448E-3</v>
      </c>
      <c r="BC12" s="256">
        <f ca="1">OFFSET(SAP_Leadsheet!$D$18,0,SAP_Spreadsheet!BC6)</f>
        <v>4.1467976654965171E-3</v>
      </c>
      <c r="BD12" s="256">
        <f ca="1">OFFSET(SAP_Leadsheet!$D$18,0,SAP_Spreadsheet!BD6)</f>
        <v>4.1467976654965171E-3</v>
      </c>
      <c r="BE12" s="256">
        <f ca="1">OFFSET(SAP_Leadsheet!$D$18,0,SAP_Spreadsheet!BE6)</f>
        <v>4.1467976654965171E-3</v>
      </c>
      <c r="BF12" s="256">
        <f ca="1">OFFSET(SAP_Leadsheet!$D$18,0,SAP_Spreadsheet!BF6)</f>
        <v>4.1467976654965171E-3</v>
      </c>
      <c r="BG12" s="256">
        <f ca="1">OFFSET(SAP_Leadsheet!$D$18,0,SAP_Spreadsheet!BG6)</f>
        <v>4.1467976654965171E-3</v>
      </c>
      <c r="BH12" s="256">
        <f ca="1">OFFSET(SAP_Leadsheet!$D$18,0,SAP_Spreadsheet!BH6)</f>
        <v>4.1467976654965171E-3</v>
      </c>
      <c r="BI12" s="256">
        <f ca="1">OFFSET(SAP_Leadsheet!$D$18,0,SAP_Spreadsheet!BI6)</f>
        <v>4.1467976654965171E-3</v>
      </c>
      <c r="BJ12" s="256">
        <f ca="1">OFFSET(SAP_Leadsheet!$D$18,0,SAP_Spreadsheet!BJ6)</f>
        <v>4.1467976654965171E-3</v>
      </c>
      <c r="BK12" s="256">
        <f ca="1">OFFSET(SAP_Leadsheet!$D$18,0,SAP_Spreadsheet!BK6)</f>
        <v>4.1467976654965171E-3</v>
      </c>
      <c r="BL12" s="256">
        <f ca="1">OFFSET(SAP_Leadsheet!$D$18,0,SAP_Spreadsheet!BL6)</f>
        <v>4.1467976654965171E-3</v>
      </c>
      <c r="BM12" s="256">
        <f ca="1">OFFSET(SAP_Leadsheet!$D$18,0,SAP_Spreadsheet!BM6)</f>
        <v>4.1467976654965171E-3</v>
      </c>
      <c r="BN12" s="256">
        <f ca="1">OFFSET(SAP_Leadsheet!$D$18,0,SAP_Spreadsheet!BN6)</f>
        <v>4.1467976654965171E-3</v>
      </c>
      <c r="BO12" s="256"/>
      <c r="BP12" s="256"/>
      <c r="BQ12" s="256"/>
      <c r="BR12" s="256"/>
      <c r="BS12" s="256"/>
      <c r="BT12" s="256"/>
      <c r="BU12" s="256"/>
      <c r="BV12" s="256"/>
      <c r="BW12" s="256"/>
      <c r="BX12" s="256"/>
      <c r="BY12" s="256"/>
      <c r="BZ12" s="256"/>
      <c r="CA12" s="257"/>
      <c r="CB12" s="257"/>
      <c r="CC12" s="257"/>
      <c r="CD12" s="257"/>
      <c r="CE12" s="257"/>
      <c r="CF12" s="257"/>
      <c r="CG12" s="257"/>
      <c r="CH12" s="257"/>
      <c r="CI12" s="257"/>
      <c r="CJ12" s="257"/>
      <c r="CK12" s="257"/>
      <c r="CL12" s="257"/>
    </row>
    <row r="13" spans="1:242" x14ac:dyDescent="0.15">
      <c r="D13" s="258"/>
      <c r="G13" s="253"/>
      <c r="H13" s="253"/>
      <c r="I13" s="253"/>
      <c r="J13" s="253"/>
      <c r="K13" s="253"/>
      <c r="L13" s="253"/>
      <c r="M13" s="253"/>
      <c r="N13" s="253"/>
      <c r="O13" s="253"/>
      <c r="P13" s="253"/>
      <c r="Q13" s="253"/>
      <c r="R13" s="253"/>
      <c r="S13" s="253"/>
      <c r="T13" s="253"/>
      <c r="U13" s="253"/>
      <c r="V13" s="253"/>
      <c r="W13" s="253"/>
      <c r="X13" s="253"/>
      <c r="Y13" s="253"/>
      <c r="Z13" s="253"/>
      <c r="AA13" s="253"/>
      <c r="AB13" s="253"/>
      <c r="AC13" s="253"/>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3"/>
      <c r="BA13" s="253"/>
      <c r="BB13" s="253"/>
      <c r="BC13" s="253"/>
      <c r="BD13" s="253"/>
      <c r="BE13" s="253"/>
      <c r="BF13" s="253"/>
      <c r="BG13" s="253"/>
      <c r="BH13" s="253"/>
      <c r="BI13" s="253"/>
      <c r="BJ13" s="253"/>
      <c r="BK13" s="253"/>
      <c r="BL13" s="253"/>
      <c r="BM13" s="253"/>
      <c r="BN13" s="253"/>
      <c r="BO13" s="253"/>
      <c r="BP13" s="253"/>
      <c r="BQ13" s="253"/>
      <c r="BR13" s="253"/>
      <c r="BS13" s="253"/>
      <c r="BT13" s="253"/>
      <c r="BU13" s="253"/>
      <c r="BV13" s="253"/>
      <c r="BW13" s="253"/>
      <c r="BX13" s="253"/>
      <c r="BY13" s="253"/>
      <c r="BZ13" s="253"/>
      <c r="CA13" s="254"/>
      <c r="CB13" s="254"/>
      <c r="CC13" s="254"/>
      <c r="CD13" s="254"/>
      <c r="CE13" s="254"/>
      <c r="CF13" s="254"/>
      <c r="CG13" s="254"/>
      <c r="CH13" s="254"/>
      <c r="CI13" s="254"/>
      <c r="CJ13" s="254"/>
      <c r="CK13" s="254"/>
      <c r="CL13" s="254"/>
    </row>
    <row r="14" spans="1:242" x14ac:dyDescent="0.15">
      <c r="G14" s="253"/>
      <c r="H14" s="253"/>
      <c r="I14" s="253"/>
      <c r="J14" s="253"/>
      <c r="K14" s="253"/>
      <c r="L14" s="253"/>
      <c r="M14" s="253"/>
      <c r="N14" s="253"/>
      <c r="O14" s="253"/>
      <c r="P14" s="253"/>
      <c r="Q14" s="253"/>
      <c r="R14" s="253"/>
      <c r="S14" s="253"/>
      <c r="T14" s="253"/>
      <c r="U14" s="253"/>
      <c r="V14" s="253"/>
      <c r="W14" s="253"/>
      <c r="X14" s="253"/>
      <c r="Y14" s="253"/>
      <c r="Z14" s="253"/>
      <c r="AA14" s="253"/>
      <c r="AB14" s="253"/>
      <c r="AC14" s="253"/>
      <c r="AD14" s="253"/>
      <c r="AE14" s="253"/>
      <c r="AF14" s="253"/>
      <c r="AG14" s="253"/>
      <c r="AH14" s="253"/>
      <c r="AI14" s="253"/>
      <c r="AJ14" s="253"/>
      <c r="AK14" s="253"/>
      <c r="AL14" s="253"/>
      <c r="AM14" s="253"/>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3"/>
      <c r="BK14" s="253"/>
      <c r="BL14" s="253"/>
      <c r="BM14" s="253"/>
      <c r="BN14" s="253"/>
      <c r="BO14" s="253"/>
      <c r="BP14" s="253"/>
      <c r="BQ14" s="253"/>
      <c r="BR14" s="253"/>
      <c r="BS14" s="253"/>
      <c r="BT14" s="253"/>
      <c r="BU14" s="253"/>
      <c r="BV14" s="253"/>
      <c r="BW14" s="253"/>
      <c r="BX14" s="253"/>
      <c r="BY14" s="253"/>
      <c r="BZ14" s="253"/>
      <c r="CA14" s="121"/>
      <c r="CB14" s="121"/>
      <c r="CC14" s="121"/>
      <c r="CD14" s="121"/>
      <c r="CE14" s="121"/>
      <c r="CF14" s="121"/>
      <c r="CG14" s="121"/>
      <c r="CH14" s="121"/>
      <c r="CI14" s="121"/>
      <c r="CJ14" s="121"/>
      <c r="CK14" s="121"/>
      <c r="CL14" s="121"/>
    </row>
    <row r="15" spans="1:242" x14ac:dyDescent="0.15">
      <c r="C15" s="23" t="s">
        <v>339</v>
      </c>
      <c r="D15" s="26" t="s">
        <v>340</v>
      </c>
      <c r="F15" s="26" t="s">
        <v>341</v>
      </c>
      <c r="G15" s="253">
        <f ca="1">OFFSET(SAP_Leadsheet!$E$25,0,SAP_Spreadsheet!G6-1)</f>
        <v>0.68778008426528714</v>
      </c>
      <c r="H15" s="253">
        <f ca="1">OFFSET(SAP_Leadsheet!$E$25,0,SAP_Spreadsheet!H6-1)</f>
        <v>0.68778008426528714</v>
      </c>
      <c r="I15" s="253">
        <f ca="1">OFFSET(SAP_Leadsheet!$E$25,0,SAP_Spreadsheet!I6-1)</f>
        <v>0.68778008426528714</v>
      </c>
      <c r="J15" s="253">
        <f ca="1">OFFSET(SAP_Leadsheet!$E$25,0,SAP_Spreadsheet!J6-1)</f>
        <v>0.68778008426528714</v>
      </c>
      <c r="K15" s="253">
        <f ca="1">OFFSET(SAP_Leadsheet!$E$25,0,SAP_Spreadsheet!K6-1)</f>
        <v>0.68778008426528714</v>
      </c>
      <c r="L15" s="253">
        <f ca="1">OFFSET(SAP_Leadsheet!$E$25,0,SAP_Spreadsheet!L6-1)</f>
        <v>0.68778008426528714</v>
      </c>
      <c r="M15" s="253">
        <f ca="1">OFFSET(SAP_Leadsheet!$E$25,0,SAP_Spreadsheet!M6-1)</f>
        <v>0.68778008426528714</v>
      </c>
      <c r="N15" s="253">
        <f ca="1">OFFSET(SAP_Leadsheet!$E$25,0,SAP_Spreadsheet!N6-1)</f>
        <v>0.68778008426528714</v>
      </c>
      <c r="O15" s="253">
        <f ca="1">OFFSET(SAP_Leadsheet!$E$25,0,SAP_Spreadsheet!O6-1)</f>
        <v>0.68778008426528714</v>
      </c>
      <c r="P15" s="253">
        <f ca="1">OFFSET(SAP_Leadsheet!$E$25,0,SAP_Spreadsheet!P6-1)</f>
        <v>0.68778008426528714</v>
      </c>
      <c r="Q15" s="253">
        <f ca="1">OFFSET(SAP_Leadsheet!$E$25,0,SAP_Spreadsheet!Q6-1)</f>
        <v>0.68778008426528714</v>
      </c>
      <c r="R15" s="253">
        <f ca="1">OFFSET(SAP_Leadsheet!$E$25,0,SAP_Spreadsheet!R6-1)</f>
        <v>0.68778008426528714</v>
      </c>
      <c r="S15" s="253">
        <f ca="1">OFFSET(SAP_Leadsheet!$E$25,0,SAP_Spreadsheet!S6-1)</f>
        <v>0.68778008426528714</v>
      </c>
      <c r="T15" s="253">
        <f ca="1">OFFSET(SAP_Leadsheet!$E$25,0,SAP_Spreadsheet!T6-1)</f>
        <v>0.68778008426528714</v>
      </c>
      <c r="U15" s="253">
        <f ca="1">OFFSET(SAP_Leadsheet!$E$25,0,SAP_Spreadsheet!U6-1)</f>
        <v>0.68778008426528714</v>
      </c>
      <c r="V15" s="253">
        <f ca="1">OFFSET(SAP_Leadsheet!$E$25,0,SAP_Spreadsheet!V6-1)</f>
        <v>0.68778008426528714</v>
      </c>
      <c r="W15" s="253">
        <f ca="1">OFFSET(SAP_Leadsheet!$E$25,0,SAP_Spreadsheet!W6-1)</f>
        <v>0.68778008426528714</v>
      </c>
      <c r="X15" s="253">
        <f ca="1">OFFSET(SAP_Leadsheet!$E$25,0,SAP_Spreadsheet!X6-1)</f>
        <v>0.68778008426528714</v>
      </c>
      <c r="Y15" s="253">
        <f ca="1">OFFSET(SAP_Leadsheet!$E$25,0,SAP_Spreadsheet!Y6-1)</f>
        <v>0.68778008426528714</v>
      </c>
      <c r="Z15" s="253">
        <f ca="1">OFFSET(SAP_Leadsheet!$E$25,0,SAP_Spreadsheet!Z6-1)</f>
        <v>0.68778008426528714</v>
      </c>
      <c r="AA15" s="253">
        <f ca="1">OFFSET(SAP_Leadsheet!$E$25,0,SAP_Spreadsheet!AA6-1)</f>
        <v>0.68778008426528714</v>
      </c>
      <c r="AB15" s="253">
        <f ca="1">OFFSET(SAP_Leadsheet!$E$25,0,SAP_Spreadsheet!AB6-1)</f>
        <v>0.68778008426528714</v>
      </c>
      <c r="AC15" s="253">
        <f ca="1">OFFSET(SAP_Leadsheet!$E$25,0,SAP_Spreadsheet!AC6-1)</f>
        <v>0.68778008426528714</v>
      </c>
      <c r="AD15" s="253">
        <f ca="1">OFFSET(SAP_Leadsheet!$E$25,0,SAP_Spreadsheet!AD6-1)</f>
        <v>0.68778008426528714</v>
      </c>
      <c r="AE15" s="253">
        <f ca="1">OFFSET(SAP_Leadsheet!$E$25,0,SAP_Spreadsheet!AE6-1)</f>
        <v>0.84420051225759229</v>
      </c>
      <c r="AF15" s="253">
        <f ca="1">OFFSET(SAP_Leadsheet!$E$25,0,SAP_Spreadsheet!AF6-1)</f>
        <v>0.84420051225759229</v>
      </c>
      <c r="AG15" s="253">
        <f ca="1">OFFSET(SAP_Leadsheet!$E$25,0,SAP_Spreadsheet!AG6-1)</f>
        <v>0.84420051225759229</v>
      </c>
      <c r="AH15" s="253">
        <f ca="1">OFFSET(SAP_Leadsheet!$E$25,0,SAP_Spreadsheet!AH6-1)</f>
        <v>0.84420051225759229</v>
      </c>
      <c r="AI15" s="253">
        <f ca="1">OFFSET(SAP_Leadsheet!$E$25,0,SAP_Spreadsheet!AI6-1)</f>
        <v>0.84420051225759229</v>
      </c>
      <c r="AJ15" s="253">
        <f ca="1">OFFSET(SAP_Leadsheet!$E$25,0,SAP_Spreadsheet!AJ6-1)</f>
        <v>0.84420051225759229</v>
      </c>
      <c r="AK15" s="253">
        <f ca="1">OFFSET(SAP_Leadsheet!$E$25,0,SAP_Spreadsheet!AK6-1)</f>
        <v>0.84420051225759229</v>
      </c>
      <c r="AL15" s="253">
        <f ca="1">OFFSET(SAP_Leadsheet!$E$25,0,SAP_Spreadsheet!AL6-1)</f>
        <v>0.84420051225759229</v>
      </c>
      <c r="AM15" s="253">
        <f ca="1">OFFSET(SAP_Leadsheet!$E$25,0,SAP_Spreadsheet!AM6-1)</f>
        <v>0.84420051225759229</v>
      </c>
      <c r="AN15" s="253">
        <f ca="1">OFFSET(SAP_Leadsheet!$E$25,0,SAP_Spreadsheet!AN6-1)</f>
        <v>0.84420051225759229</v>
      </c>
      <c r="AO15" s="253">
        <f ca="1">OFFSET(SAP_Leadsheet!$E$25,0,SAP_Spreadsheet!AO6-1)</f>
        <v>0.84420051225759229</v>
      </c>
      <c r="AP15" s="253">
        <f ca="1">OFFSET(SAP_Leadsheet!$E$25,0,SAP_Spreadsheet!AP6-1)</f>
        <v>0.84420051225759229</v>
      </c>
      <c r="AQ15" s="253">
        <f ca="1">OFFSET(SAP_Leadsheet!$E$25,0,SAP_Spreadsheet!AQ6-1)</f>
        <v>0.84420051225759229</v>
      </c>
      <c r="AR15" s="253">
        <f ca="1">OFFSET(SAP_Leadsheet!$E$25,0,SAP_Spreadsheet!AR6-1)</f>
        <v>0.84420051225759229</v>
      </c>
      <c r="AS15" s="253">
        <f ca="1">OFFSET(SAP_Leadsheet!$E$25,0,SAP_Spreadsheet!AS6-1)</f>
        <v>0.84420051225759229</v>
      </c>
      <c r="AT15" s="253">
        <f ca="1">OFFSET(SAP_Leadsheet!$E$25,0,SAP_Spreadsheet!AT6-1)</f>
        <v>0.84420051225759229</v>
      </c>
      <c r="AU15" s="253">
        <f ca="1">OFFSET(SAP_Leadsheet!$E$25,0,SAP_Spreadsheet!AU6-1)</f>
        <v>0.84420051225759229</v>
      </c>
      <c r="AV15" s="253">
        <f ca="1">OFFSET(SAP_Leadsheet!$E$25,0,SAP_Spreadsheet!AV6-1)</f>
        <v>0.84420051225759229</v>
      </c>
      <c r="AW15" s="253">
        <f ca="1">OFFSET(SAP_Leadsheet!$E$25,0,SAP_Spreadsheet!AW6-1)</f>
        <v>0.84420051225759229</v>
      </c>
      <c r="AX15" s="253">
        <f ca="1">OFFSET(SAP_Leadsheet!$E$25,0,SAP_Spreadsheet!AX6-1)</f>
        <v>0.84420051225759229</v>
      </c>
      <c r="AY15" s="253">
        <f ca="1">OFFSET(SAP_Leadsheet!$E$25,0,SAP_Spreadsheet!AY6-1)</f>
        <v>0.84420051225759229</v>
      </c>
      <c r="AZ15" s="253">
        <f ca="1">OFFSET(SAP_Leadsheet!$E$25,0,SAP_Spreadsheet!AZ6-1)</f>
        <v>0.84420051225759229</v>
      </c>
      <c r="BA15" s="253">
        <f ca="1">OFFSET(SAP_Leadsheet!$E$25,0,SAP_Spreadsheet!BA6-1)</f>
        <v>0.84420051225759229</v>
      </c>
      <c r="BB15" s="253">
        <f ca="1">OFFSET(SAP_Leadsheet!$E$25,0,SAP_Spreadsheet!BB6-1)</f>
        <v>0.84420051225759229</v>
      </c>
      <c r="BC15" s="253">
        <f ca="1">OFFSET(SAP_Leadsheet!$E$25,0,SAP_Spreadsheet!BC6-1)</f>
        <v>0.84420051225759229</v>
      </c>
      <c r="BD15" s="253">
        <f ca="1">OFFSET(SAP_Leadsheet!$E$25,0,SAP_Spreadsheet!BD6-1)</f>
        <v>0.84420051225759229</v>
      </c>
      <c r="BE15" s="253">
        <f ca="1">OFFSET(SAP_Leadsheet!$E$25,0,SAP_Spreadsheet!BE6-1)</f>
        <v>0.84420051225759229</v>
      </c>
      <c r="BF15" s="253">
        <f ca="1">OFFSET(SAP_Leadsheet!$E$25,0,SAP_Spreadsheet!BF6-1)</f>
        <v>0.84420051225759229</v>
      </c>
      <c r="BG15" s="253">
        <f ca="1">OFFSET(SAP_Leadsheet!$E$25,0,SAP_Spreadsheet!BG6-1)</f>
        <v>0.84420051225759229</v>
      </c>
      <c r="BH15" s="253">
        <f ca="1">OFFSET(SAP_Leadsheet!$E$25,0,SAP_Spreadsheet!BH6-1)</f>
        <v>0.84420051225759229</v>
      </c>
      <c r="BI15" s="253">
        <f ca="1">OFFSET(SAP_Leadsheet!$E$25,0,SAP_Spreadsheet!BI6-1)</f>
        <v>0.84420051225759229</v>
      </c>
      <c r="BJ15" s="253">
        <f ca="1">OFFSET(SAP_Leadsheet!$E$25,0,SAP_Spreadsheet!BJ6-1)</f>
        <v>0.84420051225759229</v>
      </c>
      <c r="BK15" s="253">
        <f ca="1">OFFSET(SAP_Leadsheet!$E$25,0,SAP_Spreadsheet!BK6-1)</f>
        <v>0.84420051225759229</v>
      </c>
      <c r="BL15" s="253">
        <f ca="1">OFFSET(SAP_Leadsheet!$E$25,0,SAP_Spreadsheet!BL6-1)</f>
        <v>0.84420051225759229</v>
      </c>
      <c r="BM15" s="253">
        <f ca="1">OFFSET(SAP_Leadsheet!$E$25,0,SAP_Spreadsheet!BM6-1)</f>
        <v>0.84420051225759229</v>
      </c>
      <c r="BN15" s="253">
        <f ca="1">OFFSET(SAP_Leadsheet!$E$25,0,SAP_Spreadsheet!BN6-1)</f>
        <v>0.84420051225759229</v>
      </c>
      <c r="BO15" s="253"/>
      <c r="BP15" s="253"/>
      <c r="BQ15" s="253"/>
      <c r="BR15" s="253"/>
      <c r="BS15" s="253"/>
      <c r="BT15" s="253"/>
      <c r="BU15" s="253"/>
      <c r="BV15" s="253"/>
      <c r="BW15" s="253"/>
      <c r="BX15" s="253"/>
      <c r="BY15" s="253"/>
      <c r="BZ15" s="253"/>
      <c r="CA15" s="254"/>
      <c r="CB15" s="254"/>
      <c r="CC15" s="254"/>
      <c r="CD15" s="254"/>
      <c r="CE15" s="254"/>
      <c r="CF15" s="254"/>
      <c r="CG15" s="254"/>
      <c r="CH15" s="254"/>
      <c r="CI15" s="254"/>
      <c r="CJ15" s="254"/>
      <c r="CK15" s="254"/>
      <c r="CL15" s="254"/>
    </row>
    <row r="16" spans="1:242" x14ac:dyDescent="0.15">
      <c r="B16" s="23"/>
      <c r="D16" s="259"/>
      <c r="G16" s="253"/>
      <c r="H16" s="253"/>
      <c r="I16" s="253"/>
      <c r="J16" s="253"/>
      <c r="K16" s="253"/>
      <c r="L16" s="253"/>
      <c r="M16" s="253"/>
      <c r="N16" s="253"/>
      <c r="O16" s="253"/>
      <c r="P16" s="253"/>
      <c r="Q16" s="253"/>
      <c r="R16" s="253"/>
      <c r="S16" s="253"/>
      <c r="T16" s="253"/>
      <c r="U16" s="253"/>
      <c r="V16" s="253"/>
      <c r="W16" s="253"/>
      <c r="X16" s="253"/>
      <c r="Y16" s="253"/>
      <c r="Z16" s="253"/>
      <c r="AA16" s="253"/>
      <c r="AB16" s="253"/>
      <c r="AC16" s="253"/>
      <c r="AD16" s="253"/>
      <c r="AE16" s="253"/>
      <c r="AF16" s="253"/>
      <c r="AG16" s="253"/>
      <c r="AH16" s="253"/>
      <c r="AI16" s="253"/>
      <c r="AJ16" s="253"/>
      <c r="AK16" s="253"/>
      <c r="AL16" s="253"/>
      <c r="AM16" s="253"/>
      <c r="AN16" s="253"/>
      <c r="AO16" s="253"/>
      <c r="AP16" s="253"/>
      <c r="AQ16" s="253"/>
      <c r="AR16" s="253"/>
      <c r="AS16" s="253"/>
      <c r="AT16" s="253"/>
      <c r="AU16" s="253"/>
      <c r="AV16" s="253"/>
      <c r="AW16" s="253"/>
      <c r="AX16" s="253"/>
      <c r="AY16" s="253"/>
      <c r="AZ16" s="253"/>
      <c r="BA16" s="253"/>
      <c r="BB16" s="253"/>
      <c r="BC16" s="253"/>
      <c r="BD16" s="253"/>
      <c r="BE16" s="253"/>
      <c r="BF16" s="253"/>
      <c r="BG16" s="253"/>
      <c r="BH16" s="253"/>
      <c r="BI16" s="253"/>
      <c r="BJ16" s="253"/>
      <c r="BK16" s="253"/>
      <c r="BL16" s="253"/>
      <c r="BM16" s="253"/>
      <c r="BN16" s="253"/>
      <c r="BO16" s="253"/>
      <c r="BP16" s="253"/>
      <c r="BQ16" s="253"/>
      <c r="BR16" s="253"/>
      <c r="BS16" s="253"/>
      <c r="BT16" s="253"/>
      <c r="BU16" s="253"/>
      <c r="BV16" s="253"/>
      <c r="BW16" s="253"/>
      <c r="BX16" s="253"/>
      <c r="BY16" s="253"/>
      <c r="BZ16" s="253"/>
      <c r="CA16" s="254"/>
      <c r="CB16" s="254"/>
      <c r="CC16" s="254"/>
      <c r="CD16" s="254"/>
      <c r="CE16" s="254"/>
      <c r="CF16" s="254"/>
      <c r="CG16" s="254"/>
      <c r="CH16" s="254"/>
      <c r="CI16" s="254"/>
      <c r="CJ16" s="254"/>
      <c r="CK16" s="254"/>
      <c r="CL16" s="254"/>
    </row>
    <row r="17" spans="1:90" x14ac:dyDescent="0.15">
      <c r="B17" s="23"/>
      <c r="D17" s="28" t="s">
        <v>342</v>
      </c>
      <c r="F17" s="26" t="s">
        <v>174</v>
      </c>
      <c r="G17" s="260">
        <v>1</v>
      </c>
      <c r="H17" s="260">
        <v>1</v>
      </c>
      <c r="I17" s="260">
        <v>1</v>
      </c>
      <c r="J17" s="260">
        <v>1</v>
      </c>
      <c r="K17" s="260">
        <v>1</v>
      </c>
      <c r="L17" s="260">
        <v>1</v>
      </c>
      <c r="M17" s="260">
        <v>1</v>
      </c>
      <c r="N17" s="260">
        <v>1</v>
      </c>
      <c r="O17" s="260">
        <v>1</v>
      </c>
      <c r="P17" s="260">
        <v>1</v>
      </c>
      <c r="Q17" s="260">
        <v>1</v>
      </c>
      <c r="R17" s="260">
        <v>1</v>
      </c>
      <c r="S17" s="260">
        <v>1</v>
      </c>
      <c r="T17" s="260">
        <v>1</v>
      </c>
      <c r="U17" s="260">
        <v>1</v>
      </c>
      <c r="V17" s="260">
        <v>1</v>
      </c>
      <c r="W17" s="260">
        <v>1</v>
      </c>
      <c r="X17" s="260">
        <v>1</v>
      </c>
      <c r="Y17" s="260">
        <v>1</v>
      </c>
      <c r="Z17" s="260">
        <v>1</v>
      </c>
      <c r="AA17" s="260">
        <v>1</v>
      </c>
      <c r="AB17" s="260">
        <v>1</v>
      </c>
      <c r="AC17" s="260">
        <v>1</v>
      </c>
      <c r="AD17" s="260">
        <v>1</v>
      </c>
      <c r="AE17" s="260">
        <v>1</v>
      </c>
      <c r="AF17" s="260">
        <v>1</v>
      </c>
      <c r="AG17" s="260">
        <v>1</v>
      </c>
      <c r="AH17" s="260">
        <v>1</v>
      </c>
      <c r="AI17" s="260">
        <v>1</v>
      </c>
      <c r="AJ17" s="260">
        <v>1</v>
      </c>
      <c r="AK17" s="260">
        <v>1</v>
      </c>
      <c r="AL17" s="260">
        <v>1</v>
      </c>
      <c r="AM17" s="260">
        <v>1</v>
      </c>
      <c r="AN17" s="260">
        <v>1</v>
      </c>
      <c r="AO17" s="260">
        <v>1</v>
      </c>
      <c r="AP17" s="260">
        <v>1</v>
      </c>
      <c r="AQ17" s="260">
        <v>1</v>
      </c>
      <c r="AR17" s="260">
        <v>1</v>
      </c>
      <c r="AS17" s="260">
        <v>1</v>
      </c>
      <c r="AT17" s="260">
        <v>1</v>
      </c>
      <c r="AU17" s="260">
        <v>1</v>
      </c>
      <c r="AV17" s="260">
        <v>1</v>
      </c>
      <c r="AW17" s="260">
        <v>1</v>
      </c>
      <c r="AX17" s="260">
        <v>1</v>
      </c>
      <c r="AY17" s="260">
        <v>1</v>
      </c>
      <c r="AZ17" s="260">
        <v>1</v>
      </c>
      <c r="BA17" s="260">
        <v>1</v>
      </c>
      <c r="BB17" s="260">
        <v>1</v>
      </c>
      <c r="BC17" s="260">
        <v>1</v>
      </c>
      <c r="BD17" s="260">
        <v>1</v>
      </c>
      <c r="BE17" s="260">
        <v>1</v>
      </c>
      <c r="BF17" s="260">
        <v>1</v>
      </c>
      <c r="BG17" s="260">
        <v>1</v>
      </c>
      <c r="BH17" s="260">
        <v>1</v>
      </c>
      <c r="BI17" s="260">
        <v>1</v>
      </c>
      <c r="BJ17" s="260">
        <v>1</v>
      </c>
      <c r="BK17" s="260">
        <v>1</v>
      </c>
      <c r="BL17" s="260">
        <v>1</v>
      </c>
      <c r="BM17" s="260">
        <v>1</v>
      </c>
      <c r="BN17" s="260">
        <v>1</v>
      </c>
      <c r="BO17" s="253"/>
      <c r="BP17" s="253"/>
      <c r="BQ17" s="253"/>
      <c r="BR17" s="253"/>
      <c r="BS17" s="253"/>
      <c r="BT17" s="253"/>
      <c r="BU17" s="253"/>
      <c r="BV17" s="253"/>
      <c r="BW17" s="253"/>
      <c r="BX17" s="253"/>
      <c r="BY17" s="253"/>
      <c r="BZ17" s="253"/>
      <c r="CA17" s="121"/>
      <c r="CB17" s="121"/>
      <c r="CC17" s="121"/>
      <c r="CD17" s="121"/>
      <c r="CE17" s="121"/>
      <c r="CF17" s="121"/>
      <c r="CG17" s="121"/>
      <c r="CH17" s="121"/>
      <c r="CI17" s="121"/>
      <c r="CJ17" s="121"/>
      <c r="CK17" s="121"/>
      <c r="CL17" s="121"/>
    </row>
    <row r="18" spans="1:90" x14ac:dyDescent="0.15">
      <c r="B18" s="23"/>
      <c r="D18" s="259" t="s">
        <v>343</v>
      </c>
      <c r="F18" s="26" t="s">
        <v>174</v>
      </c>
      <c r="G18" s="256">
        <f>1-G19</f>
        <v>0.48840010492494434</v>
      </c>
      <c r="H18" s="256">
        <f t="shared" ref="H18:BN18" si="6">1-H19</f>
        <v>0.48840010492494434</v>
      </c>
      <c r="I18" s="256">
        <f t="shared" si="6"/>
        <v>0.48840010492494434</v>
      </c>
      <c r="J18" s="256">
        <f t="shared" si="6"/>
        <v>0.48840010492494434</v>
      </c>
      <c r="K18" s="256">
        <f t="shared" si="6"/>
        <v>0.48840010492494434</v>
      </c>
      <c r="L18" s="256">
        <f t="shared" si="6"/>
        <v>0.48840010492494434</v>
      </c>
      <c r="M18" s="256">
        <f t="shared" si="6"/>
        <v>0.48840010492494434</v>
      </c>
      <c r="N18" s="256">
        <f t="shared" si="6"/>
        <v>0.48840010492494434</v>
      </c>
      <c r="O18" s="256">
        <f t="shared" si="6"/>
        <v>0.48840010492494434</v>
      </c>
      <c r="P18" s="256">
        <f t="shared" si="6"/>
        <v>0.48840010492494434</v>
      </c>
      <c r="Q18" s="256">
        <f t="shared" si="6"/>
        <v>0.48840010492494434</v>
      </c>
      <c r="R18" s="256">
        <f t="shared" si="6"/>
        <v>0.48840010492494434</v>
      </c>
      <c r="S18" s="256">
        <f t="shared" si="6"/>
        <v>0.48840010492494434</v>
      </c>
      <c r="T18" s="256">
        <f t="shared" si="6"/>
        <v>0.48840010492494434</v>
      </c>
      <c r="U18" s="256">
        <f t="shared" si="6"/>
        <v>0.48840010492494434</v>
      </c>
      <c r="V18" s="256">
        <f t="shared" si="6"/>
        <v>0.48840010492494434</v>
      </c>
      <c r="W18" s="256">
        <f t="shared" si="6"/>
        <v>0.48840010492494434</v>
      </c>
      <c r="X18" s="256">
        <f t="shared" si="6"/>
        <v>0.48840010492494434</v>
      </c>
      <c r="Y18" s="256">
        <f t="shared" si="6"/>
        <v>0.48840010492494434</v>
      </c>
      <c r="Z18" s="256">
        <f t="shared" si="6"/>
        <v>0.48840010492494434</v>
      </c>
      <c r="AA18" s="256">
        <f t="shared" si="6"/>
        <v>0.48840010492494434</v>
      </c>
      <c r="AB18" s="256">
        <f t="shared" si="6"/>
        <v>0.48840010492494434</v>
      </c>
      <c r="AC18" s="256">
        <f t="shared" si="6"/>
        <v>0.48840010492494434</v>
      </c>
      <c r="AD18" s="256">
        <f t="shared" si="6"/>
        <v>0.48840010492494434</v>
      </c>
      <c r="AE18" s="256">
        <f t="shared" si="6"/>
        <v>0.48840010492494434</v>
      </c>
      <c r="AF18" s="256">
        <f t="shared" si="6"/>
        <v>0.48840010492494434</v>
      </c>
      <c r="AG18" s="256">
        <f t="shared" si="6"/>
        <v>0.48840010492494434</v>
      </c>
      <c r="AH18" s="256">
        <f t="shared" si="6"/>
        <v>0.48840010492494434</v>
      </c>
      <c r="AI18" s="256">
        <f t="shared" si="6"/>
        <v>0.48840010492494434</v>
      </c>
      <c r="AJ18" s="256">
        <f t="shared" si="6"/>
        <v>0.48840010492494434</v>
      </c>
      <c r="AK18" s="256">
        <f t="shared" si="6"/>
        <v>0.48840010492494434</v>
      </c>
      <c r="AL18" s="256">
        <f t="shared" si="6"/>
        <v>0.48840010492494434</v>
      </c>
      <c r="AM18" s="256">
        <f t="shared" si="6"/>
        <v>0.48840010492494434</v>
      </c>
      <c r="AN18" s="256">
        <f t="shared" si="6"/>
        <v>0.48840010492494434</v>
      </c>
      <c r="AO18" s="256">
        <f t="shared" si="6"/>
        <v>0.48840010492494434</v>
      </c>
      <c r="AP18" s="256">
        <f t="shared" si="6"/>
        <v>0.48840010492494434</v>
      </c>
      <c r="AQ18" s="256">
        <f t="shared" si="6"/>
        <v>0.48840010492494434</v>
      </c>
      <c r="AR18" s="256">
        <f t="shared" si="6"/>
        <v>0.48840010492494434</v>
      </c>
      <c r="AS18" s="256">
        <f t="shared" si="6"/>
        <v>0.48840010492494434</v>
      </c>
      <c r="AT18" s="256">
        <f t="shared" si="6"/>
        <v>0.48840010492494434</v>
      </c>
      <c r="AU18" s="256">
        <f t="shared" si="6"/>
        <v>0.48840010492494434</v>
      </c>
      <c r="AV18" s="256">
        <f t="shared" si="6"/>
        <v>0.48840010492494434</v>
      </c>
      <c r="AW18" s="256">
        <f t="shared" si="6"/>
        <v>0.48840010492494434</v>
      </c>
      <c r="AX18" s="256">
        <f t="shared" si="6"/>
        <v>0.48840010492494434</v>
      </c>
      <c r="AY18" s="256">
        <f t="shared" si="6"/>
        <v>0.48840010492494434</v>
      </c>
      <c r="AZ18" s="256">
        <f t="shared" si="6"/>
        <v>0.48840010492494434</v>
      </c>
      <c r="BA18" s="256">
        <f t="shared" si="6"/>
        <v>0.48840010492494434</v>
      </c>
      <c r="BB18" s="256">
        <f t="shared" si="6"/>
        <v>0.48840010492494434</v>
      </c>
      <c r="BC18" s="256">
        <f t="shared" si="6"/>
        <v>0.48840010492494434</v>
      </c>
      <c r="BD18" s="256">
        <f t="shared" si="6"/>
        <v>0.48840010492494434</v>
      </c>
      <c r="BE18" s="256">
        <f t="shared" si="6"/>
        <v>0.48840010492494434</v>
      </c>
      <c r="BF18" s="256">
        <f t="shared" si="6"/>
        <v>0.48840010492494434</v>
      </c>
      <c r="BG18" s="256">
        <f t="shared" si="6"/>
        <v>0.48840010492494434</v>
      </c>
      <c r="BH18" s="256">
        <f t="shared" si="6"/>
        <v>0.48840010492494434</v>
      </c>
      <c r="BI18" s="256">
        <f t="shared" si="6"/>
        <v>0.48840010492494434</v>
      </c>
      <c r="BJ18" s="256">
        <f t="shared" si="6"/>
        <v>0.48840010492494434</v>
      </c>
      <c r="BK18" s="256">
        <f t="shared" si="6"/>
        <v>0.48840010492494434</v>
      </c>
      <c r="BL18" s="256">
        <f t="shared" si="6"/>
        <v>0.48840010492494434</v>
      </c>
      <c r="BM18" s="256">
        <f t="shared" si="6"/>
        <v>0.48840010492494434</v>
      </c>
      <c r="BN18" s="256">
        <f t="shared" si="6"/>
        <v>0.48840010492494434</v>
      </c>
      <c r="BO18" s="253"/>
      <c r="BP18" s="253"/>
      <c r="BQ18" s="253"/>
      <c r="BR18" s="253"/>
      <c r="BS18" s="253"/>
      <c r="BT18" s="253"/>
      <c r="BU18" s="253"/>
      <c r="BV18" s="253"/>
      <c r="BW18" s="253"/>
      <c r="BX18" s="253"/>
      <c r="BY18" s="253"/>
      <c r="BZ18" s="253"/>
      <c r="CA18" s="121"/>
      <c r="CB18" s="121"/>
      <c r="CC18" s="121"/>
      <c r="CD18" s="121"/>
      <c r="CE18" s="121"/>
      <c r="CF18" s="121"/>
      <c r="CG18" s="121"/>
      <c r="CH18" s="121"/>
      <c r="CI18" s="121"/>
      <c r="CJ18" s="121"/>
      <c r="CK18" s="121"/>
      <c r="CL18" s="121"/>
    </row>
    <row r="19" spans="1:90" x14ac:dyDescent="0.15">
      <c r="B19" s="23"/>
      <c r="D19" s="259" t="s">
        <v>344</v>
      </c>
      <c r="F19" s="26" t="s">
        <v>174</v>
      </c>
      <c r="G19" s="256">
        <f>SAP_Leadsheet!$E$27</f>
        <v>0.51159989507505566</v>
      </c>
      <c r="H19" s="256">
        <f>SAP_Leadsheet!$E$27</f>
        <v>0.51159989507505566</v>
      </c>
      <c r="I19" s="256">
        <f>SAP_Leadsheet!$E$27</f>
        <v>0.51159989507505566</v>
      </c>
      <c r="J19" s="256">
        <f>SAP_Leadsheet!$E$27</f>
        <v>0.51159989507505566</v>
      </c>
      <c r="K19" s="256">
        <f>SAP_Leadsheet!$E$27</f>
        <v>0.51159989507505566</v>
      </c>
      <c r="L19" s="256">
        <f>SAP_Leadsheet!$E$27</f>
        <v>0.51159989507505566</v>
      </c>
      <c r="M19" s="256">
        <f>SAP_Leadsheet!$E$27</f>
        <v>0.51159989507505566</v>
      </c>
      <c r="N19" s="256">
        <f>SAP_Leadsheet!$E$27</f>
        <v>0.51159989507505566</v>
      </c>
      <c r="O19" s="256">
        <f>SAP_Leadsheet!$E$27</f>
        <v>0.51159989507505566</v>
      </c>
      <c r="P19" s="256">
        <f>SAP_Leadsheet!$E$27</f>
        <v>0.51159989507505566</v>
      </c>
      <c r="Q19" s="256">
        <f>SAP_Leadsheet!$E$27</f>
        <v>0.51159989507505566</v>
      </c>
      <c r="R19" s="256">
        <f>SAP_Leadsheet!$E$27</f>
        <v>0.51159989507505566</v>
      </c>
      <c r="S19" s="256">
        <f>SAP_Leadsheet!$E$27</f>
        <v>0.51159989507505566</v>
      </c>
      <c r="T19" s="256">
        <f>SAP_Leadsheet!$E$27</f>
        <v>0.51159989507505566</v>
      </c>
      <c r="U19" s="256">
        <f>SAP_Leadsheet!$E$27</f>
        <v>0.51159989507505566</v>
      </c>
      <c r="V19" s="256">
        <f>SAP_Leadsheet!$E$27</f>
        <v>0.51159989507505566</v>
      </c>
      <c r="W19" s="256">
        <f>SAP_Leadsheet!$E$27</f>
        <v>0.51159989507505566</v>
      </c>
      <c r="X19" s="256">
        <f>SAP_Leadsheet!$E$27</f>
        <v>0.51159989507505566</v>
      </c>
      <c r="Y19" s="256">
        <f>SAP_Leadsheet!$E$27</f>
        <v>0.51159989507505566</v>
      </c>
      <c r="Z19" s="256">
        <f>SAP_Leadsheet!$E$27</f>
        <v>0.51159989507505566</v>
      </c>
      <c r="AA19" s="256">
        <f>SAP_Leadsheet!$E$27</f>
        <v>0.51159989507505566</v>
      </c>
      <c r="AB19" s="256">
        <f>SAP_Leadsheet!$E$27</f>
        <v>0.51159989507505566</v>
      </c>
      <c r="AC19" s="256">
        <f>SAP_Leadsheet!$E$27</f>
        <v>0.51159989507505566</v>
      </c>
      <c r="AD19" s="256">
        <f>SAP_Leadsheet!$E$27</f>
        <v>0.51159989507505566</v>
      </c>
      <c r="AE19" s="256">
        <f>SAP_Leadsheet!$E$27</f>
        <v>0.51159989507505566</v>
      </c>
      <c r="AF19" s="256">
        <f>SAP_Leadsheet!$E$27</f>
        <v>0.51159989507505566</v>
      </c>
      <c r="AG19" s="256">
        <f>SAP_Leadsheet!$E$27</f>
        <v>0.51159989507505566</v>
      </c>
      <c r="AH19" s="256">
        <f>SAP_Leadsheet!$E$27</f>
        <v>0.51159989507505566</v>
      </c>
      <c r="AI19" s="256">
        <f>SAP_Leadsheet!$E$27</f>
        <v>0.51159989507505566</v>
      </c>
      <c r="AJ19" s="256">
        <f>SAP_Leadsheet!$E$27</f>
        <v>0.51159989507505566</v>
      </c>
      <c r="AK19" s="256">
        <f>SAP_Leadsheet!$E$27</f>
        <v>0.51159989507505566</v>
      </c>
      <c r="AL19" s="256">
        <f>SAP_Leadsheet!$E$27</f>
        <v>0.51159989507505566</v>
      </c>
      <c r="AM19" s="256">
        <f>SAP_Leadsheet!$E$27</f>
        <v>0.51159989507505566</v>
      </c>
      <c r="AN19" s="256">
        <f>SAP_Leadsheet!$E$27</f>
        <v>0.51159989507505566</v>
      </c>
      <c r="AO19" s="256">
        <f>SAP_Leadsheet!$E$27</f>
        <v>0.51159989507505566</v>
      </c>
      <c r="AP19" s="256">
        <f>SAP_Leadsheet!$E$27</f>
        <v>0.51159989507505566</v>
      </c>
      <c r="AQ19" s="256">
        <f>SAP_Leadsheet!$E$27</f>
        <v>0.51159989507505566</v>
      </c>
      <c r="AR19" s="256">
        <f>SAP_Leadsheet!$E$27</f>
        <v>0.51159989507505566</v>
      </c>
      <c r="AS19" s="256">
        <f>SAP_Leadsheet!$E$27</f>
        <v>0.51159989507505566</v>
      </c>
      <c r="AT19" s="256">
        <f>SAP_Leadsheet!$E$27</f>
        <v>0.51159989507505566</v>
      </c>
      <c r="AU19" s="256">
        <f>SAP_Leadsheet!$E$27</f>
        <v>0.51159989507505566</v>
      </c>
      <c r="AV19" s="256">
        <f>SAP_Leadsheet!$E$27</f>
        <v>0.51159989507505566</v>
      </c>
      <c r="AW19" s="256">
        <f>SAP_Leadsheet!$E$27</f>
        <v>0.51159989507505566</v>
      </c>
      <c r="AX19" s="256">
        <f>SAP_Leadsheet!$E$27</f>
        <v>0.51159989507505566</v>
      </c>
      <c r="AY19" s="256">
        <f>SAP_Leadsheet!$E$27</f>
        <v>0.51159989507505566</v>
      </c>
      <c r="AZ19" s="256">
        <f>SAP_Leadsheet!$E$27</f>
        <v>0.51159989507505566</v>
      </c>
      <c r="BA19" s="256">
        <f>SAP_Leadsheet!$E$27</f>
        <v>0.51159989507505566</v>
      </c>
      <c r="BB19" s="256">
        <f>SAP_Leadsheet!$E$27</f>
        <v>0.51159989507505566</v>
      </c>
      <c r="BC19" s="256">
        <f>SAP_Leadsheet!$E$27</f>
        <v>0.51159989507505566</v>
      </c>
      <c r="BD19" s="256">
        <f>SAP_Leadsheet!$E$27</f>
        <v>0.51159989507505566</v>
      </c>
      <c r="BE19" s="256">
        <f>SAP_Leadsheet!$E$27</f>
        <v>0.51159989507505566</v>
      </c>
      <c r="BF19" s="256">
        <f>SAP_Leadsheet!$E$27</f>
        <v>0.51159989507505566</v>
      </c>
      <c r="BG19" s="256">
        <f>SAP_Leadsheet!$E$27</f>
        <v>0.51159989507505566</v>
      </c>
      <c r="BH19" s="256">
        <f>SAP_Leadsheet!$E$27</f>
        <v>0.51159989507505566</v>
      </c>
      <c r="BI19" s="256">
        <f>SAP_Leadsheet!$E$27</f>
        <v>0.51159989507505566</v>
      </c>
      <c r="BJ19" s="256">
        <f>SAP_Leadsheet!$E$27</f>
        <v>0.51159989507505566</v>
      </c>
      <c r="BK19" s="256">
        <f>SAP_Leadsheet!$E$27</f>
        <v>0.51159989507505566</v>
      </c>
      <c r="BL19" s="256">
        <f>SAP_Leadsheet!$E$27</f>
        <v>0.51159989507505566</v>
      </c>
      <c r="BM19" s="256">
        <f>SAP_Leadsheet!$E$27</f>
        <v>0.51159989507505566</v>
      </c>
      <c r="BN19" s="256">
        <f>SAP_Leadsheet!$E$27</f>
        <v>0.51159989507505566</v>
      </c>
      <c r="BO19" s="253"/>
      <c r="BP19" s="253"/>
      <c r="BQ19" s="253"/>
      <c r="BR19" s="253"/>
      <c r="BS19" s="253"/>
      <c r="BT19" s="253"/>
      <c r="BU19" s="253"/>
      <c r="BV19" s="253"/>
      <c r="BW19" s="253"/>
      <c r="BX19" s="253"/>
      <c r="BY19" s="253"/>
      <c r="BZ19" s="253"/>
      <c r="CA19" s="121"/>
      <c r="CB19" s="121"/>
      <c r="CC19" s="121"/>
      <c r="CD19" s="121"/>
      <c r="CE19" s="121"/>
      <c r="CF19" s="121"/>
      <c r="CG19" s="121"/>
      <c r="CH19" s="121"/>
      <c r="CI19" s="121"/>
      <c r="CJ19" s="121"/>
      <c r="CK19" s="121"/>
      <c r="CL19" s="121"/>
    </row>
    <row r="20" spans="1:90" x14ac:dyDescent="0.15">
      <c r="G20" s="261"/>
      <c r="H20" s="261"/>
      <c r="I20" s="261"/>
      <c r="J20" s="261"/>
      <c r="K20" s="261"/>
      <c r="L20" s="261"/>
      <c r="M20" s="261"/>
      <c r="N20" s="261"/>
      <c r="O20" s="261"/>
      <c r="P20" s="261"/>
      <c r="Q20" s="261"/>
      <c r="R20" s="261"/>
      <c r="S20" s="261"/>
      <c r="T20" s="261"/>
      <c r="U20" s="261"/>
      <c r="V20" s="261"/>
      <c r="W20" s="261"/>
      <c r="X20" s="261"/>
      <c r="Y20" s="261"/>
      <c r="Z20" s="261"/>
      <c r="AA20" s="261"/>
      <c r="AB20" s="261"/>
      <c r="AC20" s="261"/>
      <c r="AD20" s="261"/>
      <c r="AE20" s="261"/>
      <c r="AF20" s="261"/>
      <c r="AG20" s="261"/>
      <c r="AH20" s="261"/>
      <c r="AI20" s="261"/>
      <c r="AJ20" s="261"/>
      <c r="AK20" s="261"/>
      <c r="AL20" s="261"/>
      <c r="AM20" s="261"/>
      <c r="AN20" s="261"/>
      <c r="AO20" s="261"/>
      <c r="AP20" s="261"/>
      <c r="AQ20" s="261"/>
      <c r="AR20" s="261"/>
      <c r="AS20" s="261"/>
      <c r="AT20" s="261"/>
      <c r="AU20" s="261"/>
      <c r="AV20" s="261"/>
      <c r="AW20" s="261"/>
      <c r="AX20" s="261"/>
      <c r="AY20" s="261"/>
      <c r="AZ20" s="261"/>
      <c r="BA20" s="261"/>
      <c r="BB20" s="261"/>
      <c r="BC20" s="261"/>
      <c r="BD20" s="261"/>
      <c r="BE20" s="261"/>
      <c r="BF20" s="261"/>
      <c r="BG20" s="261"/>
      <c r="BH20" s="261"/>
      <c r="BI20" s="261"/>
      <c r="BJ20" s="261"/>
      <c r="BK20" s="261"/>
      <c r="BL20" s="261"/>
      <c r="BM20" s="261"/>
      <c r="BN20" s="261"/>
      <c r="BO20" s="121"/>
      <c r="BP20" s="121"/>
      <c r="BQ20" s="121"/>
      <c r="BR20" s="121"/>
      <c r="BS20" s="121"/>
      <c r="BT20" s="121"/>
      <c r="BU20" s="121"/>
      <c r="BV20" s="121"/>
      <c r="BW20" s="121"/>
      <c r="BX20" s="121"/>
      <c r="BY20" s="121"/>
      <c r="BZ20" s="121"/>
      <c r="CA20" s="121"/>
      <c r="CB20" s="121"/>
      <c r="CC20" s="121"/>
      <c r="CD20" s="121"/>
      <c r="CE20" s="121"/>
      <c r="CF20" s="121"/>
      <c r="CG20" s="121"/>
      <c r="CH20" s="121"/>
      <c r="CI20" s="121"/>
      <c r="CJ20" s="121"/>
      <c r="CK20" s="121"/>
      <c r="CL20" s="121"/>
    </row>
    <row r="21" spans="1:90" ht="14" thickBot="1" x14ac:dyDescent="0.2">
      <c r="A21" s="250">
        <v>3</v>
      </c>
      <c r="B21" s="251" t="s">
        <v>345</v>
      </c>
      <c r="C21" s="252"/>
      <c r="D21" s="252"/>
      <c r="E21" s="252"/>
      <c r="F21" s="252"/>
      <c r="G21" s="252"/>
      <c r="H21" s="252"/>
      <c r="I21" s="252"/>
      <c r="J21" s="252"/>
      <c r="K21" s="252"/>
      <c r="L21" s="252"/>
      <c r="M21" s="252"/>
      <c r="N21" s="252"/>
      <c r="O21" s="252"/>
      <c r="P21" s="252"/>
      <c r="Q21" s="252"/>
      <c r="R21" s="252"/>
      <c r="S21" s="252"/>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2"/>
      <c r="BA21" s="252"/>
      <c r="BB21" s="252"/>
      <c r="BC21" s="252"/>
      <c r="BD21" s="252"/>
      <c r="BE21" s="252"/>
      <c r="BF21" s="252"/>
      <c r="BG21" s="252"/>
      <c r="BH21" s="252"/>
      <c r="BI21" s="252"/>
      <c r="BJ21" s="252"/>
      <c r="BK21" s="252"/>
      <c r="BL21" s="252"/>
      <c r="BM21" s="252"/>
      <c r="BN21" s="252"/>
      <c r="BO21" s="252"/>
      <c r="BP21" s="252"/>
      <c r="BQ21" s="252"/>
      <c r="BR21" s="252"/>
      <c r="BS21" s="252"/>
      <c r="BT21" s="252"/>
      <c r="BU21" s="252"/>
      <c r="BV21" s="252"/>
      <c r="BW21" s="252"/>
      <c r="BX21" s="252"/>
      <c r="BY21" s="252"/>
      <c r="BZ21" s="252"/>
      <c r="CA21" s="80"/>
      <c r="CB21" s="80"/>
      <c r="CC21" s="80"/>
      <c r="CD21" s="80"/>
      <c r="CE21" s="80"/>
      <c r="CF21" s="80"/>
      <c r="CG21" s="80"/>
      <c r="CH21" s="80"/>
      <c r="CI21" s="80"/>
      <c r="CJ21" s="80"/>
      <c r="CK21" s="80"/>
      <c r="CL21" s="80"/>
    </row>
    <row r="22" spans="1:90" ht="14" thickTop="1" x14ac:dyDescent="0.15">
      <c r="A22" s="50"/>
      <c r="B22" s="23"/>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80"/>
      <c r="BU22" s="80"/>
      <c r="BV22" s="80"/>
      <c r="BW22" s="80"/>
      <c r="BX22" s="80"/>
      <c r="BY22" s="80"/>
      <c r="BZ22" s="80"/>
      <c r="CA22" s="80"/>
      <c r="CB22" s="80"/>
      <c r="CC22" s="80"/>
      <c r="CD22" s="80"/>
      <c r="CE22" s="80"/>
      <c r="CF22" s="80"/>
      <c r="CG22" s="80"/>
      <c r="CH22" s="80"/>
      <c r="CI22" s="80"/>
      <c r="CJ22" s="80"/>
      <c r="CK22" s="80"/>
      <c r="CL22" s="80"/>
    </row>
    <row r="23" spans="1:90" s="23" customFormat="1" x14ac:dyDescent="0.15">
      <c r="A23" s="50"/>
      <c r="B23" s="23" t="s">
        <v>346</v>
      </c>
      <c r="C23" s="23" t="s">
        <v>347</v>
      </c>
      <c r="D23" s="23" t="s">
        <v>348</v>
      </c>
      <c r="F23" s="23" t="s">
        <v>341</v>
      </c>
      <c r="G23" s="262">
        <v>0</v>
      </c>
      <c r="H23" s="262">
        <f ca="1">IF(H7&gt;SAP_Leadsheet!$E$21,0,G28)</f>
        <v>0.45732039052310158</v>
      </c>
      <c r="I23" s="262">
        <f ca="1">IF(I7&gt;SAP_Leadsheet!$E$21,0,H28)</f>
        <v>0.83586421013723056</v>
      </c>
      <c r="J23" s="262">
        <f ca="1">IF(J7&gt;SAP_Leadsheet!$E$21,0,I28)</f>
        <v>1.0274184842474121</v>
      </c>
      <c r="K23" s="262">
        <f ca="1">IF(K7&gt;SAP_Leadsheet!$E$21,0,J28)</f>
        <v>1.0777770302674909</v>
      </c>
      <c r="L23" s="262">
        <f ca="1">IF(L7&gt;SAP_Leadsheet!$E$21,0,K28)</f>
        <v>1.0546631995361941</v>
      </c>
      <c r="M23" s="262">
        <f ca="1">IF(M7&gt;SAP_Leadsheet!$E$21,0,L28)</f>
        <v>0.30472749429128682</v>
      </c>
      <c r="N23" s="262">
        <f ca="1">IF(N7&gt;SAP_Leadsheet!$E$21,0,M28)</f>
        <v>0.32739840059242975</v>
      </c>
      <c r="O23" s="262">
        <f ca="1">IF(O7&gt;SAP_Leadsheet!$E$21,0,N28)</f>
        <v>0.37367685590967387</v>
      </c>
      <c r="P23" s="262">
        <f ca="1">IF(P7&gt;SAP_Leadsheet!$E$21,0,O28)</f>
        <v>0.43117237193302266</v>
      </c>
      <c r="Q23" s="262">
        <f ca="1">IF(Q7&gt;SAP_Leadsheet!$E$21,0,P28)</f>
        <v>0.49702105966969085</v>
      </c>
      <c r="R23" s="262">
        <f ca="1">IF(R7&gt;SAP_Leadsheet!$E$21,0,Q28)</f>
        <v>0.57563831497913154</v>
      </c>
      <c r="S23" s="262">
        <f ca="1">IF(S7&gt;SAP_Leadsheet!$E$21,0,R28)</f>
        <v>0.66868738032795405</v>
      </c>
      <c r="T23" s="262">
        <f ca="1">IF(T7&gt;SAP_Leadsheet!$E$21,0,S28)</f>
        <v>0.78277729305750976</v>
      </c>
      <c r="U23" s="262">
        <f ca="1">IF(U7&gt;SAP_Leadsheet!$E$21,0,T28)</f>
        <v>0.8469439715140783</v>
      </c>
      <c r="V23" s="262">
        <f ca="1">IF(V7&gt;SAP_Leadsheet!$E$21,0,U28)</f>
        <v>0.17084774905963432</v>
      </c>
      <c r="W23" s="262">
        <f ca="1">IF(W7&gt;SAP_Leadsheet!$E$21,0,V28)</f>
        <v>0.26046620461305092</v>
      </c>
      <c r="X23" s="262">
        <f ca="1">IF(X7&gt;SAP_Leadsheet!$E$21,0,W28)</f>
        <v>0.37632600857067505</v>
      </c>
      <c r="Y23" s="262">
        <f ca="1">IF(Y7&gt;SAP_Leadsheet!$E$21,0,X28)</f>
        <v>0.49795573388328379</v>
      </c>
      <c r="Z23" s="262">
        <f ca="1">IF(Z7&gt;SAP_Leadsheet!$E$21,0,Y28)</f>
        <v>0.61504739510277395</v>
      </c>
      <c r="AA23" s="262">
        <f ca="1">IF(AA7&gt;SAP_Leadsheet!$E$21,0,Z28)</f>
        <v>0.72499287476393337</v>
      </c>
      <c r="AB23" s="262">
        <f ca="1">IF(AB7&gt;SAP_Leadsheet!$E$21,0,AA28)</f>
        <v>0.82690337597465713</v>
      </c>
      <c r="AC23" s="262">
        <f ca="1">IF(AC7&gt;SAP_Leadsheet!$E$21,0,AB28)</f>
        <v>0.92287142911286169</v>
      </c>
      <c r="AD23" s="262">
        <f ca="1">IF(AD7&gt;SAP_Leadsheet!$E$21,0,AC28)</f>
        <v>0.93328074317749832</v>
      </c>
      <c r="AE23" s="262">
        <f ca="1">IF(AE7&gt;SAP_Leadsheet!$E$21,0,AD28)</f>
        <v>0.22462129822247121</v>
      </c>
      <c r="AF23" s="262">
        <f ca="1">IF(AF7&gt;SAP_Leadsheet!$E$21,0,AE28)</f>
        <v>0.34023391741230058</v>
      </c>
      <c r="AG23" s="262">
        <f ca="1">IF(AG7&gt;SAP_Leadsheet!$E$21,0,AF28)</f>
        <v>0.47369791605211564</v>
      </c>
      <c r="AH23" s="262">
        <f ca="1">IF(AH7&gt;SAP_Leadsheet!$E$21,0,AG28)</f>
        <v>0.5984489615011287</v>
      </c>
      <c r="AI23" s="262">
        <f ca="1">IF(AI7&gt;SAP_Leadsheet!$E$21,0,AH28)</f>
        <v>0.71022306801422141</v>
      </c>
      <c r="AJ23" s="262">
        <f ca="1">IF(AJ7&gt;SAP_Leadsheet!$E$21,0,AI28)</f>
        <v>0.81316731519843422</v>
      </c>
      <c r="AK23" s="262">
        <f ca="1">IF(AK7&gt;SAP_Leadsheet!$E$21,0,AJ28)</f>
        <v>0.91197819335184627</v>
      </c>
      <c r="AL23" s="262">
        <f ca="1">IF(AL7&gt;SAP_Leadsheet!$E$21,0,AK28)</f>
        <v>1.0094227007296115</v>
      </c>
      <c r="AM23" s="262">
        <f ca="1">IF(AM7&gt;SAP_Leadsheet!$E$21,0,AL28)</f>
        <v>1.0208333972542289</v>
      </c>
      <c r="AN23" s="262">
        <f ca="1">IF(AN7&gt;SAP_Leadsheet!$E$21,0,AM28)</f>
        <v>1.016198665346552</v>
      </c>
      <c r="AO23" s="262">
        <f ca="1">IF(AO7&gt;SAP_Leadsheet!$E$21,0,AN28)</f>
        <v>1.0076390311488492</v>
      </c>
      <c r="AP23" s="262">
        <f ca="1">IF(AP7&gt;SAP_Leadsheet!$E$21,0,AO28)</f>
        <v>0.99997187601643311</v>
      </c>
      <c r="AQ23" s="262">
        <f ca="1">IF(AQ7&gt;SAP_Leadsheet!$E$21,0,AP28)</f>
        <v>0.99427630429232572</v>
      </c>
      <c r="AR23" s="262">
        <f ca="1">IF(AR7&gt;SAP_Leadsheet!$E$21,0,AQ28)</f>
        <v>0.99130637829544288</v>
      </c>
      <c r="AS23" s="262">
        <f ca="1">IF(AS7&gt;SAP_Leadsheet!$E$21,0,AR28)</f>
        <v>0.99017421677305539</v>
      </c>
      <c r="AT23" s="262">
        <f ca="1">IF(AT7&gt;SAP_Leadsheet!$E$21,0,AS28)</f>
        <v>0.98985817350342997</v>
      </c>
      <c r="AU23" s="262">
        <f ca="1">IF(AU7&gt;SAP_Leadsheet!$E$21,0,AT28)</f>
        <v>0.98968188874694463</v>
      </c>
      <c r="AV23" s="262">
        <f ca="1">IF(AV7&gt;SAP_Leadsheet!$E$21,0,AU28)</f>
        <v>0.98936023761524738</v>
      </c>
      <c r="AW23" s="262">
        <f ca="1">IF(AW7&gt;SAP_Leadsheet!$E$21,0,AV28)</f>
        <v>0.98885372039825326</v>
      </c>
      <c r="AX23" s="262">
        <f ca="1">IF(AX7&gt;SAP_Leadsheet!$E$21,0,AW28)</f>
        <v>0.98810533881669982</v>
      </c>
      <c r="AY23" s="262">
        <f ca="1">IF(AY7&gt;SAP_Leadsheet!$E$21,0,AX28)</f>
        <v>0.98702203560969448</v>
      </c>
      <c r="AZ23" s="262">
        <f ca="1">IF(AZ7&gt;SAP_Leadsheet!$E$21,0,AY28)</f>
        <v>0.98535144982657097</v>
      </c>
      <c r="BA23" s="262">
        <f ca="1">IF(BA7&gt;SAP_Leadsheet!$E$21,0,AZ28)</f>
        <v>0.98285381306841202</v>
      </c>
      <c r="BB23" s="262">
        <f ca="1">IF(BB7&gt;SAP_Leadsheet!$E$21,0,BA28)</f>
        <v>0.97974345434729071</v>
      </c>
      <c r="BC23" s="262">
        <f ca="1">IF(BC7&gt;SAP_Leadsheet!$E$21,0,BB28)</f>
        <v>0.97627608632476259</v>
      </c>
      <c r="BD23" s="262">
        <f ca="1">IF(BD7&gt;SAP_Leadsheet!$E$21,0,BC28)</f>
        <v>0.97286062567513221</v>
      </c>
      <c r="BE23" s="262">
        <f ca="1">IF(BE7&gt;SAP_Leadsheet!$E$21,0,BD28)</f>
        <v>0.96954452107327171</v>
      </c>
      <c r="BF23" s="262">
        <f ca="1">IF(BF7&gt;SAP_Leadsheet!$E$21,0,BE28)</f>
        <v>0.96626193372250246</v>
      </c>
      <c r="BG23" s="262">
        <f ca="1">IF(BG7&gt;SAP_Leadsheet!$E$21,0,BF28)</f>
        <v>0.96294279122203907</v>
      </c>
      <c r="BH23" s="262">
        <f ca="1">IF(BH7&gt;SAP_Leadsheet!$E$21,0,BG28)</f>
        <v>0.95954242994101657</v>
      </c>
      <c r="BI23" s="262">
        <f ca="1">IF(BI7&gt;SAP_Leadsheet!$E$21,0,BH28)</f>
        <v>0.95603837387111723</v>
      </c>
      <c r="BJ23" s="262">
        <f ca="1">IF(BJ7&gt;SAP_Leadsheet!$E$21,0,BI28)</f>
        <v>0.95241914450241039</v>
      </c>
      <c r="BK23" s="262">
        <f ca="1">IF(BK7&gt;SAP_Leadsheet!$E$21,0,BJ28)</f>
        <v>0.94867653010786879</v>
      </c>
      <c r="BL23" s="262">
        <f ca="1">IF(BL7&gt;SAP_Leadsheet!$E$21,0,BK28)</f>
        <v>0.94472629461709956</v>
      </c>
      <c r="BM23" s="262">
        <f ca="1">IF(BM7&gt;SAP_Leadsheet!$E$21,0,BL28)</f>
        <v>0.94042976513094079</v>
      </c>
      <c r="BN23" s="262">
        <f ca="1">IF(BN7&gt;SAP_Leadsheet!$E$21,0,BM28)</f>
        <v>0.93584619948732817</v>
      </c>
      <c r="BO23" s="263"/>
      <c r="BP23" s="263"/>
      <c r="BQ23" s="263"/>
      <c r="BR23" s="263"/>
      <c r="BS23" s="263"/>
      <c r="BT23" s="263"/>
      <c r="BU23" s="263"/>
      <c r="BV23" s="263"/>
      <c r="BW23" s="263"/>
      <c r="BX23" s="263"/>
      <c r="BY23" s="263"/>
      <c r="BZ23" s="263"/>
      <c r="CA23" s="264"/>
      <c r="CB23" s="264"/>
      <c r="CC23" s="264"/>
      <c r="CD23" s="264"/>
      <c r="CE23" s="264"/>
      <c r="CF23" s="264"/>
      <c r="CG23" s="264"/>
      <c r="CH23" s="264"/>
      <c r="CI23" s="264"/>
      <c r="CJ23" s="264"/>
      <c r="CK23" s="264"/>
      <c r="CL23" s="264"/>
    </row>
    <row r="24" spans="1:90" s="266" customFormat="1" x14ac:dyDescent="0.15">
      <c r="A24" s="265"/>
      <c r="D24" s="26" t="s">
        <v>349</v>
      </c>
      <c r="F24" s="26" t="s">
        <v>341</v>
      </c>
      <c r="G24" s="267">
        <f ca="1">IF(G7&gt;SAP_Leadsheet!$E$21,0,G15*G11)</f>
        <v>0.45732039052310158</v>
      </c>
      <c r="H24" s="267">
        <f ca="1">IF(H7&gt;SAP_Leadsheet!$E$21,0,H15*H11)</f>
        <v>0.44045965360261591</v>
      </c>
      <c r="I24" s="267">
        <f ca="1">IF(I7&gt;SAP_Leadsheet!$E$21,0,I15*I11)</f>
        <v>0.42359891668213023</v>
      </c>
      <c r="J24" s="267">
        <f ca="1">IF(J7&gt;SAP_Leadsheet!$E$21,0,J15*J11)</f>
        <v>0.40673817976164461</v>
      </c>
      <c r="K24" s="267">
        <f ca="1">IF(K7&gt;SAP_Leadsheet!$E$21,0,K15*K11)</f>
        <v>0.38987744284115894</v>
      </c>
      <c r="L24" s="267">
        <f ca="1">IF(L7&gt;SAP_Leadsheet!$E$21,0,L15*L11)</f>
        <v>0.37301670592067326</v>
      </c>
      <c r="M24" s="267">
        <f ca="1">IF(M7&gt;SAP_Leadsheet!$E$21,0,M15*M11)</f>
        <v>0.35615596900018764</v>
      </c>
      <c r="N24" s="267">
        <f ca="1">IF(N7&gt;SAP_Leadsheet!$E$21,0,N15*N11)</f>
        <v>0.33929523207970202</v>
      </c>
      <c r="O24" s="267">
        <f ca="1">IF(O7&gt;SAP_Leadsheet!$E$21,0,O15*O11)</f>
        <v>0.32243449515921641</v>
      </c>
      <c r="P24" s="267">
        <f ca="1">IF(P7&gt;SAP_Leadsheet!$E$21,0,P15*P11)</f>
        <v>0.30557375823873079</v>
      </c>
      <c r="Q24" s="267">
        <f ca="1">IF(Q7&gt;SAP_Leadsheet!$E$21,0,Q15*Q11)</f>
        <v>0.28871302131824517</v>
      </c>
      <c r="R24" s="267">
        <f ca="1">IF(R7&gt;SAP_Leadsheet!$E$21,0,R15*R11)</f>
        <v>0.27185228439775955</v>
      </c>
      <c r="S24" s="267">
        <f ca="1">IF(S7&gt;SAP_Leadsheet!$E$21,0,S15*S11)</f>
        <v>0.26523672816386296</v>
      </c>
      <c r="T24" s="267">
        <f ca="1">IF(T7&gt;SAP_Leadsheet!$E$21,0,T15*T11)</f>
        <v>0.25862117192996642</v>
      </c>
      <c r="U24" s="267">
        <f ca="1">IF(U7&gt;SAP_Leadsheet!$E$21,0,U15*U11)</f>
        <v>0.25200561569606988</v>
      </c>
      <c r="V24" s="267">
        <f ca="1">IF(V7&gt;SAP_Leadsheet!$E$21,0,V15*V11)</f>
        <v>0.24539005946217332</v>
      </c>
      <c r="W24" s="267">
        <f ca="1">IF(W7&gt;SAP_Leadsheet!$E$21,0,W15*W11)</f>
        <v>0.23877450322827676</v>
      </c>
      <c r="X24" s="267">
        <f ca="1">IF(X7&gt;SAP_Leadsheet!$E$21,0,X15*X11)</f>
        <v>0.23215894699438019</v>
      </c>
      <c r="Y24" s="267">
        <f ca="1">IF(Y7&gt;SAP_Leadsheet!$E$21,0,Y15*Y11)</f>
        <v>0.22554339076048366</v>
      </c>
      <c r="Z24" s="267">
        <f ca="1">IF(Z7&gt;SAP_Leadsheet!$E$21,0,Z15*Z11)</f>
        <v>0.2189278345265871</v>
      </c>
      <c r="AA24" s="267">
        <f ca="1">IF(AA7&gt;SAP_Leadsheet!$E$21,0,AA15*AA11)</f>
        <v>0.21231227829269056</v>
      </c>
      <c r="AB24" s="267">
        <f ca="1">IF(AB7&gt;SAP_Leadsheet!$E$21,0,AB15*AB11)</f>
        <v>0.205696722058794</v>
      </c>
      <c r="AC24" s="267">
        <f ca="1">IF(AC7&gt;SAP_Leadsheet!$E$21,0,AC15*AC11)</f>
        <v>0.19908116582489743</v>
      </c>
      <c r="AD24" s="267">
        <f ca="1">IF(AD7&gt;SAP_Leadsheet!$E$21,0,AD15*AD11)</f>
        <v>0.1924656095910009</v>
      </c>
      <c r="AE24" s="267">
        <f ca="1">IF(AE7&gt;SAP_Leadsheet!$E$21,0,AE15*AE11)</f>
        <v>0.23133405931660564</v>
      </c>
      <c r="AF24" s="267">
        <f ca="1">IF(AF7&gt;SAP_Leadsheet!$E$21,0,AF15*AF11)</f>
        <v>0.22643044626405628</v>
      </c>
      <c r="AG24" s="267">
        <f ca="1">IF(AG7&gt;SAP_Leadsheet!$E$21,0,AG15*AG11)</f>
        <v>0.22152683321150693</v>
      </c>
      <c r="AH24" s="267">
        <f ca="1">IF(AH7&gt;SAP_Leadsheet!$E$21,0,AH15*AH11)</f>
        <v>0.21662322015895757</v>
      </c>
      <c r="AI24" s="267">
        <f ca="1">IF(AI7&gt;SAP_Leadsheet!$E$21,0,AI15*AI11)</f>
        <v>0.21171960710640822</v>
      </c>
      <c r="AJ24" s="267">
        <f ca="1">IF(AJ7&gt;SAP_Leadsheet!$E$21,0,AJ15*AJ11)</f>
        <v>0.20681599405385886</v>
      </c>
      <c r="AK24" s="267">
        <f ca="1">IF(AK7&gt;SAP_Leadsheet!$E$21,0,AK15*AK11)</f>
        <v>0.20191238100130951</v>
      </c>
      <c r="AL24" s="267">
        <f ca="1">IF(AL7&gt;SAP_Leadsheet!$E$21,0,AL15*AL11)</f>
        <v>0.19700876794876016</v>
      </c>
      <c r="AM24" s="267">
        <f ca="1">IF(AM7&gt;SAP_Leadsheet!$E$21,0,AM15*AM11)</f>
        <v>0.1921051548962108</v>
      </c>
      <c r="AN24" s="267">
        <f ca="1">IF(AN7&gt;SAP_Leadsheet!$E$21,0,AN15*AN11)</f>
        <v>0.18720154184366145</v>
      </c>
      <c r="AO24" s="267">
        <f ca="1">IF(AO7&gt;SAP_Leadsheet!$E$21,0,AO15*AO11)</f>
        <v>0.18229792879111209</v>
      </c>
      <c r="AP24" s="267">
        <f ca="1">IF(AP7&gt;SAP_Leadsheet!$E$21,0,AP15*AP11)</f>
        <v>0.17739431573856274</v>
      </c>
      <c r="AQ24" s="267">
        <f ca="1">IF(AQ7&gt;SAP_Leadsheet!$E$21,0,AQ15*AQ11)</f>
        <v>0.17365349574250624</v>
      </c>
      <c r="AR24" s="267">
        <f ca="1">IF(AR7&gt;SAP_Leadsheet!$E$21,0,AR15*AR11)</f>
        <v>0.16991267574644975</v>
      </c>
      <c r="AS24" s="267">
        <f ca="1">IF(AS7&gt;SAP_Leadsheet!$E$21,0,AS15*AS11)</f>
        <v>0.16617185575039328</v>
      </c>
      <c r="AT24" s="267">
        <f ca="1">IF(AT7&gt;SAP_Leadsheet!$E$21,0,AT15*AT11)</f>
        <v>0.16243103575433679</v>
      </c>
      <c r="AU24" s="267">
        <f ca="1">IF(AU7&gt;SAP_Leadsheet!$E$21,0,AU15*AU11)</f>
        <v>0.1586902157582803</v>
      </c>
      <c r="AV24" s="267">
        <f ca="1">IF(AV7&gt;SAP_Leadsheet!$E$21,0,AV15*AV11)</f>
        <v>0.1549493957622238</v>
      </c>
      <c r="AW24" s="267">
        <f ca="1">IF(AW7&gt;SAP_Leadsheet!$E$21,0,AW15*AW11)</f>
        <v>0.15120857576616731</v>
      </c>
      <c r="AX24" s="267">
        <f ca="1">IF(AX7&gt;SAP_Leadsheet!$E$21,0,AX15*AX11)</f>
        <v>0.14746775577011081</v>
      </c>
      <c r="AY24" s="267">
        <f ca="1">IF(AY7&gt;SAP_Leadsheet!$E$21,0,AY15*AY11)</f>
        <v>0.14372693577405432</v>
      </c>
      <c r="AZ24" s="267">
        <f ca="1">IF(AZ7&gt;SAP_Leadsheet!$E$21,0,AZ15*AZ11)</f>
        <v>0.13998611577799783</v>
      </c>
      <c r="BA24" s="267">
        <f ca="1">IF(BA7&gt;SAP_Leadsheet!$E$21,0,BA15*BA11)</f>
        <v>0.13624529578194133</v>
      </c>
      <c r="BB24" s="267">
        <f ca="1">IF(BB7&gt;SAP_Leadsheet!$E$21,0,BB15*BB11)</f>
        <v>0.13250447578588484</v>
      </c>
      <c r="BC24" s="267">
        <f ca="1">IF(BC7&gt;SAP_Leadsheet!$E$21,0,BC15*BC11)</f>
        <v>0.12900374707244408</v>
      </c>
      <c r="BD24" s="267">
        <f ca="1">IF(BD7&gt;SAP_Leadsheet!$E$21,0,BD15*BD11)</f>
        <v>0.12550301835900332</v>
      </c>
      <c r="BE24" s="267">
        <f ca="1">IF(BE7&gt;SAP_Leadsheet!$E$21,0,BE15*BE11)</f>
        <v>0.12200228964556258</v>
      </c>
      <c r="BF24" s="267">
        <f ca="1">IF(BF7&gt;SAP_Leadsheet!$E$21,0,BF15*BF11)</f>
        <v>0.11850156093212182</v>
      </c>
      <c r="BG24" s="267">
        <f ca="1">IF(BG7&gt;SAP_Leadsheet!$E$21,0,BG15*BG11)</f>
        <v>0.11500083221868106</v>
      </c>
      <c r="BH24" s="267">
        <f ca="1">IF(BH7&gt;SAP_Leadsheet!$E$21,0,BH15*BH11)</f>
        <v>0.11150010350524031</v>
      </c>
      <c r="BI24" s="267">
        <f ca="1">IF(BI7&gt;SAP_Leadsheet!$E$21,0,BI15*BI11)</f>
        <v>0.10799937479179955</v>
      </c>
      <c r="BJ24" s="267">
        <f ca="1">IF(BJ7&gt;SAP_Leadsheet!$E$21,0,BJ15*BJ11)</f>
        <v>0.10449864607835881</v>
      </c>
      <c r="BK24" s="267">
        <f ca="1">IF(BK7&gt;SAP_Leadsheet!$E$21,0,BK15*BK11)</f>
        <v>0.10099791736491806</v>
      </c>
      <c r="BL24" s="267">
        <f ca="1">IF(BL7&gt;SAP_Leadsheet!$E$21,0,BL15*BL11)</f>
        <v>9.7497188651477315E-2</v>
      </c>
      <c r="BM24" s="267">
        <f ca="1">IF(BM7&gt;SAP_Leadsheet!$E$21,0,BM15*BM11)</f>
        <v>9.399645993803657E-2</v>
      </c>
      <c r="BN24" s="267">
        <f ca="1">IF(BN7&gt;SAP_Leadsheet!$E$21,0,BN15*BN11)</f>
        <v>9.0495731224595838E-2</v>
      </c>
      <c r="BO24" s="263"/>
      <c r="BP24" s="263"/>
      <c r="BQ24" s="263"/>
      <c r="BR24" s="263"/>
      <c r="BS24" s="263"/>
      <c r="BT24" s="263"/>
      <c r="BU24" s="263"/>
      <c r="BV24" s="263"/>
      <c r="BW24" s="263"/>
      <c r="BX24" s="263"/>
      <c r="BY24" s="263"/>
      <c r="BZ24" s="263"/>
      <c r="CA24" s="254"/>
      <c r="CB24" s="254"/>
      <c r="CC24" s="254"/>
      <c r="CD24" s="254"/>
      <c r="CE24" s="254"/>
      <c r="CF24" s="254"/>
      <c r="CG24" s="254"/>
      <c r="CH24" s="254"/>
      <c r="CI24" s="254"/>
      <c r="CJ24" s="254"/>
      <c r="CK24" s="254"/>
      <c r="CL24" s="254"/>
    </row>
    <row r="25" spans="1:90" s="266" customFormat="1" x14ac:dyDescent="0.15">
      <c r="A25" s="265"/>
      <c r="D25" s="26" t="s">
        <v>350</v>
      </c>
      <c r="F25" s="26" t="s">
        <v>341</v>
      </c>
      <c r="G25" s="267"/>
      <c r="H25" s="267">
        <f t="shared" ref="H25:BN25" si="7">-G34</f>
        <v>0</v>
      </c>
      <c r="I25" s="267">
        <f t="shared" ca="1" si="7"/>
        <v>0</v>
      </c>
      <c r="J25" s="267">
        <f t="shared" ca="1" si="7"/>
        <v>0</v>
      </c>
      <c r="K25" s="267">
        <f t="shared" ca="1" si="7"/>
        <v>0</v>
      </c>
      <c r="L25" s="267">
        <f t="shared" ca="1" si="7"/>
        <v>0</v>
      </c>
      <c r="M25" s="267">
        <f t="shared" ca="1" si="7"/>
        <v>0</v>
      </c>
      <c r="N25" s="267">
        <f t="shared" ca="1" si="7"/>
        <v>2.330169966981413E-2</v>
      </c>
      <c r="O25" s="267">
        <f t="shared" ca="1" si="7"/>
        <v>2.9585133029045724E-2</v>
      </c>
      <c r="P25" s="267">
        <f t="shared" ca="1" si="7"/>
        <v>3.5165391742099136E-2</v>
      </c>
      <c r="Q25" s="267">
        <f t="shared" ca="1" si="7"/>
        <v>3.8542464572482754E-2</v>
      </c>
      <c r="R25" s="267">
        <f t="shared" ca="1" si="7"/>
        <v>4.0084286210373792E-2</v>
      </c>
      <c r="S25" s="267">
        <f t="shared" ca="1" si="7"/>
        <v>4.0070654140189489E-2</v>
      </c>
      <c r="T25" s="267">
        <f t="shared" ca="1" si="7"/>
        <v>3.8792937221910344E-2</v>
      </c>
      <c r="U25" s="267">
        <f t="shared" ca="1" si="7"/>
        <v>0</v>
      </c>
      <c r="V25" s="267">
        <f t="shared" ca="1" si="7"/>
        <v>0</v>
      </c>
      <c r="W25" s="267">
        <f t="shared" ca="1" si="7"/>
        <v>2.2992190677426833E-2</v>
      </c>
      <c r="X25" s="267">
        <f t="shared" ca="1" si="7"/>
        <v>2.1271170848437895E-2</v>
      </c>
      <c r="Y25" s="267">
        <f t="shared" ca="1" si="7"/>
        <v>1.8843562333131905E-2</v>
      </c>
      <c r="Z25" s="267">
        <f t="shared" ca="1" si="7"/>
        <v>1.681940077285897E-2</v>
      </c>
      <c r="AA25" s="267">
        <f t="shared" ca="1" si="7"/>
        <v>1.5514626236291823E-2</v>
      </c>
      <c r="AB25" s="267">
        <f t="shared" ca="1" si="7"/>
        <v>1.5901054983258403E-2</v>
      </c>
      <c r="AC25" s="267">
        <f t="shared" ca="1" si="7"/>
        <v>1.6473477937632139E-2</v>
      </c>
      <c r="AD25" s="267">
        <f t="shared" ca="1" si="7"/>
        <v>0</v>
      </c>
      <c r="AE25" s="267">
        <f t="shared" ca="1" si="7"/>
        <v>0</v>
      </c>
      <c r="AF25" s="267">
        <f t="shared" ca="1" si="7"/>
        <v>1.7460170036120062E-2</v>
      </c>
      <c r="AG25" s="267">
        <f t="shared" ca="1" si="7"/>
        <v>1.6577639335109445E-2</v>
      </c>
      <c r="AH25" s="267">
        <f t="shared" ca="1" si="7"/>
        <v>1.526789713127491E-2</v>
      </c>
      <c r="AI25" s="267">
        <f t="shared" ca="1" si="7"/>
        <v>1.4444740365943093E-2</v>
      </c>
      <c r="AJ25" s="267">
        <f t="shared" ca="1" si="7"/>
        <v>1.405801559560059E-2</v>
      </c>
      <c r="AK25" s="267">
        <f t="shared" ca="1" si="7"/>
        <v>1.3959075581171446E-2</v>
      </c>
      <c r="AL25" s="267">
        <f t="shared" ca="1" si="7"/>
        <v>1.4037104827995792E-2</v>
      </c>
      <c r="AM25" s="267">
        <f t="shared" ca="1" si="7"/>
        <v>0</v>
      </c>
      <c r="AN25" s="267">
        <f t="shared" ca="1" si="7"/>
        <v>0</v>
      </c>
      <c r="AO25" s="267">
        <f t="shared" ca="1" si="7"/>
        <v>0</v>
      </c>
      <c r="AP25" s="267">
        <f t="shared" ca="1" si="7"/>
        <v>0</v>
      </c>
      <c r="AQ25" s="267">
        <f t="shared" ca="1" si="7"/>
        <v>0</v>
      </c>
      <c r="AR25" s="267">
        <f t="shared" ca="1" si="7"/>
        <v>0</v>
      </c>
      <c r="AS25" s="267">
        <f t="shared" ca="1" si="7"/>
        <v>0</v>
      </c>
      <c r="AT25" s="267">
        <f t="shared" ca="1" si="7"/>
        <v>0</v>
      </c>
      <c r="AU25" s="267">
        <f t="shared" ca="1" si="7"/>
        <v>0</v>
      </c>
      <c r="AV25" s="267">
        <f t="shared" ca="1" si="7"/>
        <v>0</v>
      </c>
      <c r="AW25" s="267">
        <f t="shared" ca="1" si="7"/>
        <v>0</v>
      </c>
      <c r="AX25" s="267">
        <f t="shared" ca="1" si="7"/>
        <v>0</v>
      </c>
      <c r="AY25" s="267">
        <f t="shared" ca="1" si="7"/>
        <v>0</v>
      </c>
      <c r="AZ25" s="267">
        <f t="shared" ca="1" si="7"/>
        <v>0</v>
      </c>
      <c r="BA25" s="267">
        <f t="shared" ca="1" si="7"/>
        <v>0</v>
      </c>
      <c r="BB25" s="267">
        <f t="shared" ca="1" si="7"/>
        <v>0</v>
      </c>
      <c r="BC25" s="267">
        <f t="shared" ca="1" si="7"/>
        <v>0</v>
      </c>
      <c r="BD25" s="267">
        <f t="shared" ca="1" si="7"/>
        <v>0</v>
      </c>
      <c r="BE25" s="267">
        <f t="shared" ca="1" si="7"/>
        <v>0</v>
      </c>
      <c r="BF25" s="267">
        <f t="shared" ca="1" si="7"/>
        <v>0</v>
      </c>
      <c r="BG25" s="267">
        <f t="shared" ca="1" si="7"/>
        <v>0</v>
      </c>
      <c r="BH25" s="267">
        <f t="shared" ca="1" si="7"/>
        <v>0</v>
      </c>
      <c r="BI25" s="267">
        <f t="shared" ca="1" si="7"/>
        <v>0</v>
      </c>
      <c r="BJ25" s="267">
        <f t="shared" ca="1" si="7"/>
        <v>0</v>
      </c>
      <c r="BK25" s="267">
        <f t="shared" ca="1" si="7"/>
        <v>0</v>
      </c>
      <c r="BL25" s="267">
        <f t="shared" ca="1" si="7"/>
        <v>0</v>
      </c>
      <c r="BM25" s="267">
        <f t="shared" ca="1" si="7"/>
        <v>0</v>
      </c>
      <c r="BN25" s="267">
        <f t="shared" ca="1" si="7"/>
        <v>0</v>
      </c>
      <c r="BO25" s="263"/>
      <c r="BP25" s="263"/>
      <c r="BQ25" s="263"/>
      <c r="BR25" s="263"/>
      <c r="BS25" s="263"/>
      <c r="BT25" s="263"/>
      <c r="BU25" s="263"/>
      <c r="BV25" s="263"/>
      <c r="BW25" s="263"/>
      <c r="BX25" s="263"/>
      <c r="BY25" s="263"/>
      <c r="BZ25" s="263"/>
      <c r="CA25" s="254"/>
      <c r="CB25" s="254"/>
      <c r="CC25" s="254"/>
      <c r="CD25" s="254"/>
      <c r="CE25" s="254"/>
      <c r="CF25" s="254"/>
      <c r="CG25" s="254"/>
      <c r="CH25" s="254"/>
      <c r="CI25" s="254"/>
      <c r="CJ25" s="254"/>
      <c r="CK25" s="254"/>
      <c r="CL25" s="254"/>
    </row>
    <row r="26" spans="1:90" s="266" customFormat="1" x14ac:dyDescent="0.15">
      <c r="A26" s="265"/>
      <c r="D26" s="26" t="s">
        <v>351</v>
      </c>
      <c r="F26" s="26" t="s">
        <v>341</v>
      </c>
      <c r="G26" s="267">
        <f ca="1">-G31</f>
        <v>0</v>
      </c>
      <c r="H26" s="267">
        <f t="shared" ref="H26:BN26" ca="1" si="8">-H31</f>
        <v>0</v>
      </c>
      <c r="I26" s="267">
        <f t="shared" ca="1" si="8"/>
        <v>0</v>
      </c>
      <c r="J26" s="267">
        <f t="shared" ca="1" si="8"/>
        <v>0</v>
      </c>
      <c r="K26" s="267">
        <f t="shared" ca="1" si="8"/>
        <v>0</v>
      </c>
      <c r="L26" s="267">
        <f t="shared" ca="1" si="8"/>
        <v>-0.70000000000000007</v>
      </c>
      <c r="M26" s="267">
        <f t="shared" ca="1" si="8"/>
        <v>0</v>
      </c>
      <c r="N26" s="267">
        <f t="shared" ca="1" si="8"/>
        <v>0</v>
      </c>
      <c r="O26" s="267">
        <f t="shared" ca="1" si="8"/>
        <v>0</v>
      </c>
      <c r="P26" s="267">
        <f t="shared" ca="1" si="8"/>
        <v>0</v>
      </c>
      <c r="Q26" s="267">
        <f t="shared" ca="1" si="8"/>
        <v>0</v>
      </c>
      <c r="R26" s="267">
        <f t="shared" ca="1" si="8"/>
        <v>0</v>
      </c>
      <c r="S26" s="267">
        <f t="shared" ca="1" si="8"/>
        <v>0</v>
      </c>
      <c r="T26" s="267">
        <f t="shared" ca="1" si="8"/>
        <v>0</v>
      </c>
      <c r="U26" s="267">
        <f t="shared" ca="1" si="8"/>
        <v>-0.70000000000000007</v>
      </c>
      <c r="V26" s="267">
        <f t="shared" ca="1" si="8"/>
        <v>0</v>
      </c>
      <c r="W26" s="267">
        <f t="shared" ca="1" si="8"/>
        <v>0</v>
      </c>
      <c r="X26" s="267">
        <f t="shared" ca="1" si="8"/>
        <v>0</v>
      </c>
      <c r="Y26" s="267">
        <f t="shared" ca="1" si="8"/>
        <v>0</v>
      </c>
      <c r="Z26" s="267">
        <f t="shared" ca="1" si="8"/>
        <v>0</v>
      </c>
      <c r="AA26" s="267">
        <f t="shared" ca="1" si="8"/>
        <v>0</v>
      </c>
      <c r="AB26" s="267">
        <f t="shared" ca="1" si="8"/>
        <v>0</v>
      </c>
      <c r="AC26" s="267">
        <f t="shared" ca="1" si="8"/>
        <v>0</v>
      </c>
      <c r="AD26" s="267">
        <f t="shared" ca="1" si="8"/>
        <v>-0.70000000000000007</v>
      </c>
      <c r="AE26" s="267">
        <f t="shared" ca="1" si="8"/>
        <v>0</v>
      </c>
      <c r="AF26" s="267">
        <f t="shared" ca="1" si="8"/>
        <v>0</v>
      </c>
      <c r="AG26" s="267">
        <f t="shared" ca="1" si="8"/>
        <v>0</v>
      </c>
      <c r="AH26" s="267">
        <f t="shared" ca="1" si="8"/>
        <v>0</v>
      </c>
      <c r="AI26" s="267">
        <f t="shared" ca="1" si="8"/>
        <v>0</v>
      </c>
      <c r="AJ26" s="267">
        <f t="shared" ca="1" si="8"/>
        <v>0</v>
      </c>
      <c r="AK26" s="267">
        <f t="shared" ca="1" si="8"/>
        <v>0</v>
      </c>
      <c r="AL26" s="267">
        <f t="shared" ca="1" si="8"/>
        <v>0</v>
      </c>
      <c r="AM26" s="267">
        <f t="shared" ca="1" si="8"/>
        <v>0</v>
      </c>
      <c r="AN26" s="267">
        <f t="shared" ca="1" si="8"/>
        <v>0</v>
      </c>
      <c r="AO26" s="267">
        <f t="shared" ca="1" si="8"/>
        <v>0</v>
      </c>
      <c r="AP26" s="267">
        <f t="shared" ca="1" si="8"/>
        <v>0</v>
      </c>
      <c r="AQ26" s="267">
        <f t="shared" ca="1" si="8"/>
        <v>0</v>
      </c>
      <c r="AR26" s="267">
        <f t="shared" ca="1" si="8"/>
        <v>0</v>
      </c>
      <c r="AS26" s="267">
        <f t="shared" ca="1" si="8"/>
        <v>0</v>
      </c>
      <c r="AT26" s="267">
        <f t="shared" ca="1" si="8"/>
        <v>0</v>
      </c>
      <c r="AU26" s="267">
        <f t="shared" ca="1" si="8"/>
        <v>0</v>
      </c>
      <c r="AV26" s="267">
        <f t="shared" ca="1" si="8"/>
        <v>0</v>
      </c>
      <c r="AW26" s="267">
        <f t="shared" ca="1" si="8"/>
        <v>0</v>
      </c>
      <c r="AX26" s="267">
        <f t="shared" ca="1" si="8"/>
        <v>0</v>
      </c>
      <c r="AY26" s="267">
        <f t="shared" ca="1" si="8"/>
        <v>0</v>
      </c>
      <c r="AZ26" s="267">
        <f t="shared" ca="1" si="8"/>
        <v>0</v>
      </c>
      <c r="BA26" s="267">
        <f t="shared" ca="1" si="8"/>
        <v>0</v>
      </c>
      <c r="BB26" s="267">
        <f t="shared" ca="1" si="8"/>
        <v>0</v>
      </c>
      <c r="BC26" s="267">
        <f t="shared" ca="1" si="8"/>
        <v>0</v>
      </c>
      <c r="BD26" s="267">
        <f t="shared" ca="1" si="8"/>
        <v>0</v>
      </c>
      <c r="BE26" s="267">
        <f t="shared" ca="1" si="8"/>
        <v>0</v>
      </c>
      <c r="BF26" s="267">
        <f t="shared" ca="1" si="8"/>
        <v>0</v>
      </c>
      <c r="BG26" s="267">
        <f t="shared" ca="1" si="8"/>
        <v>0</v>
      </c>
      <c r="BH26" s="267">
        <f t="shared" ca="1" si="8"/>
        <v>0</v>
      </c>
      <c r="BI26" s="267">
        <f t="shared" ca="1" si="8"/>
        <v>0</v>
      </c>
      <c r="BJ26" s="267">
        <f t="shared" ca="1" si="8"/>
        <v>0</v>
      </c>
      <c r="BK26" s="267">
        <f t="shared" ca="1" si="8"/>
        <v>0</v>
      </c>
      <c r="BL26" s="267">
        <f t="shared" ca="1" si="8"/>
        <v>0</v>
      </c>
      <c r="BM26" s="267">
        <f t="shared" ca="1" si="8"/>
        <v>0</v>
      </c>
      <c r="BN26" s="267">
        <f t="shared" ca="1" si="8"/>
        <v>0</v>
      </c>
      <c r="BO26" s="263"/>
      <c r="BP26" s="263"/>
      <c r="BQ26" s="263"/>
      <c r="BR26" s="263"/>
      <c r="BS26" s="263"/>
      <c r="BT26" s="263"/>
      <c r="BU26" s="263"/>
      <c r="BV26" s="263"/>
      <c r="BW26" s="263"/>
      <c r="BX26" s="263"/>
      <c r="BY26" s="263"/>
      <c r="BZ26" s="263"/>
      <c r="CA26" s="254"/>
      <c r="CB26" s="254"/>
      <c r="CC26" s="254"/>
      <c r="CD26" s="254"/>
      <c r="CE26" s="254"/>
      <c r="CF26" s="254"/>
      <c r="CG26" s="254"/>
      <c r="CH26" s="254"/>
      <c r="CI26" s="254"/>
      <c r="CJ26" s="254"/>
      <c r="CK26" s="254"/>
      <c r="CL26" s="254"/>
    </row>
    <row r="27" spans="1:90" x14ac:dyDescent="0.15">
      <c r="A27" s="268"/>
      <c r="C27" s="260"/>
      <c r="D27" s="26" t="s">
        <v>352</v>
      </c>
      <c r="F27" s="26" t="s">
        <v>341</v>
      </c>
      <c r="G27" s="267"/>
      <c r="H27" s="267" cm="1">
        <f t="array" aca="1" ref="H27" ca="1">IF(G7&gt;SAP_Leadsheet!$E$21,0,-G202*INDEX(SAP_Leadsheet!$E$28:$I$28,1,SAP_Spreadsheet!G6)-H33)</f>
        <v>-6.1915833988486962E-2</v>
      </c>
      <c r="I27" s="267" cm="1">
        <f t="array" aca="1" ref="I27" ca="1">IF(H7&gt;SAP_Leadsheet!$E$21,0,-H202*INDEX(SAP_Leadsheet!$E$28:$I$28,1,SAP_Spreadsheet!H6)-I33)</f>
        <v>-0.2320446425719486</v>
      </c>
      <c r="J27" s="267" cm="1">
        <f t="array" aca="1" ref="J27" ca="1">IF(I7&gt;SAP_Leadsheet!$E$21,0,-I202*INDEX(SAP_Leadsheet!$E$28:$I$28,1,SAP_Spreadsheet!I6)-J33)</f>
        <v>-0.35637963374156584</v>
      </c>
      <c r="K27" s="267" cm="1">
        <f t="array" aca="1" ref="K27" ca="1">IF(J7&gt;SAP_Leadsheet!$E$21,0,-J202*INDEX(SAP_Leadsheet!$E$28:$I$28,1,SAP_Spreadsheet!J6)-K33)</f>
        <v>-0.41299127357245574</v>
      </c>
      <c r="L27" s="267" cm="1">
        <f t="array" aca="1" ref="L27" ca="1">IF(K7&gt;SAP_Leadsheet!$E$21,0,-K202*INDEX(SAP_Leadsheet!$E$28:$I$28,1,SAP_Spreadsheet!K6)-L33)</f>
        <v>-0.42295241116558052</v>
      </c>
      <c r="M27" s="267" cm="1">
        <f t="array" aca="1" ref="M27" ca="1">IF(L7&gt;SAP_Leadsheet!$E$21,0,-L202*INDEX(SAP_Leadsheet!$E$28:$I$28,1,SAP_Spreadsheet!L6)-M33)</f>
        <v>-0.33348506269904465</v>
      </c>
      <c r="N27" s="267" cm="1">
        <f t="array" aca="1" ref="N27" ca="1">IF(M7&gt;SAP_Leadsheet!$E$21,0,-M202*INDEX(SAP_Leadsheet!$E$28:$I$28,1,SAP_Spreadsheet!M6)-N33)</f>
        <v>-0.31631847643227201</v>
      </c>
      <c r="O27" s="267" cm="1">
        <f t="array" aca="1" ref="O27" ca="1">IF(N7&gt;SAP_Leadsheet!$E$21,0,-N202*INDEX(SAP_Leadsheet!$E$28:$I$28,1,SAP_Spreadsheet!N6)-O33)</f>
        <v>-0.29452411216491342</v>
      </c>
      <c r="P27" s="267" cm="1">
        <f t="array" aca="1" ref="P27" ca="1">IF(O7&gt;SAP_Leadsheet!$E$21,0,-O202*INDEX(SAP_Leadsheet!$E$28:$I$28,1,SAP_Spreadsheet!O6)-P33)</f>
        <v>-0.27489046224416175</v>
      </c>
      <c r="Q27" s="267" cm="1">
        <f t="array" aca="1" ref="Q27" ca="1">IF(P7&gt;SAP_Leadsheet!$E$21,0,-P202*INDEX(SAP_Leadsheet!$E$28:$I$28,1,SAP_Spreadsheet!P6)-Q33)</f>
        <v>-0.24863823058128734</v>
      </c>
      <c r="R27" s="267" cm="1">
        <f t="array" aca="1" ref="R27" ca="1">IF(Q7&gt;SAP_Leadsheet!$E$21,0,-Q202*INDEX(SAP_Leadsheet!$E$28:$I$28,1,SAP_Spreadsheet!Q6)-R33)</f>
        <v>-0.21888750525931083</v>
      </c>
      <c r="S27" s="267" cm="1">
        <f t="array" aca="1" ref="S27" ca="1">IF(R7&gt;SAP_Leadsheet!$E$21,0,-R202*INDEX(SAP_Leadsheet!$E$28:$I$28,1,SAP_Spreadsheet!R6)-S33)</f>
        <v>-0.19121746957449678</v>
      </c>
      <c r="T27" s="267" cm="1">
        <f t="array" aca="1" ref="T27" ca="1">IF(S7&gt;SAP_Leadsheet!$E$21,0,-S202*INDEX(SAP_Leadsheet!$E$28:$I$28,1,SAP_Spreadsheet!S6)-T33)</f>
        <v>-0.23324743069530801</v>
      </c>
      <c r="U27" s="267" cm="1">
        <f t="array" aca="1" ref="U27" ca="1">IF(T7&gt;SAP_Leadsheet!$E$21,0,-T202*INDEX(SAP_Leadsheet!$E$28:$I$28,1,SAP_Spreadsheet!T6)-U33)</f>
        <v>-0.22810183815051385</v>
      </c>
      <c r="V27" s="267" cm="1">
        <f t="array" aca="1" ref="V27" ca="1">IF(U7&gt;SAP_Leadsheet!$E$21,0,-U202*INDEX(SAP_Leadsheet!$E$28:$I$28,1,SAP_Spreadsheet!U6)-V33)</f>
        <v>-0.15577160390875672</v>
      </c>
      <c r="W27" s="267" cm="1">
        <f t="array" aca="1" ref="W27" ca="1">IF(V7&gt;SAP_Leadsheet!$E$21,0,-V202*INDEX(SAP_Leadsheet!$E$28:$I$28,1,SAP_Spreadsheet!V6)-W33)</f>
        <v>-0.14590688994807949</v>
      </c>
      <c r="X27" s="267" cm="1">
        <f t="array" aca="1" ref="X27" ca="1">IF(W7&gt;SAP_Leadsheet!$E$21,0,-W202*INDEX(SAP_Leadsheet!$E$28:$I$28,1,SAP_Spreadsheet!W6)-X33)</f>
        <v>-0.13180039253020931</v>
      </c>
      <c r="Y27" s="267" cm="1">
        <f t="array" aca="1" ref="Y27" ca="1">IF(X7&gt;SAP_Leadsheet!$E$21,0,-X202*INDEX(SAP_Leadsheet!$E$28:$I$28,1,SAP_Spreadsheet!X6)-Y33)</f>
        <v>-0.12729529187412542</v>
      </c>
      <c r="Z27" s="267" cm="1">
        <f t="array" aca="1" ref="Z27" ca="1">IF(Y7&gt;SAP_Leadsheet!$E$21,0,-Y202*INDEX(SAP_Leadsheet!$E$28:$I$28,1,SAP_Spreadsheet!Y6)-Z33)</f>
        <v>-0.12580175563828652</v>
      </c>
      <c r="AA27" s="267" cm="1">
        <f t="array" aca="1" ref="AA27" ca="1">IF(Z7&gt;SAP_Leadsheet!$E$21,0,-Z202*INDEX(SAP_Leadsheet!$E$28:$I$28,1,SAP_Spreadsheet!Z6)-AA33)</f>
        <v>-0.12591640331825865</v>
      </c>
      <c r="AB27" s="267" cm="1">
        <f t="array" aca="1" ref="AB27" ca="1">IF(AA7&gt;SAP_Leadsheet!$E$21,0,-AA202*INDEX(SAP_Leadsheet!$E$28:$I$28,1,SAP_Spreadsheet!AA6)-AB33)</f>
        <v>-0.12562972390384769</v>
      </c>
      <c r="AC27" s="267" cm="1">
        <f t="array" aca="1" ref="AC27" ca="1">IF(AB7&gt;SAP_Leadsheet!$E$21,0,-AB202*INDEX(SAP_Leadsheet!$E$28:$I$28,1,SAP_Spreadsheet!AB6)-AC33)</f>
        <v>-0.20514532969789293</v>
      </c>
      <c r="AD27" s="267" cm="1">
        <f t="array" aca="1" ref="AD27" ca="1">IF(AC7&gt;SAP_Leadsheet!$E$21,0,-AC202*INDEX(SAP_Leadsheet!$E$28:$I$28,1,SAP_Spreadsheet!AC6)-AD33)</f>
        <v>-0.20112505454602794</v>
      </c>
      <c r="AE27" s="267" cm="1">
        <f t="array" aca="1" ref="AE27" ca="1">IF(AD7&gt;SAP_Leadsheet!$E$21,0,-AD202*INDEX(SAP_Leadsheet!$E$28:$I$28,1,SAP_Spreadsheet!AD6)-AE33)</f>
        <v>-0.11572144012677625</v>
      </c>
      <c r="AF27" s="267" cm="1">
        <f t="array" aca="1" ref="AF27" ca="1">IF(AE7&gt;SAP_Leadsheet!$E$21,0,-AE202*INDEX(SAP_Leadsheet!$E$28:$I$28,1,SAP_Spreadsheet!AE6)-AF33)</f>
        <v>-0.11042661766036133</v>
      </c>
      <c r="AG27" s="267" cm="1">
        <f t="array" aca="1" ref="AG27" ca="1">IF(AF7&gt;SAP_Leadsheet!$E$21,0,-AF202*INDEX(SAP_Leadsheet!$E$28:$I$28,1,SAP_Spreadsheet!AF6)-AG33)</f>
        <v>-0.11335342709760335</v>
      </c>
      <c r="AH27" s="267" cm="1">
        <f t="array" aca="1" ref="AH27" ca="1">IF(AG7&gt;SAP_Leadsheet!$E$21,0,-AG202*INDEX(SAP_Leadsheet!$E$28:$I$28,1,SAP_Spreadsheet!AG6)-AH33)</f>
        <v>-0.1201170107771399</v>
      </c>
      <c r="AI27" s="267" cm="1">
        <f t="array" aca="1" ref="AI27" ca="1">IF(AH7&gt;SAP_Leadsheet!$E$21,0,-AH202*INDEX(SAP_Leadsheet!$E$28:$I$28,1,SAP_Spreadsheet!AH6)-AI33)</f>
        <v>-0.12322010028813855</v>
      </c>
      <c r="AJ27" s="267" cm="1">
        <f t="array" aca="1" ref="AJ27" ca="1">IF(AI7&gt;SAP_Leadsheet!$E$21,0,-AI202*INDEX(SAP_Leadsheet!$E$28:$I$28,1,SAP_Spreadsheet!AI6)-AJ33)</f>
        <v>-0.12206313149604724</v>
      </c>
      <c r="AK27" s="267" cm="1">
        <f t="array" aca="1" ref="AK27" ca="1">IF(AJ7&gt;SAP_Leadsheet!$E$21,0,-AJ202*INDEX(SAP_Leadsheet!$E$28:$I$28,1,SAP_Spreadsheet!AJ6)-AK33)</f>
        <v>-0.11842694920471571</v>
      </c>
      <c r="AL27" s="267" cm="1">
        <f t="array" aca="1" ref="AL27" ca="1">IF(AK7&gt;SAP_Leadsheet!$E$21,0,-AK202*INDEX(SAP_Leadsheet!$E$28:$I$28,1,SAP_Spreadsheet!AK6)-AL33)</f>
        <v>-0.1996351762521385</v>
      </c>
      <c r="AM27" s="267" cm="1">
        <f t="array" aca="1" ref="AM27" ca="1">IF(AL7&gt;SAP_Leadsheet!$E$21,0,-AL202*INDEX(SAP_Leadsheet!$E$28:$I$28,1,SAP_Spreadsheet!AL6)-AM33)</f>
        <v>-0.19673988680388763</v>
      </c>
      <c r="AN27" s="267" cm="1">
        <f t="array" aca="1" ref="AN27" ca="1">IF(AM7&gt;SAP_Leadsheet!$E$21,0,-AM202*INDEX(SAP_Leadsheet!$E$28:$I$28,1,SAP_Spreadsheet!AM6)-AN33)</f>
        <v>-0.19576117604136428</v>
      </c>
      <c r="AO27" s="267" cm="1">
        <f t="array" aca="1" ref="AO27" ca="1">IF(AN7&gt;SAP_Leadsheet!$E$21,0,-AN202*INDEX(SAP_Leadsheet!$E$28:$I$28,1,SAP_Spreadsheet!AN6)-AO33)</f>
        <v>-0.18996508392352832</v>
      </c>
      <c r="AP27" s="267" cm="1">
        <f t="array" aca="1" ref="AP27" ca="1">IF(AO7&gt;SAP_Leadsheet!$E$21,0,-AO202*INDEX(SAP_Leadsheet!$E$28:$I$28,1,SAP_Spreadsheet!AO6)-AP33)</f>
        <v>-0.1830898874626701</v>
      </c>
      <c r="AQ27" s="267" cm="1">
        <f t="array" aca="1" ref="AQ27" ca="1">IF(AP7&gt;SAP_Leadsheet!$E$21,0,-AP202*INDEX(SAP_Leadsheet!$E$28:$I$28,1,SAP_Spreadsheet!AP6)-AQ33)</f>
        <v>-0.17662342173938902</v>
      </c>
      <c r="AR27" s="267" cm="1">
        <f t="array" aca="1" ref="AR27" ca="1">IF(AQ7&gt;SAP_Leadsheet!$E$21,0,-AQ202*INDEX(SAP_Leadsheet!$E$28:$I$28,1,SAP_Spreadsheet!AQ6)-AR33)</f>
        <v>-0.17104483726883737</v>
      </c>
      <c r="AS27" s="267" cm="1">
        <f t="array" aca="1" ref="AS27" ca="1">IF(AR7&gt;SAP_Leadsheet!$E$21,0,-AR202*INDEX(SAP_Leadsheet!$E$28:$I$28,1,SAP_Spreadsheet!AR6)-AS33)</f>
        <v>-0.16648789902001868</v>
      </c>
      <c r="AT27" s="267" cm="1">
        <f t="array" aca="1" ref="AT27" ca="1">IF(AS7&gt;SAP_Leadsheet!$E$21,0,-AS202*INDEX(SAP_Leadsheet!$E$28:$I$28,1,SAP_Spreadsheet!AS6)-AT33)</f>
        <v>-0.16260732051082216</v>
      </c>
      <c r="AU27" s="267" cm="1">
        <f t="array" aca="1" ref="AU27" ca="1">IF(AT7&gt;SAP_Leadsheet!$E$21,0,-AT202*INDEX(SAP_Leadsheet!$E$28:$I$28,1,SAP_Spreadsheet!AT6)-AU33)</f>
        <v>-0.15901186688997748</v>
      </c>
      <c r="AV27" s="267" cm="1">
        <f t="array" aca="1" ref="AV27" ca="1">IF(AU7&gt;SAP_Leadsheet!$E$21,0,-AU202*INDEX(SAP_Leadsheet!$E$28:$I$28,1,SAP_Spreadsheet!AU6)-AV33)</f>
        <v>-0.15545591297921796</v>
      </c>
      <c r="AW27" s="267" cm="1">
        <f t="array" aca="1" ref="AW27" ca="1">IF(AV7&gt;SAP_Leadsheet!$E$21,0,-AV202*INDEX(SAP_Leadsheet!$E$28:$I$28,1,SAP_Spreadsheet!AV6)-AW33)</f>
        <v>-0.15195695734772063</v>
      </c>
      <c r="AX27" s="267" cm="1">
        <f t="array" aca="1" ref="AX27" ca="1">IF(AW7&gt;SAP_Leadsheet!$E$21,0,-AW202*INDEX(SAP_Leadsheet!$E$28:$I$28,1,SAP_Spreadsheet!AW6)-AX33)</f>
        <v>-0.14855105897711604</v>
      </c>
      <c r="AY27" s="267" cm="1">
        <f t="array" aca="1" ref="AY27" ca="1">IF(AX7&gt;SAP_Leadsheet!$E$21,0,-AX202*INDEX(SAP_Leadsheet!$E$28:$I$28,1,SAP_Spreadsheet!AX6)-AY33)</f>
        <v>-0.14539752155717794</v>
      </c>
      <c r="AZ27" s="267" cm="1">
        <f t="array" aca="1" ref="AZ27" ca="1">IF(AY7&gt;SAP_Leadsheet!$E$21,0,-AY202*INDEX(SAP_Leadsheet!$E$28:$I$28,1,SAP_Spreadsheet!AY6)-AZ33)</f>
        <v>-0.14248375253615678</v>
      </c>
      <c r="BA27" s="267" cm="1">
        <f t="array" aca="1" ref="BA27" ca="1">IF(AZ7&gt;SAP_Leadsheet!$E$21,0,-AZ202*INDEX(SAP_Leadsheet!$E$28:$I$28,1,SAP_Spreadsheet!AZ6)-BA33)</f>
        <v>-0.13935565450306273</v>
      </c>
      <c r="BB27" s="267" cm="1">
        <f t="array" aca="1" ref="BB27" ca="1">IF(BA7&gt;SAP_Leadsheet!$E$21,0,-BA202*INDEX(SAP_Leadsheet!$E$28:$I$28,1,SAP_Spreadsheet!BA6)-BB33)</f>
        <v>-0.13597184380841301</v>
      </c>
      <c r="BC27" s="267" cm="1">
        <f t="array" aca="1" ref="BC27" ca="1">IF(BB7&gt;SAP_Leadsheet!$E$21,0,-BB202*INDEX(SAP_Leadsheet!$E$28:$I$28,1,SAP_Spreadsheet!BB6)-BC33)</f>
        <v>-0.13241920772207452</v>
      </c>
      <c r="BD27" s="267" cm="1">
        <f t="array" aca="1" ref="BD27" ca="1">IF(BC7&gt;SAP_Leadsheet!$E$21,0,-BC202*INDEX(SAP_Leadsheet!$E$28:$I$28,1,SAP_Spreadsheet!BC6)-BD33)</f>
        <v>-0.12881912296086387</v>
      </c>
      <c r="BE27" s="267" cm="1">
        <f t="array" aca="1" ref="BE27" ca="1">IF(BD7&gt;SAP_Leadsheet!$E$21,0,-BD202*INDEX(SAP_Leadsheet!$E$28:$I$28,1,SAP_Spreadsheet!BD6)-BE33)</f>
        <v>-0.12528487699633176</v>
      </c>
      <c r="BF27" s="267" cm="1">
        <f t="array" aca="1" ref="BF27" ca="1">IF(BE7&gt;SAP_Leadsheet!$E$21,0,-BE202*INDEX(SAP_Leadsheet!$E$28:$I$28,1,SAP_Spreadsheet!BE6)-BF33)</f>
        <v>-0.12182070343258518</v>
      </c>
      <c r="BG27" s="267" cm="1">
        <f t="array" aca="1" ref="BG27" ca="1">IF(BF7&gt;SAP_Leadsheet!$E$21,0,-BF202*INDEX(SAP_Leadsheet!$E$28:$I$28,1,SAP_Spreadsheet!BF6)-BG33)</f>
        <v>-0.11840119349970343</v>
      </c>
      <c r="BH27" s="267" cm="1">
        <f t="array" aca="1" ref="BH27" ca="1">IF(BG7&gt;SAP_Leadsheet!$E$21,0,-BG202*INDEX(SAP_Leadsheet!$E$28:$I$28,1,SAP_Spreadsheet!BG6)-BH33)</f>
        <v>-0.11500415957513956</v>
      </c>
      <c r="BI27" s="267" cm="1">
        <f t="array" aca="1" ref="BI27" ca="1">IF(BH7&gt;SAP_Leadsheet!$E$21,0,-BH202*INDEX(SAP_Leadsheet!$E$28:$I$28,1,SAP_Spreadsheet!BH6)-BI33)</f>
        <v>-0.11161860416050648</v>
      </c>
      <c r="BJ27" s="267" cm="1">
        <f t="array" aca="1" ref="BJ27" ca="1">IF(BI7&gt;SAP_Leadsheet!$E$21,0,-BI202*INDEX(SAP_Leadsheet!$E$28:$I$28,1,SAP_Spreadsheet!BI6)-BJ33)</f>
        <v>-0.10824126047290036</v>
      </c>
      <c r="BK27" s="267" cm="1">
        <f t="array" aca="1" ref="BK27" ca="1">IF(BJ7&gt;SAP_Leadsheet!$E$21,0,-BJ202*INDEX(SAP_Leadsheet!$E$28:$I$28,1,SAP_Spreadsheet!BJ6)-BK33)</f>
        <v>-0.10494815285568725</v>
      </c>
      <c r="BL27" s="267" cm="1">
        <f t="array" aca="1" ref="BL27" ca="1">IF(BK7&gt;SAP_Leadsheet!$E$21,0,-BK202*INDEX(SAP_Leadsheet!$E$28:$I$28,1,SAP_Spreadsheet!BK6)-BL33)</f>
        <v>-0.10179371813763602</v>
      </c>
      <c r="BM27" s="267" cm="1">
        <f t="array" aca="1" ref="BM27" ca="1">IF(BL7&gt;SAP_Leadsheet!$E$21,0,-BL202*INDEX(SAP_Leadsheet!$E$28:$I$28,1,SAP_Spreadsheet!BL6)-BM33)</f>
        <v>-9.8580025581649175E-2</v>
      </c>
      <c r="BN27" s="267" cm="1">
        <f t="array" aca="1" ref="BN27" ca="1">IF(BM7&gt;SAP_Leadsheet!$E$21,0,-BM202*INDEX(SAP_Leadsheet!$E$28:$I$28,1,SAP_Spreadsheet!BM6)-BN33)</f>
        <v>-9.5278857085248969E-2</v>
      </c>
      <c r="BO27" s="263"/>
      <c r="BP27" s="263"/>
      <c r="BQ27" s="263"/>
      <c r="BR27" s="263"/>
      <c r="BS27" s="263"/>
      <c r="BT27" s="263"/>
      <c r="BU27" s="263"/>
      <c r="BV27" s="263"/>
      <c r="BW27" s="263"/>
      <c r="BX27" s="263"/>
      <c r="BY27" s="263"/>
      <c r="BZ27" s="263"/>
      <c r="CA27" s="254"/>
      <c r="CB27" s="254"/>
      <c r="CC27" s="254"/>
      <c r="CD27" s="254"/>
      <c r="CE27" s="254"/>
      <c r="CF27" s="254"/>
      <c r="CG27" s="254"/>
      <c r="CH27" s="254"/>
      <c r="CI27" s="254"/>
      <c r="CJ27" s="254"/>
      <c r="CK27" s="254"/>
      <c r="CL27" s="254"/>
    </row>
    <row r="28" spans="1:90" s="23" customFormat="1" x14ac:dyDescent="0.15">
      <c r="A28" s="50"/>
      <c r="C28" s="269"/>
      <c r="D28" s="23" t="s">
        <v>353</v>
      </c>
      <c r="F28" s="23" t="s">
        <v>341</v>
      </c>
      <c r="G28" s="262">
        <f ca="1">IF(SAP_Leadsheet!$E$21&lt;G7,0,SUM(G23:G27))</f>
        <v>0.45732039052310158</v>
      </c>
      <c r="H28" s="262">
        <f ca="1">IF(SAP_Leadsheet!$E$21&lt;H7,0,SUM(H23:H27))</f>
        <v>0.83586421013723056</v>
      </c>
      <c r="I28" s="262">
        <f ca="1">IF(SAP_Leadsheet!$E$21&lt;I7,0,SUM(I23:I27))</f>
        <v>1.0274184842474121</v>
      </c>
      <c r="J28" s="262">
        <f ca="1">IF(SAP_Leadsheet!$E$21&lt;J7,0,SUM(J23:J27))</f>
        <v>1.0777770302674909</v>
      </c>
      <c r="K28" s="262">
        <f ca="1">IF(SAP_Leadsheet!$E$21&lt;K7,0,SUM(K23:K27))</f>
        <v>1.0546631995361941</v>
      </c>
      <c r="L28" s="262">
        <f ca="1">IF(SAP_Leadsheet!$E$21&lt;L7,0,SUM(L23:L27))</f>
        <v>0.30472749429128682</v>
      </c>
      <c r="M28" s="262">
        <f ca="1">IF(SAP_Leadsheet!$E$21&lt;M7,0,SUM(M23:M27))</f>
        <v>0.32739840059242975</v>
      </c>
      <c r="N28" s="262">
        <f ca="1">IF(SAP_Leadsheet!$E$21&lt;N7,0,SUM(N23:N27))</f>
        <v>0.37367685590967387</v>
      </c>
      <c r="O28" s="262">
        <f ca="1">IF(SAP_Leadsheet!$E$21&lt;O7,0,SUM(O23:O27))</f>
        <v>0.43117237193302266</v>
      </c>
      <c r="P28" s="262">
        <f ca="1">IF(SAP_Leadsheet!$E$21&lt;P7,0,SUM(P23:P27))</f>
        <v>0.49702105966969085</v>
      </c>
      <c r="Q28" s="262">
        <f ca="1">IF(SAP_Leadsheet!$E$21&lt;Q7,0,SUM(Q23:Q27))</f>
        <v>0.57563831497913154</v>
      </c>
      <c r="R28" s="262">
        <f ca="1">IF(SAP_Leadsheet!$E$21&lt;R7,0,SUM(R23:R27))</f>
        <v>0.66868738032795405</v>
      </c>
      <c r="S28" s="262">
        <f ca="1">IF(SAP_Leadsheet!$E$21&lt;S7,0,SUM(S23:S27))</f>
        <v>0.78277729305750976</v>
      </c>
      <c r="T28" s="262">
        <f ca="1">IF(SAP_Leadsheet!$E$21&lt;T7,0,SUM(T23:T27))</f>
        <v>0.8469439715140783</v>
      </c>
      <c r="U28" s="262">
        <f ca="1">IF(SAP_Leadsheet!$E$21&lt;U7,0,SUM(U23:U27))</f>
        <v>0.17084774905963432</v>
      </c>
      <c r="V28" s="262">
        <f ca="1">IF(SAP_Leadsheet!$E$21&lt;V7,0,SUM(V23:V27))</f>
        <v>0.26046620461305092</v>
      </c>
      <c r="W28" s="262">
        <f ca="1">IF(SAP_Leadsheet!$E$21&lt;W7,0,SUM(W23:W27))</f>
        <v>0.37632600857067505</v>
      </c>
      <c r="X28" s="262">
        <f ca="1">IF(SAP_Leadsheet!$E$21&lt;X7,0,SUM(X23:X27))</f>
        <v>0.49795573388328379</v>
      </c>
      <c r="Y28" s="262">
        <f ca="1">IF(SAP_Leadsheet!$E$21&lt;Y7,0,SUM(Y23:Y27))</f>
        <v>0.61504739510277395</v>
      </c>
      <c r="Z28" s="262">
        <f ca="1">IF(SAP_Leadsheet!$E$21&lt;Z7,0,SUM(Z23:Z27))</f>
        <v>0.72499287476393337</v>
      </c>
      <c r="AA28" s="262">
        <f ca="1">IF(SAP_Leadsheet!$E$21&lt;AA7,0,SUM(AA23:AA27))</f>
        <v>0.82690337597465713</v>
      </c>
      <c r="AB28" s="262">
        <f ca="1">IF(SAP_Leadsheet!$E$21&lt;AB7,0,SUM(AB23:AB27))</f>
        <v>0.92287142911286169</v>
      </c>
      <c r="AC28" s="262">
        <f ca="1">IF(SAP_Leadsheet!$E$21&lt;AC7,0,SUM(AC23:AC27))</f>
        <v>0.93328074317749832</v>
      </c>
      <c r="AD28" s="262">
        <f ca="1">IF(SAP_Leadsheet!$E$21&lt;AD7,0,SUM(AD23:AD27))</f>
        <v>0.22462129822247121</v>
      </c>
      <c r="AE28" s="262">
        <f ca="1">IF(SAP_Leadsheet!$E$21&lt;AE7,0,SUM(AE23:AE27))</f>
        <v>0.34023391741230058</v>
      </c>
      <c r="AF28" s="262">
        <f ca="1">IF(SAP_Leadsheet!$E$21&lt;AF7,0,SUM(AF23:AF27))</f>
        <v>0.47369791605211564</v>
      </c>
      <c r="AG28" s="262">
        <f ca="1">IF(SAP_Leadsheet!$E$21&lt;AG7,0,SUM(AG23:AG27))</f>
        <v>0.5984489615011287</v>
      </c>
      <c r="AH28" s="262">
        <f ca="1">IF(SAP_Leadsheet!$E$21&lt;AH7,0,SUM(AH23:AH27))</f>
        <v>0.71022306801422141</v>
      </c>
      <c r="AI28" s="262">
        <f ca="1">IF(SAP_Leadsheet!$E$21&lt;AI7,0,SUM(AI23:AI27))</f>
        <v>0.81316731519843422</v>
      </c>
      <c r="AJ28" s="262">
        <f ca="1">IF(SAP_Leadsheet!$E$21&lt;AJ7,0,SUM(AJ23:AJ27))</f>
        <v>0.91197819335184627</v>
      </c>
      <c r="AK28" s="262">
        <f ca="1">IF(SAP_Leadsheet!$E$21&lt;AK7,0,SUM(AK23:AK27))</f>
        <v>1.0094227007296115</v>
      </c>
      <c r="AL28" s="262">
        <f ca="1">IF(SAP_Leadsheet!$E$21&lt;AL7,0,SUM(AL23:AL27))</f>
        <v>1.0208333972542289</v>
      </c>
      <c r="AM28" s="262">
        <f ca="1">IF(SAP_Leadsheet!$E$21&lt;AM7,0,SUM(AM23:AM27))</f>
        <v>1.016198665346552</v>
      </c>
      <c r="AN28" s="262">
        <f ca="1">IF(SAP_Leadsheet!$E$21&lt;AN7,0,SUM(AN23:AN27))</f>
        <v>1.0076390311488492</v>
      </c>
      <c r="AO28" s="262">
        <f ca="1">IF(SAP_Leadsheet!$E$21&lt;AO7,0,SUM(AO23:AO27))</f>
        <v>0.99997187601643311</v>
      </c>
      <c r="AP28" s="262">
        <f ca="1">IF(SAP_Leadsheet!$E$21&lt;AP7,0,SUM(AP23:AP27))</f>
        <v>0.99427630429232572</v>
      </c>
      <c r="AQ28" s="262">
        <f ca="1">IF(SAP_Leadsheet!$E$21&lt;AQ7,0,SUM(AQ23:AQ27))</f>
        <v>0.99130637829544288</v>
      </c>
      <c r="AR28" s="262">
        <f ca="1">IF(SAP_Leadsheet!$E$21&lt;AR7,0,SUM(AR23:AR27))</f>
        <v>0.99017421677305539</v>
      </c>
      <c r="AS28" s="262">
        <f ca="1">IF(SAP_Leadsheet!$E$21&lt;AS7,0,SUM(AS23:AS27))</f>
        <v>0.98985817350342997</v>
      </c>
      <c r="AT28" s="262">
        <f ca="1">IF(SAP_Leadsheet!$E$21&lt;AT7,0,SUM(AT23:AT27))</f>
        <v>0.98968188874694463</v>
      </c>
      <c r="AU28" s="262">
        <f ca="1">IF(SAP_Leadsheet!$E$21&lt;AU7,0,SUM(AU23:AU27))</f>
        <v>0.98936023761524738</v>
      </c>
      <c r="AV28" s="262">
        <f ca="1">IF(SAP_Leadsheet!$E$21&lt;AV7,0,SUM(AV23:AV27))</f>
        <v>0.98885372039825326</v>
      </c>
      <c r="AW28" s="262">
        <f ca="1">IF(SAP_Leadsheet!$E$21&lt;AW7,0,SUM(AW23:AW27))</f>
        <v>0.98810533881669982</v>
      </c>
      <c r="AX28" s="262">
        <f ca="1">IF(SAP_Leadsheet!$E$21&lt;AX7,0,SUM(AX23:AX27))</f>
        <v>0.98702203560969448</v>
      </c>
      <c r="AY28" s="262">
        <f ca="1">IF(SAP_Leadsheet!$E$21&lt;AY7,0,SUM(AY23:AY27))</f>
        <v>0.98535144982657097</v>
      </c>
      <c r="AZ28" s="262">
        <f ca="1">IF(SAP_Leadsheet!$E$21&lt;AZ7,0,SUM(AZ23:AZ27))</f>
        <v>0.98285381306841202</v>
      </c>
      <c r="BA28" s="262">
        <f ca="1">IF(SAP_Leadsheet!$E$21&lt;BA7,0,SUM(BA23:BA27))</f>
        <v>0.97974345434729071</v>
      </c>
      <c r="BB28" s="262">
        <f ca="1">IF(SAP_Leadsheet!$E$21&lt;BB7,0,SUM(BB23:BB27))</f>
        <v>0.97627608632476259</v>
      </c>
      <c r="BC28" s="262">
        <f ca="1">IF(SAP_Leadsheet!$E$21&lt;BC7,0,SUM(BC23:BC27))</f>
        <v>0.97286062567513221</v>
      </c>
      <c r="BD28" s="262">
        <f ca="1">IF(SAP_Leadsheet!$E$21&lt;BD7,0,SUM(BD23:BD27))</f>
        <v>0.96954452107327171</v>
      </c>
      <c r="BE28" s="262">
        <f ca="1">IF(SAP_Leadsheet!$E$21&lt;BE7,0,SUM(BE23:BE27))</f>
        <v>0.96626193372250246</v>
      </c>
      <c r="BF28" s="262">
        <f ca="1">IF(SAP_Leadsheet!$E$21&lt;BF7,0,SUM(BF23:BF27))</f>
        <v>0.96294279122203907</v>
      </c>
      <c r="BG28" s="262">
        <f ca="1">IF(SAP_Leadsheet!$E$21&lt;BG7,0,SUM(BG23:BG27))</f>
        <v>0.95954242994101657</v>
      </c>
      <c r="BH28" s="262">
        <f ca="1">IF(SAP_Leadsheet!$E$21&lt;BH7,0,SUM(BH23:BH27))</f>
        <v>0.95603837387111723</v>
      </c>
      <c r="BI28" s="262">
        <f ca="1">IF(SAP_Leadsheet!$E$21&lt;BI7,0,SUM(BI23:BI27))</f>
        <v>0.95241914450241039</v>
      </c>
      <c r="BJ28" s="262">
        <f ca="1">IF(SAP_Leadsheet!$E$21&lt;BJ7,0,SUM(BJ23:BJ27))</f>
        <v>0.94867653010786879</v>
      </c>
      <c r="BK28" s="262">
        <f ca="1">IF(SAP_Leadsheet!$E$21&lt;BK7,0,SUM(BK23:BK27))</f>
        <v>0.94472629461709956</v>
      </c>
      <c r="BL28" s="262">
        <f ca="1">IF(SAP_Leadsheet!$E$21&lt;BL7,0,SUM(BL23:BL27))</f>
        <v>0.94042976513094079</v>
      </c>
      <c r="BM28" s="262">
        <f ca="1">IF(SAP_Leadsheet!$E$21&lt;BM7,0,SUM(BM23:BM27))</f>
        <v>0.93584619948732817</v>
      </c>
      <c r="BN28" s="262">
        <f ca="1">IF(SAP_Leadsheet!$E$21&lt;BN7,0,SUM(BN23:BN27))</f>
        <v>0.93106307362667495</v>
      </c>
      <c r="BO28" s="263"/>
      <c r="BP28" s="263"/>
      <c r="BQ28" s="263"/>
      <c r="BR28" s="263"/>
      <c r="BS28" s="263"/>
      <c r="BT28" s="263"/>
      <c r="BU28" s="263"/>
      <c r="BV28" s="263"/>
      <c r="BW28" s="263"/>
      <c r="BX28" s="263"/>
      <c r="BY28" s="263"/>
      <c r="BZ28" s="263"/>
      <c r="CA28" s="264"/>
      <c r="CB28" s="264"/>
      <c r="CC28" s="264"/>
      <c r="CD28" s="264"/>
      <c r="CE28" s="264"/>
      <c r="CF28" s="264"/>
      <c r="CG28" s="264"/>
      <c r="CH28" s="264"/>
      <c r="CI28" s="264"/>
      <c r="CJ28" s="264"/>
      <c r="CK28" s="264"/>
      <c r="CL28" s="264"/>
    </row>
    <row r="29" spans="1:90" s="23" customFormat="1" x14ac:dyDescent="0.15">
      <c r="A29" s="50"/>
      <c r="C29" s="269"/>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62"/>
      <c r="AY29" s="262"/>
      <c r="AZ29" s="262"/>
      <c r="BA29" s="262"/>
      <c r="BB29" s="262"/>
      <c r="BC29" s="262"/>
      <c r="BD29" s="262"/>
      <c r="BE29" s="262"/>
      <c r="BF29" s="262"/>
      <c r="BG29" s="262"/>
      <c r="BH29" s="262"/>
      <c r="BI29" s="262"/>
      <c r="BJ29" s="262"/>
      <c r="BK29" s="262"/>
      <c r="BL29" s="262"/>
      <c r="BM29" s="262"/>
      <c r="BN29" s="262"/>
      <c r="BO29" s="263"/>
      <c r="BP29" s="263"/>
      <c r="BQ29" s="263"/>
      <c r="BR29" s="263"/>
      <c r="BS29" s="263"/>
      <c r="BT29" s="263"/>
      <c r="BU29" s="263"/>
      <c r="BV29" s="263"/>
      <c r="BW29" s="263"/>
      <c r="BX29" s="263"/>
      <c r="BY29" s="263"/>
      <c r="BZ29" s="263"/>
      <c r="CA29" s="264"/>
      <c r="CB29" s="264"/>
      <c r="CC29" s="264"/>
      <c r="CD29" s="264"/>
      <c r="CE29" s="264"/>
      <c r="CF29" s="264"/>
      <c r="CG29" s="264"/>
      <c r="CH29" s="264"/>
      <c r="CI29" s="264"/>
      <c r="CJ29" s="264"/>
      <c r="CK29" s="264"/>
      <c r="CL29" s="264"/>
    </row>
    <row r="30" spans="1:90" s="23" customFormat="1" x14ac:dyDescent="0.15">
      <c r="A30" s="50"/>
      <c r="B30" s="23" t="s">
        <v>354</v>
      </c>
      <c r="C30" s="269" t="s">
        <v>355</v>
      </c>
      <c r="D30" s="23" t="s">
        <v>348</v>
      </c>
      <c r="F30" s="23" t="s">
        <v>341</v>
      </c>
      <c r="G30" s="262">
        <f>G38+G106</f>
        <v>0</v>
      </c>
      <c r="H30" s="262">
        <f ca="1">H38+H106</f>
        <v>0</v>
      </c>
      <c r="I30" s="262">
        <f t="shared" ref="I30:BN30" ca="1" si="9">I38+I106</f>
        <v>0</v>
      </c>
      <c r="J30" s="262">
        <f t="shared" ca="1" si="9"/>
        <v>0</v>
      </c>
      <c r="K30" s="262">
        <f t="shared" ca="1" si="9"/>
        <v>0</v>
      </c>
      <c r="L30" s="262">
        <f t="shared" ca="1" si="9"/>
        <v>0</v>
      </c>
      <c r="M30" s="262">
        <f t="shared" ca="1" si="9"/>
        <v>0.70000000000000007</v>
      </c>
      <c r="N30" s="262">
        <f t="shared" ca="1" si="9"/>
        <v>0.60000000000000009</v>
      </c>
      <c r="O30" s="262">
        <f t="shared" ca="1" si="9"/>
        <v>0.50000000000000011</v>
      </c>
      <c r="P30" s="262">
        <f t="shared" ca="1" si="9"/>
        <v>0.40000000000000013</v>
      </c>
      <c r="Q30" s="262">
        <f t="shared" ca="1" si="9"/>
        <v>0.30000000000000016</v>
      </c>
      <c r="R30" s="262">
        <f t="shared" ca="1" si="9"/>
        <v>0.20000000000000015</v>
      </c>
      <c r="S30" s="262">
        <f t="shared" ca="1" si="9"/>
        <v>0.10000000000000014</v>
      </c>
      <c r="T30" s="262">
        <f t="shared" ca="1" si="9"/>
        <v>1.3877787807814457E-16</v>
      </c>
      <c r="U30" s="262">
        <f t="shared" ca="1" si="9"/>
        <v>1.3877787807814457E-16</v>
      </c>
      <c r="V30" s="262">
        <f t="shared" ca="1" si="9"/>
        <v>0.70000000000000018</v>
      </c>
      <c r="W30" s="262">
        <f t="shared" ca="1" si="9"/>
        <v>0.6000000000000002</v>
      </c>
      <c r="X30" s="262">
        <f t="shared" ca="1" si="9"/>
        <v>0.50000000000000022</v>
      </c>
      <c r="Y30" s="262">
        <f t="shared" ca="1" si="9"/>
        <v>0.40000000000000024</v>
      </c>
      <c r="Z30" s="262">
        <f t="shared" ca="1" si="9"/>
        <v>0.30000000000000027</v>
      </c>
      <c r="AA30" s="262">
        <f t="shared" ca="1" si="9"/>
        <v>0.20000000000000026</v>
      </c>
      <c r="AB30" s="262">
        <f t="shared" ca="1" si="9"/>
        <v>0.10000000000000026</v>
      </c>
      <c r="AC30" s="262">
        <f t="shared" ca="1" si="9"/>
        <v>2.4980018054066022E-16</v>
      </c>
      <c r="AD30" s="262">
        <f t="shared" ca="1" si="9"/>
        <v>2.4980018054066022E-16</v>
      </c>
      <c r="AE30" s="262">
        <f t="shared" ca="1" si="9"/>
        <v>0.70000000000000029</v>
      </c>
      <c r="AF30" s="262">
        <f t="shared" ca="1" si="9"/>
        <v>0.60000000000000031</v>
      </c>
      <c r="AG30" s="262">
        <f t="shared" ca="1" si="9"/>
        <v>0.50000000000000033</v>
      </c>
      <c r="AH30" s="262">
        <f t="shared" ca="1" si="9"/>
        <v>0.40000000000000036</v>
      </c>
      <c r="AI30" s="262">
        <f t="shared" ca="1" si="9"/>
        <v>0.30000000000000038</v>
      </c>
      <c r="AJ30" s="262">
        <f t="shared" ca="1" si="9"/>
        <v>0.20000000000000037</v>
      </c>
      <c r="AK30" s="262">
        <f t="shared" ca="1" si="9"/>
        <v>0.10000000000000037</v>
      </c>
      <c r="AL30" s="262">
        <f t="shared" ca="1" si="9"/>
        <v>3.6082248300317588E-16</v>
      </c>
      <c r="AM30" s="262">
        <f t="shared" ca="1" si="9"/>
        <v>3.6082248300317588E-16</v>
      </c>
      <c r="AN30" s="262">
        <f t="shared" ca="1" si="9"/>
        <v>3.6082248300317588E-16</v>
      </c>
      <c r="AO30" s="262">
        <f t="shared" ca="1" si="9"/>
        <v>3.6082248300317588E-16</v>
      </c>
      <c r="AP30" s="262">
        <f t="shared" ca="1" si="9"/>
        <v>3.6082248300317588E-16</v>
      </c>
      <c r="AQ30" s="262">
        <f t="shared" ca="1" si="9"/>
        <v>3.6082248300317588E-16</v>
      </c>
      <c r="AR30" s="262">
        <f t="shared" ca="1" si="9"/>
        <v>3.6082248300317588E-16</v>
      </c>
      <c r="AS30" s="262">
        <f t="shared" ca="1" si="9"/>
        <v>3.6082248300317588E-16</v>
      </c>
      <c r="AT30" s="262">
        <f t="shared" ca="1" si="9"/>
        <v>3.6082248300317588E-16</v>
      </c>
      <c r="AU30" s="262">
        <f t="shared" ca="1" si="9"/>
        <v>3.6082248300317588E-16</v>
      </c>
      <c r="AV30" s="262">
        <f t="shared" ca="1" si="9"/>
        <v>3.6082248300317588E-16</v>
      </c>
      <c r="AW30" s="262">
        <f t="shared" ca="1" si="9"/>
        <v>3.6082248300317588E-16</v>
      </c>
      <c r="AX30" s="262">
        <f t="shared" ca="1" si="9"/>
        <v>3.6082248300317588E-16</v>
      </c>
      <c r="AY30" s="262">
        <f t="shared" ca="1" si="9"/>
        <v>3.6082248300317588E-16</v>
      </c>
      <c r="AZ30" s="262">
        <f t="shared" ca="1" si="9"/>
        <v>3.6082248300317588E-16</v>
      </c>
      <c r="BA30" s="262">
        <f t="shared" ca="1" si="9"/>
        <v>3.6082248300317588E-16</v>
      </c>
      <c r="BB30" s="262">
        <f t="shared" ca="1" si="9"/>
        <v>3.6082248300317588E-16</v>
      </c>
      <c r="BC30" s="262">
        <f t="shared" ca="1" si="9"/>
        <v>3.6082248300317588E-16</v>
      </c>
      <c r="BD30" s="262">
        <f t="shared" ca="1" si="9"/>
        <v>3.6082248300317588E-16</v>
      </c>
      <c r="BE30" s="262">
        <f t="shared" ca="1" si="9"/>
        <v>3.6082248300317588E-16</v>
      </c>
      <c r="BF30" s="262">
        <f t="shared" ca="1" si="9"/>
        <v>3.6082248300317588E-16</v>
      </c>
      <c r="BG30" s="262">
        <f t="shared" ca="1" si="9"/>
        <v>3.6082248300317588E-16</v>
      </c>
      <c r="BH30" s="262">
        <f t="shared" ca="1" si="9"/>
        <v>3.6082248300317588E-16</v>
      </c>
      <c r="BI30" s="262">
        <f t="shared" ca="1" si="9"/>
        <v>3.6082248300317588E-16</v>
      </c>
      <c r="BJ30" s="262">
        <f t="shared" ca="1" si="9"/>
        <v>3.6082248300317588E-16</v>
      </c>
      <c r="BK30" s="262">
        <f t="shared" ca="1" si="9"/>
        <v>3.6082248300317588E-16</v>
      </c>
      <c r="BL30" s="262">
        <f t="shared" ca="1" si="9"/>
        <v>3.6082248300317588E-16</v>
      </c>
      <c r="BM30" s="262">
        <f t="shared" ca="1" si="9"/>
        <v>3.6082248300317588E-16</v>
      </c>
      <c r="BN30" s="262">
        <f t="shared" ca="1" si="9"/>
        <v>3.6082248300317588E-16</v>
      </c>
      <c r="BO30" s="263"/>
      <c r="BP30" s="263"/>
      <c r="BQ30" s="263"/>
      <c r="BR30" s="263"/>
      <c r="BS30" s="263"/>
      <c r="BT30" s="263"/>
      <c r="BU30" s="263"/>
      <c r="BV30" s="263"/>
      <c r="BW30" s="263"/>
      <c r="BX30" s="263"/>
      <c r="BY30" s="263"/>
      <c r="BZ30" s="263"/>
      <c r="CA30" s="264"/>
      <c r="CB30" s="264"/>
      <c r="CC30" s="264"/>
      <c r="CD30" s="264"/>
      <c r="CE30" s="264"/>
      <c r="CF30" s="264"/>
      <c r="CG30" s="264"/>
      <c r="CH30" s="264"/>
      <c r="CI30" s="264"/>
      <c r="CJ30" s="264"/>
      <c r="CK30" s="264"/>
      <c r="CL30" s="264"/>
    </row>
    <row r="31" spans="1:90" s="23" customFormat="1" x14ac:dyDescent="0.15">
      <c r="A31" s="50"/>
      <c r="C31" s="269"/>
      <c r="D31" s="26" t="s">
        <v>356</v>
      </c>
      <c r="F31" s="26" t="s">
        <v>341</v>
      </c>
      <c r="G31" s="263">
        <f ca="1">IF(SAP_Leadsheet!$C$9="non-EMI",0,G39+G107)</f>
        <v>0</v>
      </c>
      <c r="H31" s="263">
        <f ca="1">IF(SAP_Leadsheet!$C$9="non-EMI",0,H39+H107)</f>
        <v>0</v>
      </c>
      <c r="I31" s="263">
        <f ca="1">IF(SAP_Leadsheet!$C$9="non-EMI",0,I39+I107)</f>
        <v>0</v>
      </c>
      <c r="J31" s="263">
        <f ca="1">IF(SAP_Leadsheet!$C$9="non-EMI",0,J39+J107)</f>
        <v>0</v>
      </c>
      <c r="K31" s="263">
        <f ca="1">IF(SAP_Leadsheet!$C$9="non-EMI",0,K39+K107)</f>
        <v>0</v>
      </c>
      <c r="L31" s="263">
        <f ca="1">IF(SAP_Leadsheet!$C$9="non-EMI",0,L39+L107)</f>
        <v>0.70000000000000007</v>
      </c>
      <c r="M31" s="263">
        <f ca="1">IF(SAP_Leadsheet!$C$9="non-EMI",0,M39+M107)</f>
        <v>0</v>
      </c>
      <c r="N31" s="263">
        <f ca="1">IF(SAP_Leadsheet!$C$9="non-EMI",0,N39+N107)</f>
        <v>0</v>
      </c>
      <c r="O31" s="263">
        <f ca="1">IF(SAP_Leadsheet!$C$9="non-EMI",0,O39+O107)</f>
        <v>0</v>
      </c>
      <c r="P31" s="263">
        <f ca="1">IF(SAP_Leadsheet!$C$9="non-EMI",0,P39+P107)</f>
        <v>0</v>
      </c>
      <c r="Q31" s="263">
        <f ca="1">IF(SAP_Leadsheet!$C$9="non-EMI",0,Q39+Q107)</f>
        <v>0</v>
      </c>
      <c r="R31" s="263">
        <f ca="1">IF(SAP_Leadsheet!$C$9="non-EMI",0,R39+R107)</f>
        <v>0</v>
      </c>
      <c r="S31" s="263">
        <f ca="1">IF(SAP_Leadsheet!$C$9="non-EMI",0,S39+S107)</f>
        <v>0</v>
      </c>
      <c r="T31" s="263">
        <f ca="1">IF(SAP_Leadsheet!$C$9="non-EMI",0,T39+T107)</f>
        <v>0</v>
      </c>
      <c r="U31" s="263">
        <f ca="1">IF(SAP_Leadsheet!$C$9="non-EMI",0,U39+U107)</f>
        <v>0.70000000000000007</v>
      </c>
      <c r="V31" s="263">
        <f ca="1">IF(SAP_Leadsheet!$C$9="non-EMI",0,V39+V107)</f>
        <v>0</v>
      </c>
      <c r="W31" s="263">
        <f ca="1">IF(SAP_Leadsheet!$C$9="non-EMI",0,W39+W107)</f>
        <v>0</v>
      </c>
      <c r="X31" s="263">
        <f ca="1">IF(SAP_Leadsheet!$C$9="non-EMI",0,X39+X107)</f>
        <v>0</v>
      </c>
      <c r="Y31" s="263">
        <f ca="1">IF(SAP_Leadsheet!$C$9="non-EMI",0,Y39+Y107)</f>
        <v>0</v>
      </c>
      <c r="Z31" s="263">
        <f ca="1">IF(SAP_Leadsheet!$C$9="non-EMI",0,Z39+Z107)</f>
        <v>0</v>
      </c>
      <c r="AA31" s="263">
        <f ca="1">IF(SAP_Leadsheet!$C$9="non-EMI",0,AA39+AA107)</f>
        <v>0</v>
      </c>
      <c r="AB31" s="263">
        <f ca="1">IF(SAP_Leadsheet!$C$9="non-EMI",0,AB39+AB107)</f>
        <v>0</v>
      </c>
      <c r="AC31" s="263">
        <f ca="1">IF(SAP_Leadsheet!$C$9="non-EMI",0,AC39+AC107)</f>
        <v>0</v>
      </c>
      <c r="AD31" s="263">
        <f ca="1">IF(SAP_Leadsheet!$C$9="non-EMI",0,AD39+AD107)</f>
        <v>0.70000000000000007</v>
      </c>
      <c r="AE31" s="263">
        <f ca="1">IF(SAP_Leadsheet!$C$9="non-EMI",0,AE39+AE107)</f>
        <v>0</v>
      </c>
      <c r="AF31" s="263">
        <f ca="1">IF(SAP_Leadsheet!$C$9="non-EMI",0,AF39+AF107)</f>
        <v>0</v>
      </c>
      <c r="AG31" s="263">
        <f ca="1">IF(SAP_Leadsheet!$C$9="non-EMI",0,AG39+AG107)</f>
        <v>0</v>
      </c>
      <c r="AH31" s="263">
        <f ca="1">IF(SAP_Leadsheet!$C$9="non-EMI",0,AH39+AH107)</f>
        <v>0</v>
      </c>
      <c r="AI31" s="263">
        <f ca="1">IF(SAP_Leadsheet!$C$9="non-EMI",0,AI39+AI107)</f>
        <v>0</v>
      </c>
      <c r="AJ31" s="263">
        <f ca="1">IF(SAP_Leadsheet!$C$9="non-EMI",0,AJ39+AJ107)</f>
        <v>0</v>
      </c>
      <c r="AK31" s="263">
        <f ca="1">IF(SAP_Leadsheet!$C$9="non-EMI",0,AK39+AK107)</f>
        <v>0</v>
      </c>
      <c r="AL31" s="263">
        <f ca="1">IF(SAP_Leadsheet!$C$9="non-EMI",0,AL39+AL107)</f>
        <v>0</v>
      </c>
      <c r="AM31" s="263">
        <f ca="1">IF(SAP_Leadsheet!$C$9="non-EMI",0,AM39+AM107)</f>
        <v>0</v>
      </c>
      <c r="AN31" s="263">
        <f ca="1">IF(SAP_Leadsheet!$C$9="non-EMI",0,AN39+AN107)</f>
        <v>0</v>
      </c>
      <c r="AO31" s="263">
        <f ca="1">IF(SAP_Leadsheet!$C$9="non-EMI",0,AO39+AO107)</f>
        <v>0</v>
      </c>
      <c r="AP31" s="263">
        <f ca="1">IF(SAP_Leadsheet!$C$9="non-EMI",0,AP39+AP107)</f>
        <v>0</v>
      </c>
      <c r="AQ31" s="263">
        <f ca="1">IF(SAP_Leadsheet!$C$9="non-EMI",0,AQ39+AQ107)</f>
        <v>0</v>
      </c>
      <c r="AR31" s="263">
        <f ca="1">IF(SAP_Leadsheet!$C$9="non-EMI",0,AR39+AR107)</f>
        <v>0</v>
      </c>
      <c r="AS31" s="263">
        <f ca="1">IF(SAP_Leadsheet!$C$9="non-EMI",0,AS39+AS107)</f>
        <v>0</v>
      </c>
      <c r="AT31" s="263">
        <f ca="1">IF(SAP_Leadsheet!$C$9="non-EMI",0,AT39+AT107)</f>
        <v>0</v>
      </c>
      <c r="AU31" s="263">
        <f ca="1">IF(SAP_Leadsheet!$C$9="non-EMI",0,AU39+AU107)</f>
        <v>0</v>
      </c>
      <c r="AV31" s="263">
        <f ca="1">IF(SAP_Leadsheet!$C$9="non-EMI",0,AV39+AV107)</f>
        <v>0</v>
      </c>
      <c r="AW31" s="263">
        <f ca="1">IF(SAP_Leadsheet!$C$9="non-EMI",0,AW39+AW107)</f>
        <v>0</v>
      </c>
      <c r="AX31" s="263">
        <f ca="1">IF(SAP_Leadsheet!$C$9="non-EMI",0,AX39+AX107)</f>
        <v>0</v>
      </c>
      <c r="AY31" s="263">
        <f ca="1">IF(SAP_Leadsheet!$C$9="non-EMI",0,AY39+AY107)</f>
        <v>0</v>
      </c>
      <c r="AZ31" s="263">
        <f ca="1">IF(SAP_Leadsheet!$C$9="non-EMI",0,AZ39+AZ107)</f>
        <v>0</v>
      </c>
      <c r="BA31" s="263">
        <f ca="1">IF(SAP_Leadsheet!$C$9="non-EMI",0,BA39+BA107)</f>
        <v>0</v>
      </c>
      <c r="BB31" s="263">
        <f ca="1">IF(SAP_Leadsheet!$C$9="non-EMI",0,BB39+BB107)</f>
        <v>0</v>
      </c>
      <c r="BC31" s="263">
        <f ca="1">IF(SAP_Leadsheet!$C$9="non-EMI",0,BC39+BC107)</f>
        <v>0</v>
      </c>
      <c r="BD31" s="263">
        <f ca="1">IF(SAP_Leadsheet!$C$9="non-EMI",0,BD39+BD107)</f>
        <v>0</v>
      </c>
      <c r="BE31" s="263">
        <f ca="1">IF(SAP_Leadsheet!$C$9="non-EMI",0,BE39+BE107)</f>
        <v>0</v>
      </c>
      <c r="BF31" s="263">
        <f ca="1">IF(SAP_Leadsheet!$C$9="non-EMI",0,BF39+BF107)</f>
        <v>0</v>
      </c>
      <c r="BG31" s="263">
        <f ca="1">IF(SAP_Leadsheet!$C$9="non-EMI",0,BG39+BG107)</f>
        <v>0</v>
      </c>
      <c r="BH31" s="263">
        <f ca="1">IF(SAP_Leadsheet!$C$9="non-EMI",0,BH39+BH107)</f>
        <v>0</v>
      </c>
      <c r="BI31" s="263">
        <f ca="1">IF(SAP_Leadsheet!$C$9="non-EMI",0,BI39+BI107)</f>
        <v>0</v>
      </c>
      <c r="BJ31" s="263">
        <f ca="1">IF(SAP_Leadsheet!$C$9="non-EMI",0,BJ39+BJ107)</f>
        <v>0</v>
      </c>
      <c r="BK31" s="263">
        <f ca="1">IF(SAP_Leadsheet!$C$9="non-EMI",0,BK39+BK107)</f>
        <v>0</v>
      </c>
      <c r="BL31" s="263">
        <f ca="1">IF(SAP_Leadsheet!$C$9="non-EMI",0,BL39+BL107)</f>
        <v>0</v>
      </c>
      <c r="BM31" s="263">
        <f ca="1">IF(SAP_Leadsheet!$C$9="non-EMI",0,BM39+BM107)</f>
        <v>0</v>
      </c>
      <c r="BN31" s="263">
        <f ca="1">IF(SAP_Leadsheet!$C$9="non-EMI",0,BN39+BN107)</f>
        <v>0</v>
      </c>
      <c r="BO31" s="263"/>
      <c r="BP31" s="263"/>
      <c r="BQ31" s="263"/>
      <c r="BR31" s="263"/>
      <c r="BS31" s="263"/>
      <c r="BT31" s="263"/>
      <c r="BU31" s="263"/>
      <c r="BV31" s="263"/>
      <c r="BW31" s="263"/>
      <c r="BX31" s="263"/>
      <c r="BY31" s="263"/>
      <c r="BZ31" s="263"/>
      <c r="CA31" s="264"/>
      <c r="CB31" s="264"/>
      <c r="CC31" s="264"/>
      <c r="CD31" s="264"/>
      <c r="CE31" s="264"/>
      <c r="CF31" s="264"/>
      <c r="CG31" s="264"/>
      <c r="CH31" s="264"/>
      <c r="CI31" s="264"/>
      <c r="CJ31" s="264"/>
      <c r="CK31" s="264"/>
      <c r="CL31" s="264"/>
    </row>
    <row r="32" spans="1:90" s="23" customFormat="1" x14ac:dyDescent="0.15">
      <c r="A32" s="50"/>
      <c r="C32" s="269"/>
      <c r="D32" s="26" t="s">
        <v>352</v>
      </c>
      <c r="F32" s="26" t="s">
        <v>341</v>
      </c>
      <c r="G32" s="263">
        <f t="shared" ref="G32:BN32" si="10">G40+G108</f>
        <v>0</v>
      </c>
      <c r="H32" s="263">
        <f t="shared" ca="1" si="10"/>
        <v>0</v>
      </c>
      <c r="I32" s="263">
        <f t="shared" ca="1" si="10"/>
        <v>0</v>
      </c>
      <c r="J32" s="263">
        <f t="shared" ca="1" si="10"/>
        <v>0</v>
      </c>
      <c r="K32" s="263">
        <f t="shared" ca="1" si="10"/>
        <v>0</v>
      </c>
      <c r="L32" s="263">
        <f t="shared" ca="1" si="10"/>
        <v>0</v>
      </c>
      <c r="M32" s="263">
        <f t="shared" ca="1" si="10"/>
        <v>-0.1</v>
      </c>
      <c r="N32" s="263">
        <f t="shared" ca="1" si="10"/>
        <v>-0.1</v>
      </c>
      <c r="O32" s="263">
        <f t="shared" ca="1" si="10"/>
        <v>-0.1</v>
      </c>
      <c r="P32" s="263">
        <f t="shared" ca="1" si="10"/>
        <v>-0.1</v>
      </c>
      <c r="Q32" s="263">
        <f t="shared" ca="1" si="10"/>
        <v>-0.1</v>
      </c>
      <c r="R32" s="263">
        <f t="shared" ca="1" si="10"/>
        <v>-0.1</v>
      </c>
      <c r="S32" s="263">
        <f t="shared" ca="1" si="10"/>
        <v>-0.1</v>
      </c>
      <c r="T32" s="263">
        <f t="shared" ca="1" si="10"/>
        <v>0</v>
      </c>
      <c r="U32" s="263">
        <f t="shared" ca="1" si="10"/>
        <v>0</v>
      </c>
      <c r="V32" s="263">
        <f t="shared" ca="1" si="10"/>
        <v>-0.1</v>
      </c>
      <c r="W32" s="263">
        <f t="shared" ca="1" si="10"/>
        <v>-0.1</v>
      </c>
      <c r="X32" s="263">
        <f t="shared" ca="1" si="10"/>
        <v>-0.1</v>
      </c>
      <c r="Y32" s="263">
        <f t="shared" ca="1" si="10"/>
        <v>-0.1</v>
      </c>
      <c r="Z32" s="263">
        <f t="shared" ca="1" si="10"/>
        <v>-0.1</v>
      </c>
      <c r="AA32" s="263">
        <f t="shared" ca="1" si="10"/>
        <v>-0.1</v>
      </c>
      <c r="AB32" s="263">
        <f t="shared" ca="1" si="10"/>
        <v>-0.1</v>
      </c>
      <c r="AC32" s="263">
        <f t="shared" ca="1" si="10"/>
        <v>0</v>
      </c>
      <c r="AD32" s="263">
        <f t="shared" ca="1" si="10"/>
        <v>0</v>
      </c>
      <c r="AE32" s="263">
        <f t="shared" ca="1" si="10"/>
        <v>-0.1</v>
      </c>
      <c r="AF32" s="263">
        <f t="shared" ca="1" si="10"/>
        <v>-0.1</v>
      </c>
      <c r="AG32" s="263">
        <f t="shared" ca="1" si="10"/>
        <v>-0.1</v>
      </c>
      <c r="AH32" s="263">
        <f t="shared" ca="1" si="10"/>
        <v>-0.1</v>
      </c>
      <c r="AI32" s="263">
        <f t="shared" ca="1" si="10"/>
        <v>-0.1</v>
      </c>
      <c r="AJ32" s="263">
        <f t="shared" ca="1" si="10"/>
        <v>-0.1</v>
      </c>
      <c r="AK32" s="263">
        <f t="shared" ca="1" si="10"/>
        <v>-0.1</v>
      </c>
      <c r="AL32" s="263">
        <f t="shared" ca="1" si="10"/>
        <v>0</v>
      </c>
      <c r="AM32" s="263">
        <f t="shared" ca="1" si="10"/>
        <v>0</v>
      </c>
      <c r="AN32" s="263">
        <f t="shared" ca="1" si="10"/>
        <v>0</v>
      </c>
      <c r="AO32" s="263">
        <f t="shared" ca="1" si="10"/>
        <v>0</v>
      </c>
      <c r="AP32" s="263">
        <f t="shared" ca="1" si="10"/>
        <v>0</v>
      </c>
      <c r="AQ32" s="263">
        <f t="shared" ca="1" si="10"/>
        <v>0</v>
      </c>
      <c r="AR32" s="263">
        <f t="shared" ca="1" si="10"/>
        <v>0</v>
      </c>
      <c r="AS32" s="263">
        <f t="shared" ca="1" si="10"/>
        <v>0</v>
      </c>
      <c r="AT32" s="263">
        <f t="shared" ca="1" si="10"/>
        <v>0</v>
      </c>
      <c r="AU32" s="263">
        <f t="shared" ca="1" si="10"/>
        <v>0</v>
      </c>
      <c r="AV32" s="263">
        <f t="shared" ca="1" si="10"/>
        <v>0</v>
      </c>
      <c r="AW32" s="263">
        <f t="shared" ca="1" si="10"/>
        <v>0</v>
      </c>
      <c r="AX32" s="263">
        <f t="shared" ca="1" si="10"/>
        <v>0</v>
      </c>
      <c r="AY32" s="263">
        <f t="shared" ca="1" si="10"/>
        <v>0</v>
      </c>
      <c r="AZ32" s="263">
        <f t="shared" ca="1" si="10"/>
        <v>0</v>
      </c>
      <c r="BA32" s="263">
        <f t="shared" ca="1" si="10"/>
        <v>0</v>
      </c>
      <c r="BB32" s="263">
        <f t="shared" ca="1" si="10"/>
        <v>0</v>
      </c>
      <c r="BC32" s="263">
        <f t="shared" ca="1" si="10"/>
        <v>0</v>
      </c>
      <c r="BD32" s="263">
        <f t="shared" ca="1" si="10"/>
        <v>0</v>
      </c>
      <c r="BE32" s="263">
        <f t="shared" ca="1" si="10"/>
        <v>0</v>
      </c>
      <c r="BF32" s="263">
        <f t="shared" ca="1" si="10"/>
        <v>0</v>
      </c>
      <c r="BG32" s="263">
        <f t="shared" ca="1" si="10"/>
        <v>0</v>
      </c>
      <c r="BH32" s="263">
        <f t="shared" ca="1" si="10"/>
        <v>0</v>
      </c>
      <c r="BI32" s="263">
        <f t="shared" ca="1" si="10"/>
        <v>0</v>
      </c>
      <c r="BJ32" s="263">
        <f t="shared" ca="1" si="10"/>
        <v>0</v>
      </c>
      <c r="BK32" s="263">
        <f t="shared" ca="1" si="10"/>
        <v>0</v>
      </c>
      <c r="BL32" s="263">
        <f t="shared" ca="1" si="10"/>
        <v>0</v>
      </c>
      <c r="BM32" s="263">
        <f t="shared" ca="1" si="10"/>
        <v>0</v>
      </c>
      <c r="BN32" s="263">
        <f t="shared" ca="1" si="10"/>
        <v>0</v>
      </c>
      <c r="BO32" s="263"/>
      <c r="BP32" s="263"/>
      <c r="BQ32" s="263"/>
      <c r="BR32" s="263"/>
      <c r="BS32" s="263"/>
      <c r="BT32" s="263"/>
      <c r="BU32" s="263"/>
      <c r="BV32" s="263"/>
      <c r="BW32" s="263"/>
      <c r="BX32" s="263"/>
      <c r="BY32" s="263"/>
      <c r="BZ32" s="263"/>
      <c r="CA32" s="264"/>
      <c r="CB32" s="264"/>
      <c r="CC32" s="264"/>
      <c r="CD32" s="264"/>
      <c r="CE32" s="264"/>
      <c r="CF32" s="264"/>
      <c r="CG32" s="264"/>
      <c r="CH32" s="264"/>
      <c r="CI32" s="264"/>
      <c r="CJ32" s="264"/>
      <c r="CK32" s="264"/>
      <c r="CL32" s="264"/>
    </row>
    <row r="33" spans="1:90" s="23" customFormat="1" x14ac:dyDescent="0.15">
      <c r="A33" s="50"/>
      <c r="C33" s="269"/>
      <c r="D33" s="270" t="s">
        <v>352</v>
      </c>
      <c r="F33" s="26" t="s">
        <v>341</v>
      </c>
      <c r="G33" s="271"/>
      <c r="H33" s="271">
        <f ca="1">H32*G181/G172</f>
        <v>0</v>
      </c>
      <c r="I33" s="271">
        <f t="shared" ref="I33:BN33" ca="1" si="11">I32*H181/H172</f>
        <v>0</v>
      </c>
      <c r="J33" s="271">
        <f t="shared" ca="1" si="11"/>
        <v>0</v>
      </c>
      <c r="K33" s="271">
        <f t="shared" ca="1" si="11"/>
        <v>0</v>
      </c>
      <c r="L33" s="271">
        <f t="shared" ca="1" si="11"/>
        <v>0</v>
      </c>
      <c r="M33" s="271">
        <f t="shared" ca="1" si="11"/>
        <v>-7.6698300330185876E-2</v>
      </c>
      <c r="N33" s="271">
        <f t="shared" ca="1" si="11"/>
        <v>-7.0414866970954282E-2</v>
      </c>
      <c r="O33" s="271">
        <f t="shared" ca="1" si="11"/>
        <v>-6.4834608257900869E-2</v>
      </c>
      <c r="P33" s="271">
        <f t="shared" ca="1" si="11"/>
        <v>-6.1457535427517251E-2</v>
      </c>
      <c r="Q33" s="271">
        <f t="shared" ca="1" si="11"/>
        <v>-5.9915713789626214E-2</v>
      </c>
      <c r="R33" s="271">
        <f t="shared" ca="1" si="11"/>
        <v>-5.9929345859810516E-2</v>
      </c>
      <c r="S33" s="271">
        <f t="shared" ca="1" si="11"/>
        <v>-6.1207062778089662E-2</v>
      </c>
      <c r="T33" s="271">
        <f t="shared" ca="1" si="11"/>
        <v>0</v>
      </c>
      <c r="U33" s="271">
        <f t="shared" ca="1" si="11"/>
        <v>0</v>
      </c>
      <c r="V33" s="271">
        <f t="shared" ca="1" si="11"/>
        <v>-7.7007809322573173E-2</v>
      </c>
      <c r="W33" s="271">
        <f t="shared" ca="1" si="11"/>
        <v>-7.872882915156211E-2</v>
      </c>
      <c r="X33" s="271">
        <f t="shared" ca="1" si="11"/>
        <v>-8.11564376668681E-2</v>
      </c>
      <c r="Y33" s="271">
        <f t="shared" ca="1" si="11"/>
        <v>-8.3180599227141036E-2</v>
      </c>
      <c r="Z33" s="271">
        <f t="shared" ca="1" si="11"/>
        <v>-8.4485373763708183E-2</v>
      </c>
      <c r="AA33" s="271">
        <f t="shared" ca="1" si="11"/>
        <v>-8.4098945016741602E-2</v>
      </c>
      <c r="AB33" s="271">
        <f t="shared" ca="1" si="11"/>
        <v>-8.3526522062367867E-2</v>
      </c>
      <c r="AC33" s="271">
        <f t="shared" ca="1" si="11"/>
        <v>0</v>
      </c>
      <c r="AD33" s="271">
        <f t="shared" ca="1" si="11"/>
        <v>0</v>
      </c>
      <c r="AE33" s="271">
        <f t="shared" ca="1" si="11"/>
        <v>-8.2539829963879943E-2</v>
      </c>
      <c r="AF33" s="271">
        <f t="shared" ca="1" si="11"/>
        <v>-8.342236066489056E-2</v>
      </c>
      <c r="AG33" s="271">
        <f t="shared" ca="1" si="11"/>
        <v>-8.4732102868725095E-2</v>
      </c>
      <c r="AH33" s="271">
        <f t="shared" ca="1" si="11"/>
        <v>-8.5555259634056913E-2</v>
      </c>
      <c r="AI33" s="271">
        <f t="shared" ca="1" si="11"/>
        <v>-8.5941984404399416E-2</v>
      </c>
      <c r="AJ33" s="271">
        <f t="shared" ca="1" si="11"/>
        <v>-8.604092441882856E-2</v>
      </c>
      <c r="AK33" s="271">
        <f t="shared" ca="1" si="11"/>
        <v>-8.5962895172004214E-2</v>
      </c>
      <c r="AL33" s="271">
        <f t="shared" ca="1" si="11"/>
        <v>0</v>
      </c>
      <c r="AM33" s="271">
        <f t="shared" ca="1" si="11"/>
        <v>0</v>
      </c>
      <c r="AN33" s="271">
        <f t="shared" ca="1" si="11"/>
        <v>0</v>
      </c>
      <c r="AO33" s="271">
        <f t="shared" ca="1" si="11"/>
        <v>0</v>
      </c>
      <c r="AP33" s="271">
        <f t="shared" ca="1" si="11"/>
        <v>0</v>
      </c>
      <c r="AQ33" s="271">
        <f t="shared" ca="1" si="11"/>
        <v>0</v>
      </c>
      <c r="AR33" s="271">
        <f t="shared" ca="1" si="11"/>
        <v>0</v>
      </c>
      <c r="AS33" s="271">
        <f t="shared" ca="1" si="11"/>
        <v>0</v>
      </c>
      <c r="AT33" s="271">
        <f t="shared" ca="1" si="11"/>
        <v>0</v>
      </c>
      <c r="AU33" s="271">
        <f t="shared" ca="1" si="11"/>
        <v>0</v>
      </c>
      <c r="AV33" s="271">
        <f t="shared" ca="1" si="11"/>
        <v>0</v>
      </c>
      <c r="AW33" s="271">
        <f t="shared" ca="1" si="11"/>
        <v>0</v>
      </c>
      <c r="AX33" s="271">
        <f t="shared" ca="1" si="11"/>
        <v>0</v>
      </c>
      <c r="AY33" s="271">
        <f t="shared" ca="1" si="11"/>
        <v>0</v>
      </c>
      <c r="AZ33" s="271">
        <f t="shared" ca="1" si="11"/>
        <v>0</v>
      </c>
      <c r="BA33" s="271">
        <f t="shared" ca="1" si="11"/>
        <v>0</v>
      </c>
      <c r="BB33" s="271">
        <f t="shared" ca="1" si="11"/>
        <v>0</v>
      </c>
      <c r="BC33" s="271">
        <f t="shared" ca="1" si="11"/>
        <v>0</v>
      </c>
      <c r="BD33" s="271">
        <f t="shared" ca="1" si="11"/>
        <v>0</v>
      </c>
      <c r="BE33" s="271">
        <f t="shared" ca="1" si="11"/>
        <v>0</v>
      </c>
      <c r="BF33" s="271">
        <f t="shared" ca="1" si="11"/>
        <v>0</v>
      </c>
      <c r="BG33" s="271">
        <f t="shared" ca="1" si="11"/>
        <v>0</v>
      </c>
      <c r="BH33" s="271">
        <f t="shared" ca="1" si="11"/>
        <v>0</v>
      </c>
      <c r="BI33" s="271">
        <f t="shared" ca="1" si="11"/>
        <v>0</v>
      </c>
      <c r="BJ33" s="271">
        <f t="shared" ca="1" si="11"/>
        <v>0</v>
      </c>
      <c r="BK33" s="271">
        <f t="shared" ca="1" si="11"/>
        <v>0</v>
      </c>
      <c r="BL33" s="271">
        <f t="shared" ca="1" si="11"/>
        <v>0</v>
      </c>
      <c r="BM33" s="271">
        <f t="shared" ca="1" si="11"/>
        <v>0</v>
      </c>
      <c r="BN33" s="271">
        <f t="shared" ca="1" si="11"/>
        <v>0</v>
      </c>
      <c r="BO33" s="263"/>
      <c r="BP33" s="263"/>
      <c r="BQ33" s="263"/>
      <c r="BR33" s="263"/>
      <c r="BS33" s="263"/>
      <c r="BT33" s="263"/>
      <c r="BU33" s="263"/>
      <c r="BV33" s="263"/>
      <c r="BW33" s="263"/>
      <c r="BX33" s="263"/>
      <c r="BY33" s="263"/>
      <c r="BZ33" s="263"/>
      <c r="CA33" s="264"/>
      <c r="CB33" s="264"/>
      <c r="CC33" s="264"/>
      <c r="CD33" s="264"/>
      <c r="CE33" s="264"/>
      <c r="CF33" s="264"/>
      <c r="CG33" s="264"/>
      <c r="CH33" s="264"/>
      <c r="CI33" s="264"/>
      <c r="CJ33" s="264"/>
      <c r="CK33" s="264"/>
      <c r="CL33" s="264"/>
    </row>
    <row r="34" spans="1:90" s="23" customFormat="1" x14ac:dyDescent="0.15">
      <c r="A34" s="50"/>
      <c r="C34" s="269"/>
      <c r="D34" s="270" t="s">
        <v>357</v>
      </c>
      <c r="F34" s="26" t="s">
        <v>341</v>
      </c>
      <c r="G34" s="271"/>
      <c r="H34" s="271">
        <f ca="1">H32-H33</f>
        <v>0</v>
      </c>
      <c r="I34" s="271">
        <f t="shared" ref="I34:BN34" ca="1" si="12">I32-I33</f>
        <v>0</v>
      </c>
      <c r="J34" s="271">
        <f t="shared" ca="1" si="12"/>
        <v>0</v>
      </c>
      <c r="K34" s="271">
        <f t="shared" ca="1" si="12"/>
        <v>0</v>
      </c>
      <c r="L34" s="271">
        <f t="shared" ca="1" si="12"/>
        <v>0</v>
      </c>
      <c r="M34" s="271">
        <f t="shared" ca="1" si="12"/>
        <v>-2.330169966981413E-2</v>
      </c>
      <c r="N34" s="271">
        <f t="shared" ca="1" si="12"/>
        <v>-2.9585133029045724E-2</v>
      </c>
      <c r="O34" s="271">
        <f t="shared" ca="1" si="12"/>
        <v>-3.5165391742099136E-2</v>
      </c>
      <c r="P34" s="271">
        <f t="shared" ca="1" si="12"/>
        <v>-3.8542464572482754E-2</v>
      </c>
      <c r="Q34" s="271">
        <f t="shared" ca="1" si="12"/>
        <v>-4.0084286210373792E-2</v>
      </c>
      <c r="R34" s="271">
        <f t="shared" ca="1" si="12"/>
        <v>-4.0070654140189489E-2</v>
      </c>
      <c r="S34" s="271">
        <f t="shared" ca="1" si="12"/>
        <v>-3.8792937221910344E-2</v>
      </c>
      <c r="T34" s="271">
        <f t="shared" ca="1" si="12"/>
        <v>0</v>
      </c>
      <c r="U34" s="271">
        <f t="shared" ca="1" si="12"/>
        <v>0</v>
      </c>
      <c r="V34" s="271">
        <f t="shared" ca="1" si="12"/>
        <v>-2.2992190677426833E-2</v>
      </c>
      <c r="W34" s="271">
        <f t="shared" ca="1" si="12"/>
        <v>-2.1271170848437895E-2</v>
      </c>
      <c r="X34" s="271">
        <f t="shared" ca="1" si="12"/>
        <v>-1.8843562333131905E-2</v>
      </c>
      <c r="Y34" s="271">
        <f t="shared" ca="1" si="12"/>
        <v>-1.681940077285897E-2</v>
      </c>
      <c r="Z34" s="271">
        <f t="shared" ca="1" si="12"/>
        <v>-1.5514626236291823E-2</v>
      </c>
      <c r="AA34" s="271">
        <f t="shared" ca="1" si="12"/>
        <v>-1.5901054983258403E-2</v>
      </c>
      <c r="AB34" s="271">
        <f t="shared" ca="1" si="12"/>
        <v>-1.6473477937632139E-2</v>
      </c>
      <c r="AC34" s="271">
        <f t="shared" ca="1" si="12"/>
        <v>0</v>
      </c>
      <c r="AD34" s="271">
        <f t="shared" ca="1" si="12"/>
        <v>0</v>
      </c>
      <c r="AE34" s="271">
        <f t="shared" ca="1" si="12"/>
        <v>-1.7460170036120062E-2</v>
      </c>
      <c r="AF34" s="271">
        <f t="shared" ca="1" si="12"/>
        <v>-1.6577639335109445E-2</v>
      </c>
      <c r="AG34" s="271">
        <f t="shared" ca="1" si="12"/>
        <v>-1.526789713127491E-2</v>
      </c>
      <c r="AH34" s="271">
        <f t="shared" ca="1" si="12"/>
        <v>-1.4444740365943093E-2</v>
      </c>
      <c r="AI34" s="271">
        <f t="shared" ca="1" si="12"/>
        <v>-1.405801559560059E-2</v>
      </c>
      <c r="AJ34" s="271">
        <f t="shared" ca="1" si="12"/>
        <v>-1.3959075581171446E-2</v>
      </c>
      <c r="AK34" s="271">
        <f t="shared" ca="1" si="12"/>
        <v>-1.4037104827995792E-2</v>
      </c>
      <c r="AL34" s="271">
        <f t="shared" ca="1" si="12"/>
        <v>0</v>
      </c>
      <c r="AM34" s="271">
        <f t="shared" ca="1" si="12"/>
        <v>0</v>
      </c>
      <c r="AN34" s="271">
        <f t="shared" ca="1" si="12"/>
        <v>0</v>
      </c>
      <c r="AO34" s="271">
        <f t="shared" ca="1" si="12"/>
        <v>0</v>
      </c>
      <c r="AP34" s="271">
        <f t="shared" ca="1" si="12"/>
        <v>0</v>
      </c>
      <c r="AQ34" s="271">
        <f t="shared" ca="1" si="12"/>
        <v>0</v>
      </c>
      <c r="AR34" s="271">
        <f t="shared" ca="1" si="12"/>
        <v>0</v>
      </c>
      <c r="AS34" s="271">
        <f t="shared" ca="1" si="12"/>
        <v>0</v>
      </c>
      <c r="AT34" s="271">
        <f t="shared" ca="1" si="12"/>
        <v>0</v>
      </c>
      <c r="AU34" s="271">
        <f t="shared" ca="1" si="12"/>
        <v>0</v>
      </c>
      <c r="AV34" s="271">
        <f t="shared" ca="1" si="12"/>
        <v>0</v>
      </c>
      <c r="AW34" s="271">
        <f t="shared" ca="1" si="12"/>
        <v>0</v>
      </c>
      <c r="AX34" s="271">
        <f t="shared" ca="1" si="12"/>
        <v>0</v>
      </c>
      <c r="AY34" s="271">
        <f t="shared" ca="1" si="12"/>
        <v>0</v>
      </c>
      <c r="AZ34" s="271">
        <f t="shared" ca="1" si="12"/>
        <v>0</v>
      </c>
      <c r="BA34" s="271">
        <f t="shared" ca="1" si="12"/>
        <v>0</v>
      </c>
      <c r="BB34" s="271">
        <f t="shared" ca="1" si="12"/>
        <v>0</v>
      </c>
      <c r="BC34" s="271">
        <f t="shared" ca="1" si="12"/>
        <v>0</v>
      </c>
      <c r="BD34" s="271">
        <f t="shared" ca="1" si="12"/>
        <v>0</v>
      </c>
      <c r="BE34" s="271">
        <f t="shared" ca="1" si="12"/>
        <v>0</v>
      </c>
      <c r="BF34" s="271">
        <f t="shared" ca="1" si="12"/>
        <v>0</v>
      </c>
      <c r="BG34" s="271">
        <f t="shared" ca="1" si="12"/>
        <v>0</v>
      </c>
      <c r="BH34" s="271">
        <f t="shared" ca="1" si="12"/>
        <v>0</v>
      </c>
      <c r="BI34" s="271">
        <f t="shared" ca="1" si="12"/>
        <v>0</v>
      </c>
      <c r="BJ34" s="271">
        <f t="shared" ca="1" si="12"/>
        <v>0</v>
      </c>
      <c r="BK34" s="271">
        <f t="shared" ca="1" si="12"/>
        <v>0</v>
      </c>
      <c r="BL34" s="271">
        <f t="shared" ca="1" si="12"/>
        <v>0</v>
      </c>
      <c r="BM34" s="271">
        <f t="shared" ca="1" si="12"/>
        <v>0</v>
      </c>
      <c r="BN34" s="271">
        <f t="shared" ca="1" si="12"/>
        <v>0</v>
      </c>
      <c r="BO34" s="263"/>
      <c r="BP34" s="263"/>
      <c r="BQ34" s="263"/>
      <c r="BR34" s="263"/>
      <c r="BS34" s="263"/>
      <c r="BT34" s="263"/>
      <c r="BU34" s="263"/>
      <c r="BV34" s="263"/>
      <c r="BW34" s="263"/>
      <c r="BX34" s="263"/>
      <c r="BY34" s="263"/>
      <c r="BZ34" s="263"/>
      <c r="CA34" s="264"/>
      <c r="CB34" s="264"/>
      <c r="CC34" s="264"/>
      <c r="CD34" s="264"/>
      <c r="CE34" s="264"/>
      <c r="CF34" s="264"/>
      <c r="CG34" s="264"/>
      <c r="CH34" s="264"/>
      <c r="CI34" s="264"/>
      <c r="CJ34" s="264"/>
      <c r="CK34" s="264"/>
      <c r="CL34" s="264"/>
    </row>
    <row r="35" spans="1:90" s="23" customFormat="1" x14ac:dyDescent="0.15">
      <c r="A35" s="50"/>
      <c r="C35" s="269"/>
      <c r="D35" s="23" t="s">
        <v>353</v>
      </c>
      <c r="F35" s="23" t="s">
        <v>341</v>
      </c>
      <c r="G35" s="262">
        <f t="shared" ref="G35:BN35" ca="1" si="13">G101+G169</f>
        <v>0</v>
      </c>
      <c r="H35" s="262">
        <f t="shared" ca="1" si="13"/>
        <v>0</v>
      </c>
      <c r="I35" s="262">
        <f t="shared" ca="1" si="13"/>
        <v>0</v>
      </c>
      <c r="J35" s="262">
        <f t="shared" ca="1" si="13"/>
        <v>0</v>
      </c>
      <c r="K35" s="262">
        <f t="shared" ca="1" si="13"/>
        <v>0</v>
      </c>
      <c r="L35" s="262">
        <f t="shared" ca="1" si="13"/>
        <v>0.70000000000000007</v>
      </c>
      <c r="M35" s="262">
        <f t="shared" ca="1" si="13"/>
        <v>0.60000000000000009</v>
      </c>
      <c r="N35" s="262">
        <f t="shared" ca="1" si="13"/>
        <v>0.50000000000000011</v>
      </c>
      <c r="O35" s="262">
        <f t="shared" ca="1" si="13"/>
        <v>0.40000000000000013</v>
      </c>
      <c r="P35" s="262">
        <f t="shared" ca="1" si="13"/>
        <v>0.30000000000000016</v>
      </c>
      <c r="Q35" s="262">
        <f t="shared" ca="1" si="13"/>
        <v>0.20000000000000015</v>
      </c>
      <c r="R35" s="262">
        <f t="shared" ca="1" si="13"/>
        <v>0.10000000000000014</v>
      </c>
      <c r="S35" s="262">
        <f t="shared" ca="1" si="13"/>
        <v>1.3877787807814457E-16</v>
      </c>
      <c r="T35" s="262">
        <f t="shared" ca="1" si="13"/>
        <v>1.3877787807814457E-16</v>
      </c>
      <c r="U35" s="262">
        <f t="shared" ca="1" si="13"/>
        <v>0.70000000000000018</v>
      </c>
      <c r="V35" s="262">
        <f t="shared" ca="1" si="13"/>
        <v>0.6000000000000002</v>
      </c>
      <c r="W35" s="262">
        <f t="shared" ca="1" si="13"/>
        <v>0.50000000000000022</v>
      </c>
      <c r="X35" s="262">
        <f t="shared" ca="1" si="13"/>
        <v>0.40000000000000024</v>
      </c>
      <c r="Y35" s="262">
        <f t="shared" ca="1" si="13"/>
        <v>0.30000000000000027</v>
      </c>
      <c r="Z35" s="262">
        <f t="shared" ca="1" si="13"/>
        <v>0.20000000000000026</v>
      </c>
      <c r="AA35" s="262">
        <f t="shared" ca="1" si="13"/>
        <v>0.10000000000000026</v>
      </c>
      <c r="AB35" s="262">
        <f t="shared" ca="1" si="13"/>
        <v>2.4980018054066022E-16</v>
      </c>
      <c r="AC35" s="262">
        <f t="shared" ca="1" si="13"/>
        <v>2.4980018054066022E-16</v>
      </c>
      <c r="AD35" s="262">
        <f t="shared" ca="1" si="13"/>
        <v>0.70000000000000029</v>
      </c>
      <c r="AE35" s="262">
        <f t="shared" ca="1" si="13"/>
        <v>0.60000000000000031</v>
      </c>
      <c r="AF35" s="262">
        <f t="shared" ca="1" si="13"/>
        <v>0.50000000000000033</v>
      </c>
      <c r="AG35" s="262">
        <f t="shared" ca="1" si="13"/>
        <v>0.40000000000000036</v>
      </c>
      <c r="AH35" s="262">
        <f t="shared" ca="1" si="13"/>
        <v>0.30000000000000038</v>
      </c>
      <c r="AI35" s="262">
        <f t="shared" ca="1" si="13"/>
        <v>0.20000000000000037</v>
      </c>
      <c r="AJ35" s="262">
        <f t="shared" ca="1" si="13"/>
        <v>0.10000000000000037</v>
      </c>
      <c r="AK35" s="262">
        <f t="shared" ca="1" si="13"/>
        <v>3.6082248300317588E-16</v>
      </c>
      <c r="AL35" s="262">
        <f t="shared" ca="1" si="13"/>
        <v>3.6082248300317588E-16</v>
      </c>
      <c r="AM35" s="262">
        <f t="shared" ca="1" si="13"/>
        <v>3.6082248300317588E-16</v>
      </c>
      <c r="AN35" s="262">
        <f t="shared" ca="1" si="13"/>
        <v>3.6082248300317588E-16</v>
      </c>
      <c r="AO35" s="262">
        <f t="shared" ca="1" si="13"/>
        <v>3.6082248300317588E-16</v>
      </c>
      <c r="AP35" s="262">
        <f t="shared" ca="1" si="13"/>
        <v>3.6082248300317588E-16</v>
      </c>
      <c r="AQ35" s="262">
        <f t="shared" ca="1" si="13"/>
        <v>3.6082248300317588E-16</v>
      </c>
      <c r="AR35" s="262">
        <f t="shared" ca="1" si="13"/>
        <v>3.6082248300317588E-16</v>
      </c>
      <c r="AS35" s="262">
        <f t="shared" ca="1" si="13"/>
        <v>3.6082248300317588E-16</v>
      </c>
      <c r="AT35" s="262">
        <f t="shared" ca="1" si="13"/>
        <v>3.6082248300317588E-16</v>
      </c>
      <c r="AU35" s="262">
        <f t="shared" ca="1" si="13"/>
        <v>3.6082248300317588E-16</v>
      </c>
      <c r="AV35" s="262">
        <f t="shared" ca="1" si="13"/>
        <v>3.6082248300317588E-16</v>
      </c>
      <c r="AW35" s="262">
        <f t="shared" ca="1" si="13"/>
        <v>3.6082248300317588E-16</v>
      </c>
      <c r="AX35" s="262">
        <f t="shared" ca="1" si="13"/>
        <v>3.6082248300317588E-16</v>
      </c>
      <c r="AY35" s="262">
        <f t="shared" ca="1" si="13"/>
        <v>3.6082248300317588E-16</v>
      </c>
      <c r="AZ35" s="262">
        <f t="shared" ca="1" si="13"/>
        <v>3.6082248300317588E-16</v>
      </c>
      <c r="BA35" s="262">
        <f t="shared" ca="1" si="13"/>
        <v>3.6082248300317588E-16</v>
      </c>
      <c r="BB35" s="262">
        <f t="shared" ca="1" si="13"/>
        <v>3.6082248300317588E-16</v>
      </c>
      <c r="BC35" s="262">
        <f t="shared" ca="1" si="13"/>
        <v>3.6082248300317588E-16</v>
      </c>
      <c r="BD35" s="262">
        <f t="shared" ca="1" si="13"/>
        <v>3.6082248300317588E-16</v>
      </c>
      <c r="BE35" s="262">
        <f t="shared" ca="1" si="13"/>
        <v>3.6082248300317588E-16</v>
      </c>
      <c r="BF35" s="262">
        <f t="shared" ca="1" si="13"/>
        <v>3.6082248300317588E-16</v>
      </c>
      <c r="BG35" s="262">
        <f t="shared" ca="1" si="13"/>
        <v>3.6082248300317588E-16</v>
      </c>
      <c r="BH35" s="262">
        <f t="shared" ca="1" si="13"/>
        <v>3.6082248300317588E-16</v>
      </c>
      <c r="BI35" s="262">
        <f t="shared" ca="1" si="13"/>
        <v>3.6082248300317588E-16</v>
      </c>
      <c r="BJ35" s="262">
        <f t="shared" ca="1" si="13"/>
        <v>3.6082248300317588E-16</v>
      </c>
      <c r="BK35" s="262">
        <f t="shared" ca="1" si="13"/>
        <v>3.6082248300317588E-16</v>
      </c>
      <c r="BL35" s="262">
        <f t="shared" ca="1" si="13"/>
        <v>3.6082248300317588E-16</v>
      </c>
      <c r="BM35" s="262">
        <f t="shared" ca="1" si="13"/>
        <v>3.6082248300317588E-16</v>
      </c>
      <c r="BN35" s="262">
        <f t="shared" ca="1" si="13"/>
        <v>3.6082248300317588E-16</v>
      </c>
      <c r="BO35" s="263"/>
      <c r="BP35" s="263"/>
      <c r="BQ35" s="263"/>
      <c r="BR35" s="263"/>
      <c r="BS35" s="263"/>
      <c r="BT35" s="263"/>
      <c r="BU35" s="263"/>
      <c r="BV35" s="263"/>
      <c r="BW35" s="263"/>
      <c r="BX35" s="263"/>
      <c r="BY35" s="263"/>
      <c r="BZ35" s="263"/>
      <c r="CA35" s="264"/>
      <c r="CB35" s="264"/>
      <c r="CC35" s="264"/>
      <c r="CD35" s="264"/>
      <c r="CE35" s="264"/>
      <c r="CF35" s="264"/>
      <c r="CG35" s="264"/>
      <c r="CH35" s="264"/>
      <c r="CI35" s="264"/>
      <c r="CJ35" s="264"/>
      <c r="CK35" s="264"/>
      <c r="CL35" s="264"/>
    </row>
    <row r="36" spans="1:90" s="23" customFormat="1" x14ac:dyDescent="0.15">
      <c r="A36" s="50"/>
      <c r="C36" s="269"/>
      <c r="G36" s="262"/>
      <c r="H36" s="262"/>
      <c r="I36" s="262"/>
      <c r="J36" s="262"/>
      <c r="K36" s="262"/>
      <c r="L36" s="262"/>
      <c r="M36" s="262"/>
      <c r="N36" s="262"/>
      <c r="O36" s="262"/>
      <c r="P36" s="262"/>
      <c r="Q36" s="262"/>
      <c r="R36" s="262"/>
      <c r="S36" s="262"/>
      <c r="T36" s="262"/>
      <c r="U36" s="262"/>
      <c r="V36" s="262"/>
      <c r="W36" s="262"/>
      <c r="X36" s="262"/>
      <c r="Y36" s="262"/>
      <c r="Z36" s="262"/>
      <c r="AA36" s="262"/>
      <c r="AB36" s="262"/>
      <c r="AC36" s="262"/>
      <c r="AD36" s="262"/>
      <c r="AE36" s="262"/>
      <c r="AF36" s="262"/>
      <c r="AG36" s="262"/>
      <c r="AH36" s="262"/>
      <c r="AI36" s="262"/>
      <c r="AJ36" s="262"/>
      <c r="AK36" s="262"/>
      <c r="AL36" s="262"/>
      <c r="AM36" s="262"/>
      <c r="AN36" s="262"/>
      <c r="AO36" s="262"/>
      <c r="AP36" s="262"/>
      <c r="AQ36" s="262"/>
      <c r="AR36" s="262"/>
      <c r="AS36" s="262"/>
      <c r="AT36" s="262"/>
      <c r="AU36" s="262"/>
      <c r="AV36" s="262"/>
      <c r="AW36" s="262"/>
      <c r="AX36" s="262"/>
      <c r="AY36" s="262"/>
      <c r="AZ36" s="262"/>
      <c r="BA36" s="262"/>
      <c r="BB36" s="262"/>
      <c r="BC36" s="262"/>
      <c r="BD36" s="262"/>
      <c r="BE36" s="262"/>
      <c r="BF36" s="262"/>
      <c r="BG36" s="262"/>
      <c r="BH36" s="262"/>
      <c r="BI36" s="262"/>
      <c r="BJ36" s="262"/>
      <c r="BK36" s="262"/>
      <c r="BL36" s="262"/>
      <c r="BM36" s="262"/>
      <c r="BN36" s="262"/>
      <c r="BO36" s="263"/>
      <c r="BP36" s="263"/>
      <c r="BQ36" s="263"/>
      <c r="BR36" s="263"/>
      <c r="BS36" s="263"/>
      <c r="BT36" s="263"/>
      <c r="BU36" s="263"/>
      <c r="BV36" s="263"/>
      <c r="BW36" s="263"/>
      <c r="BX36" s="263"/>
      <c r="BY36" s="263"/>
      <c r="BZ36" s="263"/>
      <c r="CA36" s="264"/>
      <c r="CB36" s="264"/>
      <c r="CC36" s="264"/>
      <c r="CD36" s="264"/>
      <c r="CE36" s="264"/>
      <c r="CF36" s="264"/>
      <c r="CG36" s="264"/>
      <c r="CH36" s="264"/>
      <c r="CI36" s="264"/>
      <c r="CJ36" s="264"/>
      <c r="CK36" s="264"/>
      <c r="CL36" s="264"/>
    </row>
    <row r="37" spans="1:90" s="23" customFormat="1" x14ac:dyDescent="0.15">
      <c r="A37" s="272">
        <v>2.4</v>
      </c>
      <c r="B37" s="273" t="s">
        <v>358</v>
      </c>
      <c r="C37" s="273" t="s">
        <v>359</v>
      </c>
      <c r="D37" s="273"/>
      <c r="E37" s="273"/>
      <c r="F37" s="273"/>
      <c r="G37" s="274">
        <f>SAP_Leadsheet!$E$49</f>
        <v>0</v>
      </c>
      <c r="H37" s="274">
        <f>SAP_Leadsheet!$E$49</f>
        <v>0</v>
      </c>
      <c r="I37" s="274">
        <f>SAP_Leadsheet!$E$49</f>
        <v>0</v>
      </c>
      <c r="J37" s="274">
        <f>SAP_Leadsheet!$E$49</f>
        <v>0</v>
      </c>
      <c r="K37" s="274">
        <f>SAP_Leadsheet!$E$49</f>
        <v>0</v>
      </c>
      <c r="L37" s="274">
        <f>SAP_Leadsheet!$E$49</f>
        <v>0</v>
      </c>
      <c r="M37" s="274">
        <f>SAP_Leadsheet!$E$49</f>
        <v>0</v>
      </c>
      <c r="N37" s="274">
        <f>SAP_Leadsheet!$E$49</f>
        <v>0</v>
      </c>
      <c r="O37" s="274">
        <f>SAP_Leadsheet!$E$49</f>
        <v>0</v>
      </c>
      <c r="P37" s="274">
        <f>SAP_Leadsheet!$E$49</f>
        <v>0</v>
      </c>
      <c r="Q37" s="274">
        <f>SAP_Leadsheet!$E$49</f>
        <v>0</v>
      </c>
      <c r="R37" s="274">
        <f>SAP_Leadsheet!$E$49</f>
        <v>0</v>
      </c>
      <c r="S37" s="274">
        <f>SAP_Leadsheet!$E$49</f>
        <v>0</v>
      </c>
      <c r="T37" s="274">
        <f>SAP_Leadsheet!$E$49</f>
        <v>0</v>
      </c>
      <c r="U37" s="274">
        <f>SAP_Leadsheet!$E$49</f>
        <v>0</v>
      </c>
      <c r="V37" s="274">
        <f>SAP_Leadsheet!$E$49</f>
        <v>0</v>
      </c>
      <c r="W37" s="274">
        <f>SAP_Leadsheet!$E$49</f>
        <v>0</v>
      </c>
      <c r="X37" s="274">
        <f>SAP_Leadsheet!$E$49</f>
        <v>0</v>
      </c>
      <c r="Y37" s="274">
        <f>SAP_Leadsheet!$E$49</f>
        <v>0</v>
      </c>
      <c r="Z37" s="274">
        <f>SAP_Leadsheet!$E$49</f>
        <v>0</v>
      </c>
      <c r="AA37" s="274">
        <f>SAP_Leadsheet!$E$49</f>
        <v>0</v>
      </c>
      <c r="AB37" s="274">
        <f>SAP_Leadsheet!$E$49</f>
        <v>0</v>
      </c>
      <c r="AC37" s="274">
        <f>SAP_Leadsheet!$E$49</f>
        <v>0</v>
      </c>
      <c r="AD37" s="274">
        <f>SAP_Leadsheet!$E$49</f>
        <v>0</v>
      </c>
      <c r="AE37" s="274">
        <f>SAP_Leadsheet!$E$49</f>
        <v>0</v>
      </c>
      <c r="AF37" s="274">
        <f>SAP_Leadsheet!$E$49</f>
        <v>0</v>
      </c>
      <c r="AG37" s="274">
        <f>SAP_Leadsheet!$E$49</f>
        <v>0</v>
      </c>
      <c r="AH37" s="274">
        <f>SAP_Leadsheet!$E$49</f>
        <v>0</v>
      </c>
      <c r="AI37" s="274">
        <f>SAP_Leadsheet!$E$49</f>
        <v>0</v>
      </c>
      <c r="AJ37" s="274">
        <f>SAP_Leadsheet!$E$49</f>
        <v>0</v>
      </c>
      <c r="AK37" s="274">
        <f>SAP_Leadsheet!$E$49</f>
        <v>0</v>
      </c>
      <c r="AL37" s="274">
        <f>SAP_Leadsheet!$E$49</f>
        <v>0</v>
      </c>
      <c r="AM37" s="274">
        <f>SAP_Leadsheet!$E$49</f>
        <v>0</v>
      </c>
      <c r="AN37" s="274">
        <f>SAP_Leadsheet!$E$49</f>
        <v>0</v>
      </c>
      <c r="AO37" s="274">
        <f>SAP_Leadsheet!$E$49</f>
        <v>0</v>
      </c>
      <c r="AP37" s="274">
        <f>SAP_Leadsheet!$E$49</f>
        <v>0</v>
      </c>
      <c r="AQ37" s="274">
        <f>SAP_Leadsheet!$E$49</f>
        <v>0</v>
      </c>
      <c r="AR37" s="274">
        <f>SAP_Leadsheet!$E$49</f>
        <v>0</v>
      </c>
      <c r="AS37" s="274">
        <f>SAP_Leadsheet!$E$49</f>
        <v>0</v>
      </c>
      <c r="AT37" s="274">
        <f>SAP_Leadsheet!$E$49</f>
        <v>0</v>
      </c>
      <c r="AU37" s="274">
        <f>SAP_Leadsheet!$E$49</f>
        <v>0</v>
      </c>
      <c r="AV37" s="274">
        <f>SAP_Leadsheet!$E$49</f>
        <v>0</v>
      </c>
      <c r="AW37" s="274">
        <f>SAP_Leadsheet!$E$49</f>
        <v>0</v>
      </c>
      <c r="AX37" s="274">
        <f>SAP_Leadsheet!$E$49</f>
        <v>0</v>
      </c>
      <c r="AY37" s="274">
        <f>SAP_Leadsheet!$E$49</f>
        <v>0</v>
      </c>
      <c r="AZ37" s="274">
        <f>SAP_Leadsheet!$E$49</f>
        <v>0</v>
      </c>
      <c r="BA37" s="274">
        <f>SAP_Leadsheet!$E$49</f>
        <v>0</v>
      </c>
      <c r="BB37" s="274">
        <f>SAP_Leadsheet!$E$49</f>
        <v>0</v>
      </c>
      <c r="BC37" s="274">
        <f>SAP_Leadsheet!$E$49</f>
        <v>0</v>
      </c>
      <c r="BD37" s="274">
        <f>SAP_Leadsheet!$E$49</f>
        <v>0</v>
      </c>
      <c r="BE37" s="274">
        <f>SAP_Leadsheet!$E$49</f>
        <v>0</v>
      </c>
      <c r="BF37" s="274">
        <f>SAP_Leadsheet!$E$49</f>
        <v>0</v>
      </c>
      <c r="BG37" s="274">
        <f>SAP_Leadsheet!$E$49</f>
        <v>0</v>
      </c>
      <c r="BH37" s="274">
        <f>SAP_Leadsheet!$E$49</f>
        <v>0</v>
      </c>
      <c r="BI37" s="274">
        <f>SAP_Leadsheet!$E$49</f>
        <v>0</v>
      </c>
      <c r="BJ37" s="274">
        <f>SAP_Leadsheet!$E$49</f>
        <v>0</v>
      </c>
      <c r="BK37" s="274">
        <f>SAP_Leadsheet!$E$49</f>
        <v>0</v>
      </c>
      <c r="BL37" s="274">
        <f>SAP_Leadsheet!$E$49</f>
        <v>0</v>
      </c>
      <c r="BM37" s="274">
        <f>SAP_Leadsheet!$E$49</f>
        <v>0</v>
      </c>
      <c r="BN37" s="274">
        <f>SAP_Leadsheet!$E$49</f>
        <v>0</v>
      </c>
      <c r="BO37" s="274"/>
      <c r="BP37" s="274"/>
      <c r="BQ37" s="274"/>
      <c r="BR37" s="274"/>
      <c r="BS37" s="274"/>
      <c r="BT37" s="274"/>
      <c r="BU37" s="274"/>
      <c r="BV37" s="274"/>
      <c r="BW37" s="274"/>
      <c r="BX37" s="274"/>
      <c r="BY37" s="274"/>
      <c r="BZ37" s="274"/>
      <c r="CA37" s="264"/>
      <c r="CB37" s="264"/>
      <c r="CC37" s="264"/>
      <c r="CD37" s="264"/>
      <c r="CE37" s="264"/>
      <c r="CF37" s="264"/>
      <c r="CG37" s="264"/>
      <c r="CH37" s="264"/>
      <c r="CI37" s="264"/>
      <c r="CJ37" s="264"/>
      <c r="CK37" s="264"/>
      <c r="CL37" s="264"/>
    </row>
    <row r="38" spans="1:90" x14ac:dyDescent="0.15">
      <c r="A38" s="272"/>
      <c r="B38" s="273" t="s">
        <v>360</v>
      </c>
      <c r="C38" s="273" t="s">
        <v>361</v>
      </c>
      <c r="D38" s="273" t="s">
        <v>348</v>
      </c>
      <c r="E38" s="275"/>
      <c r="F38" s="275"/>
      <c r="G38" s="276">
        <v>0</v>
      </c>
      <c r="H38" s="276">
        <f ca="1">IF(H7&gt;SAP_Leadsheet!$E$21,0,G101)</f>
        <v>0</v>
      </c>
      <c r="I38" s="276">
        <f ca="1">IF(I7&gt;SAP_Leadsheet!$E$21,0,H101)</f>
        <v>0</v>
      </c>
      <c r="J38" s="276">
        <f ca="1">IF(J7&gt;SAP_Leadsheet!$E$21,0,I101)</f>
        <v>0</v>
      </c>
      <c r="K38" s="276">
        <f ca="1">IF(K7&gt;SAP_Leadsheet!$E$21,0,J101)</f>
        <v>0</v>
      </c>
      <c r="L38" s="276">
        <f ca="1">IF(L7&gt;SAP_Leadsheet!$E$21,0,K101)</f>
        <v>0</v>
      </c>
      <c r="M38" s="276">
        <f ca="1">IF(M7&gt;SAP_Leadsheet!$E$21,0,L101)</f>
        <v>0</v>
      </c>
      <c r="N38" s="276">
        <f ca="1">IF(N7&gt;SAP_Leadsheet!$E$21,0,M101)</f>
        <v>0</v>
      </c>
      <c r="O38" s="276">
        <f ca="1">IF(O7&gt;SAP_Leadsheet!$E$21,0,N101)</f>
        <v>0</v>
      </c>
      <c r="P38" s="276">
        <f ca="1">IF(P7&gt;SAP_Leadsheet!$E$21,0,O101)</f>
        <v>0</v>
      </c>
      <c r="Q38" s="276">
        <f ca="1">IF(Q7&gt;SAP_Leadsheet!$E$21,0,P101)</f>
        <v>0</v>
      </c>
      <c r="R38" s="276">
        <f ca="1">IF(R7&gt;SAP_Leadsheet!$E$21,0,Q101)</f>
        <v>0</v>
      </c>
      <c r="S38" s="276">
        <f ca="1">IF(S7&gt;SAP_Leadsheet!$E$21,0,R101)</f>
        <v>0</v>
      </c>
      <c r="T38" s="276">
        <f ca="1">IF(T7&gt;SAP_Leadsheet!$E$21,0,S101)</f>
        <v>0</v>
      </c>
      <c r="U38" s="276">
        <f ca="1">IF(U7&gt;SAP_Leadsheet!$E$21,0,T101)</f>
        <v>0</v>
      </c>
      <c r="V38" s="276">
        <f ca="1">IF(V7&gt;SAP_Leadsheet!$E$21,0,U101)</f>
        <v>0</v>
      </c>
      <c r="W38" s="276">
        <f ca="1">IF(W7&gt;SAP_Leadsheet!$E$21,0,V101)</f>
        <v>0</v>
      </c>
      <c r="X38" s="276">
        <f ca="1">IF(X7&gt;SAP_Leadsheet!$E$21,0,W101)</f>
        <v>0</v>
      </c>
      <c r="Y38" s="276">
        <f ca="1">IF(Y7&gt;SAP_Leadsheet!$E$21,0,X101)</f>
        <v>0</v>
      </c>
      <c r="Z38" s="276">
        <f ca="1">IF(Z7&gt;SAP_Leadsheet!$E$21,0,Y101)</f>
        <v>0</v>
      </c>
      <c r="AA38" s="276">
        <f ca="1">IF(AA7&gt;SAP_Leadsheet!$E$21,0,Z101)</f>
        <v>0</v>
      </c>
      <c r="AB38" s="276">
        <f ca="1">IF(AB7&gt;SAP_Leadsheet!$E$21,0,AA101)</f>
        <v>0</v>
      </c>
      <c r="AC38" s="276">
        <f ca="1">IF(AC7&gt;SAP_Leadsheet!$E$21,0,AB101)</f>
        <v>0</v>
      </c>
      <c r="AD38" s="276">
        <f ca="1">IF(AD7&gt;SAP_Leadsheet!$E$21,0,AC101)</f>
        <v>0</v>
      </c>
      <c r="AE38" s="276">
        <f ca="1">IF(AE7&gt;SAP_Leadsheet!$E$21,0,AD101)</f>
        <v>0</v>
      </c>
      <c r="AF38" s="276">
        <f ca="1">IF(AF7&gt;SAP_Leadsheet!$E$21,0,AE101)</f>
        <v>0</v>
      </c>
      <c r="AG38" s="276">
        <f ca="1">IF(AG7&gt;SAP_Leadsheet!$E$21,0,AF101)</f>
        <v>0</v>
      </c>
      <c r="AH38" s="276">
        <f ca="1">IF(AH7&gt;SAP_Leadsheet!$E$21,0,AG101)</f>
        <v>0</v>
      </c>
      <c r="AI38" s="276">
        <f ca="1">IF(AI7&gt;SAP_Leadsheet!$E$21,0,AH101)</f>
        <v>0</v>
      </c>
      <c r="AJ38" s="276">
        <f ca="1">IF(AJ7&gt;SAP_Leadsheet!$E$21,0,AI101)</f>
        <v>0</v>
      </c>
      <c r="AK38" s="276">
        <f ca="1">IF(AK7&gt;SAP_Leadsheet!$E$21,0,AJ101)</f>
        <v>0</v>
      </c>
      <c r="AL38" s="276">
        <f ca="1">IF(AL7&gt;SAP_Leadsheet!$E$21,0,AK101)</f>
        <v>0</v>
      </c>
      <c r="AM38" s="276">
        <f ca="1">IF(AM7&gt;SAP_Leadsheet!$E$21,0,AL101)</f>
        <v>0</v>
      </c>
      <c r="AN38" s="276">
        <f ca="1">IF(AN7&gt;SAP_Leadsheet!$E$21,0,AM101)</f>
        <v>0</v>
      </c>
      <c r="AO38" s="276">
        <f ca="1">IF(AO7&gt;SAP_Leadsheet!$E$21,0,AN101)</f>
        <v>0</v>
      </c>
      <c r="AP38" s="276">
        <f ca="1">IF(AP7&gt;SAP_Leadsheet!$E$21,0,AO101)</f>
        <v>0</v>
      </c>
      <c r="AQ38" s="276">
        <f ca="1">IF(AQ7&gt;SAP_Leadsheet!$E$21,0,AP101)</f>
        <v>0</v>
      </c>
      <c r="AR38" s="276">
        <f ca="1">IF(AR7&gt;SAP_Leadsheet!$E$21,0,AQ101)</f>
        <v>0</v>
      </c>
      <c r="AS38" s="276">
        <f ca="1">IF(AS7&gt;SAP_Leadsheet!$E$21,0,AR101)</f>
        <v>0</v>
      </c>
      <c r="AT38" s="276">
        <f ca="1">IF(AT7&gt;SAP_Leadsheet!$E$21,0,AS101)</f>
        <v>0</v>
      </c>
      <c r="AU38" s="276">
        <f ca="1">IF(AU7&gt;SAP_Leadsheet!$E$21,0,AT101)</f>
        <v>0</v>
      </c>
      <c r="AV38" s="276">
        <f ca="1">IF(AV7&gt;SAP_Leadsheet!$E$21,0,AU101)</f>
        <v>0</v>
      </c>
      <c r="AW38" s="276">
        <f ca="1">IF(AW7&gt;SAP_Leadsheet!$E$21,0,AV101)</f>
        <v>0</v>
      </c>
      <c r="AX38" s="276">
        <f ca="1">IF(AX7&gt;SAP_Leadsheet!$E$21,0,AW101)</f>
        <v>0</v>
      </c>
      <c r="AY38" s="276">
        <f ca="1">IF(AY7&gt;SAP_Leadsheet!$E$21,0,AX101)</f>
        <v>0</v>
      </c>
      <c r="AZ38" s="276">
        <f ca="1">IF(AZ7&gt;SAP_Leadsheet!$E$21,0,AY101)</f>
        <v>0</v>
      </c>
      <c r="BA38" s="276">
        <f ca="1">IF(BA7&gt;SAP_Leadsheet!$E$21,0,AZ101)</f>
        <v>0</v>
      </c>
      <c r="BB38" s="276">
        <f ca="1">IF(BB7&gt;SAP_Leadsheet!$E$21,0,BA101)</f>
        <v>0</v>
      </c>
      <c r="BC38" s="276">
        <f ca="1">IF(BC7&gt;SAP_Leadsheet!$E$21,0,BB101)</f>
        <v>0</v>
      </c>
      <c r="BD38" s="276">
        <f ca="1">IF(BD7&gt;SAP_Leadsheet!$E$21,0,BC101)</f>
        <v>0</v>
      </c>
      <c r="BE38" s="276">
        <f ca="1">IF(BE7&gt;SAP_Leadsheet!$E$21,0,BD101)</f>
        <v>0</v>
      </c>
      <c r="BF38" s="276">
        <f ca="1">IF(BF7&gt;SAP_Leadsheet!$E$21,0,BE101)</f>
        <v>0</v>
      </c>
      <c r="BG38" s="276">
        <f ca="1">IF(BG7&gt;SAP_Leadsheet!$E$21,0,BF101)</f>
        <v>0</v>
      </c>
      <c r="BH38" s="276">
        <f ca="1">IF(BH7&gt;SAP_Leadsheet!$E$21,0,BG101)</f>
        <v>0</v>
      </c>
      <c r="BI38" s="276">
        <f ca="1">IF(BI7&gt;SAP_Leadsheet!$E$21,0,BH101)</f>
        <v>0</v>
      </c>
      <c r="BJ38" s="276">
        <f ca="1">IF(BJ7&gt;SAP_Leadsheet!$E$21,0,BI101)</f>
        <v>0</v>
      </c>
      <c r="BK38" s="276">
        <f ca="1">IF(BK7&gt;SAP_Leadsheet!$E$21,0,BJ101)</f>
        <v>0</v>
      </c>
      <c r="BL38" s="276">
        <f ca="1">IF(BL7&gt;SAP_Leadsheet!$E$21,0,BK101)</f>
        <v>0</v>
      </c>
      <c r="BM38" s="276">
        <f ca="1">IF(BM7&gt;SAP_Leadsheet!$E$21,0,BL101)</f>
        <v>0</v>
      </c>
      <c r="BN38" s="276">
        <f ca="1">IF(BN7&gt;SAP_Leadsheet!$E$21,0,BM101)</f>
        <v>0</v>
      </c>
      <c r="BO38" s="277"/>
      <c r="BP38" s="277"/>
      <c r="BQ38" s="277"/>
      <c r="BR38" s="277"/>
      <c r="BS38" s="277"/>
      <c r="BT38" s="277"/>
      <c r="BU38" s="277"/>
      <c r="BV38" s="277"/>
      <c r="BW38" s="277"/>
      <c r="BX38" s="277"/>
      <c r="BY38" s="277"/>
      <c r="BZ38" s="277"/>
      <c r="CA38" s="254"/>
      <c r="CB38" s="254"/>
      <c r="CC38" s="254"/>
      <c r="CD38" s="254"/>
      <c r="CE38" s="254"/>
      <c r="CF38" s="254"/>
      <c r="CG38" s="254"/>
      <c r="CH38" s="254"/>
      <c r="CI38" s="254"/>
      <c r="CJ38" s="254"/>
      <c r="CK38" s="254"/>
      <c r="CL38" s="254"/>
    </row>
    <row r="39" spans="1:90" x14ac:dyDescent="0.15">
      <c r="A39" s="272"/>
      <c r="B39" s="273"/>
      <c r="C39" s="275"/>
      <c r="D39" s="275" t="s">
        <v>356</v>
      </c>
      <c r="E39" s="275"/>
      <c r="F39" s="275"/>
      <c r="G39" s="276">
        <f ca="1">IF(SAP_Leadsheet!$C$9="non-EMI",0,IF(G7&gt;SAP_Leadsheet!$E$21,0,G37*G24))</f>
        <v>0</v>
      </c>
      <c r="H39" s="276">
        <f ca="1">IF(SAP_Leadsheet!$C$9="non-EMI",0,IF(H7&gt;SAP_Leadsheet!$E$21,0,H37*H24))</f>
        <v>0</v>
      </c>
      <c r="I39" s="276">
        <f ca="1">IF(SAP_Leadsheet!$C$9="non-EMI",0,IF(I7&gt;SAP_Leadsheet!$E$21,0,I37*I24))</f>
        <v>0</v>
      </c>
      <c r="J39" s="276">
        <f ca="1">IF(SAP_Leadsheet!$C$9="non-EMI",0,IF(J7&gt;SAP_Leadsheet!$E$21,0,J37*J24))</f>
        <v>0</v>
      </c>
      <c r="K39" s="276">
        <f ca="1">IF(SAP_Leadsheet!$C$9="non-EMI",0,IF(K7&gt;SAP_Leadsheet!$E$21,0,K37*K24))</f>
        <v>0</v>
      </c>
      <c r="L39" s="276">
        <f ca="1">IF(SAP_Leadsheet!$C$9="non-EMI",0,IF(L7&gt;SAP_Leadsheet!$E$21,0,L37*L24))</f>
        <v>0</v>
      </c>
      <c r="M39" s="276">
        <f ca="1">IF(SAP_Leadsheet!$C$9="non-EMI",0,IF(M7&gt;SAP_Leadsheet!$E$21,0,M37*M24))</f>
        <v>0</v>
      </c>
      <c r="N39" s="276">
        <f ca="1">IF(SAP_Leadsheet!$C$9="non-EMI",0,IF(N7&gt;SAP_Leadsheet!$E$21,0,N37*N24))</f>
        <v>0</v>
      </c>
      <c r="O39" s="276">
        <f ca="1">IF(SAP_Leadsheet!$C$9="non-EMI",0,IF(O7&gt;SAP_Leadsheet!$E$21,0,O37*O24))</f>
        <v>0</v>
      </c>
      <c r="P39" s="276">
        <f ca="1">IF(SAP_Leadsheet!$C$9="non-EMI",0,IF(P7&gt;SAP_Leadsheet!$E$21,0,P37*P24))</f>
        <v>0</v>
      </c>
      <c r="Q39" s="276">
        <f ca="1">IF(SAP_Leadsheet!$C$9="non-EMI",0,IF(Q7&gt;SAP_Leadsheet!$E$21,0,Q37*Q24))</f>
        <v>0</v>
      </c>
      <c r="R39" s="276">
        <f ca="1">IF(SAP_Leadsheet!$C$9="non-EMI",0,IF(R7&gt;SAP_Leadsheet!$E$21,0,R37*R24))</f>
        <v>0</v>
      </c>
      <c r="S39" s="276">
        <f ca="1">IF(SAP_Leadsheet!$C$9="non-EMI",0,IF(S7&gt;SAP_Leadsheet!$E$21,0,S37*S24))</f>
        <v>0</v>
      </c>
      <c r="T39" s="276">
        <f ca="1">IF(SAP_Leadsheet!$C$9="non-EMI",0,IF(T7&gt;SAP_Leadsheet!$E$21,0,T37*T24))</f>
        <v>0</v>
      </c>
      <c r="U39" s="276">
        <f ca="1">IF(SAP_Leadsheet!$C$9="non-EMI",0,IF(U7&gt;SAP_Leadsheet!$E$21,0,U37*U24))</f>
        <v>0</v>
      </c>
      <c r="V39" s="276">
        <f ca="1">IF(SAP_Leadsheet!$C$9="non-EMI",0,IF(V7&gt;SAP_Leadsheet!$E$21,0,V37*V24))</f>
        <v>0</v>
      </c>
      <c r="W39" s="276">
        <f ca="1">IF(SAP_Leadsheet!$C$9="non-EMI",0,IF(W7&gt;SAP_Leadsheet!$E$21,0,W37*W24))</f>
        <v>0</v>
      </c>
      <c r="X39" s="276">
        <f ca="1">IF(SAP_Leadsheet!$C$9="non-EMI",0,IF(X7&gt;SAP_Leadsheet!$E$21,0,X37*X24))</f>
        <v>0</v>
      </c>
      <c r="Y39" s="276">
        <f ca="1">IF(SAP_Leadsheet!$C$9="non-EMI",0,IF(Y7&gt;SAP_Leadsheet!$E$21,0,Y37*Y24))</f>
        <v>0</v>
      </c>
      <c r="Z39" s="276">
        <f ca="1">IF(SAP_Leadsheet!$C$9="non-EMI",0,IF(Z7&gt;SAP_Leadsheet!$E$21,0,Z37*Z24))</f>
        <v>0</v>
      </c>
      <c r="AA39" s="276">
        <f ca="1">IF(SAP_Leadsheet!$C$9="non-EMI",0,IF(AA7&gt;SAP_Leadsheet!$E$21,0,AA37*AA24))</f>
        <v>0</v>
      </c>
      <c r="AB39" s="276">
        <f ca="1">IF(SAP_Leadsheet!$C$9="non-EMI",0,IF(AB7&gt;SAP_Leadsheet!$E$21,0,AB37*AB24))</f>
        <v>0</v>
      </c>
      <c r="AC39" s="276">
        <f ca="1">IF(SAP_Leadsheet!$C$9="non-EMI",0,IF(AC7&gt;SAP_Leadsheet!$E$21,0,AC37*AC24))</f>
        <v>0</v>
      </c>
      <c r="AD39" s="276">
        <f ca="1">IF(SAP_Leadsheet!$C$9="non-EMI",0,IF(AD7&gt;SAP_Leadsheet!$E$21,0,AD37*AD24))</f>
        <v>0</v>
      </c>
      <c r="AE39" s="276">
        <f ca="1">IF(SAP_Leadsheet!$C$9="non-EMI",0,IF(AE7&gt;SAP_Leadsheet!$E$21,0,AE37*AE24))</f>
        <v>0</v>
      </c>
      <c r="AF39" s="276">
        <f ca="1">IF(SAP_Leadsheet!$C$9="non-EMI",0,IF(AF7&gt;SAP_Leadsheet!$E$21,0,AF37*AF24))</f>
        <v>0</v>
      </c>
      <c r="AG39" s="276">
        <f ca="1">IF(SAP_Leadsheet!$C$9="non-EMI",0,IF(AG7&gt;SAP_Leadsheet!$E$21,0,AG37*AG24))</f>
        <v>0</v>
      </c>
      <c r="AH39" s="276">
        <f ca="1">IF(SAP_Leadsheet!$C$9="non-EMI",0,IF(AH7&gt;SAP_Leadsheet!$E$21,0,AH37*AH24))</f>
        <v>0</v>
      </c>
      <c r="AI39" s="276">
        <f ca="1">IF(SAP_Leadsheet!$C$9="non-EMI",0,IF(AI7&gt;SAP_Leadsheet!$E$21,0,AI37*AI24))</f>
        <v>0</v>
      </c>
      <c r="AJ39" s="276">
        <f ca="1">IF(SAP_Leadsheet!$C$9="non-EMI",0,IF(AJ7&gt;SAP_Leadsheet!$E$21,0,AJ37*AJ24))</f>
        <v>0</v>
      </c>
      <c r="AK39" s="276">
        <f ca="1">IF(SAP_Leadsheet!$C$9="non-EMI",0,IF(AK7&gt;SAP_Leadsheet!$E$21,0,AK37*AK24))</f>
        <v>0</v>
      </c>
      <c r="AL39" s="276">
        <f ca="1">IF(SAP_Leadsheet!$C$9="non-EMI",0,IF(AL7&gt;SAP_Leadsheet!$E$21,0,AL37*AL24))</f>
        <v>0</v>
      </c>
      <c r="AM39" s="276">
        <f ca="1">IF(SAP_Leadsheet!$C$9="non-EMI",0,IF(AM7&gt;SAP_Leadsheet!$E$21,0,AM37*AM24))</f>
        <v>0</v>
      </c>
      <c r="AN39" s="276">
        <f ca="1">IF(SAP_Leadsheet!$C$9="non-EMI",0,IF(AN7&gt;SAP_Leadsheet!$E$21,0,AN37*AN24))</f>
        <v>0</v>
      </c>
      <c r="AO39" s="276">
        <f ca="1">IF(SAP_Leadsheet!$C$9="non-EMI",0,IF(AO7&gt;SAP_Leadsheet!$E$21,0,AO37*AO24))</f>
        <v>0</v>
      </c>
      <c r="AP39" s="276">
        <f ca="1">IF(SAP_Leadsheet!$C$9="non-EMI",0,IF(AP7&gt;SAP_Leadsheet!$E$21,0,AP37*AP24))</f>
        <v>0</v>
      </c>
      <c r="AQ39" s="276">
        <f ca="1">IF(SAP_Leadsheet!$C$9="non-EMI",0,IF(AQ7&gt;SAP_Leadsheet!$E$21,0,AQ37*AQ24))</f>
        <v>0</v>
      </c>
      <c r="AR39" s="276">
        <f ca="1">IF(SAP_Leadsheet!$C$9="non-EMI",0,IF(AR7&gt;SAP_Leadsheet!$E$21,0,AR37*AR24))</f>
        <v>0</v>
      </c>
      <c r="AS39" s="276">
        <f ca="1">IF(SAP_Leadsheet!$C$9="non-EMI",0,IF(AS7&gt;SAP_Leadsheet!$E$21,0,AS37*AS24))</f>
        <v>0</v>
      </c>
      <c r="AT39" s="276">
        <f ca="1">IF(SAP_Leadsheet!$C$9="non-EMI",0,IF(AT7&gt;SAP_Leadsheet!$E$21,0,AT37*AT24))</f>
        <v>0</v>
      </c>
      <c r="AU39" s="276">
        <f ca="1">IF(SAP_Leadsheet!$C$9="non-EMI",0,IF(AU7&gt;SAP_Leadsheet!$E$21,0,AU37*AU24))</f>
        <v>0</v>
      </c>
      <c r="AV39" s="276">
        <f ca="1">IF(SAP_Leadsheet!$C$9="non-EMI",0,IF(AV7&gt;SAP_Leadsheet!$E$21,0,AV37*AV24))</f>
        <v>0</v>
      </c>
      <c r="AW39" s="276">
        <f ca="1">IF(SAP_Leadsheet!$C$9="non-EMI",0,IF(AW7&gt;SAP_Leadsheet!$E$21,0,AW37*AW24))</f>
        <v>0</v>
      </c>
      <c r="AX39" s="276">
        <f ca="1">IF(SAP_Leadsheet!$C$9="non-EMI",0,IF(AX7&gt;SAP_Leadsheet!$E$21,0,AX37*AX24))</f>
        <v>0</v>
      </c>
      <c r="AY39" s="276">
        <f ca="1">IF(SAP_Leadsheet!$C$9="non-EMI",0,IF(AY7&gt;SAP_Leadsheet!$E$21,0,AY37*AY24))</f>
        <v>0</v>
      </c>
      <c r="AZ39" s="276">
        <f ca="1">IF(SAP_Leadsheet!$C$9="non-EMI",0,IF(AZ7&gt;SAP_Leadsheet!$E$21,0,AZ37*AZ24))</f>
        <v>0</v>
      </c>
      <c r="BA39" s="276">
        <f ca="1">IF(SAP_Leadsheet!$C$9="non-EMI",0,IF(BA7&gt;SAP_Leadsheet!$E$21,0,BA37*BA24))</f>
        <v>0</v>
      </c>
      <c r="BB39" s="276">
        <f ca="1">IF(SAP_Leadsheet!$C$9="non-EMI",0,IF(BB7&gt;SAP_Leadsheet!$E$21,0,BB37*BB24))</f>
        <v>0</v>
      </c>
      <c r="BC39" s="276">
        <f ca="1">IF(SAP_Leadsheet!$C$9="non-EMI",0,IF(BC7&gt;SAP_Leadsheet!$E$21,0,BC37*BC24))</f>
        <v>0</v>
      </c>
      <c r="BD39" s="276">
        <f ca="1">IF(SAP_Leadsheet!$C$9="non-EMI",0,IF(BD7&gt;SAP_Leadsheet!$E$21,0,BD37*BD24))</f>
        <v>0</v>
      </c>
      <c r="BE39" s="276">
        <f ca="1">IF(SAP_Leadsheet!$C$9="non-EMI",0,IF(BE7&gt;SAP_Leadsheet!$E$21,0,BE37*BE24))</f>
        <v>0</v>
      </c>
      <c r="BF39" s="276">
        <f ca="1">IF(SAP_Leadsheet!$C$9="non-EMI",0,IF(BF7&gt;SAP_Leadsheet!$E$21,0,BF37*BF24))</f>
        <v>0</v>
      </c>
      <c r="BG39" s="276">
        <f ca="1">IF(SAP_Leadsheet!$C$9="non-EMI",0,IF(BG7&gt;SAP_Leadsheet!$E$21,0,BG37*BG24))</f>
        <v>0</v>
      </c>
      <c r="BH39" s="276">
        <f ca="1">IF(SAP_Leadsheet!$C$9="non-EMI",0,IF(BH7&gt;SAP_Leadsheet!$E$21,0,BH37*BH24))</f>
        <v>0</v>
      </c>
      <c r="BI39" s="276">
        <f ca="1">IF(SAP_Leadsheet!$C$9="non-EMI",0,IF(BI7&gt;SAP_Leadsheet!$E$21,0,BI37*BI24))</f>
        <v>0</v>
      </c>
      <c r="BJ39" s="276">
        <f ca="1">IF(SAP_Leadsheet!$C$9="non-EMI",0,IF(BJ7&gt;SAP_Leadsheet!$E$21,0,BJ37*BJ24))</f>
        <v>0</v>
      </c>
      <c r="BK39" s="276">
        <f ca="1">IF(SAP_Leadsheet!$C$9="non-EMI",0,IF(BK7&gt;SAP_Leadsheet!$E$21,0,BK37*BK24))</f>
        <v>0</v>
      </c>
      <c r="BL39" s="276">
        <f ca="1">IF(SAP_Leadsheet!$C$9="non-EMI",0,IF(BL7&gt;SAP_Leadsheet!$E$21,0,BL37*BL24))</f>
        <v>0</v>
      </c>
      <c r="BM39" s="276">
        <f ca="1">IF(SAP_Leadsheet!$C$9="non-EMI",0,IF(BM7&gt;SAP_Leadsheet!$E$21,0,BM37*BM24))</f>
        <v>0</v>
      </c>
      <c r="BN39" s="276">
        <f ca="1">IF(SAP_Leadsheet!$C$9="non-EMI",0,IF(BN7&gt;SAP_Leadsheet!$E$21,0,BN37*BN24))</f>
        <v>0</v>
      </c>
      <c r="BO39" s="277"/>
      <c r="BP39" s="277"/>
      <c r="BQ39" s="277"/>
      <c r="BR39" s="277"/>
      <c r="BS39" s="277"/>
      <c r="BT39" s="277"/>
      <c r="BU39" s="277"/>
      <c r="BV39" s="277"/>
      <c r="BW39" s="277"/>
      <c r="BX39" s="277"/>
      <c r="BY39" s="277"/>
      <c r="BZ39" s="277"/>
      <c r="CA39" s="254"/>
      <c r="CB39" s="254"/>
      <c r="CC39" s="254"/>
      <c r="CD39" s="254"/>
      <c r="CE39" s="254"/>
      <c r="CF39" s="254"/>
      <c r="CG39" s="254"/>
      <c r="CH39" s="254"/>
      <c r="CI39" s="254"/>
      <c r="CJ39" s="254"/>
      <c r="CK39" s="254"/>
      <c r="CL39" s="254"/>
    </row>
    <row r="40" spans="1:90" x14ac:dyDescent="0.15">
      <c r="A40" s="272"/>
      <c r="B40" s="273"/>
      <c r="C40" s="275"/>
      <c r="D40" s="275" t="s">
        <v>352</v>
      </c>
      <c r="E40" s="275"/>
      <c r="F40" s="275"/>
      <c r="G40" s="276">
        <v>0</v>
      </c>
      <c r="H40" s="276">
        <f ca="1">IF(H7&gt;SAP_Leadsheet!$E$21,0,-SUM(H41:H100)*G208)</f>
        <v>0</v>
      </c>
      <c r="I40" s="276">
        <f ca="1">IF(I7&gt;SAP_Leadsheet!$E$21,0,-SUM(I41:I100)*H208)</f>
        <v>0</v>
      </c>
      <c r="J40" s="276">
        <f ca="1">IF(J7&gt;SAP_Leadsheet!$E$21,0,-SUM(J41:J100)*I208)</f>
        <v>0</v>
      </c>
      <c r="K40" s="276">
        <f ca="1">IF(K7&gt;SAP_Leadsheet!$E$21,0,-SUM(K41:K100)*J208)</f>
        <v>0</v>
      </c>
      <c r="L40" s="276">
        <f ca="1">IF(L7&gt;SAP_Leadsheet!$E$21,0,-SUM(L41:L100)*K208)</f>
        <v>0</v>
      </c>
      <c r="M40" s="276">
        <f ca="1">IF(M7&gt;SAP_Leadsheet!$E$21,0,-SUM(M41:M100)*L208)</f>
        <v>0</v>
      </c>
      <c r="N40" s="276">
        <f ca="1">IF(N7&gt;SAP_Leadsheet!$E$21,0,-SUM(N41:N100)*M208)</f>
        <v>0</v>
      </c>
      <c r="O40" s="276">
        <f ca="1">IF(O7&gt;SAP_Leadsheet!$E$21,0,-SUM(O41:O100)*N208)</f>
        <v>0</v>
      </c>
      <c r="P40" s="276">
        <f ca="1">IF(P7&gt;SAP_Leadsheet!$E$21,0,-SUM(P41:P100)*O208)</f>
        <v>0</v>
      </c>
      <c r="Q40" s="276">
        <f ca="1">IF(Q7&gt;SAP_Leadsheet!$E$21,0,-SUM(Q41:Q100)*P208)</f>
        <v>0</v>
      </c>
      <c r="R40" s="276">
        <f ca="1">IF(R7&gt;SAP_Leadsheet!$E$21,0,-SUM(R41:R100)*Q208)</f>
        <v>0</v>
      </c>
      <c r="S40" s="276">
        <f ca="1">IF(S7&gt;SAP_Leadsheet!$E$21,0,-SUM(S41:S100)*R208)</f>
        <v>0</v>
      </c>
      <c r="T40" s="276">
        <f ca="1">IF(T7&gt;SAP_Leadsheet!$E$21,0,-SUM(T41:T100)*S208)</f>
        <v>0</v>
      </c>
      <c r="U40" s="276">
        <f ca="1">IF(U7&gt;SAP_Leadsheet!$E$21,0,-SUM(U41:U100)*T208)</f>
        <v>0</v>
      </c>
      <c r="V40" s="276">
        <f ca="1">IF(V7&gt;SAP_Leadsheet!$E$21,0,-SUM(V41:V100)*U208)</f>
        <v>0</v>
      </c>
      <c r="W40" s="276">
        <f ca="1">IF(W7&gt;SAP_Leadsheet!$E$21,0,-SUM(W41:W100)*V208)</f>
        <v>0</v>
      </c>
      <c r="X40" s="276">
        <f ca="1">IF(X7&gt;SAP_Leadsheet!$E$21,0,-SUM(X41:X100)*W208)</f>
        <v>0</v>
      </c>
      <c r="Y40" s="276">
        <f ca="1">IF(Y7&gt;SAP_Leadsheet!$E$21,0,-SUM(Y41:Y100)*X208)</f>
        <v>0</v>
      </c>
      <c r="Z40" s="276">
        <f ca="1">IF(Z7&gt;SAP_Leadsheet!$E$21,0,-SUM(Z41:Z100)*Y208)</f>
        <v>0</v>
      </c>
      <c r="AA40" s="276">
        <f ca="1">IF(AA7&gt;SAP_Leadsheet!$E$21,0,-SUM(AA41:AA100)*Z208)</f>
        <v>0</v>
      </c>
      <c r="AB40" s="276">
        <f ca="1">IF(AB7&gt;SAP_Leadsheet!$E$21,0,-SUM(AB41:AB100)*AA208)</f>
        <v>0</v>
      </c>
      <c r="AC40" s="276">
        <f ca="1">IF(AC7&gt;SAP_Leadsheet!$E$21,0,-SUM(AC41:AC100)*AB208)</f>
        <v>0</v>
      </c>
      <c r="AD40" s="276">
        <f ca="1">IF(AD7&gt;SAP_Leadsheet!$E$21,0,-SUM(AD41:AD100)*AC208)</f>
        <v>0</v>
      </c>
      <c r="AE40" s="276">
        <f ca="1">IF(AE7&gt;SAP_Leadsheet!$E$21,0,-SUM(AE41:AE100)*AD208)</f>
        <v>0</v>
      </c>
      <c r="AF40" s="276">
        <f ca="1">IF(AF7&gt;SAP_Leadsheet!$E$21,0,-SUM(AF41:AF100)*AE208)</f>
        <v>0</v>
      </c>
      <c r="AG40" s="276">
        <f ca="1">IF(AG7&gt;SAP_Leadsheet!$E$21,0,-SUM(AG41:AG100)*AF208)</f>
        <v>0</v>
      </c>
      <c r="AH40" s="276">
        <f ca="1">IF(AH7&gt;SAP_Leadsheet!$E$21,0,-SUM(AH41:AH100)*AG208)</f>
        <v>0</v>
      </c>
      <c r="AI40" s="276">
        <f ca="1">IF(AI7&gt;SAP_Leadsheet!$E$21,0,-SUM(AI41:AI100)*AH208)</f>
        <v>0</v>
      </c>
      <c r="AJ40" s="276">
        <f ca="1">IF(AJ7&gt;SAP_Leadsheet!$E$21,0,-SUM(AJ41:AJ100)*AI208)</f>
        <v>0</v>
      </c>
      <c r="AK40" s="276">
        <f ca="1">IF(AK7&gt;SAP_Leadsheet!$E$21,0,-SUM(AK41:AK100)*AJ208)</f>
        <v>0</v>
      </c>
      <c r="AL40" s="276">
        <f ca="1">IF(AL7&gt;SAP_Leadsheet!$E$21,0,-SUM(AL41:AL100)*AK208)</f>
        <v>0</v>
      </c>
      <c r="AM40" s="276">
        <f ca="1">IF(AM7&gt;SAP_Leadsheet!$E$21,0,-SUM(AM41:AM100)*AL208)</f>
        <v>0</v>
      </c>
      <c r="AN40" s="276">
        <f ca="1">IF(AN7&gt;SAP_Leadsheet!$E$21,0,-SUM(AN41:AN100)*AM208)</f>
        <v>0</v>
      </c>
      <c r="AO40" s="276">
        <f ca="1">IF(AO7&gt;SAP_Leadsheet!$E$21,0,-SUM(AO41:AO100)*AN208)</f>
        <v>0</v>
      </c>
      <c r="AP40" s="276">
        <f ca="1">IF(AP7&gt;SAP_Leadsheet!$E$21,0,-SUM(AP41:AP100)*AO208)</f>
        <v>0</v>
      </c>
      <c r="AQ40" s="276">
        <f ca="1">IF(AQ7&gt;SAP_Leadsheet!$E$21,0,-SUM(AQ41:AQ100)*AP208)</f>
        <v>0</v>
      </c>
      <c r="AR40" s="276">
        <f ca="1">IF(AR7&gt;SAP_Leadsheet!$E$21,0,-SUM(AR41:AR100)*AQ208)</f>
        <v>0</v>
      </c>
      <c r="AS40" s="276">
        <f ca="1">IF(AS7&gt;SAP_Leadsheet!$E$21,0,-SUM(AS41:AS100)*AR208)</f>
        <v>0</v>
      </c>
      <c r="AT40" s="276">
        <f ca="1">IF(AT7&gt;SAP_Leadsheet!$E$21,0,-SUM(AT41:AT100)*AS208)</f>
        <v>0</v>
      </c>
      <c r="AU40" s="276">
        <f ca="1">IF(AU7&gt;SAP_Leadsheet!$E$21,0,-SUM(AU41:AU100)*AT208)</f>
        <v>0</v>
      </c>
      <c r="AV40" s="276">
        <f ca="1">IF(AV7&gt;SAP_Leadsheet!$E$21,0,-SUM(AV41:AV100)*AU208)</f>
        <v>0</v>
      </c>
      <c r="AW40" s="276">
        <f ca="1">IF(AW7&gt;SAP_Leadsheet!$E$21,0,-SUM(AW41:AW100)*AV208)</f>
        <v>0</v>
      </c>
      <c r="AX40" s="276">
        <f ca="1">IF(AX7&gt;SAP_Leadsheet!$E$21,0,-SUM(AX41:AX100)*AW208)</f>
        <v>0</v>
      </c>
      <c r="AY40" s="276">
        <f ca="1">IF(AY7&gt;SAP_Leadsheet!$E$21,0,-SUM(AY41:AY100)*AX208)</f>
        <v>0</v>
      </c>
      <c r="AZ40" s="276">
        <f ca="1">IF(AZ7&gt;SAP_Leadsheet!$E$21,0,-SUM(AZ41:AZ100)*AY208)</f>
        <v>0</v>
      </c>
      <c r="BA40" s="276">
        <f ca="1">IF(BA7&gt;SAP_Leadsheet!$E$21,0,-SUM(BA41:BA100)*AZ208)</f>
        <v>0</v>
      </c>
      <c r="BB40" s="276">
        <f ca="1">IF(BB7&gt;SAP_Leadsheet!$E$21,0,-SUM(BB41:BB100)*BA208)</f>
        <v>0</v>
      </c>
      <c r="BC40" s="276">
        <f ca="1">IF(BC7&gt;SAP_Leadsheet!$E$21,0,-SUM(BC41:BC100)*BB208)</f>
        <v>0</v>
      </c>
      <c r="BD40" s="276">
        <f ca="1">IF(BD7&gt;SAP_Leadsheet!$E$21,0,-SUM(BD41:BD100)*BC208)</f>
        <v>0</v>
      </c>
      <c r="BE40" s="276">
        <f ca="1">IF(BE7&gt;SAP_Leadsheet!$E$21,0,-SUM(BE41:BE100)*BD208)</f>
        <v>0</v>
      </c>
      <c r="BF40" s="276">
        <f ca="1">IF(BF7&gt;SAP_Leadsheet!$E$21,0,-SUM(BF41:BF100)*BE208)</f>
        <v>0</v>
      </c>
      <c r="BG40" s="276">
        <f ca="1">IF(BG7&gt;SAP_Leadsheet!$E$21,0,-SUM(BG41:BG100)*BF208)</f>
        <v>0</v>
      </c>
      <c r="BH40" s="276">
        <f ca="1">IF(BH7&gt;SAP_Leadsheet!$E$21,0,-SUM(BH41:BH100)*BG208)</f>
        <v>0</v>
      </c>
      <c r="BI40" s="276">
        <f ca="1">IF(BI7&gt;SAP_Leadsheet!$E$21,0,-SUM(BI41:BI100)*BH208)</f>
        <v>0</v>
      </c>
      <c r="BJ40" s="276">
        <f ca="1">IF(BJ7&gt;SAP_Leadsheet!$E$21,0,-SUM(BJ41:BJ100)*BI208)</f>
        <v>0</v>
      </c>
      <c r="BK40" s="276">
        <f ca="1">IF(BK7&gt;SAP_Leadsheet!$E$21,0,-SUM(BK41:BK100)*BJ208)</f>
        <v>0</v>
      </c>
      <c r="BL40" s="276">
        <f ca="1">IF(BL7&gt;SAP_Leadsheet!$E$21,0,-SUM(BL41:BL100)*BK208)</f>
        <v>0</v>
      </c>
      <c r="BM40" s="276">
        <f ca="1">IF(BM7&gt;SAP_Leadsheet!$E$21,0,-SUM(BM41:BM100)*BL208)</f>
        <v>0</v>
      </c>
      <c r="BN40" s="276">
        <f ca="1">IF(BN7&gt;SAP_Leadsheet!$E$21,0,-SUM(BN41:BN100)*BM208)</f>
        <v>0</v>
      </c>
      <c r="BO40" s="277"/>
      <c r="BP40" s="277"/>
      <c r="BQ40" s="277"/>
      <c r="BR40" s="277"/>
      <c r="BS40" s="277"/>
      <c r="BT40" s="277"/>
      <c r="BU40" s="277"/>
      <c r="BV40" s="277"/>
      <c r="BW40" s="277"/>
      <c r="BX40" s="277"/>
      <c r="BY40" s="277"/>
      <c r="BZ40" s="277"/>
      <c r="CA40" s="254"/>
      <c r="CB40" s="254"/>
      <c r="CC40" s="254"/>
      <c r="CD40" s="254"/>
      <c r="CE40" s="254"/>
      <c r="CF40" s="254"/>
      <c r="CG40" s="254"/>
      <c r="CH40" s="254"/>
      <c r="CI40" s="254"/>
      <c r="CJ40" s="254"/>
      <c r="CK40" s="254"/>
      <c r="CL40" s="254"/>
    </row>
    <row r="41" spans="1:90" outlineLevel="1" x14ac:dyDescent="0.15">
      <c r="A41" s="272"/>
      <c r="B41" s="273"/>
      <c r="C41" s="275" cm="1">
        <f t="array" ref="C41:C100">TRANSPOSE(G7:BN7)</f>
        <v>1</v>
      </c>
      <c r="D41" s="278" cm="1">
        <f t="array" aca="1" ref="D41:D100" ca="1">TRANSPOSE(G39:BN39)</f>
        <v>0</v>
      </c>
      <c r="E41" s="275">
        <f>SAP_Leadsheet!$E$50</f>
        <v>0</v>
      </c>
      <c r="F41" s="275"/>
      <c r="G41" s="276">
        <f>IF($C41+1&gt;G$7,0,IF($D41&gt;SUM(#REF!),$D41/$E41,0))</f>
        <v>0</v>
      </c>
      <c r="H41" s="276">
        <f ca="1">IF($C41+1&gt;H$7,0,IF($D41&gt;SUM($G41:G41),$D41/$E41,0))</f>
        <v>0</v>
      </c>
      <c r="I41" s="276">
        <f ca="1">IF($C41+1&gt;I$7,0,IF($D41&gt;SUM($G41:H41),$D41/$E41,0))</f>
        <v>0</v>
      </c>
      <c r="J41" s="276">
        <f ca="1">IF($C41+1&gt;J$7,0,IF($D41&gt;SUM($G41:I41),$D41/$E41,0))</f>
        <v>0</v>
      </c>
      <c r="K41" s="276">
        <f ca="1">IF($C41+1&gt;K$7,0,IF($D41&gt;SUM($G41:J41),$D41/$E41,0))</f>
        <v>0</v>
      </c>
      <c r="L41" s="276">
        <f ca="1">IF($C41+1&gt;L$7,0,IF($D41&gt;SUM($G41:K41),$D41/$E41,0))</f>
        <v>0</v>
      </c>
      <c r="M41" s="276">
        <f ca="1">IF($C41+1&gt;M$7,0,IF($D41&gt;SUM($G41:L41),$D41/$E41,0))</f>
        <v>0</v>
      </c>
      <c r="N41" s="276">
        <f ca="1">IF($C41+1&gt;N$7,0,IF($D41&gt;SUM($G41:M41),$D41/$E41,0))</f>
        <v>0</v>
      </c>
      <c r="O41" s="276">
        <f ca="1">IF($C41+1&gt;O$7,0,IF($D41&gt;SUM($G41:N41),$D41/$E41,0))</f>
        <v>0</v>
      </c>
      <c r="P41" s="276">
        <f ca="1">IF($C41+1&gt;P$7,0,IF($D41&gt;SUM($G41:O41),$D41/$E41,0))</f>
        <v>0</v>
      </c>
      <c r="Q41" s="276">
        <f ca="1">IF($C41+1&gt;Q$7,0,IF($D41&gt;SUM($G41:P41),$D41/$E41,0))</f>
        <v>0</v>
      </c>
      <c r="R41" s="276">
        <f ca="1">IF($C41+1&gt;R$7,0,IF($D41&gt;SUM($G41:Q41),$D41/$E41,0))</f>
        <v>0</v>
      </c>
      <c r="S41" s="276">
        <f ca="1">IF($C41+1&gt;S$7,0,IF($D41&gt;SUM($G41:R41),$D41/$E41,0))</f>
        <v>0</v>
      </c>
      <c r="T41" s="276">
        <f ca="1">IF($C41+1&gt;T$7,0,IF($D41&gt;SUM($G41:S41),$D41/$E41,0))</f>
        <v>0</v>
      </c>
      <c r="U41" s="276">
        <f ca="1">IF($C41+1&gt;U$7,0,IF($D41&gt;SUM($G41:T41),$D41/$E41,0))</f>
        <v>0</v>
      </c>
      <c r="V41" s="276">
        <f ca="1">IF($C41+1&gt;V$7,0,IF($D41&gt;SUM($G41:U41),$D41/$E41,0))</f>
        <v>0</v>
      </c>
      <c r="W41" s="276">
        <f ca="1">IF($C41+1&gt;W$7,0,IF($D41&gt;SUM($G41:V41),$D41/$E41,0))</f>
        <v>0</v>
      </c>
      <c r="X41" s="276">
        <f ca="1">IF($C41+1&gt;X$7,0,IF($D41&gt;SUM($G41:W41),$D41/$E41,0))</f>
        <v>0</v>
      </c>
      <c r="Y41" s="276">
        <f ca="1">IF($C41+1&gt;Y$7,0,IF($D41&gt;SUM($G41:X41),$D41/$E41,0))</f>
        <v>0</v>
      </c>
      <c r="Z41" s="276">
        <f ca="1">IF($C41+1&gt;Z$7,0,IF($D41&gt;SUM($G41:Y41),$D41/$E41,0))</f>
        <v>0</v>
      </c>
      <c r="AA41" s="276">
        <f ca="1">IF($C41+1&gt;AA$7,0,IF($D41&gt;SUM($G41:Z41),$D41/$E41,0))</f>
        <v>0</v>
      </c>
      <c r="AB41" s="276">
        <f ca="1">IF($C41+1&gt;AB$7,0,IF($D41&gt;SUM($G41:AA41),$D41/$E41,0))</f>
        <v>0</v>
      </c>
      <c r="AC41" s="276">
        <f ca="1">IF($C41+1&gt;AC$7,0,IF($D41&gt;SUM($G41:AB41),$D41/$E41,0))</f>
        <v>0</v>
      </c>
      <c r="AD41" s="276">
        <f ca="1">IF($C41+1&gt;AD$7,0,IF($D41&gt;SUM($G41:AC41),$D41/$E41,0))</f>
        <v>0</v>
      </c>
      <c r="AE41" s="276">
        <f ca="1">IF($C41+1&gt;AE$7,0,IF($D41&gt;SUM($G41:AD41),$D41/$E41,0))</f>
        <v>0</v>
      </c>
      <c r="AF41" s="276">
        <f ca="1">IF($C41+1&gt;AF$7,0,IF($D41&gt;SUM($G41:AE41),$D41/$E41,0))</f>
        <v>0</v>
      </c>
      <c r="AG41" s="276">
        <f ca="1">IF($C41+1&gt;AG$7,0,IF($D41&gt;SUM($G41:AF41),$D41/$E41,0))</f>
        <v>0</v>
      </c>
      <c r="AH41" s="276">
        <f ca="1">IF($C41+1&gt;AH$7,0,IF($D41&gt;SUM($G41:AG41),$D41/$E41,0))</f>
        <v>0</v>
      </c>
      <c r="AI41" s="276">
        <f ca="1">IF($C41+1&gt;AI$7,0,IF($D41&gt;SUM($G41:AH41),$D41/$E41,0))</f>
        <v>0</v>
      </c>
      <c r="AJ41" s="276">
        <f ca="1">IF($C41+1&gt;AJ$7,0,IF($D41&gt;SUM($G41:AI41),$D41/$E41,0))</f>
        <v>0</v>
      </c>
      <c r="AK41" s="276">
        <f ca="1">IF($C41+1&gt;AK$7,0,IF($D41&gt;SUM($G41:AJ41),$D41/$E41,0))</f>
        <v>0</v>
      </c>
      <c r="AL41" s="276">
        <f ca="1">IF($C41+1&gt;AL$7,0,IF($D41&gt;SUM($G41:AK41),$D41/$E41,0))</f>
        <v>0</v>
      </c>
      <c r="AM41" s="276">
        <f ca="1">IF($C41+1&gt;AM$7,0,IF($D41&gt;SUM($G41:AL41),$D41/$E41,0))</f>
        <v>0</v>
      </c>
      <c r="AN41" s="276">
        <f ca="1">IF($C41+1&gt;AN$7,0,IF($D41&gt;SUM($G41:AM41),$D41/$E41,0))</f>
        <v>0</v>
      </c>
      <c r="AO41" s="276">
        <f ca="1">IF($C41+1&gt;AO$7,0,IF($D41&gt;SUM($G41:AN41),$D41/$E41,0))</f>
        <v>0</v>
      </c>
      <c r="AP41" s="276">
        <f ca="1">IF($C41+1&gt;AP$7,0,IF($D41&gt;SUM($G41:AO41),$D41/$E41,0))</f>
        <v>0</v>
      </c>
      <c r="AQ41" s="276">
        <f ca="1">IF($C41+1&gt;AQ$7,0,IF($D41&gt;SUM($G41:AP41),$D41/$E41,0))</f>
        <v>0</v>
      </c>
      <c r="AR41" s="276">
        <f ca="1">IF($C41+1&gt;AR$7,0,IF($D41&gt;SUM($G41:AQ41),$D41/$E41,0))</f>
        <v>0</v>
      </c>
      <c r="AS41" s="276">
        <f ca="1">IF($C41+1&gt;AS$7,0,IF($D41&gt;SUM($G41:AR41),$D41/$E41,0))</f>
        <v>0</v>
      </c>
      <c r="AT41" s="276">
        <f ca="1">IF($C41+1&gt;AT$7,0,IF($D41&gt;SUM($G41:AS41),$D41/$E41,0))</f>
        <v>0</v>
      </c>
      <c r="AU41" s="276">
        <f ca="1">IF($C41+1&gt;AU$7,0,IF($D41&gt;SUM($G41:AT41),$D41/$E41,0))</f>
        <v>0</v>
      </c>
      <c r="AV41" s="276">
        <f ca="1">IF($C41+1&gt;AV$7,0,IF($D41&gt;SUM($G41:AU41),$D41/$E41,0))</f>
        <v>0</v>
      </c>
      <c r="AW41" s="276">
        <f ca="1">IF($C41+1&gt;AW$7,0,IF($D41&gt;SUM($G41:AV41),$D41/$E41,0))</f>
        <v>0</v>
      </c>
      <c r="AX41" s="276">
        <f ca="1">IF($C41+1&gt;AX$7,0,IF($D41&gt;SUM($G41:AW41),$D41/$E41,0))</f>
        <v>0</v>
      </c>
      <c r="AY41" s="276">
        <f ca="1">IF($C41+1&gt;AY$7,0,IF($D41&gt;SUM($G41:AX41),$D41/$E41,0))</f>
        <v>0</v>
      </c>
      <c r="AZ41" s="276">
        <f ca="1">IF($C41+1&gt;AZ$7,0,IF($D41&gt;SUM($G41:AY41),$D41/$E41,0))</f>
        <v>0</v>
      </c>
      <c r="BA41" s="276">
        <f ca="1">IF($C41+1&gt;BA$7,0,IF($D41&gt;SUM($G41:AZ41),$D41/$E41,0))</f>
        <v>0</v>
      </c>
      <c r="BB41" s="276">
        <f ca="1">IF($C41+1&gt;BB$7,0,IF($D41&gt;SUM($G41:BA41),$D41/$E41,0))</f>
        <v>0</v>
      </c>
      <c r="BC41" s="276">
        <f ca="1">IF($C41+1&gt;BC$7,0,IF($D41&gt;SUM($G41:BB41),$D41/$E41,0))</f>
        <v>0</v>
      </c>
      <c r="BD41" s="276">
        <f ca="1">IF($C41+1&gt;BD$7,0,IF($D41&gt;SUM($G41:BC41),$D41/$E41,0))</f>
        <v>0</v>
      </c>
      <c r="BE41" s="276">
        <f ca="1">IF($C41+1&gt;BE$7,0,IF($D41&gt;SUM($G41:BD41),$D41/$E41,0))</f>
        <v>0</v>
      </c>
      <c r="BF41" s="276">
        <f ca="1">IF($C41+1&gt;BF$7,0,IF($D41&gt;SUM($G41:BE41),$D41/$E41,0))</f>
        <v>0</v>
      </c>
      <c r="BG41" s="276">
        <f ca="1">IF($C41+1&gt;BG$7,0,IF($D41&gt;SUM($G41:BF41),$D41/$E41,0))</f>
        <v>0</v>
      </c>
      <c r="BH41" s="276">
        <f ca="1">IF($C41+1&gt;BH$7,0,IF($D41&gt;SUM($G41:BG41),$D41/$E41,0))</f>
        <v>0</v>
      </c>
      <c r="BI41" s="276">
        <f ca="1">IF($C41+1&gt;BI$7,0,IF($D41&gt;SUM($G41:BH41),$D41/$E41,0))</f>
        <v>0</v>
      </c>
      <c r="BJ41" s="276">
        <f ca="1">IF($C41+1&gt;BJ$7,0,IF($D41&gt;SUM($G41:BI41),$D41/$E41,0))</f>
        <v>0</v>
      </c>
      <c r="BK41" s="276">
        <f ca="1">IF($C41+1&gt;BK$7,0,IF($D41&gt;SUM($G41:BJ41),$D41/$E41,0))</f>
        <v>0</v>
      </c>
      <c r="BL41" s="276">
        <f ca="1">IF($C41+1&gt;BL$7,0,IF($D41&gt;SUM($G41:BK41),$D41/$E41,0))</f>
        <v>0</v>
      </c>
      <c r="BM41" s="276">
        <f ca="1">IF($C41+1&gt;BM$7,0,IF($D41&gt;SUM($G41:BL41),$D41/$E41,0))</f>
        <v>0</v>
      </c>
      <c r="BN41" s="276">
        <f ca="1">IF($C41+1&gt;BN$7,0,IF($D41&gt;SUM($G41:BM41),$D41/$E41,0))</f>
        <v>0</v>
      </c>
      <c r="BO41" s="276"/>
      <c r="BP41" s="276"/>
      <c r="BQ41" s="276"/>
      <c r="BR41" s="276"/>
      <c r="BS41" s="276"/>
      <c r="BT41" s="276"/>
      <c r="BU41" s="276"/>
      <c r="BV41" s="276"/>
      <c r="BW41" s="276"/>
      <c r="BX41" s="276"/>
      <c r="BY41" s="276"/>
      <c r="BZ41" s="276"/>
      <c r="CA41" s="254"/>
      <c r="CB41" s="254"/>
      <c r="CC41" s="254"/>
      <c r="CD41" s="254"/>
      <c r="CE41" s="254"/>
      <c r="CF41" s="254"/>
      <c r="CG41" s="254"/>
      <c r="CH41" s="254"/>
      <c r="CI41" s="254"/>
      <c r="CJ41" s="254"/>
      <c r="CK41" s="254"/>
      <c r="CL41" s="254"/>
    </row>
    <row r="42" spans="1:90" outlineLevel="1" x14ac:dyDescent="0.15">
      <c r="A42" s="272"/>
      <c r="B42" s="273"/>
      <c r="C42" s="275">
        <v>2</v>
      </c>
      <c r="D42" s="278">
        <f ca="1"/>
        <v>0</v>
      </c>
      <c r="E42" s="275">
        <f>SAP_Leadsheet!$E$50</f>
        <v>0</v>
      </c>
      <c r="F42" s="275"/>
      <c r="G42" s="276">
        <f>IF($C42+1&gt;G$7,0,IF($D42&gt;SUM(#REF!),$D42/$E42,0))</f>
        <v>0</v>
      </c>
      <c r="H42" s="276">
        <f>IF($C42+1&gt;H$7,0,IF($D42&gt;SUM($G42:G42),$D42/$E42,0))</f>
        <v>0</v>
      </c>
      <c r="I42" s="276">
        <f ca="1">IF($C42+1&gt;I$7,0,IF($D42&gt;SUM($G42:H42),$D42/$E42,0))</f>
        <v>0</v>
      </c>
      <c r="J42" s="276">
        <f ca="1">IF($C42+1&gt;J$7,0,IF($D42&gt;SUM($G42:I42),$D42/$E42,0))</f>
        <v>0</v>
      </c>
      <c r="K42" s="276">
        <f ca="1">IF($C42+1&gt;K$7,0,IF($D42&gt;SUM($G42:J42),$D42/$E42,0))</f>
        <v>0</v>
      </c>
      <c r="L42" s="276">
        <f ca="1">IF($C42+1&gt;L$7,0,IF($D42&gt;SUM($G42:K42),$D42/$E42,0))</f>
        <v>0</v>
      </c>
      <c r="M42" s="276">
        <f ca="1">IF($C42+1&gt;M$7,0,IF($D42&gt;SUM($G42:L42),$D42/$E42,0))</f>
        <v>0</v>
      </c>
      <c r="N42" s="276">
        <f ca="1">IF($C42+1&gt;N$7,0,IF($D42&gt;SUM($G42:M42),$D42/$E42,0))</f>
        <v>0</v>
      </c>
      <c r="O42" s="276">
        <f ca="1">IF($C42+1&gt;O$7,0,IF($D42&gt;SUM($G42:N42),$D42/$E42,0))</f>
        <v>0</v>
      </c>
      <c r="P42" s="276">
        <f ca="1">IF($C42+1&gt;P$7,0,IF($D42&gt;SUM($G42:O42),$D42/$E42,0))</f>
        <v>0</v>
      </c>
      <c r="Q42" s="276">
        <f ca="1">IF($C42+1&gt;Q$7,0,IF($D42&gt;SUM($G42:P42),$D42/$E42,0))</f>
        <v>0</v>
      </c>
      <c r="R42" s="276">
        <f ca="1">IF($C42+1&gt;R$7,0,IF($D42&gt;SUM($G42:Q42),$D42/$E42,0))</f>
        <v>0</v>
      </c>
      <c r="S42" s="276">
        <f ca="1">IF($C42+1&gt;S$7,0,IF($D42&gt;SUM($G42:R42),$D42/$E42,0))</f>
        <v>0</v>
      </c>
      <c r="T42" s="276">
        <f ca="1">IF($C42+1&gt;T$7,0,IF($D42&gt;SUM($G42:S42),$D42/$E42,0))</f>
        <v>0</v>
      </c>
      <c r="U42" s="276">
        <f ca="1">IF($C42+1&gt;U$7,0,IF($D42&gt;SUM($G42:T42),$D42/$E42,0))</f>
        <v>0</v>
      </c>
      <c r="V42" s="276">
        <f ca="1">IF($C42+1&gt;V$7,0,IF($D42&gt;SUM($G42:U42),$D42/$E42,0))</f>
        <v>0</v>
      </c>
      <c r="W42" s="276">
        <f ca="1">IF($C42+1&gt;W$7,0,IF($D42&gt;SUM($G42:V42),$D42/$E42,0))</f>
        <v>0</v>
      </c>
      <c r="X42" s="276">
        <f ca="1">IF($C42+1&gt;X$7,0,IF($D42&gt;SUM($G42:W42),$D42/$E42,0))</f>
        <v>0</v>
      </c>
      <c r="Y42" s="276">
        <f ca="1">IF($C42+1&gt;Y$7,0,IF($D42&gt;SUM($G42:X42),$D42/$E42,0))</f>
        <v>0</v>
      </c>
      <c r="Z42" s="276">
        <f ca="1">IF($C42+1&gt;Z$7,0,IF($D42&gt;SUM($G42:Y42),$D42/$E42,0))</f>
        <v>0</v>
      </c>
      <c r="AA42" s="276">
        <f ca="1">IF($C42+1&gt;AA$7,0,IF($D42&gt;SUM($G42:Z42),$D42/$E42,0))</f>
        <v>0</v>
      </c>
      <c r="AB42" s="276">
        <f ca="1">IF($C42+1&gt;AB$7,0,IF($D42&gt;SUM($G42:AA42),$D42/$E42,0))</f>
        <v>0</v>
      </c>
      <c r="AC42" s="276">
        <f ca="1">IF($C42+1&gt;AC$7,0,IF($D42&gt;SUM($G42:AB42),$D42/$E42,0))</f>
        <v>0</v>
      </c>
      <c r="AD42" s="276">
        <f ca="1">IF($C42+1&gt;AD$7,0,IF($D42&gt;SUM($G42:AC42),$D42/$E42,0))</f>
        <v>0</v>
      </c>
      <c r="AE42" s="276">
        <f ca="1">IF($C42+1&gt;AE$7,0,IF($D42&gt;SUM($G42:AD42),$D42/$E42,0))</f>
        <v>0</v>
      </c>
      <c r="AF42" s="276">
        <f ca="1">IF($C42+1&gt;AF$7,0,IF($D42&gt;SUM($G42:AE42),$D42/$E42,0))</f>
        <v>0</v>
      </c>
      <c r="AG42" s="276">
        <f ca="1">IF($C42+1&gt;AG$7,0,IF($D42&gt;SUM($G42:AF42),$D42/$E42,0))</f>
        <v>0</v>
      </c>
      <c r="AH42" s="276">
        <f ca="1">IF($C42+1&gt;AH$7,0,IF($D42&gt;SUM($G42:AG42),$D42/$E42,0))</f>
        <v>0</v>
      </c>
      <c r="AI42" s="276">
        <f ca="1">IF($C42+1&gt;AI$7,0,IF($D42&gt;SUM($G42:AH42),$D42/$E42,0))</f>
        <v>0</v>
      </c>
      <c r="AJ42" s="276">
        <f ca="1">IF($C42+1&gt;AJ$7,0,IF($D42&gt;SUM($G42:AI42),$D42/$E42,0))</f>
        <v>0</v>
      </c>
      <c r="AK42" s="276">
        <f ca="1">IF($C42+1&gt;AK$7,0,IF($D42&gt;SUM($G42:AJ42),$D42/$E42,0))</f>
        <v>0</v>
      </c>
      <c r="AL42" s="276">
        <f ca="1">IF($C42+1&gt;AL$7,0,IF($D42&gt;SUM($G42:AK42),$D42/$E42,0))</f>
        <v>0</v>
      </c>
      <c r="AM42" s="276">
        <f ca="1">IF($C42+1&gt;AM$7,0,IF($D42&gt;SUM($G42:AL42),$D42/$E42,0))</f>
        <v>0</v>
      </c>
      <c r="AN42" s="276">
        <f ca="1">IF($C42+1&gt;AN$7,0,IF($D42&gt;SUM($G42:AM42),$D42/$E42,0))</f>
        <v>0</v>
      </c>
      <c r="AO42" s="276">
        <f ca="1">IF($C42+1&gt;AO$7,0,IF($D42&gt;SUM($G42:AN42),$D42/$E42,0))</f>
        <v>0</v>
      </c>
      <c r="AP42" s="276">
        <f ca="1">IF($C42+1&gt;AP$7,0,IF($D42&gt;SUM($G42:AO42),$D42/$E42,0))</f>
        <v>0</v>
      </c>
      <c r="AQ42" s="276">
        <f ca="1">IF($C42+1&gt;AQ$7,0,IF($D42&gt;SUM($G42:AP42),$D42/$E42,0))</f>
        <v>0</v>
      </c>
      <c r="AR42" s="276">
        <f ca="1">IF($C42+1&gt;AR$7,0,IF($D42&gt;SUM($G42:AQ42),$D42/$E42,0))</f>
        <v>0</v>
      </c>
      <c r="AS42" s="276">
        <f ca="1">IF($C42+1&gt;AS$7,0,IF($D42&gt;SUM($G42:AR42),$D42/$E42,0))</f>
        <v>0</v>
      </c>
      <c r="AT42" s="276">
        <f ca="1">IF($C42+1&gt;AT$7,0,IF($D42&gt;SUM($G42:AS42),$D42/$E42,0))</f>
        <v>0</v>
      </c>
      <c r="AU42" s="276">
        <f ca="1">IF($C42+1&gt;AU$7,0,IF($D42&gt;SUM($G42:AT42),$D42/$E42,0))</f>
        <v>0</v>
      </c>
      <c r="AV42" s="276">
        <f ca="1">IF($C42+1&gt;AV$7,0,IF($D42&gt;SUM($G42:AU42),$D42/$E42,0))</f>
        <v>0</v>
      </c>
      <c r="AW42" s="276">
        <f ca="1">IF($C42+1&gt;AW$7,0,IF($D42&gt;SUM($G42:AV42),$D42/$E42,0))</f>
        <v>0</v>
      </c>
      <c r="AX42" s="276">
        <f ca="1">IF($C42+1&gt;AX$7,0,IF($D42&gt;SUM($G42:AW42),$D42/$E42,0))</f>
        <v>0</v>
      </c>
      <c r="AY42" s="276">
        <f ca="1">IF($C42+1&gt;AY$7,0,IF($D42&gt;SUM($G42:AX42),$D42/$E42,0))</f>
        <v>0</v>
      </c>
      <c r="AZ42" s="276">
        <f ca="1">IF($C42+1&gt;AZ$7,0,IF($D42&gt;SUM($G42:AY42),$D42/$E42,0))</f>
        <v>0</v>
      </c>
      <c r="BA42" s="276">
        <f ca="1">IF($C42+1&gt;BA$7,0,IF($D42&gt;SUM($G42:AZ42),$D42/$E42,0))</f>
        <v>0</v>
      </c>
      <c r="BB42" s="276">
        <f ca="1">IF($C42+1&gt;BB$7,0,IF($D42&gt;SUM($G42:BA42),$D42/$E42,0))</f>
        <v>0</v>
      </c>
      <c r="BC42" s="276">
        <f ca="1">IF($C42+1&gt;BC$7,0,IF($D42&gt;SUM($G42:BB42),$D42/$E42,0))</f>
        <v>0</v>
      </c>
      <c r="BD42" s="276">
        <f ca="1">IF($C42+1&gt;BD$7,0,IF($D42&gt;SUM($G42:BC42),$D42/$E42,0))</f>
        <v>0</v>
      </c>
      <c r="BE42" s="276">
        <f ca="1">IF($C42+1&gt;BE$7,0,IF($D42&gt;SUM($G42:BD42),$D42/$E42,0))</f>
        <v>0</v>
      </c>
      <c r="BF42" s="276">
        <f ca="1">IF($C42+1&gt;BF$7,0,IF($D42&gt;SUM($G42:BE42),$D42/$E42,0))</f>
        <v>0</v>
      </c>
      <c r="BG42" s="276">
        <f ca="1">IF($C42+1&gt;BG$7,0,IF($D42&gt;SUM($G42:BF42),$D42/$E42,0))</f>
        <v>0</v>
      </c>
      <c r="BH42" s="276">
        <f ca="1">IF($C42+1&gt;BH$7,0,IF($D42&gt;SUM($G42:BG42),$D42/$E42,0))</f>
        <v>0</v>
      </c>
      <c r="BI42" s="276">
        <f ca="1">IF($C42+1&gt;BI$7,0,IF($D42&gt;SUM($G42:BH42),$D42/$E42,0))</f>
        <v>0</v>
      </c>
      <c r="BJ42" s="276">
        <f ca="1">IF($C42+1&gt;BJ$7,0,IF($D42&gt;SUM($G42:BI42),$D42/$E42,0))</f>
        <v>0</v>
      </c>
      <c r="BK42" s="276">
        <f ca="1">IF($C42+1&gt;BK$7,0,IF($D42&gt;SUM($G42:BJ42),$D42/$E42,0))</f>
        <v>0</v>
      </c>
      <c r="BL42" s="276">
        <f ca="1">IF($C42+1&gt;BL$7,0,IF($D42&gt;SUM($G42:BK42),$D42/$E42,0))</f>
        <v>0</v>
      </c>
      <c r="BM42" s="276">
        <f ca="1">IF($C42+1&gt;BM$7,0,IF($D42&gt;SUM($G42:BL42),$D42/$E42,0))</f>
        <v>0</v>
      </c>
      <c r="BN42" s="276">
        <f ca="1">IF($C42+1&gt;BN$7,0,IF($D42&gt;SUM($G42:BM42),$D42/$E42,0))</f>
        <v>0</v>
      </c>
      <c r="BO42" s="276"/>
      <c r="BP42" s="276"/>
      <c r="BQ42" s="276"/>
      <c r="BR42" s="276"/>
      <c r="BS42" s="276"/>
      <c r="BT42" s="276"/>
      <c r="BU42" s="276"/>
      <c r="BV42" s="276"/>
      <c r="BW42" s="276"/>
      <c r="BX42" s="276"/>
      <c r="BY42" s="276"/>
      <c r="BZ42" s="276"/>
      <c r="CA42" s="254"/>
      <c r="CB42" s="254"/>
      <c r="CC42" s="254"/>
      <c r="CD42" s="254"/>
      <c r="CE42" s="254"/>
      <c r="CF42" s="254"/>
      <c r="CG42" s="254"/>
      <c r="CH42" s="254"/>
      <c r="CI42" s="254"/>
      <c r="CJ42" s="254"/>
      <c r="CK42" s="254"/>
      <c r="CL42" s="254"/>
    </row>
    <row r="43" spans="1:90" outlineLevel="1" x14ac:dyDescent="0.15">
      <c r="A43" s="272"/>
      <c r="B43" s="273"/>
      <c r="C43" s="275">
        <v>3</v>
      </c>
      <c r="D43" s="278">
        <f ca="1"/>
        <v>0</v>
      </c>
      <c r="E43" s="275">
        <f>SAP_Leadsheet!$E$50</f>
        <v>0</v>
      </c>
      <c r="F43" s="275"/>
      <c r="G43" s="276">
        <f>IF($C43+1&gt;G$7,0,IF($D43&gt;SUM(#REF!),$D43/$E43,0))</f>
        <v>0</v>
      </c>
      <c r="H43" s="276">
        <f>IF($C43+1&gt;H$7,0,IF($D43&gt;SUM($G43:G43),$D43/$E43,0))</f>
        <v>0</v>
      </c>
      <c r="I43" s="276">
        <f>IF($C43+1&gt;I$7,0,IF($D43&gt;SUM($G43:H43),$D43/$E43,0))</f>
        <v>0</v>
      </c>
      <c r="J43" s="276">
        <f ca="1">IF($C43+1&gt;J$7,0,IF($D43&gt;SUM($G43:I43),$D43/$E43,0))</f>
        <v>0</v>
      </c>
      <c r="K43" s="276">
        <f ca="1">IF($C43+1&gt;K$7,0,IF($D43&gt;SUM($G43:J43),$D43/$E43,0))</f>
        <v>0</v>
      </c>
      <c r="L43" s="276">
        <f ca="1">IF($C43+1&gt;L$7,0,IF($D43&gt;SUM($G43:K43),$D43/$E43,0))</f>
        <v>0</v>
      </c>
      <c r="M43" s="276">
        <f ca="1">IF($C43+1&gt;M$7,0,IF($D43&gt;SUM($G43:L43),$D43/$E43,0))</f>
        <v>0</v>
      </c>
      <c r="N43" s="276">
        <f ca="1">IF($C43+1&gt;N$7,0,IF($D43&gt;SUM($G43:M43),$D43/$E43,0))</f>
        <v>0</v>
      </c>
      <c r="O43" s="276">
        <f ca="1">IF($C43+1&gt;O$7,0,IF($D43&gt;SUM($G43:N43),$D43/$E43,0))</f>
        <v>0</v>
      </c>
      <c r="P43" s="276">
        <f ca="1">IF($C43+1&gt;P$7,0,IF($D43&gt;SUM($G43:O43),$D43/$E43,0))</f>
        <v>0</v>
      </c>
      <c r="Q43" s="276">
        <f ca="1">IF($C43+1&gt;Q$7,0,IF($D43&gt;SUM($G43:P43),$D43/$E43,0))</f>
        <v>0</v>
      </c>
      <c r="R43" s="276">
        <f ca="1">IF($C43+1&gt;R$7,0,IF($D43&gt;SUM($G43:Q43),$D43/$E43,0))</f>
        <v>0</v>
      </c>
      <c r="S43" s="276">
        <f ca="1">IF($C43+1&gt;S$7,0,IF($D43&gt;SUM($G43:R43),$D43/$E43,0))</f>
        <v>0</v>
      </c>
      <c r="T43" s="276">
        <f ca="1">IF($C43+1&gt;T$7,0,IF($D43&gt;SUM($G43:S43),$D43/$E43,0))</f>
        <v>0</v>
      </c>
      <c r="U43" s="276">
        <f ca="1">IF($C43+1&gt;U$7,0,IF($D43&gt;SUM($G43:T43),$D43/$E43,0))</f>
        <v>0</v>
      </c>
      <c r="V43" s="276">
        <f ca="1">IF($C43+1&gt;V$7,0,IF($D43&gt;SUM($G43:U43),$D43/$E43,0))</f>
        <v>0</v>
      </c>
      <c r="W43" s="276">
        <f ca="1">IF($C43+1&gt;W$7,0,IF($D43&gt;SUM($G43:V43),$D43/$E43,0))</f>
        <v>0</v>
      </c>
      <c r="X43" s="276">
        <f ca="1">IF($C43+1&gt;X$7,0,IF($D43&gt;SUM($G43:W43),$D43/$E43,0))</f>
        <v>0</v>
      </c>
      <c r="Y43" s="276">
        <f ca="1">IF($C43+1&gt;Y$7,0,IF($D43&gt;SUM($G43:X43),$D43/$E43,0))</f>
        <v>0</v>
      </c>
      <c r="Z43" s="276">
        <f ca="1">IF($C43+1&gt;Z$7,0,IF($D43&gt;SUM($G43:Y43),$D43/$E43,0))</f>
        <v>0</v>
      </c>
      <c r="AA43" s="276">
        <f ca="1">IF($C43+1&gt;AA$7,0,IF($D43&gt;SUM($G43:Z43),$D43/$E43,0))</f>
        <v>0</v>
      </c>
      <c r="AB43" s="276">
        <f ca="1">IF($C43+1&gt;AB$7,0,IF($D43&gt;SUM($G43:AA43),$D43/$E43,0))</f>
        <v>0</v>
      </c>
      <c r="AC43" s="276">
        <f ca="1">IF($C43+1&gt;AC$7,0,IF($D43&gt;SUM($G43:AB43),$D43/$E43,0))</f>
        <v>0</v>
      </c>
      <c r="AD43" s="276">
        <f ca="1">IF($C43+1&gt;AD$7,0,IF($D43&gt;SUM($G43:AC43),$D43/$E43,0))</f>
        <v>0</v>
      </c>
      <c r="AE43" s="276">
        <f ca="1">IF($C43+1&gt;AE$7,0,IF($D43&gt;SUM($G43:AD43),$D43/$E43,0))</f>
        <v>0</v>
      </c>
      <c r="AF43" s="276">
        <f ca="1">IF($C43+1&gt;AF$7,0,IF($D43&gt;SUM($G43:AE43),$D43/$E43,0))</f>
        <v>0</v>
      </c>
      <c r="AG43" s="276">
        <f ca="1">IF($C43+1&gt;AG$7,0,IF($D43&gt;SUM($G43:AF43),$D43/$E43,0))</f>
        <v>0</v>
      </c>
      <c r="AH43" s="276">
        <f ca="1">IF($C43+1&gt;AH$7,0,IF($D43&gt;SUM($G43:AG43),$D43/$E43,0))</f>
        <v>0</v>
      </c>
      <c r="AI43" s="276">
        <f ca="1">IF($C43+1&gt;AI$7,0,IF($D43&gt;SUM($G43:AH43),$D43/$E43,0))</f>
        <v>0</v>
      </c>
      <c r="AJ43" s="276">
        <f ca="1">IF($C43+1&gt;AJ$7,0,IF($D43&gt;SUM($G43:AI43),$D43/$E43,0))</f>
        <v>0</v>
      </c>
      <c r="AK43" s="276">
        <f ca="1">IF($C43+1&gt;AK$7,0,IF($D43&gt;SUM($G43:AJ43),$D43/$E43,0))</f>
        <v>0</v>
      </c>
      <c r="AL43" s="276">
        <f ca="1">IF($C43+1&gt;AL$7,0,IF($D43&gt;SUM($G43:AK43),$D43/$E43,0))</f>
        <v>0</v>
      </c>
      <c r="AM43" s="276">
        <f ca="1">IF($C43+1&gt;AM$7,0,IF($D43&gt;SUM($G43:AL43),$D43/$E43,0))</f>
        <v>0</v>
      </c>
      <c r="AN43" s="276">
        <f ca="1">IF($C43+1&gt;AN$7,0,IF($D43&gt;SUM($G43:AM43),$D43/$E43,0))</f>
        <v>0</v>
      </c>
      <c r="AO43" s="276">
        <f ca="1">IF($C43+1&gt;AO$7,0,IF($D43&gt;SUM($G43:AN43),$D43/$E43,0))</f>
        <v>0</v>
      </c>
      <c r="AP43" s="276">
        <f ca="1">IF($C43+1&gt;AP$7,0,IF($D43&gt;SUM($G43:AO43),$D43/$E43,0))</f>
        <v>0</v>
      </c>
      <c r="AQ43" s="276">
        <f ca="1">IF($C43+1&gt;AQ$7,0,IF($D43&gt;SUM($G43:AP43),$D43/$E43,0))</f>
        <v>0</v>
      </c>
      <c r="AR43" s="276">
        <f ca="1">IF($C43+1&gt;AR$7,0,IF($D43&gt;SUM($G43:AQ43),$D43/$E43,0))</f>
        <v>0</v>
      </c>
      <c r="AS43" s="276">
        <f ca="1">IF($C43+1&gt;AS$7,0,IF($D43&gt;SUM($G43:AR43),$D43/$E43,0))</f>
        <v>0</v>
      </c>
      <c r="AT43" s="276">
        <f ca="1">IF($C43+1&gt;AT$7,0,IF($D43&gt;SUM($G43:AS43),$D43/$E43,0))</f>
        <v>0</v>
      </c>
      <c r="AU43" s="276">
        <f ca="1">IF($C43+1&gt;AU$7,0,IF($D43&gt;SUM($G43:AT43),$D43/$E43,0))</f>
        <v>0</v>
      </c>
      <c r="AV43" s="276">
        <f ca="1">IF($C43+1&gt;AV$7,0,IF($D43&gt;SUM($G43:AU43),$D43/$E43,0))</f>
        <v>0</v>
      </c>
      <c r="AW43" s="276">
        <f ca="1">IF($C43+1&gt;AW$7,0,IF($D43&gt;SUM($G43:AV43),$D43/$E43,0))</f>
        <v>0</v>
      </c>
      <c r="AX43" s="276">
        <f ca="1">IF($C43+1&gt;AX$7,0,IF($D43&gt;SUM($G43:AW43),$D43/$E43,0))</f>
        <v>0</v>
      </c>
      <c r="AY43" s="276">
        <f ca="1">IF($C43+1&gt;AY$7,0,IF($D43&gt;SUM($G43:AX43),$D43/$E43,0))</f>
        <v>0</v>
      </c>
      <c r="AZ43" s="276">
        <f ca="1">IF($C43+1&gt;AZ$7,0,IF($D43&gt;SUM($G43:AY43),$D43/$E43,0))</f>
        <v>0</v>
      </c>
      <c r="BA43" s="276">
        <f ca="1">IF($C43+1&gt;BA$7,0,IF($D43&gt;SUM($G43:AZ43),$D43/$E43,0))</f>
        <v>0</v>
      </c>
      <c r="BB43" s="276">
        <f ca="1">IF($C43+1&gt;BB$7,0,IF($D43&gt;SUM($G43:BA43),$D43/$E43,0))</f>
        <v>0</v>
      </c>
      <c r="BC43" s="276">
        <f ca="1">IF($C43+1&gt;BC$7,0,IF($D43&gt;SUM($G43:BB43),$D43/$E43,0))</f>
        <v>0</v>
      </c>
      <c r="BD43" s="276">
        <f ca="1">IF($C43+1&gt;BD$7,0,IF($D43&gt;SUM($G43:BC43),$D43/$E43,0))</f>
        <v>0</v>
      </c>
      <c r="BE43" s="276">
        <f ca="1">IF($C43+1&gt;BE$7,0,IF($D43&gt;SUM($G43:BD43),$D43/$E43,0))</f>
        <v>0</v>
      </c>
      <c r="BF43" s="276">
        <f ca="1">IF($C43+1&gt;BF$7,0,IF($D43&gt;SUM($G43:BE43),$D43/$E43,0))</f>
        <v>0</v>
      </c>
      <c r="BG43" s="276">
        <f ca="1">IF($C43+1&gt;BG$7,0,IF($D43&gt;SUM($G43:BF43),$D43/$E43,0))</f>
        <v>0</v>
      </c>
      <c r="BH43" s="276">
        <f ca="1">IF($C43+1&gt;BH$7,0,IF($D43&gt;SUM($G43:BG43),$D43/$E43,0))</f>
        <v>0</v>
      </c>
      <c r="BI43" s="276">
        <f ca="1">IF($C43+1&gt;BI$7,0,IF($D43&gt;SUM($G43:BH43),$D43/$E43,0))</f>
        <v>0</v>
      </c>
      <c r="BJ43" s="276">
        <f ca="1">IF($C43+1&gt;BJ$7,0,IF($D43&gt;SUM($G43:BI43),$D43/$E43,0))</f>
        <v>0</v>
      </c>
      <c r="BK43" s="276">
        <f ca="1">IF($C43+1&gt;BK$7,0,IF($D43&gt;SUM($G43:BJ43),$D43/$E43,0))</f>
        <v>0</v>
      </c>
      <c r="BL43" s="276">
        <f ca="1">IF($C43+1&gt;BL$7,0,IF($D43&gt;SUM($G43:BK43),$D43/$E43,0))</f>
        <v>0</v>
      </c>
      <c r="BM43" s="276">
        <f ca="1">IF($C43+1&gt;BM$7,0,IF($D43&gt;SUM($G43:BL43),$D43/$E43,0))</f>
        <v>0</v>
      </c>
      <c r="BN43" s="276">
        <f ca="1">IF($C43+1&gt;BN$7,0,IF($D43&gt;SUM($G43:BM43),$D43/$E43,0))</f>
        <v>0</v>
      </c>
      <c r="BO43" s="276"/>
      <c r="BP43" s="276"/>
      <c r="BQ43" s="276"/>
      <c r="BR43" s="276"/>
      <c r="BS43" s="276"/>
      <c r="BT43" s="276"/>
      <c r="BU43" s="276"/>
      <c r="BV43" s="276"/>
      <c r="BW43" s="276"/>
      <c r="BX43" s="276"/>
      <c r="BY43" s="276"/>
      <c r="BZ43" s="276"/>
      <c r="CA43" s="254"/>
      <c r="CB43" s="254"/>
      <c r="CC43" s="254"/>
      <c r="CD43" s="254"/>
      <c r="CE43" s="254"/>
      <c r="CF43" s="254"/>
      <c r="CG43" s="254"/>
      <c r="CH43" s="254"/>
      <c r="CI43" s="254"/>
      <c r="CJ43" s="254"/>
      <c r="CK43" s="254"/>
      <c r="CL43" s="254"/>
    </row>
    <row r="44" spans="1:90" outlineLevel="1" x14ac:dyDescent="0.15">
      <c r="A44" s="272"/>
      <c r="B44" s="273"/>
      <c r="C44" s="275">
        <v>4</v>
      </c>
      <c r="D44" s="278">
        <f ca="1"/>
        <v>0</v>
      </c>
      <c r="E44" s="275">
        <f>SAP_Leadsheet!$E$50</f>
        <v>0</v>
      </c>
      <c r="F44" s="275"/>
      <c r="G44" s="276">
        <f>IF($C44+1&gt;G$7,0,IF($D44&gt;SUM(#REF!),$D44/$E44,0))</f>
        <v>0</v>
      </c>
      <c r="H44" s="276">
        <f>IF($C44+1&gt;H$7,0,IF($D44&gt;SUM($G44:G44),$D44/$E44,0))</f>
        <v>0</v>
      </c>
      <c r="I44" s="276">
        <f>IF($C44+1&gt;I$7,0,IF($D44&gt;SUM($G44:H44),$D44/$E44,0))</f>
        <v>0</v>
      </c>
      <c r="J44" s="276">
        <f>IF($C44+1&gt;J$7,0,IF($D44&gt;SUM($G44:I44),$D44/$E44,0))</f>
        <v>0</v>
      </c>
      <c r="K44" s="276">
        <f ca="1">IF($C44+1&gt;K$7,0,IF($D44&gt;SUM($G44:J44),$D44/$E44,0))</f>
        <v>0</v>
      </c>
      <c r="L44" s="276">
        <f ca="1">IF($C44+1&gt;L$7,0,IF($D44&gt;SUM($G44:K44),$D44/$E44,0))</f>
        <v>0</v>
      </c>
      <c r="M44" s="276">
        <f ca="1">IF($C44+1&gt;M$7,0,IF($D44&gt;SUM($G44:L44),$D44/$E44,0))</f>
        <v>0</v>
      </c>
      <c r="N44" s="276">
        <f ca="1">IF($C44+1&gt;N$7,0,IF($D44&gt;SUM($G44:M44),$D44/$E44,0))</f>
        <v>0</v>
      </c>
      <c r="O44" s="276">
        <f ca="1">IF($C44+1&gt;O$7,0,IF($D44&gt;SUM($G44:N44),$D44/$E44,0))</f>
        <v>0</v>
      </c>
      <c r="P44" s="276">
        <f ca="1">IF($C44+1&gt;P$7,0,IF($D44&gt;SUM($G44:O44),$D44/$E44,0))</f>
        <v>0</v>
      </c>
      <c r="Q44" s="276">
        <f ca="1">IF($C44+1&gt;Q$7,0,IF($D44&gt;SUM($G44:P44),$D44/$E44,0))</f>
        <v>0</v>
      </c>
      <c r="R44" s="276">
        <f ca="1">IF($C44+1&gt;R$7,0,IF($D44&gt;SUM($G44:Q44),$D44/$E44,0))</f>
        <v>0</v>
      </c>
      <c r="S44" s="276">
        <f ca="1">IF($C44+1&gt;S$7,0,IF($D44&gt;SUM($G44:R44),$D44/$E44,0))</f>
        <v>0</v>
      </c>
      <c r="T44" s="276">
        <f ca="1">IF($C44+1&gt;T$7,0,IF($D44&gt;SUM($G44:S44),$D44/$E44,0))</f>
        <v>0</v>
      </c>
      <c r="U44" s="276">
        <f ca="1">IF($C44+1&gt;U$7,0,IF($D44&gt;SUM($G44:T44),$D44/$E44,0))</f>
        <v>0</v>
      </c>
      <c r="V44" s="276">
        <f ca="1">IF($C44+1&gt;V$7,0,IF($D44&gt;SUM($G44:U44),$D44/$E44,0))</f>
        <v>0</v>
      </c>
      <c r="W44" s="276">
        <f ca="1">IF($C44+1&gt;W$7,0,IF($D44&gt;SUM($G44:V44),$D44/$E44,0))</f>
        <v>0</v>
      </c>
      <c r="X44" s="276">
        <f ca="1">IF($C44+1&gt;X$7,0,IF($D44&gt;SUM($G44:W44),$D44/$E44,0))</f>
        <v>0</v>
      </c>
      <c r="Y44" s="276">
        <f ca="1">IF($C44+1&gt;Y$7,0,IF($D44&gt;SUM($G44:X44),$D44/$E44,0))</f>
        <v>0</v>
      </c>
      <c r="Z44" s="276">
        <f ca="1">IF($C44+1&gt;Z$7,0,IF($D44&gt;SUM($G44:Y44),$D44/$E44,0))</f>
        <v>0</v>
      </c>
      <c r="AA44" s="276">
        <f ca="1">IF($C44+1&gt;AA$7,0,IF($D44&gt;SUM($G44:Z44),$D44/$E44,0))</f>
        <v>0</v>
      </c>
      <c r="AB44" s="276">
        <f ca="1">IF($C44+1&gt;AB$7,0,IF($D44&gt;SUM($G44:AA44),$D44/$E44,0))</f>
        <v>0</v>
      </c>
      <c r="AC44" s="276">
        <f ca="1">IF($C44+1&gt;AC$7,0,IF($D44&gt;SUM($G44:AB44),$D44/$E44,0))</f>
        <v>0</v>
      </c>
      <c r="AD44" s="276">
        <f ca="1">IF($C44+1&gt;AD$7,0,IF($D44&gt;SUM($G44:AC44),$D44/$E44,0))</f>
        <v>0</v>
      </c>
      <c r="AE44" s="276">
        <f ca="1">IF($C44+1&gt;AE$7,0,IF($D44&gt;SUM($G44:AD44),$D44/$E44,0))</f>
        <v>0</v>
      </c>
      <c r="AF44" s="276">
        <f ca="1">IF($C44+1&gt;AF$7,0,IF($D44&gt;SUM($G44:AE44),$D44/$E44,0))</f>
        <v>0</v>
      </c>
      <c r="AG44" s="276">
        <f ca="1">IF($C44+1&gt;AG$7,0,IF($D44&gt;SUM($G44:AF44),$D44/$E44,0))</f>
        <v>0</v>
      </c>
      <c r="AH44" s="276">
        <f ca="1">IF($C44+1&gt;AH$7,0,IF($D44&gt;SUM($G44:AG44),$D44/$E44,0))</f>
        <v>0</v>
      </c>
      <c r="AI44" s="276">
        <f ca="1">IF($C44+1&gt;AI$7,0,IF($D44&gt;SUM($G44:AH44),$D44/$E44,0))</f>
        <v>0</v>
      </c>
      <c r="AJ44" s="276">
        <f ca="1">IF($C44+1&gt;AJ$7,0,IF($D44&gt;SUM($G44:AI44),$D44/$E44,0))</f>
        <v>0</v>
      </c>
      <c r="AK44" s="276">
        <f ca="1">IF($C44+1&gt;AK$7,0,IF($D44&gt;SUM($G44:AJ44),$D44/$E44,0))</f>
        <v>0</v>
      </c>
      <c r="AL44" s="276">
        <f ca="1">IF($C44+1&gt;AL$7,0,IF($D44&gt;SUM($G44:AK44),$D44/$E44,0))</f>
        <v>0</v>
      </c>
      <c r="AM44" s="276">
        <f ca="1">IF($C44+1&gt;AM$7,0,IF($D44&gt;SUM($G44:AL44),$D44/$E44,0))</f>
        <v>0</v>
      </c>
      <c r="AN44" s="276">
        <f ca="1">IF($C44+1&gt;AN$7,0,IF($D44&gt;SUM($G44:AM44),$D44/$E44,0))</f>
        <v>0</v>
      </c>
      <c r="AO44" s="276">
        <f ca="1">IF($C44+1&gt;AO$7,0,IF($D44&gt;SUM($G44:AN44),$D44/$E44,0))</f>
        <v>0</v>
      </c>
      <c r="AP44" s="276">
        <f ca="1">IF($C44+1&gt;AP$7,0,IF($D44&gt;SUM($G44:AO44),$D44/$E44,0))</f>
        <v>0</v>
      </c>
      <c r="AQ44" s="276">
        <f ca="1">IF($C44+1&gt;AQ$7,0,IF($D44&gt;SUM($G44:AP44),$D44/$E44,0))</f>
        <v>0</v>
      </c>
      <c r="AR44" s="276">
        <f ca="1">IF($C44+1&gt;AR$7,0,IF($D44&gt;SUM($G44:AQ44),$D44/$E44,0))</f>
        <v>0</v>
      </c>
      <c r="AS44" s="276">
        <f ca="1">IF($C44+1&gt;AS$7,0,IF($D44&gt;SUM($G44:AR44),$D44/$E44,0))</f>
        <v>0</v>
      </c>
      <c r="AT44" s="276">
        <f ca="1">IF($C44+1&gt;AT$7,0,IF($D44&gt;SUM($G44:AS44),$D44/$E44,0))</f>
        <v>0</v>
      </c>
      <c r="AU44" s="276">
        <f ca="1">IF($C44+1&gt;AU$7,0,IF($D44&gt;SUM($G44:AT44),$D44/$E44,0))</f>
        <v>0</v>
      </c>
      <c r="AV44" s="276">
        <f ca="1">IF($C44+1&gt;AV$7,0,IF($D44&gt;SUM($G44:AU44),$D44/$E44,0))</f>
        <v>0</v>
      </c>
      <c r="AW44" s="276">
        <f ca="1">IF($C44+1&gt;AW$7,0,IF($D44&gt;SUM($G44:AV44),$D44/$E44,0))</f>
        <v>0</v>
      </c>
      <c r="AX44" s="276">
        <f ca="1">IF($C44+1&gt;AX$7,0,IF($D44&gt;SUM($G44:AW44),$D44/$E44,0))</f>
        <v>0</v>
      </c>
      <c r="AY44" s="276">
        <f ca="1">IF($C44+1&gt;AY$7,0,IF($D44&gt;SUM($G44:AX44),$D44/$E44,0))</f>
        <v>0</v>
      </c>
      <c r="AZ44" s="276">
        <f ca="1">IF($C44+1&gt;AZ$7,0,IF($D44&gt;SUM($G44:AY44),$D44/$E44,0))</f>
        <v>0</v>
      </c>
      <c r="BA44" s="276">
        <f ca="1">IF($C44+1&gt;BA$7,0,IF($D44&gt;SUM($G44:AZ44),$D44/$E44,0))</f>
        <v>0</v>
      </c>
      <c r="BB44" s="276">
        <f ca="1">IF($C44+1&gt;BB$7,0,IF($D44&gt;SUM($G44:BA44),$D44/$E44,0))</f>
        <v>0</v>
      </c>
      <c r="BC44" s="276">
        <f ca="1">IF($C44+1&gt;BC$7,0,IF($D44&gt;SUM($G44:BB44),$D44/$E44,0))</f>
        <v>0</v>
      </c>
      <c r="BD44" s="276">
        <f ca="1">IF($C44+1&gt;BD$7,0,IF($D44&gt;SUM($G44:BC44),$D44/$E44,0))</f>
        <v>0</v>
      </c>
      <c r="BE44" s="276">
        <f ca="1">IF($C44+1&gt;BE$7,0,IF($D44&gt;SUM($G44:BD44),$D44/$E44,0))</f>
        <v>0</v>
      </c>
      <c r="BF44" s="276">
        <f ca="1">IF($C44+1&gt;BF$7,0,IF($D44&gt;SUM($G44:BE44),$D44/$E44,0))</f>
        <v>0</v>
      </c>
      <c r="BG44" s="276">
        <f ca="1">IF($C44+1&gt;BG$7,0,IF($D44&gt;SUM($G44:BF44),$D44/$E44,0))</f>
        <v>0</v>
      </c>
      <c r="BH44" s="276">
        <f ca="1">IF($C44+1&gt;BH$7,0,IF($D44&gt;SUM($G44:BG44),$D44/$E44,0))</f>
        <v>0</v>
      </c>
      <c r="BI44" s="276">
        <f ca="1">IF($C44+1&gt;BI$7,0,IF($D44&gt;SUM($G44:BH44),$D44/$E44,0))</f>
        <v>0</v>
      </c>
      <c r="BJ44" s="276">
        <f ca="1">IF($C44+1&gt;BJ$7,0,IF($D44&gt;SUM($G44:BI44),$D44/$E44,0))</f>
        <v>0</v>
      </c>
      <c r="BK44" s="276">
        <f ca="1">IF($C44+1&gt;BK$7,0,IF($D44&gt;SUM($G44:BJ44),$D44/$E44,0))</f>
        <v>0</v>
      </c>
      <c r="BL44" s="276">
        <f ca="1">IF($C44+1&gt;BL$7,0,IF($D44&gt;SUM($G44:BK44),$D44/$E44,0))</f>
        <v>0</v>
      </c>
      <c r="BM44" s="276">
        <f ca="1">IF($C44+1&gt;BM$7,0,IF($D44&gt;SUM($G44:BL44),$D44/$E44,0))</f>
        <v>0</v>
      </c>
      <c r="BN44" s="276">
        <f ca="1">IF($C44+1&gt;BN$7,0,IF($D44&gt;SUM($G44:BM44),$D44/$E44,0))</f>
        <v>0</v>
      </c>
      <c r="BO44" s="276"/>
      <c r="BP44" s="276"/>
      <c r="BQ44" s="276"/>
      <c r="BR44" s="276"/>
      <c r="BS44" s="276"/>
      <c r="BT44" s="276"/>
      <c r="BU44" s="276"/>
      <c r="BV44" s="276"/>
      <c r="BW44" s="276"/>
      <c r="BX44" s="276"/>
      <c r="BY44" s="276"/>
      <c r="BZ44" s="276"/>
      <c r="CA44" s="254"/>
      <c r="CB44" s="254"/>
      <c r="CC44" s="254"/>
      <c r="CD44" s="254"/>
      <c r="CE44" s="254"/>
      <c r="CF44" s="254"/>
      <c r="CG44" s="254"/>
      <c r="CH44" s="254"/>
      <c r="CI44" s="254"/>
      <c r="CJ44" s="254"/>
      <c r="CK44" s="254"/>
      <c r="CL44" s="254"/>
    </row>
    <row r="45" spans="1:90" outlineLevel="1" x14ac:dyDescent="0.15">
      <c r="A45" s="272"/>
      <c r="B45" s="273"/>
      <c r="C45" s="275">
        <v>5</v>
      </c>
      <c r="D45" s="278">
        <f ca="1"/>
        <v>0</v>
      </c>
      <c r="E45" s="275">
        <f>SAP_Leadsheet!$E$50</f>
        <v>0</v>
      </c>
      <c r="F45" s="275"/>
      <c r="G45" s="276">
        <f>IF($C45+1&gt;G$7,0,IF($D45&gt;SUM(#REF!),$D45/$E45,0))</f>
        <v>0</v>
      </c>
      <c r="H45" s="276">
        <f>IF($C45+1&gt;H$7,0,IF($D45&gt;SUM($G45:G45),$D45/$E45,0))</f>
        <v>0</v>
      </c>
      <c r="I45" s="276">
        <f>IF($C45+1&gt;I$7,0,IF($D45&gt;SUM($G45:H45),$D45/$E45,0))</f>
        <v>0</v>
      </c>
      <c r="J45" s="276">
        <f>IF($C45+1&gt;J$7,0,IF($D45&gt;SUM($G45:I45),$D45/$E45,0))</f>
        <v>0</v>
      </c>
      <c r="K45" s="276">
        <f>IF($C45+1&gt;K$7,0,IF($D45&gt;SUM($G45:J45),$D45/$E45,0))</f>
        <v>0</v>
      </c>
      <c r="L45" s="276">
        <f ca="1">IF($C45+1&gt;L$7,0,IF($D45&gt;SUM($G45:K45),$D45/$E45,0))</f>
        <v>0</v>
      </c>
      <c r="M45" s="276">
        <f ca="1">IF($C45+1&gt;M$7,0,IF($D45&gt;SUM($G45:L45),$D45/$E45,0))</f>
        <v>0</v>
      </c>
      <c r="N45" s="276">
        <f ca="1">IF($C45+1&gt;N$7,0,IF($D45&gt;SUM($G45:M45),$D45/$E45,0))</f>
        <v>0</v>
      </c>
      <c r="O45" s="276">
        <f ca="1">IF($C45+1&gt;O$7,0,IF($D45&gt;SUM($G45:N45),$D45/$E45,0))</f>
        <v>0</v>
      </c>
      <c r="P45" s="276">
        <f ca="1">IF($C45+1&gt;P$7,0,IF($D45&gt;SUM($G45:O45),$D45/$E45,0))</f>
        <v>0</v>
      </c>
      <c r="Q45" s="276">
        <f ca="1">IF($C45+1&gt;Q$7,0,IF($D45&gt;SUM($G45:P45),$D45/$E45,0))</f>
        <v>0</v>
      </c>
      <c r="R45" s="276">
        <f ca="1">IF($C45+1&gt;R$7,0,IF($D45&gt;SUM($G45:Q45),$D45/$E45,0))</f>
        <v>0</v>
      </c>
      <c r="S45" s="276">
        <f ca="1">IF($C45+1&gt;S$7,0,IF($D45&gt;SUM($G45:R45),$D45/$E45,0))</f>
        <v>0</v>
      </c>
      <c r="T45" s="276">
        <f ca="1">IF($C45+1&gt;T$7,0,IF($D45&gt;SUM($G45:S45),$D45/$E45,0))</f>
        <v>0</v>
      </c>
      <c r="U45" s="276">
        <f ca="1">IF($C45+1&gt;U$7,0,IF($D45&gt;SUM($G45:T45),$D45/$E45,0))</f>
        <v>0</v>
      </c>
      <c r="V45" s="276">
        <f ca="1">IF($C45+1&gt;V$7,0,IF($D45&gt;SUM($G45:U45),$D45/$E45,0))</f>
        <v>0</v>
      </c>
      <c r="W45" s="276">
        <f ca="1">IF($C45+1&gt;W$7,0,IF($D45&gt;SUM($G45:V45),$D45/$E45,0))</f>
        <v>0</v>
      </c>
      <c r="X45" s="276">
        <f ca="1">IF($C45+1&gt;X$7,0,IF($D45&gt;SUM($G45:W45),$D45/$E45,0))</f>
        <v>0</v>
      </c>
      <c r="Y45" s="276">
        <f ca="1">IF($C45+1&gt;Y$7,0,IF($D45&gt;SUM($G45:X45),$D45/$E45,0))</f>
        <v>0</v>
      </c>
      <c r="Z45" s="276">
        <f ca="1">IF($C45+1&gt;Z$7,0,IF($D45&gt;SUM($G45:Y45),$D45/$E45,0))</f>
        <v>0</v>
      </c>
      <c r="AA45" s="276">
        <f ca="1">IF($C45+1&gt;AA$7,0,IF($D45&gt;SUM($G45:Z45),$D45/$E45,0))</f>
        <v>0</v>
      </c>
      <c r="AB45" s="276">
        <f ca="1">IF($C45+1&gt;AB$7,0,IF($D45&gt;SUM($G45:AA45),$D45/$E45,0))</f>
        <v>0</v>
      </c>
      <c r="AC45" s="276">
        <f ca="1">IF($C45+1&gt;AC$7,0,IF($D45&gt;SUM($G45:AB45),$D45/$E45,0))</f>
        <v>0</v>
      </c>
      <c r="AD45" s="276">
        <f ca="1">IF($C45+1&gt;AD$7,0,IF($D45&gt;SUM($G45:AC45),$D45/$E45,0))</f>
        <v>0</v>
      </c>
      <c r="AE45" s="276">
        <f ca="1">IF($C45+1&gt;AE$7,0,IF($D45&gt;SUM($G45:AD45),$D45/$E45,0))</f>
        <v>0</v>
      </c>
      <c r="AF45" s="276">
        <f ca="1">IF($C45+1&gt;AF$7,0,IF($D45&gt;SUM($G45:AE45),$D45/$E45,0))</f>
        <v>0</v>
      </c>
      <c r="AG45" s="276">
        <f ca="1">IF($C45+1&gt;AG$7,0,IF($D45&gt;SUM($G45:AF45),$D45/$E45,0))</f>
        <v>0</v>
      </c>
      <c r="AH45" s="276">
        <f ca="1">IF($C45+1&gt;AH$7,0,IF($D45&gt;SUM($G45:AG45),$D45/$E45,0))</f>
        <v>0</v>
      </c>
      <c r="AI45" s="276">
        <f ca="1">IF($C45+1&gt;AI$7,0,IF($D45&gt;SUM($G45:AH45),$D45/$E45,0))</f>
        <v>0</v>
      </c>
      <c r="AJ45" s="276">
        <f ca="1">IF($C45+1&gt;AJ$7,0,IF($D45&gt;SUM($G45:AI45),$D45/$E45,0))</f>
        <v>0</v>
      </c>
      <c r="AK45" s="276">
        <f ca="1">IF($C45+1&gt;AK$7,0,IF($D45&gt;SUM($G45:AJ45),$D45/$E45,0))</f>
        <v>0</v>
      </c>
      <c r="AL45" s="276">
        <f ca="1">IF($C45+1&gt;AL$7,0,IF($D45&gt;SUM($G45:AK45),$D45/$E45,0))</f>
        <v>0</v>
      </c>
      <c r="AM45" s="276">
        <f ca="1">IF($C45+1&gt;AM$7,0,IF($D45&gt;SUM($G45:AL45),$D45/$E45,0))</f>
        <v>0</v>
      </c>
      <c r="AN45" s="276">
        <f ca="1">IF($C45+1&gt;AN$7,0,IF($D45&gt;SUM($G45:AM45),$D45/$E45,0))</f>
        <v>0</v>
      </c>
      <c r="AO45" s="276">
        <f ca="1">IF($C45+1&gt;AO$7,0,IF($D45&gt;SUM($G45:AN45),$D45/$E45,0))</f>
        <v>0</v>
      </c>
      <c r="AP45" s="276">
        <f ca="1">IF($C45+1&gt;AP$7,0,IF($D45&gt;SUM($G45:AO45),$D45/$E45,0))</f>
        <v>0</v>
      </c>
      <c r="AQ45" s="276">
        <f ca="1">IF($C45+1&gt;AQ$7,0,IF($D45&gt;SUM($G45:AP45),$D45/$E45,0))</f>
        <v>0</v>
      </c>
      <c r="AR45" s="276">
        <f ca="1">IF($C45+1&gt;AR$7,0,IF($D45&gt;SUM($G45:AQ45),$D45/$E45,0))</f>
        <v>0</v>
      </c>
      <c r="AS45" s="276">
        <f ca="1">IF($C45+1&gt;AS$7,0,IF($D45&gt;SUM($G45:AR45),$D45/$E45,0))</f>
        <v>0</v>
      </c>
      <c r="AT45" s="276">
        <f ca="1">IF($C45+1&gt;AT$7,0,IF($D45&gt;SUM($G45:AS45),$D45/$E45,0))</f>
        <v>0</v>
      </c>
      <c r="AU45" s="276">
        <f ca="1">IF($C45+1&gt;AU$7,0,IF($D45&gt;SUM($G45:AT45),$D45/$E45,0))</f>
        <v>0</v>
      </c>
      <c r="AV45" s="276">
        <f ca="1">IF($C45+1&gt;AV$7,0,IF($D45&gt;SUM($G45:AU45),$D45/$E45,0))</f>
        <v>0</v>
      </c>
      <c r="AW45" s="276">
        <f ca="1">IF($C45+1&gt;AW$7,0,IF($D45&gt;SUM($G45:AV45),$D45/$E45,0))</f>
        <v>0</v>
      </c>
      <c r="AX45" s="276">
        <f ca="1">IF($C45+1&gt;AX$7,0,IF($D45&gt;SUM($G45:AW45),$D45/$E45,0))</f>
        <v>0</v>
      </c>
      <c r="AY45" s="276">
        <f ca="1">IF($C45+1&gt;AY$7,0,IF($D45&gt;SUM($G45:AX45),$D45/$E45,0))</f>
        <v>0</v>
      </c>
      <c r="AZ45" s="276">
        <f ca="1">IF($C45+1&gt;AZ$7,0,IF($D45&gt;SUM($G45:AY45),$D45/$E45,0))</f>
        <v>0</v>
      </c>
      <c r="BA45" s="276">
        <f ca="1">IF($C45+1&gt;BA$7,0,IF($D45&gt;SUM($G45:AZ45),$D45/$E45,0))</f>
        <v>0</v>
      </c>
      <c r="BB45" s="276">
        <f ca="1">IF($C45+1&gt;BB$7,0,IF($D45&gt;SUM($G45:BA45),$D45/$E45,0))</f>
        <v>0</v>
      </c>
      <c r="BC45" s="276">
        <f ca="1">IF($C45+1&gt;BC$7,0,IF($D45&gt;SUM($G45:BB45),$D45/$E45,0))</f>
        <v>0</v>
      </c>
      <c r="BD45" s="276">
        <f ca="1">IF($C45+1&gt;BD$7,0,IF($D45&gt;SUM($G45:BC45),$D45/$E45,0))</f>
        <v>0</v>
      </c>
      <c r="BE45" s="276">
        <f ca="1">IF($C45+1&gt;BE$7,0,IF($D45&gt;SUM($G45:BD45),$D45/$E45,0))</f>
        <v>0</v>
      </c>
      <c r="BF45" s="276">
        <f ca="1">IF($C45+1&gt;BF$7,0,IF($D45&gt;SUM($G45:BE45),$D45/$E45,0))</f>
        <v>0</v>
      </c>
      <c r="BG45" s="276">
        <f ca="1">IF($C45+1&gt;BG$7,0,IF($D45&gt;SUM($G45:BF45),$D45/$E45,0))</f>
        <v>0</v>
      </c>
      <c r="BH45" s="276">
        <f ca="1">IF($C45+1&gt;BH$7,0,IF($D45&gt;SUM($G45:BG45),$D45/$E45,0))</f>
        <v>0</v>
      </c>
      <c r="BI45" s="276">
        <f ca="1">IF($C45+1&gt;BI$7,0,IF($D45&gt;SUM($G45:BH45),$D45/$E45,0))</f>
        <v>0</v>
      </c>
      <c r="BJ45" s="276">
        <f ca="1">IF($C45+1&gt;BJ$7,0,IF($D45&gt;SUM($G45:BI45),$D45/$E45,0))</f>
        <v>0</v>
      </c>
      <c r="BK45" s="276">
        <f ca="1">IF($C45+1&gt;BK$7,0,IF($D45&gt;SUM($G45:BJ45),$D45/$E45,0))</f>
        <v>0</v>
      </c>
      <c r="BL45" s="276">
        <f ca="1">IF($C45+1&gt;BL$7,0,IF($D45&gt;SUM($G45:BK45),$D45/$E45,0))</f>
        <v>0</v>
      </c>
      <c r="BM45" s="276">
        <f ca="1">IF($C45+1&gt;BM$7,0,IF($D45&gt;SUM($G45:BL45),$D45/$E45,0))</f>
        <v>0</v>
      </c>
      <c r="BN45" s="276">
        <f ca="1">IF($C45+1&gt;BN$7,0,IF($D45&gt;SUM($G45:BM45),$D45/$E45,0))</f>
        <v>0</v>
      </c>
      <c r="BO45" s="276"/>
      <c r="BP45" s="276"/>
      <c r="BQ45" s="276"/>
      <c r="BR45" s="276"/>
      <c r="BS45" s="276"/>
      <c r="BT45" s="276"/>
      <c r="BU45" s="276"/>
      <c r="BV45" s="276"/>
      <c r="BW45" s="276"/>
      <c r="BX45" s="276"/>
      <c r="BY45" s="276"/>
      <c r="BZ45" s="276"/>
      <c r="CA45" s="254"/>
      <c r="CB45" s="254"/>
      <c r="CC45" s="254"/>
      <c r="CD45" s="254"/>
      <c r="CE45" s="254"/>
      <c r="CF45" s="254"/>
      <c r="CG45" s="254"/>
      <c r="CH45" s="254"/>
      <c r="CI45" s="254"/>
      <c r="CJ45" s="254"/>
      <c r="CK45" s="254"/>
      <c r="CL45" s="254"/>
    </row>
    <row r="46" spans="1:90" outlineLevel="1" x14ac:dyDescent="0.15">
      <c r="A46" s="272"/>
      <c r="B46" s="273"/>
      <c r="C46" s="275">
        <v>6</v>
      </c>
      <c r="D46" s="278">
        <f ca="1"/>
        <v>0</v>
      </c>
      <c r="E46" s="275">
        <f>SAP_Leadsheet!$E$50</f>
        <v>0</v>
      </c>
      <c r="F46" s="275"/>
      <c r="G46" s="276">
        <f>IF($C46+1&gt;G$7,0,IF($D46&gt;SUM(#REF!),$D46/$E46,0))</f>
        <v>0</v>
      </c>
      <c r="H46" s="276">
        <f>IF($C46+1&gt;H$7,0,IF($D46&gt;SUM($G46:G46),$D46/$E46,0))</f>
        <v>0</v>
      </c>
      <c r="I46" s="276">
        <f>IF($C46+1&gt;I$7,0,IF($D46&gt;SUM($G46:H46),$D46/$E46,0))</f>
        <v>0</v>
      </c>
      <c r="J46" s="276">
        <f>IF($C46+1&gt;J$7,0,IF($D46&gt;SUM($G46:I46),$D46/$E46,0))</f>
        <v>0</v>
      </c>
      <c r="K46" s="276">
        <f>IF($C46+1&gt;K$7,0,IF($D46&gt;SUM($G46:J46),$D46/$E46,0))</f>
        <v>0</v>
      </c>
      <c r="L46" s="276">
        <f>IF($C46+1&gt;L$7,0,IF($D46&gt;SUM($G46:K46),$D46/$E46,0))</f>
        <v>0</v>
      </c>
      <c r="M46" s="276">
        <f ca="1">IF($C46+1&gt;M$7,0,IF($D46&gt;SUM($G46:L46),$D46/$E46,0))</f>
        <v>0</v>
      </c>
      <c r="N46" s="276">
        <f ca="1">IF($C46+1&gt;N$7,0,IF($D46&gt;SUM($G46:M46),$D46/$E46,0))</f>
        <v>0</v>
      </c>
      <c r="O46" s="276">
        <f ca="1">IF($C46+1&gt;O$7,0,IF($D46&gt;SUM($G46:N46),$D46/$E46,0))</f>
        <v>0</v>
      </c>
      <c r="P46" s="276">
        <f ca="1">IF($C46+1&gt;P$7,0,IF($D46&gt;SUM($G46:O46),$D46/$E46,0))</f>
        <v>0</v>
      </c>
      <c r="Q46" s="276">
        <f ca="1">IF($C46+1&gt;Q$7,0,IF($D46&gt;SUM($G46:P46),$D46/$E46,0))</f>
        <v>0</v>
      </c>
      <c r="R46" s="276">
        <f ca="1">IF($C46+1&gt;R$7,0,IF($D46&gt;SUM($G46:Q46),$D46/$E46,0))</f>
        <v>0</v>
      </c>
      <c r="S46" s="276">
        <f ca="1">IF($C46+1&gt;S$7,0,IF($D46&gt;SUM($G46:R46),$D46/$E46,0))</f>
        <v>0</v>
      </c>
      <c r="T46" s="276">
        <f ca="1">IF($C46+1&gt;T$7,0,IF($D46&gt;SUM($G46:S46),$D46/$E46,0))</f>
        <v>0</v>
      </c>
      <c r="U46" s="276">
        <f ca="1">IF($C46+1&gt;U$7,0,IF($D46&gt;SUM($G46:T46),$D46/$E46,0))</f>
        <v>0</v>
      </c>
      <c r="V46" s="276">
        <f ca="1">IF($C46+1&gt;V$7,0,IF($D46&gt;SUM($G46:U46),$D46/$E46,0))</f>
        <v>0</v>
      </c>
      <c r="W46" s="276">
        <f ca="1">IF($C46+1&gt;W$7,0,IF($D46&gt;SUM($G46:V46),$D46/$E46,0))</f>
        <v>0</v>
      </c>
      <c r="X46" s="276">
        <f ca="1">IF($C46+1&gt;X$7,0,IF($D46&gt;SUM($G46:W46),$D46/$E46,0))</f>
        <v>0</v>
      </c>
      <c r="Y46" s="276">
        <f ca="1">IF($C46+1&gt;Y$7,0,IF($D46&gt;SUM($G46:X46),$D46/$E46,0))</f>
        <v>0</v>
      </c>
      <c r="Z46" s="276">
        <f ca="1">IF($C46+1&gt;Z$7,0,IF($D46&gt;SUM($G46:Y46),$D46/$E46,0))</f>
        <v>0</v>
      </c>
      <c r="AA46" s="276">
        <f ca="1">IF($C46+1&gt;AA$7,0,IF($D46&gt;SUM($G46:Z46),$D46/$E46,0))</f>
        <v>0</v>
      </c>
      <c r="AB46" s="276">
        <f ca="1">IF($C46+1&gt;AB$7,0,IF($D46&gt;SUM($G46:AA46),$D46/$E46,0))</f>
        <v>0</v>
      </c>
      <c r="AC46" s="276">
        <f ca="1">IF($C46+1&gt;AC$7,0,IF($D46&gt;SUM($G46:AB46),$D46/$E46,0))</f>
        <v>0</v>
      </c>
      <c r="AD46" s="276">
        <f ca="1">IF($C46+1&gt;AD$7,0,IF($D46&gt;SUM($G46:AC46),$D46/$E46,0))</f>
        <v>0</v>
      </c>
      <c r="AE46" s="276">
        <f ca="1">IF($C46+1&gt;AE$7,0,IF($D46&gt;SUM($G46:AD46),$D46/$E46,0))</f>
        <v>0</v>
      </c>
      <c r="AF46" s="276">
        <f ca="1">IF($C46+1&gt;AF$7,0,IF($D46&gt;SUM($G46:AE46),$D46/$E46,0))</f>
        <v>0</v>
      </c>
      <c r="AG46" s="276">
        <f ca="1">IF($C46+1&gt;AG$7,0,IF($D46&gt;SUM($G46:AF46),$D46/$E46,0))</f>
        <v>0</v>
      </c>
      <c r="AH46" s="276">
        <f ca="1">IF($C46+1&gt;AH$7,0,IF($D46&gt;SUM($G46:AG46),$D46/$E46,0))</f>
        <v>0</v>
      </c>
      <c r="AI46" s="276">
        <f ca="1">IF($C46+1&gt;AI$7,0,IF($D46&gt;SUM($G46:AH46),$D46/$E46,0))</f>
        <v>0</v>
      </c>
      <c r="AJ46" s="276">
        <f ca="1">IF($C46+1&gt;AJ$7,0,IF($D46&gt;SUM($G46:AI46),$D46/$E46,0))</f>
        <v>0</v>
      </c>
      <c r="AK46" s="276">
        <f ca="1">IF($C46+1&gt;AK$7,0,IF($D46&gt;SUM($G46:AJ46),$D46/$E46,0))</f>
        <v>0</v>
      </c>
      <c r="AL46" s="276">
        <f ca="1">IF($C46+1&gt;AL$7,0,IF($D46&gt;SUM($G46:AK46),$D46/$E46,0))</f>
        <v>0</v>
      </c>
      <c r="AM46" s="276">
        <f ca="1">IF($C46+1&gt;AM$7,0,IF($D46&gt;SUM($G46:AL46),$D46/$E46,0))</f>
        <v>0</v>
      </c>
      <c r="AN46" s="276">
        <f ca="1">IF($C46+1&gt;AN$7,0,IF($D46&gt;SUM($G46:AM46),$D46/$E46,0))</f>
        <v>0</v>
      </c>
      <c r="AO46" s="276">
        <f ca="1">IF($C46+1&gt;AO$7,0,IF($D46&gt;SUM($G46:AN46),$D46/$E46,0))</f>
        <v>0</v>
      </c>
      <c r="AP46" s="276">
        <f ca="1">IF($C46+1&gt;AP$7,0,IF($D46&gt;SUM($G46:AO46),$D46/$E46,0))</f>
        <v>0</v>
      </c>
      <c r="AQ46" s="276">
        <f ca="1">IF($C46+1&gt;AQ$7,0,IF($D46&gt;SUM($G46:AP46),$D46/$E46,0))</f>
        <v>0</v>
      </c>
      <c r="AR46" s="276">
        <f ca="1">IF($C46+1&gt;AR$7,0,IF($D46&gt;SUM($G46:AQ46),$D46/$E46,0))</f>
        <v>0</v>
      </c>
      <c r="AS46" s="276">
        <f ca="1">IF($C46+1&gt;AS$7,0,IF($D46&gt;SUM($G46:AR46),$D46/$E46,0))</f>
        <v>0</v>
      </c>
      <c r="AT46" s="276">
        <f ca="1">IF($C46+1&gt;AT$7,0,IF($D46&gt;SUM($G46:AS46),$D46/$E46,0))</f>
        <v>0</v>
      </c>
      <c r="AU46" s="276">
        <f ca="1">IF($C46+1&gt;AU$7,0,IF($D46&gt;SUM($G46:AT46),$D46/$E46,0))</f>
        <v>0</v>
      </c>
      <c r="AV46" s="276">
        <f ca="1">IF($C46+1&gt;AV$7,0,IF($D46&gt;SUM($G46:AU46),$D46/$E46,0))</f>
        <v>0</v>
      </c>
      <c r="AW46" s="276">
        <f ca="1">IF($C46+1&gt;AW$7,0,IF($D46&gt;SUM($G46:AV46),$D46/$E46,0))</f>
        <v>0</v>
      </c>
      <c r="AX46" s="276">
        <f ca="1">IF($C46+1&gt;AX$7,0,IF($D46&gt;SUM($G46:AW46),$D46/$E46,0))</f>
        <v>0</v>
      </c>
      <c r="AY46" s="276">
        <f ca="1">IF($C46+1&gt;AY$7,0,IF($D46&gt;SUM($G46:AX46),$D46/$E46,0))</f>
        <v>0</v>
      </c>
      <c r="AZ46" s="276">
        <f ca="1">IF($C46+1&gt;AZ$7,0,IF($D46&gt;SUM($G46:AY46),$D46/$E46,0))</f>
        <v>0</v>
      </c>
      <c r="BA46" s="276">
        <f ca="1">IF($C46+1&gt;BA$7,0,IF($D46&gt;SUM($G46:AZ46),$D46/$E46,0))</f>
        <v>0</v>
      </c>
      <c r="BB46" s="276">
        <f ca="1">IF($C46+1&gt;BB$7,0,IF($D46&gt;SUM($G46:BA46),$D46/$E46,0))</f>
        <v>0</v>
      </c>
      <c r="BC46" s="276">
        <f ca="1">IF($C46+1&gt;BC$7,0,IF($D46&gt;SUM($G46:BB46),$D46/$E46,0))</f>
        <v>0</v>
      </c>
      <c r="BD46" s="276">
        <f ca="1">IF($C46+1&gt;BD$7,0,IF($D46&gt;SUM($G46:BC46),$D46/$E46,0))</f>
        <v>0</v>
      </c>
      <c r="BE46" s="276">
        <f ca="1">IF($C46+1&gt;BE$7,0,IF($D46&gt;SUM($G46:BD46),$D46/$E46,0))</f>
        <v>0</v>
      </c>
      <c r="BF46" s="276">
        <f ca="1">IF($C46+1&gt;BF$7,0,IF($D46&gt;SUM($G46:BE46),$D46/$E46,0))</f>
        <v>0</v>
      </c>
      <c r="BG46" s="276">
        <f ca="1">IF($C46+1&gt;BG$7,0,IF($D46&gt;SUM($G46:BF46),$D46/$E46,0))</f>
        <v>0</v>
      </c>
      <c r="BH46" s="276">
        <f ca="1">IF($C46+1&gt;BH$7,0,IF($D46&gt;SUM($G46:BG46),$D46/$E46,0))</f>
        <v>0</v>
      </c>
      <c r="BI46" s="276">
        <f ca="1">IF($C46+1&gt;BI$7,0,IF($D46&gt;SUM($G46:BH46),$D46/$E46,0))</f>
        <v>0</v>
      </c>
      <c r="BJ46" s="276">
        <f ca="1">IF($C46+1&gt;BJ$7,0,IF($D46&gt;SUM($G46:BI46),$D46/$E46,0))</f>
        <v>0</v>
      </c>
      <c r="BK46" s="276">
        <f ca="1">IF($C46+1&gt;BK$7,0,IF($D46&gt;SUM($G46:BJ46),$D46/$E46,0))</f>
        <v>0</v>
      </c>
      <c r="BL46" s="276">
        <f ca="1">IF($C46+1&gt;BL$7,0,IF($D46&gt;SUM($G46:BK46),$D46/$E46,0))</f>
        <v>0</v>
      </c>
      <c r="BM46" s="276">
        <f ca="1">IF($C46+1&gt;BM$7,0,IF($D46&gt;SUM($G46:BL46),$D46/$E46,0))</f>
        <v>0</v>
      </c>
      <c r="BN46" s="276">
        <f ca="1">IF($C46+1&gt;BN$7,0,IF($D46&gt;SUM($G46:BM46),$D46/$E46,0))</f>
        <v>0</v>
      </c>
      <c r="BO46" s="276"/>
      <c r="BP46" s="276"/>
      <c r="BQ46" s="276"/>
      <c r="BR46" s="276"/>
      <c r="BS46" s="276"/>
      <c r="BT46" s="276"/>
      <c r="BU46" s="276"/>
      <c r="BV46" s="276"/>
      <c r="BW46" s="276"/>
      <c r="BX46" s="276"/>
      <c r="BY46" s="276"/>
      <c r="BZ46" s="276"/>
      <c r="CA46" s="254"/>
      <c r="CB46" s="254"/>
      <c r="CC46" s="254"/>
      <c r="CD46" s="254"/>
      <c r="CE46" s="254"/>
      <c r="CF46" s="254"/>
      <c r="CG46" s="254"/>
      <c r="CH46" s="254"/>
      <c r="CI46" s="254"/>
      <c r="CJ46" s="254"/>
      <c r="CK46" s="254"/>
      <c r="CL46" s="254"/>
    </row>
    <row r="47" spans="1:90" outlineLevel="1" x14ac:dyDescent="0.15">
      <c r="A47" s="272"/>
      <c r="B47" s="273"/>
      <c r="C47" s="275">
        <v>7</v>
      </c>
      <c r="D47" s="278">
        <f ca="1"/>
        <v>0</v>
      </c>
      <c r="E47" s="275">
        <f>SAP_Leadsheet!$E$50</f>
        <v>0</v>
      </c>
      <c r="F47" s="275"/>
      <c r="G47" s="276">
        <f>IF($C47+1&gt;G$7,0,IF($D47&gt;SUM(#REF!),$D47/$E47,0))</f>
        <v>0</v>
      </c>
      <c r="H47" s="276">
        <f>IF($C47+1&gt;H$7,0,IF($D47&gt;SUM($G47:G47),$D47/$E47,0))</f>
        <v>0</v>
      </c>
      <c r="I47" s="276">
        <f>IF($C47+1&gt;I$7,0,IF($D47&gt;SUM($G47:H47),$D47/$E47,0))</f>
        <v>0</v>
      </c>
      <c r="J47" s="276">
        <f>IF($C47+1&gt;J$7,0,IF($D47&gt;SUM($G47:I47),$D47/$E47,0))</f>
        <v>0</v>
      </c>
      <c r="K47" s="276">
        <f>IF($C47+1&gt;K$7,0,IF($D47&gt;SUM($G47:J47),$D47/$E47,0))</f>
        <v>0</v>
      </c>
      <c r="L47" s="276">
        <f>IF($C47+1&gt;L$7,0,IF($D47&gt;SUM($G47:K47),$D47/$E47,0))</f>
        <v>0</v>
      </c>
      <c r="M47" s="276">
        <f>IF($C47+1&gt;M$7,0,IF($D47&gt;SUM($G47:L47),$D47/$E47,0))</f>
        <v>0</v>
      </c>
      <c r="N47" s="276">
        <f ca="1">IF($C47+1&gt;N$7,0,IF($D47&gt;SUM($G47:M47),$D47/$E47,0))</f>
        <v>0</v>
      </c>
      <c r="O47" s="276">
        <f ca="1">IF($C47+1&gt;O$7,0,IF($D47&gt;SUM($G47:N47),$D47/$E47,0))</f>
        <v>0</v>
      </c>
      <c r="P47" s="276">
        <f ca="1">IF($C47+1&gt;P$7,0,IF($D47&gt;SUM($G47:O47),$D47/$E47,0))</f>
        <v>0</v>
      </c>
      <c r="Q47" s="276">
        <f ca="1">IF($C47+1&gt;Q$7,0,IF($D47&gt;SUM($G47:P47),$D47/$E47,0))</f>
        <v>0</v>
      </c>
      <c r="R47" s="276">
        <f ca="1">IF($C47+1&gt;R$7,0,IF($D47&gt;SUM($G47:Q47),$D47/$E47,0))</f>
        <v>0</v>
      </c>
      <c r="S47" s="276">
        <f ca="1">IF($C47+1&gt;S$7,0,IF($D47&gt;SUM($G47:R47),$D47/$E47,0))</f>
        <v>0</v>
      </c>
      <c r="T47" s="276">
        <f ca="1">IF($C47+1&gt;T$7,0,IF($D47&gt;SUM($G47:S47),$D47/$E47,0))</f>
        <v>0</v>
      </c>
      <c r="U47" s="276">
        <f ca="1">IF($C47+1&gt;U$7,0,IF($D47&gt;SUM($G47:T47),$D47/$E47,0))</f>
        <v>0</v>
      </c>
      <c r="V47" s="276">
        <f ca="1">IF($C47+1&gt;V$7,0,IF($D47&gt;SUM($G47:U47),$D47/$E47,0))</f>
        <v>0</v>
      </c>
      <c r="W47" s="276">
        <f ca="1">IF($C47+1&gt;W$7,0,IF($D47&gt;SUM($G47:V47),$D47/$E47,0))</f>
        <v>0</v>
      </c>
      <c r="X47" s="276">
        <f ca="1">IF($C47+1&gt;X$7,0,IF($D47&gt;SUM($G47:W47),$D47/$E47,0))</f>
        <v>0</v>
      </c>
      <c r="Y47" s="276">
        <f ca="1">IF($C47+1&gt;Y$7,0,IF($D47&gt;SUM($G47:X47),$D47/$E47,0))</f>
        <v>0</v>
      </c>
      <c r="Z47" s="276">
        <f ca="1">IF($C47+1&gt;Z$7,0,IF($D47&gt;SUM($G47:Y47),$D47/$E47,0))</f>
        <v>0</v>
      </c>
      <c r="AA47" s="276">
        <f ca="1">IF($C47+1&gt;AA$7,0,IF($D47&gt;SUM($G47:Z47),$D47/$E47,0))</f>
        <v>0</v>
      </c>
      <c r="AB47" s="276">
        <f ca="1">IF($C47+1&gt;AB$7,0,IF($D47&gt;SUM($G47:AA47),$D47/$E47,0))</f>
        <v>0</v>
      </c>
      <c r="AC47" s="276">
        <f ca="1">IF($C47+1&gt;AC$7,0,IF($D47&gt;SUM($G47:AB47),$D47/$E47,0))</f>
        <v>0</v>
      </c>
      <c r="AD47" s="276">
        <f ca="1">IF($C47+1&gt;AD$7,0,IF($D47&gt;SUM($G47:AC47),$D47/$E47,0))</f>
        <v>0</v>
      </c>
      <c r="AE47" s="276">
        <f ca="1">IF($C47+1&gt;AE$7,0,IF($D47&gt;SUM($G47:AD47),$D47/$E47,0))</f>
        <v>0</v>
      </c>
      <c r="AF47" s="276">
        <f ca="1">IF($C47+1&gt;AF$7,0,IF($D47&gt;SUM($G47:AE47),$D47/$E47,0))</f>
        <v>0</v>
      </c>
      <c r="AG47" s="276">
        <f ca="1">IF($C47+1&gt;AG$7,0,IF($D47&gt;SUM($G47:AF47),$D47/$E47,0))</f>
        <v>0</v>
      </c>
      <c r="AH47" s="276">
        <f ca="1">IF($C47+1&gt;AH$7,0,IF($D47&gt;SUM($G47:AG47),$D47/$E47,0))</f>
        <v>0</v>
      </c>
      <c r="AI47" s="276">
        <f ca="1">IF($C47+1&gt;AI$7,0,IF($D47&gt;SUM($G47:AH47),$D47/$E47,0))</f>
        <v>0</v>
      </c>
      <c r="AJ47" s="276">
        <f ca="1">IF($C47+1&gt;AJ$7,0,IF($D47&gt;SUM($G47:AI47),$D47/$E47,0))</f>
        <v>0</v>
      </c>
      <c r="AK47" s="276">
        <f ca="1">IF($C47+1&gt;AK$7,0,IF($D47&gt;SUM($G47:AJ47),$D47/$E47,0))</f>
        <v>0</v>
      </c>
      <c r="AL47" s="276">
        <f ca="1">IF($C47+1&gt;AL$7,0,IF($D47&gt;SUM($G47:AK47),$D47/$E47,0))</f>
        <v>0</v>
      </c>
      <c r="AM47" s="276">
        <f ca="1">IF($C47+1&gt;AM$7,0,IF($D47&gt;SUM($G47:AL47),$D47/$E47,0))</f>
        <v>0</v>
      </c>
      <c r="AN47" s="276">
        <f ca="1">IF($C47+1&gt;AN$7,0,IF($D47&gt;SUM($G47:AM47),$D47/$E47,0))</f>
        <v>0</v>
      </c>
      <c r="AO47" s="276">
        <f ca="1">IF($C47+1&gt;AO$7,0,IF($D47&gt;SUM($G47:AN47),$D47/$E47,0))</f>
        <v>0</v>
      </c>
      <c r="AP47" s="276">
        <f ca="1">IF($C47+1&gt;AP$7,0,IF($D47&gt;SUM($G47:AO47),$D47/$E47,0))</f>
        <v>0</v>
      </c>
      <c r="AQ47" s="276">
        <f ca="1">IF($C47+1&gt;AQ$7,0,IF($D47&gt;SUM($G47:AP47),$D47/$E47,0))</f>
        <v>0</v>
      </c>
      <c r="AR47" s="276">
        <f ca="1">IF($C47+1&gt;AR$7,0,IF($D47&gt;SUM($G47:AQ47),$D47/$E47,0))</f>
        <v>0</v>
      </c>
      <c r="AS47" s="276">
        <f ca="1">IF($C47+1&gt;AS$7,0,IF($D47&gt;SUM($G47:AR47),$D47/$E47,0))</f>
        <v>0</v>
      </c>
      <c r="AT47" s="276">
        <f ca="1">IF($C47+1&gt;AT$7,0,IF($D47&gt;SUM($G47:AS47),$D47/$E47,0))</f>
        <v>0</v>
      </c>
      <c r="AU47" s="276">
        <f ca="1">IF($C47+1&gt;AU$7,0,IF($D47&gt;SUM($G47:AT47),$D47/$E47,0))</f>
        <v>0</v>
      </c>
      <c r="AV47" s="276">
        <f ca="1">IF($C47+1&gt;AV$7,0,IF($D47&gt;SUM($G47:AU47),$D47/$E47,0))</f>
        <v>0</v>
      </c>
      <c r="AW47" s="276">
        <f ca="1">IF($C47+1&gt;AW$7,0,IF($D47&gt;SUM($G47:AV47),$D47/$E47,0))</f>
        <v>0</v>
      </c>
      <c r="AX47" s="276">
        <f ca="1">IF($C47+1&gt;AX$7,0,IF($D47&gt;SUM($G47:AW47),$D47/$E47,0))</f>
        <v>0</v>
      </c>
      <c r="AY47" s="276">
        <f ca="1">IF($C47+1&gt;AY$7,0,IF($D47&gt;SUM($G47:AX47),$D47/$E47,0))</f>
        <v>0</v>
      </c>
      <c r="AZ47" s="276">
        <f ca="1">IF($C47+1&gt;AZ$7,0,IF($D47&gt;SUM($G47:AY47),$D47/$E47,0))</f>
        <v>0</v>
      </c>
      <c r="BA47" s="276">
        <f ca="1">IF($C47+1&gt;BA$7,0,IF($D47&gt;SUM($G47:AZ47),$D47/$E47,0))</f>
        <v>0</v>
      </c>
      <c r="BB47" s="276">
        <f ca="1">IF($C47+1&gt;BB$7,0,IF($D47&gt;SUM($G47:BA47),$D47/$E47,0))</f>
        <v>0</v>
      </c>
      <c r="BC47" s="276">
        <f ca="1">IF($C47+1&gt;BC$7,0,IF($D47&gt;SUM($G47:BB47),$D47/$E47,0))</f>
        <v>0</v>
      </c>
      <c r="BD47" s="276">
        <f ca="1">IF($C47+1&gt;BD$7,0,IF($D47&gt;SUM($G47:BC47),$D47/$E47,0))</f>
        <v>0</v>
      </c>
      <c r="BE47" s="276">
        <f ca="1">IF($C47+1&gt;BE$7,0,IF($D47&gt;SUM($G47:BD47),$D47/$E47,0))</f>
        <v>0</v>
      </c>
      <c r="BF47" s="276">
        <f ca="1">IF($C47+1&gt;BF$7,0,IF($D47&gt;SUM($G47:BE47),$D47/$E47,0))</f>
        <v>0</v>
      </c>
      <c r="BG47" s="276">
        <f ca="1">IF($C47+1&gt;BG$7,0,IF($D47&gt;SUM($G47:BF47),$D47/$E47,0))</f>
        <v>0</v>
      </c>
      <c r="BH47" s="276">
        <f ca="1">IF($C47+1&gt;BH$7,0,IF($D47&gt;SUM($G47:BG47),$D47/$E47,0))</f>
        <v>0</v>
      </c>
      <c r="BI47" s="276">
        <f ca="1">IF($C47+1&gt;BI$7,0,IF($D47&gt;SUM($G47:BH47),$D47/$E47,0))</f>
        <v>0</v>
      </c>
      <c r="BJ47" s="276">
        <f ca="1">IF($C47+1&gt;BJ$7,0,IF($D47&gt;SUM($G47:BI47),$D47/$E47,0))</f>
        <v>0</v>
      </c>
      <c r="BK47" s="276">
        <f ca="1">IF($C47+1&gt;BK$7,0,IF($D47&gt;SUM($G47:BJ47),$D47/$E47,0))</f>
        <v>0</v>
      </c>
      <c r="BL47" s="276">
        <f ca="1">IF($C47+1&gt;BL$7,0,IF($D47&gt;SUM($G47:BK47),$D47/$E47,0))</f>
        <v>0</v>
      </c>
      <c r="BM47" s="276">
        <f ca="1">IF($C47+1&gt;BM$7,0,IF($D47&gt;SUM($G47:BL47),$D47/$E47,0))</f>
        <v>0</v>
      </c>
      <c r="BN47" s="276">
        <f ca="1">IF($C47+1&gt;BN$7,0,IF($D47&gt;SUM($G47:BM47),$D47/$E47,0))</f>
        <v>0</v>
      </c>
      <c r="BO47" s="276"/>
      <c r="BP47" s="276"/>
      <c r="BQ47" s="276"/>
      <c r="BR47" s="276"/>
      <c r="BS47" s="276"/>
      <c r="BT47" s="276"/>
      <c r="BU47" s="276"/>
      <c r="BV47" s="276"/>
      <c r="BW47" s="276"/>
      <c r="BX47" s="276"/>
      <c r="BY47" s="276"/>
      <c r="BZ47" s="276"/>
      <c r="CA47" s="254"/>
      <c r="CB47" s="254"/>
      <c r="CC47" s="254"/>
      <c r="CD47" s="254"/>
      <c r="CE47" s="254"/>
      <c r="CF47" s="254"/>
      <c r="CG47" s="254"/>
      <c r="CH47" s="254"/>
      <c r="CI47" s="254"/>
      <c r="CJ47" s="254"/>
      <c r="CK47" s="254"/>
      <c r="CL47" s="254"/>
    </row>
    <row r="48" spans="1:90" outlineLevel="1" x14ac:dyDescent="0.15">
      <c r="A48" s="272"/>
      <c r="B48" s="273"/>
      <c r="C48" s="275">
        <v>8</v>
      </c>
      <c r="D48" s="278">
        <f ca="1"/>
        <v>0</v>
      </c>
      <c r="E48" s="275">
        <f>SAP_Leadsheet!$E$50</f>
        <v>0</v>
      </c>
      <c r="F48" s="275"/>
      <c r="G48" s="276">
        <f>IF($C48+1&gt;G$7,0,IF($D48&gt;SUM(#REF!),$D48/$E48,0))</f>
        <v>0</v>
      </c>
      <c r="H48" s="276">
        <f>IF($C48+1&gt;H$7,0,IF($D48&gt;SUM($G48:G48),$D48/$E48,0))</f>
        <v>0</v>
      </c>
      <c r="I48" s="276">
        <f>IF($C48+1&gt;I$7,0,IF($D48&gt;SUM($G48:H48),$D48/$E48,0))</f>
        <v>0</v>
      </c>
      <c r="J48" s="276">
        <f>IF($C48+1&gt;J$7,0,IF($D48&gt;SUM($G48:I48),$D48/$E48,0))</f>
        <v>0</v>
      </c>
      <c r="K48" s="276">
        <f>IF($C48+1&gt;K$7,0,IF($D48&gt;SUM($G48:J48),$D48/$E48,0))</f>
        <v>0</v>
      </c>
      <c r="L48" s="276">
        <f>IF($C48+1&gt;L$7,0,IF($D48&gt;SUM($G48:K48),$D48/$E48,0))</f>
        <v>0</v>
      </c>
      <c r="M48" s="276">
        <f>IF($C48+1&gt;M$7,0,IF($D48&gt;SUM($G48:L48),$D48/$E48,0))</f>
        <v>0</v>
      </c>
      <c r="N48" s="276">
        <f>IF($C48+1&gt;N$7,0,IF($D48&gt;SUM($G48:M48),$D48/$E48,0))</f>
        <v>0</v>
      </c>
      <c r="O48" s="276">
        <f ca="1">IF($C48+1&gt;O$7,0,IF($D48&gt;SUM($G48:N48),$D48/$E48,0))</f>
        <v>0</v>
      </c>
      <c r="P48" s="276">
        <f ca="1">IF($C48+1&gt;P$7,0,IF($D48&gt;SUM($G48:O48),$D48/$E48,0))</f>
        <v>0</v>
      </c>
      <c r="Q48" s="276">
        <f ca="1">IF($C48+1&gt;Q$7,0,IF($D48&gt;SUM($G48:P48),$D48/$E48,0))</f>
        <v>0</v>
      </c>
      <c r="R48" s="276">
        <f ca="1">IF($C48+1&gt;R$7,0,IF($D48&gt;SUM($G48:Q48),$D48/$E48,0))</f>
        <v>0</v>
      </c>
      <c r="S48" s="276">
        <f ca="1">IF($C48+1&gt;S$7,0,IF($D48&gt;SUM($G48:R48),$D48/$E48,0))</f>
        <v>0</v>
      </c>
      <c r="T48" s="276">
        <f ca="1">IF($C48+1&gt;T$7,0,IF($D48&gt;SUM($G48:S48),$D48/$E48,0))</f>
        <v>0</v>
      </c>
      <c r="U48" s="276">
        <f ca="1">IF($C48+1&gt;U$7,0,IF($D48&gt;SUM($G48:T48),$D48/$E48,0))</f>
        <v>0</v>
      </c>
      <c r="V48" s="276">
        <f ca="1">IF($C48+1&gt;V$7,0,IF($D48&gt;SUM($G48:U48),$D48/$E48,0))</f>
        <v>0</v>
      </c>
      <c r="W48" s="276">
        <f ca="1">IF($C48+1&gt;W$7,0,IF($D48&gt;SUM($G48:V48),$D48/$E48,0))</f>
        <v>0</v>
      </c>
      <c r="X48" s="276">
        <f ca="1">IF($C48+1&gt;X$7,0,IF($D48&gt;SUM($G48:W48),$D48/$E48,0))</f>
        <v>0</v>
      </c>
      <c r="Y48" s="276">
        <f ca="1">IF($C48+1&gt;Y$7,0,IF($D48&gt;SUM($G48:X48),$D48/$E48,0))</f>
        <v>0</v>
      </c>
      <c r="Z48" s="276">
        <f ca="1">IF($C48+1&gt;Z$7,0,IF($D48&gt;SUM($G48:Y48),$D48/$E48,0))</f>
        <v>0</v>
      </c>
      <c r="AA48" s="276">
        <f ca="1">IF($C48+1&gt;AA$7,0,IF($D48&gt;SUM($G48:Z48),$D48/$E48,0))</f>
        <v>0</v>
      </c>
      <c r="AB48" s="276">
        <f ca="1">IF($C48+1&gt;AB$7,0,IF($D48&gt;SUM($G48:AA48),$D48/$E48,0))</f>
        <v>0</v>
      </c>
      <c r="AC48" s="276">
        <f ca="1">IF($C48+1&gt;AC$7,0,IF($D48&gt;SUM($G48:AB48),$D48/$E48,0))</f>
        <v>0</v>
      </c>
      <c r="AD48" s="276">
        <f ca="1">IF($C48+1&gt;AD$7,0,IF($D48&gt;SUM($G48:AC48),$D48/$E48,0))</f>
        <v>0</v>
      </c>
      <c r="AE48" s="276">
        <f ca="1">IF($C48+1&gt;AE$7,0,IF($D48&gt;SUM($G48:AD48),$D48/$E48,0))</f>
        <v>0</v>
      </c>
      <c r="AF48" s="276">
        <f ca="1">IF($C48+1&gt;AF$7,0,IF($D48&gt;SUM($G48:AE48),$D48/$E48,0))</f>
        <v>0</v>
      </c>
      <c r="AG48" s="276">
        <f ca="1">IF($C48+1&gt;AG$7,0,IF($D48&gt;SUM($G48:AF48),$D48/$E48,0))</f>
        <v>0</v>
      </c>
      <c r="AH48" s="276">
        <f ca="1">IF($C48+1&gt;AH$7,0,IF($D48&gt;SUM($G48:AG48),$D48/$E48,0))</f>
        <v>0</v>
      </c>
      <c r="AI48" s="276">
        <f ca="1">IF($C48+1&gt;AI$7,0,IF($D48&gt;SUM($G48:AH48),$D48/$E48,0))</f>
        <v>0</v>
      </c>
      <c r="AJ48" s="276">
        <f ca="1">IF($C48+1&gt;AJ$7,0,IF($D48&gt;SUM($G48:AI48),$D48/$E48,0))</f>
        <v>0</v>
      </c>
      <c r="AK48" s="276">
        <f ca="1">IF($C48+1&gt;AK$7,0,IF($D48&gt;SUM($G48:AJ48),$D48/$E48,0))</f>
        <v>0</v>
      </c>
      <c r="AL48" s="276">
        <f ca="1">IF($C48+1&gt;AL$7,0,IF($D48&gt;SUM($G48:AK48),$D48/$E48,0))</f>
        <v>0</v>
      </c>
      <c r="AM48" s="276">
        <f ca="1">IF($C48+1&gt;AM$7,0,IF($D48&gt;SUM($G48:AL48),$D48/$E48,0))</f>
        <v>0</v>
      </c>
      <c r="AN48" s="276">
        <f ca="1">IF($C48+1&gt;AN$7,0,IF($D48&gt;SUM($G48:AM48),$D48/$E48,0))</f>
        <v>0</v>
      </c>
      <c r="AO48" s="276">
        <f ca="1">IF($C48+1&gt;AO$7,0,IF($D48&gt;SUM($G48:AN48),$D48/$E48,0))</f>
        <v>0</v>
      </c>
      <c r="AP48" s="276">
        <f ca="1">IF($C48+1&gt;AP$7,0,IF($D48&gt;SUM($G48:AO48),$D48/$E48,0))</f>
        <v>0</v>
      </c>
      <c r="AQ48" s="276">
        <f ca="1">IF($C48+1&gt;AQ$7,0,IF($D48&gt;SUM($G48:AP48),$D48/$E48,0))</f>
        <v>0</v>
      </c>
      <c r="AR48" s="276">
        <f ca="1">IF($C48+1&gt;AR$7,0,IF($D48&gt;SUM($G48:AQ48),$D48/$E48,0))</f>
        <v>0</v>
      </c>
      <c r="AS48" s="276">
        <f ca="1">IF($C48+1&gt;AS$7,0,IF($D48&gt;SUM($G48:AR48),$D48/$E48,0))</f>
        <v>0</v>
      </c>
      <c r="AT48" s="276">
        <f ca="1">IF($C48+1&gt;AT$7,0,IF($D48&gt;SUM($G48:AS48),$D48/$E48,0))</f>
        <v>0</v>
      </c>
      <c r="AU48" s="276">
        <f ca="1">IF($C48+1&gt;AU$7,0,IF($D48&gt;SUM($G48:AT48),$D48/$E48,0))</f>
        <v>0</v>
      </c>
      <c r="AV48" s="276">
        <f ca="1">IF($C48+1&gt;AV$7,0,IF($D48&gt;SUM($G48:AU48),$D48/$E48,0))</f>
        <v>0</v>
      </c>
      <c r="AW48" s="276">
        <f ca="1">IF($C48+1&gt;AW$7,0,IF($D48&gt;SUM($G48:AV48),$D48/$E48,0))</f>
        <v>0</v>
      </c>
      <c r="AX48" s="276">
        <f ca="1">IF($C48+1&gt;AX$7,0,IF($D48&gt;SUM($G48:AW48),$D48/$E48,0))</f>
        <v>0</v>
      </c>
      <c r="AY48" s="276">
        <f ca="1">IF($C48+1&gt;AY$7,0,IF($D48&gt;SUM($G48:AX48),$D48/$E48,0))</f>
        <v>0</v>
      </c>
      <c r="AZ48" s="276">
        <f ca="1">IF($C48+1&gt;AZ$7,0,IF($D48&gt;SUM($G48:AY48),$D48/$E48,0))</f>
        <v>0</v>
      </c>
      <c r="BA48" s="276">
        <f ca="1">IF($C48+1&gt;BA$7,0,IF($D48&gt;SUM($G48:AZ48),$D48/$E48,0))</f>
        <v>0</v>
      </c>
      <c r="BB48" s="276">
        <f ca="1">IF($C48+1&gt;BB$7,0,IF($D48&gt;SUM($G48:BA48),$D48/$E48,0))</f>
        <v>0</v>
      </c>
      <c r="BC48" s="276">
        <f ca="1">IF($C48+1&gt;BC$7,0,IF($D48&gt;SUM($G48:BB48),$D48/$E48,0))</f>
        <v>0</v>
      </c>
      <c r="BD48" s="276">
        <f ca="1">IF($C48+1&gt;BD$7,0,IF($D48&gt;SUM($G48:BC48),$D48/$E48,0))</f>
        <v>0</v>
      </c>
      <c r="BE48" s="276">
        <f ca="1">IF($C48+1&gt;BE$7,0,IF($D48&gt;SUM($G48:BD48),$D48/$E48,0))</f>
        <v>0</v>
      </c>
      <c r="BF48" s="276">
        <f ca="1">IF($C48+1&gt;BF$7,0,IF($D48&gt;SUM($G48:BE48),$D48/$E48,0))</f>
        <v>0</v>
      </c>
      <c r="BG48" s="276">
        <f ca="1">IF($C48+1&gt;BG$7,0,IF($D48&gt;SUM($G48:BF48),$D48/$E48,0))</f>
        <v>0</v>
      </c>
      <c r="BH48" s="276">
        <f ca="1">IF($C48+1&gt;BH$7,0,IF($D48&gt;SUM($G48:BG48),$D48/$E48,0))</f>
        <v>0</v>
      </c>
      <c r="BI48" s="276">
        <f ca="1">IF($C48+1&gt;BI$7,0,IF($D48&gt;SUM($G48:BH48),$D48/$E48,0))</f>
        <v>0</v>
      </c>
      <c r="BJ48" s="276">
        <f ca="1">IF($C48+1&gt;BJ$7,0,IF($D48&gt;SUM($G48:BI48),$D48/$E48,0))</f>
        <v>0</v>
      </c>
      <c r="BK48" s="276">
        <f ca="1">IF($C48+1&gt;BK$7,0,IF($D48&gt;SUM($G48:BJ48),$D48/$E48,0))</f>
        <v>0</v>
      </c>
      <c r="BL48" s="276">
        <f ca="1">IF($C48+1&gt;BL$7,0,IF($D48&gt;SUM($G48:BK48),$D48/$E48,0))</f>
        <v>0</v>
      </c>
      <c r="BM48" s="276">
        <f ca="1">IF($C48+1&gt;BM$7,0,IF($D48&gt;SUM($G48:BL48),$D48/$E48,0))</f>
        <v>0</v>
      </c>
      <c r="BN48" s="276">
        <f ca="1">IF($C48+1&gt;BN$7,0,IF($D48&gt;SUM($G48:BM48),$D48/$E48,0))</f>
        <v>0</v>
      </c>
      <c r="BO48" s="276"/>
      <c r="BP48" s="276"/>
      <c r="BQ48" s="276"/>
      <c r="BR48" s="276"/>
      <c r="BS48" s="276"/>
      <c r="BT48" s="276"/>
      <c r="BU48" s="276"/>
      <c r="BV48" s="276"/>
      <c r="BW48" s="276"/>
      <c r="BX48" s="276"/>
      <c r="BY48" s="276"/>
      <c r="BZ48" s="276"/>
      <c r="CA48" s="254"/>
      <c r="CB48" s="254"/>
      <c r="CC48" s="254"/>
      <c r="CD48" s="254"/>
      <c r="CE48" s="254"/>
      <c r="CF48" s="254"/>
      <c r="CG48" s="254"/>
      <c r="CH48" s="254"/>
      <c r="CI48" s="254"/>
      <c r="CJ48" s="254"/>
      <c r="CK48" s="254"/>
      <c r="CL48" s="254"/>
    </row>
    <row r="49" spans="1:90" outlineLevel="1" x14ac:dyDescent="0.15">
      <c r="A49" s="272"/>
      <c r="B49" s="273"/>
      <c r="C49" s="275">
        <v>9</v>
      </c>
      <c r="D49" s="278">
        <f ca="1"/>
        <v>0</v>
      </c>
      <c r="E49" s="275">
        <f>SAP_Leadsheet!$E$50</f>
        <v>0</v>
      </c>
      <c r="F49" s="275"/>
      <c r="G49" s="276">
        <f>IF($C49+1&gt;G$7,0,IF($D49&gt;SUM(#REF!),$D49/$E49,0))</f>
        <v>0</v>
      </c>
      <c r="H49" s="276">
        <f>IF($C49+1&gt;H$7,0,IF($D49&gt;SUM($G49:G49),$D49/$E49,0))</f>
        <v>0</v>
      </c>
      <c r="I49" s="276">
        <f>IF($C49+1&gt;I$7,0,IF($D49&gt;SUM($G49:H49),$D49/$E49,0))</f>
        <v>0</v>
      </c>
      <c r="J49" s="276">
        <f>IF($C49+1&gt;J$7,0,IF($D49&gt;SUM($G49:I49),$D49/$E49,0))</f>
        <v>0</v>
      </c>
      <c r="K49" s="276">
        <f>IF($C49+1&gt;K$7,0,IF($D49&gt;SUM($G49:J49),$D49/$E49,0))</f>
        <v>0</v>
      </c>
      <c r="L49" s="276">
        <f>IF($C49+1&gt;L$7,0,IF($D49&gt;SUM($G49:K49),$D49/$E49,0))</f>
        <v>0</v>
      </c>
      <c r="M49" s="276">
        <f>IF($C49+1&gt;M$7,0,IF($D49&gt;SUM($G49:L49),$D49/$E49,0))</f>
        <v>0</v>
      </c>
      <c r="N49" s="276">
        <f>IF($C49+1&gt;N$7,0,IF($D49&gt;SUM($G49:M49),$D49/$E49,0))</f>
        <v>0</v>
      </c>
      <c r="O49" s="276">
        <f>IF($C49+1&gt;O$7,0,IF($D49&gt;SUM($G49:N49),$D49/$E49,0))</f>
        <v>0</v>
      </c>
      <c r="P49" s="276">
        <f ca="1">IF($C49+1&gt;P$7,0,IF($D49&gt;SUM($G49:O49),$D49/$E49,0))</f>
        <v>0</v>
      </c>
      <c r="Q49" s="276">
        <f ca="1">IF($C49+1&gt;Q$7,0,IF($D49&gt;SUM($G49:P49),$D49/$E49,0))</f>
        <v>0</v>
      </c>
      <c r="R49" s="276">
        <f ca="1">IF($C49+1&gt;R$7,0,IF($D49&gt;SUM($G49:Q49),$D49/$E49,0))</f>
        <v>0</v>
      </c>
      <c r="S49" s="276">
        <f ca="1">IF($C49+1&gt;S$7,0,IF($D49&gt;SUM($G49:R49),$D49/$E49,0))</f>
        <v>0</v>
      </c>
      <c r="T49" s="276">
        <f ca="1">IF($C49+1&gt;T$7,0,IF($D49&gt;SUM($G49:S49),$D49/$E49,0))</f>
        <v>0</v>
      </c>
      <c r="U49" s="276">
        <f ca="1">IF($C49+1&gt;U$7,0,IF($D49&gt;SUM($G49:T49),$D49/$E49,0))</f>
        <v>0</v>
      </c>
      <c r="V49" s="276">
        <f ca="1">IF($C49+1&gt;V$7,0,IF($D49&gt;SUM($G49:U49),$D49/$E49,0))</f>
        <v>0</v>
      </c>
      <c r="W49" s="276">
        <f ca="1">IF($C49+1&gt;W$7,0,IF($D49&gt;SUM($G49:V49),$D49/$E49,0))</f>
        <v>0</v>
      </c>
      <c r="X49" s="276">
        <f ca="1">IF($C49+1&gt;X$7,0,IF($D49&gt;SUM($G49:W49),$D49/$E49,0))</f>
        <v>0</v>
      </c>
      <c r="Y49" s="276">
        <f ca="1">IF($C49+1&gt;Y$7,0,IF($D49&gt;SUM($G49:X49),$D49/$E49,0))</f>
        <v>0</v>
      </c>
      <c r="Z49" s="276">
        <f ca="1">IF($C49+1&gt;Z$7,0,IF($D49&gt;SUM($G49:Y49),$D49/$E49,0))</f>
        <v>0</v>
      </c>
      <c r="AA49" s="276">
        <f ca="1">IF($C49+1&gt;AA$7,0,IF($D49&gt;SUM($G49:Z49),$D49/$E49,0))</f>
        <v>0</v>
      </c>
      <c r="AB49" s="276">
        <f ca="1">IF($C49+1&gt;AB$7,0,IF($D49&gt;SUM($G49:AA49),$D49/$E49,0))</f>
        <v>0</v>
      </c>
      <c r="AC49" s="276">
        <f ca="1">IF($C49+1&gt;AC$7,0,IF($D49&gt;SUM($G49:AB49),$D49/$E49,0))</f>
        <v>0</v>
      </c>
      <c r="AD49" s="276">
        <f ca="1">IF($C49+1&gt;AD$7,0,IF($D49&gt;SUM($G49:AC49),$D49/$E49,0))</f>
        <v>0</v>
      </c>
      <c r="AE49" s="276">
        <f ca="1">IF($C49+1&gt;AE$7,0,IF($D49&gt;SUM($G49:AD49),$D49/$E49,0))</f>
        <v>0</v>
      </c>
      <c r="AF49" s="276">
        <f ca="1">IF($C49+1&gt;AF$7,0,IF($D49&gt;SUM($G49:AE49),$D49/$E49,0))</f>
        <v>0</v>
      </c>
      <c r="AG49" s="276">
        <f ca="1">IF($C49+1&gt;AG$7,0,IF($D49&gt;SUM($G49:AF49),$D49/$E49,0))</f>
        <v>0</v>
      </c>
      <c r="AH49" s="276">
        <f ca="1">IF($C49+1&gt;AH$7,0,IF($D49&gt;SUM($G49:AG49),$D49/$E49,0))</f>
        <v>0</v>
      </c>
      <c r="AI49" s="276">
        <f ca="1">IF($C49+1&gt;AI$7,0,IF($D49&gt;SUM($G49:AH49),$D49/$E49,0))</f>
        <v>0</v>
      </c>
      <c r="AJ49" s="276">
        <f ca="1">IF($C49+1&gt;AJ$7,0,IF($D49&gt;SUM($G49:AI49),$D49/$E49,0))</f>
        <v>0</v>
      </c>
      <c r="AK49" s="276">
        <f ca="1">IF($C49+1&gt;AK$7,0,IF($D49&gt;SUM($G49:AJ49),$D49/$E49,0))</f>
        <v>0</v>
      </c>
      <c r="AL49" s="276">
        <f ca="1">IF($C49+1&gt;AL$7,0,IF($D49&gt;SUM($G49:AK49),$D49/$E49,0))</f>
        <v>0</v>
      </c>
      <c r="AM49" s="276">
        <f ca="1">IF($C49+1&gt;AM$7,0,IF($D49&gt;SUM($G49:AL49),$D49/$E49,0))</f>
        <v>0</v>
      </c>
      <c r="AN49" s="276">
        <f ca="1">IF($C49+1&gt;AN$7,0,IF($D49&gt;SUM($G49:AM49),$D49/$E49,0))</f>
        <v>0</v>
      </c>
      <c r="AO49" s="276">
        <f ca="1">IF($C49+1&gt;AO$7,0,IF($D49&gt;SUM($G49:AN49),$D49/$E49,0))</f>
        <v>0</v>
      </c>
      <c r="AP49" s="276">
        <f ca="1">IF($C49+1&gt;AP$7,0,IF($D49&gt;SUM($G49:AO49),$D49/$E49,0))</f>
        <v>0</v>
      </c>
      <c r="AQ49" s="276">
        <f ca="1">IF($C49+1&gt;AQ$7,0,IF($D49&gt;SUM($G49:AP49),$D49/$E49,0))</f>
        <v>0</v>
      </c>
      <c r="AR49" s="276">
        <f ca="1">IF($C49+1&gt;AR$7,0,IF($D49&gt;SUM($G49:AQ49),$D49/$E49,0))</f>
        <v>0</v>
      </c>
      <c r="AS49" s="276">
        <f ca="1">IF($C49+1&gt;AS$7,0,IF($D49&gt;SUM($G49:AR49),$D49/$E49,0))</f>
        <v>0</v>
      </c>
      <c r="AT49" s="276">
        <f ca="1">IF($C49+1&gt;AT$7,0,IF($D49&gt;SUM($G49:AS49),$D49/$E49,0))</f>
        <v>0</v>
      </c>
      <c r="AU49" s="276">
        <f ca="1">IF($C49+1&gt;AU$7,0,IF($D49&gt;SUM($G49:AT49),$D49/$E49,0))</f>
        <v>0</v>
      </c>
      <c r="AV49" s="276">
        <f ca="1">IF($C49+1&gt;AV$7,0,IF($D49&gt;SUM($G49:AU49),$D49/$E49,0))</f>
        <v>0</v>
      </c>
      <c r="AW49" s="276">
        <f ca="1">IF($C49+1&gt;AW$7,0,IF($D49&gt;SUM($G49:AV49),$D49/$E49,0))</f>
        <v>0</v>
      </c>
      <c r="AX49" s="276">
        <f ca="1">IF($C49+1&gt;AX$7,0,IF($D49&gt;SUM($G49:AW49),$D49/$E49,0))</f>
        <v>0</v>
      </c>
      <c r="AY49" s="276">
        <f ca="1">IF($C49+1&gt;AY$7,0,IF($D49&gt;SUM($G49:AX49),$D49/$E49,0))</f>
        <v>0</v>
      </c>
      <c r="AZ49" s="276">
        <f ca="1">IF($C49+1&gt;AZ$7,0,IF($D49&gt;SUM($G49:AY49),$D49/$E49,0))</f>
        <v>0</v>
      </c>
      <c r="BA49" s="276">
        <f ca="1">IF($C49+1&gt;BA$7,0,IF($D49&gt;SUM($G49:AZ49),$D49/$E49,0))</f>
        <v>0</v>
      </c>
      <c r="BB49" s="276">
        <f ca="1">IF($C49+1&gt;BB$7,0,IF($D49&gt;SUM($G49:BA49),$D49/$E49,0))</f>
        <v>0</v>
      </c>
      <c r="BC49" s="276">
        <f ca="1">IF($C49+1&gt;BC$7,0,IF($D49&gt;SUM($G49:BB49),$D49/$E49,0))</f>
        <v>0</v>
      </c>
      <c r="BD49" s="276">
        <f ca="1">IF($C49+1&gt;BD$7,0,IF($D49&gt;SUM($G49:BC49),$D49/$E49,0))</f>
        <v>0</v>
      </c>
      <c r="BE49" s="276">
        <f ca="1">IF($C49+1&gt;BE$7,0,IF($D49&gt;SUM($G49:BD49),$D49/$E49,0))</f>
        <v>0</v>
      </c>
      <c r="BF49" s="276">
        <f ca="1">IF($C49+1&gt;BF$7,0,IF($D49&gt;SUM($G49:BE49),$D49/$E49,0))</f>
        <v>0</v>
      </c>
      <c r="BG49" s="276">
        <f ca="1">IF($C49+1&gt;BG$7,0,IF($D49&gt;SUM($G49:BF49),$D49/$E49,0))</f>
        <v>0</v>
      </c>
      <c r="BH49" s="276">
        <f ca="1">IF($C49+1&gt;BH$7,0,IF($D49&gt;SUM($G49:BG49),$D49/$E49,0))</f>
        <v>0</v>
      </c>
      <c r="BI49" s="276">
        <f ca="1">IF($C49+1&gt;BI$7,0,IF($D49&gt;SUM($G49:BH49),$D49/$E49,0))</f>
        <v>0</v>
      </c>
      <c r="BJ49" s="276">
        <f ca="1">IF($C49+1&gt;BJ$7,0,IF($D49&gt;SUM($G49:BI49),$D49/$E49,0))</f>
        <v>0</v>
      </c>
      <c r="BK49" s="276">
        <f ca="1">IF($C49+1&gt;BK$7,0,IF($D49&gt;SUM($G49:BJ49),$D49/$E49,0))</f>
        <v>0</v>
      </c>
      <c r="BL49" s="276">
        <f ca="1">IF($C49+1&gt;BL$7,0,IF($D49&gt;SUM($G49:BK49),$D49/$E49,0))</f>
        <v>0</v>
      </c>
      <c r="BM49" s="276">
        <f ca="1">IF($C49+1&gt;BM$7,0,IF($D49&gt;SUM($G49:BL49),$D49/$E49,0))</f>
        <v>0</v>
      </c>
      <c r="BN49" s="276">
        <f ca="1">IF($C49+1&gt;BN$7,0,IF($D49&gt;SUM($G49:BM49),$D49/$E49,0))</f>
        <v>0</v>
      </c>
      <c r="BO49" s="276"/>
      <c r="BP49" s="276"/>
      <c r="BQ49" s="276"/>
      <c r="BR49" s="276"/>
      <c r="BS49" s="276"/>
      <c r="BT49" s="276"/>
      <c r="BU49" s="276"/>
      <c r="BV49" s="276"/>
      <c r="BW49" s="276"/>
      <c r="BX49" s="276"/>
      <c r="BY49" s="276"/>
      <c r="BZ49" s="276"/>
      <c r="CA49" s="254"/>
      <c r="CB49" s="254"/>
      <c r="CC49" s="254"/>
      <c r="CD49" s="254"/>
      <c r="CE49" s="254"/>
      <c r="CF49" s="254"/>
      <c r="CG49" s="254"/>
      <c r="CH49" s="254"/>
      <c r="CI49" s="254"/>
      <c r="CJ49" s="254"/>
      <c r="CK49" s="254"/>
      <c r="CL49" s="254"/>
    </row>
    <row r="50" spans="1:90" outlineLevel="1" x14ac:dyDescent="0.15">
      <c r="A50" s="272"/>
      <c r="B50" s="273"/>
      <c r="C50" s="275">
        <v>10</v>
      </c>
      <c r="D50" s="278">
        <f ca="1"/>
        <v>0</v>
      </c>
      <c r="E50" s="275">
        <f>SAP_Leadsheet!$E$50</f>
        <v>0</v>
      </c>
      <c r="F50" s="275"/>
      <c r="G50" s="276">
        <f>IF($C50+1&gt;G$7,0,IF($D50&gt;SUM(#REF!),$D50/$E50,0))</f>
        <v>0</v>
      </c>
      <c r="H50" s="276">
        <f>IF($C50+1&gt;H$7,0,IF($D50&gt;SUM($G50:G50),$D50/$E50,0))</f>
        <v>0</v>
      </c>
      <c r="I50" s="276">
        <f>IF($C50+1&gt;I$7,0,IF($D50&gt;SUM($G50:H50),$D50/$E50,0))</f>
        <v>0</v>
      </c>
      <c r="J50" s="276">
        <f>IF($C50+1&gt;J$7,0,IF($D50&gt;SUM($G50:I50),$D50/$E50,0))</f>
        <v>0</v>
      </c>
      <c r="K50" s="276">
        <f>IF($C50+1&gt;K$7,0,IF($D50&gt;SUM($G50:J50),$D50/$E50,0))</f>
        <v>0</v>
      </c>
      <c r="L50" s="276">
        <f>IF($C50+1&gt;L$7,0,IF($D50&gt;SUM($G50:K50),$D50/$E50,0))</f>
        <v>0</v>
      </c>
      <c r="M50" s="276">
        <f>IF($C50+1&gt;M$7,0,IF($D50&gt;SUM($G50:L50),$D50/$E50,0))</f>
        <v>0</v>
      </c>
      <c r="N50" s="276">
        <f>IF($C50+1&gt;N$7,0,IF($D50&gt;SUM($G50:M50),$D50/$E50,0))</f>
        <v>0</v>
      </c>
      <c r="O50" s="276">
        <f>IF($C50+1&gt;O$7,0,IF($D50&gt;SUM($G50:N50),$D50/$E50,0))</f>
        <v>0</v>
      </c>
      <c r="P50" s="276">
        <f>IF($C50+1&gt;P$7,0,IF($D50&gt;SUM($G50:O50),$D50/$E50,0))</f>
        <v>0</v>
      </c>
      <c r="Q50" s="276">
        <f ca="1">IF($C50+1&gt;Q$7,0,IF($D50&gt;SUM($G50:P50),$D50/$E50,0))</f>
        <v>0</v>
      </c>
      <c r="R50" s="276">
        <f ca="1">IF($C50+1&gt;R$7,0,IF($D50&gt;SUM($G50:Q50),$D50/$E50,0))</f>
        <v>0</v>
      </c>
      <c r="S50" s="276">
        <f ca="1">IF($C50+1&gt;S$7,0,IF($D50&gt;SUM($G50:R50),$D50/$E50,0))</f>
        <v>0</v>
      </c>
      <c r="T50" s="276">
        <f ca="1">IF($C50+1&gt;T$7,0,IF($D50&gt;SUM($G50:S50),$D50/$E50,0))</f>
        <v>0</v>
      </c>
      <c r="U50" s="276">
        <f ca="1">IF($C50+1&gt;U$7,0,IF($D50&gt;SUM($G50:T50),$D50/$E50,0))</f>
        <v>0</v>
      </c>
      <c r="V50" s="276">
        <f ca="1">IF($C50+1&gt;V$7,0,IF($D50&gt;SUM($G50:U50),$D50/$E50,0))</f>
        <v>0</v>
      </c>
      <c r="W50" s="276">
        <f ca="1">IF($C50+1&gt;W$7,0,IF($D50&gt;SUM($G50:V50),$D50/$E50,0))</f>
        <v>0</v>
      </c>
      <c r="X50" s="276">
        <f ca="1">IF($C50+1&gt;X$7,0,IF($D50&gt;SUM($G50:W50),$D50/$E50,0))</f>
        <v>0</v>
      </c>
      <c r="Y50" s="276">
        <f ca="1">IF($C50+1&gt;Y$7,0,IF($D50&gt;SUM($G50:X50),$D50/$E50,0))</f>
        <v>0</v>
      </c>
      <c r="Z50" s="276">
        <f ca="1">IF($C50+1&gt;Z$7,0,IF($D50&gt;SUM($G50:Y50),$D50/$E50,0))</f>
        <v>0</v>
      </c>
      <c r="AA50" s="276">
        <f ca="1">IF($C50+1&gt;AA$7,0,IF($D50&gt;SUM($G50:Z50),$D50/$E50,0))</f>
        <v>0</v>
      </c>
      <c r="AB50" s="276">
        <f ca="1">IF($C50+1&gt;AB$7,0,IF($D50&gt;SUM($G50:AA50),$D50/$E50,0))</f>
        <v>0</v>
      </c>
      <c r="AC50" s="276">
        <f ca="1">IF($C50+1&gt;AC$7,0,IF($D50&gt;SUM($G50:AB50),$D50/$E50,0))</f>
        <v>0</v>
      </c>
      <c r="AD50" s="276">
        <f ca="1">IF($C50+1&gt;AD$7,0,IF($D50&gt;SUM($G50:AC50),$D50/$E50,0))</f>
        <v>0</v>
      </c>
      <c r="AE50" s="276">
        <f ca="1">IF($C50+1&gt;AE$7,0,IF($D50&gt;SUM($G50:AD50),$D50/$E50,0))</f>
        <v>0</v>
      </c>
      <c r="AF50" s="276">
        <f ca="1">IF($C50+1&gt;AF$7,0,IF($D50&gt;SUM($G50:AE50),$D50/$E50,0))</f>
        <v>0</v>
      </c>
      <c r="AG50" s="276">
        <f ca="1">IF($C50+1&gt;AG$7,0,IF($D50&gt;SUM($G50:AF50),$D50/$E50,0))</f>
        <v>0</v>
      </c>
      <c r="AH50" s="276">
        <f ca="1">IF($C50+1&gt;AH$7,0,IF($D50&gt;SUM($G50:AG50),$D50/$E50,0))</f>
        <v>0</v>
      </c>
      <c r="AI50" s="276">
        <f ca="1">IF($C50+1&gt;AI$7,0,IF($D50&gt;SUM($G50:AH50),$D50/$E50,0))</f>
        <v>0</v>
      </c>
      <c r="AJ50" s="276">
        <f ca="1">IF($C50+1&gt;AJ$7,0,IF($D50&gt;SUM($G50:AI50),$D50/$E50,0))</f>
        <v>0</v>
      </c>
      <c r="AK50" s="276">
        <f ca="1">IF($C50+1&gt;AK$7,0,IF($D50&gt;SUM($G50:AJ50),$D50/$E50,0))</f>
        <v>0</v>
      </c>
      <c r="AL50" s="276">
        <f ca="1">IF($C50+1&gt;AL$7,0,IF($D50&gt;SUM($G50:AK50),$D50/$E50,0))</f>
        <v>0</v>
      </c>
      <c r="AM50" s="276">
        <f ca="1">IF($C50+1&gt;AM$7,0,IF($D50&gt;SUM($G50:AL50),$D50/$E50,0))</f>
        <v>0</v>
      </c>
      <c r="AN50" s="276">
        <f ca="1">IF($C50+1&gt;AN$7,0,IF($D50&gt;SUM($G50:AM50),$D50/$E50,0))</f>
        <v>0</v>
      </c>
      <c r="AO50" s="276">
        <f ca="1">IF($C50+1&gt;AO$7,0,IF($D50&gt;SUM($G50:AN50),$D50/$E50,0))</f>
        <v>0</v>
      </c>
      <c r="AP50" s="276">
        <f ca="1">IF($C50+1&gt;AP$7,0,IF($D50&gt;SUM($G50:AO50),$D50/$E50,0))</f>
        <v>0</v>
      </c>
      <c r="AQ50" s="276">
        <f ca="1">IF($C50+1&gt;AQ$7,0,IF($D50&gt;SUM($G50:AP50),$D50/$E50,0))</f>
        <v>0</v>
      </c>
      <c r="AR50" s="276">
        <f ca="1">IF($C50+1&gt;AR$7,0,IF($D50&gt;SUM($G50:AQ50),$D50/$E50,0))</f>
        <v>0</v>
      </c>
      <c r="AS50" s="276">
        <f ca="1">IF($C50+1&gt;AS$7,0,IF($D50&gt;SUM($G50:AR50),$D50/$E50,0))</f>
        <v>0</v>
      </c>
      <c r="AT50" s="276">
        <f ca="1">IF($C50+1&gt;AT$7,0,IF($D50&gt;SUM($G50:AS50),$D50/$E50,0))</f>
        <v>0</v>
      </c>
      <c r="AU50" s="276">
        <f ca="1">IF($C50+1&gt;AU$7,0,IF($D50&gt;SUM($G50:AT50),$D50/$E50,0))</f>
        <v>0</v>
      </c>
      <c r="AV50" s="276">
        <f ca="1">IF($C50+1&gt;AV$7,0,IF($D50&gt;SUM($G50:AU50),$D50/$E50,0))</f>
        <v>0</v>
      </c>
      <c r="AW50" s="276">
        <f ca="1">IF($C50+1&gt;AW$7,0,IF($D50&gt;SUM($G50:AV50),$D50/$E50,0))</f>
        <v>0</v>
      </c>
      <c r="AX50" s="276">
        <f ca="1">IF($C50+1&gt;AX$7,0,IF($D50&gt;SUM($G50:AW50),$D50/$E50,0))</f>
        <v>0</v>
      </c>
      <c r="AY50" s="276">
        <f ca="1">IF($C50+1&gt;AY$7,0,IF($D50&gt;SUM($G50:AX50),$D50/$E50,0))</f>
        <v>0</v>
      </c>
      <c r="AZ50" s="276">
        <f ca="1">IF($C50+1&gt;AZ$7,0,IF($D50&gt;SUM($G50:AY50),$D50/$E50,0))</f>
        <v>0</v>
      </c>
      <c r="BA50" s="276">
        <f ca="1">IF($C50+1&gt;BA$7,0,IF($D50&gt;SUM($G50:AZ50),$D50/$E50,0))</f>
        <v>0</v>
      </c>
      <c r="BB50" s="276">
        <f ca="1">IF($C50+1&gt;BB$7,0,IF($D50&gt;SUM($G50:BA50),$D50/$E50,0))</f>
        <v>0</v>
      </c>
      <c r="BC50" s="276">
        <f ca="1">IF($C50+1&gt;BC$7,0,IF($D50&gt;SUM($G50:BB50),$D50/$E50,0))</f>
        <v>0</v>
      </c>
      <c r="BD50" s="276">
        <f ca="1">IF($C50+1&gt;BD$7,0,IF($D50&gt;SUM($G50:BC50),$D50/$E50,0))</f>
        <v>0</v>
      </c>
      <c r="BE50" s="276">
        <f ca="1">IF($C50+1&gt;BE$7,0,IF($D50&gt;SUM($G50:BD50),$D50/$E50,0))</f>
        <v>0</v>
      </c>
      <c r="BF50" s="276">
        <f ca="1">IF($C50+1&gt;BF$7,0,IF($D50&gt;SUM($G50:BE50),$D50/$E50,0))</f>
        <v>0</v>
      </c>
      <c r="BG50" s="276">
        <f ca="1">IF($C50+1&gt;BG$7,0,IF($D50&gt;SUM($G50:BF50),$D50/$E50,0))</f>
        <v>0</v>
      </c>
      <c r="BH50" s="276">
        <f ca="1">IF($C50+1&gt;BH$7,0,IF($D50&gt;SUM($G50:BG50),$D50/$E50,0))</f>
        <v>0</v>
      </c>
      <c r="BI50" s="276">
        <f ca="1">IF($C50+1&gt;BI$7,0,IF($D50&gt;SUM($G50:BH50),$D50/$E50,0))</f>
        <v>0</v>
      </c>
      <c r="BJ50" s="276">
        <f ca="1">IF($C50+1&gt;BJ$7,0,IF($D50&gt;SUM($G50:BI50),$D50/$E50,0))</f>
        <v>0</v>
      </c>
      <c r="BK50" s="276">
        <f ca="1">IF($C50+1&gt;BK$7,0,IF($D50&gt;SUM($G50:BJ50),$D50/$E50,0))</f>
        <v>0</v>
      </c>
      <c r="BL50" s="276">
        <f ca="1">IF($C50+1&gt;BL$7,0,IF($D50&gt;SUM($G50:BK50),$D50/$E50,0))</f>
        <v>0</v>
      </c>
      <c r="BM50" s="276">
        <f ca="1">IF($C50+1&gt;BM$7,0,IF($D50&gt;SUM($G50:BL50),$D50/$E50,0))</f>
        <v>0</v>
      </c>
      <c r="BN50" s="276">
        <f ca="1">IF($C50+1&gt;BN$7,0,IF($D50&gt;SUM($G50:BM50),$D50/$E50,0))</f>
        <v>0</v>
      </c>
      <c r="BO50" s="276"/>
      <c r="BP50" s="276"/>
      <c r="BQ50" s="276"/>
      <c r="BR50" s="276"/>
      <c r="BS50" s="276"/>
      <c r="BT50" s="276"/>
      <c r="BU50" s="276"/>
      <c r="BV50" s="276"/>
      <c r="BW50" s="276"/>
      <c r="BX50" s="276"/>
      <c r="BY50" s="276"/>
      <c r="BZ50" s="276"/>
      <c r="CA50" s="254"/>
      <c r="CB50" s="254"/>
      <c r="CC50" s="254"/>
      <c r="CD50" s="254"/>
      <c r="CE50" s="254"/>
      <c r="CF50" s="254"/>
      <c r="CG50" s="254"/>
      <c r="CH50" s="254"/>
      <c r="CI50" s="254"/>
      <c r="CJ50" s="254"/>
      <c r="CK50" s="254"/>
      <c r="CL50" s="254"/>
    </row>
    <row r="51" spans="1:90" outlineLevel="1" x14ac:dyDescent="0.15">
      <c r="A51" s="272"/>
      <c r="B51" s="273"/>
      <c r="C51" s="275">
        <v>11</v>
      </c>
      <c r="D51" s="278">
        <f ca="1"/>
        <v>0</v>
      </c>
      <c r="E51" s="275">
        <f>SAP_Leadsheet!$E$50</f>
        <v>0</v>
      </c>
      <c r="F51" s="275"/>
      <c r="G51" s="276">
        <f>IF($C51+1&gt;G$7,0,IF($D51&gt;SUM(#REF!),$D51/$E51,0))</f>
        <v>0</v>
      </c>
      <c r="H51" s="276">
        <f>IF($C51+1&gt;H$7,0,IF($D51&gt;SUM($G51:G51),$D51/$E51,0))</f>
        <v>0</v>
      </c>
      <c r="I51" s="276">
        <f>IF($C51+1&gt;I$7,0,IF($D51&gt;SUM($G51:H51),$D51/$E51,0))</f>
        <v>0</v>
      </c>
      <c r="J51" s="276">
        <f>IF($C51+1&gt;J$7,0,IF($D51&gt;SUM($G51:I51),$D51/$E51,0))</f>
        <v>0</v>
      </c>
      <c r="K51" s="276">
        <f>IF($C51+1&gt;K$7,0,IF($D51&gt;SUM($G51:J51),$D51/$E51,0))</f>
        <v>0</v>
      </c>
      <c r="L51" s="276">
        <f>IF($C51+1&gt;L$7,0,IF($D51&gt;SUM($G51:K51),$D51/$E51,0))</f>
        <v>0</v>
      </c>
      <c r="M51" s="276">
        <f>IF($C51+1&gt;M$7,0,IF($D51&gt;SUM($G51:L51),$D51/$E51,0))</f>
        <v>0</v>
      </c>
      <c r="N51" s="276">
        <f>IF($C51+1&gt;N$7,0,IF($D51&gt;SUM($G51:M51),$D51/$E51,0))</f>
        <v>0</v>
      </c>
      <c r="O51" s="276">
        <f>IF($C51+1&gt;O$7,0,IF($D51&gt;SUM($G51:N51),$D51/$E51,0))</f>
        <v>0</v>
      </c>
      <c r="P51" s="276">
        <f>IF($C51+1&gt;P$7,0,IF($D51&gt;SUM($G51:O51),$D51/$E51,0))</f>
        <v>0</v>
      </c>
      <c r="Q51" s="276">
        <f>IF($C51+1&gt;Q$7,0,IF($D51&gt;SUM($G51:P51),$D51/$E51,0))</f>
        <v>0</v>
      </c>
      <c r="R51" s="276">
        <f ca="1">IF($C51+1&gt;R$7,0,IF($D51&gt;SUM($G51:Q51),$D51/$E51,0))</f>
        <v>0</v>
      </c>
      <c r="S51" s="276">
        <f ca="1">IF($C51+1&gt;S$7,0,IF($D51&gt;SUM($G51:R51),$D51/$E51,0))</f>
        <v>0</v>
      </c>
      <c r="T51" s="276">
        <f ca="1">IF($C51+1&gt;T$7,0,IF($D51&gt;SUM($G51:S51),$D51/$E51,0))</f>
        <v>0</v>
      </c>
      <c r="U51" s="276">
        <f ca="1">IF($C51+1&gt;U$7,0,IF($D51&gt;SUM($G51:T51),$D51/$E51,0))</f>
        <v>0</v>
      </c>
      <c r="V51" s="276">
        <f ca="1">IF($C51+1&gt;V$7,0,IF($D51&gt;SUM($G51:U51),$D51/$E51,0))</f>
        <v>0</v>
      </c>
      <c r="W51" s="276">
        <f ca="1">IF($C51+1&gt;W$7,0,IF($D51&gt;SUM($G51:V51),$D51/$E51,0))</f>
        <v>0</v>
      </c>
      <c r="X51" s="276">
        <f ca="1">IF($C51+1&gt;X$7,0,IF($D51&gt;SUM($G51:W51),$D51/$E51,0))</f>
        <v>0</v>
      </c>
      <c r="Y51" s="276">
        <f ca="1">IF($C51+1&gt;Y$7,0,IF($D51&gt;SUM($G51:X51),$D51/$E51,0))</f>
        <v>0</v>
      </c>
      <c r="Z51" s="276">
        <f ca="1">IF($C51+1&gt;Z$7,0,IF($D51&gt;SUM($G51:Y51),$D51/$E51,0))</f>
        <v>0</v>
      </c>
      <c r="AA51" s="276">
        <f ca="1">IF($C51+1&gt;AA$7,0,IF($D51&gt;SUM($G51:Z51),$D51/$E51,0))</f>
        <v>0</v>
      </c>
      <c r="AB51" s="276">
        <f ca="1">IF($C51+1&gt;AB$7,0,IF($D51&gt;SUM($G51:AA51),$D51/$E51,0))</f>
        <v>0</v>
      </c>
      <c r="AC51" s="276">
        <f ca="1">IF($C51+1&gt;AC$7,0,IF($D51&gt;SUM($G51:AB51),$D51/$E51,0))</f>
        <v>0</v>
      </c>
      <c r="AD51" s="276">
        <f ca="1">IF($C51+1&gt;AD$7,0,IF($D51&gt;SUM($G51:AC51),$D51/$E51,0))</f>
        <v>0</v>
      </c>
      <c r="AE51" s="276">
        <f ca="1">IF($C51+1&gt;AE$7,0,IF($D51&gt;SUM($G51:AD51),$D51/$E51,0))</f>
        <v>0</v>
      </c>
      <c r="AF51" s="276">
        <f ca="1">IF($C51+1&gt;AF$7,0,IF($D51&gt;SUM($G51:AE51),$D51/$E51,0))</f>
        <v>0</v>
      </c>
      <c r="AG51" s="276">
        <f ca="1">IF($C51+1&gt;AG$7,0,IF($D51&gt;SUM($G51:AF51),$D51/$E51,0))</f>
        <v>0</v>
      </c>
      <c r="AH51" s="276">
        <f ca="1">IF($C51+1&gt;AH$7,0,IF($D51&gt;SUM($G51:AG51),$D51/$E51,0))</f>
        <v>0</v>
      </c>
      <c r="AI51" s="276">
        <f ca="1">IF($C51+1&gt;AI$7,0,IF($D51&gt;SUM($G51:AH51),$D51/$E51,0))</f>
        <v>0</v>
      </c>
      <c r="AJ51" s="276">
        <f ca="1">IF($C51+1&gt;AJ$7,0,IF($D51&gt;SUM($G51:AI51),$D51/$E51,0))</f>
        <v>0</v>
      </c>
      <c r="AK51" s="276">
        <f ca="1">IF($C51+1&gt;AK$7,0,IF($D51&gt;SUM($G51:AJ51),$D51/$E51,0))</f>
        <v>0</v>
      </c>
      <c r="AL51" s="276">
        <f ca="1">IF($C51+1&gt;AL$7,0,IF($D51&gt;SUM($G51:AK51),$D51/$E51,0))</f>
        <v>0</v>
      </c>
      <c r="AM51" s="276">
        <f ca="1">IF($C51+1&gt;AM$7,0,IF($D51&gt;SUM($G51:AL51),$D51/$E51,0))</f>
        <v>0</v>
      </c>
      <c r="AN51" s="276">
        <f ca="1">IF($C51+1&gt;AN$7,0,IF($D51&gt;SUM($G51:AM51),$D51/$E51,0))</f>
        <v>0</v>
      </c>
      <c r="AO51" s="276">
        <f ca="1">IF($C51+1&gt;AO$7,0,IF($D51&gt;SUM($G51:AN51),$D51/$E51,0))</f>
        <v>0</v>
      </c>
      <c r="AP51" s="276">
        <f ca="1">IF($C51+1&gt;AP$7,0,IF($D51&gt;SUM($G51:AO51),$D51/$E51,0))</f>
        <v>0</v>
      </c>
      <c r="AQ51" s="276">
        <f ca="1">IF($C51+1&gt;AQ$7,0,IF($D51&gt;SUM($G51:AP51),$D51/$E51,0))</f>
        <v>0</v>
      </c>
      <c r="AR51" s="276">
        <f ca="1">IF($C51+1&gt;AR$7,0,IF($D51&gt;SUM($G51:AQ51),$D51/$E51,0))</f>
        <v>0</v>
      </c>
      <c r="AS51" s="276">
        <f ca="1">IF($C51+1&gt;AS$7,0,IF($D51&gt;SUM($G51:AR51),$D51/$E51,0))</f>
        <v>0</v>
      </c>
      <c r="AT51" s="276">
        <f ca="1">IF($C51+1&gt;AT$7,0,IF($D51&gt;SUM($G51:AS51),$D51/$E51,0))</f>
        <v>0</v>
      </c>
      <c r="AU51" s="276">
        <f ca="1">IF($C51+1&gt;AU$7,0,IF($D51&gt;SUM($G51:AT51),$D51/$E51,0))</f>
        <v>0</v>
      </c>
      <c r="AV51" s="276">
        <f ca="1">IF($C51+1&gt;AV$7,0,IF($D51&gt;SUM($G51:AU51),$D51/$E51,0))</f>
        <v>0</v>
      </c>
      <c r="AW51" s="276">
        <f ca="1">IF($C51+1&gt;AW$7,0,IF($D51&gt;SUM($G51:AV51),$D51/$E51,0))</f>
        <v>0</v>
      </c>
      <c r="AX51" s="276">
        <f ca="1">IF($C51+1&gt;AX$7,0,IF($D51&gt;SUM($G51:AW51),$D51/$E51,0))</f>
        <v>0</v>
      </c>
      <c r="AY51" s="276">
        <f ca="1">IF($C51+1&gt;AY$7,0,IF($D51&gt;SUM($G51:AX51),$D51/$E51,0))</f>
        <v>0</v>
      </c>
      <c r="AZ51" s="276">
        <f ca="1">IF($C51+1&gt;AZ$7,0,IF($D51&gt;SUM($G51:AY51),$D51/$E51,0))</f>
        <v>0</v>
      </c>
      <c r="BA51" s="276">
        <f ca="1">IF($C51+1&gt;BA$7,0,IF($D51&gt;SUM($G51:AZ51),$D51/$E51,0))</f>
        <v>0</v>
      </c>
      <c r="BB51" s="276">
        <f ca="1">IF($C51+1&gt;BB$7,0,IF($D51&gt;SUM($G51:BA51),$D51/$E51,0))</f>
        <v>0</v>
      </c>
      <c r="BC51" s="276">
        <f ca="1">IF($C51+1&gt;BC$7,0,IF($D51&gt;SUM($G51:BB51),$D51/$E51,0))</f>
        <v>0</v>
      </c>
      <c r="BD51" s="276">
        <f ca="1">IF($C51+1&gt;BD$7,0,IF($D51&gt;SUM($G51:BC51),$D51/$E51,0))</f>
        <v>0</v>
      </c>
      <c r="BE51" s="276">
        <f ca="1">IF($C51+1&gt;BE$7,0,IF($D51&gt;SUM($G51:BD51),$D51/$E51,0))</f>
        <v>0</v>
      </c>
      <c r="BF51" s="276">
        <f ca="1">IF($C51+1&gt;BF$7,0,IF($D51&gt;SUM($G51:BE51),$D51/$E51,0))</f>
        <v>0</v>
      </c>
      <c r="BG51" s="276">
        <f ca="1">IF($C51+1&gt;BG$7,0,IF($D51&gt;SUM($G51:BF51),$D51/$E51,0))</f>
        <v>0</v>
      </c>
      <c r="BH51" s="276">
        <f ca="1">IF($C51+1&gt;BH$7,0,IF($D51&gt;SUM($G51:BG51),$D51/$E51,0))</f>
        <v>0</v>
      </c>
      <c r="BI51" s="276">
        <f ca="1">IF($C51+1&gt;BI$7,0,IF($D51&gt;SUM($G51:BH51),$D51/$E51,0))</f>
        <v>0</v>
      </c>
      <c r="BJ51" s="276">
        <f ca="1">IF($C51+1&gt;BJ$7,0,IF($D51&gt;SUM($G51:BI51),$D51/$E51,0))</f>
        <v>0</v>
      </c>
      <c r="BK51" s="276">
        <f ca="1">IF($C51+1&gt;BK$7,0,IF($D51&gt;SUM($G51:BJ51),$D51/$E51,0))</f>
        <v>0</v>
      </c>
      <c r="BL51" s="276">
        <f ca="1">IF($C51+1&gt;BL$7,0,IF($D51&gt;SUM($G51:BK51),$D51/$E51,0))</f>
        <v>0</v>
      </c>
      <c r="BM51" s="276">
        <f ca="1">IF($C51+1&gt;BM$7,0,IF($D51&gt;SUM($G51:BL51),$D51/$E51,0))</f>
        <v>0</v>
      </c>
      <c r="BN51" s="276">
        <f ca="1">IF($C51+1&gt;BN$7,0,IF($D51&gt;SUM($G51:BM51),$D51/$E51,0))</f>
        <v>0</v>
      </c>
      <c r="BO51" s="276"/>
      <c r="BP51" s="276"/>
      <c r="BQ51" s="276"/>
      <c r="BR51" s="276"/>
      <c r="BS51" s="276"/>
      <c r="BT51" s="276"/>
      <c r="BU51" s="276"/>
      <c r="BV51" s="276"/>
      <c r="BW51" s="276"/>
      <c r="BX51" s="276"/>
      <c r="BY51" s="276"/>
      <c r="BZ51" s="276"/>
      <c r="CA51" s="254"/>
      <c r="CB51" s="254"/>
      <c r="CC51" s="254"/>
      <c r="CD51" s="254"/>
      <c r="CE51" s="254"/>
      <c r="CF51" s="254"/>
      <c r="CG51" s="254"/>
      <c r="CH51" s="254"/>
      <c r="CI51" s="254"/>
      <c r="CJ51" s="254"/>
      <c r="CK51" s="254"/>
      <c r="CL51" s="254"/>
    </row>
    <row r="52" spans="1:90" outlineLevel="1" x14ac:dyDescent="0.15">
      <c r="A52" s="272"/>
      <c r="B52" s="273"/>
      <c r="C52" s="275">
        <v>12</v>
      </c>
      <c r="D52" s="278">
        <f ca="1"/>
        <v>0</v>
      </c>
      <c r="E52" s="275">
        <f>SAP_Leadsheet!$E$50</f>
        <v>0</v>
      </c>
      <c r="F52" s="275"/>
      <c r="G52" s="276">
        <f>IF($C52+1&gt;G$7,0,IF($D52&gt;SUM(#REF!),$D52/$E52,0))</f>
        <v>0</v>
      </c>
      <c r="H52" s="276">
        <f>IF($C52+1&gt;H$7,0,IF($D52&gt;SUM($G52:G52),$D52/$E52,0))</f>
        <v>0</v>
      </c>
      <c r="I52" s="276">
        <f>IF($C52+1&gt;I$7,0,IF($D52&gt;SUM($G52:H52),$D52/$E52,0))</f>
        <v>0</v>
      </c>
      <c r="J52" s="276">
        <f>IF($C52+1&gt;J$7,0,IF($D52&gt;SUM($G52:I52),$D52/$E52,0))</f>
        <v>0</v>
      </c>
      <c r="K52" s="276">
        <f>IF($C52+1&gt;K$7,0,IF($D52&gt;SUM($G52:J52),$D52/$E52,0))</f>
        <v>0</v>
      </c>
      <c r="L52" s="276">
        <f>IF($C52+1&gt;L$7,0,IF($D52&gt;SUM($G52:K52),$D52/$E52,0))</f>
        <v>0</v>
      </c>
      <c r="M52" s="276">
        <f>IF($C52+1&gt;M$7,0,IF($D52&gt;SUM($G52:L52),$D52/$E52,0))</f>
        <v>0</v>
      </c>
      <c r="N52" s="276">
        <f>IF($C52+1&gt;N$7,0,IF($D52&gt;SUM($G52:M52),$D52/$E52,0))</f>
        <v>0</v>
      </c>
      <c r="O52" s="276">
        <f>IF($C52+1&gt;O$7,0,IF($D52&gt;SUM($G52:N52),$D52/$E52,0))</f>
        <v>0</v>
      </c>
      <c r="P52" s="276">
        <f>IF($C52+1&gt;P$7,0,IF($D52&gt;SUM($G52:O52),$D52/$E52,0))</f>
        <v>0</v>
      </c>
      <c r="Q52" s="276">
        <f>IF($C52+1&gt;Q$7,0,IF($D52&gt;SUM($G52:P52),$D52/$E52,0))</f>
        <v>0</v>
      </c>
      <c r="R52" s="276">
        <f>IF($C52+1&gt;R$7,0,IF($D52&gt;SUM($G52:Q52),$D52/$E52,0))</f>
        <v>0</v>
      </c>
      <c r="S52" s="276">
        <f ca="1">IF($C52+1&gt;S$7,0,IF($D52&gt;SUM($G52:R52),$D52/$E52,0))</f>
        <v>0</v>
      </c>
      <c r="T52" s="276">
        <f ca="1">IF($C52+1&gt;T$7,0,IF($D52&gt;SUM($G52:S52),$D52/$E52,0))</f>
        <v>0</v>
      </c>
      <c r="U52" s="276">
        <f ca="1">IF($C52+1&gt;U$7,0,IF($D52&gt;SUM($G52:T52),$D52/$E52,0))</f>
        <v>0</v>
      </c>
      <c r="V52" s="276">
        <f ca="1">IF($C52+1&gt;V$7,0,IF($D52&gt;SUM($G52:U52),$D52/$E52,0))</f>
        <v>0</v>
      </c>
      <c r="W52" s="276">
        <f ca="1">IF($C52+1&gt;W$7,0,IF($D52&gt;SUM($G52:V52),$D52/$E52,0))</f>
        <v>0</v>
      </c>
      <c r="X52" s="276">
        <f ca="1">IF($C52+1&gt;X$7,0,IF($D52&gt;SUM($G52:W52),$D52/$E52,0))</f>
        <v>0</v>
      </c>
      <c r="Y52" s="276">
        <f ca="1">IF($C52+1&gt;Y$7,0,IF($D52&gt;SUM($G52:X52),$D52/$E52,0))</f>
        <v>0</v>
      </c>
      <c r="Z52" s="276">
        <f ca="1">IF($C52+1&gt;Z$7,0,IF($D52&gt;SUM($G52:Y52),$D52/$E52,0))</f>
        <v>0</v>
      </c>
      <c r="AA52" s="276">
        <f ca="1">IF($C52+1&gt;AA$7,0,IF($D52&gt;SUM($G52:Z52),$D52/$E52,0))</f>
        <v>0</v>
      </c>
      <c r="AB52" s="276">
        <f ca="1">IF($C52+1&gt;AB$7,0,IF($D52&gt;SUM($G52:AA52),$D52/$E52,0))</f>
        <v>0</v>
      </c>
      <c r="AC52" s="276">
        <f ca="1">IF($C52+1&gt;AC$7,0,IF($D52&gt;SUM($G52:AB52),$D52/$E52,0))</f>
        <v>0</v>
      </c>
      <c r="AD52" s="276">
        <f ca="1">IF($C52+1&gt;AD$7,0,IF($D52&gt;SUM($G52:AC52),$D52/$E52,0))</f>
        <v>0</v>
      </c>
      <c r="AE52" s="276">
        <f ca="1">IF($C52+1&gt;AE$7,0,IF($D52&gt;SUM($G52:AD52),$D52/$E52,0))</f>
        <v>0</v>
      </c>
      <c r="AF52" s="276">
        <f ca="1">IF($C52+1&gt;AF$7,0,IF($D52&gt;SUM($G52:AE52),$D52/$E52,0))</f>
        <v>0</v>
      </c>
      <c r="AG52" s="276">
        <f ca="1">IF($C52+1&gt;AG$7,0,IF($D52&gt;SUM($G52:AF52),$D52/$E52,0))</f>
        <v>0</v>
      </c>
      <c r="AH52" s="276">
        <f ca="1">IF($C52+1&gt;AH$7,0,IF($D52&gt;SUM($G52:AG52),$D52/$E52,0))</f>
        <v>0</v>
      </c>
      <c r="AI52" s="276">
        <f ca="1">IF($C52+1&gt;AI$7,0,IF($D52&gt;SUM($G52:AH52),$D52/$E52,0))</f>
        <v>0</v>
      </c>
      <c r="AJ52" s="276">
        <f ca="1">IF($C52+1&gt;AJ$7,0,IF($D52&gt;SUM($G52:AI52),$D52/$E52,0))</f>
        <v>0</v>
      </c>
      <c r="AK52" s="276">
        <f ca="1">IF($C52+1&gt;AK$7,0,IF($D52&gt;SUM($G52:AJ52),$D52/$E52,0))</f>
        <v>0</v>
      </c>
      <c r="AL52" s="276">
        <f ca="1">IF($C52+1&gt;AL$7,0,IF($D52&gt;SUM($G52:AK52),$D52/$E52,0))</f>
        <v>0</v>
      </c>
      <c r="AM52" s="276">
        <f ca="1">IF($C52+1&gt;AM$7,0,IF($D52&gt;SUM($G52:AL52),$D52/$E52,0))</f>
        <v>0</v>
      </c>
      <c r="AN52" s="276">
        <f ca="1">IF($C52+1&gt;AN$7,0,IF($D52&gt;SUM($G52:AM52),$D52/$E52,0))</f>
        <v>0</v>
      </c>
      <c r="AO52" s="276">
        <f ca="1">IF($C52+1&gt;AO$7,0,IF($D52&gt;SUM($G52:AN52),$D52/$E52,0))</f>
        <v>0</v>
      </c>
      <c r="AP52" s="276">
        <f ca="1">IF($C52+1&gt;AP$7,0,IF($D52&gt;SUM($G52:AO52),$D52/$E52,0))</f>
        <v>0</v>
      </c>
      <c r="AQ52" s="276">
        <f ca="1">IF($C52+1&gt;AQ$7,0,IF($D52&gt;SUM($G52:AP52),$D52/$E52,0))</f>
        <v>0</v>
      </c>
      <c r="AR52" s="276">
        <f ca="1">IF($C52+1&gt;AR$7,0,IF($D52&gt;SUM($G52:AQ52),$D52/$E52,0))</f>
        <v>0</v>
      </c>
      <c r="AS52" s="276">
        <f ca="1">IF($C52+1&gt;AS$7,0,IF($D52&gt;SUM($G52:AR52),$D52/$E52,0))</f>
        <v>0</v>
      </c>
      <c r="AT52" s="276">
        <f ca="1">IF($C52+1&gt;AT$7,0,IF($D52&gt;SUM($G52:AS52),$D52/$E52,0))</f>
        <v>0</v>
      </c>
      <c r="AU52" s="276">
        <f ca="1">IF($C52+1&gt;AU$7,0,IF($D52&gt;SUM($G52:AT52),$D52/$E52,0))</f>
        <v>0</v>
      </c>
      <c r="AV52" s="276">
        <f ca="1">IF($C52+1&gt;AV$7,0,IF($D52&gt;SUM($G52:AU52),$D52/$E52,0))</f>
        <v>0</v>
      </c>
      <c r="AW52" s="276">
        <f ca="1">IF($C52+1&gt;AW$7,0,IF($D52&gt;SUM($G52:AV52),$D52/$E52,0))</f>
        <v>0</v>
      </c>
      <c r="AX52" s="276">
        <f ca="1">IF($C52+1&gt;AX$7,0,IF($D52&gt;SUM($G52:AW52),$D52/$E52,0))</f>
        <v>0</v>
      </c>
      <c r="AY52" s="276">
        <f ca="1">IF($C52+1&gt;AY$7,0,IF($D52&gt;SUM($G52:AX52),$D52/$E52,0))</f>
        <v>0</v>
      </c>
      <c r="AZ52" s="276">
        <f ca="1">IF($C52+1&gt;AZ$7,0,IF($D52&gt;SUM($G52:AY52),$D52/$E52,0))</f>
        <v>0</v>
      </c>
      <c r="BA52" s="276">
        <f ca="1">IF($C52+1&gt;BA$7,0,IF($D52&gt;SUM($G52:AZ52),$D52/$E52,0))</f>
        <v>0</v>
      </c>
      <c r="BB52" s="276">
        <f ca="1">IF($C52+1&gt;BB$7,0,IF($D52&gt;SUM($G52:BA52),$D52/$E52,0))</f>
        <v>0</v>
      </c>
      <c r="BC52" s="276">
        <f ca="1">IF($C52+1&gt;BC$7,0,IF($D52&gt;SUM($G52:BB52),$D52/$E52,0))</f>
        <v>0</v>
      </c>
      <c r="BD52" s="276">
        <f ca="1">IF($C52+1&gt;BD$7,0,IF($D52&gt;SUM($G52:BC52),$D52/$E52,0))</f>
        <v>0</v>
      </c>
      <c r="BE52" s="276">
        <f ca="1">IF($C52+1&gt;BE$7,0,IF($D52&gt;SUM($G52:BD52),$D52/$E52,0))</f>
        <v>0</v>
      </c>
      <c r="BF52" s="276">
        <f ca="1">IF($C52+1&gt;BF$7,0,IF($D52&gt;SUM($G52:BE52),$D52/$E52,0))</f>
        <v>0</v>
      </c>
      <c r="BG52" s="276">
        <f ca="1">IF($C52+1&gt;BG$7,0,IF($D52&gt;SUM($G52:BF52),$D52/$E52,0))</f>
        <v>0</v>
      </c>
      <c r="BH52" s="276">
        <f ca="1">IF($C52+1&gt;BH$7,0,IF($D52&gt;SUM($G52:BG52),$D52/$E52,0))</f>
        <v>0</v>
      </c>
      <c r="BI52" s="276">
        <f ca="1">IF($C52+1&gt;BI$7,0,IF($D52&gt;SUM($G52:BH52),$D52/$E52,0))</f>
        <v>0</v>
      </c>
      <c r="BJ52" s="276">
        <f ca="1">IF($C52+1&gt;BJ$7,0,IF($D52&gt;SUM($G52:BI52),$D52/$E52,0))</f>
        <v>0</v>
      </c>
      <c r="BK52" s="276">
        <f ca="1">IF($C52+1&gt;BK$7,0,IF($D52&gt;SUM($G52:BJ52),$D52/$E52,0))</f>
        <v>0</v>
      </c>
      <c r="BL52" s="276">
        <f ca="1">IF($C52+1&gt;BL$7,0,IF($D52&gt;SUM($G52:BK52),$D52/$E52,0))</f>
        <v>0</v>
      </c>
      <c r="BM52" s="276">
        <f ca="1">IF($C52+1&gt;BM$7,0,IF($D52&gt;SUM($G52:BL52),$D52/$E52,0))</f>
        <v>0</v>
      </c>
      <c r="BN52" s="276">
        <f ca="1">IF($C52+1&gt;BN$7,0,IF($D52&gt;SUM($G52:BM52),$D52/$E52,0))</f>
        <v>0</v>
      </c>
      <c r="BO52" s="276"/>
      <c r="BP52" s="276"/>
      <c r="BQ52" s="276"/>
      <c r="BR52" s="276"/>
      <c r="BS52" s="276"/>
      <c r="BT52" s="276"/>
      <c r="BU52" s="276"/>
      <c r="BV52" s="276"/>
      <c r="BW52" s="276"/>
      <c r="BX52" s="276"/>
      <c r="BY52" s="276"/>
      <c r="BZ52" s="276"/>
      <c r="CA52" s="254"/>
      <c r="CB52" s="254"/>
      <c r="CC52" s="254"/>
      <c r="CD52" s="254"/>
      <c r="CE52" s="254"/>
      <c r="CF52" s="254"/>
      <c r="CG52" s="254"/>
      <c r="CH52" s="254"/>
      <c r="CI52" s="254"/>
      <c r="CJ52" s="254"/>
      <c r="CK52" s="254"/>
      <c r="CL52" s="254"/>
    </row>
    <row r="53" spans="1:90" outlineLevel="1" x14ac:dyDescent="0.15">
      <c r="A53" s="272"/>
      <c r="B53" s="273"/>
      <c r="C53" s="275">
        <v>13</v>
      </c>
      <c r="D53" s="278">
        <f ca="1"/>
        <v>0</v>
      </c>
      <c r="E53" s="275">
        <f>SAP_Leadsheet!$E$50</f>
        <v>0</v>
      </c>
      <c r="F53" s="275"/>
      <c r="G53" s="276">
        <f>IF($C53+1&gt;G$7,0,IF($D53&gt;SUM(#REF!),$D53/$E53,0))</f>
        <v>0</v>
      </c>
      <c r="H53" s="276">
        <f>IF($C53+1&gt;H$7,0,IF($D53&gt;SUM($G53:G53),$D53/$E53,0))</f>
        <v>0</v>
      </c>
      <c r="I53" s="276">
        <f>IF($C53+1&gt;I$7,0,IF($D53&gt;SUM($G53:H53),$D53/$E53,0))</f>
        <v>0</v>
      </c>
      <c r="J53" s="276">
        <f>IF($C53+1&gt;J$7,0,IF($D53&gt;SUM($G53:I53),$D53/$E53,0))</f>
        <v>0</v>
      </c>
      <c r="K53" s="276">
        <f>IF($C53+1&gt;K$7,0,IF($D53&gt;SUM($G53:J53),$D53/$E53,0))</f>
        <v>0</v>
      </c>
      <c r="L53" s="276">
        <f>IF($C53+1&gt;L$7,0,IF($D53&gt;SUM($G53:K53),$D53/$E53,0))</f>
        <v>0</v>
      </c>
      <c r="M53" s="276">
        <f>IF($C53+1&gt;M$7,0,IF($D53&gt;SUM($G53:L53),$D53/$E53,0))</f>
        <v>0</v>
      </c>
      <c r="N53" s="276">
        <f>IF($C53+1&gt;N$7,0,IF($D53&gt;SUM($G53:M53),$D53/$E53,0))</f>
        <v>0</v>
      </c>
      <c r="O53" s="276">
        <f>IF($C53+1&gt;O$7,0,IF($D53&gt;SUM($G53:N53),$D53/$E53,0))</f>
        <v>0</v>
      </c>
      <c r="P53" s="276">
        <f>IF($C53+1&gt;P$7,0,IF($D53&gt;SUM($G53:O53),$D53/$E53,0))</f>
        <v>0</v>
      </c>
      <c r="Q53" s="276">
        <f>IF($C53+1&gt;Q$7,0,IF($D53&gt;SUM($G53:P53),$D53/$E53,0))</f>
        <v>0</v>
      </c>
      <c r="R53" s="276">
        <f>IF($C53+1&gt;R$7,0,IF($D53&gt;SUM($G53:Q53),$D53/$E53,0))</f>
        <v>0</v>
      </c>
      <c r="S53" s="276">
        <f>IF($C53+1&gt;S$7,0,IF($D53&gt;SUM($G53:R53),$D53/$E53,0))</f>
        <v>0</v>
      </c>
      <c r="T53" s="276">
        <f ca="1">IF($C53+1&gt;T$7,0,IF($D53&gt;SUM($G53:S53),$D53/$E53,0))</f>
        <v>0</v>
      </c>
      <c r="U53" s="276">
        <f ca="1">IF($C53+1&gt;U$7,0,IF($D53&gt;SUM($G53:T53),$D53/$E53,0))</f>
        <v>0</v>
      </c>
      <c r="V53" s="276">
        <f ca="1">IF($C53+1&gt;V$7,0,IF($D53&gt;SUM($G53:U53),$D53/$E53,0))</f>
        <v>0</v>
      </c>
      <c r="W53" s="276">
        <f ca="1">IF($C53+1&gt;W$7,0,IF($D53&gt;SUM($G53:V53),$D53/$E53,0))</f>
        <v>0</v>
      </c>
      <c r="X53" s="276">
        <f ca="1">IF($C53+1&gt;X$7,0,IF($D53&gt;SUM($G53:W53),$D53/$E53,0))</f>
        <v>0</v>
      </c>
      <c r="Y53" s="276">
        <f ca="1">IF($C53+1&gt;Y$7,0,IF($D53&gt;SUM($G53:X53),$D53/$E53,0))</f>
        <v>0</v>
      </c>
      <c r="Z53" s="276">
        <f ca="1">IF($C53+1&gt;Z$7,0,IF($D53&gt;SUM($G53:Y53),$D53/$E53,0))</f>
        <v>0</v>
      </c>
      <c r="AA53" s="276">
        <f ca="1">IF($C53+1&gt;AA$7,0,IF($D53&gt;SUM($G53:Z53),$D53/$E53,0))</f>
        <v>0</v>
      </c>
      <c r="AB53" s="276">
        <f ca="1">IF($C53+1&gt;AB$7,0,IF($D53&gt;SUM($G53:AA53),$D53/$E53,0))</f>
        <v>0</v>
      </c>
      <c r="AC53" s="276">
        <f ca="1">IF($C53+1&gt;AC$7,0,IF($D53&gt;SUM($G53:AB53),$D53/$E53,0))</f>
        <v>0</v>
      </c>
      <c r="AD53" s="276">
        <f ca="1">IF($C53+1&gt;AD$7,0,IF($D53&gt;SUM($G53:AC53),$D53/$E53,0))</f>
        <v>0</v>
      </c>
      <c r="AE53" s="276">
        <f ca="1">IF($C53+1&gt;AE$7,0,IF($D53&gt;SUM($G53:AD53),$D53/$E53,0))</f>
        <v>0</v>
      </c>
      <c r="AF53" s="276">
        <f ca="1">IF($C53+1&gt;AF$7,0,IF($D53&gt;SUM($G53:AE53),$D53/$E53,0))</f>
        <v>0</v>
      </c>
      <c r="AG53" s="276">
        <f ca="1">IF($C53+1&gt;AG$7,0,IF($D53&gt;SUM($G53:AF53),$D53/$E53,0))</f>
        <v>0</v>
      </c>
      <c r="AH53" s="276">
        <f ca="1">IF($C53+1&gt;AH$7,0,IF($D53&gt;SUM($G53:AG53),$D53/$E53,0))</f>
        <v>0</v>
      </c>
      <c r="AI53" s="276">
        <f ca="1">IF($C53+1&gt;AI$7,0,IF($D53&gt;SUM($G53:AH53),$D53/$E53,0))</f>
        <v>0</v>
      </c>
      <c r="AJ53" s="276">
        <f ca="1">IF($C53+1&gt;AJ$7,0,IF($D53&gt;SUM($G53:AI53),$D53/$E53,0))</f>
        <v>0</v>
      </c>
      <c r="AK53" s="276">
        <f ca="1">IF($C53+1&gt;AK$7,0,IF($D53&gt;SUM($G53:AJ53),$D53/$E53,0))</f>
        <v>0</v>
      </c>
      <c r="AL53" s="276">
        <f ca="1">IF($C53+1&gt;AL$7,0,IF($D53&gt;SUM($G53:AK53),$D53/$E53,0))</f>
        <v>0</v>
      </c>
      <c r="AM53" s="276">
        <f ca="1">IF($C53+1&gt;AM$7,0,IF($D53&gt;SUM($G53:AL53),$D53/$E53,0))</f>
        <v>0</v>
      </c>
      <c r="AN53" s="276">
        <f ca="1">IF($C53+1&gt;AN$7,0,IF($D53&gt;SUM($G53:AM53),$D53/$E53,0))</f>
        <v>0</v>
      </c>
      <c r="AO53" s="276">
        <f ca="1">IF($C53+1&gt;AO$7,0,IF($D53&gt;SUM($G53:AN53),$D53/$E53,0))</f>
        <v>0</v>
      </c>
      <c r="AP53" s="276">
        <f ca="1">IF($C53+1&gt;AP$7,0,IF($D53&gt;SUM($G53:AO53),$D53/$E53,0))</f>
        <v>0</v>
      </c>
      <c r="AQ53" s="276">
        <f ca="1">IF($C53+1&gt;AQ$7,0,IF($D53&gt;SUM($G53:AP53),$D53/$E53,0))</f>
        <v>0</v>
      </c>
      <c r="AR53" s="276">
        <f ca="1">IF($C53+1&gt;AR$7,0,IF($D53&gt;SUM($G53:AQ53),$D53/$E53,0))</f>
        <v>0</v>
      </c>
      <c r="AS53" s="276">
        <f ca="1">IF($C53+1&gt;AS$7,0,IF($D53&gt;SUM($G53:AR53),$D53/$E53,0))</f>
        <v>0</v>
      </c>
      <c r="AT53" s="276">
        <f ca="1">IF($C53+1&gt;AT$7,0,IF($D53&gt;SUM($G53:AS53),$D53/$E53,0))</f>
        <v>0</v>
      </c>
      <c r="AU53" s="276">
        <f ca="1">IF($C53+1&gt;AU$7,0,IF($D53&gt;SUM($G53:AT53),$D53/$E53,0))</f>
        <v>0</v>
      </c>
      <c r="AV53" s="276">
        <f ca="1">IF($C53+1&gt;AV$7,0,IF($D53&gt;SUM($G53:AU53),$D53/$E53,0))</f>
        <v>0</v>
      </c>
      <c r="AW53" s="276">
        <f ca="1">IF($C53+1&gt;AW$7,0,IF($D53&gt;SUM($G53:AV53),$D53/$E53,0))</f>
        <v>0</v>
      </c>
      <c r="AX53" s="276">
        <f ca="1">IF($C53+1&gt;AX$7,0,IF($D53&gt;SUM($G53:AW53),$D53/$E53,0))</f>
        <v>0</v>
      </c>
      <c r="AY53" s="276">
        <f ca="1">IF($C53+1&gt;AY$7,0,IF($D53&gt;SUM($G53:AX53),$D53/$E53,0))</f>
        <v>0</v>
      </c>
      <c r="AZ53" s="276">
        <f ca="1">IF($C53+1&gt;AZ$7,0,IF($D53&gt;SUM($G53:AY53),$D53/$E53,0))</f>
        <v>0</v>
      </c>
      <c r="BA53" s="276">
        <f ca="1">IF($C53+1&gt;BA$7,0,IF($D53&gt;SUM($G53:AZ53),$D53/$E53,0))</f>
        <v>0</v>
      </c>
      <c r="BB53" s="276">
        <f ca="1">IF($C53+1&gt;BB$7,0,IF($D53&gt;SUM($G53:BA53),$D53/$E53,0))</f>
        <v>0</v>
      </c>
      <c r="BC53" s="276">
        <f ca="1">IF($C53+1&gt;BC$7,0,IF($D53&gt;SUM($G53:BB53),$D53/$E53,0))</f>
        <v>0</v>
      </c>
      <c r="BD53" s="276">
        <f ca="1">IF($C53+1&gt;BD$7,0,IF($D53&gt;SUM($G53:BC53),$D53/$E53,0))</f>
        <v>0</v>
      </c>
      <c r="BE53" s="276">
        <f ca="1">IF($C53+1&gt;BE$7,0,IF($D53&gt;SUM($G53:BD53),$D53/$E53,0))</f>
        <v>0</v>
      </c>
      <c r="BF53" s="276">
        <f ca="1">IF($C53+1&gt;BF$7,0,IF($D53&gt;SUM($G53:BE53),$D53/$E53,0))</f>
        <v>0</v>
      </c>
      <c r="BG53" s="276">
        <f ca="1">IF($C53+1&gt;BG$7,0,IF($D53&gt;SUM($G53:BF53),$D53/$E53,0))</f>
        <v>0</v>
      </c>
      <c r="BH53" s="276">
        <f ca="1">IF($C53+1&gt;BH$7,0,IF($D53&gt;SUM($G53:BG53),$D53/$E53,0))</f>
        <v>0</v>
      </c>
      <c r="BI53" s="276">
        <f ca="1">IF($C53+1&gt;BI$7,0,IF($D53&gt;SUM($G53:BH53),$D53/$E53,0))</f>
        <v>0</v>
      </c>
      <c r="BJ53" s="276">
        <f ca="1">IF($C53+1&gt;BJ$7,0,IF($D53&gt;SUM($G53:BI53),$D53/$E53,0))</f>
        <v>0</v>
      </c>
      <c r="BK53" s="276">
        <f ca="1">IF($C53+1&gt;BK$7,0,IF($D53&gt;SUM($G53:BJ53),$D53/$E53,0))</f>
        <v>0</v>
      </c>
      <c r="BL53" s="276">
        <f ca="1">IF($C53+1&gt;BL$7,0,IF($D53&gt;SUM($G53:BK53),$D53/$E53,0))</f>
        <v>0</v>
      </c>
      <c r="BM53" s="276">
        <f ca="1">IF($C53+1&gt;BM$7,0,IF($D53&gt;SUM($G53:BL53),$D53/$E53,0))</f>
        <v>0</v>
      </c>
      <c r="BN53" s="276">
        <f ca="1">IF($C53+1&gt;BN$7,0,IF($D53&gt;SUM($G53:BM53),$D53/$E53,0))</f>
        <v>0</v>
      </c>
      <c r="BO53" s="276"/>
      <c r="BP53" s="276"/>
      <c r="BQ53" s="276"/>
      <c r="BR53" s="276"/>
      <c r="BS53" s="276"/>
      <c r="BT53" s="276"/>
      <c r="BU53" s="276"/>
      <c r="BV53" s="276"/>
      <c r="BW53" s="276"/>
      <c r="BX53" s="276"/>
      <c r="BY53" s="276"/>
      <c r="BZ53" s="276"/>
      <c r="CA53" s="254"/>
      <c r="CB53" s="254"/>
      <c r="CC53" s="254"/>
      <c r="CD53" s="254"/>
      <c r="CE53" s="254"/>
      <c r="CF53" s="254"/>
      <c r="CG53" s="254"/>
      <c r="CH53" s="254"/>
      <c r="CI53" s="254"/>
      <c r="CJ53" s="254"/>
      <c r="CK53" s="254"/>
      <c r="CL53" s="254"/>
    </row>
    <row r="54" spans="1:90" outlineLevel="1" x14ac:dyDescent="0.15">
      <c r="A54" s="272"/>
      <c r="B54" s="273"/>
      <c r="C54" s="275">
        <v>14</v>
      </c>
      <c r="D54" s="278">
        <f ca="1"/>
        <v>0</v>
      </c>
      <c r="E54" s="275">
        <f>SAP_Leadsheet!$E$50</f>
        <v>0</v>
      </c>
      <c r="F54" s="275"/>
      <c r="G54" s="276">
        <f>IF($C54+1&gt;G$7,0,IF($D54&gt;SUM(#REF!),$D54/$E54,0))</f>
        <v>0</v>
      </c>
      <c r="H54" s="276">
        <f>IF($C54+1&gt;H$7,0,IF($D54&gt;SUM($G54:G54),$D54/$E54,0))</f>
        <v>0</v>
      </c>
      <c r="I54" s="276">
        <f>IF($C54+1&gt;I$7,0,IF($D54&gt;SUM($G54:H54),$D54/$E54,0))</f>
        <v>0</v>
      </c>
      <c r="J54" s="276">
        <f>IF($C54+1&gt;J$7,0,IF($D54&gt;SUM($G54:I54),$D54/$E54,0))</f>
        <v>0</v>
      </c>
      <c r="K54" s="276">
        <f>IF($C54+1&gt;K$7,0,IF($D54&gt;SUM($G54:J54),$D54/$E54,0))</f>
        <v>0</v>
      </c>
      <c r="L54" s="276">
        <f>IF($C54+1&gt;L$7,0,IF($D54&gt;SUM($G54:K54),$D54/$E54,0))</f>
        <v>0</v>
      </c>
      <c r="M54" s="276">
        <f>IF($C54+1&gt;M$7,0,IF($D54&gt;SUM($G54:L54),$D54/$E54,0))</f>
        <v>0</v>
      </c>
      <c r="N54" s="276">
        <f>IF($C54+1&gt;N$7,0,IF($D54&gt;SUM($G54:M54),$D54/$E54,0))</f>
        <v>0</v>
      </c>
      <c r="O54" s="276">
        <f>IF($C54+1&gt;O$7,0,IF($D54&gt;SUM($G54:N54),$D54/$E54,0))</f>
        <v>0</v>
      </c>
      <c r="P54" s="276">
        <f>IF($C54+1&gt;P$7,0,IF($D54&gt;SUM($G54:O54),$D54/$E54,0))</f>
        <v>0</v>
      </c>
      <c r="Q54" s="276">
        <f>IF($C54+1&gt;Q$7,0,IF($D54&gt;SUM($G54:P54),$D54/$E54,0))</f>
        <v>0</v>
      </c>
      <c r="R54" s="276">
        <f>IF($C54+1&gt;R$7,0,IF($D54&gt;SUM($G54:Q54),$D54/$E54,0))</f>
        <v>0</v>
      </c>
      <c r="S54" s="276">
        <f>IF($C54+1&gt;S$7,0,IF($D54&gt;SUM($G54:R54),$D54/$E54,0))</f>
        <v>0</v>
      </c>
      <c r="T54" s="276">
        <f>IF($C54+1&gt;T$7,0,IF($D54&gt;SUM($G54:S54),$D54/$E54,0))</f>
        <v>0</v>
      </c>
      <c r="U54" s="276">
        <f ca="1">IF($C54+1&gt;U$7,0,IF($D54&gt;SUM($G54:T54),$D54/$E54,0))</f>
        <v>0</v>
      </c>
      <c r="V54" s="276">
        <f ca="1">IF($C54+1&gt;V$7,0,IF($D54&gt;SUM($G54:U54),$D54/$E54,0))</f>
        <v>0</v>
      </c>
      <c r="W54" s="276">
        <f ca="1">IF($C54+1&gt;W$7,0,IF($D54&gt;SUM($G54:V54),$D54/$E54,0))</f>
        <v>0</v>
      </c>
      <c r="X54" s="276">
        <f ca="1">IF($C54+1&gt;X$7,0,IF($D54&gt;SUM($G54:W54),$D54/$E54,0))</f>
        <v>0</v>
      </c>
      <c r="Y54" s="276">
        <f ca="1">IF($C54+1&gt;Y$7,0,IF($D54&gt;SUM($G54:X54),$D54/$E54,0))</f>
        <v>0</v>
      </c>
      <c r="Z54" s="276">
        <f ca="1">IF($C54+1&gt;Z$7,0,IF($D54&gt;SUM($G54:Y54),$D54/$E54,0))</f>
        <v>0</v>
      </c>
      <c r="AA54" s="276">
        <f ca="1">IF($C54+1&gt;AA$7,0,IF($D54&gt;SUM($G54:Z54),$D54/$E54,0))</f>
        <v>0</v>
      </c>
      <c r="AB54" s="276">
        <f ca="1">IF($C54+1&gt;AB$7,0,IF($D54&gt;SUM($G54:AA54),$D54/$E54,0))</f>
        <v>0</v>
      </c>
      <c r="AC54" s="276">
        <f ca="1">IF($C54+1&gt;AC$7,0,IF($D54&gt;SUM($G54:AB54),$D54/$E54,0))</f>
        <v>0</v>
      </c>
      <c r="AD54" s="276">
        <f ca="1">IF($C54+1&gt;AD$7,0,IF($D54&gt;SUM($G54:AC54),$D54/$E54,0))</f>
        <v>0</v>
      </c>
      <c r="AE54" s="276">
        <f ca="1">IF($C54+1&gt;AE$7,0,IF($D54&gt;SUM($G54:AD54),$D54/$E54,0))</f>
        <v>0</v>
      </c>
      <c r="AF54" s="276">
        <f ca="1">IF($C54+1&gt;AF$7,0,IF($D54&gt;SUM($G54:AE54),$D54/$E54,0))</f>
        <v>0</v>
      </c>
      <c r="AG54" s="276">
        <f ca="1">IF($C54+1&gt;AG$7,0,IF($D54&gt;SUM($G54:AF54),$D54/$E54,0))</f>
        <v>0</v>
      </c>
      <c r="AH54" s="276">
        <f ca="1">IF($C54+1&gt;AH$7,0,IF($D54&gt;SUM($G54:AG54),$D54/$E54,0))</f>
        <v>0</v>
      </c>
      <c r="AI54" s="276">
        <f ca="1">IF($C54+1&gt;AI$7,0,IF($D54&gt;SUM($G54:AH54),$D54/$E54,0))</f>
        <v>0</v>
      </c>
      <c r="AJ54" s="276">
        <f ca="1">IF($C54+1&gt;AJ$7,0,IF($D54&gt;SUM($G54:AI54),$D54/$E54,0))</f>
        <v>0</v>
      </c>
      <c r="AK54" s="276">
        <f ca="1">IF($C54+1&gt;AK$7,0,IF($D54&gt;SUM($G54:AJ54),$D54/$E54,0))</f>
        <v>0</v>
      </c>
      <c r="AL54" s="276">
        <f ca="1">IF($C54+1&gt;AL$7,0,IF($D54&gt;SUM($G54:AK54),$D54/$E54,0))</f>
        <v>0</v>
      </c>
      <c r="AM54" s="276">
        <f ca="1">IF($C54+1&gt;AM$7,0,IF($D54&gt;SUM($G54:AL54),$D54/$E54,0))</f>
        <v>0</v>
      </c>
      <c r="AN54" s="276">
        <f ca="1">IF($C54+1&gt;AN$7,0,IF($D54&gt;SUM($G54:AM54),$D54/$E54,0))</f>
        <v>0</v>
      </c>
      <c r="AO54" s="276">
        <f ca="1">IF($C54+1&gt;AO$7,0,IF($D54&gt;SUM($G54:AN54),$D54/$E54,0))</f>
        <v>0</v>
      </c>
      <c r="AP54" s="276">
        <f ca="1">IF($C54+1&gt;AP$7,0,IF($D54&gt;SUM($G54:AO54),$D54/$E54,0))</f>
        <v>0</v>
      </c>
      <c r="AQ54" s="276">
        <f ca="1">IF($C54+1&gt;AQ$7,0,IF($D54&gt;SUM($G54:AP54),$D54/$E54,0))</f>
        <v>0</v>
      </c>
      <c r="AR54" s="276">
        <f ca="1">IF($C54+1&gt;AR$7,0,IF($D54&gt;SUM($G54:AQ54),$D54/$E54,0))</f>
        <v>0</v>
      </c>
      <c r="AS54" s="276">
        <f ca="1">IF($C54+1&gt;AS$7,0,IF($D54&gt;SUM($G54:AR54),$D54/$E54,0))</f>
        <v>0</v>
      </c>
      <c r="AT54" s="276">
        <f ca="1">IF($C54+1&gt;AT$7,0,IF($D54&gt;SUM($G54:AS54),$D54/$E54,0))</f>
        <v>0</v>
      </c>
      <c r="AU54" s="276">
        <f ca="1">IF($C54+1&gt;AU$7,0,IF($D54&gt;SUM($G54:AT54),$D54/$E54,0))</f>
        <v>0</v>
      </c>
      <c r="AV54" s="276">
        <f ca="1">IF($C54+1&gt;AV$7,0,IF($D54&gt;SUM($G54:AU54),$D54/$E54,0))</f>
        <v>0</v>
      </c>
      <c r="AW54" s="276">
        <f ca="1">IF($C54+1&gt;AW$7,0,IF($D54&gt;SUM($G54:AV54),$D54/$E54,0))</f>
        <v>0</v>
      </c>
      <c r="AX54" s="276">
        <f ca="1">IF($C54+1&gt;AX$7,0,IF($D54&gt;SUM($G54:AW54),$D54/$E54,0))</f>
        <v>0</v>
      </c>
      <c r="AY54" s="276">
        <f ca="1">IF($C54+1&gt;AY$7,0,IF($D54&gt;SUM($G54:AX54),$D54/$E54,0))</f>
        <v>0</v>
      </c>
      <c r="AZ54" s="276">
        <f ca="1">IF($C54+1&gt;AZ$7,0,IF($D54&gt;SUM($G54:AY54),$D54/$E54,0))</f>
        <v>0</v>
      </c>
      <c r="BA54" s="276">
        <f ca="1">IF($C54+1&gt;BA$7,0,IF($D54&gt;SUM($G54:AZ54),$D54/$E54,0))</f>
        <v>0</v>
      </c>
      <c r="BB54" s="276">
        <f ca="1">IF($C54+1&gt;BB$7,0,IF($D54&gt;SUM($G54:BA54),$D54/$E54,0))</f>
        <v>0</v>
      </c>
      <c r="BC54" s="276">
        <f ca="1">IF($C54+1&gt;BC$7,0,IF($D54&gt;SUM($G54:BB54),$D54/$E54,0))</f>
        <v>0</v>
      </c>
      <c r="BD54" s="276">
        <f ca="1">IF($C54+1&gt;BD$7,0,IF($D54&gt;SUM($G54:BC54),$D54/$E54,0))</f>
        <v>0</v>
      </c>
      <c r="BE54" s="276">
        <f ca="1">IF($C54+1&gt;BE$7,0,IF($D54&gt;SUM($G54:BD54),$D54/$E54,0))</f>
        <v>0</v>
      </c>
      <c r="BF54" s="276">
        <f ca="1">IF($C54+1&gt;BF$7,0,IF($D54&gt;SUM($G54:BE54),$D54/$E54,0))</f>
        <v>0</v>
      </c>
      <c r="BG54" s="276">
        <f ca="1">IF($C54+1&gt;BG$7,0,IF($D54&gt;SUM($G54:BF54),$D54/$E54,0))</f>
        <v>0</v>
      </c>
      <c r="BH54" s="276">
        <f ca="1">IF($C54+1&gt;BH$7,0,IF($D54&gt;SUM($G54:BG54),$D54/$E54,0))</f>
        <v>0</v>
      </c>
      <c r="BI54" s="276">
        <f ca="1">IF($C54+1&gt;BI$7,0,IF($D54&gt;SUM($G54:BH54),$D54/$E54,0))</f>
        <v>0</v>
      </c>
      <c r="BJ54" s="276">
        <f ca="1">IF($C54+1&gt;BJ$7,0,IF($D54&gt;SUM($G54:BI54),$D54/$E54,0))</f>
        <v>0</v>
      </c>
      <c r="BK54" s="276">
        <f ca="1">IF($C54+1&gt;BK$7,0,IF($D54&gt;SUM($G54:BJ54),$D54/$E54,0))</f>
        <v>0</v>
      </c>
      <c r="BL54" s="276">
        <f ca="1">IF($C54+1&gt;BL$7,0,IF($D54&gt;SUM($G54:BK54),$D54/$E54,0))</f>
        <v>0</v>
      </c>
      <c r="BM54" s="276">
        <f ca="1">IF($C54+1&gt;BM$7,0,IF($D54&gt;SUM($G54:BL54),$D54/$E54,0))</f>
        <v>0</v>
      </c>
      <c r="BN54" s="276">
        <f ca="1">IF($C54+1&gt;BN$7,0,IF($D54&gt;SUM($G54:BM54),$D54/$E54,0))</f>
        <v>0</v>
      </c>
      <c r="BO54" s="276"/>
      <c r="BP54" s="276"/>
      <c r="BQ54" s="276"/>
      <c r="BR54" s="276"/>
      <c r="BS54" s="276"/>
      <c r="BT54" s="276"/>
      <c r="BU54" s="276"/>
      <c r="BV54" s="276"/>
      <c r="BW54" s="276"/>
      <c r="BX54" s="276"/>
      <c r="BY54" s="276"/>
      <c r="BZ54" s="276"/>
      <c r="CA54" s="254"/>
      <c r="CB54" s="254"/>
      <c r="CC54" s="254"/>
      <c r="CD54" s="254"/>
      <c r="CE54" s="254"/>
      <c r="CF54" s="254"/>
      <c r="CG54" s="254"/>
      <c r="CH54" s="254"/>
      <c r="CI54" s="254"/>
      <c r="CJ54" s="254"/>
      <c r="CK54" s="254"/>
      <c r="CL54" s="254"/>
    </row>
    <row r="55" spans="1:90" outlineLevel="1" x14ac:dyDescent="0.15">
      <c r="A55" s="272"/>
      <c r="B55" s="273"/>
      <c r="C55" s="275">
        <v>15</v>
      </c>
      <c r="D55" s="278">
        <f ca="1"/>
        <v>0</v>
      </c>
      <c r="E55" s="275">
        <f>SAP_Leadsheet!$E$50</f>
        <v>0</v>
      </c>
      <c r="F55" s="275"/>
      <c r="G55" s="276">
        <f>IF($C55+1&gt;G$7,0,IF($D55&gt;SUM(#REF!),$D55/$E55,0))</f>
        <v>0</v>
      </c>
      <c r="H55" s="276">
        <f>IF($C55+1&gt;H$7,0,IF($D55&gt;SUM($G55:G55),$D55/$E55,0))</f>
        <v>0</v>
      </c>
      <c r="I55" s="276">
        <f>IF($C55+1&gt;I$7,0,IF($D55&gt;SUM($G55:H55),$D55/$E55,0))</f>
        <v>0</v>
      </c>
      <c r="J55" s="276">
        <f>IF($C55+1&gt;J$7,0,IF($D55&gt;SUM($G55:I55),$D55/$E55,0))</f>
        <v>0</v>
      </c>
      <c r="K55" s="276">
        <f>IF($C55+1&gt;K$7,0,IF($D55&gt;SUM($G55:J55),$D55/$E55,0))</f>
        <v>0</v>
      </c>
      <c r="L55" s="276">
        <f>IF($C55+1&gt;L$7,0,IF($D55&gt;SUM($G55:K55),$D55/$E55,0))</f>
        <v>0</v>
      </c>
      <c r="M55" s="276">
        <f>IF($C55+1&gt;M$7,0,IF($D55&gt;SUM($G55:L55),$D55/$E55,0))</f>
        <v>0</v>
      </c>
      <c r="N55" s="276">
        <f>IF($C55+1&gt;N$7,0,IF($D55&gt;SUM($G55:M55),$D55/$E55,0))</f>
        <v>0</v>
      </c>
      <c r="O55" s="276">
        <f>IF($C55+1&gt;O$7,0,IF($D55&gt;SUM($G55:N55),$D55/$E55,0))</f>
        <v>0</v>
      </c>
      <c r="P55" s="276">
        <f>IF($C55+1&gt;P$7,0,IF($D55&gt;SUM($G55:O55),$D55/$E55,0))</f>
        <v>0</v>
      </c>
      <c r="Q55" s="276">
        <f>IF($C55+1&gt;Q$7,0,IF($D55&gt;SUM($G55:P55),$D55/$E55,0))</f>
        <v>0</v>
      </c>
      <c r="R55" s="276">
        <f>IF($C55+1&gt;R$7,0,IF($D55&gt;SUM($G55:Q55),$D55/$E55,0))</f>
        <v>0</v>
      </c>
      <c r="S55" s="276">
        <f>IF($C55+1&gt;S$7,0,IF($D55&gt;SUM($G55:R55),$D55/$E55,0))</f>
        <v>0</v>
      </c>
      <c r="T55" s="276">
        <f>IF($C55+1&gt;T$7,0,IF($D55&gt;SUM($G55:S55),$D55/$E55,0))</f>
        <v>0</v>
      </c>
      <c r="U55" s="276">
        <f>IF($C55+1&gt;U$7,0,IF($D55&gt;SUM($G55:T55),$D55/$E55,0))</f>
        <v>0</v>
      </c>
      <c r="V55" s="276">
        <f ca="1">IF($C55+1&gt;V$7,0,IF($D55&gt;SUM($G55:U55),$D55/$E55,0))</f>
        <v>0</v>
      </c>
      <c r="W55" s="276">
        <f ca="1">IF($C55+1&gt;W$7,0,IF($D55&gt;SUM($G55:V55),$D55/$E55,0))</f>
        <v>0</v>
      </c>
      <c r="X55" s="276">
        <f ca="1">IF($C55+1&gt;X$7,0,IF($D55&gt;SUM($G55:W55),$D55/$E55,0))</f>
        <v>0</v>
      </c>
      <c r="Y55" s="276">
        <f ca="1">IF($C55+1&gt;Y$7,0,IF($D55&gt;SUM($G55:X55),$D55/$E55,0))</f>
        <v>0</v>
      </c>
      <c r="Z55" s="276">
        <f ca="1">IF($C55+1&gt;Z$7,0,IF($D55&gt;SUM($G55:Y55),$D55/$E55,0))</f>
        <v>0</v>
      </c>
      <c r="AA55" s="276">
        <f ca="1">IF($C55+1&gt;AA$7,0,IF($D55&gt;SUM($G55:Z55),$D55/$E55,0))</f>
        <v>0</v>
      </c>
      <c r="AB55" s="276">
        <f ca="1">IF($C55+1&gt;AB$7,0,IF($D55&gt;SUM($G55:AA55),$D55/$E55,0))</f>
        <v>0</v>
      </c>
      <c r="AC55" s="276">
        <f ca="1">IF($C55+1&gt;AC$7,0,IF($D55&gt;SUM($G55:AB55),$D55/$E55,0))</f>
        <v>0</v>
      </c>
      <c r="AD55" s="276">
        <f ca="1">IF($C55+1&gt;AD$7,0,IF($D55&gt;SUM($G55:AC55),$D55/$E55,0))</f>
        <v>0</v>
      </c>
      <c r="AE55" s="276">
        <f ca="1">IF($C55+1&gt;AE$7,0,IF($D55&gt;SUM($G55:AD55),$D55/$E55,0))</f>
        <v>0</v>
      </c>
      <c r="AF55" s="276">
        <f ca="1">IF($C55+1&gt;AF$7,0,IF($D55&gt;SUM($G55:AE55),$D55/$E55,0))</f>
        <v>0</v>
      </c>
      <c r="AG55" s="276">
        <f ca="1">IF($C55+1&gt;AG$7,0,IF($D55&gt;SUM($G55:AF55),$D55/$E55,0))</f>
        <v>0</v>
      </c>
      <c r="AH55" s="276">
        <f ca="1">IF($C55+1&gt;AH$7,0,IF($D55&gt;SUM($G55:AG55),$D55/$E55,0))</f>
        <v>0</v>
      </c>
      <c r="AI55" s="276">
        <f ca="1">IF($C55+1&gt;AI$7,0,IF($D55&gt;SUM($G55:AH55),$D55/$E55,0))</f>
        <v>0</v>
      </c>
      <c r="AJ55" s="276">
        <f ca="1">IF($C55+1&gt;AJ$7,0,IF($D55&gt;SUM($G55:AI55),$D55/$E55,0))</f>
        <v>0</v>
      </c>
      <c r="AK55" s="276">
        <f ca="1">IF($C55+1&gt;AK$7,0,IF($D55&gt;SUM($G55:AJ55),$D55/$E55,0))</f>
        <v>0</v>
      </c>
      <c r="AL55" s="276">
        <f ca="1">IF($C55+1&gt;AL$7,0,IF($D55&gt;SUM($G55:AK55),$D55/$E55,0))</f>
        <v>0</v>
      </c>
      <c r="AM55" s="276">
        <f ca="1">IF($C55+1&gt;AM$7,0,IF($D55&gt;SUM($G55:AL55),$D55/$E55,0))</f>
        <v>0</v>
      </c>
      <c r="AN55" s="276">
        <f ca="1">IF($C55+1&gt;AN$7,0,IF($D55&gt;SUM($G55:AM55),$D55/$E55,0))</f>
        <v>0</v>
      </c>
      <c r="AO55" s="276">
        <f ca="1">IF($C55+1&gt;AO$7,0,IF($D55&gt;SUM($G55:AN55),$D55/$E55,0))</f>
        <v>0</v>
      </c>
      <c r="AP55" s="276">
        <f ca="1">IF($C55+1&gt;AP$7,0,IF($D55&gt;SUM($G55:AO55),$D55/$E55,0))</f>
        <v>0</v>
      </c>
      <c r="AQ55" s="276">
        <f ca="1">IF($C55+1&gt;AQ$7,0,IF($D55&gt;SUM($G55:AP55),$D55/$E55,0))</f>
        <v>0</v>
      </c>
      <c r="AR55" s="276">
        <f ca="1">IF($C55+1&gt;AR$7,0,IF($D55&gt;SUM($G55:AQ55),$D55/$E55,0))</f>
        <v>0</v>
      </c>
      <c r="AS55" s="276">
        <f ca="1">IF($C55+1&gt;AS$7,0,IF($D55&gt;SUM($G55:AR55),$D55/$E55,0))</f>
        <v>0</v>
      </c>
      <c r="AT55" s="276">
        <f ca="1">IF($C55+1&gt;AT$7,0,IF($D55&gt;SUM($G55:AS55),$D55/$E55,0))</f>
        <v>0</v>
      </c>
      <c r="AU55" s="276">
        <f ca="1">IF($C55+1&gt;AU$7,0,IF($D55&gt;SUM($G55:AT55),$D55/$E55,0))</f>
        <v>0</v>
      </c>
      <c r="AV55" s="276">
        <f ca="1">IF($C55+1&gt;AV$7,0,IF($D55&gt;SUM($G55:AU55),$D55/$E55,0))</f>
        <v>0</v>
      </c>
      <c r="AW55" s="276">
        <f ca="1">IF($C55+1&gt;AW$7,0,IF($D55&gt;SUM($G55:AV55),$D55/$E55,0))</f>
        <v>0</v>
      </c>
      <c r="AX55" s="276">
        <f ca="1">IF($C55+1&gt;AX$7,0,IF($D55&gt;SUM($G55:AW55),$D55/$E55,0))</f>
        <v>0</v>
      </c>
      <c r="AY55" s="276">
        <f ca="1">IF($C55+1&gt;AY$7,0,IF($D55&gt;SUM($G55:AX55),$D55/$E55,0))</f>
        <v>0</v>
      </c>
      <c r="AZ55" s="276">
        <f ca="1">IF($C55+1&gt;AZ$7,0,IF($D55&gt;SUM($G55:AY55),$D55/$E55,0))</f>
        <v>0</v>
      </c>
      <c r="BA55" s="276">
        <f ca="1">IF($C55+1&gt;BA$7,0,IF($D55&gt;SUM($G55:AZ55),$D55/$E55,0))</f>
        <v>0</v>
      </c>
      <c r="BB55" s="276">
        <f ca="1">IF($C55+1&gt;BB$7,0,IF($D55&gt;SUM($G55:BA55),$D55/$E55,0))</f>
        <v>0</v>
      </c>
      <c r="BC55" s="276">
        <f ca="1">IF($C55+1&gt;BC$7,0,IF($D55&gt;SUM($G55:BB55),$D55/$E55,0))</f>
        <v>0</v>
      </c>
      <c r="BD55" s="276">
        <f ca="1">IF($C55+1&gt;BD$7,0,IF($D55&gt;SUM($G55:BC55),$D55/$E55,0))</f>
        <v>0</v>
      </c>
      <c r="BE55" s="276">
        <f ca="1">IF($C55+1&gt;BE$7,0,IF($D55&gt;SUM($G55:BD55),$D55/$E55,0))</f>
        <v>0</v>
      </c>
      <c r="BF55" s="276">
        <f ca="1">IF($C55+1&gt;BF$7,0,IF($D55&gt;SUM($G55:BE55),$D55/$E55,0))</f>
        <v>0</v>
      </c>
      <c r="BG55" s="276">
        <f ca="1">IF($C55+1&gt;BG$7,0,IF($D55&gt;SUM($G55:BF55),$D55/$E55,0))</f>
        <v>0</v>
      </c>
      <c r="BH55" s="276">
        <f ca="1">IF($C55+1&gt;BH$7,0,IF($D55&gt;SUM($G55:BG55),$D55/$E55,0))</f>
        <v>0</v>
      </c>
      <c r="BI55" s="276">
        <f ca="1">IF($C55+1&gt;BI$7,0,IF($D55&gt;SUM($G55:BH55),$D55/$E55,0))</f>
        <v>0</v>
      </c>
      <c r="BJ55" s="276">
        <f ca="1">IF($C55+1&gt;BJ$7,0,IF($D55&gt;SUM($G55:BI55),$D55/$E55,0))</f>
        <v>0</v>
      </c>
      <c r="BK55" s="276">
        <f ca="1">IF($C55+1&gt;BK$7,0,IF($D55&gt;SUM($G55:BJ55),$D55/$E55,0))</f>
        <v>0</v>
      </c>
      <c r="BL55" s="276">
        <f ca="1">IF($C55+1&gt;BL$7,0,IF($D55&gt;SUM($G55:BK55),$D55/$E55,0))</f>
        <v>0</v>
      </c>
      <c r="BM55" s="276">
        <f ca="1">IF($C55+1&gt;BM$7,0,IF($D55&gt;SUM($G55:BL55),$D55/$E55,0))</f>
        <v>0</v>
      </c>
      <c r="BN55" s="276">
        <f ca="1">IF($C55+1&gt;BN$7,0,IF($D55&gt;SUM($G55:BM55),$D55/$E55,0))</f>
        <v>0</v>
      </c>
      <c r="BO55" s="276"/>
      <c r="BP55" s="276"/>
      <c r="BQ55" s="276"/>
      <c r="BR55" s="276"/>
      <c r="BS55" s="276"/>
      <c r="BT55" s="276"/>
      <c r="BU55" s="276"/>
      <c r="BV55" s="276"/>
      <c r="BW55" s="276"/>
      <c r="BX55" s="276"/>
      <c r="BY55" s="276"/>
      <c r="BZ55" s="276"/>
      <c r="CA55" s="254"/>
      <c r="CB55" s="254"/>
      <c r="CC55" s="254"/>
      <c r="CD55" s="254"/>
      <c r="CE55" s="254"/>
      <c r="CF55" s="254"/>
      <c r="CG55" s="254"/>
      <c r="CH55" s="254"/>
      <c r="CI55" s="254"/>
      <c r="CJ55" s="254"/>
      <c r="CK55" s="254"/>
      <c r="CL55" s="254"/>
    </row>
    <row r="56" spans="1:90" outlineLevel="1" x14ac:dyDescent="0.15">
      <c r="A56" s="272"/>
      <c r="B56" s="273"/>
      <c r="C56" s="275">
        <v>16</v>
      </c>
      <c r="D56" s="278">
        <f ca="1"/>
        <v>0</v>
      </c>
      <c r="E56" s="275">
        <f>SAP_Leadsheet!$E$50</f>
        <v>0</v>
      </c>
      <c r="F56" s="275"/>
      <c r="G56" s="276">
        <f>IF($C56+1&gt;G$7,0,IF($D56&gt;SUM(#REF!),$D56/$E56,0))</f>
        <v>0</v>
      </c>
      <c r="H56" s="276">
        <f>IF($C56+1&gt;H$7,0,IF($D56&gt;SUM($G56:G56),$D56/$E56,0))</f>
        <v>0</v>
      </c>
      <c r="I56" s="276">
        <f>IF($C56+1&gt;I$7,0,IF($D56&gt;SUM($G56:H56),$D56/$E56,0))</f>
        <v>0</v>
      </c>
      <c r="J56" s="276">
        <f>IF($C56+1&gt;J$7,0,IF($D56&gt;SUM($G56:I56),$D56/$E56,0))</f>
        <v>0</v>
      </c>
      <c r="K56" s="276">
        <f>IF($C56+1&gt;K$7,0,IF($D56&gt;SUM($G56:J56),$D56/$E56,0))</f>
        <v>0</v>
      </c>
      <c r="L56" s="276">
        <f>IF($C56+1&gt;L$7,0,IF($D56&gt;SUM($G56:K56),$D56/$E56,0))</f>
        <v>0</v>
      </c>
      <c r="M56" s="276">
        <f>IF($C56+1&gt;M$7,0,IF($D56&gt;SUM($G56:L56),$D56/$E56,0))</f>
        <v>0</v>
      </c>
      <c r="N56" s="276">
        <f>IF($C56+1&gt;N$7,0,IF($D56&gt;SUM($G56:M56),$D56/$E56,0))</f>
        <v>0</v>
      </c>
      <c r="O56" s="276">
        <f>IF($C56+1&gt;O$7,0,IF($D56&gt;SUM($G56:N56),$D56/$E56,0))</f>
        <v>0</v>
      </c>
      <c r="P56" s="276">
        <f>IF($C56+1&gt;P$7,0,IF($D56&gt;SUM($G56:O56),$D56/$E56,0))</f>
        <v>0</v>
      </c>
      <c r="Q56" s="276">
        <f>IF($C56+1&gt;Q$7,0,IF($D56&gt;SUM($G56:P56),$D56/$E56,0))</f>
        <v>0</v>
      </c>
      <c r="R56" s="276">
        <f>IF($C56+1&gt;R$7,0,IF($D56&gt;SUM($G56:Q56),$D56/$E56,0))</f>
        <v>0</v>
      </c>
      <c r="S56" s="276">
        <f>IF($C56+1&gt;S$7,0,IF($D56&gt;SUM($G56:R56),$D56/$E56,0))</f>
        <v>0</v>
      </c>
      <c r="T56" s="276">
        <f>IF($C56+1&gt;T$7,0,IF($D56&gt;SUM($G56:S56),$D56/$E56,0))</f>
        <v>0</v>
      </c>
      <c r="U56" s="276">
        <f>IF($C56+1&gt;U$7,0,IF($D56&gt;SUM($G56:T56),$D56/$E56,0))</f>
        <v>0</v>
      </c>
      <c r="V56" s="276">
        <f>IF($C56+1&gt;V$7,0,IF($D56&gt;SUM($G56:U56),$D56/$E56,0))</f>
        <v>0</v>
      </c>
      <c r="W56" s="276">
        <f ca="1">IF($C56+1&gt;W$7,0,IF($D56&gt;SUM($G56:V56),$D56/$E56,0))</f>
        <v>0</v>
      </c>
      <c r="X56" s="276">
        <f ca="1">IF($C56+1&gt;X$7,0,IF($D56&gt;SUM($G56:W56),$D56/$E56,0))</f>
        <v>0</v>
      </c>
      <c r="Y56" s="276">
        <f ca="1">IF($C56+1&gt;Y$7,0,IF($D56&gt;SUM($G56:X56),$D56/$E56,0))</f>
        <v>0</v>
      </c>
      <c r="Z56" s="276">
        <f ca="1">IF($C56+1&gt;Z$7,0,IF($D56&gt;SUM($G56:Y56),$D56/$E56,0))</f>
        <v>0</v>
      </c>
      <c r="AA56" s="276">
        <f ca="1">IF($C56+1&gt;AA$7,0,IF($D56&gt;SUM($G56:Z56),$D56/$E56,0))</f>
        <v>0</v>
      </c>
      <c r="AB56" s="276">
        <f ca="1">IF($C56+1&gt;AB$7,0,IF($D56&gt;SUM($G56:AA56),$D56/$E56,0))</f>
        <v>0</v>
      </c>
      <c r="AC56" s="276">
        <f ca="1">IF($C56+1&gt;AC$7,0,IF($D56&gt;SUM($G56:AB56),$D56/$E56,0))</f>
        <v>0</v>
      </c>
      <c r="AD56" s="276">
        <f ca="1">IF($C56+1&gt;AD$7,0,IF($D56&gt;SUM($G56:AC56),$D56/$E56,0))</f>
        <v>0</v>
      </c>
      <c r="AE56" s="276">
        <f ca="1">IF($C56+1&gt;AE$7,0,IF($D56&gt;SUM($G56:AD56),$D56/$E56,0))</f>
        <v>0</v>
      </c>
      <c r="AF56" s="276">
        <f ca="1">IF($C56+1&gt;AF$7,0,IF($D56&gt;SUM($G56:AE56),$D56/$E56,0))</f>
        <v>0</v>
      </c>
      <c r="AG56" s="276">
        <f ca="1">IF($C56+1&gt;AG$7,0,IF($D56&gt;SUM($G56:AF56),$D56/$E56,0))</f>
        <v>0</v>
      </c>
      <c r="AH56" s="276">
        <f ca="1">IF($C56+1&gt;AH$7,0,IF($D56&gt;SUM($G56:AG56),$D56/$E56,0))</f>
        <v>0</v>
      </c>
      <c r="AI56" s="276">
        <f ca="1">IF($C56+1&gt;AI$7,0,IF($D56&gt;SUM($G56:AH56),$D56/$E56,0))</f>
        <v>0</v>
      </c>
      <c r="AJ56" s="276">
        <f ca="1">IF($C56+1&gt;AJ$7,0,IF($D56&gt;SUM($G56:AI56),$D56/$E56,0))</f>
        <v>0</v>
      </c>
      <c r="AK56" s="276">
        <f ca="1">IF($C56+1&gt;AK$7,0,IF($D56&gt;SUM($G56:AJ56),$D56/$E56,0))</f>
        <v>0</v>
      </c>
      <c r="AL56" s="276">
        <f ca="1">IF($C56+1&gt;AL$7,0,IF($D56&gt;SUM($G56:AK56),$D56/$E56,0))</f>
        <v>0</v>
      </c>
      <c r="AM56" s="276">
        <f ca="1">IF($C56+1&gt;AM$7,0,IF($D56&gt;SUM($G56:AL56),$D56/$E56,0))</f>
        <v>0</v>
      </c>
      <c r="AN56" s="276">
        <f ca="1">IF($C56+1&gt;AN$7,0,IF($D56&gt;SUM($G56:AM56),$D56/$E56,0))</f>
        <v>0</v>
      </c>
      <c r="AO56" s="276">
        <f ca="1">IF($C56+1&gt;AO$7,0,IF($D56&gt;SUM($G56:AN56),$D56/$E56,0))</f>
        <v>0</v>
      </c>
      <c r="AP56" s="276">
        <f ca="1">IF($C56+1&gt;AP$7,0,IF($D56&gt;SUM($G56:AO56),$D56/$E56,0))</f>
        <v>0</v>
      </c>
      <c r="AQ56" s="276">
        <f ca="1">IF($C56+1&gt;AQ$7,0,IF($D56&gt;SUM($G56:AP56),$D56/$E56,0))</f>
        <v>0</v>
      </c>
      <c r="AR56" s="276">
        <f ca="1">IF($C56+1&gt;AR$7,0,IF($D56&gt;SUM($G56:AQ56),$D56/$E56,0))</f>
        <v>0</v>
      </c>
      <c r="AS56" s="276">
        <f ca="1">IF($C56+1&gt;AS$7,0,IF($D56&gt;SUM($G56:AR56),$D56/$E56,0))</f>
        <v>0</v>
      </c>
      <c r="AT56" s="276">
        <f ca="1">IF($C56+1&gt;AT$7,0,IF($D56&gt;SUM($G56:AS56),$D56/$E56,0))</f>
        <v>0</v>
      </c>
      <c r="AU56" s="276">
        <f ca="1">IF($C56+1&gt;AU$7,0,IF($D56&gt;SUM($G56:AT56),$D56/$E56,0))</f>
        <v>0</v>
      </c>
      <c r="AV56" s="276">
        <f ca="1">IF($C56+1&gt;AV$7,0,IF($D56&gt;SUM($G56:AU56),$D56/$E56,0))</f>
        <v>0</v>
      </c>
      <c r="AW56" s="276">
        <f ca="1">IF($C56+1&gt;AW$7,0,IF($D56&gt;SUM($G56:AV56),$D56/$E56,0))</f>
        <v>0</v>
      </c>
      <c r="AX56" s="276">
        <f ca="1">IF($C56+1&gt;AX$7,0,IF($D56&gt;SUM($G56:AW56),$D56/$E56,0))</f>
        <v>0</v>
      </c>
      <c r="AY56" s="276">
        <f ca="1">IF($C56+1&gt;AY$7,0,IF($D56&gt;SUM($G56:AX56),$D56/$E56,0))</f>
        <v>0</v>
      </c>
      <c r="AZ56" s="276">
        <f ca="1">IF($C56+1&gt;AZ$7,0,IF($D56&gt;SUM($G56:AY56),$D56/$E56,0))</f>
        <v>0</v>
      </c>
      <c r="BA56" s="276">
        <f ca="1">IF($C56+1&gt;BA$7,0,IF($D56&gt;SUM($G56:AZ56),$D56/$E56,0))</f>
        <v>0</v>
      </c>
      <c r="BB56" s="276">
        <f ca="1">IF($C56+1&gt;BB$7,0,IF($D56&gt;SUM($G56:BA56),$D56/$E56,0))</f>
        <v>0</v>
      </c>
      <c r="BC56" s="276">
        <f ca="1">IF($C56+1&gt;BC$7,0,IF($D56&gt;SUM($G56:BB56),$D56/$E56,0))</f>
        <v>0</v>
      </c>
      <c r="BD56" s="276">
        <f ca="1">IF($C56+1&gt;BD$7,0,IF($D56&gt;SUM($G56:BC56),$D56/$E56,0))</f>
        <v>0</v>
      </c>
      <c r="BE56" s="276">
        <f ca="1">IF($C56+1&gt;BE$7,0,IF($D56&gt;SUM($G56:BD56),$D56/$E56,0))</f>
        <v>0</v>
      </c>
      <c r="BF56" s="276">
        <f ca="1">IF($C56+1&gt;BF$7,0,IF($D56&gt;SUM($G56:BE56),$D56/$E56,0))</f>
        <v>0</v>
      </c>
      <c r="BG56" s="276">
        <f ca="1">IF($C56+1&gt;BG$7,0,IF($D56&gt;SUM($G56:BF56),$D56/$E56,0))</f>
        <v>0</v>
      </c>
      <c r="BH56" s="276">
        <f ca="1">IF($C56+1&gt;BH$7,0,IF($D56&gt;SUM($G56:BG56),$D56/$E56,0))</f>
        <v>0</v>
      </c>
      <c r="BI56" s="276">
        <f ca="1">IF($C56+1&gt;BI$7,0,IF($D56&gt;SUM($G56:BH56),$D56/$E56,0))</f>
        <v>0</v>
      </c>
      <c r="BJ56" s="276">
        <f ca="1">IF($C56+1&gt;BJ$7,0,IF($D56&gt;SUM($G56:BI56),$D56/$E56,0))</f>
        <v>0</v>
      </c>
      <c r="BK56" s="276">
        <f ca="1">IF($C56+1&gt;BK$7,0,IF($D56&gt;SUM($G56:BJ56),$D56/$E56,0))</f>
        <v>0</v>
      </c>
      <c r="BL56" s="276">
        <f ca="1">IF($C56+1&gt;BL$7,0,IF($D56&gt;SUM($G56:BK56),$D56/$E56,0))</f>
        <v>0</v>
      </c>
      <c r="BM56" s="276">
        <f ca="1">IF($C56+1&gt;BM$7,0,IF($D56&gt;SUM($G56:BL56),$D56/$E56,0))</f>
        <v>0</v>
      </c>
      <c r="BN56" s="276">
        <f ca="1">IF($C56+1&gt;BN$7,0,IF($D56&gt;SUM($G56:BM56),$D56/$E56,0))</f>
        <v>0</v>
      </c>
      <c r="BO56" s="276"/>
      <c r="BP56" s="276"/>
      <c r="BQ56" s="276"/>
      <c r="BR56" s="276"/>
      <c r="BS56" s="276"/>
      <c r="BT56" s="276"/>
      <c r="BU56" s="276"/>
      <c r="BV56" s="276"/>
      <c r="BW56" s="276"/>
      <c r="BX56" s="276"/>
      <c r="BY56" s="276"/>
      <c r="BZ56" s="276"/>
      <c r="CA56" s="254"/>
      <c r="CB56" s="254"/>
      <c r="CC56" s="254"/>
      <c r="CD56" s="254"/>
      <c r="CE56" s="254"/>
      <c r="CF56" s="254"/>
      <c r="CG56" s="254"/>
      <c r="CH56" s="254"/>
      <c r="CI56" s="254"/>
      <c r="CJ56" s="254"/>
      <c r="CK56" s="254"/>
      <c r="CL56" s="254"/>
    </row>
    <row r="57" spans="1:90" outlineLevel="1" x14ac:dyDescent="0.15">
      <c r="A57" s="272"/>
      <c r="B57" s="273"/>
      <c r="C57" s="275">
        <v>17</v>
      </c>
      <c r="D57" s="278">
        <f ca="1"/>
        <v>0</v>
      </c>
      <c r="E57" s="275">
        <f>SAP_Leadsheet!$E$50</f>
        <v>0</v>
      </c>
      <c r="F57" s="275"/>
      <c r="G57" s="276">
        <f>IF($C57+1&gt;G$7,0,IF($D57&gt;SUM(#REF!),$D57/$E57,0))</f>
        <v>0</v>
      </c>
      <c r="H57" s="276">
        <f>IF($C57+1&gt;H$7,0,IF($D57&gt;SUM($G57:G57),$D57/$E57,0))</f>
        <v>0</v>
      </c>
      <c r="I57" s="276">
        <f>IF($C57+1&gt;I$7,0,IF($D57&gt;SUM($G57:H57),$D57/$E57,0))</f>
        <v>0</v>
      </c>
      <c r="J57" s="276">
        <f>IF($C57+1&gt;J$7,0,IF($D57&gt;SUM($G57:I57),$D57/$E57,0))</f>
        <v>0</v>
      </c>
      <c r="K57" s="276">
        <f>IF($C57+1&gt;K$7,0,IF($D57&gt;SUM($G57:J57),$D57/$E57,0))</f>
        <v>0</v>
      </c>
      <c r="L57" s="276">
        <f>IF($C57+1&gt;L$7,0,IF($D57&gt;SUM($G57:K57),$D57/$E57,0))</f>
        <v>0</v>
      </c>
      <c r="M57" s="276">
        <f>IF($C57+1&gt;M$7,0,IF($D57&gt;SUM($G57:L57),$D57/$E57,0))</f>
        <v>0</v>
      </c>
      <c r="N57" s="276">
        <f>IF($C57+1&gt;N$7,0,IF($D57&gt;SUM($G57:M57),$D57/$E57,0))</f>
        <v>0</v>
      </c>
      <c r="O57" s="276">
        <f>IF($C57+1&gt;O$7,0,IF($D57&gt;SUM($G57:N57),$D57/$E57,0))</f>
        <v>0</v>
      </c>
      <c r="P57" s="276">
        <f>IF($C57+1&gt;P$7,0,IF($D57&gt;SUM($G57:O57),$D57/$E57,0))</f>
        <v>0</v>
      </c>
      <c r="Q57" s="276">
        <f>IF($C57+1&gt;Q$7,0,IF($D57&gt;SUM($G57:P57),$D57/$E57,0))</f>
        <v>0</v>
      </c>
      <c r="R57" s="276">
        <f>IF($C57+1&gt;R$7,0,IF($D57&gt;SUM($G57:Q57),$D57/$E57,0))</f>
        <v>0</v>
      </c>
      <c r="S57" s="276">
        <f>IF($C57+1&gt;S$7,0,IF($D57&gt;SUM($G57:R57),$D57/$E57,0))</f>
        <v>0</v>
      </c>
      <c r="T57" s="276">
        <f>IF($C57+1&gt;T$7,0,IF($D57&gt;SUM($G57:S57),$D57/$E57,0))</f>
        <v>0</v>
      </c>
      <c r="U57" s="276">
        <f>IF($C57+1&gt;U$7,0,IF($D57&gt;SUM($G57:T57),$D57/$E57,0))</f>
        <v>0</v>
      </c>
      <c r="V57" s="276">
        <f>IF($C57+1&gt;V$7,0,IF($D57&gt;SUM($G57:U57),$D57/$E57,0))</f>
        <v>0</v>
      </c>
      <c r="W57" s="276">
        <f>IF($C57+1&gt;W$7,0,IF($D57&gt;SUM($G57:V57),$D57/$E57,0))</f>
        <v>0</v>
      </c>
      <c r="X57" s="276">
        <f ca="1">IF($C57+1&gt;X$7,0,IF($D57&gt;SUM($G57:W57),$D57/$E57,0))</f>
        <v>0</v>
      </c>
      <c r="Y57" s="276">
        <f ca="1">IF($C57+1&gt;Y$7,0,IF($D57&gt;SUM($G57:X57),$D57/$E57,0))</f>
        <v>0</v>
      </c>
      <c r="Z57" s="276">
        <f ca="1">IF($C57+1&gt;Z$7,0,IF($D57&gt;SUM($G57:Y57),$D57/$E57,0))</f>
        <v>0</v>
      </c>
      <c r="AA57" s="276">
        <f ca="1">IF($C57+1&gt;AA$7,0,IF($D57&gt;SUM($G57:Z57),$D57/$E57,0))</f>
        <v>0</v>
      </c>
      <c r="AB57" s="276">
        <f ca="1">IF($C57+1&gt;AB$7,0,IF($D57&gt;SUM($G57:AA57),$D57/$E57,0))</f>
        <v>0</v>
      </c>
      <c r="AC57" s="276">
        <f ca="1">IF($C57+1&gt;AC$7,0,IF($D57&gt;SUM($G57:AB57),$D57/$E57,0))</f>
        <v>0</v>
      </c>
      <c r="AD57" s="276">
        <f ca="1">IF($C57+1&gt;AD$7,0,IF($D57&gt;SUM($G57:AC57),$D57/$E57,0))</f>
        <v>0</v>
      </c>
      <c r="AE57" s="276">
        <f ca="1">IF($C57+1&gt;AE$7,0,IF($D57&gt;SUM($G57:AD57),$D57/$E57,0))</f>
        <v>0</v>
      </c>
      <c r="AF57" s="276">
        <f ca="1">IF($C57+1&gt;AF$7,0,IF($D57&gt;SUM($G57:AE57),$D57/$E57,0))</f>
        <v>0</v>
      </c>
      <c r="AG57" s="276">
        <f ca="1">IF($C57+1&gt;AG$7,0,IF($D57&gt;SUM($G57:AF57),$D57/$E57,0))</f>
        <v>0</v>
      </c>
      <c r="AH57" s="276">
        <f ca="1">IF($C57+1&gt;AH$7,0,IF($D57&gt;SUM($G57:AG57),$D57/$E57,0))</f>
        <v>0</v>
      </c>
      <c r="AI57" s="276">
        <f ca="1">IF($C57+1&gt;AI$7,0,IF($D57&gt;SUM($G57:AH57),$D57/$E57,0))</f>
        <v>0</v>
      </c>
      <c r="AJ57" s="276">
        <f ca="1">IF($C57+1&gt;AJ$7,0,IF($D57&gt;SUM($G57:AI57),$D57/$E57,0))</f>
        <v>0</v>
      </c>
      <c r="AK57" s="276">
        <f ca="1">IF($C57+1&gt;AK$7,0,IF($D57&gt;SUM($G57:AJ57),$D57/$E57,0))</f>
        <v>0</v>
      </c>
      <c r="AL57" s="276">
        <f ca="1">IF($C57+1&gt;AL$7,0,IF($D57&gt;SUM($G57:AK57),$D57/$E57,0))</f>
        <v>0</v>
      </c>
      <c r="AM57" s="276">
        <f ca="1">IF($C57+1&gt;AM$7,0,IF($D57&gt;SUM($G57:AL57),$D57/$E57,0))</f>
        <v>0</v>
      </c>
      <c r="AN57" s="276">
        <f ca="1">IF($C57+1&gt;AN$7,0,IF($D57&gt;SUM($G57:AM57),$D57/$E57,0))</f>
        <v>0</v>
      </c>
      <c r="AO57" s="276">
        <f ca="1">IF($C57+1&gt;AO$7,0,IF($D57&gt;SUM($G57:AN57),$D57/$E57,0))</f>
        <v>0</v>
      </c>
      <c r="AP57" s="276">
        <f ca="1">IF($C57+1&gt;AP$7,0,IF($D57&gt;SUM($G57:AO57),$D57/$E57,0))</f>
        <v>0</v>
      </c>
      <c r="AQ57" s="276">
        <f ca="1">IF($C57+1&gt;AQ$7,0,IF($D57&gt;SUM($G57:AP57),$D57/$E57,0))</f>
        <v>0</v>
      </c>
      <c r="AR57" s="276">
        <f ca="1">IF($C57+1&gt;AR$7,0,IF($D57&gt;SUM($G57:AQ57),$D57/$E57,0))</f>
        <v>0</v>
      </c>
      <c r="AS57" s="276">
        <f ca="1">IF($C57+1&gt;AS$7,0,IF($D57&gt;SUM($G57:AR57),$D57/$E57,0))</f>
        <v>0</v>
      </c>
      <c r="AT57" s="276">
        <f ca="1">IF($C57+1&gt;AT$7,0,IF($D57&gt;SUM($G57:AS57),$D57/$E57,0))</f>
        <v>0</v>
      </c>
      <c r="AU57" s="276">
        <f ca="1">IF($C57+1&gt;AU$7,0,IF($D57&gt;SUM($G57:AT57),$D57/$E57,0))</f>
        <v>0</v>
      </c>
      <c r="AV57" s="276">
        <f ca="1">IF($C57+1&gt;AV$7,0,IF($D57&gt;SUM($G57:AU57),$D57/$E57,0))</f>
        <v>0</v>
      </c>
      <c r="AW57" s="276">
        <f ca="1">IF($C57+1&gt;AW$7,0,IF($D57&gt;SUM($G57:AV57),$D57/$E57,0))</f>
        <v>0</v>
      </c>
      <c r="AX57" s="276">
        <f ca="1">IF($C57+1&gt;AX$7,0,IF($D57&gt;SUM($G57:AW57),$D57/$E57,0))</f>
        <v>0</v>
      </c>
      <c r="AY57" s="276">
        <f ca="1">IF($C57+1&gt;AY$7,0,IF($D57&gt;SUM($G57:AX57),$D57/$E57,0))</f>
        <v>0</v>
      </c>
      <c r="AZ57" s="276">
        <f ca="1">IF($C57+1&gt;AZ$7,0,IF($D57&gt;SUM($G57:AY57),$D57/$E57,0))</f>
        <v>0</v>
      </c>
      <c r="BA57" s="276">
        <f ca="1">IF($C57+1&gt;BA$7,0,IF($D57&gt;SUM($G57:AZ57),$D57/$E57,0))</f>
        <v>0</v>
      </c>
      <c r="BB57" s="276">
        <f ca="1">IF($C57+1&gt;BB$7,0,IF($D57&gt;SUM($G57:BA57),$D57/$E57,0))</f>
        <v>0</v>
      </c>
      <c r="BC57" s="276">
        <f ca="1">IF($C57+1&gt;BC$7,0,IF($D57&gt;SUM($G57:BB57),$D57/$E57,0))</f>
        <v>0</v>
      </c>
      <c r="BD57" s="276">
        <f ca="1">IF($C57+1&gt;BD$7,0,IF($D57&gt;SUM($G57:BC57),$D57/$E57,0))</f>
        <v>0</v>
      </c>
      <c r="BE57" s="276">
        <f ca="1">IF($C57+1&gt;BE$7,0,IF($D57&gt;SUM($G57:BD57),$D57/$E57,0))</f>
        <v>0</v>
      </c>
      <c r="BF57" s="276">
        <f ca="1">IF($C57+1&gt;BF$7,0,IF($D57&gt;SUM($G57:BE57),$D57/$E57,0))</f>
        <v>0</v>
      </c>
      <c r="BG57" s="276">
        <f ca="1">IF($C57+1&gt;BG$7,0,IF($D57&gt;SUM($G57:BF57),$D57/$E57,0))</f>
        <v>0</v>
      </c>
      <c r="BH57" s="276">
        <f ca="1">IF($C57+1&gt;BH$7,0,IF($D57&gt;SUM($G57:BG57),$D57/$E57,0))</f>
        <v>0</v>
      </c>
      <c r="BI57" s="276">
        <f ca="1">IF($C57+1&gt;BI$7,0,IF($D57&gt;SUM($G57:BH57),$D57/$E57,0))</f>
        <v>0</v>
      </c>
      <c r="BJ57" s="276">
        <f ca="1">IF($C57+1&gt;BJ$7,0,IF($D57&gt;SUM($G57:BI57),$D57/$E57,0))</f>
        <v>0</v>
      </c>
      <c r="BK57" s="276">
        <f ca="1">IF($C57+1&gt;BK$7,0,IF($D57&gt;SUM($G57:BJ57),$D57/$E57,0))</f>
        <v>0</v>
      </c>
      <c r="BL57" s="276">
        <f ca="1">IF($C57+1&gt;BL$7,0,IF($D57&gt;SUM($G57:BK57),$D57/$E57,0))</f>
        <v>0</v>
      </c>
      <c r="BM57" s="276">
        <f ca="1">IF($C57+1&gt;BM$7,0,IF($D57&gt;SUM($G57:BL57),$D57/$E57,0))</f>
        <v>0</v>
      </c>
      <c r="BN57" s="276">
        <f ca="1">IF($C57+1&gt;BN$7,0,IF($D57&gt;SUM($G57:BM57),$D57/$E57,0))</f>
        <v>0</v>
      </c>
      <c r="BO57" s="276"/>
      <c r="BP57" s="276"/>
      <c r="BQ57" s="276"/>
      <c r="BR57" s="276"/>
      <c r="BS57" s="276"/>
      <c r="BT57" s="276"/>
      <c r="BU57" s="276"/>
      <c r="BV57" s="276"/>
      <c r="BW57" s="276"/>
      <c r="BX57" s="276"/>
      <c r="BY57" s="276"/>
      <c r="BZ57" s="276"/>
      <c r="CA57" s="254"/>
      <c r="CB57" s="254"/>
      <c r="CC57" s="254"/>
      <c r="CD57" s="254"/>
      <c r="CE57" s="254"/>
      <c r="CF57" s="254"/>
      <c r="CG57" s="254"/>
      <c r="CH57" s="254"/>
      <c r="CI57" s="254"/>
      <c r="CJ57" s="254"/>
      <c r="CK57" s="254"/>
      <c r="CL57" s="254"/>
    </row>
    <row r="58" spans="1:90" outlineLevel="1" x14ac:dyDescent="0.15">
      <c r="A58" s="272"/>
      <c r="B58" s="273"/>
      <c r="C58" s="275">
        <v>18</v>
      </c>
      <c r="D58" s="278">
        <f ca="1"/>
        <v>0</v>
      </c>
      <c r="E58" s="275">
        <f>SAP_Leadsheet!$E$50</f>
        <v>0</v>
      </c>
      <c r="F58" s="275"/>
      <c r="G58" s="276">
        <f>IF($C58+1&gt;G$7,0,IF($D58&gt;SUM(#REF!),$D58/$E58,0))</f>
        <v>0</v>
      </c>
      <c r="H58" s="276">
        <f>IF($C58+1&gt;H$7,0,IF($D58&gt;SUM($G58:G58),$D58/$E58,0))</f>
        <v>0</v>
      </c>
      <c r="I58" s="276">
        <f>IF($C58+1&gt;I$7,0,IF($D58&gt;SUM($G58:H58),$D58/$E58,0))</f>
        <v>0</v>
      </c>
      <c r="J58" s="276">
        <f>IF($C58+1&gt;J$7,0,IF($D58&gt;SUM($G58:I58),$D58/$E58,0))</f>
        <v>0</v>
      </c>
      <c r="K58" s="276">
        <f>IF($C58+1&gt;K$7,0,IF($D58&gt;SUM($G58:J58),$D58/$E58,0))</f>
        <v>0</v>
      </c>
      <c r="L58" s="276">
        <f>IF($C58+1&gt;L$7,0,IF($D58&gt;SUM($G58:K58),$D58/$E58,0))</f>
        <v>0</v>
      </c>
      <c r="M58" s="276">
        <f>IF($C58+1&gt;M$7,0,IF($D58&gt;SUM($G58:L58),$D58/$E58,0))</f>
        <v>0</v>
      </c>
      <c r="N58" s="276">
        <f>IF($C58+1&gt;N$7,0,IF($D58&gt;SUM($G58:M58),$D58/$E58,0))</f>
        <v>0</v>
      </c>
      <c r="O58" s="276">
        <f>IF($C58+1&gt;O$7,0,IF($D58&gt;SUM($G58:N58),$D58/$E58,0))</f>
        <v>0</v>
      </c>
      <c r="P58" s="276">
        <f>IF($C58+1&gt;P$7,0,IF($D58&gt;SUM($G58:O58),$D58/$E58,0))</f>
        <v>0</v>
      </c>
      <c r="Q58" s="276">
        <f>IF($C58+1&gt;Q$7,0,IF($D58&gt;SUM($G58:P58),$D58/$E58,0))</f>
        <v>0</v>
      </c>
      <c r="R58" s="276">
        <f>IF($C58+1&gt;R$7,0,IF($D58&gt;SUM($G58:Q58),$D58/$E58,0))</f>
        <v>0</v>
      </c>
      <c r="S58" s="276">
        <f>IF($C58+1&gt;S$7,0,IF($D58&gt;SUM($G58:R58),$D58/$E58,0))</f>
        <v>0</v>
      </c>
      <c r="T58" s="276">
        <f>IF($C58+1&gt;T$7,0,IF($D58&gt;SUM($G58:S58),$D58/$E58,0))</f>
        <v>0</v>
      </c>
      <c r="U58" s="276">
        <f>IF($C58+1&gt;U$7,0,IF($D58&gt;SUM($G58:T58),$D58/$E58,0))</f>
        <v>0</v>
      </c>
      <c r="V58" s="276">
        <f>IF($C58+1&gt;V$7,0,IF($D58&gt;SUM($G58:U58),$D58/$E58,0))</f>
        <v>0</v>
      </c>
      <c r="W58" s="276">
        <f>IF($C58+1&gt;W$7,0,IF($D58&gt;SUM($G58:V58),$D58/$E58,0))</f>
        <v>0</v>
      </c>
      <c r="X58" s="276">
        <f>IF($C58+1&gt;X$7,0,IF($D58&gt;SUM($G58:W58),$D58/$E58,0))</f>
        <v>0</v>
      </c>
      <c r="Y58" s="276">
        <f ca="1">IF($C58+1&gt;Y$7,0,IF($D58&gt;SUM($G58:X58),$D58/$E58,0))</f>
        <v>0</v>
      </c>
      <c r="Z58" s="276">
        <f ca="1">IF($C58+1&gt;Z$7,0,IF($D58&gt;SUM($G58:Y58),$D58/$E58,0))</f>
        <v>0</v>
      </c>
      <c r="AA58" s="276">
        <f ca="1">IF($C58+1&gt;AA$7,0,IF($D58&gt;SUM($G58:Z58),$D58/$E58,0))</f>
        <v>0</v>
      </c>
      <c r="AB58" s="276">
        <f ca="1">IF($C58+1&gt;AB$7,0,IF($D58&gt;SUM($G58:AA58),$D58/$E58,0))</f>
        <v>0</v>
      </c>
      <c r="AC58" s="276">
        <f ca="1">IF($C58+1&gt;AC$7,0,IF($D58&gt;SUM($G58:AB58),$D58/$E58,0))</f>
        <v>0</v>
      </c>
      <c r="AD58" s="276">
        <f ca="1">IF($C58+1&gt;AD$7,0,IF($D58&gt;SUM($G58:AC58),$D58/$E58,0))</f>
        <v>0</v>
      </c>
      <c r="AE58" s="276">
        <f ca="1">IF($C58+1&gt;AE$7,0,IF($D58&gt;SUM($G58:AD58),$D58/$E58,0))</f>
        <v>0</v>
      </c>
      <c r="AF58" s="276">
        <f ca="1">IF($C58+1&gt;AF$7,0,IF($D58&gt;SUM($G58:AE58),$D58/$E58,0))</f>
        <v>0</v>
      </c>
      <c r="AG58" s="276">
        <f ca="1">IF($C58+1&gt;AG$7,0,IF($D58&gt;SUM($G58:AF58),$D58/$E58,0))</f>
        <v>0</v>
      </c>
      <c r="AH58" s="276">
        <f ca="1">IF($C58+1&gt;AH$7,0,IF($D58&gt;SUM($G58:AG58),$D58/$E58,0))</f>
        <v>0</v>
      </c>
      <c r="AI58" s="276">
        <f ca="1">IF($C58+1&gt;AI$7,0,IF($D58&gt;SUM($G58:AH58),$D58/$E58,0))</f>
        <v>0</v>
      </c>
      <c r="AJ58" s="276">
        <f ca="1">IF($C58+1&gt;AJ$7,0,IF($D58&gt;SUM($G58:AI58),$D58/$E58,0))</f>
        <v>0</v>
      </c>
      <c r="AK58" s="276">
        <f ca="1">IF($C58+1&gt;AK$7,0,IF($D58&gt;SUM($G58:AJ58),$D58/$E58,0))</f>
        <v>0</v>
      </c>
      <c r="AL58" s="276">
        <f ca="1">IF($C58+1&gt;AL$7,0,IF($D58&gt;SUM($G58:AK58),$D58/$E58,0))</f>
        <v>0</v>
      </c>
      <c r="AM58" s="276">
        <f ca="1">IF($C58+1&gt;AM$7,0,IF($D58&gt;SUM($G58:AL58),$D58/$E58,0))</f>
        <v>0</v>
      </c>
      <c r="AN58" s="276">
        <f ca="1">IF($C58+1&gt;AN$7,0,IF($D58&gt;SUM($G58:AM58),$D58/$E58,0))</f>
        <v>0</v>
      </c>
      <c r="AO58" s="276">
        <f ca="1">IF($C58+1&gt;AO$7,0,IF($D58&gt;SUM($G58:AN58),$D58/$E58,0))</f>
        <v>0</v>
      </c>
      <c r="AP58" s="276">
        <f ca="1">IF($C58+1&gt;AP$7,0,IF($D58&gt;SUM($G58:AO58),$D58/$E58,0))</f>
        <v>0</v>
      </c>
      <c r="AQ58" s="276">
        <f ca="1">IF($C58+1&gt;AQ$7,0,IF($D58&gt;SUM($G58:AP58),$D58/$E58,0))</f>
        <v>0</v>
      </c>
      <c r="AR58" s="276">
        <f ca="1">IF($C58+1&gt;AR$7,0,IF($D58&gt;SUM($G58:AQ58),$D58/$E58,0))</f>
        <v>0</v>
      </c>
      <c r="AS58" s="276">
        <f ca="1">IF($C58+1&gt;AS$7,0,IF($D58&gt;SUM($G58:AR58),$D58/$E58,0))</f>
        <v>0</v>
      </c>
      <c r="AT58" s="276">
        <f ca="1">IF($C58+1&gt;AT$7,0,IF($D58&gt;SUM($G58:AS58),$D58/$E58,0))</f>
        <v>0</v>
      </c>
      <c r="AU58" s="276">
        <f ca="1">IF($C58+1&gt;AU$7,0,IF($D58&gt;SUM($G58:AT58),$D58/$E58,0))</f>
        <v>0</v>
      </c>
      <c r="AV58" s="276">
        <f ca="1">IF($C58+1&gt;AV$7,0,IF($D58&gt;SUM($G58:AU58),$D58/$E58,0))</f>
        <v>0</v>
      </c>
      <c r="AW58" s="276">
        <f ca="1">IF($C58+1&gt;AW$7,0,IF($D58&gt;SUM($G58:AV58),$D58/$E58,0))</f>
        <v>0</v>
      </c>
      <c r="AX58" s="276">
        <f ca="1">IF($C58+1&gt;AX$7,0,IF($D58&gt;SUM($G58:AW58),$D58/$E58,0))</f>
        <v>0</v>
      </c>
      <c r="AY58" s="276">
        <f ca="1">IF($C58+1&gt;AY$7,0,IF($D58&gt;SUM($G58:AX58),$D58/$E58,0))</f>
        <v>0</v>
      </c>
      <c r="AZ58" s="276">
        <f ca="1">IF($C58+1&gt;AZ$7,0,IF($D58&gt;SUM($G58:AY58),$D58/$E58,0))</f>
        <v>0</v>
      </c>
      <c r="BA58" s="276">
        <f ca="1">IF($C58+1&gt;BA$7,0,IF($D58&gt;SUM($G58:AZ58),$D58/$E58,0))</f>
        <v>0</v>
      </c>
      <c r="BB58" s="276">
        <f ca="1">IF($C58+1&gt;BB$7,0,IF($D58&gt;SUM($G58:BA58),$D58/$E58,0))</f>
        <v>0</v>
      </c>
      <c r="BC58" s="276">
        <f ca="1">IF($C58+1&gt;BC$7,0,IF($D58&gt;SUM($G58:BB58),$D58/$E58,0))</f>
        <v>0</v>
      </c>
      <c r="BD58" s="276">
        <f ca="1">IF($C58+1&gt;BD$7,0,IF($D58&gt;SUM($G58:BC58),$D58/$E58,0))</f>
        <v>0</v>
      </c>
      <c r="BE58" s="276">
        <f ca="1">IF($C58+1&gt;BE$7,0,IF($D58&gt;SUM($G58:BD58),$D58/$E58,0))</f>
        <v>0</v>
      </c>
      <c r="BF58" s="276">
        <f ca="1">IF($C58+1&gt;BF$7,0,IF($D58&gt;SUM($G58:BE58),$D58/$E58,0))</f>
        <v>0</v>
      </c>
      <c r="BG58" s="276">
        <f ca="1">IF($C58+1&gt;BG$7,0,IF($D58&gt;SUM($G58:BF58),$D58/$E58,0))</f>
        <v>0</v>
      </c>
      <c r="BH58" s="276">
        <f ca="1">IF($C58+1&gt;BH$7,0,IF($D58&gt;SUM($G58:BG58),$D58/$E58,0))</f>
        <v>0</v>
      </c>
      <c r="BI58" s="276">
        <f ca="1">IF($C58+1&gt;BI$7,0,IF($D58&gt;SUM($G58:BH58),$D58/$E58,0))</f>
        <v>0</v>
      </c>
      <c r="BJ58" s="276">
        <f ca="1">IF($C58+1&gt;BJ$7,0,IF($D58&gt;SUM($G58:BI58),$D58/$E58,0))</f>
        <v>0</v>
      </c>
      <c r="BK58" s="276">
        <f ca="1">IF($C58+1&gt;BK$7,0,IF($D58&gt;SUM($G58:BJ58),$D58/$E58,0))</f>
        <v>0</v>
      </c>
      <c r="BL58" s="276">
        <f ca="1">IF($C58+1&gt;BL$7,0,IF($D58&gt;SUM($G58:BK58),$D58/$E58,0))</f>
        <v>0</v>
      </c>
      <c r="BM58" s="276">
        <f ca="1">IF($C58+1&gt;BM$7,0,IF($D58&gt;SUM($G58:BL58),$D58/$E58,0))</f>
        <v>0</v>
      </c>
      <c r="BN58" s="276">
        <f ca="1">IF($C58+1&gt;BN$7,0,IF($D58&gt;SUM($G58:BM58),$D58/$E58,0))</f>
        <v>0</v>
      </c>
      <c r="BO58" s="276"/>
      <c r="BP58" s="276"/>
      <c r="BQ58" s="276"/>
      <c r="BR58" s="276"/>
      <c r="BS58" s="276"/>
      <c r="BT58" s="276"/>
      <c r="BU58" s="276"/>
      <c r="BV58" s="276"/>
      <c r="BW58" s="276"/>
      <c r="BX58" s="276"/>
      <c r="BY58" s="276"/>
      <c r="BZ58" s="276"/>
      <c r="CA58" s="254"/>
      <c r="CB58" s="254"/>
      <c r="CC58" s="254"/>
      <c r="CD58" s="254"/>
      <c r="CE58" s="254"/>
      <c r="CF58" s="254"/>
      <c r="CG58" s="254"/>
      <c r="CH58" s="254"/>
      <c r="CI58" s="254"/>
      <c r="CJ58" s="254"/>
      <c r="CK58" s="254"/>
      <c r="CL58" s="254"/>
    </row>
    <row r="59" spans="1:90" outlineLevel="1" x14ac:dyDescent="0.15">
      <c r="A59" s="272"/>
      <c r="B59" s="273"/>
      <c r="C59" s="275">
        <v>19</v>
      </c>
      <c r="D59" s="278">
        <f ca="1"/>
        <v>0</v>
      </c>
      <c r="E59" s="275">
        <f>SAP_Leadsheet!$E$50</f>
        <v>0</v>
      </c>
      <c r="F59" s="275"/>
      <c r="G59" s="276">
        <f>IF($C59+1&gt;G$7,0,IF($D59&gt;SUM(#REF!),$D59/$E59,0))</f>
        <v>0</v>
      </c>
      <c r="H59" s="276">
        <f>IF($C59+1&gt;H$7,0,IF($D59&gt;SUM($G59:G59),$D59/$E59,0))</f>
        <v>0</v>
      </c>
      <c r="I59" s="276">
        <f>IF($C59+1&gt;I$7,0,IF($D59&gt;SUM($G59:H59),$D59/$E59,0))</f>
        <v>0</v>
      </c>
      <c r="J59" s="276">
        <f>IF($C59+1&gt;J$7,0,IF($D59&gt;SUM($G59:I59),$D59/$E59,0))</f>
        <v>0</v>
      </c>
      <c r="K59" s="276">
        <f>IF($C59+1&gt;K$7,0,IF($D59&gt;SUM($G59:J59),$D59/$E59,0))</f>
        <v>0</v>
      </c>
      <c r="L59" s="276">
        <f>IF($C59+1&gt;L$7,0,IF($D59&gt;SUM($G59:K59),$D59/$E59,0))</f>
        <v>0</v>
      </c>
      <c r="M59" s="276">
        <f>IF($C59+1&gt;M$7,0,IF($D59&gt;SUM($G59:L59),$D59/$E59,0))</f>
        <v>0</v>
      </c>
      <c r="N59" s="276">
        <f>IF($C59+1&gt;N$7,0,IF($D59&gt;SUM($G59:M59),$D59/$E59,0))</f>
        <v>0</v>
      </c>
      <c r="O59" s="276">
        <f>IF($C59+1&gt;O$7,0,IF($D59&gt;SUM($G59:N59),$D59/$E59,0))</f>
        <v>0</v>
      </c>
      <c r="P59" s="276">
        <f>IF($C59+1&gt;P$7,0,IF($D59&gt;SUM($G59:O59),$D59/$E59,0))</f>
        <v>0</v>
      </c>
      <c r="Q59" s="276">
        <f>IF($C59+1&gt;Q$7,0,IF($D59&gt;SUM($G59:P59),$D59/$E59,0))</f>
        <v>0</v>
      </c>
      <c r="R59" s="276">
        <f>IF($C59+1&gt;R$7,0,IF($D59&gt;SUM($G59:Q59),$D59/$E59,0))</f>
        <v>0</v>
      </c>
      <c r="S59" s="276">
        <f>IF($C59+1&gt;S$7,0,IF($D59&gt;SUM($G59:R59),$D59/$E59,0))</f>
        <v>0</v>
      </c>
      <c r="T59" s="276">
        <f>IF($C59+1&gt;T$7,0,IF($D59&gt;SUM($G59:S59),$D59/$E59,0))</f>
        <v>0</v>
      </c>
      <c r="U59" s="276">
        <f>IF($C59+1&gt;U$7,0,IF($D59&gt;SUM($G59:T59),$D59/$E59,0))</f>
        <v>0</v>
      </c>
      <c r="V59" s="276">
        <f>IF($C59+1&gt;V$7,0,IF($D59&gt;SUM($G59:U59),$D59/$E59,0))</f>
        <v>0</v>
      </c>
      <c r="W59" s="276">
        <f>IF($C59+1&gt;W$7,0,IF($D59&gt;SUM($G59:V59),$D59/$E59,0))</f>
        <v>0</v>
      </c>
      <c r="X59" s="276">
        <f>IF($C59+1&gt;X$7,0,IF($D59&gt;SUM($G59:W59),$D59/$E59,0))</f>
        <v>0</v>
      </c>
      <c r="Y59" s="276">
        <f>IF($C59+1&gt;Y$7,0,IF($D59&gt;SUM($G59:X59),$D59/$E59,0))</f>
        <v>0</v>
      </c>
      <c r="Z59" s="276">
        <f ca="1">IF($C59+1&gt;Z$7,0,IF($D59&gt;SUM($G59:Y59),$D59/$E59,0))</f>
        <v>0</v>
      </c>
      <c r="AA59" s="276">
        <f ca="1">IF($C59+1&gt;AA$7,0,IF($D59&gt;SUM($G59:Z59),$D59/$E59,0))</f>
        <v>0</v>
      </c>
      <c r="AB59" s="276">
        <f ca="1">IF($C59+1&gt;AB$7,0,IF($D59&gt;SUM($G59:AA59),$D59/$E59,0))</f>
        <v>0</v>
      </c>
      <c r="AC59" s="276">
        <f ca="1">IF($C59+1&gt;AC$7,0,IF($D59&gt;SUM($G59:AB59),$D59/$E59,0))</f>
        <v>0</v>
      </c>
      <c r="AD59" s="276">
        <f ca="1">IF($C59+1&gt;AD$7,0,IF($D59&gt;SUM($G59:AC59),$D59/$E59,0))</f>
        <v>0</v>
      </c>
      <c r="AE59" s="276">
        <f ca="1">IF($C59+1&gt;AE$7,0,IF($D59&gt;SUM($G59:AD59),$D59/$E59,0))</f>
        <v>0</v>
      </c>
      <c r="AF59" s="276">
        <f ca="1">IF($C59+1&gt;AF$7,0,IF($D59&gt;SUM($G59:AE59),$D59/$E59,0))</f>
        <v>0</v>
      </c>
      <c r="AG59" s="276">
        <f ca="1">IF($C59+1&gt;AG$7,0,IF($D59&gt;SUM($G59:AF59),$D59/$E59,0))</f>
        <v>0</v>
      </c>
      <c r="AH59" s="276">
        <f ca="1">IF($C59+1&gt;AH$7,0,IF($D59&gt;SUM($G59:AG59),$D59/$E59,0))</f>
        <v>0</v>
      </c>
      <c r="AI59" s="276">
        <f ca="1">IF($C59+1&gt;AI$7,0,IF($D59&gt;SUM($G59:AH59),$D59/$E59,0))</f>
        <v>0</v>
      </c>
      <c r="AJ59" s="276">
        <f ca="1">IF($C59+1&gt;AJ$7,0,IF($D59&gt;SUM($G59:AI59),$D59/$E59,0))</f>
        <v>0</v>
      </c>
      <c r="AK59" s="276">
        <f ca="1">IF($C59+1&gt;AK$7,0,IF($D59&gt;SUM($G59:AJ59),$D59/$E59,0))</f>
        <v>0</v>
      </c>
      <c r="AL59" s="276">
        <f ca="1">IF($C59+1&gt;AL$7,0,IF($D59&gt;SUM($G59:AK59),$D59/$E59,0))</f>
        <v>0</v>
      </c>
      <c r="AM59" s="276">
        <f ca="1">IF($C59+1&gt;AM$7,0,IF($D59&gt;SUM($G59:AL59),$D59/$E59,0))</f>
        <v>0</v>
      </c>
      <c r="AN59" s="276">
        <f ca="1">IF($C59+1&gt;AN$7,0,IF($D59&gt;SUM($G59:AM59),$D59/$E59,0))</f>
        <v>0</v>
      </c>
      <c r="AO59" s="276">
        <f ca="1">IF($C59+1&gt;AO$7,0,IF($D59&gt;SUM($G59:AN59),$D59/$E59,0))</f>
        <v>0</v>
      </c>
      <c r="AP59" s="276">
        <f ca="1">IF($C59+1&gt;AP$7,0,IF($D59&gt;SUM($G59:AO59),$D59/$E59,0))</f>
        <v>0</v>
      </c>
      <c r="AQ59" s="276">
        <f ca="1">IF($C59+1&gt;AQ$7,0,IF($D59&gt;SUM($G59:AP59),$D59/$E59,0))</f>
        <v>0</v>
      </c>
      <c r="AR59" s="276">
        <f ca="1">IF($C59+1&gt;AR$7,0,IF($D59&gt;SUM($G59:AQ59),$D59/$E59,0))</f>
        <v>0</v>
      </c>
      <c r="AS59" s="276">
        <f ca="1">IF($C59+1&gt;AS$7,0,IF($D59&gt;SUM($G59:AR59),$D59/$E59,0))</f>
        <v>0</v>
      </c>
      <c r="AT59" s="276">
        <f ca="1">IF($C59+1&gt;AT$7,0,IF($D59&gt;SUM($G59:AS59),$D59/$E59,0))</f>
        <v>0</v>
      </c>
      <c r="AU59" s="276">
        <f ca="1">IF($C59+1&gt;AU$7,0,IF($D59&gt;SUM($G59:AT59),$D59/$E59,0))</f>
        <v>0</v>
      </c>
      <c r="AV59" s="276">
        <f ca="1">IF($C59+1&gt;AV$7,0,IF($D59&gt;SUM($G59:AU59),$D59/$E59,0))</f>
        <v>0</v>
      </c>
      <c r="AW59" s="276">
        <f ca="1">IF($C59+1&gt;AW$7,0,IF($D59&gt;SUM($G59:AV59),$D59/$E59,0))</f>
        <v>0</v>
      </c>
      <c r="AX59" s="276">
        <f ca="1">IF($C59+1&gt;AX$7,0,IF($D59&gt;SUM($G59:AW59),$D59/$E59,0))</f>
        <v>0</v>
      </c>
      <c r="AY59" s="276">
        <f ca="1">IF($C59+1&gt;AY$7,0,IF($D59&gt;SUM($G59:AX59),$D59/$E59,0))</f>
        <v>0</v>
      </c>
      <c r="AZ59" s="276">
        <f ca="1">IF($C59+1&gt;AZ$7,0,IF($D59&gt;SUM($G59:AY59),$D59/$E59,0))</f>
        <v>0</v>
      </c>
      <c r="BA59" s="276">
        <f ca="1">IF($C59+1&gt;BA$7,0,IF($D59&gt;SUM($G59:AZ59),$D59/$E59,0))</f>
        <v>0</v>
      </c>
      <c r="BB59" s="276">
        <f ca="1">IF($C59+1&gt;BB$7,0,IF($D59&gt;SUM($G59:BA59),$D59/$E59,0))</f>
        <v>0</v>
      </c>
      <c r="BC59" s="276">
        <f ca="1">IF($C59+1&gt;BC$7,0,IF($D59&gt;SUM($G59:BB59),$D59/$E59,0))</f>
        <v>0</v>
      </c>
      <c r="BD59" s="276">
        <f ca="1">IF($C59+1&gt;BD$7,0,IF($D59&gt;SUM($G59:BC59),$D59/$E59,0))</f>
        <v>0</v>
      </c>
      <c r="BE59" s="276">
        <f ca="1">IF($C59+1&gt;BE$7,0,IF($D59&gt;SUM($G59:BD59),$D59/$E59,0))</f>
        <v>0</v>
      </c>
      <c r="BF59" s="276">
        <f ca="1">IF($C59+1&gt;BF$7,0,IF($D59&gt;SUM($G59:BE59),$D59/$E59,0))</f>
        <v>0</v>
      </c>
      <c r="BG59" s="276">
        <f ca="1">IF($C59+1&gt;BG$7,0,IF($D59&gt;SUM($G59:BF59),$D59/$E59,0))</f>
        <v>0</v>
      </c>
      <c r="BH59" s="276">
        <f ca="1">IF($C59+1&gt;BH$7,0,IF($D59&gt;SUM($G59:BG59),$D59/$E59,0))</f>
        <v>0</v>
      </c>
      <c r="BI59" s="276">
        <f ca="1">IF($C59+1&gt;BI$7,0,IF($D59&gt;SUM($G59:BH59),$D59/$E59,0))</f>
        <v>0</v>
      </c>
      <c r="BJ59" s="276">
        <f ca="1">IF($C59+1&gt;BJ$7,0,IF($D59&gt;SUM($G59:BI59),$D59/$E59,0))</f>
        <v>0</v>
      </c>
      <c r="BK59" s="276">
        <f ca="1">IF($C59+1&gt;BK$7,0,IF($D59&gt;SUM($G59:BJ59),$D59/$E59,0))</f>
        <v>0</v>
      </c>
      <c r="BL59" s="276">
        <f ca="1">IF($C59+1&gt;BL$7,0,IF($D59&gt;SUM($G59:BK59),$D59/$E59,0))</f>
        <v>0</v>
      </c>
      <c r="BM59" s="276">
        <f ca="1">IF($C59+1&gt;BM$7,0,IF($D59&gt;SUM($G59:BL59),$D59/$E59,0))</f>
        <v>0</v>
      </c>
      <c r="BN59" s="276">
        <f ca="1">IF($C59+1&gt;BN$7,0,IF($D59&gt;SUM($G59:BM59),$D59/$E59,0))</f>
        <v>0</v>
      </c>
      <c r="BO59" s="276"/>
      <c r="BP59" s="276"/>
      <c r="BQ59" s="276"/>
      <c r="BR59" s="276"/>
      <c r="BS59" s="276"/>
      <c r="BT59" s="276"/>
      <c r="BU59" s="276"/>
      <c r="BV59" s="276"/>
      <c r="BW59" s="276"/>
      <c r="BX59" s="276"/>
      <c r="BY59" s="276"/>
      <c r="BZ59" s="276"/>
      <c r="CA59" s="254"/>
      <c r="CB59" s="254"/>
      <c r="CC59" s="254"/>
      <c r="CD59" s="254"/>
      <c r="CE59" s="254"/>
      <c r="CF59" s="254"/>
      <c r="CG59" s="254"/>
      <c r="CH59" s="254"/>
      <c r="CI59" s="254"/>
      <c r="CJ59" s="254"/>
      <c r="CK59" s="254"/>
      <c r="CL59" s="254"/>
    </row>
    <row r="60" spans="1:90" outlineLevel="1" x14ac:dyDescent="0.15">
      <c r="A60" s="272"/>
      <c r="B60" s="273"/>
      <c r="C60" s="275">
        <v>20</v>
      </c>
      <c r="D60" s="278">
        <f ca="1"/>
        <v>0</v>
      </c>
      <c r="E60" s="275">
        <f>SAP_Leadsheet!$E$50</f>
        <v>0</v>
      </c>
      <c r="F60" s="275"/>
      <c r="G60" s="276">
        <f>IF($C60+1&gt;G$7,0,IF($D60&gt;SUM(#REF!),$D60/$E60,0))</f>
        <v>0</v>
      </c>
      <c r="H60" s="276">
        <f>IF($C60+1&gt;H$7,0,IF($D60&gt;SUM($G60:G60),$D60/$E60,0))</f>
        <v>0</v>
      </c>
      <c r="I60" s="276">
        <f>IF($C60+1&gt;I$7,0,IF($D60&gt;SUM($G60:H60),$D60/$E60,0))</f>
        <v>0</v>
      </c>
      <c r="J60" s="276">
        <f>IF($C60+1&gt;J$7,0,IF($D60&gt;SUM($G60:I60),$D60/$E60,0))</f>
        <v>0</v>
      </c>
      <c r="K60" s="276">
        <f>IF($C60+1&gt;K$7,0,IF($D60&gt;SUM($G60:J60),$D60/$E60,0))</f>
        <v>0</v>
      </c>
      <c r="L60" s="276">
        <f>IF($C60+1&gt;L$7,0,IF($D60&gt;SUM($G60:K60),$D60/$E60,0))</f>
        <v>0</v>
      </c>
      <c r="M60" s="276">
        <f>IF($C60+1&gt;M$7,0,IF($D60&gt;SUM($G60:L60),$D60/$E60,0))</f>
        <v>0</v>
      </c>
      <c r="N60" s="276">
        <f>IF($C60+1&gt;N$7,0,IF($D60&gt;SUM($G60:M60),$D60/$E60,0))</f>
        <v>0</v>
      </c>
      <c r="O60" s="276">
        <f>IF($C60+1&gt;O$7,0,IF($D60&gt;SUM($G60:N60),$D60/$E60,0))</f>
        <v>0</v>
      </c>
      <c r="P60" s="276">
        <f>IF($C60+1&gt;P$7,0,IF($D60&gt;SUM($G60:O60),$D60/$E60,0))</f>
        <v>0</v>
      </c>
      <c r="Q60" s="276">
        <f>IF($C60+1&gt;Q$7,0,IF($D60&gt;SUM($G60:P60),$D60/$E60,0))</f>
        <v>0</v>
      </c>
      <c r="R60" s="276">
        <f>IF($C60+1&gt;R$7,0,IF($D60&gt;SUM($G60:Q60),$D60/$E60,0))</f>
        <v>0</v>
      </c>
      <c r="S60" s="276">
        <f>IF($C60+1&gt;S$7,0,IF($D60&gt;SUM($G60:R60),$D60/$E60,0))</f>
        <v>0</v>
      </c>
      <c r="T60" s="276">
        <f>IF($C60+1&gt;T$7,0,IF($D60&gt;SUM($G60:S60),$D60/$E60,0))</f>
        <v>0</v>
      </c>
      <c r="U60" s="276">
        <f>IF($C60+1&gt;U$7,0,IF($D60&gt;SUM($G60:T60),$D60/$E60,0))</f>
        <v>0</v>
      </c>
      <c r="V60" s="276">
        <f>IF($C60+1&gt;V$7,0,IF($D60&gt;SUM($G60:U60),$D60/$E60,0))</f>
        <v>0</v>
      </c>
      <c r="W60" s="276">
        <f>IF($C60+1&gt;W$7,0,IF($D60&gt;SUM($G60:V60),$D60/$E60,0))</f>
        <v>0</v>
      </c>
      <c r="X60" s="276">
        <f>IF($C60+1&gt;X$7,0,IF($D60&gt;SUM($G60:W60),$D60/$E60,0))</f>
        <v>0</v>
      </c>
      <c r="Y60" s="276">
        <f>IF($C60+1&gt;Y$7,0,IF($D60&gt;SUM($G60:X60),$D60/$E60,0))</f>
        <v>0</v>
      </c>
      <c r="Z60" s="276">
        <f>IF($C60+1&gt;Z$7,0,IF($D60&gt;SUM($G60:Y60),$D60/$E60,0))</f>
        <v>0</v>
      </c>
      <c r="AA60" s="276">
        <f ca="1">IF($C60+1&gt;AA$7,0,IF($D60&gt;SUM($G60:Z60),$D60/$E60,0))</f>
        <v>0</v>
      </c>
      <c r="AB60" s="276">
        <f ca="1">IF($C60+1&gt;AB$7,0,IF($D60&gt;SUM($G60:AA60),$D60/$E60,0))</f>
        <v>0</v>
      </c>
      <c r="AC60" s="276">
        <f ca="1">IF($C60+1&gt;AC$7,0,IF($D60&gt;SUM($G60:AB60),$D60/$E60,0))</f>
        <v>0</v>
      </c>
      <c r="AD60" s="276">
        <f ca="1">IF($C60+1&gt;AD$7,0,IF($D60&gt;SUM($G60:AC60),$D60/$E60,0))</f>
        <v>0</v>
      </c>
      <c r="AE60" s="276">
        <f ca="1">IF($C60+1&gt;AE$7,0,IF($D60&gt;SUM($G60:AD60),$D60/$E60,0))</f>
        <v>0</v>
      </c>
      <c r="AF60" s="276">
        <f ca="1">IF($C60+1&gt;AF$7,0,IF($D60&gt;SUM($G60:AE60),$D60/$E60,0))</f>
        <v>0</v>
      </c>
      <c r="AG60" s="276">
        <f ca="1">IF($C60+1&gt;AG$7,0,IF($D60&gt;SUM($G60:AF60),$D60/$E60,0))</f>
        <v>0</v>
      </c>
      <c r="AH60" s="276">
        <f ca="1">IF($C60+1&gt;AH$7,0,IF($D60&gt;SUM($G60:AG60),$D60/$E60,0))</f>
        <v>0</v>
      </c>
      <c r="AI60" s="276">
        <f ca="1">IF($C60+1&gt;AI$7,0,IF($D60&gt;SUM($G60:AH60),$D60/$E60,0))</f>
        <v>0</v>
      </c>
      <c r="AJ60" s="276">
        <f ca="1">IF($C60+1&gt;AJ$7,0,IF($D60&gt;SUM($G60:AI60),$D60/$E60,0))</f>
        <v>0</v>
      </c>
      <c r="AK60" s="276">
        <f ca="1">IF($C60+1&gt;AK$7,0,IF($D60&gt;SUM($G60:AJ60),$D60/$E60,0))</f>
        <v>0</v>
      </c>
      <c r="AL60" s="276">
        <f ca="1">IF($C60+1&gt;AL$7,0,IF($D60&gt;SUM($G60:AK60),$D60/$E60,0))</f>
        <v>0</v>
      </c>
      <c r="AM60" s="276">
        <f ca="1">IF($C60+1&gt;AM$7,0,IF($D60&gt;SUM($G60:AL60),$D60/$E60,0))</f>
        <v>0</v>
      </c>
      <c r="AN60" s="276">
        <f ca="1">IF($C60+1&gt;AN$7,0,IF($D60&gt;SUM($G60:AM60),$D60/$E60,0))</f>
        <v>0</v>
      </c>
      <c r="AO60" s="276">
        <f ca="1">IF($C60+1&gt;AO$7,0,IF($D60&gt;SUM($G60:AN60),$D60/$E60,0))</f>
        <v>0</v>
      </c>
      <c r="AP60" s="276">
        <f ca="1">IF($C60+1&gt;AP$7,0,IF($D60&gt;SUM($G60:AO60),$D60/$E60,0))</f>
        <v>0</v>
      </c>
      <c r="AQ60" s="276">
        <f ca="1">IF($C60+1&gt;AQ$7,0,IF($D60&gt;SUM($G60:AP60),$D60/$E60,0))</f>
        <v>0</v>
      </c>
      <c r="AR60" s="276">
        <f ca="1">IF($C60+1&gt;AR$7,0,IF($D60&gt;SUM($G60:AQ60),$D60/$E60,0))</f>
        <v>0</v>
      </c>
      <c r="AS60" s="276">
        <f ca="1">IF($C60+1&gt;AS$7,0,IF($D60&gt;SUM($G60:AR60),$D60/$E60,0))</f>
        <v>0</v>
      </c>
      <c r="AT60" s="276">
        <f ca="1">IF($C60+1&gt;AT$7,0,IF($D60&gt;SUM($G60:AS60),$D60/$E60,0))</f>
        <v>0</v>
      </c>
      <c r="AU60" s="276">
        <f ca="1">IF($C60+1&gt;AU$7,0,IF($D60&gt;SUM($G60:AT60),$D60/$E60,0))</f>
        <v>0</v>
      </c>
      <c r="AV60" s="276">
        <f ca="1">IF($C60+1&gt;AV$7,0,IF($D60&gt;SUM($G60:AU60),$D60/$E60,0))</f>
        <v>0</v>
      </c>
      <c r="AW60" s="276">
        <f ca="1">IF($C60+1&gt;AW$7,0,IF($D60&gt;SUM($G60:AV60),$D60/$E60,0))</f>
        <v>0</v>
      </c>
      <c r="AX60" s="276">
        <f ca="1">IF($C60+1&gt;AX$7,0,IF($D60&gt;SUM($G60:AW60),$D60/$E60,0))</f>
        <v>0</v>
      </c>
      <c r="AY60" s="276">
        <f ca="1">IF($C60+1&gt;AY$7,0,IF($D60&gt;SUM($G60:AX60),$D60/$E60,0))</f>
        <v>0</v>
      </c>
      <c r="AZ60" s="276">
        <f ca="1">IF($C60+1&gt;AZ$7,0,IF($D60&gt;SUM($G60:AY60),$D60/$E60,0))</f>
        <v>0</v>
      </c>
      <c r="BA60" s="276">
        <f ca="1">IF($C60+1&gt;BA$7,0,IF($D60&gt;SUM($G60:AZ60),$D60/$E60,0))</f>
        <v>0</v>
      </c>
      <c r="BB60" s="276">
        <f ca="1">IF($C60+1&gt;BB$7,0,IF($D60&gt;SUM($G60:BA60),$D60/$E60,0))</f>
        <v>0</v>
      </c>
      <c r="BC60" s="276">
        <f ca="1">IF($C60+1&gt;BC$7,0,IF($D60&gt;SUM($G60:BB60),$D60/$E60,0))</f>
        <v>0</v>
      </c>
      <c r="BD60" s="276">
        <f ca="1">IF($C60+1&gt;BD$7,0,IF($D60&gt;SUM($G60:BC60),$D60/$E60,0))</f>
        <v>0</v>
      </c>
      <c r="BE60" s="276">
        <f ca="1">IF($C60+1&gt;BE$7,0,IF($D60&gt;SUM($G60:BD60),$D60/$E60,0))</f>
        <v>0</v>
      </c>
      <c r="BF60" s="276">
        <f ca="1">IF($C60+1&gt;BF$7,0,IF($D60&gt;SUM($G60:BE60),$D60/$E60,0))</f>
        <v>0</v>
      </c>
      <c r="BG60" s="276">
        <f ca="1">IF($C60+1&gt;BG$7,0,IF($D60&gt;SUM($G60:BF60),$D60/$E60,0))</f>
        <v>0</v>
      </c>
      <c r="BH60" s="276">
        <f ca="1">IF($C60+1&gt;BH$7,0,IF($D60&gt;SUM($G60:BG60),$D60/$E60,0))</f>
        <v>0</v>
      </c>
      <c r="BI60" s="276">
        <f ca="1">IF($C60+1&gt;BI$7,0,IF($D60&gt;SUM($G60:BH60),$D60/$E60,0))</f>
        <v>0</v>
      </c>
      <c r="BJ60" s="276">
        <f ca="1">IF($C60+1&gt;BJ$7,0,IF($D60&gt;SUM($G60:BI60),$D60/$E60,0))</f>
        <v>0</v>
      </c>
      <c r="BK60" s="276">
        <f ca="1">IF($C60+1&gt;BK$7,0,IF($D60&gt;SUM($G60:BJ60),$D60/$E60,0))</f>
        <v>0</v>
      </c>
      <c r="BL60" s="276">
        <f ca="1">IF($C60+1&gt;BL$7,0,IF($D60&gt;SUM($G60:BK60),$D60/$E60,0))</f>
        <v>0</v>
      </c>
      <c r="BM60" s="276">
        <f ca="1">IF($C60+1&gt;BM$7,0,IF($D60&gt;SUM($G60:BL60),$D60/$E60,0))</f>
        <v>0</v>
      </c>
      <c r="BN60" s="276">
        <f ca="1">IF($C60+1&gt;BN$7,0,IF($D60&gt;SUM($G60:BM60),$D60/$E60,0))</f>
        <v>0</v>
      </c>
      <c r="BO60" s="276"/>
      <c r="BP60" s="276"/>
      <c r="BQ60" s="276"/>
      <c r="BR60" s="276"/>
      <c r="BS60" s="276"/>
      <c r="BT60" s="276"/>
      <c r="BU60" s="276"/>
      <c r="BV60" s="276"/>
      <c r="BW60" s="276"/>
      <c r="BX60" s="276"/>
      <c r="BY60" s="276"/>
      <c r="BZ60" s="276"/>
      <c r="CA60" s="254"/>
      <c r="CB60" s="254"/>
      <c r="CC60" s="254"/>
      <c r="CD60" s="254"/>
      <c r="CE60" s="254"/>
      <c r="CF60" s="254"/>
      <c r="CG60" s="254"/>
      <c r="CH60" s="254"/>
      <c r="CI60" s="254"/>
      <c r="CJ60" s="254"/>
      <c r="CK60" s="254"/>
      <c r="CL60" s="254"/>
    </row>
    <row r="61" spans="1:90" outlineLevel="1" x14ac:dyDescent="0.15">
      <c r="A61" s="272"/>
      <c r="B61" s="273"/>
      <c r="C61" s="275">
        <v>21</v>
      </c>
      <c r="D61" s="278">
        <f ca="1"/>
        <v>0</v>
      </c>
      <c r="E61" s="275">
        <f>SAP_Leadsheet!$E$50</f>
        <v>0</v>
      </c>
      <c r="F61" s="275"/>
      <c r="G61" s="276">
        <f>IF($C61+1&gt;G$7,0,IF($D61&gt;SUM(#REF!),$D61/$E61,0))</f>
        <v>0</v>
      </c>
      <c r="H61" s="276">
        <f>IF($C61+1&gt;H$7,0,IF($D61&gt;SUM($G61:G61),$D61/$E61,0))</f>
        <v>0</v>
      </c>
      <c r="I61" s="276">
        <f>IF($C61+1&gt;I$7,0,IF($D61&gt;SUM($G61:H61),$D61/$E61,0))</f>
        <v>0</v>
      </c>
      <c r="J61" s="276">
        <f>IF($C61+1&gt;J$7,0,IF($D61&gt;SUM($G61:I61),$D61/$E61,0))</f>
        <v>0</v>
      </c>
      <c r="K61" s="276">
        <f>IF($C61+1&gt;K$7,0,IF($D61&gt;SUM($G61:J61),$D61/$E61,0))</f>
        <v>0</v>
      </c>
      <c r="L61" s="276">
        <f>IF($C61+1&gt;L$7,0,IF($D61&gt;SUM($G61:K61),$D61/$E61,0))</f>
        <v>0</v>
      </c>
      <c r="M61" s="276">
        <f>IF($C61+1&gt;M$7,0,IF($D61&gt;SUM($G61:L61),$D61/$E61,0))</f>
        <v>0</v>
      </c>
      <c r="N61" s="276">
        <f>IF($C61+1&gt;N$7,0,IF($D61&gt;SUM($G61:M61),$D61/$E61,0))</f>
        <v>0</v>
      </c>
      <c r="O61" s="276">
        <f>IF($C61+1&gt;O$7,0,IF($D61&gt;SUM($G61:N61),$D61/$E61,0))</f>
        <v>0</v>
      </c>
      <c r="P61" s="276">
        <f>IF($C61+1&gt;P$7,0,IF($D61&gt;SUM($G61:O61),$D61/$E61,0))</f>
        <v>0</v>
      </c>
      <c r="Q61" s="276">
        <f>IF($C61+1&gt;Q$7,0,IF($D61&gt;SUM($G61:P61),$D61/$E61,0))</f>
        <v>0</v>
      </c>
      <c r="R61" s="276">
        <f>IF($C61+1&gt;R$7,0,IF($D61&gt;SUM($G61:Q61),$D61/$E61,0))</f>
        <v>0</v>
      </c>
      <c r="S61" s="276">
        <f>IF($C61+1&gt;S$7,0,IF($D61&gt;SUM($G61:R61),$D61/$E61,0))</f>
        <v>0</v>
      </c>
      <c r="T61" s="276">
        <f>IF($C61+1&gt;T$7,0,IF($D61&gt;SUM($G61:S61),$D61/$E61,0))</f>
        <v>0</v>
      </c>
      <c r="U61" s="276">
        <f>IF($C61+1&gt;U$7,0,IF($D61&gt;SUM($G61:T61),$D61/$E61,0))</f>
        <v>0</v>
      </c>
      <c r="V61" s="276">
        <f>IF($C61+1&gt;V$7,0,IF($D61&gt;SUM($G61:U61),$D61/$E61,0))</f>
        <v>0</v>
      </c>
      <c r="W61" s="276">
        <f>IF($C61+1&gt;W$7,0,IF($D61&gt;SUM($G61:V61),$D61/$E61,0))</f>
        <v>0</v>
      </c>
      <c r="X61" s="276">
        <f>IF($C61+1&gt;X$7,0,IF($D61&gt;SUM($G61:W61),$D61/$E61,0))</f>
        <v>0</v>
      </c>
      <c r="Y61" s="276">
        <f>IF($C61+1&gt;Y$7,0,IF($D61&gt;SUM($G61:X61),$D61/$E61,0))</f>
        <v>0</v>
      </c>
      <c r="Z61" s="276">
        <f>IF($C61+1&gt;Z$7,0,IF($D61&gt;SUM($G61:Y61),$D61/$E61,0))</f>
        <v>0</v>
      </c>
      <c r="AA61" s="276">
        <f>IF($C61+1&gt;AA$7,0,IF($D61&gt;SUM($G61:Z61),$D61/$E61,0))</f>
        <v>0</v>
      </c>
      <c r="AB61" s="276">
        <f ca="1">IF($C61+1&gt;AB$7,0,IF($D61&gt;SUM($G61:AA61),$D61/$E61,0))</f>
        <v>0</v>
      </c>
      <c r="AC61" s="276">
        <f ca="1">IF($C61+1&gt;AC$7,0,IF($D61&gt;SUM($G61:AB61),$D61/$E61,0))</f>
        <v>0</v>
      </c>
      <c r="AD61" s="276">
        <f ca="1">IF($C61+1&gt;AD$7,0,IF($D61&gt;SUM($G61:AC61),$D61/$E61,0))</f>
        <v>0</v>
      </c>
      <c r="AE61" s="276">
        <f ca="1">IF($C61+1&gt;AE$7,0,IF($D61&gt;SUM($G61:AD61),$D61/$E61,0))</f>
        <v>0</v>
      </c>
      <c r="AF61" s="276">
        <f ca="1">IF($C61+1&gt;AF$7,0,IF($D61&gt;SUM($G61:AE61),$D61/$E61,0))</f>
        <v>0</v>
      </c>
      <c r="AG61" s="276">
        <f ca="1">IF($C61+1&gt;AG$7,0,IF($D61&gt;SUM($G61:AF61),$D61/$E61,0))</f>
        <v>0</v>
      </c>
      <c r="AH61" s="276">
        <f ca="1">IF($C61+1&gt;AH$7,0,IF($D61&gt;SUM($G61:AG61),$D61/$E61,0))</f>
        <v>0</v>
      </c>
      <c r="AI61" s="276">
        <f ca="1">IF($C61+1&gt;AI$7,0,IF($D61&gt;SUM($G61:AH61),$D61/$E61,0))</f>
        <v>0</v>
      </c>
      <c r="AJ61" s="276">
        <f ca="1">IF($C61+1&gt;AJ$7,0,IF($D61&gt;SUM($G61:AI61),$D61/$E61,0))</f>
        <v>0</v>
      </c>
      <c r="AK61" s="276">
        <f ca="1">IF($C61+1&gt;AK$7,0,IF($D61&gt;SUM($G61:AJ61),$D61/$E61,0))</f>
        <v>0</v>
      </c>
      <c r="AL61" s="276">
        <f ca="1">IF($C61+1&gt;AL$7,0,IF($D61&gt;SUM($G61:AK61),$D61/$E61,0))</f>
        <v>0</v>
      </c>
      <c r="AM61" s="276">
        <f ca="1">IF($C61+1&gt;AM$7,0,IF($D61&gt;SUM($G61:AL61),$D61/$E61,0))</f>
        <v>0</v>
      </c>
      <c r="AN61" s="276">
        <f ca="1">IF($C61+1&gt;AN$7,0,IF($D61&gt;SUM($G61:AM61),$D61/$E61,0))</f>
        <v>0</v>
      </c>
      <c r="AO61" s="276">
        <f ca="1">IF($C61+1&gt;AO$7,0,IF($D61&gt;SUM($G61:AN61),$D61/$E61,0))</f>
        <v>0</v>
      </c>
      <c r="AP61" s="276">
        <f ca="1">IF($C61+1&gt;AP$7,0,IF($D61&gt;SUM($G61:AO61),$D61/$E61,0))</f>
        <v>0</v>
      </c>
      <c r="AQ61" s="276">
        <f ca="1">IF($C61+1&gt;AQ$7,0,IF($D61&gt;SUM($G61:AP61),$D61/$E61,0))</f>
        <v>0</v>
      </c>
      <c r="AR61" s="276">
        <f ca="1">IF($C61+1&gt;AR$7,0,IF($D61&gt;SUM($G61:AQ61),$D61/$E61,0))</f>
        <v>0</v>
      </c>
      <c r="AS61" s="276">
        <f ca="1">IF($C61+1&gt;AS$7,0,IF($D61&gt;SUM($G61:AR61),$D61/$E61,0))</f>
        <v>0</v>
      </c>
      <c r="AT61" s="276">
        <f ca="1">IF($C61+1&gt;AT$7,0,IF($D61&gt;SUM($G61:AS61),$D61/$E61,0))</f>
        <v>0</v>
      </c>
      <c r="AU61" s="276">
        <f ca="1">IF($C61+1&gt;AU$7,0,IF($D61&gt;SUM($G61:AT61),$D61/$E61,0))</f>
        <v>0</v>
      </c>
      <c r="AV61" s="276">
        <f ca="1">IF($C61+1&gt;AV$7,0,IF($D61&gt;SUM($G61:AU61),$D61/$E61,0))</f>
        <v>0</v>
      </c>
      <c r="AW61" s="276">
        <f ca="1">IF($C61+1&gt;AW$7,0,IF($D61&gt;SUM($G61:AV61),$D61/$E61,0))</f>
        <v>0</v>
      </c>
      <c r="AX61" s="276">
        <f ca="1">IF($C61+1&gt;AX$7,0,IF($D61&gt;SUM($G61:AW61),$D61/$E61,0))</f>
        <v>0</v>
      </c>
      <c r="AY61" s="276">
        <f ca="1">IF($C61+1&gt;AY$7,0,IF($D61&gt;SUM($G61:AX61),$D61/$E61,0))</f>
        <v>0</v>
      </c>
      <c r="AZ61" s="276">
        <f ca="1">IF($C61+1&gt;AZ$7,0,IF($D61&gt;SUM($G61:AY61),$D61/$E61,0))</f>
        <v>0</v>
      </c>
      <c r="BA61" s="276">
        <f ca="1">IF($C61+1&gt;BA$7,0,IF($D61&gt;SUM($G61:AZ61),$D61/$E61,0))</f>
        <v>0</v>
      </c>
      <c r="BB61" s="276">
        <f ca="1">IF($C61+1&gt;BB$7,0,IF($D61&gt;SUM($G61:BA61),$D61/$E61,0))</f>
        <v>0</v>
      </c>
      <c r="BC61" s="276">
        <f ca="1">IF($C61+1&gt;BC$7,0,IF($D61&gt;SUM($G61:BB61),$D61/$E61,0))</f>
        <v>0</v>
      </c>
      <c r="BD61" s="276">
        <f ca="1">IF($C61+1&gt;BD$7,0,IF($D61&gt;SUM($G61:BC61),$D61/$E61,0))</f>
        <v>0</v>
      </c>
      <c r="BE61" s="276">
        <f ca="1">IF($C61+1&gt;BE$7,0,IF($D61&gt;SUM($G61:BD61),$D61/$E61,0))</f>
        <v>0</v>
      </c>
      <c r="BF61" s="276">
        <f ca="1">IF($C61+1&gt;BF$7,0,IF($D61&gt;SUM($G61:BE61),$D61/$E61,0))</f>
        <v>0</v>
      </c>
      <c r="BG61" s="276">
        <f ca="1">IF($C61+1&gt;BG$7,0,IF($D61&gt;SUM($G61:BF61),$D61/$E61,0))</f>
        <v>0</v>
      </c>
      <c r="BH61" s="276">
        <f ca="1">IF($C61+1&gt;BH$7,0,IF($D61&gt;SUM($G61:BG61),$D61/$E61,0))</f>
        <v>0</v>
      </c>
      <c r="BI61" s="276">
        <f ca="1">IF($C61+1&gt;BI$7,0,IF($D61&gt;SUM($G61:BH61),$D61/$E61,0))</f>
        <v>0</v>
      </c>
      <c r="BJ61" s="276">
        <f ca="1">IF($C61+1&gt;BJ$7,0,IF($D61&gt;SUM($G61:BI61),$D61/$E61,0))</f>
        <v>0</v>
      </c>
      <c r="BK61" s="276">
        <f ca="1">IF($C61+1&gt;BK$7,0,IF($D61&gt;SUM($G61:BJ61),$D61/$E61,0))</f>
        <v>0</v>
      </c>
      <c r="BL61" s="276">
        <f ca="1">IF($C61+1&gt;BL$7,0,IF($D61&gt;SUM($G61:BK61),$D61/$E61,0))</f>
        <v>0</v>
      </c>
      <c r="BM61" s="276">
        <f ca="1">IF($C61+1&gt;BM$7,0,IF($D61&gt;SUM($G61:BL61),$D61/$E61,0))</f>
        <v>0</v>
      </c>
      <c r="BN61" s="276">
        <f ca="1">IF($C61+1&gt;BN$7,0,IF($D61&gt;SUM($G61:BM61),$D61/$E61,0))</f>
        <v>0</v>
      </c>
      <c r="BO61" s="276"/>
      <c r="BP61" s="276"/>
      <c r="BQ61" s="276"/>
      <c r="BR61" s="276"/>
      <c r="BS61" s="276"/>
      <c r="BT61" s="276"/>
      <c r="BU61" s="276"/>
      <c r="BV61" s="276"/>
      <c r="BW61" s="276"/>
      <c r="BX61" s="276"/>
      <c r="BY61" s="276"/>
      <c r="BZ61" s="276"/>
      <c r="CA61" s="254"/>
      <c r="CB61" s="254"/>
      <c r="CC61" s="254"/>
      <c r="CD61" s="254"/>
      <c r="CE61" s="254"/>
      <c r="CF61" s="254"/>
      <c r="CG61" s="254"/>
      <c r="CH61" s="254"/>
      <c r="CI61" s="254"/>
      <c r="CJ61" s="254"/>
      <c r="CK61" s="254"/>
      <c r="CL61" s="254"/>
    </row>
    <row r="62" spans="1:90" outlineLevel="1" x14ac:dyDescent="0.15">
      <c r="A62" s="272"/>
      <c r="B62" s="273"/>
      <c r="C62" s="275">
        <v>22</v>
      </c>
      <c r="D62" s="278">
        <f ca="1"/>
        <v>0</v>
      </c>
      <c r="E62" s="275">
        <f>SAP_Leadsheet!$E$50</f>
        <v>0</v>
      </c>
      <c r="F62" s="275"/>
      <c r="G62" s="276">
        <f>IF($C62+1&gt;G$7,0,IF($D62&gt;SUM(#REF!),$D62/$E62,0))</f>
        <v>0</v>
      </c>
      <c r="H62" s="276">
        <f>IF($C62+1&gt;H$7,0,IF($D62&gt;SUM($G62:G62),$D62/$E62,0))</f>
        <v>0</v>
      </c>
      <c r="I62" s="276">
        <f>IF($C62+1&gt;I$7,0,IF($D62&gt;SUM($G62:H62),$D62/$E62,0))</f>
        <v>0</v>
      </c>
      <c r="J62" s="276">
        <f>IF($C62+1&gt;J$7,0,IF($D62&gt;SUM($G62:I62),$D62/$E62,0))</f>
        <v>0</v>
      </c>
      <c r="K62" s="276">
        <f>IF($C62+1&gt;K$7,0,IF($D62&gt;SUM($G62:J62),$D62/$E62,0))</f>
        <v>0</v>
      </c>
      <c r="L62" s="276">
        <f>IF($C62+1&gt;L$7,0,IF($D62&gt;SUM($G62:K62),$D62/$E62,0))</f>
        <v>0</v>
      </c>
      <c r="M62" s="276">
        <f>IF($C62+1&gt;M$7,0,IF($D62&gt;SUM($G62:L62),$D62/$E62,0))</f>
        <v>0</v>
      </c>
      <c r="N62" s="276">
        <f>IF($C62+1&gt;N$7,0,IF($D62&gt;SUM($G62:M62),$D62/$E62,0))</f>
        <v>0</v>
      </c>
      <c r="O62" s="276">
        <f>IF($C62+1&gt;O$7,0,IF($D62&gt;SUM($G62:N62),$D62/$E62,0))</f>
        <v>0</v>
      </c>
      <c r="P62" s="276">
        <f>IF($C62+1&gt;P$7,0,IF($D62&gt;SUM($G62:O62),$D62/$E62,0))</f>
        <v>0</v>
      </c>
      <c r="Q62" s="276">
        <f>IF($C62+1&gt;Q$7,0,IF($D62&gt;SUM($G62:P62),$D62/$E62,0))</f>
        <v>0</v>
      </c>
      <c r="R62" s="276">
        <f>IF($C62+1&gt;R$7,0,IF($D62&gt;SUM($G62:Q62),$D62/$E62,0))</f>
        <v>0</v>
      </c>
      <c r="S62" s="276">
        <f>IF($C62+1&gt;S$7,0,IF($D62&gt;SUM($G62:R62),$D62/$E62,0))</f>
        <v>0</v>
      </c>
      <c r="T62" s="276">
        <f>IF($C62+1&gt;T$7,0,IF($D62&gt;SUM($G62:S62),$D62/$E62,0))</f>
        <v>0</v>
      </c>
      <c r="U62" s="276">
        <f>IF($C62+1&gt;U$7,0,IF($D62&gt;SUM($G62:T62),$D62/$E62,0))</f>
        <v>0</v>
      </c>
      <c r="V62" s="276">
        <f>IF($C62+1&gt;V$7,0,IF($D62&gt;SUM($G62:U62),$D62/$E62,0))</f>
        <v>0</v>
      </c>
      <c r="W62" s="276">
        <f>IF($C62+1&gt;W$7,0,IF($D62&gt;SUM($G62:V62),$D62/$E62,0))</f>
        <v>0</v>
      </c>
      <c r="X62" s="276">
        <f>IF($C62+1&gt;X$7,0,IF($D62&gt;SUM($G62:W62),$D62/$E62,0))</f>
        <v>0</v>
      </c>
      <c r="Y62" s="276">
        <f>IF($C62+1&gt;Y$7,0,IF($D62&gt;SUM($G62:X62),$D62/$E62,0))</f>
        <v>0</v>
      </c>
      <c r="Z62" s="276">
        <f>IF($C62+1&gt;Z$7,0,IF($D62&gt;SUM($G62:Y62),$D62/$E62,0))</f>
        <v>0</v>
      </c>
      <c r="AA62" s="276">
        <f>IF($C62+1&gt;AA$7,0,IF($D62&gt;SUM($G62:Z62),$D62/$E62,0))</f>
        <v>0</v>
      </c>
      <c r="AB62" s="276">
        <f>IF($C62+1&gt;AB$7,0,IF($D62&gt;SUM($G62:AA62),$D62/$E62,0))</f>
        <v>0</v>
      </c>
      <c r="AC62" s="276">
        <f ca="1">IF($C62+1&gt;AC$7,0,IF($D62&gt;SUM($G62:AB62),$D62/$E62,0))</f>
        <v>0</v>
      </c>
      <c r="AD62" s="276">
        <f ca="1">IF($C62+1&gt;AD$7,0,IF($D62&gt;SUM($G62:AC62),$D62/$E62,0))</f>
        <v>0</v>
      </c>
      <c r="AE62" s="276">
        <f ca="1">IF($C62+1&gt;AE$7,0,IF($D62&gt;SUM($G62:AD62),$D62/$E62,0))</f>
        <v>0</v>
      </c>
      <c r="AF62" s="276">
        <f ca="1">IF($C62+1&gt;AF$7,0,IF($D62&gt;SUM($G62:AE62),$D62/$E62,0))</f>
        <v>0</v>
      </c>
      <c r="AG62" s="276">
        <f ca="1">IF($C62+1&gt;AG$7,0,IF($D62&gt;SUM($G62:AF62),$D62/$E62,0))</f>
        <v>0</v>
      </c>
      <c r="AH62" s="276">
        <f ca="1">IF($C62+1&gt;AH$7,0,IF($D62&gt;SUM($G62:AG62),$D62/$E62,0))</f>
        <v>0</v>
      </c>
      <c r="AI62" s="276">
        <f ca="1">IF($C62+1&gt;AI$7,0,IF($D62&gt;SUM($G62:AH62),$D62/$E62,0))</f>
        <v>0</v>
      </c>
      <c r="AJ62" s="276">
        <f ca="1">IF($C62+1&gt;AJ$7,0,IF($D62&gt;SUM($G62:AI62),$D62/$E62,0))</f>
        <v>0</v>
      </c>
      <c r="AK62" s="276">
        <f ca="1">IF($C62+1&gt;AK$7,0,IF($D62&gt;SUM($G62:AJ62),$D62/$E62,0))</f>
        <v>0</v>
      </c>
      <c r="AL62" s="276">
        <f ca="1">IF($C62+1&gt;AL$7,0,IF($D62&gt;SUM($G62:AK62),$D62/$E62,0))</f>
        <v>0</v>
      </c>
      <c r="AM62" s="276">
        <f ca="1">IF($C62+1&gt;AM$7,0,IF($D62&gt;SUM($G62:AL62),$D62/$E62,0))</f>
        <v>0</v>
      </c>
      <c r="AN62" s="276">
        <f ca="1">IF($C62+1&gt;AN$7,0,IF($D62&gt;SUM($G62:AM62),$D62/$E62,0))</f>
        <v>0</v>
      </c>
      <c r="AO62" s="276">
        <f ca="1">IF($C62+1&gt;AO$7,0,IF($D62&gt;SUM($G62:AN62),$D62/$E62,0))</f>
        <v>0</v>
      </c>
      <c r="AP62" s="276">
        <f ca="1">IF($C62+1&gt;AP$7,0,IF($D62&gt;SUM($G62:AO62),$D62/$E62,0))</f>
        <v>0</v>
      </c>
      <c r="AQ62" s="276">
        <f ca="1">IF($C62+1&gt;AQ$7,0,IF($D62&gt;SUM($G62:AP62),$D62/$E62,0))</f>
        <v>0</v>
      </c>
      <c r="AR62" s="276">
        <f ca="1">IF($C62+1&gt;AR$7,0,IF($D62&gt;SUM($G62:AQ62),$D62/$E62,0))</f>
        <v>0</v>
      </c>
      <c r="AS62" s="276">
        <f ca="1">IF($C62+1&gt;AS$7,0,IF($D62&gt;SUM($G62:AR62),$D62/$E62,0))</f>
        <v>0</v>
      </c>
      <c r="AT62" s="276">
        <f ca="1">IF($C62+1&gt;AT$7,0,IF($D62&gt;SUM($G62:AS62),$D62/$E62,0))</f>
        <v>0</v>
      </c>
      <c r="AU62" s="276">
        <f ca="1">IF($C62+1&gt;AU$7,0,IF($D62&gt;SUM($G62:AT62),$D62/$E62,0))</f>
        <v>0</v>
      </c>
      <c r="AV62" s="276">
        <f ca="1">IF($C62+1&gt;AV$7,0,IF($D62&gt;SUM($G62:AU62),$D62/$E62,0))</f>
        <v>0</v>
      </c>
      <c r="AW62" s="276">
        <f ca="1">IF($C62+1&gt;AW$7,0,IF($D62&gt;SUM($G62:AV62),$D62/$E62,0))</f>
        <v>0</v>
      </c>
      <c r="AX62" s="276">
        <f ca="1">IF($C62+1&gt;AX$7,0,IF($D62&gt;SUM($G62:AW62),$D62/$E62,0))</f>
        <v>0</v>
      </c>
      <c r="AY62" s="276">
        <f ca="1">IF($C62+1&gt;AY$7,0,IF($D62&gt;SUM($G62:AX62),$D62/$E62,0))</f>
        <v>0</v>
      </c>
      <c r="AZ62" s="276">
        <f ca="1">IF($C62+1&gt;AZ$7,0,IF($D62&gt;SUM($G62:AY62),$D62/$E62,0))</f>
        <v>0</v>
      </c>
      <c r="BA62" s="276">
        <f ca="1">IF($C62+1&gt;BA$7,0,IF($D62&gt;SUM($G62:AZ62),$D62/$E62,0))</f>
        <v>0</v>
      </c>
      <c r="BB62" s="276">
        <f ca="1">IF($C62+1&gt;BB$7,0,IF($D62&gt;SUM($G62:BA62),$D62/$E62,0))</f>
        <v>0</v>
      </c>
      <c r="BC62" s="276">
        <f ca="1">IF($C62+1&gt;BC$7,0,IF($D62&gt;SUM($G62:BB62),$D62/$E62,0))</f>
        <v>0</v>
      </c>
      <c r="BD62" s="276">
        <f ca="1">IF($C62+1&gt;BD$7,0,IF($D62&gt;SUM($G62:BC62),$D62/$E62,0))</f>
        <v>0</v>
      </c>
      <c r="BE62" s="276">
        <f ca="1">IF($C62+1&gt;BE$7,0,IF($D62&gt;SUM($G62:BD62),$D62/$E62,0))</f>
        <v>0</v>
      </c>
      <c r="BF62" s="276">
        <f ca="1">IF($C62+1&gt;BF$7,0,IF($D62&gt;SUM($G62:BE62),$D62/$E62,0))</f>
        <v>0</v>
      </c>
      <c r="BG62" s="276">
        <f ca="1">IF($C62+1&gt;BG$7,0,IF($D62&gt;SUM($G62:BF62),$D62/$E62,0))</f>
        <v>0</v>
      </c>
      <c r="BH62" s="276">
        <f ca="1">IF($C62+1&gt;BH$7,0,IF($D62&gt;SUM($G62:BG62),$D62/$E62,0))</f>
        <v>0</v>
      </c>
      <c r="BI62" s="276">
        <f ca="1">IF($C62+1&gt;BI$7,0,IF($D62&gt;SUM($G62:BH62),$D62/$E62,0))</f>
        <v>0</v>
      </c>
      <c r="BJ62" s="276">
        <f ca="1">IF($C62+1&gt;BJ$7,0,IF($D62&gt;SUM($G62:BI62),$D62/$E62,0))</f>
        <v>0</v>
      </c>
      <c r="BK62" s="276">
        <f ca="1">IF($C62+1&gt;BK$7,0,IF($D62&gt;SUM($G62:BJ62),$D62/$E62,0))</f>
        <v>0</v>
      </c>
      <c r="BL62" s="276">
        <f ca="1">IF($C62+1&gt;BL$7,0,IF($D62&gt;SUM($G62:BK62),$D62/$E62,0))</f>
        <v>0</v>
      </c>
      <c r="BM62" s="276">
        <f ca="1">IF($C62+1&gt;BM$7,0,IF($D62&gt;SUM($G62:BL62),$D62/$E62,0))</f>
        <v>0</v>
      </c>
      <c r="BN62" s="276">
        <f ca="1">IF($C62+1&gt;BN$7,0,IF($D62&gt;SUM($G62:BM62),$D62/$E62,0))</f>
        <v>0</v>
      </c>
      <c r="BO62" s="276"/>
      <c r="BP62" s="276"/>
      <c r="BQ62" s="276"/>
      <c r="BR62" s="276"/>
      <c r="BS62" s="276"/>
      <c r="BT62" s="276"/>
      <c r="BU62" s="276"/>
      <c r="BV62" s="276"/>
      <c r="BW62" s="276"/>
      <c r="BX62" s="276"/>
      <c r="BY62" s="276"/>
      <c r="BZ62" s="276"/>
      <c r="CA62" s="254"/>
      <c r="CB62" s="254"/>
      <c r="CC62" s="254"/>
      <c r="CD62" s="254"/>
      <c r="CE62" s="254"/>
      <c r="CF62" s="254"/>
      <c r="CG62" s="254"/>
      <c r="CH62" s="254"/>
      <c r="CI62" s="254"/>
      <c r="CJ62" s="254"/>
      <c r="CK62" s="254"/>
      <c r="CL62" s="254"/>
    </row>
    <row r="63" spans="1:90" outlineLevel="1" x14ac:dyDescent="0.15">
      <c r="A63" s="272"/>
      <c r="B63" s="273"/>
      <c r="C63" s="275">
        <v>23</v>
      </c>
      <c r="D63" s="278">
        <f ca="1"/>
        <v>0</v>
      </c>
      <c r="E63" s="275">
        <f>SAP_Leadsheet!$E$50</f>
        <v>0</v>
      </c>
      <c r="F63" s="275"/>
      <c r="G63" s="276">
        <f>IF($C63+1&gt;G$7,0,IF($D63&gt;SUM(#REF!),$D63/$E63,0))</f>
        <v>0</v>
      </c>
      <c r="H63" s="276">
        <f>IF($C63+1&gt;H$7,0,IF($D63&gt;SUM($G63:G63),$D63/$E63,0))</f>
        <v>0</v>
      </c>
      <c r="I63" s="276">
        <f>IF($C63+1&gt;I$7,0,IF($D63&gt;SUM($G63:H63),$D63/$E63,0))</f>
        <v>0</v>
      </c>
      <c r="J63" s="276">
        <f>IF($C63+1&gt;J$7,0,IF($D63&gt;SUM($G63:I63),$D63/$E63,0))</f>
        <v>0</v>
      </c>
      <c r="K63" s="276">
        <f>IF($C63+1&gt;K$7,0,IF($D63&gt;SUM($G63:J63),$D63/$E63,0))</f>
        <v>0</v>
      </c>
      <c r="L63" s="276">
        <f>IF($C63+1&gt;L$7,0,IF($D63&gt;SUM($G63:K63),$D63/$E63,0))</f>
        <v>0</v>
      </c>
      <c r="M63" s="276">
        <f>IF($C63+1&gt;M$7,0,IF($D63&gt;SUM($G63:L63),$D63/$E63,0))</f>
        <v>0</v>
      </c>
      <c r="N63" s="276">
        <f>IF($C63+1&gt;N$7,0,IF($D63&gt;SUM($G63:M63),$D63/$E63,0))</f>
        <v>0</v>
      </c>
      <c r="O63" s="276">
        <f>IF($C63+1&gt;O$7,0,IF($D63&gt;SUM($G63:N63),$D63/$E63,0))</f>
        <v>0</v>
      </c>
      <c r="P63" s="276">
        <f>IF($C63+1&gt;P$7,0,IF($D63&gt;SUM($G63:O63),$D63/$E63,0))</f>
        <v>0</v>
      </c>
      <c r="Q63" s="276">
        <f>IF($C63+1&gt;Q$7,0,IF($D63&gt;SUM($G63:P63),$D63/$E63,0))</f>
        <v>0</v>
      </c>
      <c r="R63" s="276">
        <f>IF($C63+1&gt;R$7,0,IF($D63&gt;SUM($G63:Q63),$D63/$E63,0))</f>
        <v>0</v>
      </c>
      <c r="S63" s="276">
        <f>IF($C63+1&gt;S$7,0,IF($D63&gt;SUM($G63:R63),$D63/$E63,0))</f>
        <v>0</v>
      </c>
      <c r="T63" s="276">
        <f>IF($C63+1&gt;T$7,0,IF($D63&gt;SUM($G63:S63),$D63/$E63,0))</f>
        <v>0</v>
      </c>
      <c r="U63" s="276">
        <f>IF($C63+1&gt;U$7,0,IF($D63&gt;SUM($G63:T63),$D63/$E63,0))</f>
        <v>0</v>
      </c>
      <c r="V63" s="276">
        <f>IF($C63+1&gt;V$7,0,IF($D63&gt;SUM($G63:U63),$D63/$E63,0))</f>
        <v>0</v>
      </c>
      <c r="W63" s="276">
        <f>IF($C63+1&gt;W$7,0,IF($D63&gt;SUM($G63:V63),$D63/$E63,0))</f>
        <v>0</v>
      </c>
      <c r="X63" s="276">
        <f>IF($C63+1&gt;X$7,0,IF($D63&gt;SUM($G63:W63),$D63/$E63,0))</f>
        <v>0</v>
      </c>
      <c r="Y63" s="276">
        <f>IF($C63+1&gt;Y$7,0,IF($D63&gt;SUM($G63:X63),$D63/$E63,0))</f>
        <v>0</v>
      </c>
      <c r="Z63" s="276">
        <f>IF($C63+1&gt;Z$7,0,IF($D63&gt;SUM($G63:Y63),$D63/$E63,0))</f>
        <v>0</v>
      </c>
      <c r="AA63" s="276">
        <f>IF($C63+1&gt;AA$7,0,IF($D63&gt;SUM($G63:Z63),$D63/$E63,0))</f>
        <v>0</v>
      </c>
      <c r="AB63" s="276">
        <f>IF($C63+1&gt;AB$7,0,IF($D63&gt;SUM($G63:AA63),$D63/$E63,0))</f>
        <v>0</v>
      </c>
      <c r="AC63" s="276">
        <f>IF($C63+1&gt;AC$7,0,IF($D63&gt;SUM($G63:AB63),$D63/$E63,0))</f>
        <v>0</v>
      </c>
      <c r="AD63" s="276">
        <f ca="1">IF($C63+1&gt;AD$7,0,IF($D63&gt;SUM($G63:AC63),$D63/$E63,0))</f>
        <v>0</v>
      </c>
      <c r="AE63" s="276">
        <f ca="1">IF($C63+1&gt;AE$7,0,IF($D63&gt;SUM($G63:AD63),$D63/$E63,0))</f>
        <v>0</v>
      </c>
      <c r="AF63" s="276">
        <f ca="1">IF($C63+1&gt;AF$7,0,IF($D63&gt;SUM($G63:AE63),$D63/$E63,0))</f>
        <v>0</v>
      </c>
      <c r="AG63" s="276">
        <f ca="1">IF($C63+1&gt;AG$7,0,IF($D63&gt;SUM($G63:AF63),$D63/$E63,0))</f>
        <v>0</v>
      </c>
      <c r="AH63" s="276">
        <f ca="1">IF($C63+1&gt;AH$7,0,IF($D63&gt;SUM($G63:AG63),$D63/$E63,0))</f>
        <v>0</v>
      </c>
      <c r="AI63" s="276">
        <f ca="1">IF($C63+1&gt;AI$7,0,IF($D63&gt;SUM($G63:AH63),$D63/$E63,0))</f>
        <v>0</v>
      </c>
      <c r="AJ63" s="276">
        <f ca="1">IF($C63+1&gt;AJ$7,0,IF($D63&gt;SUM($G63:AI63),$D63/$E63,0))</f>
        <v>0</v>
      </c>
      <c r="AK63" s="276">
        <f ca="1">IF($C63+1&gt;AK$7,0,IF($D63&gt;SUM($G63:AJ63),$D63/$E63,0))</f>
        <v>0</v>
      </c>
      <c r="AL63" s="276">
        <f ca="1">IF($C63+1&gt;AL$7,0,IF($D63&gt;SUM($G63:AK63),$D63/$E63,0))</f>
        <v>0</v>
      </c>
      <c r="AM63" s="276">
        <f ca="1">IF($C63+1&gt;AM$7,0,IF($D63&gt;SUM($G63:AL63),$D63/$E63,0))</f>
        <v>0</v>
      </c>
      <c r="AN63" s="276">
        <f ca="1">IF($C63+1&gt;AN$7,0,IF($D63&gt;SUM($G63:AM63),$D63/$E63,0))</f>
        <v>0</v>
      </c>
      <c r="AO63" s="276">
        <f ca="1">IF($C63+1&gt;AO$7,0,IF($D63&gt;SUM($G63:AN63),$D63/$E63,0))</f>
        <v>0</v>
      </c>
      <c r="AP63" s="276">
        <f ca="1">IF($C63+1&gt;AP$7,0,IF($D63&gt;SUM($G63:AO63),$D63/$E63,0))</f>
        <v>0</v>
      </c>
      <c r="AQ63" s="276">
        <f ca="1">IF($C63+1&gt;AQ$7,0,IF($D63&gt;SUM($G63:AP63),$D63/$E63,0))</f>
        <v>0</v>
      </c>
      <c r="AR63" s="276">
        <f ca="1">IF($C63+1&gt;AR$7,0,IF($D63&gt;SUM($G63:AQ63),$D63/$E63,0))</f>
        <v>0</v>
      </c>
      <c r="AS63" s="276">
        <f ca="1">IF($C63+1&gt;AS$7,0,IF($D63&gt;SUM($G63:AR63),$D63/$E63,0))</f>
        <v>0</v>
      </c>
      <c r="AT63" s="276">
        <f ca="1">IF($C63+1&gt;AT$7,0,IF($D63&gt;SUM($G63:AS63),$D63/$E63,0))</f>
        <v>0</v>
      </c>
      <c r="AU63" s="276">
        <f ca="1">IF($C63+1&gt;AU$7,0,IF($D63&gt;SUM($G63:AT63),$D63/$E63,0))</f>
        <v>0</v>
      </c>
      <c r="AV63" s="276">
        <f ca="1">IF($C63+1&gt;AV$7,0,IF($D63&gt;SUM($G63:AU63),$D63/$E63,0))</f>
        <v>0</v>
      </c>
      <c r="AW63" s="276">
        <f ca="1">IF($C63+1&gt;AW$7,0,IF($D63&gt;SUM($G63:AV63),$D63/$E63,0))</f>
        <v>0</v>
      </c>
      <c r="AX63" s="276">
        <f ca="1">IF($C63+1&gt;AX$7,0,IF($D63&gt;SUM($G63:AW63),$D63/$E63,0))</f>
        <v>0</v>
      </c>
      <c r="AY63" s="276">
        <f ca="1">IF($C63+1&gt;AY$7,0,IF($D63&gt;SUM($G63:AX63),$D63/$E63,0))</f>
        <v>0</v>
      </c>
      <c r="AZ63" s="276">
        <f ca="1">IF($C63+1&gt;AZ$7,0,IF($D63&gt;SUM($G63:AY63),$D63/$E63,0))</f>
        <v>0</v>
      </c>
      <c r="BA63" s="276">
        <f ca="1">IF($C63+1&gt;BA$7,0,IF($D63&gt;SUM($G63:AZ63),$D63/$E63,0))</f>
        <v>0</v>
      </c>
      <c r="BB63" s="276">
        <f ca="1">IF($C63+1&gt;BB$7,0,IF($D63&gt;SUM($G63:BA63),$D63/$E63,0))</f>
        <v>0</v>
      </c>
      <c r="BC63" s="276">
        <f ca="1">IF($C63+1&gt;BC$7,0,IF($D63&gt;SUM($G63:BB63),$D63/$E63,0))</f>
        <v>0</v>
      </c>
      <c r="BD63" s="276">
        <f ca="1">IF($C63+1&gt;BD$7,0,IF($D63&gt;SUM($G63:BC63),$D63/$E63,0))</f>
        <v>0</v>
      </c>
      <c r="BE63" s="276">
        <f ca="1">IF($C63+1&gt;BE$7,0,IF($D63&gt;SUM($G63:BD63),$D63/$E63,0))</f>
        <v>0</v>
      </c>
      <c r="BF63" s="276">
        <f ca="1">IF($C63+1&gt;BF$7,0,IF($D63&gt;SUM($G63:BE63),$D63/$E63,0))</f>
        <v>0</v>
      </c>
      <c r="BG63" s="276">
        <f ca="1">IF($C63+1&gt;BG$7,0,IF($D63&gt;SUM($G63:BF63),$D63/$E63,0))</f>
        <v>0</v>
      </c>
      <c r="BH63" s="276">
        <f ca="1">IF($C63+1&gt;BH$7,0,IF($D63&gt;SUM($G63:BG63),$D63/$E63,0))</f>
        <v>0</v>
      </c>
      <c r="BI63" s="276">
        <f ca="1">IF($C63+1&gt;BI$7,0,IF($D63&gt;SUM($G63:BH63),$D63/$E63,0))</f>
        <v>0</v>
      </c>
      <c r="BJ63" s="276">
        <f ca="1">IF($C63+1&gt;BJ$7,0,IF($D63&gt;SUM($G63:BI63),$D63/$E63,0))</f>
        <v>0</v>
      </c>
      <c r="BK63" s="276">
        <f ca="1">IF($C63+1&gt;BK$7,0,IF($D63&gt;SUM($G63:BJ63),$D63/$E63,0))</f>
        <v>0</v>
      </c>
      <c r="BL63" s="276">
        <f ca="1">IF($C63+1&gt;BL$7,0,IF($D63&gt;SUM($G63:BK63),$D63/$E63,0))</f>
        <v>0</v>
      </c>
      <c r="BM63" s="276">
        <f ca="1">IF($C63+1&gt;BM$7,0,IF($D63&gt;SUM($G63:BL63),$D63/$E63,0))</f>
        <v>0</v>
      </c>
      <c r="BN63" s="276">
        <f ca="1">IF($C63+1&gt;BN$7,0,IF($D63&gt;SUM($G63:BM63),$D63/$E63,0))</f>
        <v>0</v>
      </c>
      <c r="BO63" s="276"/>
      <c r="BP63" s="276"/>
      <c r="BQ63" s="276"/>
      <c r="BR63" s="276"/>
      <c r="BS63" s="276"/>
      <c r="BT63" s="276"/>
      <c r="BU63" s="276"/>
      <c r="BV63" s="276"/>
      <c r="BW63" s="276"/>
      <c r="BX63" s="276"/>
      <c r="BY63" s="276"/>
      <c r="BZ63" s="276"/>
      <c r="CA63" s="254"/>
      <c r="CB63" s="254"/>
      <c r="CC63" s="254"/>
      <c r="CD63" s="254"/>
      <c r="CE63" s="254"/>
      <c r="CF63" s="254"/>
      <c r="CG63" s="254"/>
      <c r="CH63" s="254"/>
      <c r="CI63" s="254"/>
      <c r="CJ63" s="254"/>
      <c r="CK63" s="254"/>
      <c r="CL63" s="254"/>
    </row>
    <row r="64" spans="1:90" outlineLevel="1" x14ac:dyDescent="0.15">
      <c r="A64" s="272"/>
      <c r="B64" s="273"/>
      <c r="C64" s="275">
        <v>24</v>
      </c>
      <c r="D64" s="278">
        <f ca="1"/>
        <v>0</v>
      </c>
      <c r="E64" s="275">
        <f>SAP_Leadsheet!$E$50</f>
        <v>0</v>
      </c>
      <c r="F64" s="275"/>
      <c r="G64" s="276">
        <f>IF($C64+1&gt;G$7,0,IF($D64&gt;SUM(#REF!),$D64/$E64,0))</f>
        <v>0</v>
      </c>
      <c r="H64" s="276">
        <f>IF($C64+1&gt;H$7,0,IF($D64&gt;SUM($G64:G64),$D64/$E64,0))</f>
        <v>0</v>
      </c>
      <c r="I64" s="276">
        <f>IF($C64+1&gt;I$7,0,IF($D64&gt;SUM($G64:H64),$D64/$E64,0))</f>
        <v>0</v>
      </c>
      <c r="J64" s="276">
        <f>IF($C64+1&gt;J$7,0,IF($D64&gt;SUM($G64:I64),$D64/$E64,0))</f>
        <v>0</v>
      </c>
      <c r="K64" s="276">
        <f>IF($C64+1&gt;K$7,0,IF($D64&gt;SUM($G64:J64),$D64/$E64,0))</f>
        <v>0</v>
      </c>
      <c r="L64" s="276">
        <f>IF($C64+1&gt;L$7,0,IF($D64&gt;SUM($G64:K64),$D64/$E64,0))</f>
        <v>0</v>
      </c>
      <c r="M64" s="276">
        <f>IF($C64+1&gt;M$7,0,IF($D64&gt;SUM($G64:L64),$D64/$E64,0))</f>
        <v>0</v>
      </c>
      <c r="N64" s="276">
        <f>IF($C64+1&gt;N$7,0,IF($D64&gt;SUM($G64:M64),$D64/$E64,0))</f>
        <v>0</v>
      </c>
      <c r="O64" s="276">
        <f>IF($C64+1&gt;O$7,0,IF($D64&gt;SUM($G64:N64),$D64/$E64,0))</f>
        <v>0</v>
      </c>
      <c r="P64" s="276">
        <f>IF($C64+1&gt;P$7,0,IF($D64&gt;SUM($G64:O64),$D64/$E64,0))</f>
        <v>0</v>
      </c>
      <c r="Q64" s="276">
        <f>IF($C64+1&gt;Q$7,0,IF($D64&gt;SUM($G64:P64),$D64/$E64,0))</f>
        <v>0</v>
      </c>
      <c r="R64" s="276">
        <f>IF($C64+1&gt;R$7,0,IF($D64&gt;SUM($G64:Q64),$D64/$E64,0))</f>
        <v>0</v>
      </c>
      <c r="S64" s="276">
        <f>IF($C64+1&gt;S$7,0,IF($D64&gt;SUM($G64:R64),$D64/$E64,0))</f>
        <v>0</v>
      </c>
      <c r="T64" s="276">
        <f>IF($C64+1&gt;T$7,0,IF($D64&gt;SUM($G64:S64),$D64/$E64,0))</f>
        <v>0</v>
      </c>
      <c r="U64" s="276">
        <f>IF($C64+1&gt;U$7,0,IF($D64&gt;SUM($G64:T64),$D64/$E64,0))</f>
        <v>0</v>
      </c>
      <c r="V64" s="276">
        <f>IF($C64+1&gt;V$7,0,IF($D64&gt;SUM($G64:U64),$D64/$E64,0))</f>
        <v>0</v>
      </c>
      <c r="W64" s="276">
        <f>IF($C64+1&gt;W$7,0,IF($D64&gt;SUM($G64:V64),$D64/$E64,0))</f>
        <v>0</v>
      </c>
      <c r="X64" s="276">
        <f>IF($C64+1&gt;X$7,0,IF($D64&gt;SUM($G64:W64),$D64/$E64,0))</f>
        <v>0</v>
      </c>
      <c r="Y64" s="276">
        <f>IF($C64+1&gt;Y$7,0,IF($D64&gt;SUM($G64:X64),$D64/$E64,0))</f>
        <v>0</v>
      </c>
      <c r="Z64" s="276">
        <f>IF($C64+1&gt;Z$7,0,IF($D64&gt;SUM($G64:Y64),$D64/$E64,0))</f>
        <v>0</v>
      </c>
      <c r="AA64" s="276">
        <f>IF($C64+1&gt;AA$7,0,IF($D64&gt;SUM($G64:Z64),$D64/$E64,0))</f>
        <v>0</v>
      </c>
      <c r="AB64" s="276">
        <f>IF($C64+1&gt;AB$7,0,IF($D64&gt;SUM($G64:AA64),$D64/$E64,0))</f>
        <v>0</v>
      </c>
      <c r="AC64" s="276">
        <f>IF($C64+1&gt;AC$7,0,IF($D64&gt;SUM($G64:AB64),$D64/$E64,0))</f>
        <v>0</v>
      </c>
      <c r="AD64" s="276">
        <f>IF($C64+1&gt;AD$7,0,IF($D64&gt;SUM($G64:AC64),$D64/$E64,0))</f>
        <v>0</v>
      </c>
      <c r="AE64" s="276">
        <f ca="1">IF($C64+1&gt;AE$7,0,IF($D64&gt;SUM($G64:AD64),$D64/$E64,0))</f>
        <v>0</v>
      </c>
      <c r="AF64" s="276">
        <f ca="1">IF($C64+1&gt;AF$7,0,IF($D64&gt;SUM($G64:AE64),$D64/$E64,0))</f>
        <v>0</v>
      </c>
      <c r="AG64" s="276">
        <f ca="1">IF($C64+1&gt;AG$7,0,IF($D64&gt;SUM($G64:AF64),$D64/$E64,0))</f>
        <v>0</v>
      </c>
      <c r="AH64" s="276">
        <f ca="1">IF($C64+1&gt;AH$7,0,IF($D64&gt;SUM($G64:AG64),$D64/$E64,0))</f>
        <v>0</v>
      </c>
      <c r="AI64" s="276">
        <f ca="1">IF($C64+1&gt;AI$7,0,IF($D64&gt;SUM($G64:AH64),$D64/$E64,0))</f>
        <v>0</v>
      </c>
      <c r="AJ64" s="276">
        <f ca="1">IF($C64+1&gt;AJ$7,0,IF($D64&gt;SUM($G64:AI64),$D64/$E64,0))</f>
        <v>0</v>
      </c>
      <c r="AK64" s="276">
        <f ca="1">IF($C64+1&gt;AK$7,0,IF($D64&gt;SUM($G64:AJ64),$D64/$E64,0))</f>
        <v>0</v>
      </c>
      <c r="AL64" s="276">
        <f ca="1">IF($C64+1&gt;AL$7,0,IF($D64&gt;SUM($G64:AK64),$D64/$E64,0))</f>
        <v>0</v>
      </c>
      <c r="AM64" s="276">
        <f ca="1">IF($C64+1&gt;AM$7,0,IF($D64&gt;SUM($G64:AL64),$D64/$E64,0))</f>
        <v>0</v>
      </c>
      <c r="AN64" s="276">
        <f ca="1">IF($C64+1&gt;AN$7,0,IF($D64&gt;SUM($G64:AM64),$D64/$E64,0))</f>
        <v>0</v>
      </c>
      <c r="AO64" s="276">
        <f ca="1">IF($C64+1&gt;AO$7,0,IF($D64&gt;SUM($G64:AN64),$D64/$E64,0))</f>
        <v>0</v>
      </c>
      <c r="AP64" s="276">
        <f ca="1">IF($C64+1&gt;AP$7,0,IF($D64&gt;SUM($G64:AO64),$D64/$E64,0))</f>
        <v>0</v>
      </c>
      <c r="AQ64" s="276">
        <f ca="1">IF($C64+1&gt;AQ$7,0,IF($D64&gt;SUM($G64:AP64),$D64/$E64,0))</f>
        <v>0</v>
      </c>
      <c r="AR64" s="276">
        <f ca="1">IF($C64+1&gt;AR$7,0,IF($D64&gt;SUM($G64:AQ64),$D64/$E64,0))</f>
        <v>0</v>
      </c>
      <c r="AS64" s="276">
        <f ca="1">IF($C64+1&gt;AS$7,0,IF($D64&gt;SUM($G64:AR64),$D64/$E64,0))</f>
        <v>0</v>
      </c>
      <c r="AT64" s="276">
        <f ca="1">IF($C64+1&gt;AT$7,0,IF($D64&gt;SUM($G64:AS64),$D64/$E64,0))</f>
        <v>0</v>
      </c>
      <c r="AU64" s="276">
        <f ca="1">IF($C64+1&gt;AU$7,0,IF($D64&gt;SUM($G64:AT64),$D64/$E64,0))</f>
        <v>0</v>
      </c>
      <c r="AV64" s="276">
        <f ca="1">IF($C64+1&gt;AV$7,0,IF($D64&gt;SUM($G64:AU64),$D64/$E64,0))</f>
        <v>0</v>
      </c>
      <c r="AW64" s="276">
        <f ca="1">IF($C64+1&gt;AW$7,0,IF($D64&gt;SUM($G64:AV64),$D64/$E64,0))</f>
        <v>0</v>
      </c>
      <c r="AX64" s="276">
        <f ca="1">IF($C64+1&gt;AX$7,0,IF($D64&gt;SUM($G64:AW64),$D64/$E64,0))</f>
        <v>0</v>
      </c>
      <c r="AY64" s="276">
        <f ca="1">IF($C64+1&gt;AY$7,0,IF($D64&gt;SUM($G64:AX64),$D64/$E64,0))</f>
        <v>0</v>
      </c>
      <c r="AZ64" s="276">
        <f ca="1">IF($C64+1&gt;AZ$7,0,IF($D64&gt;SUM($G64:AY64),$D64/$E64,0))</f>
        <v>0</v>
      </c>
      <c r="BA64" s="276">
        <f ca="1">IF($C64+1&gt;BA$7,0,IF($D64&gt;SUM($G64:AZ64),$D64/$E64,0))</f>
        <v>0</v>
      </c>
      <c r="BB64" s="276">
        <f ca="1">IF($C64+1&gt;BB$7,0,IF($D64&gt;SUM($G64:BA64),$D64/$E64,0))</f>
        <v>0</v>
      </c>
      <c r="BC64" s="276">
        <f ca="1">IF($C64+1&gt;BC$7,0,IF($D64&gt;SUM($G64:BB64),$D64/$E64,0))</f>
        <v>0</v>
      </c>
      <c r="BD64" s="276">
        <f ca="1">IF($C64+1&gt;BD$7,0,IF($D64&gt;SUM($G64:BC64),$D64/$E64,0))</f>
        <v>0</v>
      </c>
      <c r="BE64" s="276">
        <f ca="1">IF($C64+1&gt;BE$7,0,IF($D64&gt;SUM($G64:BD64),$D64/$E64,0))</f>
        <v>0</v>
      </c>
      <c r="BF64" s="276">
        <f ca="1">IF($C64+1&gt;BF$7,0,IF($D64&gt;SUM($G64:BE64),$D64/$E64,0))</f>
        <v>0</v>
      </c>
      <c r="BG64" s="276">
        <f ca="1">IF($C64+1&gt;BG$7,0,IF($D64&gt;SUM($G64:BF64),$D64/$E64,0))</f>
        <v>0</v>
      </c>
      <c r="BH64" s="276">
        <f ca="1">IF($C64+1&gt;BH$7,0,IF($D64&gt;SUM($G64:BG64),$D64/$E64,0))</f>
        <v>0</v>
      </c>
      <c r="BI64" s="276">
        <f ca="1">IF($C64+1&gt;BI$7,0,IF($D64&gt;SUM($G64:BH64),$D64/$E64,0))</f>
        <v>0</v>
      </c>
      <c r="BJ64" s="276">
        <f ca="1">IF($C64+1&gt;BJ$7,0,IF($D64&gt;SUM($G64:BI64),$D64/$E64,0))</f>
        <v>0</v>
      </c>
      <c r="BK64" s="276">
        <f ca="1">IF($C64+1&gt;BK$7,0,IF($D64&gt;SUM($G64:BJ64),$D64/$E64,0))</f>
        <v>0</v>
      </c>
      <c r="BL64" s="276">
        <f ca="1">IF($C64+1&gt;BL$7,0,IF($D64&gt;SUM($G64:BK64),$D64/$E64,0))</f>
        <v>0</v>
      </c>
      <c r="BM64" s="276">
        <f ca="1">IF($C64+1&gt;BM$7,0,IF($D64&gt;SUM($G64:BL64),$D64/$E64,0))</f>
        <v>0</v>
      </c>
      <c r="BN64" s="276">
        <f ca="1">IF($C64+1&gt;BN$7,0,IF($D64&gt;SUM($G64:BM64),$D64/$E64,0))</f>
        <v>0</v>
      </c>
      <c r="BO64" s="276"/>
      <c r="BP64" s="276"/>
      <c r="BQ64" s="276"/>
      <c r="BR64" s="276"/>
      <c r="BS64" s="276"/>
      <c r="BT64" s="276"/>
      <c r="BU64" s="276"/>
      <c r="BV64" s="276"/>
      <c r="BW64" s="276"/>
      <c r="BX64" s="276"/>
      <c r="BY64" s="276"/>
      <c r="BZ64" s="276"/>
      <c r="CA64" s="254"/>
      <c r="CB64" s="254"/>
      <c r="CC64" s="254"/>
      <c r="CD64" s="254"/>
      <c r="CE64" s="254"/>
      <c r="CF64" s="254"/>
      <c r="CG64" s="254"/>
      <c r="CH64" s="254"/>
      <c r="CI64" s="254"/>
      <c r="CJ64" s="254"/>
      <c r="CK64" s="254"/>
      <c r="CL64" s="254"/>
    </row>
    <row r="65" spans="1:90" outlineLevel="1" x14ac:dyDescent="0.15">
      <c r="A65" s="272"/>
      <c r="B65" s="273"/>
      <c r="C65" s="275">
        <v>25</v>
      </c>
      <c r="D65" s="278">
        <f ca="1"/>
        <v>0</v>
      </c>
      <c r="E65" s="275">
        <f>SAP_Leadsheet!$E$50</f>
        <v>0</v>
      </c>
      <c r="F65" s="275"/>
      <c r="G65" s="276">
        <f>IF($C65+1&gt;G$7,0,IF($D65&gt;SUM(#REF!),$D65/$E65,0))</f>
        <v>0</v>
      </c>
      <c r="H65" s="276">
        <f>IF($C65+1&gt;H$7,0,IF($D65&gt;SUM($G65:G65),$D65/$E65,0))</f>
        <v>0</v>
      </c>
      <c r="I65" s="276">
        <f>IF($C65+1&gt;I$7,0,IF($D65&gt;SUM($G65:H65),$D65/$E65,0))</f>
        <v>0</v>
      </c>
      <c r="J65" s="276">
        <f>IF($C65+1&gt;J$7,0,IF($D65&gt;SUM($G65:I65),$D65/$E65,0))</f>
        <v>0</v>
      </c>
      <c r="K65" s="276">
        <f>IF($C65+1&gt;K$7,0,IF($D65&gt;SUM($G65:J65),$D65/$E65,0))</f>
        <v>0</v>
      </c>
      <c r="L65" s="276">
        <f>IF($C65+1&gt;L$7,0,IF($D65&gt;SUM($G65:K65),$D65/$E65,0))</f>
        <v>0</v>
      </c>
      <c r="M65" s="276">
        <f>IF($C65+1&gt;M$7,0,IF($D65&gt;SUM($G65:L65),$D65/$E65,0))</f>
        <v>0</v>
      </c>
      <c r="N65" s="276">
        <f>IF($C65+1&gt;N$7,0,IF($D65&gt;SUM($G65:M65),$D65/$E65,0))</f>
        <v>0</v>
      </c>
      <c r="O65" s="276">
        <f>IF($C65+1&gt;O$7,0,IF($D65&gt;SUM($G65:N65),$D65/$E65,0))</f>
        <v>0</v>
      </c>
      <c r="P65" s="276">
        <f>IF($C65+1&gt;P$7,0,IF($D65&gt;SUM($G65:O65),$D65/$E65,0))</f>
        <v>0</v>
      </c>
      <c r="Q65" s="276">
        <f>IF($C65+1&gt;Q$7,0,IF($D65&gt;SUM($G65:P65),$D65/$E65,0))</f>
        <v>0</v>
      </c>
      <c r="R65" s="276">
        <f>IF($C65+1&gt;R$7,0,IF($D65&gt;SUM($G65:Q65),$D65/$E65,0))</f>
        <v>0</v>
      </c>
      <c r="S65" s="276">
        <f>IF($C65+1&gt;S$7,0,IF($D65&gt;SUM($G65:R65),$D65/$E65,0))</f>
        <v>0</v>
      </c>
      <c r="T65" s="276">
        <f>IF($C65+1&gt;T$7,0,IF($D65&gt;SUM($G65:S65),$D65/$E65,0))</f>
        <v>0</v>
      </c>
      <c r="U65" s="276">
        <f>IF($C65+1&gt;U$7,0,IF($D65&gt;SUM($G65:T65),$D65/$E65,0))</f>
        <v>0</v>
      </c>
      <c r="V65" s="276">
        <f>IF($C65+1&gt;V$7,0,IF($D65&gt;SUM($G65:U65),$D65/$E65,0))</f>
        <v>0</v>
      </c>
      <c r="W65" s="276">
        <f>IF($C65+1&gt;W$7,0,IF($D65&gt;SUM($G65:V65),$D65/$E65,0))</f>
        <v>0</v>
      </c>
      <c r="X65" s="276">
        <f>IF($C65+1&gt;X$7,0,IF($D65&gt;SUM($G65:W65),$D65/$E65,0))</f>
        <v>0</v>
      </c>
      <c r="Y65" s="276">
        <f>IF($C65+1&gt;Y$7,0,IF($D65&gt;SUM($G65:X65),$D65/$E65,0))</f>
        <v>0</v>
      </c>
      <c r="Z65" s="276">
        <f>IF($C65+1&gt;Z$7,0,IF($D65&gt;SUM($G65:Y65),$D65/$E65,0))</f>
        <v>0</v>
      </c>
      <c r="AA65" s="276">
        <f>IF($C65+1&gt;AA$7,0,IF($D65&gt;SUM($G65:Z65),$D65/$E65,0))</f>
        <v>0</v>
      </c>
      <c r="AB65" s="276">
        <f>IF($C65+1&gt;AB$7,0,IF($D65&gt;SUM($G65:AA65),$D65/$E65,0))</f>
        <v>0</v>
      </c>
      <c r="AC65" s="276">
        <f>IF($C65+1&gt;AC$7,0,IF($D65&gt;SUM($G65:AB65),$D65/$E65,0))</f>
        <v>0</v>
      </c>
      <c r="AD65" s="276">
        <f>IF($C65+1&gt;AD$7,0,IF($D65&gt;SUM($G65:AC65),$D65/$E65,0))</f>
        <v>0</v>
      </c>
      <c r="AE65" s="276">
        <f>IF($C65+1&gt;AE$7,0,IF($D65&gt;SUM($G65:AD65),$D65/$E65,0))</f>
        <v>0</v>
      </c>
      <c r="AF65" s="276">
        <f ca="1">IF($C65+1&gt;AF$7,0,IF($D65&gt;SUM($G65:AE65),$D65/$E65,0))</f>
        <v>0</v>
      </c>
      <c r="AG65" s="276">
        <f ca="1">IF($C65+1&gt;AG$7,0,IF($D65&gt;SUM($G65:AF65),$D65/$E65,0))</f>
        <v>0</v>
      </c>
      <c r="AH65" s="276">
        <f ca="1">IF($C65+1&gt;AH$7,0,IF($D65&gt;SUM($G65:AG65),$D65/$E65,0))</f>
        <v>0</v>
      </c>
      <c r="AI65" s="276">
        <f ca="1">IF($C65+1&gt;AI$7,0,IF($D65&gt;SUM($G65:AH65),$D65/$E65,0))</f>
        <v>0</v>
      </c>
      <c r="AJ65" s="276">
        <f ca="1">IF($C65+1&gt;AJ$7,0,IF($D65&gt;SUM($G65:AI65),$D65/$E65,0))</f>
        <v>0</v>
      </c>
      <c r="AK65" s="276">
        <f ca="1">IF($C65+1&gt;AK$7,0,IF($D65&gt;SUM($G65:AJ65),$D65/$E65,0))</f>
        <v>0</v>
      </c>
      <c r="AL65" s="276">
        <f ca="1">IF($C65+1&gt;AL$7,0,IF($D65&gt;SUM($G65:AK65),$D65/$E65,0))</f>
        <v>0</v>
      </c>
      <c r="AM65" s="276">
        <f ca="1">IF($C65+1&gt;AM$7,0,IF($D65&gt;SUM($G65:AL65),$D65/$E65,0))</f>
        <v>0</v>
      </c>
      <c r="AN65" s="276">
        <f ca="1">IF($C65+1&gt;AN$7,0,IF($D65&gt;SUM($G65:AM65),$D65/$E65,0))</f>
        <v>0</v>
      </c>
      <c r="AO65" s="276">
        <f ca="1">IF($C65+1&gt;AO$7,0,IF($D65&gt;SUM($G65:AN65),$D65/$E65,0))</f>
        <v>0</v>
      </c>
      <c r="AP65" s="276">
        <f ca="1">IF($C65+1&gt;AP$7,0,IF($D65&gt;SUM($G65:AO65),$D65/$E65,0))</f>
        <v>0</v>
      </c>
      <c r="AQ65" s="276">
        <f ca="1">IF($C65+1&gt;AQ$7,0,IF($D65&gt;SUM($G65:AP65),$D65/$E65,0))</f>
        <v>0</v>
      </c>
      <c r="AR65" s="276">
        <f ca="1">IF($C65+1&gt;AR$7,0,IF($D65&gt;SUM($G65:AQ65),$D65/$E65,0))</f>
        <v>0</v>
      </c>
      <c r="AS65" s="276">
        <f ca="1">IF($C65+1&gt;AS$7,0,IF($D65&gt;SUM($G65:AR65),$D65/$E65,0))</f>
        <v>0</v>
      </c>
      <c r="AT65" s="276">
        <f ca="1">IF($C65+1&gt;AT$7,0,IF($D65&gt;SUM($G65:AS65),$D65/$E65,0))</f>
        <v>0</v>
      </c>
      <c r="AU65" s="276">
        <f ca="1">IF($C65+1&gt;AU$7,0,IF($D65&gt;SUM($G65:AT65),$D65/$E65,0))</f>
        <v>0</v>
      </c>
      <c r="AV65" s="276">
        <f ca="1">IF($C65+1&gt;AV$7,0,IF($D65&gt;SUM($G65:AU65),$D65/$E65,0))</f>
        <v>0</v>
      </c>
      <c r="AW65" s="276">
        <f ca="1">IF($C65+1&gt;AW$7,0,IF($D65&gt;SUM($G65:AV65),$D65/$E65,0))</f>
        <v>0</v>
      </c>
      <c r="AX65" s="276">
        <f ca="1">IF($C65+1&gt;AX$7,0,IF($D65&gt;SUM($G65:AW65),$D65/$E65,0))</f>
        <v>0</v>
      </c>
      <c r="AY65" s="276">
        <f ca="1">IF($C65+1&gt;AY$7,0,IF($D65&gt;SUM($G65:AX65),$D65/$E65,0))</f>
        <v>0</v>
      </c>
      <c r="AZ65" s="276">
        <f ca="1">IF($C65+1&gt;AZ$7,0,IF($D65&gt;SUM($G65:AY65),$D65/$E65,0))</f>
        <v>0</v>
      </c>
      <c r="BA65" s="276">
        <f ca="1">IF($C65+1&gt;BA$7,0,IF($D65&gt;SUM($G65:AZ65),$D65/$E65,0))</f>
        <v>0</v>
      </c>
      <c r="BB65" s="276">
        <f ca="1">IF($C65+1&gt;BB$7,0,IF($D65&gt;SUM($G65:BA65),$D65/$E65,0))</f>
        <v>0</v>
      </c>
      <c r="BC65" s="276">
        <f ca="1">IF($C65+1&gt;BC$7,0,IF($D65&gt;SUM($G65:BB65),$D65/$E65,0))</f>
        <v>0</v>
      </c>
      <c r="BD65" s="276">
        <f ca="1">IF($C65+1&gt;BD$7,0,IF($D65&gt;SUM($G65:BC65),$D65/$E65,0))</f>
        <v>0</v>
      </c>
      <c r="BE65" s="276">
        <f ca="1">IF($C65+1&gt;BE$7,0,IF($D65&gt;SUM($G65:BD65),$D65/$E65,0))</f>
        <v>0</v>
      </c>
      <c r="BF65" s="276">
        <f ca="1">IF($C65+1&gt;BF$7,0,IF($D65&gt;SUM($G65:BE65),$D65/$E65,0))</f>
        <v>0</v>
      </c>
      <c r="BG65" s="276">
        <f ca="1">IF($C65+1&gt;BG$7,0,IF($D65&gt;SUM($G65:BF65),$D65/$E65,0))</f>
        <v>0</v>
      </c>
      <c r="BH65" s="276">
        <f ca="1">IF($C65+1&gt;BH$7,0,IF($D65&gt;SUM($G65:BG65),$D65/$E65,0))</f>
        <v>0</v>
      </c>
      <c r="BI65" s="276">
        <f ca="1">IF($C65+1&gt;BI$7,0,IF($D65&gt;SUM($G65:BH65),$D65/$E65,0))</f>
        <v>0</v>
      </c>
      <c r="BJ65" s="276">
        <f ca="1">IF($C65+1&gt;BJ$7,0,IF($D65&gt;SUM($G65:BI65),$D65/$E65,0))</f>
        <v>0</v>
      </c>
      <c r="BK65" s="276">
        <f ca="1">IF($C65+1&gt;BK$7,0,IF($D65&gt;SUM($G65:BJ65),$D65/$E65,0))</f>
        <v>0</v>
      </c>
      <c r="BL65" s="276">
        <f ca="1">IF($C65+1&gt;BL$7,0,IF($D65&gt;SUM($G65:BK65),$D65/$E65,0))</f>
        <v>0</v>
      </c>
      <c r="BM65" s="276">
        <f ca="1">IF($C65+1&gt;BM$7,0,IF($D65&gt;SUM($G65:BL65),$D65/$E65,0))</f>
        <v>0</v>
      </c>
      <c r="BN65" s="276">
        <f ca="1">IF($C65+1&gt;BN$7,0,IF($D65&gt;SUM($G65:BM65),$D65/$E65,0))</f>
        <v>0</v>
      </c>
      <c r="BO65" s="276"/>
      <c r="BP65" s="276"/>
      <c r="BQ65" s="276"/>
      <c r="BR65" s="276"/>
      <c r="BS65" s="276"/>
      <c r="BT65" s="276"/>
      <c r="BU65" s="276"/>
      <c r="BV65" s="276"/>
      <c r="BW65" s="276"/>
      <c r="BX65" s="276"/>
      <c r="BY65" s="276"/>
      <c r="BZ65" s="276"/>
      <c r="CA65" s="254"/>
      <c r="CB65" s="254"/>
      <c r="CC65" s="254"/>
      <c r="CD65" s="254"/>
      <c r="CE65" s="254"/>
      <c r="CF65" s="254"/>
      <c r="CG65" s="254"/>
      <c r="CH65" s="254"/>
      <c r="CI65" s="254"/>
      <c r="CJ65" s="254"/>
      <c r="CK65" s="254"/>
      <c r="CL65" s="254"/>
    </row>
    <row r="66" spans="1:90" outlineLevel="1" x14ac:dyDescent="0.15">
      <c r="A66" s="272"/>
      <c r="B66" s="273"/>
      <c r="C66" s="275">
        <v>26</v>
      </c>
      <c r="D66" s="278">
        <f ca="1"/>
        <v>0</v>
      </c>
      <c r="E66" s="275">
        <f>SAP_Leadsheet!$E$50</f>
        <v>0</v>
      </c>
      <c r="F66" s="275"/>
      <c r="G66" s="276">
        <f>IF($C66+1&gt;G$7,0,IF($D66&gt;SUM(#REF!),$D66/$E66,0))</f>
        <v>0</v>
      </c>
      <c r="H66" s="276">
        <f>IF($C66+1&gt;H$7,0,IF($D66&gt;SUM($G66:G66),$D66/$E66,0))</f>
        <v>0</v>
      </c>
      <c r="I66" s="276">
        <f>IF($C66+1&gt;I$7,0,IF($D66&gt;SUM($G66:H66),$D66/$E66,0))</f>
        <v>0</v>
      </c>
      <c r="J66" s="276">
        <f>IF($C66+1&gt;J$7,0,IF($D66&gt;SUM($G66:I66),$D66/$E66,0))</f>
        <v>0</v>
      </c>
      <c r="K66" s="276">
        <f>IF($C66+1&gt;K$7,0,IF($D66&gt;SUM($G66:J66),$D66/$E66,0))</f>
        <v>0</v>
      </c>
      <c r="L66" s="276">
        <f>IF($C66+1&gt;L$7,0,IF($D66&gt;SUM($G66:K66),$D66/$E66,0))</f>
        <v>0</v>
      </c>
      <c r="M66" s="276">
        <f>IF($C66+1&gt;M$7,0,IF($D66&gt;SUM($G66:L66),$D66/$E66,0))</f>
        <v>0</v>
      </c>
      <c r="N66" s="276">
        <f>IF($C66+1&gt;N$7,0,IF($D66&gt;SUM($G66:M66),$D66/$E66,0))</f>
        <v>0</v>
      </c>
      <c r="O66" s="276">
        <f>IF($C66+1&gt;O$7,0,IF($D66&gt;SUM($G66:N66),$D66/$E66,0))</f>
        <v>0</v>
      </c>
      <c r="P66" s="276">
        <f>IF($C66+1&gt;P$7,0,IF($D66&gt;SUM($G66:O66),$D66/$E66,0))</f>
        <v>0</v>
      </c>
      <c r="Q66" s="276">
        <f>IF($C66+1&gt;Q$7,0,IF($D66&gt;SUM($G66:P66),$D66/$E66,0))</f>
        <v>0</v>
      </c>
      <c r="R66" s="276">
        <f>IF($C66+1&gt;R$7,0,IF($D66&gt;SUM($G66:Q66),$D66/$E66,0))</f>
        <v>0</v>
      </c>
      <c r="S66" s="276">
        <f>IF($C66+1&gt;S$7,0,IF($D66&gt;SUM($G66:R66),$D66/$E66,0))</f>
        <v>0</v>
      </c>
      <c r="T66" s="276">
        <f>IF($C66+1&gt;T$7,0,IF($D66&gt;SUM($G66:S66),$D66/$E66,0))</f>
        <v>0</v>
      </c>
      <c r="U66" s="276">
        <f>IF($C66+1&gt;U$7,0,IF($D66&gt;SUM($G66:T66),$D66/$E66,0))</f>
        <v>0</v>
      </c>
      <c r="V66" s="276">
        <f>IF($C66+1&gt;V$7,0,IF($D66&gt;SUM($G66:U66),$D66/$E66,0))</f>
        <v>0</v>
      </c>
      <c r="W66" s="276">
        <f>IF($C66+1&gt;W$7,0,IF($D66&gt;SUM($G66:V66),$D66/$E66,0))</f>
        <v>0</v>
      </c>
      <c r="X66" s="276">
        <f>IF($C66+1&gt;X$7,0,IF($D66&gt;SUM($G66:W66),$D66/$E66,0))</f>
        <v>0</v>
      </c>
      <c r="Y66" s="276">
        <f>IF($C66+1&gt;Y$7,0,IF($D66&gt;SUM($G66:X66),$D66/$E66,0))</f>
        <v>0</v>
      </c>
      <c r="Z66" s="276">
        <f>IF($C66+1&gt;Z$7,0,IF($D66&gt;SUM($G66:Y66),$D66/$E66,0))</f>
        <v>0</v>
      </c>
      <c r="AA66" s="276">
        <f>IF($C66+1&gt;AA$7,0,IF($D66&gt;SUM($G66:Z66),$D66/$E66,0))</f>
        <v>0</v>
      </c>
      <c r="AB66" s="276">
        <f>IF($C66+1&gt;AB$7,0,IF($D66&gt;SUM($G66:AA66),$D66/$E66,0))</f>
        <v>0</v>
      </c>
      <c r="AC66" s="276">
        <f>IF($C66+1&gt;AC$7,0,IF($D66&gt;SUM($G66:AB66),$D66/$E66,0))</f>
        <v>0</v>
      </c>
      <c r="AD66" s="276">
        <f>IF($C66+1&gt;AD$7,0,IF($D66&gt;SUM($G66:AC66),$D66/$E66,0))</f>
        <v>0</v>
      </c>
      <c r="AE66" s="276">
        <f>IF($C66+1&gt;AE$7,0,IF($D66&gt;SUM($G66:AD66),$D66/$E66,0))</f>
        <v>0</v>
      </c>
      <c r="AF66" s="276">
        <f>IF($C66+1&gt;AF$7,0,IF($D66&gt;SUM($G66:AE66),$D66/$E66,0))</f>
        <v>0</v>
      </c>
      <c r="AG66" s="276">
        <f ca="1">IF($C66+1&gt;AG$7,0,IF($D66&gt;SUM($G66:AF66),$D66/$E66,0))</f>
        <v>0</v>
      </c>
      <c r="AH66" s="276">
        <f ca="1">IF($C66+1&gt;AH$7,0,IF($D66&gt;SUM($G66:AG66),$D66/$E66,0))</f>
        <v>0</v>
      </c>
      <c r="AI66" s="276">
        <f ca="1">IF($C66+1&gt;AI$7,0,IF($D66&gt;SUM($G66:AH66),$D66/$E66,0))</f>
        <v>0</v>
      </c>
      <c r="AJ66" s="276">
        <f ca="1">IF($C66+1&gt;AJ$7,0,IF($D66&gt;SUM($G66:AI66),$D66/$E66,0))</f>
        <v>0</v>
      </c>
      <c r="AK66" s="276">
        <f ca="1">IF($C66+1&gt;AK$7,0,IF($D66&gt;SUM($G66:AJ66),$D66/$E66,0))</f>
        <v>0</v>
      </c>
      <c r="AL66" s="276">
        <f ca="1">IF($C66+1&gt;AL$7,0,IF($D66&gt;SUM($G66:AK66),$D66/$E66,0))</f>
        <v>0</v>
      </c>
      <c r="AM66" s="276">
        <f ca="1">IF($C66+1&gt;AM$7,0,IF($D66&gt;SUM($G66:AL66),$D66/$E66,0))</f>
        <v>0</v>
      </c>
      <c r="AN66" s="276">
        <f ca="1">IF($C66+1&gt;AN$7,0,IF($D66&gt;SUM($G66:AM66),$D66/$E66,0))</f>
        <v>0</v>
      </c>
      <c r="AO66" s="276">
        <f ca="1">IF($C66+1&gt;AO$7,0,IF($D66&gt;SUM($G66:AN66),$D66/$E66,0))</f>
        <v>0</v>
      </c>
      <c r="AP66" s="276">
        <f ca="1">IF($C66+1&gt;AP$7,0,IF($D66&gt;SUM($G66:AO66),$D66/$E66,0))</f>
        <v>0</v>
      </c>
      <c r="AQ66" s="276">
        <f ca="1">IF($C66+1&gt;AQ$7,0,IF($D66&gt;SUM($G66:AP66),$D66/$E66,0))</f>
        <v>0</v>
      </c>
      <c r="AR66" s="276">
        <f ca="1">IF($C66+1&gt;AR$7,0,IF($D66&gt;SUM($G66:AQ66),$D66/$E66,0))</f>
        <v>0</v>
      </c>
      <c r="AS66" s="276">
        <f ca="1">IF($C66+1&gt;AS$7,0,IF($D66&gt;SUM($G66:AR66),$D66/$E66,0))</f>
        <v>0</v>
      </c>
      <c r="AT66" s="276">
        <f ca="1">IF($C66+1&gt;AT$7,0,IF($D66&gt;SUM($G66:AS66),$D66/$E66,0))</f>
        <v>0</v>
      </c>
      <c r="AU66" s="276">
        <f ca="1">IF($C66+1&gt;AU$7,0,IF($D66&gt;SUM($G66:AT66),$D66/$E66,0))</f>
        <v>0</v>
      </c>
      <c r="AV66" s="276">
        <f ca="1">IF($C66+1&gt;AV$7,0,IF($D66&gt;SUM($G66:AU66),$D66/$E66,0))</f>
        <v>0</v>
      </c>
      <c r="AW66" s="276">
        <f ca="1">IF($C66+1&gt;AW$7,0,IF($D66&gt;SUM($G66:AV66),$D66/$E66,0))</f>
        <v>0</v>
      </c>
      <c r="AX66" s="276">
        <f ca="1">IF($C66+1&gt;AX$7,0,IF($D66&gt;SUM($G66:AW66),$D66/$E66,0))</f>
        <v>0</v>
      </c>
      <c r="AY66" s="276">
        <f ca="1">IF($C66+1&gt;AY$7,0,IF($D66&gt;SUM($G66:AX66),$D66/$E66,0))</f>
        <v>0</v>
      </c>
      <c r="AZ66" s="276">
        <f ca="1">IF($C66+1&gt;AZ$7,0,IF($D66&gt;SUM($G66:AY66),$D66/$E66,0))</f>
        <v>0</v>
      </c>
      <c r="BA66" s="276">
        <f ca="1">IF($C66+1&gt;BA$7,0,IF($D66&gt;SUM($G66:AZ66),$D66/$E66,0))</f>
        <v>0</v>
      </c>
      <c r="BB66" s="276">
        <f ca="1">IF($C66+1&gt;BB$7,0,IF($D66&gt;SUM($G66:BA66),$D66/$E66,0))</f>
        <v>0</v>
      </c>
      <c r="BC66" s="276">
        <f ca="1">IF($C66+1&gt;BC$7,0,IF($D66&gt;SUM($G66:BB66),$D66/$E66,0))</f>
        <v>0</v>
      </c>
      <c r="BD66" s="276">
        <f ca="1">IF($C66+1&gt;BD$7,0,IF($D66&gt;SUM($G66:BC66),$D66/$E66,0))</f>
        <v>0</v>
      </c>
      <c r="BE66" s="276">
        <f ca="1">IF($C66+1&gt;BE$7,0,IF($D66&gt;SUM($G66:BD66),$D66/$E66,0))</f>
        <v>0</v>
      </c>
      <c r="BF66" s="276">
        <f ca="1">IF($C66+1&gt;BF$7,0,IF($D66&gt;SUM($G66:BE66),$D66/$E66,0))</f>
        <v>0</v>
      </c>
      <c r="BG66" s="276">
        <f ca="1">IF($C66+1&gt;BG$7,0,IF($D66&gt;SUM($G66:BF66),$D66/$E66,0))</f>
        <v>0</v>
      </c>
      <c r="BH66" s="276">
        <f ca="1">IF($C66+1&gt;BH$7,0,IF($D66&gt;SUM($G66:BG66),$D66/$E66,0))</f>
        <v>0</v>
      </c>
      <c r="BI66" s="276">
        <f ca="1">IF($C66+1&gt;BI$7,0,IF($D66&gt;SUM($G66:BH66),$D66/$E66,0))</f>
        <v>0</v>
      </c>
      <c r="BJ66" s="276">
        <f ca="1">IF($C66+1&gt;BJ$7,0,IF($D66&gt;SUM($G66:BI66),$D66/$E66,0))</f>
        <v>0</v>
      </c>
      <c r="BK66" s="276">
        <f ca="1">IF($C66+1&gt;BK$7,0,IF($D66&gt;SUM($G66:BJ66),$D66/$E66,0))</f>
        <v>0</v>
      </c>
      <c r="BL66" s="276">
        <f ca="1">IF($C66+1&gt;BL$7,0,IF($D66&gt;SUM($G66:BK66),$D66/$E66,0))</f>
        <v>0</v>
      </c>
      <c r="BM66" s="276">
        <f ca="1">IF($C66+1&gt;BM$7,0,IF($D66&gt;SUM($G66:BL66),$D66/$E66,0))</f>
        <v>0</v>
      </c>
      <c r="BN66" s="276">
        <f ca="1">IF($C66+1&gt;BN$7,0,IF($D66&gt;SUM($G66:BM66),$D66/$E66,0))</f>
        <v>0</v>
      </c>
      <c r="BO66" s="276"/>
      <c r="BP66" s="276"/>
      <c r="BQ66" s="276"/>
      <c r="BR66" s="276"/>
      <c r="BS66" s="276"/>
      <c r="BT66" s="276"/>
      <c r="BU66" s="276"/>
      <c r="BV66" s="276"/>
      <c r="BW66" s="276"/>
      <c r="BX66" s="276"/>
      <c r="BY66" s="276"/>
      <c r="BZ66" s="276"/>
      <c r="CA66" s="254"/>
      <c r="CB66" s="254"/>
      <c r="CC66" s="254"/>
      <c r="CD66" s="254"/>
      <c r="CE66" s="254"/>
      <c r="CF66" s="254"/>
      <c r="CG66" s="254"/>
      <c r="CH66" s="254"/>
      <c r="CI66" s="254"/>
      <c r="CJ66" s="254"/>
      <c r="CK66" s="254"/>
      <c r="CL66" s="254"/>
    </row>
    <row r="67" spans="1:90" outlineLevel="1" x14ac:dyDescent="0.15">
      <c r="A67" s="272"/>
      <c r="B67" s="273"/>
      <c r="C67" s="275">
        <v>27</v>
      </c>
      <c r="D67" s="278">
        <f ca="1"/>
        <v>0</v>
      </c>
      <c r="E67" s="275">
        <f>SAP_Leadsheet!$E$50</f>
        <v>0</v>
      </c>
      <c r="F67" s="275"/>
      <c r="G67" s="276">
        <f>IF($C67+1&gt;G$7,0,IF($D67&gt;SUM(#REF!),$D67/$E67,0))</f>
        <v>0</v>
      </c>
      <c r="H67" s="276">
        <f>IF($C67+1&gt;H$7,0,IF($D67&gt;SUM($G67:G67),$D67/$E67,0))</f>
        <v>0</v>
      </c>
      <c r="I67" s="276">
        <f>IF($C67+1&gt;I$7,0,IF($D67&gt;SUM($G67:H67),$D67/$E67,0))</f>
        <v>0</v>
      </c>
      <c r="J67" s="276">
        <f>IF($C67+1&gt;J$7,0,IF($D67&gt;SUM($G67:I67),$D67/$E67,0))</f>
        <v>0</v>
      </c>
      <c r="K67" s="276">
        <f>IF($C67+1&gt;K$7,0,IF($D67&gt;SUM($G67:J67),$D67/$E67,0))</f>
        <v>0</v>
      </c>
      <c r="L67" s="276">
        <f>IF($C67+1&gt;L$7,0,IF($D67&gt;SUM($G67:K67),$D67/$E67,0))</f>
        <v>0</v>
      </c>
      <c r="M67" s="276">
        <f>IF($C67+1&gt;M$7,0,IF($D67&gt;SUM($G67:L67),$D67/$E67,0))</f>
        <v>0</v>
      </c>
      <c r="N67" s="276">
        <f>IF($C67+1&gt;N$7,0,IF($D67&gt;SUM($G67:M67),$D67/$E67,0))</f>
        <v>0</v>
      </c>
      <c r="O67" s="276">
        <f>IF($C67+1&gt;O$7,0,IF($D67&gt;SUM($G67:N67),$D67/$E67,0))</f>
        <v>0</v>
      </c>
      <c r="P67" s="276">
        <f>IF($C67+1&gt;P$7,0,IF($D67&gt;SUM($G67:O67),$D67/$E67,0))</f>
        <v>0</v>
      </c>
      <c r="Q67" s="276">
        <f>IF($C67+1&gt;Q$7,0,IF($D67&gt;SUM($G67:P67),$D67/$E67,0))</f>
        <v>0</v>
      </c>
      <c r="R67" s="276">
        <f>IF($C67+1&gt;R$7,0,IF($D67&gt;SUM($G67:Q67),$D67/$E67,0))</f>
        <v>0</v>
      </c>
      <c r="S67" s="276">
        <f>IF($C67+1&gt;S$7,0,IF($D67&gt;SUM($G67:R67),$D67/$E67,0))</f>
        <v>0</v>
      </c>
      <c r="T67" s="276">
        <f>IF($C67+1&gt;T$7,0,IF($D67&gt;SUM($G67:S67),$D67/$E67,0))</f>
        <v>0</v>
      </c>
      <c r="U67" s="276">
        <f>IF($C67+1&gt;U$7,0,IF($D67&gt;SUM($G67:T67),$D67/$E67,0))</f>
        <v>0</v>
      </c>
      <c r="V67" s="276">
        <f>IF($C67+1&gt;V$7,0,IF($D67&gt;SUM($G67:U67),$D67/$E67,0))</f>
        <v>0</v>
      </c>
      <c r="W67" s="276">
        <f>IF($C67+1&gt;W$7,0,IF($D67&gt;SUM($G67:V67),$D67/$E67,0))</f>
        <v>0</v>
      </c>
      <c r="X67" s="276">
        <f>IF($C67+1&gt;X$7,0,IF($D67&gt;SUM($G67:W67),$D67/$E67,0))</f>
        <v>0</v>
      </c>
      <c r="Y67" s="276">
        <f>IF($C67+1&gt;Y$7,0,IF($D67&gt;SUM($G67:X67),$D67/$E67,0))</f>
        <v>0</v>
      </c>
      <c r="Z67" s="276">
        <f>IF($C67+1&gt;Z$7,0,IF($D67&gt;SUM($G67:Y67),$D67/$E67,0))</f>
        <v>0</v>
      </c>
      <c r="AA67" s="276">
        <f>IF($C67+1&gt;AA$7,0,IF($D67&gt;SUM($G67:Z67),$D67/$E67,0))</f>
        <v>0</v>
      </c>
      <c r="AB67" s="276">
        <f>IF($C67+1&gt;AB$7,0,IF($D67&gt;SUM($G67:AA67),$D67/$E67,0))</f>
        <v>0</v>
      </c>
      <c r="AC67" s="276">
        <f>IF($C67+1&gt;AC$7,0,IF($D67&gt;SUM($G67:AB67),$D67/$E67,0))</f>
        <v>0</v>
      </c>
      <c r="AD67" s="276">
        <f>IF($C67+1&gt;AD$7,0,IF($D67&gt;SUM($G67:AC67),$D67/$E67,0))</f>
        <v>0</v>
      </c>
      <c r="AE67" s="276">
        <f>IF($C67+1&gt;AE$7,0,IF($D67&gt;SUM($G67:AD67),$D67/$E67,0))</f>
        <v>0</v>
      </c>
      <c r="AF67" s="276">
        <f>IF($C67+1&gt;AF$7,0,IF($D67&gt;SUM($G67:AE67),$D67/$E67,0))</f>
        <v>0</v>
      </c>
      <c r="AG67" s="276">
        <f>IF($C67+1&gt;AG$7,0,IF($D67&gt;SUM($G67:AF67),$D67/$E67,0))</f>
        <v>0</v>
      </c>
      <c r="AH67" s="276">
        <f ca="1">IF($C67+1&gt;AH$7,0,IF($D67&gt;SUM($G67:AG67),$D67/$E67,0))</f>
        <v>0</v>
      </c>
      <c r="AI67" s="276">
        <f ca="1">IF($C67+1&gt;AI$7,0,IF($D67&gt;SUM($G67:AH67),$D67/$E67,0))</f>
        <v>0</v>
      </c>
      <c r="AJ67" s="276">
        <f ca="1">IF($C67+1&gt;AJ$7,0,IF($D67&gt;SUM($G67:AI67),$D67/$E67,0))</f>
        <v>0</v>
      </c>
      <c r="AK67" s="276">
        <f ca="1">IF($C67+1&gt;AK$7,0,IF($D67&gt;SUM($G67:AJ67),$D67/$E67,0))</f>
        <v>0</v>
      </c>
      <c r="AL67" s="276">
        <f ca="1">IF($C67+1&gt;AL$7,0,IF($D67&gt;SUM($G67:AK67),$D67/$E67,0))</f>
        <v>0</v>
      </c>
      <c r="AM67" s="276">
        <f ca="1">IF($C67+1&gt;AM$7,0,IF($D67&gt;SUM($G67:AL67),$D67/$E67,0))</f>
        <v>0</v>
      </c>
      <c r="AN67" s="276">
        <f ca="1">IF($C67+1&gt;AN$7,0,IF($D67&gt;SUM($G67:AM67),$D67/$E67,0))</f>
        <v>0</v>
      </c>
      <c r="AO67" s="276">
        <f ca="1">IF($C67+1&gt;AO$7,0,IF($D67&gt;SUM($G67:AN67),$D67/$E67,0))</f>
        <v>0</v>
      </c>
      <c r="AP67" s="276">
        <f ca="1">IF($C67+1&gt;AP$7,0,IF($D67&gt;SUM($G67:AO67),$D67/$E67,0))</f>
        <v>0</v>
      </c>
      <c r="AQ67" s="276">
        <f ca="1">IF($C67+1&gt;AQ$7,0,IF($D67&gt;SUM($G67:AP67),$D67/$E67,0))</f>
        <v>0</v>
      </c>
      <c r="AR67" s="276">
        <f ca="1">IF($C67+1&gt;AR$7,0,IF($D67&gt;SUM($G67:AQ67),$D67/$E67,0))</f>
        <v>0</v>
      </c>
      <c r="AS67" s="276">
        <f ca="1">IF($C67+1&gt;AS$7,0,IF($D67&gt;SUM($G67:AR67),$D67/$E67,0))</f>
        <v>0</v>
      </c>
      <c r="AT67" s="276">
        <f ca="1">IF($C67+1&gt;AT$7,0,IF($D67&gt;SUM($G67:AS67),$D67/$E67,0))</f>
        <v>0</v>
      </c>
      <c r="AU67" s="276">
        <f ca="1">IF($C67+1&gt;AU$7,0,IF($D67&gt;SUM($G67:AT67),$D67/$E67,0))</f>
        <v>0</v>
      </c>
      <c r="AV67" s="276">
        <f ca="1">IF($C67+1&gt;AV$7,0,IF($D67&gt;SUM($G67:AU67),$D67/$E67,0))</f>
        <v>0</v>
      </c>
      <c r="AW67" s="276">
        <f ca="1">IF($C67+1&gt;AW$7,0,IF($D67&gt;SUM($G67:AV67),$D67/$E67,0))</f>
        <v>0</v>
      </c>
      <c r="AX67" s="276">
        <f ca="1">IF($C67+1&gt;AX$7,0,IF($D67&gt;SUM($G67:AW67),$D67/$E67,0))</f>
        <v>0</v>
      </c>
      <c r="AY67" s="276">
        <f ca="1">IF($C67+1&gt;AY$7,0,IF($D67&gt;SUM($G67:AX67),$D67/$E67,0))</f>
        <v>0</v>
      </c>
      <c r="AZ67" s="276">
        <f ca="1">IF($C67+1&gt;AZ$7,0,IF($D67&gt;SUM($G67:AY67),$D67/$E67,0))</f>
        <v>0</v>
      </c>
      <c r="BA67" s="276">
        <f ca="1">IF($C67+1&gt;BA$7,0,IF($D67&gt;SUM($G67:AZ67),$D67/$E67,0))</f>
        <v>0</v>
      </c>
      <c r="BB67" s="276">
        <f ca="1">IF($C67+1&gt;BB$7,0,IF($D67&gt;SUM($G67:BA67),$D67/$E67,0))</f>
        <v>0</v>
      </c>
      <c r="BC67" s="276">
        <f ca="1">IF($C67+1&gt;BC$7,0,IF($D67&gt;SUM($G67:BB67),$D67/$E67,0))</f>
        <v>0</v>
      </c>
      <c r="BD67" s="276">
        <f ca="1">IF($C67+1&gt;BD$7,0,IF($D67&gt;SUM($G67:BC67),$D67/$E67,0))</f>
        <v>0</v>
      </c>
      <c r="BE67" s="276">
        <f ca="1">IF($C67+1&gt;BE$7,0,IF($D67&gt;SUM($G67:BD67),$D67/$E67,0))</f>
        <v>0</v>
      </c>
      <c r="BF67" s="276">
        <f ca="1">IF($C67+1&gt;BF$7,0,IF($D67&gt;SUM($G67:BE67),$D67/$E67,0))</f>
        <v>0</v>
      </c>
      <c r="BG67" s="276">
        <f ca="1">IF($C67+1&gt;BG$7,0,IF($D67&gt;SUM($G67:BF67),$D67/$E67,0))</f>
        <v>0</v>
      </c>
      <c r="BH67" s="276">
        <f ca="1">IF($C67+1&gt;BH$7,0,IF($D67&gt;SUM($G67:BG67),$D67/$E67,0))</f>
        <v>0</v>
      </c>
      <c r="BI67" s="276">
        <f ca="1">IF($C67+1&gt;BI$7,0,IF($D67&gt;SUM($G67:BH67),$D67/$E67,0))</f>
        <v>0</v>
      </c>
      <c r="BJ67" s="276">
        <f ca="1">IF($C67+1&gt;BJ$7,0,IF($D67&gt;SUM($G67:BI67),$D67/$E67,0))</f>
        <v>0</v>
      </c>
      <c r="BK67" s="276">
        <f ca="1">IF($C67+1&gt;BK$7,0,IF($D67&gt;SUM($G67:BJ67),$D67/$E67,0))</f>
        <v>0</v>
      </c>
      <c r="BL67" s="276">
        <f ca="1">IF($C67+1&gt;BL$7,0,IF($D67&gt;SUM($G67:BK67),$D67/$E67,0))</f>
        <v>0</v>
      </c>
      <c r="BM67" s="276">
        <f ca="1">IF($C67+1&gt;BM$7,0,IF($D67&gt;SUM($G67:BL67),$D67/$E67,0))</f>
        <v>0</v>
      </c>
      <c r="BN67" s="276">
        <f ca="1">IF($C67+1&gt;BN$7,0,IF($D67&gt;SUM($G67:BM67),$D67/$E67,0))</f>
        <v>0</v>
      </c>
      <c r="BO67" s="276"/>
      <c r="BP67" s="276"/>
      <c r="BQ67" s="276"/>
      <c r="BR67" s="276"/>
      <c r="BS67" s="276"/>
      <c r="BT67" s="276"/>
      <c r="BU67" s="276"/>
      <c r="BV67" s="276"/>
      <c r="BW67" s="276"/>
      <c r="BX67" s="276"/>
      <c r="BY67" s="276"/>
      <c r="BZ67" s="276"/>
      <c r="CA67" s="254"/>
      <c r="CB67" s="254"/>
      <c r="CC67" s="254"/>
      <c r="CD67" s="254"/>
      <c r="CE67" s="254"/>
      <c r="CF67" s="254"/>
      <c r="CG67" s="254"/>
      <c r="CH67" s="254"/>
      <c r="CI67" s="254"/>
      <c r="CJ67" s="254"/>
      <c r="CK67" s="254"/>
      <c r="CL67" s="254"/>
    </row>
    <row r="68" spans="1:90" outlineLevel="1" x14ac:dyDescent="0.15">
      <c r="A68" s="272"/>
      <c r="B68" s="273"/>
      <c r="C68" s="275">
        <v>28</v>
      </c>
      <c r="D68" s="278">
        <f ca="1"/>
        <v>0</v>
      </c>
      <c r="E68" s="275">
        <f>SAP_Leadsheet!$E$50</f>
        <v>0</v>
      </c>
      <c r="F68" s="275"/>
      <c r="G68" s="276">
        <f>IF($C68+1&gt;G$7,0,IF($D68&gt;SUM(#REF!),$D68/$E68,0))</f>
        <v>0</v>
      </c>
      <c r="H68" s="276">
        <f>IF($C68+1&gt;H$7,0,IF($D68&gt;SUM($G68:G68),$D68/$E68,0))</f>
        <v>0</v>
      </c>
      <c r="I68" s="276">
        <f>IF($C68+1&gt;I$7,0,IF($D68&gt;SUM($G68:H68),$D68/$E68,0))</f>
        <v>0</v>
      </c>
      <c r="J68" s="276">
        <f>IF($C68+1&gt;J$7,0,IF($D68&gt;SUM($G68:I68),$D68/$E68,0))</f>
        <v>0</v>
      </c>
      <c r="K68" s="276">
        <f>IF($C68+1&gt;K$7,0,IF($D68&gt;SUM($G68:J68),$D68/$E68,0))</f>
        <v>0</v>
      </c>
      <c r="L68" s="276">
        <f>IF($C68+1&gt;L$7,0,IF($D68&gt;SUM($G68:K68),$D68/$E68,0))</f>
        <v>0</v>
      </c>
      <c r="M68" s="276">
        <f>IF($C68+1&gt;M$7,0,IF($D68&gt;SUM($G68:L68),$D68/$E68,0))</f>
        <v>0</v>
      </c>
      <c r="N68" s="276">
        <f>IF($C68+1&gt;N$7,0,IF($D68&gt;SUM($G68:M68),$D68/$E68,0))</f>
        <v>0</v>
      </c>
      <c r="O68" s="276">
        <f>IF($C68+1&gt;O$7,0,IF($D68&gt;SUM($G68:N68),$D68/$E68,0))</f>
        <v>0</v>
      </c>
      <c r="P68" s="276">
        <f>IF($C68+1&gt;P$7,0,IF($D68&gt;SUM($G68:O68),$D68/$E68,0))</f>
        <v>0</v>
      </c>
      <c r="Q68" s="276">
        <f>IF($C68+1&gt;Q$7,0,IF($D68&gt;SUM($G68:P68),$D68/$E68,0))</f>
        <v>0</v>
      </c>
      <c r="R68" s="276">
        <f>IF($C68+1&gt;R$7,0,IF($D68&gt;SUM($G68:Q68),$D68/$E68,0))</f>
        <v>0</v>
      </c>
      <c r="S68" s="276">
        <f>IF($C68+1&gt;S$7,0,IF($D68&gt;SUM($G68:R68),$D68/$E68,0))</f>
        <v>0</v>
      </c>
      <c r="T68" s="276">
        <f>IF($C68+1&gt;T$7,0,IF($D68&gt;SUM($G68:S68),$D68/$E68,0))</f>
        <v>0</v>
      </c>
      <c r="U68" s="276">
        <f>IF($C68+1&gt;U$7,0,IF($D68&gt;SUM($G68:T68),$D68/$E68,0))</f>
        <v>0</v>
      </c>
      <c r="V68" s="276">
        <f>IF($C68+1&gt;V$7,0,IF($D68&gt;SUM($G68:U68),$D68/$E68,0))</f>
        <v>0</v>
      </c>
      <c r="W68" s="276">
        <f>IF($C68+1&gt;W$7,0,IF($D68&gt;SUM($G68:V68),$D68/$E68,0))</f>
        <v>0</v>
      </c>
      <c r="X68" s="276">
        <f>IF($C68+1&gt;X$7,0,IF($D68&gt;SUM($G68:W68),$D68/$E68,0))</f>
        <v>0</v>
      </c>
      <c r="Y68" s="276">
        <f>IF($C68+1&gt;Y$7,0,IF($D68&gt;SUM($G68:X68),$D68/$E68,0))</f>
        <v>0</v>
      </c>
      <c r="Z68" s="276">
        <f>IF($C68+1&gt;Z$7,0,IF($D68&gt;SUM($G68:Y68),$D68/$E68,0))</f>
        <v>0</v>
      </c>
      <c r="AA68" s="276">
        <f>IF($C68+1&gt;AA$7,0,IF($D68&gt;SUM($G68:Z68),$D68/$E68,0))</f>
        <v>0</v>
      </c>
      <c r="AB68" s="276">
        <f>IF($C68+1&gt;AB$7,0,IF($D68&gt;SUM($G68:AA68),$D68/$E68,0))</f>
        <v>0</v>
      </c>
      <c r="AC68" s="276">
        <f>IF($C68+1&gt;AC$7,0,IF($D68&gt;SUM($G68:AB68),$D68/$E68,0))</f>
        <v>0</v>
      </c>
      <c r="AD68" s="276">
        <f>IF($C68+1&gt;AD$7,0,IF($D68&gt;SUM($G68:AC68),$D68/$E68,0))</f>
        <v>0</v>
      </c>
      <c r="AE68" s="276">
        <f>IF($C68+1&gt;AE$7,0,IF($D68&gt;SUM($G68:AD68),$D68/$E68,0))</f>
        <v>0</v>
      </c>
      <c r="AF68" s="276">
        <f>IF($C68+1&gt;AF$7,0,IF($D68&gt;SUM($G68:AE68),$D68/$E68,0))</f>
        <v>0</v>
      </c>
      <c r="AG68" s="276">
        <f>IF($C68+1&gt;AG$7,0,IF($D68&gt;SUM($G68:AF68),$D68/$E68,0))</f>
        <v>0</v>
      </c>
      <c r="AH68" s="276">
        <f>IF($C68+1&gt;AH$7,0,IF($D68&gt;SUM($G68:AG68),$D68/$E68,0))</f>
        <v>0</v>
      </c>
      <c r="AI68" s="276">
        <f ca="1">IF($C68+1&gt;AI$7,0,IF($D68&gt;SUM($G68:AH68),$D68/$E68,0))</f>
        <v>0</v>
      </c>
      <c r="AJ68" s="276">
        <f ca="1">IF($C68+1&gt;AJ$7,0,IF($D68&gt;SUM($G68:AI68),$D68/$E68,0))</f>
        <v>0</v>
      </c>
      <c r="AK68" s="276">
        <f ca="1">IF($C68+1&gt;AK$7,0,IF($D68&gt;SUM($G68:AJ68),$D68/$E68,0))</f>
        <v>0</v>
      </c>
      <c r="AL68" s="276">
        <f ca="1">IF($C68+1&gt;AL$7,0,IF($D68&gt;SUM($G68:AK68),$D68/$E68,0))</f>
        <v>0</v>
      </c>
      <c r="AM68" s="276">
        <f ca="1">IF($C68+1&gt;AM$7,0,IF($D68&gt;SUM($G68:AL68),$D68/$E68,0))</f>
        <v>0</v>
      </c>
      <c r="AN68" s="276">
        <f ca="1">IF($C68+1&gt;AN$7,0,IF($D68&gt;SUM($G68:AM68),$D68/$E68,0))</f>
        <v>0</v>
      </c>
      <c r="AO68" s="276">
        <f ca="1">IF($C68+1&gt;AO$7,0,IF($D68&gt;SUM($G68:AN68),$D68/$E68,0))</f>
        <v>0</v>
      </c>
      <c r="AP68" s="276">
        <f ca="1">IF($C68+1&gt;AP$7,0,IF($D68&gt;SUM($G68:AO68),$D68/$E68,0))</f>
        <v>0</v>
      </c>
      <c r="AQ68" s="276">
        <f ca="1">IF($C68+1&gt;AQ$7,0,IF($D68&gt;SUM($G68:AP68),$D68/$E68,0))</f>
        <v>0</v>
      </c>
      <c r="AR68" s="276">
        <f ca="1">IF($C68+1&gt;AR$7,0,IF($D68&gt;SUM($G68:AQ68),$D68/$E68,0))</f>
        <v>0</v>
      </c>
      <c r="AS68" s="276">
        <f ca="1">IF($C68+1&gt;AS$7,0,IF($D68&gt;SUM($G68:AR68),$D68/$E68,0))</f>
        <v>0</v>
      </c>
      <c r="AT68" s="276">
        <f ca="1">IF($C68+1&gt;AT$7,0,IF($D68&gt;SUM($G68:AS68),$D68/$E68,0))</f>
        <v>0</v>
      </c>
      <c r="AU68" s="276">
        <f ca="1">IF($C68+1&gt;AU$7,0,IF($D68&gt;SUM($G68:AT68),$D68/$E68,0))</f>
        <v>0</v>
      </c>
      <c r="AV68" s="276">
        <f ca="1">IF($C68+1&gt;AV$7,0,IF($D68&gt;SUM($G68:AU68),$D68/$E68,0))</f>
        <v>0</v>
      </c>
      <c r="AW68" s="276">
        <f ca="1">IF($C68+1&gt;AW$7,0,IF($D68&gt;SUM($G68:AV68),$D68/$E68,0))</f>
        <v>0</v>
      </c>
      <c r="AX68" s="276">
        <f ca="1">IF($C68+1&gt;AX$7,0,IF($D68&gt;SUM($G68:AW68),$D68/$E68,0))</f>
        <v>0</v>
      </c>
      <c r="AY68" s="276">
        <f ca="1">IF($C68+1&gt;AY$7,0,IF($D68&gt;SUM($G68:AX68),$D68/$E68,0))</f>
        <v>0</v>
      </c>
      <c r="AZ68" s="276">
        <f ca="1">IF($C68+1&gt;AZ$7,0,IF($D68&gt;SUM($G68:AY68),$D68/$E68,0))</f>
        <v>0</v>
      </c>
      <c r="BA68" s="276">
        <f ca="1">IF($C68+1&gt;BA$7,0,IF($D68&gt;SUM($G68:AZ68),$D68/$E68,0))</f>
        <v>0</v>
      </c>
      <c r="BB68" s="276">
        <f ca="1">IF($C68+1&gt;BB$7,0,IF($D68&gt;SUM($G68:BA68),$D68/$E68,0))</f>
        <v>0</v>
      </c>
      <c r="BC68" s="276">
        <f ca="1">IF($C68+1&gt;BC$7,0,IF($D68&gt;SUM($G68:BB68),$D68/$E68,0))</f>
        <v>0</v>
      </c>
      <c r="BD68" s="276">
        <f ca="1">IF($C68+1&gt;BD$7,0,IF($D68&gt;SUM($G68:BC68),$D68/$E68,0))</f>
        <v>0</v>
      </c>
      <c r="BE68" s="276">
        <f ca="1">IF($C68+1&gt;BE$7,0,IF($D68&gt;SUM($G68:BD68),$D68/$E68,0))</f>
        <v>0</v>
      </c>
      <c r="BF68" s="276">
        <f ca="1">IF($C68+1&gt;BF$7,0,IF($D68&gt;SUM($G68:BE68),$D68/$E68,0))</f>
        <v>0</v>
      </c>
      <c r="BG68" s="276">
        <f ca="1">IF($C68+1&gt;BG$7,0,IF($D68&gt;SUM($G68:BF68),$D68/$E68,0))</f>
        <v>0</v>
      </c>
      <c r="BH68" s="276">
        <f ca="1">IF($C68+1&gt;BH$7,0,IF($D68&gt;SUM($G68:BG68),$D68/$E68,0))</f>
        <v>0</v>
      </c>
      <c r="BI68" s="276">
        <f ca="1">IF($C68+1&gt;BI$7,0,IF($D68&gt;SUM($G68:BH68),$D68/$E68,0))</f>
        <v>0</v>
      </c>
      <c r="BJ68" s="276">
        <f ca="1">IF($C68+1&gt;BJ$7,0,IF($D68&gt;SUM($G68:BI68),$D68/$E68,0))</f>
        <v>0</v>
      </c>
      <c r="BK68" s="276">
        <f ca="1">IF($C68+1&gt;BK$7,0,IF($D68&gt;SUM($G68:BJ68),$D68/$E68,0))</f>
        <v>0</v>
      </c>
      <c r="BL68" s="276">
        <f ca="1">IF($C68+1&gt;BL$7,0,IF($D68&gt;SUM($G68:BK68),$D68/$E68,0))</f>
        <v>0</v>
      </c>
      <c r="BM68" s="276">
        <f ca="1">IF($C68+1&gt;BM$7,0,IF($D68&gt;SUM($G68:BL68),$D68/$E68,0))</f>
        <v>0</v>
      </c>
      <c r="BN68" s="276">
        <f ca="1">IF($C68+1&gt;BN$7,0,IF($D68&gt;SUM($G68:BM68),$D68/$E68,0))</f>
        <v>0</v>
      </c>
      <c r="BO68" s="276"/>
      <c r="BP68" s="276"/>
      <c r="BQ68" s="276"/>
      <c r="BR68" s="276"/>
      <c r="BS68" s="276"/>
      <c r="BT68" s="276"/>
      <c r="BU68" s="276"/>
      <c r="BV68" s="276"/>
      <c r="BW68" s="276"/>
      <c r="BX68" s="276"/>
      <c r="BY68" s="276"/>
      <c r="BZ68" s="276"/>
      <c r="CA68" s="254"/>
      <c r="CB68" s="254"/>
      <c r="CC68" s="254"/>
      <c r="CD68" s="254"/>
      <c r="CE68" s="254"/>
      <c r="CF68" s="254"/>
      <c r="CG68" s="254"/>
      <c r="CH68" s="254"/>
      <c r="CI68" s="254"/>
      <c r="CJ68" s="254"/>
      <c r="CK68" s="254"/>
      <c r="CL68" s="254"/>
    </row>
    <row r="69" spans="1:90" outlineLevel="1" x14ac:dyDescent="0.15">
      <c r="A69" s="272"/>
      <c r="B69" s="273"/>
      <c r="C69" s="275">
        <v>29</v>
      </c>
      <c r="D69" s="278">
        <f ca="1"/>
        <v>0</v>
      </c>
      <c r="E69" s="275">
        <f>SAP_Leadsheet!$E$50</f>
        <v>0</v>
      </c>
      <c r="F69" s="275"/>
      <c r="G69" s="276">
        <f>IF($C69+1&gt;G$7,0,IF($D69&gt;SUM(#REF!),$D69/$E69,0))</f>
        <v>0</v>
      </c>
      <c r="H69" s="276">
        <f>IF($C69+1&gt;H$7,0,IF($D69&gt;SUM($G69:G69),$D69/$E69,0))</f>
        <v>0</v>
      </c>
      <c r="I69" s="276">
        <f>IF($C69+1&gt;I$7,0,IF($D69&gt;SUM($G69:H69),$D69/$E69,0))</f>
        <v>0</v>
      </c>
      <c r="J69" s="276">
        <f>IF($C69+1&gt;J$7,0,IF($D69&gt;SUM($G69:I69),$D69/$E69,0))</f>
        <v>0</v>
      </c>
      <c r="K69" s="276">
        <f>IF($C69+1&gt;K$7,0,IF($D69&gt;SUM($G69:J69),$D69/$E69,0))</f>
        <v>0</v>
      </c>
      <c r="L69" s="276">
        <f>IF($C69+1&gt;L$7,0,IF($D69&gt;SUM($G69:K69),$D69/$E69,0))</f>
        <v>0</v>
      </c>
      <c r="M69" s="276">
        <f>IF($C69+1&gt;M$7,0,IF($D69&gt;SUM($G69:L69),$D69/$E69,0))</f>
        <v>0</v>
      </c>
      <c r="N69" s="276">
        <f>IF($C69+1&gt;N$7,0,IF($D69&gt;SUM($G69:M69),$D69/$E69,0))</f>
        <v>0</v>
      </c>
      <c r="O69" s="276">
        <f>IF($C69+1&gt;O$7,0,IF($D69&gt;SUM($G69:N69),$D69/$E69,0))</f>
        <v>0</v>
      </c>
      <c r="P69" s="276">
        <f>IF($C69+1&gt;P$7,0,IF($D69&gt;SUM($G69:O69),$D69/$E69,0))</f>
        <v>0</v>
      </c>
      <c r="Q69" s="276">
        <f>IF($C69+1&gt;Q$7,0,IF($D69&gt;SUM($G69:P69),$D69/$E69,0))</f>
        <v>0</v>
      </c>
      <c r="R69" s="276">
        <f>IF($C69+1&gt;R$7,0,IF($D69&gt;SUM($G69:Q69),$D69/$E69,0))</f>
        <v>0</v>
      </c>
      <c r="S69" s="276">
        <f>IF($C69+1&gt;S$7,0,IF($D69&gt;SUM($G69:R69),$D69/$E69,0))</f>
        <v>0</v>
      </c>
      <c r="T69" s="276">
        <f>IF($C69+1&gt;T$7,0,IF($D69&gt;SUM($G69:S69),$D69/$E69,0))</f>
        <v>0</v>
      </c>
      <c r="U69" s="276">
        <f>IF($C69+1&gt;U$7,0,IF($D69&gt;SUM($G69:T69),$D69/$E69,0))</f>
        <v>0</v>
      </c>
      <c r="V69" s="276">
        <f>IF($C69+1&gt;V$7,0,IF($D69&gt;SUM($G69:U69),$D69/$E69,0))</f>
        <v>0</v>
      </c>
      <c r="W69" s="276">
        <f>IF($C69+1&gt;W$7,0,IF($D69&gt;SUM($G69:V69),$D69/$E69,0))</f>
        <v>0</v>
      </c>
      <c r="X69" s="276">
        <f>IF($C69+1&gt;X$7,0,IF($D69&gt;SUM($G69:W69),$D69/$E69,0))</f>
        <v>0</v>
      </c>
      <c r="Y69" s="276">
        <f>IF($C69+1&gt;Y$7,0,IF($D69&gt;SUM($G69:X69),$D69/$E69,0))</f>
        <v>0</v>
      </c>
      <c r="Z69" s="276">
        <f>IF($C69+1&gt;Z$7,0,IF($D69&gt;SUM($G69:Y69),$D69/$E69,0))</f>
        <v>0</v>
      </c>
      <c r="AA69" s="276">
        <f>IF($C69+1&gt;AA$7,0,IF($D69&gt;SUM($G69:Z69),$D69/$E69,0))</f>
        <v>0</v>
      </c>
      <c r="AB69" s="276">
        <f>IF($C69+1&gt;AB$7,0,IF($D69&gt;SUM($G69:AA69),$D69/$E69,0))</f>
        <v>0</v>
      </c>
      <c r="AC69" s="276">
        <f>IF($C69+1&gt;AC$7,0,IF($D69&gt;SUM($G69:AB69),$D69/$E69,0))</f>
        <v>0</v>
      </c>
      <c r="AD69" s="276">
        <f>IF($C69+1&gt;AD$7,0,IF($D69&gt;SUM($G69:AC69),$D69/$E69,0))</f>
        <v>0</v>
      </c>
      <c r="AE69" s="276">
        <f>IF($C69+1&gt;AE$7,0,IF($D69&gt;SUM($G69:AD69),$D69/$E69,0))</f>
        <v>0</v>
      </c>
      <c r="AF69" s="276">
        <f>IF($C69+1&gt;AF$7,0,IF($D69&gt;SUM($G69:AE69),$D69/$E69,0))</f>
        <v>0</v>
      </c>
      <c r="AG69" s="276">
        <f>IF($C69+1&gt;AG$7,0,IF($D69&gt;SUM($G69:AF69),$D69/$E69,0))</f>
        <v>0</v>
      </c>
      <c r="AH69" s="276">
        <f>IF($C69+1&gt;AH$7,0,IF($D69&gt;SUM($G69:AG69),$D69/$E69,0))</f>
        <v>0</v>
      </c>
      <c r="AI69" s="276">
        <f>IF($C69+1&gt;AI$7,0,IF($D69&gt;SUM($G69:AH69),$D69/$E69,0))</f>
        <v>0</v>
      </c>
      <c r="AJ69" s="276">
        <f ca="1">IF($C69+1&gt;AJ$7,0,IF($D69&gt;SUM($G69:AI69),$D69/$E69,0))</f>
        <v>0</v>
      </c>
      <c r="AK69" s="276">
        <f ca="1">IF($C69+1&gt;AK$7,0,IF($D69&gt;SUM($G69:AJ69),$D69/$E69,0))</f>
        <v>0</v>
      </c>
      <c r="AL69" s="276">
        <f ca="1">IF($C69+1&gt;AL$7,0,IF($D69&gt;SUM($G69:AK69),$D69/$E69,0))</f>
        <v>0</v>
      </c>
      <c r="AM69" s="276">
        <f ca="1">IF($C69+1&gt;AM$7,0,IF($D69&gt;SUM($G69:AL69),$D69/$E69,0))</f>
        <v>0</v>
      </c>
      <c r="AN69" s="276">
        <f ca="1">IF($C69+1&gt;AN$7,0,IF($D69&gt;SUM($G69:AM69),$D69/$E69,0))</f>
        <v>0</v>
      </c>
      <c r="AO69" s="276">
        <f ca="1">IF($C69+1&gt;AO$7,0,IF($D69&gt;SUM($G69:AN69),$D69/$E69,0))</f>
        <v>0</v>
      </c>
      <c r="AP69" s="276">
        <f ca="1">IF($C69+1&gt;AP$7,0,IF($D69&gt;SUM($G69:AO69),$D69/$E69,0))</f>
        <v>0</v>
      </c>
      <c r="AQ69" s="276">
        <f ca="1">IF($C69+1&gt;AQ$7,0,IF($D69&gt;SUM($G69:AP69),$D69/$E69,0))</f>
        <v>0</v>
      </c>
      <c r="AR69" s="276">
        <f ca="1">IF($C69+1&gt;AR$7,0,IF($D69&gt;SUM($G69:AQ69),$D69/$E69,0))</f>
        <v>0</v>
      </c>
      <c r="AS69" s="276">
        <f ca="1">IF($C69+1&gt;AS$7,0,IF($D69&gt;SUM($G69:AR69),$D69/$E69,0))</f>
        <v>0</v>
      </c>
      <c r="AT69" s="276">
        <f ca="1">IF($C69+1&gt;AT$7,0,IF($D69&gt;SUM($G69:AS69),$D69/$E69,0))</f>
        <v>0</v>
      </c>
      <c r="AU69" s="276">
        <f ca="1">IF($C69+1&gt;AU$7,0,IF($D69&gt;SUM($G69:AT69),$D69/$E69,0))</f>
        <v>0</v>
      </c>
      <c r="AV69" s="276">
        <f ca="1">IF($C69+1&gt;AV$7,0,IF($D69&gt;SUM($G69:AU69),$D69/$E69,0))</f>
        <v>0</v>
      </c>
      <c r="AW69" s="276">
        <f ca="1">IF($C69+1&gt;AW$7,0,IF($D69&gt;SUM($G69:AV69),$D69/$E69,0))</f>
        <v>0</v>
      </c>
      <c r="AX69" s="276">
        <f ca="1">IF($C69+1&gt;AX$7,0,IF($D69&gt;SUM($G69:AW69),$D69/$E69,0))</f>
        <v>0</v>
      </c>
      <c r="AY69" s="276">
        <f ca="1">IF($C69+1&gt;AY$7,0,IF($D69&gt;SUM($G69:AX69),$D69/$E69,0))</f>
        <v>0</v>
      </c>
      <c r="AZ69" s="276">
        <f ca="1">IF($C69+1&gt;AZ$7,0,IF($D69&gt;SUM($G69:AY69),$D69/$E69,0))</f>
        <v>0</v>
      </c>
      <c r="BA69" s="276">
        <f ca="1">IF($C69+1&gt;BA$7,0,IF($D69&gt;SUM($G69:AZ69),$D69/$E69,0))</f>
        <v>0</v>
      </c>
      <c r="BB69" s="276">
        <f ca="1">IF($C69+1&gt;BB$7,0,IF($D69&gt;SUM($G69:BA69),$D69/$E69,0))</f>
        <v>0</v>
      </c>
      <c r="BC69" s="276">
        <f ca="1">IF($C69+1&gt;BC$7,0,IF($D69&gt;SUM($G69:BB69),$D69/$E69,0))</f>
        <v>0</v>
      </c>
      <c r="BD69" s="276">
        <f ca="1">IF($C69+1&gt;BD$7,0,IF($D69&gt;SUM($G69:BC69),$D69/$E69,0))</f>
        <v>0</v>
      </c>
      <c r="BE69" s="276">
        <f ca="1">IF($C69+1&gt;BE$7,0,IF($D69&gt;SUM($G69:BD69),$D69/$E69,0))</f>
        <v>0</v>
      </c>
      <c r="BF69" s="276">
        <f ca="1">IF($C69+1&gt;BF$7,0,IF($D69&gt;SUM($G69:BE69),$D69/$E69,0))</f>
        <v>0</v>
      </c>
      <c r="BG69" s="276">
        <f ca="1">IF($C69+1&gt;BG$7,0,IF($D69&gt;SUM($G69:BF69),$D69/$E69,0))</f>
        <v>0</v>
      </c>
      <c r="BH69" s="276">
        <f ca="1">IF($C69+1&gt;BH$7,0,IF($D69&gt;SUM($G69:BG69),$D69/$E69,0))</f>
        <v>0</v>
      </c>
      <c r="BI69" s="276">
        <f ca="1">IF($C69+1&gt;BI$7,0,IF($D69&gt;SUM($G69:BH69),$D69/$E69,0))</f>
        <v>0</v>
      </c>
      <c r="BJ69" s="276">
        <f ca="1">IF($C69+1&gt;BJ$7,0,IF($D69&gt;SUM($G69:BI69),$D69/$E69,0))</f>
        <v>0</v>
      </c>
      <c r="BK69" s="276">
        <f ca="1">IF($C69+1&gt;BK$7,0,IF($D69&gt;SUM($G69:BJ69),$D69/$E69,0))</f>
        <v>0</v>
      </c>
      <c r="BL69" s="276">
        <f ca="1">IF($C69+1&gt;BL$7,0,IF($D69&gt;SUM($G69:BK69),$D69/$E69,0))</f>
        <v>0</v>
      </c>
      <c r="BM69" s="276">
        <f ca="1">IF($C69+1&gt;BM$7,0,IF($D69&gt;SUM($G69:BL69),$D69/$E69,0))</f>
        <v>0</v>
      </c>
      <c r="BN69" s="276">
        <f ca="1">IF($C69+1&gt;BN$7,0,IF($D69&gt;SUM($G69:BM69),$D69/$E69,0))</f>
        <v>0</v>
      </c>
      <c r="BO69" s="276"/>
      <c r="BP69" s="276"/>
      <c r="BQ69" s="276"/>
      <c r="BR69" s="276"/>
      <c r="BS69" s="276"/>
      <c r="BT69" s="276"/>
      <c r="BU69" s="276"/>
      <c r="BV69" s="276"/>
      <c r="BW69" s="276"/>
      <c r="BX69" s="276"/>
      <c r="BY69" s="276"/>
      <c r="BZ69" s="276"/>
      <c r="CA69" s="254"/>
      <c r="CB69" s="254"/>
      <c r="CC69" s="254"/>
      <c r="CD69" s="254"/>
      <c r="CE69" s="254"/>
      <c r="CF69" s="254"/>
      <c r="CG69" s="254"/>
      <c r="CH69" s="254"/>
      <c r="CI69" s="254"/>
      <c r="CJ69" s="254"/>
      <c r="CK69" s="254"/>
      <c r="CL69" s="254"/>
    </row>
    <row r="70" spans="1:90" outlineLevel="1" x14ac:dyDescent="0.15">
      <c r="A70" s="272"/>
      <c r="B70" s="273"/>
      <c r="C70" s="275">
        <v>30</v>
      </c>
      <c r="D70" s="278">
        <f ca="1"/>
        <v>0</v>
      </c>
      <c r="E70" s="275">
        <f>SAP_Leadsheet!$E$50</f>
        <v>0</v>
      </c>
      <c r="F70" s="275"/>
      <c r="G70" s="276">
        <f>IF($C70+1&gt;G$7,0,IF($D70&gt;SUM(#REF!),$D70/$E70,0))</f>
        <v>0</v>
      </c>
      <c r="H70" s="276">
        <f>IF($C70+1&gt;H$7,0,IF($D70&gt;SUM($G70:G70),$D70/$E70,0))</f>
        <v>0</v>
      </c>
      <c r="I70" s="276">
        <f>IF($C70+1&gt;I$7,0,IF($D70&gt;SUM($G70:H70),$D70/$E70,0))</f>
        <v>0</v>
      </c>
      <c r="J70" s="276">
        <f>IF($C70+1&gt;J$7,0,IF($D70&gt;SUM($G70:I70),$D70/$E70,0))</f>
        <v>0</v>
      </c>
      <c r="K70" s="276">
        <f>IF($C70+1&gt;K$7,0,IF($D70&gt;SUM($G70:J70),$D70/$E70,0))</f>
        <v>0</v>
      </c>
      <c r="L70" s="276">
        <f>IF($C70+1&gt;L$7,0,IF($D70&gt;SUM($G70:K70),$D70/$E70,0))</f>
        <v>0</v>
      </c>
      <c r="M70" s="276">
        <f>IF($C70+1&gt;M$7,0,IF($D70&gt;SUM($G70:L70),$D70/$E70,0))</f>
        <v>0</v>
      </c>
      <c r="N70" s="276">
        <f>IF($C70+1&gt;N$7,0,IF($D70&gt;SUM($G70:M70),$D70/$E70,0))</f>
        <v>0</v>
      </c>
      <c r="O70" s="276">
        <f>IF($C70+1&gt;O$7,0,IF($D70&gt;SUM($G70:N70),$D70/$E70,0))</f>
        <v>0</v>
      </c>
      <c r="P70" s="276">
        <f>IF($C70+1&gt;P$7,0,IF($D70&gt;SUM($G70:O70),$D70/$E70,0))</f>
        <v>0</v>
      </c>
      <c r="Q70" s="276">
        <f>IF($C70+1&gt;Q$7,0,IF($D70&gt;SUM($G70:P70),$D70/$E70,0))</f>
        <v>0</v>
      </c>
      <c r="R70" s="276">
        <f>IF($C70+1&gt;R$7,0,IF($D70&gt;SUM($G70:Q70),$D70/$E70,0))</f>
        <v>0</v>
      </c>
      <c r="S70" s="276">
        <f>IF($C70+1&gt;S$7,0,IF($D70&gt;SUM($G70:R70),$D70/$E70,0))</f>
        <v>0</v>
      </c>
      <c r="T70" s="276">
        <f>IF($C70+1&gt;T$7,0,IF($D70&gt;SUM($G70:S70),$D70/$E70,0))</f>
        <v>0</v>
      </c>
      <c r="U70" s="276">
        <f>IF($C70+1&gt;U$7,0,IF($D70&gt;SUM($G70:T70),$D70/$E70,0))</f>
        <v>0</v>
      </c>
      <c r="V70" s="276">
        <f>IF($C70+1&gt;V$7,0,IF($D70&gt;SUM($G70:U70),$D70/$E70,0))</f>
        <v>0</v>
      </c>
      <c r="W70" s="276">
        <f>IF($C70+1&gt;W$7,0,IF($D70&gt;SUM($G70:V70),$D70/$E70,0))</f>
        <v>0</v>
      </c>
      <c r="X70" s="276">
        <f>IF($C70+1&gt;X$7,0,IF($D70&gt;SUM($G70:W70),$D70/$E70,0))</f>
        <v>0</v>
      </c>
      <c r="Y70" s="276">
        <f>IF($C70+1&gt;Y$7,0,IF($D70&gt;SUM($G70:X70),$D70/$E70,0))</f>
        <v>0</v>
      </c>
      <c r="Z70" s="276">
        <f>IF($C70+1&gt;Z$7,0,IF($D70&gt;SUM($G70:Y70),$D70/$E70,0))</f>
        <v>0</v>
      </c>
      <c r="AA70" s="276">
        <f>IF($C70+1&gt;AA$7,0,IF($D70&gt;SUM($G70:Z70),$D70/$E70,0))</f>
        <v>0</v>
      </c>
      <c r="AB70" s="276">
        <f>IF($C70+1&gt;AB$7,0,IF($D70&gt;SUM($G70:AA70),$D70/$E70,0))</f>
        <v>0</v>
      </c>
      <c r="AC70" s="276">
        <f>IF($C70+1&gt;AC$7,0,IF($D70&gt;SUM($G70:AB70),$D70/$E70,0))</f>
        <v>0</v>
      </c>
      <c r="AD70" s="276">
        <f>IF($C70+1&gt;AD$7,0,IF($D70&gt;SUM($G70:AC70),$D70/$E70,0))</f>
        <v>0</v>
      </c>
      <c r="AE70" s="276">
        <f>IF($C70+1&gt;AE$7,0,IF($D70&gt;SUM($G70:AD70),$D70/$E70,0))</f>
        <v>0</v>
      </c>
      <c r="AF70" s="276">
        <f>IF($C70+1&gt;AF$7,0,IF($D70&gt;SUM($G70:AE70),$D70/$E70,0))</f>
        <v>0</v>
      </c>
      <c r="AG70" s="276">
        <f>IF($C70+1&gt;AG$7,0,IF($D70&gt;SUM($G70:AF70),$D70/$E70,0))</f>
        <v>0</v>
      </c>
      <c r="AH70" s="276">
        <f>IF($C70+1&gt;AH$7,0,IF($D70&gt;SUM($G70:AG70),$D70/$E70,0))</f>
        <v>0</v>
      </c>
      <c r="AI70" s="276">
        <f>IF($C70+1&gt;AI$7,0,IF($D70&gt;SUM($G70:AH70),$D70/$E70,0))</f>
        <v>0</v>
      </c>
      <c r="AJ70" s="276">
        <f>IF($C70+1&gt;AJ$7,0,IF($D70&gt;SUM($G70:AI70),$D70/$E70,0))</f>
        <v>0</v>
      </c>
      <c r="AK70" s="276">
        <f ca="1">IF($C70+1&gt;AK$7,0,IF($D70&gt;SUM($G70:AJ70),$D70/$E70,0))</f>
        <v>0</v>
      </c>
      <c r="AL70" s="276">
        <f ca="1">IF($C70+1&gt;AL$7,0,IF($D70&gt;SUM($G70:AK70),$D70/$E70,0))</f>
        <v>0</v>
      </c>
      <c r="AM70" s="276">
        <f ca="1">IF($C70+1&gt;AM$7,0,IF($D70&gt;SUM($G70:AL70),$D70/$E70,0))</f>
        <v>0</v>
      </c>
      <c r="AN70" s="276">
        <f ca="1">IF($C70+1&gt;AN$7,0,IF($D70&gt;SUM($G70:AM70),$D70/$E70,0))</f>
        <v>0</v>
      </c>
      <c r="AO70" s="276">
        <f ca="1">IF($C70+1&gt;AO$7,0,IF($D70&gt;SUM($G70:AN70),$D70/$E70,0))</f>
        <v>0</v>
      </c>
      <c r="AP70" s="276">
        <f ca="1">IF($C70+1&gt;AP$7,0,IF($D70&gt;SUM($G70:AO70),$D70/$E70,0))</f>
        <v>0</v>
      </c>
      <c r="AQ70" s="276">
        <f ca="1">IF($C70+1&gt;AQ$7,0,IF($D70&gt;SUM($G70:AP70),$D70/$E70,0))</f>
        <v>0</v>
      </c>
      <c r="AR70" s="276">
        <f ca="1">IF($C70+1&gt;AR$7,0,IF($D70&gt;SUM($G70:AQ70),$D70/$E70,0))</f>
        <v>0</v>
      </c>
      <c r="AS70" s="276">
        <f ca="1">IF($C70+1&gt;AS$7,0,IF($D70&gt;SUM($G70:AR70),$D70/$E70,0))</f>
        <v>0</v>
      </c>
      <c r="AT70" s="276">
        <f ca="1">IF($C70+1&gt;AT$7,0,IF($D70&gt;SUM($G70:AS70),$D70/$E70,0))</f>
        <v>0</v>
      </c>
      <c r="AU70" s="276">
        <f ca="1">IF($C70+1&gt;AU$7,0,IF($D70&gt;SUM($G70:AT70),$D70/$E70,0))</f>
        <v>0</v>
      </c>
      <c r="AV70" s="276">
        <f ca="1">IF($C70+1&gt;AV$7,0,IF($D70&gt;SUM($G70:AU70),$D70/$E70,0))</f>
        <v>0</v>
      </c>
      <c r="AW70" s="276">
        <f ca="1">IF($C70+1&gt;AW$7,0,IF($D70&gt;SUM($G70:AV70),$D70/$E70,0))</f>
        <v>0</v>
      </c>
      <c r="AX70" s="276">
        <f ca="1">IF($C70+1&gt;AX$7,0,IF($D70&gt;SUM($G70:AW70),$D70/$E70,0))</f>
        <v>0</v>
      </c>
      <c r="AY70" s="276">
        <f ca="1">IF($C70+1&gt;AY$7,0,IF($D70&gt;SUM($G70:AX70),$D70/$E70,0))</f>
        <v>0</v>
      </c>
      <c r="AZ70" s="276">
        <f ca="1">IF($C70+1&gt;AZ$7,0,IF($D70&gt;SUM($G70:AY70),$D70/$E70,0))</f>
        <v>0</v>
      </c>
      <c r="BA70" s="276">
        <f ca="1">IF($C70+1&gt;BA$7,0,IF($D70&gt;SUM($G70:AZ70),$D70/$E70,0))</f>
        <v>0</v>
      </c>
      <c r="BB70" s="276">
        <f ca="1">IF($C70+1&gt;BB$7,0,IF($D70&gt;SUM($G70:BA70),$D70/$E70,0))</f>
        <v>0</v>
      </c>
      <c r="BC70" s="276">
        <f ca="1">IF($C70+1&gt;BC$7,0,IF($D70&gt;SUM($G70:BB70),$D70/$E70,0))</f>
        <v>0</v>
      </c>
      <c r="BD70" s="276">
        <f ca="1">IF($C70+1&gt;BD$7,0,IF($D70&gt;SUM($G70:BC70),$D70/$E70,0))</f>
        <v>0</v>
      </c>
      <c r="BE70" s="276">
        <f ca="1">IF($C70+1&gt;BE$7,0,IF($D70&gt;SUM($G70:BD70),$D70/$E70,0))</f>
        <v>0</v>
      </c>
      <c r="BF70" s="276">
        <f ca="1">IF($C70+1&gt;BF$7,0,IF($D70&gt;SUM($G70:BE70),$D70/$E70,0))</f>
        <v>0</v>
      </c>
      <c r="BG70" s="276">
        <f ca="1">IF($C70+1&gt;BG$7,0,IF($D70&gt;SUM($G70:BF70),$D70/$E70,0))</f>
        <v>0</v>
      </c>
      <c r="BH70" s="276">
        <f ca="1">IF($C70+1&gt;BH$7,0,IF($D70&gt;SUM($G70:BG70),$D70/$E70,0))</f>
        <v>0</v>
      </c>
      <c r="BI70" s="276">
        <f ca="1">IF($C70+1&gt;BI$7,0,IF($D70&gt;SUM($G70:BH70),$D70/$E70,0))</f>
        <v>0</v>
      </c>
      <c r="BJ70" s="276">
        <f ca="1">IF($C70+1&gt;BJ$7,0,IF($D70&gt;SUM($G70:BI70),$D70/$E70,0))</f>
        <v>0</v>
      </c>
      <c r="BK70" s="276">
        <f ca="1">IF($C70+1&gt;BK$7,0,IF($D70&gt;SUM($G70:BJ70),$D70/$E70,0))</f>
        <v>0</v>
      </c>
      <c r="BL70" s="276">
        <f ca="1">IF($C70+1&gt;BL$7,0,IF($D70&gt;SUM($G70:BK70),$D70/$E70,0))</f>
        <v>0</v>
      </c>
      <c r="BM70" s="276">
        <f ca="1">IF($C70+1&gt;BM$7,0,IF($D70&gt;SUM($G70:BL70),$D70/$E70,0))</f>
        <v>0</v>
      </c>
      <c r="BN70" s="276">
        <f ca="1">IF($C70+1&gt;BN$7,0,IF($D70&gt;SUM($G70:BM70),$D70/$E70,0))</f>
        <v>0</v>
      </c>
      <c r="BO70" s="276"/>
      <c r="BP70" s="276"/>
      <c r="BQ70" s="276"/>
      <c r="BR70" s="276"/>
      <c r="BS70" s="276"/>
      <c r="BT70" s="276"/>
      <c r="BU70" s="276"/>
      <c r="BV70" s="276"/>
      <c r="BW70" s="276"/>
      <c r="BX70" s="276"/>
      <c r="BY70" s="276"/>
      <c r="BZ70" s="276"/>
      <c r="CA70" s="254"/>
      <c r="CB70" s="254"/>
      <c r="CC70" s="254"/>
      <c r="CD70" s="254"/>
      <c r="CE70" s="254"/>
      <c r="CF70" s="254"/>
      <c r="CG70" s="254"/>
      <c r="CH70" s="254"/>
      <c r="CI70" s="254"/>
      <c r="CJ70" s="254"/>
      <c r="CK70" s="254"/>
      <c r="CL70" s="254"/>
    </row>
    <row r="71" spans="1:90" outlineLevel="1" x14ac:dyDescent="0.15">
      <c r="A71" s="272"/>
      <c r="B71" s="273"/>
      <c r="C71" s="275">
        <v>31</v>
      </c>
      <c r="D71" s="278">
        <f ca="1"/>
        <v>0</v>
      </c>
      <c r="E71" s="275">
        <f>SAP_Leadsheet!$E$50</f>
        <v>0</v>
      </c>
      <c r="F71" s="275"/>
      <c r="G71" s="276">
        <f>IF($C71+1&gt;G$7,0,IF($D71&gt;SUM(#REF!),$D71/$E71,0))</f>
        <v>0</v>
      </c>
      <c r="H71" s="276">
        <f>IF($C71+1&gt;H$7,0,IF($D71&gt;SUM($G71:G71),$D71/$E71,0))</f>
        <v>0</v>
      </c>
      <c r="I71" s="276">
        <f>IF($C71+1&gt;I$7,0,IF($D71&gt;SUM($G71:H71),$D71/$E71,0))</f>
        <v>0</v>
      </c>
      <c r="J71" s="276">
        <f>IF($C71+1&gt;J$7,0,IF($D71&gt;SUM($G71:I71),$D71/$E71,0))</f>
        <v>0</v>
      </c>
      <c r="K71" s="276">
        <f>IF($C71+1&gt;K$7,0,IF($D71&gt;SUM($G71:J71),$D71/$E71,0))</f>
        <v>0</v>
      </c>
      <c r="L71" s="276">
        <f>IF($C71+1&gt;L$7,0,IF($D71&gt;SUM($G71:K71),$D71/$E71,0))</f>
        <v>0</v>
      </c>
      <c r="M71" s="276">
        <f>IF($C71+1&gt;M$7,0,IF($D71&gt;SUM($G71:L71),$D71/$E71,0))</f>
        <v>0</v>
      </c>
      <c r="N71" s="276">
        <f>IF($C71+1&gt;N$7,0,IF($D71&gt;SUM($G71:M71),$D71/$E71,0))</f>
        <v>0</v>
      </c>
      <c r="O71" s="276">
        <f>IF($C71+1&gt;O$7,0,IF($D71&gt;SUM($G71:N71),$D71/$E71,0))</f>
        <v>0</v>
      </c>
      <c r="P71" s="276">
        <f>IF($C71+1&gt;P$7,0,IF($D71&gt;SUM($G71:O71),$D71/$E71,0))</f>
        <v>0</v>
      </c>
      <c r="Q71" s="276">
        <f>IF($C71+1&gt;Q$7,0,IF($D71&gt;SUM($G71:P71),$D71/$E71,0))</f>
        <v>0</v>
      </c>
      <c r="R71" s="276">
        <f>IF($C71+1&gt;R$7,0,IF($D71&gt;SUM($G71:Q71),$D71/$E71,0))</f>
        <v>0</v>
      </c>
      <c r="S71" s="276">
        <f>IF($C71+1&gt;S$7,0,IF($D71&gt;SUM($G71:R71),$D71/$E71,0))</f>
        <v>0</v>
      </c>
      <c r="T71" s="276">
        <f>IF($C71+1&gt;T$7,0,IF($D71&gt;SUM($G71:S71),$D71/$E71,0))</f>
        <v>0</v>
      </c>
      <c r="U71" s="276">
        <f>IF($C71+1&gt;U$7,0,IF($D71&gt;SUM($G71:T71),$D71/$E71,0))</f>
        <v>0</v>
      </c>
      <c r="V71" s="276">
        <f>IF($C71+1&gt;V$7,0,IF($D71&gt;SUM($G71:U71),$D71/$E71,0))</f>
        <v>0</v>
      </c>
      <c r="W71" s="276">
        <f>IF($C71+1&gt;W$7,0,IF($D71&gt;SUM($G71:V71),$D71/$E71,0))</f>
        <v>0</v>
      </c>
      <c r="X71" s="276">
        <f>IF($C71+1&gt;X$7,0,IF($D71&gt;SUM($G71:W71),$D71/$E71,0))</f>
        <v>0</v>
      </c>
      <c r="Y71" s="276">
        <f>IF($C71+1&gt;Y$7,0,IF($D71&gt;SUM($G71:X71),$D71/$E71,0))</f>
        <v>0</v>
      </c>
      <c r="Z71" s="276">
        <f>IF($C71+1&gt;Z$7,0,IF($D71&gt;SUM($G71:Y71),$D71/$E71,0))</f>
        <v>0</v>
      </c>
      <c r="AA71" s="276">
        <f>IF($C71+1&gt;AA$7,0,IF($D71&gt;SUM($G71:Z71),$D71/$E71,0))</f>
        <v>0</v>
      </c>
      <c r="AB71" s="276">
        <f>IF($C71+1&gt;AB$7,0,IF($D71&gt;SUM($G71:AA71),$D71/$E71,0))</f>
        <v>0</v>
      </c>
      <c r="AC71" s="276">
        <f>IF($C71+1&gt;AC$7,0,IF($D71&gt;SUM($G71:AB71),$D71/$E71,0))</f>
        <v>0</v>
      </c>
      <c r="AD71" s="276">
        <f>IF($C71+1&gt;AD$7,0,IF($D71&gt;SUM($G71:AC71),$D71/$E71,0))</f>
        <v>0</v>
      </c>
      <c r="AE71" s="276">
        <f>IF($C71+1&gt;AE$7,0,IF($D71&gt;SUM($G71:AD71),$D71/$E71,0))</f>
        <v>0</v>
      </c>
      <c r="AF71" s="276">
        <f>IF($C71+1&gt;AF$7,0,IF($D71&gt;SUM($G71:AE71),$D71/$E71,0))</f>
        <v>0</v>
      </c>
      <c r="AG71" s="276">
        <f>IF($C71+1&gt;AG$7,0,IF($D71&gt;SUM($G71:AF71),$D71/$E71,0))</f>
        <v>0</v>
      </c>
      <c r="AH71" s="276">
        <f>IF($C71+1&gt;AH$7,0,IF($D71&gt;SUM($G71:AG71),$D71/$E71,0))</f>
        <v>0</v>
      </c>
      <c r="AI71" s="276">
        <f>IF($C71+1&gt;AI$7,0,IF($D71&gt;SUM($G71:AH71),$D71/$E71,0))</f>
        <v>0</v>
      </c>
      <c r="AJ71" s="276">
        <f>IF($C71+1&gt;AJ$7,0,IF($D71&gt;SUM($G71:AI71),$D71/$E71,0))</f>
        <v>0</v>
      </c>
      <c r="AK71" s="276">
        <f>IF($C71+1&gt;AK$7,0,IF($D71&gt;SUM($G71:AJ71),$D71/$E71,0))</f>
        <v>0</v>
      </c>
      <c r="AL71" s="276">
        <f ca="1">IF($C71+1&gt;AL$7,0,IF($D71&gt;SUM($G71:AK71),$D71/$E71,0))</f>
        <v>0</v>
      </c>
      <c r="AM71" s="276">
        <f ca="1">IF($C71+1&gt;AM$7,0,IF($D71&gt;SUM($G71:AL71),$D71/$E71,0))</f>
        <v>0</v>
      </c>
      <c r="AN71" s="276">
        <f ca="1">IF($C71+1&gt;AN$7,0,IF($D71&gt;SUM($G71:AM71),$D71/$E71,0))</f>
        <v>0</v>
      </c>
      <c r="AO71" s="276">
        <f ca="1">IF($C71+1&gt;AO$7,0,IF($D71&gt;SUM($G71:AN71),$D71/$E71,0))</f>
        <v>0</v>
      </c>
      <c r="AP71" s="276">
        <f ca="1">IF($C71+1&gt;AP$7,0,IF($D71&gt;SUM($G71:AO71),$D71/$E71,0))</f>
        <v>0</v>
      </c>
      <c r="AQ71" s="276">
        <f ca="1">IF($C71+1&gt;AQ$7,0,IF($D71&gt;SUM($G71:AP71),$D71/$E71,0))</f>
        <v>0</v>
      </c>
      <c r="AR71" s="276">
        <f ca="1">IF($C71+1&gt;AR$7,0,IF($D71&gt;SUM($G71:AQ71),$D71/$E71,0))</f>
        <v>0</v>
      </c>
      <c r="AS71" s="276">
        <f ca="1">IF($C71+1&gt;AS$7,0,IF($D71&gt;SUM($G71:AR71),$D71/$E71,0))</f>
        <v>0</v>
      </c>
      <c r="AT71" s="276">
        <f ca="1">IF($C71+1&gt;AT$7,0,IF($D71&gt;SUM($G71:AS71),$D71/$E71,0))</f>
        <v>0</v>
      </c>
      <c r="AU71" s="276">
        <f ca="1">IF($C71+1&gt;AU$7,0,IF($D71&gt;SUM($G71:AT71),$D71/$E71,0))</f>
        <v>0</v>
      </c>
      <c r="AV71" s="276">
        <f ca="1">IF($C71+1&gt;AV$7,0,IF($D71&gt;SUM($G71:AU71),$D71/$E71,0))</f>
        <v>0</v>
      </c>
      <c r="AW71" s="276">
        <f ca="1">IF($C71+1&gt;AW$7,0,IF($D71&gt;SUM($G71:AV71),$D71/$E71,0))</f>
        <v>0</v>
      </c>
      <c r="AX71" s="276">
        <f ca="1">IF($C71+1&gt;AX$7,0,IF($D71&gt;SUM($G71:AW71),$D71/$E71,0))</f>
        <v>0</v>
      </c>
      <c r="AY71" s="276">
        <f ca="1">IF($C71+1&gt;AY$7,0,IF($D71&gt;SUM($G71:AX71),$D71/$E71,0))</f>
        <v>0</v>
      </c>
      <c r="AZ71" s="276">
        <f ca="1">IF($C71+1&gt;AZ$7,0,IF($D71&gt;SUM($G71:AY71),$D71/$E71,0))</f>
        <v>0</v>
      </c>
      <c r="BA71" s="276">
        <f ca="1">IF($C71+1&gt;BA$7,0,IF($D71&gt;SUM($G71:AZ71),$D71/$E71,0))</f>
        <v>0</v>
      </c>
      <c r="BB71" s="276">
        <f ca="1">IF($C71+1&gt;BB$7,0,IF($D71&gt;SUM($G71:BA71),$D71/$E71,0))</f>
        <v>0</v>
      </c>
      <c r="BC71" s="276">
        <f ca="1">IF($C71+1&gt;BC$7,0,IF($D71&gt;SUM($G71:BB71),$D71/$E71,0))</f>
        <v>0</v>
      </c>
      <c r="BD71" s="276">
        <f ca="1">IF($C71+1&gt;BD$7,0,IF($D71&gt;SUM($G71:BC71),$D71/$E71,0))</f>
        <v>0</v>
      </c>
      <c r="BE71" s="276">
        <f ca="1">IF($C71+1&gt;BE$7,0,IF($D71&gt;SUM($G71:BD71),$D71/$E71,0))</f>
        <v>0</v>
      </c>
      <c r="BF71" s="276">
        <f ca="1">IF($C71+1&gt;BF$7,0,IF($D71&gt;SUM($G71:BE71),$D71/$E71,0))</f>
        <v>0</v>
      </c>
      <c r="BG71" s="276">
        <f ca="1">IF($C71+1&gt;BG$7,0,IF($D71&gt;SUM($G71:BF71),$D71/$E71,0))</f>
        <v>0</v>
      </c>
      <c r="BH71" s="276">
        <f ca="1">IF($C71+1&gt;BH$7,0,IF($D71&gt;SUM($G71:BG71),$D71/$E71,0))</f>
        <v>0</v>
      </c>
      <c r="BI71" s="276">
        <f ca="1">IF($C71+1&gt;BI$7,0,IF($D71&gt;SUM($G71:BH71),$D71/$E71,0))</f>
        <v>0</v>
      </c>
      <c r="BJ71" s="276">
        <f ca="1">IF($C71+1&gt;BJ$7,0,IF($D71&gt;SUM($G71:BI71),$D71/$E71,0))</f>
        <v>0</v>
      </c>
      <c r="BK71" s="276">
        <f ca="1">IF($C71+1&gt;BK$7,0,IF($D71&gt;SUM($G71:BJ71),$D71/$E71,0))</f>
        <v>0</v>
      </c>
      <c r="BL71" s="276">
        <f ca="1">IF($C71+1&gt;BL$7,0,IF($D71&gt;SUM($G71:BK71),$D71/$E71,0))</f>
        <v>0</v>
      </c>
      <c r="BM71" s="276">
        <f ca="1">IF($C71+1&gt;BM$7,0,IF($D71&gt;SUM($G71:BL71),$D71/$E71,0))</f>
        <v>0</v>
      </c>
      <c r="BN71" s="276">
        <f ca="1">IF($C71+1&gt;BN$7,0,IF($D71&gt;SUM($G71:BM71),$D71/$E71,0))</f>
        <v>0</v>
      </c>
      <c r="BO71" s="276"/>
      <c r="BP71" s="276"/>
      <c r="BQ71" s="276"/>
      <c r="BR71" s="276"/>
      <c r="BS71" s="276"/>
      <c r="BT71" s="276"/>
      <c r="BU71" s="276"/>
      <c r="BV71" s="276"/>
      <c r="BW71" s="276"/>
      <c r="BX71" s="276"/>
      <c r="BY71" s="276"/>
      <c r="BZ71" s="276"/>
      <c r="CA71" s="254"/>
      <c r="CB71" s="254"/>
      <c r="CC71" s="254"/>
      <c r="CD71" s="254"/>
      <c r="CE71" s="254"/>
      <c r="CF71" s="254"/>
      <c r="CG71" s="254"/>
      <c r="CH71" s="254"/>
      <c r="CI71" s="254"/>
      <c r="CJ71" s="254"/>
      <c r="CK71" s="254"/>
      <c r="CL71" s="254"/>
    </row>
    <row r="72" spans="1:90" outlineLevel="1" x14ac:dyDescent="0.15">
      <c r="A72" s="272"/>
      <c r="B72" s="273"/>
      <c r="C72" s="275">
        <v>32</v>
      </c>
      <c r="D72" s="278">
        <f ca="1"/>
        <v>0</v>
      </c>
      <c r="E72" s="275">
        <f>SAP_Leadsheet!$E$50</f>
        <v>0</v>
      </c>
      <c r="F72" s="275"/>
      <c r="G72" s="276">
        <f>IF($C72+1&gt;G$7,0,IF($D72&gt;SUM(#REF!),$D72/$E72,0))</f>
        <v>0</v>
      </c>
      <c r="H72" s="276">
        <f>IF($C72+1&gt;H$7,0,IF($D72&gt;SUM($G72:G72),$D72/$E72,0))</f>
        <v>0</v>
      </c>
      <c r="I72" s="276">
        <f>IF($C72+1&gt;I$7,0,IF($D72&gt;SUM($G72:H72),$D72/$E72,0))</f>
        <v>0</v>
      </c>
      <c r="J72" s="276">
        <f>IF($C72+1&gt;J$7,0,IF($D72&gt;SUM($G72:I72),$D72/$E72,0))</f>
        <v>0</v>
      </c>
      <c r="K72" s="276">
        <f>IF($C72+1&gt;K$7,0,IF($D72&gt;SUM($G72:J72),$D72/$E72,0))</f>
        <v>0</v>
      </c>
      <c r="L72" s="276">
        <f>IF($C72+1&gt;L$7,0,IF($D72&gt;SUM($G72:K72),$D72/$E72,0))</f>
        <v>0</v>
      </c>
      <c r="M72" s="276">
        <f>IF($C72+1&gt;M$7,0,IF($D72&gt;SUM($G72:L72),$D72/$E72,0))</f>
        <v>0</v>
      </c>
      <c r="N72" s="276">
        <f>IF($C72+1&gt;N$7,0,IF($D72&gt;SUM($G72:M72),$D72/$E72,0))</f>
        <v>0</v>
      </c>
      <c r="O72" s="276">
        <f>IF($C72+1&gt;O$7,0,IF($D72&gt;SUM($G72:N72),$D72/$E72,0))</f>
        <v>0</v>
      </c>
      <c r="P72" s="276">
        <f>IF($C72+1&gt;P$7,0,IF($D72&gt;SUM($G72:O72),$D72/$E72,0))</f>
        <v>0</v>
      </c>
      <c r="Q72" s="276">
        <f>IF($C72+1&gt;Q$7,0,IF($D72&gt;SUM($G72:P72),$D72/$E72,0))</f>
        <v>0</v>
      </c>
      <c r="R72" s="276">
        <f>IF($C72+1&gt;R$7,0,IF($D72&gt;SUM($G72:Q72),$D72/$E72,0))</f>
        <v>0</v>
      </c>
      <c r="S72" s="276">
        <f>IF($C72+1&gt;S$7,0,IF($D72&gt;SUM($G72:R72),$D72/$E72,0))</f>
        <v>0</v>
      </c>
      <c r="T72" s="276">
        <f>IF($C72+1&gt;T$7,0,IF($D72&gt;SUM($G72:S72),$D72/$E72,0))</f>
        <v>0</v>
      </c>
      <c r="U72" s="276">
        <f>IF($C72+1&gt;U$7,0,IF($D72&gt;SUM($G72:T72),$D72/$E72,0))</f>
        <v>0</v>
      </c>
      <c r="V72" s="276">
        <f>IF($C72+1&gt;V$7,0,IF($D72&gt;SUM($G72:U72),$D72/$E72,0))</f>
        <v>0</v>
      </c>
      <c r="W72" s="276">
        <f>IF($C72+1&gt;W$7,0,IF($D72&gt;SUM($G72:V72),$D72/$E72,0))</f>
        <v>0</v>
      </c>
      <c r="X72" s="276">
        <f>IF($C72+1&gt;X$7,0,IF($D72&gt;SUM($G72:W72),$D72/$E72,0))</f>
        <v>0</v>
      </c>
      <c r="Y72" s="276">
        <f>IF($C72+1&gt;Y$7,0,IF($D72&gt;SUM($G72:X72),$D72/$E72,0))</f>
        <v>0</v>
      </c>
      <c r="Z72" s="276">
        <f>IF($C72+1&gt;Z$7,0,IF($D72&gt;SUM($G72:Y72),$D72/$E72,0))</f>
        <v>0</v>
      </c>
      <c r="AA72" s="276">
        <f>IF($C72+1&gt;AA$7,0,IF($D72&gt;SUM($G72:Z72),$D72/$E72,0))</f>
        <v>0</v>
      </c>
      <c r="AB72" s="276">
        <f>IF($C72+1&gt;AB$7,0,IF($D72&gt;SUM($G72:AA72),$D72/$E72,0))</f>
        <v>0</v>
      </c>
      <c r="AC72" s="276">
        <f>IF($C72+1&gt;AC$7,0,IF($D72&gt;SUM($G72:AB72),$D72/$E72,0))</f>
        <v>0</v>
      </c>
      <c r="AD72" s="276">
        <f>IF($C72+1&gt;AD$7,0,IF($D72&gt;SUM($G72:AC72),$D72/$E72,0))</f>
        <v>0</v>
      </c>
      <c r="AE72" s="276">
        <f>IF($C72+1&gt;AE$7,0,IF($D72&gt;SUM($G72:AD72),$D72/$E72,0))</f>
        <v>0</v>
      </c>
      <c r="AF72" s="276">
        <f>IF($C72+1&gt;AF$7,0,IF($D72&gt;SUM($G72:AE72),$D72/$E72,0))</f>
        <v>0</v>
      </c>
      <c r="AG72" s="276">
        <f>IF($C72+1&gt;AG$7,0,IF($D72&gt;SUM($G72:AF72),$D72/$E72,0))</f>
        <v>0</v>
      </c>
      <c r="AH72" s="276">
        <f>IF($C72+1&gt;AH$7,0,IF($D72&gt;SUM($G72:AG72),$D72/$E72,0))</f>
        <v>0</v>
      </c>
      <c r="AI72" s="276">
        <f>IF($C72+1&gt;AI$7,0,IF($D72&gt;SUM($G72:AH72),$D72/$E72,0))</f>
        <v>0</v>
      </c>
      <c r="AJ72" s="276">
        <f>IF($C72+1&gt;AJ$7,0,IF($D72&gt;SUM($G72:AI72),$D72/$E72,0))</f>
        <v>0</v>
      </c>
      <c r="AK72" s="276">
        <f>IF($C72+1&gt;AK$7,0,IF($D72&gt;SUM($G72:AJ72),$D72/$E72,0))</f>
        <v>0</v>
      </c>
      <c r="AL72" s="276">
        <f>IF($C72+1&gt;AL$7,0,IF($D72&gt;SUM($G72:AK72),$D72/$E72,0))</f>
        <v>0</v>
      </c>
      <c r="AM72" s="276">
        <f ca="1">IF($C72+1&gt;AM$7,0,IF($D72&gt;SUM($G72:AL72),$D72/$E72,0))</f>
        <v>0</v>
      </c>
      <c r="AN72" s="276">
        <f ca="1">IF($C72+1&gt;AN$7,0,IF($D72&gt;SUM($G72:AM72),$D72/$E72,0))</f>
        <v>0</v>
      </c>
      <c r="AO72" s="276">
        <f ca="1">IF($C72+1&gt;AO$7,0,IF($D72&gt;SUM($G72:AN72),$D72/$E72,0))</f>
        <v>0</v>
      </c>
      <c r="AP72" s="276">
        <f ca="1">IF($C72+1&gt;AP$7,0,IF($D72&gt;SUM($G72:AO72),$D72/$E72,0))</f>
        <v>0</v>
      </c>
      <c r="AQ72" s="276">
        <f ca="1">IF($C72+1&gt;AQ$7,0,IF($D72&gt;SUM($G72:AP72),$D72/$E72,0))</f>
        <v>0</v>
      </c>
      <c r="AR72" s="276">
        <f ca="1">IF($C72+1&gt;AR$7,0,IF($D72&gt;SUM($G72:AQ72),$D72/$E72,0))</f>
        <v>0</v>
      </c>
      <c r="AS72" s="276">
        <f ca="1">IF($C72+1&gt;AS$7,0,IF($D72&gt;SUM($G72:AR72),$D72/$E72,0))</f>
        <v>0</v>
      </c>
      <c r="AT72" s="276">
        <f ca="1">IF($C72+1&gt;AT$7,0,IF($D72&gt;SUM($G72:AS72),$D72/$E72,0))</f>
        <v>0</v>
      </c>
      <c r="AU72" s="276">
        <f ca="1">IF($C72+1&gt;AU$7,0,IF($D72&gt;SUM($G72:AT72),$D72/$E72,0))</f>
        <v>0</v>
      </c>
      <c r="AV72" s="276">
        <f ca="1">IF($C72+1&gt;AV$7,0,IF($D72&gt;SUM($G72:AU72),$D72/$E72,0))</f>
        <v>0</v>
      </c>
      <c r="AW72" s="276">
        <f ca="1">IF($C72+1&gt;AW$7,0,IF($D72&gt;SUM($G72:AV72),$D72/$E72,0))</f>
        <v>0</v>
      </c>
      <c r="AX72" s="276">
        <f ca="1">IF($C72+1&gt;AX$7,0,IF($D72&gt;SUM($G72:AW72),$D72/$E72,0))</f>
        <v>0</v>
      </c>
      <c r="AY72" s="276">
        <f ca="1">IF($C72+1&gt;AY$7,0,IF($D72&gt;SUM($G72:AX72),$D72/$E72,0))</f>
        <v>0</v>
      </c>
      <c r="AZ72" s="276">
        <f ca="1">IF($C72+1&gt;AZ$7,0,IF($D72&gt;SUM($G72:AY72),$D72/$E72,0))</f>
        <v>0</v>
      </c>
      <c r="BA72" s="276">
        <f ca="1">IF($C72+1&gt;BA$7,0,IF($D72&gt;SUM($G72:AZ72),$D72/$E72,0))</f>
        <v>0</v>
      </c>
      <c r="BB72" s="276">
        <f ca="1">IF($C72+1&gt;BB$7,0,IF($D72&gt;SUM($G72:BA72),$D72/$E72,0))</f>
        <v>0</v>
      </c>
      <c r="BC72" s="276">
        <f ca="1">IF($C72+1&gt;BC$7,0,IF($D72&gt;SUM($G72:BB72),$D72/$E72,0))</f>
        <v>0</v>
      </c>
      <c r="BD72" s="276">
        <f ca="1">IF($C72+1&gt;BD$7,0,IF($D72&gt;SUM($G72:BC72),$D72/$E72,0))</f>
        <v>0</v>
      </c>
      <c r="BE72" s="276">
        <f ca="1">IF($C72+1&gt;BE$7,0,IF($D72&gt;SUM($G72:BD72),$D72/$E72,0))</f>
        <v>0</v>
      </c>
      <c r="BF72" s="276">
        <f ca="1">IF($C72+1&gt;BF$7,0,IF($D72&gt;SUM($G72:BE72),$D72/$E72,0))</f>
        <v>0</v>
      </c>
      <c r="BG72" s="276">
        <f ca="1">IF($C72+1&gt;BG$7,0,IF($D72&gt;SUM($G72:BF72),$D72/$E72,0))</f>
        <v>0</v>
      </c>
      <c r="BH72" s="276">
        <f ca="1">IF($C72+1&gt;BH$7,0,IF($D72&gt;SUM($G72:BG72),$D72/$E72,0))</f>
        <v>0</v>
      </c>
      <c r="BI72" s="276">
        <f ca="1">IF($C72+1&gt;BI$7,0,IF($D72&gt;SUM($G72:BH72),$D72/$E72,0))</f>
        <v>0</v>
      </c>
      <c r="BJ72" s="276">
        <f ca="1">IF($C72+1&gt;BJ$7,0,IF($D72&gt;SUM($G72:BI72),$D72/$E72,0))</f>
        <v>0</v>
      </c>
      <c r="BK72" s="276">
        <f ca="1">IF($C72+1&gt;BK$7,0,IF($D72&gt;SUM($G72:BJ72),$D72/$E72,0))</f>
        <v>0</v>
      </c>
      <c r="BL72" s="276">
        <f ca="1">IF($C72+1&gt;BL$7,0,IF($D72&gt;SUM($G72:BK72),$D72/$E72,0))</f>
        <v>0</v>
      </c>
      <c r="BM72" s="276">
        <f ca="1">IF($C72+1&gt;BM$7,0,IF($D72&gt;SUM($G72:BL72),$D72/$E72,0))</f>
        <v>0</v>
      </c>
      <c r="BN72" s="276">
        <f ca="1">IF($C72+1&gt;BN$7,0,IF($D72&gt;SUM($G72:BM72),$D72/$E72,0))</f>
        <v>0</v>
      </c>
      <c r="BO72" s="276"/>
      <c r="BP72" s="276"/>
      <c r="BQ72" s="276"/>
      <c r="BR72" s="276"/>
      <c r="BS72" s="276"/>
      <c r="BT72" s="276"/>
      <c r="BU72" s="276"/>
      <c r="BV72" s="276"/>
      <c r="BW72" s="276"/>
      <c r="BX72" s="276"/>
      <c r="BY72" s="276"/>
      <c r="BZ72" s="276"/>
      <c r="CA72" s="254"/>
      <c r="CB72" s="254"/>
      <c r="CC72" s="254"/>
      <c r="CD72" s="254"/>
      <c r="CE72" s="254"/>
      <c r="CF72" s="254"/>
      <c r="CG72" s="254"/>
      <c r="CH72" s="254"/>
      <c r="CI72" s="254"/>
      <c r="CJ72" s="254"/>
      <c r="CK72" s="254"/>
      <c r="CL72" s="254"/>
    </row>
    <row r="73" spans="1:90" outlineLevel="1" x14ac:dyDescent="0.15">
      <c r="A73" s="272"/>
      <c r="B73" s="273"/>
      <c r="C73" s="275">
        <v>33</v>
      </c>
      <c r="D73" s="278">
        <f ca="1"/>
        <v>0</v>
      </c>
      <c r="E73" s="275">
        <f>SAP_Leadsheet!$E$50</f>
        <v>0</v>
      </c>
      <c r="F73" s="275"/>
      <c r="G73" s="276">
        <f>IF($C73+1&gt;G$7,0,IF($D73&gt;SUM(#REF!),$D73/$E73,0))</f>
        <v>0</v>
      </c>
      <c r="H73" s="276">
        <f>IF($C73+1&gt;H$7,0,IF($D73&gt;SUM($G73:G73),$D73/$E73,0))</f>
        <v>0</v>
      </c>
      <c r="I73" s="276">
        <f>IF($C73+1&gt;I$7,0,IF($D73&gt;SUM($G73:H73),$D73/$E73,0))</f>
        <v>0</v>
      </c>
      <c r="J73" s="276">
        <f>IF($C73+1&gt;J$7,0,IF($D73&gt;SUM($G73:I73),$D73/$E73,0))</f>
        <v>0</v>
      </c>
      <c r="K73" s="276">
        <f>IF($C73+1&gt;K$7,0,IF($D73&gt;SUM($G73:J73),$D73/$E73,0))</f>
        <v>0</v>
      </c>
      <c r="L73" s="276">
        <f>IF($C73+1&gt;L$7,0,IF($D73&gt;SUM($G73:K73),$D73/$E73,0))</f>
        <v>0</v>
      </c>
      <c r="M73" s="276">
        <f>IF($C73+1&gt;M$7,0,IF($D73&gt;SUM($G73:L73),$D73/$E73,0))</f>
        <v>0</v>
      </c>
      <c r="N73" s="276">
        <f>IF($C73+1&gt;N$7,0,IF($D73&gt;SUM($G73:M73),$D73/$E73,0))</f>
        <v>0</v>
      </c>
      <c r="O73" s="276">
        <f>IF($C73+1&gt;O$7,0,IF($D73&gt;SUM($G73:N73),$D73/$E73,0))</f>
        <v>0</v>
      </c>
      <c r="P73" s="276">
        <f>IF($C73+1&gt;P$7,0,IF($D73&gt;SUM($G73:O73),$D73/$E73,0))</f>
        <v>0</v>
      </c>
      <c r="Q73" s="276">
        <f>IF($C73+1&gt;Q$7,0,IF($D73&gt;SUM($G73:P73),$D73/$E73,0))</f>
        <v>0</v>
      </c>
      <c r="R73" s="276">
        <f>IF($C73+1&gt;R$7,0,IF($D73&gt;SUM($G73:Q73),$D73/$E73,0))</f>
        <v>0</v>
      </c>
      <c r="S73" s="276">
        <f>IF($C73+1&gt;S$7,0,IF($D73&gt;SUM($G73:R73),$D73/$E73,0))</f>
        <v>0</v>
      </c>
      <c r="T73" s="276">
        <f>IF($C73+1&gt;T$7,0,IF($D73&gt;SUM($G73:S73),$D73/$E73,0))</f>
        <v>0</v>
      </c>
      <c r="U73" s="276">
        <f>IF($C73+1&gt;U$7,0,IF($D73&gt;SUM($G73:T73),$D73/$E73,0))</f>
        <v>0</v>
      </c>
      <c r="V73" s="276">
        <f>IF($C73+1&gt;V$7,0,IF($D73&gt;SUM($G73:U73),$D73/$E73,0))</f>
        <v>0</v>
      </c>
      <c r="W73" s="276">
        <f>IF($C73+1&gt;W$7,0,IF($D73&gt;SUM($G73:V73),$D73/$E73,0))</f>
        <v>0</v>
      </c>
      <c r="X73" s="276">
        <f>IF($C73+1&gt;X$7,0,IF($D73&gt;SUM($G73:W73),$D73/$E73,0))</f>
        <v>0</v>
      </c>
      <c r="Y73" s="276">
        <f>IF($C73+1&gt;Y$7,0,IF($D73&gt;SUM($G73:X73),$D73/$E73,0))</f>
        <v>0</v>
      </c>
      <c r="Z73" s="276">
        <f>IF($C73+1&gt;Z$7,0,IF($D73&gt;SUM($G73:Y73),$D73/$E73,0))</f>
        <v>0</v>
      </c>
      <c r="AA73" s="276">
        <f>IF($C73+1&gt;AA$7,0,IF($D73&gt;SUM($G73:Z73),$D73/$E73,0))</f>
        <v>0</v>
      </c>
      <c r="AB73" s="276">
        <f>IF($C73+1&gt;AB$7,0,IF($D73&gt;SUM($G73:AA73),$D73/$E73,0))</f>
        <v>0</v>
      </c>
      <c r="AC73" s="276">
        <f>IF($C73+1&gt;AC$7,0,IF($D73&gt;SUM($G73:AB73),$D73/$E73,0))</f>
        <v>0</v>
      </c>
      <c r="AD73" s="276">
        <f>IF($C73+1&gt;AD$7,0,IF($D73&gt;SUM($G73:AC73),$D73/$E73,0))</f>
        <v>0</v>
      </c>
      <c r="AE73" s="276">
        <f>IF($C73+1&gt;AE$7,0,IF($D73&gt;SUM($G73:AD73),$D73/$E73,0))</f>
        <v>0</v>
      </c>
      <c r="AF73" s="276">
        <f>IF($C73+1&gt;AF$7,0,IF($D73&gt;SUM($G73:AE73),$D73/$E73,0))</f>
        <v>0</v>
      </c>
      <c r="AG73" s="276">
        <f>IF($C73+1&gt;AG$7,0,IF($D73&gt;SUM($G73:AF73),$D73/$E73,0))</f>
        <v>0</v>
      </c>
      <c r="AH73" s="276">
        <f>IF($C73+1&gt;AH$7,0,IF($D73&gt;SUM($G73:AG73),$D73/$E73,0))</f>
        <v>0</v>
      </c>
      <c r="AI73" s="276">
        <f>IF($C73+1&gt;AI$7,0,IF($D73&gt;SUM($G73:AH73),$D73/$E73,0))</f>
        <v>0</v>
      </c>
      <c r="AJ73" s="276">
        <f>IF($C73+1&gt;AJ$7,0,IF($D73&gt;SUM($G73:AI73),$D73/$E73,0))</f>
        <v>0</v>
      </c>
      <c r="AK73" s="276">
        <f>IF($C73+1&gt;AK$7,0,IF($D73&gt;SUM($G73:AJ73),$D73/$E73,0))</f>
        <v>0</v>
      </c>
      <c r="AL73" s="276">
        <f>IF($C73+1&gt;AL$7,0,IF($D73&gt;SUM($G73:AK73),$D73/$E73,0))</f>
        <v>0</v>
      </c>
      <c r="AM73" s="276">
        <f>IF($C73+1&gt;AM$7,0,IF($D73&gt;SUM($G73:AL73),$D73/$E73,0))</f>
        <v>0</v>
      </c>
      <c r="AN73" s="276">
        <f ca="1">IF($C73+1&gt;AN$7,0,IF($D73&gt;SUM($G73:AM73),$D73/$E73,0))</f>
        <v>0</v>
      </c>
      <c r="AO73" s="276">
        <f ca="1">IF($C73+1&gt;AO$7,0,IF($D73&gt;SUM($G73:AN73),$D73/$E73,0))</f>
        <v>0</v>
      </c>
      <c r="AP73" s="276">
        <f ca="1">IF($C73+1&gt;AP$7,0,IF($D73&gt;SUM($G73:AO73),$D73/$E73,0))</f>
        <v>0</v>
      </c>
      <c r="AQ73" s="276">
        <f ca="1">IF($C73+1&gt;AQ$7,0,IF($D73&gt;SUM($G73:AP73),$D73/$E73,0))</f>
        <v>0</v>
      </c>
      <c r="AR73" s="276">
        <f ca="1">IF($C73+1&gt;AR$7,0,IF($D73&gt;SUM($G73:AQ73),$D73/$E73,0))</f>
        <v>0</v>
      </c>
      <c r="AS73" s="276">
        <f ca="1">IF($C73+1&gt;AS$7,0,IF($D73&gt;SUM($G73:AR73),$D73/$E73,0))</f>
        <v>0</v>
      </c>
      <c r="AT73" s="276">
        <f ca="1">IF($C73+1&gt;AT$7,0,IF($D73&gt;SUM($G73:AS73),$D73/$E73,0))</f>
        <v>0</v>
      </c>
      <c r="AU73" s="276">
        <f ca="1">IF($C73+1&gt;AU$7,0,IF($D73&gt;SUM($G73:AT73),$D73/$E73,0))</f>
        <v>0</v>
      </c>
      <c r="AV73" s="276">
        <f ca="1">IF($C73+1&gt;AV$7,0,IF($D73&gt;SUM($G73:AU73),$D73/$E73,0))</f>
        <v>0</v>
      </c>
      <c r="AW73" s="276">
        <f ca="1">IF($C73+1&gt;AW$7,0,IF($D73&gt;SUM($G73:AV73),$D73/$E73,0))</f>
        <v>0</v>
      </c>
      <c r="AX73" s="276">
        <f ca="1">IF($C73+1&gt;AX$7,0,IF($D73&gt;SUM($G73:AW73),$D73/$E73,0))</f>
        <v>0</v>
      </c>
      <c r="AY73" s="276">
        <f ca="1">IF($C73+1&gt;AY$7,0,IF($D73&gt;SUM($G73:AX73),$D73/$E73,0))</f>
        <v>0</v>
      </c>
      <c r="AZ73" s="276">
        <f ca="1">IF($C73+1&gt;AZ$7,0,IF($D73&gt;SUM($G73:AY73),$D73/$E73,0))</f>
        <v>0</v>
      </c>
      <c r="BA73" s="276">
        <f ca="1">IF($C73+1&gt;BA$7,0,IF($D73&gt;SUM($G73:AZ73),$D73/$E73,0))</f>
        <v>0</v>
      </c>
      <c r="BB73" s="276">
        <f ca="1">IF($C73+1&gt;BB$7,0,IF($D73&gt;SUM($G73:BA73),$D73/$E73,0))</f>
        <v>0</v>
      </c>
      <c r="BC73" s="276">
        <f ca="1">IF($C73+1&gt;BC$7,0,IF($D73&gt;SUM($G73:BB73),$D73/$E73,0))</f>
        <v>0</v>
      </c>
      <c r="BD73" s="276">
        <f ca="1">IF($C73+1&gt;BD$7,0,IF($D73&gt;SUM($G73:BC73),$D73/$E73,0))</f>
        <v>0</v>
      </c>
      <c r="BE73" s="276">
        <f ca="1">IF($C73+1&gt;BE$7,0,IF($D73&gt;SUM($G73:BD73),$D73/$E73,0))</f>
        <v>0</v>
      </c>
      <c r="BF73" s="276">
        <f ca="1">IF($C73+1&gt;BF$7,0,IF($D73&gt;SUM($G73:BE73),$D73/$E73,0))</f>
        <v>0</v>
      </c>
      <c r="BG73" s="276">
        <f ca="1">IF($C73+1&gt;BG$7,0,IF($D73&gt;SUM($G73:BF73),$D73/$E73,0))</f>
        <v>0</v>
      </c>
      <c r="BH73" s="276">
        <f ca="1">IF($C73+1&gt;BH$7,0,IF($D73&gt;SUM($G73:BG73),$D73/$E73,0))</f>
        <v>0</v>
      </c>
      <c r="BI73" s="276">
        <f ca="1">IF($C73+1&gt;BI$7,0,IF($D73&gt;SUM($G73:BH73),$D73/$E73,0))</f>
        <v>0</v>
      </c>
      <c r="BJ73" s="276">
        <f ca="1">IF($C73+1&gt;BJ$7,0,IF($D73&gt;SUM($G73:BI73),$D73/$E73,0))</f>
        <v>0</v>
      </c>
      <c r="BK73" s="276">
        <f ca="1">IF($C73+1&gt;BK$7,0,IF($D73&gt;SUM($G73:BJ73),$D73/$E73,0))</f>
        <v>0</v>
      </c>
      <c r="BL73" s="276">
        <f ca="1">IF($C73+1&gt;BL$7,0,IF($D73&gt;SUM($G73:BK73),$D73/$E73,0))</f>
        <v>0</v>
      </c>
      <c r="BM73" s="276">
        <f ca="1">IF($C73+1&gt;BM$7,0,IF($D73&gt;SUM($G73:BL73),$D73/$E73,0))</f>
        <v>0</v>
      </c>
      <c r="BN73" s="276">
        <f ca="1">IF($C73+1&gt;BN$7,0,IF($D73&gt;SUM($G73:BM73),$D73/$E73,0))</f>
        <v>0</v>
      </c>
      <c r="BO73" s="276"/>
      <c r="BP73" s="276"/>
      <c r="BQ73" s="276"/>
      <c r="BR73" s="276"/>
      <c r="BS73" s="276"/>
      <c r="BT73" s="276"/>
      <c r="BU73" s="276"/>
      <c r="BV73" s="276"/>
      <c r="BW73" s="276"/>
      <c r="BX73" s="276"/>
      <c r="BY73" s="276"/>
      <c r="BZ73" s="276"/>
      <c r="CA73" s="254"/>
      <c r="CB73" s="254"/>
      <c r="CC73" s="254"/>
      <c r="CD73" s="254"/>
      <c r="CE73" s="254"/>
      <c r="CF73" s="254"/>
      <c r="CG73" s="254"/>
      <c r="CH73" s="254"/>
      <c r="CI73" s="254"/>
      <c r="CJ73" s="254"/>
      <c r="CK73" s="254"/>
      <c r="CL73" s="254"/>
    </row>
    <row r="74" spans="1:90" outlineLevel="1" x14ac:dyDescent="0.15">
      <c r="A74" s="272"/>
      <c r="B74" s="273"/>
      <c r="C74" s="275">
        <v>34</v>
      </c>
      <c r="D74" s="278">
        <f ca="1"/>
        <v>0</v>
      </c>
      <c r="E74" s="275">
        <f>SAP_Leadsheet!$E$50</f>
        <v>0</v>
      </c>
      <c r="F74" s="275"/>
      <c r="G74" s="276">
        <f>IF($C74+1&gt;G$7,0,IF($D74&gt;SUM(#REF!),$D74/$E74,0))</f>
        <v>0</v>
      </c>
      <c r="H74" s="276">
        <f>IF($C74+1&gt;H$7,0,IF($D74&gt;SUM($G74:G74),$D74/$E74,0))</f>
        <v>0</v>
      </c>
      <c r="I74" s="276">
        <f>IF($C74+1&gt;I$7,0,IF($D74&gt;SUM($G74:H74),$D74/$E74,0))</f>
        <v>0</v>
      </c>
      <c r="J74" s="276">
        <f>IF($C74+1&gt;J$7,0,IF($D74&gt;SUM($G74:I74),$D74/$E74,0))</f>
        <v>0</v>
      </c>
      <c r="K74" s="276">
        <f>IF($C74+1&gt;K$7,0,IF($D74&gt;SUM($G74:J74),$D74/$E74,0))</f>
        <v>0</v>
      </c>
      <c r="L74" s="276">
        <f>IF($C74+1&gt;L$7,0,IF($D74&gt;SUM($G74:K74),$D74/$E74,0))</f>
        <v>0</v>
      </c>
      <c r="M74" s="276">
        <f>IF($C74+1&gt;M$7,0,IF($D74&gt;SUM($G74:L74),$D74/$E74,0))</f>
        <v>0</v>
      </c>
      <c r="N74" s="276">
        <f>IF($C74+1&gt;N$7,0,IF($D74&gt;SUM($G74:M74),$D74/$E74,0))</f>
        <v>0</v>
      </c>
      <c r="O74" s="276">
        <f>IF($C74+1&gt;O$7,0,IF($D74&gt;SUM($G74:N74),$D74/$E74,0))</f>
        <v>0</v>
      </c>
      <c r="P74" s="276">
        <f>IF($C74+1&gt;P$7,0,IF($D74&gt;SUM($G74:O74),$D74/$E74,0))</f>
        <v>0</v>
      </c>
      <c r="Q74" s="276">
        <f>IF($C74+1&gt;Q$7,0,IF($D74&gt;SUM($G74:P74),$D74/$E74,0))</f>
        <v>0</v>
      </c>
      <c r="R74" s="276">
        <f>IF($C74+1&gt;R$7,0,IF($D74&gt;SUM($G74:Q74),$D74/$E74,0))</f>
        <v>0</v>
      </c>
      <c r="S74" s="276">
        <f>IF($C74+1&gt;S$7,0,IF($D74&gt;SUM($G74:R74),$D74/$E74,0))</f>
        <v>0</v>
      </c>
      <c r="T74" s="276">
        <f>IF($C74+1&gt;T$7,0,IF($D74&gt;SUM($G74:S74),$D74/$E74,0))</f>
        <v>0</v>
      </c>
      <c r="U74" s="276">
        <f>IF($C74+1&gt;U$7,0,IF($D74&gt;SUM($G74:T74),$D74/$E74,0))</f>
        <v>0</v>
      </c>
      <c r="V74" s="276">
        <f>IF($C74+1&gt;V$7,0,IF($D74&gt;SUM($G74:U74),$D74/$E74,0))</f>
        <v>0</v>
      </c>
      <c r="W74" s="276">
        <f>IF($C74+1&gt;W$7,0,IF($D74&gt;SUM($G74:V74),$D74/$E74,0))</f>
        <v>0</v>
      </c>
      <c r="X74" s="276">
        <f>IF($C74+1&gt;X$7,0,IF($D74&gt;SUM($G74:W74),$D74/$E74,0))</f>
        <v>0</v>
      </c>
      <c r="Y74" s="276">
        <f>IF($C74+1&gt;Y$7,0,IF($D74&gt;SUM($G74:X74),$D74/$E74,0))</f>
        <v>0</v>
      </c>
      <c r="Z74" s="276">
        <f>IF($C74+1&gt;Z$7,0,IF($D74&gt;SUM($G74:Y74),$D74/$E74,0))</f>
        <v>0</v>
      </c>
      <c r="AA74" s="276">
        <f>IF($C74+1&gt;AA$7,0,IF($D74&gt;SUM($G74:Z74),$D74/$E74,0))</f>
        <v>0</v>
      </c>
      <c r="AB74" s="276">
        <f>IF($C74+1&gt;AB$7,0,IF($D74&gt;SUM($G74:AA74),$D74/$E74,0))</f>
        <v>0</v>
      </c>
      <c r="AC74" s="276">
        <f>IF($C74+1&gt;AC$7,0,IF($D74&gt;SUM($G74:AB74),$D74/$E74,0))</f>
        <v>0</v>
      </c>
      <c r="AD74" s="276">
        <f>IF($C74+1&gt;AD$7,0,IF($D74&gt;SUM($G74:AC74),$D74/$E74,0))</f>
        <v>0</v>
      </c>
      <c r="AE74" s="276">
        <f>IF($C74+1&gt;AE$7,0,IF($D74&gt;SUM($G74:AD74),$D74/$E74,0))</f>
        <v>0</v>
      </c>
      <c r="AF74" s="276">
        <f>IF($C74+1&gt;AF$7,0,IF($D74&gt;SUM($G74:AE74),$D74/$E74,0))</f>
        <v>0</v>
      </c>
      <c r="AG74" s="276">
        <f>IF($C74+1&gt;AG$7,0,IF($D74&gt;SUM($G74:AF74),$D74/$E74,0))</f>
        <v>0</v>
      </c>
      <c r="AH74" s="276">
        <f>IF($C74+1&gt;AH$7,0,IF($D74&gt;SUM($G74:AG74),$D74/$E74,0))</f>
        <v>0</v>
      </c>
      <c r="AI74" s="276">
        <f>IF($C74+1&gt;AI$7,0,IF($D74&gt;SUM($G74:AH74),$D74/$E74,0))</f>
        <v>0</v>
      </c>
      <c r="AJ74" s="276">
        <f>IF($C74+1&gt;AJ$7,0,IF($D74&gt;SUM($G74:AI74),$D74/$E74,0))</f>
        <v>0</v>
      </c>
      <c r="AK74" s="276">
        <f>IF($C74+1&gt;AK$7,0,IF($D74&gt;SUM($G74:AJ74),$D74/$E74,0))</f>
        <v>0</v>
      </c>
      <c r="AL74" s="276">
        <f>IF($C74+1&gt;AL$7,0,IF($D74&gt;SUM($G74:AK74),$D74/$E74,0))</f>
        <v>0</v>
      </c>
      <c r="AM74" s="276">
        <f>IF($C74+1&gt;AM$7,0,IF($D74&gt;SUM($G74:AL74),$D74/$E74,0))</f>
        <v>0</v>
      </c>
      <c r="AN74" s="276">
        <f>IF($C74+1&gt;AN$7,0,IF($D74&gt;SUM($G74:AM74),$D74/$E74,0))</f>
        <v>0</v>
      </c>
      <c r="AO74" s="276">
        <f ca="1">IF($C74+1&gt;AO$7,0,IF($D74&gt;SUM($G74:AN74),$D74/$E74,0))</f>
        <v>0</v>
      </c>
      <c r="AP74" s="276">
        <f ca="1">IF($C74+1&gt;AP$7,0,IF($D74&gt;SUM($G74:AO74),$D74/$E74,0))</f>
        <v>0</v>
      </c>
      <c r="AQ74" s="276">
        <f ca="1">IF($C74+1&gt;AQ$7,0,IF($D74&gt;SUM($G74:AP74),$D74/$E74,0))</f>
        <v>0</v>
      </c>
      <c r="AR74" s="276">
        <f ca="1">IF($C74+1&gt;AR$7,0,IF($D74&gt;SUM($G74:AQ74),$D74/$E74,0))</f>
        <v>0</v>
      </c>
      <c r="AS74" s="276">
        <f ca="1">IF($C74+1&gt;AS$7,0,IF($D74&gt;SUM($G74:AR74),$D74/$E74,0))</f>
        <v>0</v>
      </c>
      <c r="AT74" s="276">
        <f ca="1">IF($C74+1&gt;AT$7,0,IF($D74&gt;SUM($G74:AS74),$D74/$E74,0))</f>
        <v>0</v>
      </c>
      <c r="AU74" s="276">
        <f ca="1">IF($C74+1&gt;AU$7,0,IF($D74&gt;SUM($G74:AT74),$D74/$E74,0))</f>
        <v>0</v>
      </c>
      <c r="AV74" s="276">
        <f ca="1">IF($C74+1&gt;AV$7,0,IF($D74&gt;SUM($G74:AU74),$D74/$E74,0))</f>
        <v>0</v>
      </c>
      <c r="AW74" s="276">
        <f ca="1">IF($C74+1&gt;AW$7,0,IF($D74&gt;SUM($G74:AV74),$D74/$E74,0))</f>
        <v>0</v>
      </c>
      <c r="AX74" s="276">
        <f ca="1">IF($C74+1&gt;AX$7,0,IF($D74&gt;SUM($G74:AW74),$D74/$E74,0))</f>
        <v>0</v>
      </c>
      <c r="AY74" s="276">
        <f ca="1">IF($C74+1&gt;AY$7,0,IF($D74&gt;SUM($G74:AX74),$D74/$E74,0))</f>
        <v>0</v>
      </c>
      <c r="AZ74" s="276">
        <f ca="1">IF($C74+1&gt;AZ$7,0,IF($D74&gt;SUM($G74:AY74),$D74/$E74,0))</f>
        <v>0</v>
      </c>
      <c r="BA74" s="276">
        <f ca="1">IF($C74+1&gt;BA$7,0,IF($D74&gt;SUM($G74:AZ74),$D74/$E74,0))</f>
        <v>0</v>
      </c>
      <c r="BB74" s="276">
        <f ca="1">IF($C74+1&gt;BB$7,0,IF($D74&gt;SUM($G74:BA74),$D74/$E74,0))</f>
        <v>0</v>
      </c>
      <c r="BC74" s="276">
        <f ca="1">IF($C74+1&gt;BC$7,0,IF($D74&gt;SUM($G74:BB74),$D74/$E74,0))</f>
        <v>0</v>
      </c>
      <c r="BD74" s="276">
        <f ca="1">IF($C74+1&gt;BD$7,0,IF($D74&gt;SUM($G74:BC74),$D74/$E74,0))</f>
        <v>0</v>
      </c>
      <c r="BE74" s="276">
        <f ca="1">IF($C74+1&gt;BE$7,0,IF($D74&gt;SUM($G74:BD74),$D74/$E74,0))</f>
        <v>0</v>
      </c>
      <c r="BF74" s="276">
        <f ca="1">IF($C74+1&gt;BF$7,0,IF($D74&gt;SUM($G74:BE74),$D74/$E74,0))</f>
        <v>0</v>
      </c>
      <c r="BG74" s="276">
        <f ca="1">IF($C74+1&gt;BG$7,0,IF($D74&gt;SUM($G74:BF74),$D74/$E74,0))</f>
        <v>0</v>
      </c>
      <c r="BH74" s="276">
        <f ca="1">IF($C74+1&gt;BH$7,0,IF($D74&gt;SUM($G74:BG74),$D74/$E74,0))</f>
        <v>0</v>
      </c>
      <c r="BI74" s="276">
        <f ca="1">IF($C74+1&gt;BI$7,0,IF($D74&gt;SUM($G74:BH74),$D74/$E74,0))</f>
        <v>0</v>
      </c>
      <c r="BJ74" s="276">
        <f ca="1">IF($C74+1&gt;BJ$7,0,IF($D74&gt;SUM($G74:BI74),$D74/$E74,0))</f>
        <v>0</v>
      </c>
      <c r="BK74" s="276">
        <f ca="1">IF($C74+1&gt;BK$7,0,IF($D74&gt;SUM($G74:BJ74),$D74/$E74,0))</f>
        <v>0</v>
      </c>
      <c r="BL74" s="276">
        <f ca="1">IF($C74+1&gt;BL$7,0,IF($D74&gt;SUM($G74:BK74),$D74/$E74,0))</f>
        <v>0</v>
      </c>
      <c r="BM74" s="276">
        <f ca="1">IF($C74+1&gt;BM$7,0,IF($D74&gt;SUM($G74:BL74),$D74/$E74,0))</f>
        <v>0</v>
      </c>
      <c r="BN74" s="276">
        <f ca="1">IF($C74+1&gt;BN$7,0,IF($D74&gt;SUM($G74:BM74),$D74/$E74,0))</f>
        <v>0</v>
      </c>
      <c r="BO74" s="276"/>
      <c r="BP74" s="276"/>
      <c r="BQ74" s="276"/>
      <c r="BR74" s="276"/>
      <c r="BS74" s="276"/>
      <c r="BT74" s="276"/>
      <c r="BU74" s="276"/>
      <c r="BV74" s="276"/>
      <c r="BW74" s="276"/>
      <c r="BX74" s="276"/>
      <c r="BY74" s="276"/>
      <c r="BZ74" s="276"/>
      <c r="CA74" s="254"/>
      <c r="CB74" s="254"/>
      <c r="CC74" s="254"/>
      <c r="CD74" s="254"/>
      <c r="CE74" s="254"/>
      <c r="CF74" s="254"/>
      <c r="CG74" s="254"/>
      <c r="CH74" s="254"/>
      <c r="CI74" s="254"/>
      <c r="CJ74" s="254"/>
      <c r="CK74" s="254"/>
      <c r="CL74" s="254"/>
    </row>
    <row r="75" spans="1:90" outlineLevel="1" x14ac:dyDescent="0.15">
      <c r="A75" s="272"/>
      <c r="B75" s="273"/>
      <c r="C75" s="275">
        <v>35</v>
      </c>
      <c r="D75" s="278">
        <f ca="1"/>
        <v>0</v>
      </c>
      <c r="E75" s="275">
        <f>SAP_Leadsheet!$E$50</f>
        <v>0</v>
      </c>
      <c r="F75" s="275"/>
      <c r="G75" s="276">
        <f>IF($C75+1&gt;G$7,0,IF($D75&gt;SUM(#REF!),$D75/$E75,0))</f>
        <v>0</v>
      </c>
      <c r="H75" s="276">
        <f>IF($C75+1&gt;H$7,0,IF($D75&gt;SUM($G75:G75),$D75/$E75,0))</f>
        <v>0</v>
      </c>
      <c r="I75" s="276">
        <f>IF($C75+1&gt;I$7,0,IF($D75&gt;SUM($G75:H75),$D75/$E75,0))</f>
        <v>0</v>
      </c>
      <c r="J75" s="276">
        <f>IF($C75+1&gt;J$7,0,IF($D75&gt;SUM($G75:I75),$D75/$E75,0))</f>
        <v>0</v>
      </c>
      <c r="K75" s="276">
        <f>IF($C75+1&gt;K$7,0,IF($D75&gt;SUM($G75:J75),$D75/$E75,0))</f>
        <v>0</v>
      </c>
      <c r="L75" s="276">
        <f>IF($C75+1&gt;L$7,0,IF($D75&gt;SUM($G75:K75),$D75/$E75,0))</f>
        <v>0</v>
      </c>
      <c r="M75" s="276">
        <f>IF($C75+1&gt;M$7,0,IF($D75&gt;SUM($G75:L75),$D75/$E75,0))</f>
        <v>0</v>
      </c>
      <c r="N75" s="276">
        <f>IF($C75+1&gt;N$7,0,IF($D75&gt;SUM($G75:M75),$D75/$E75,0))</f>
        <v>0</v>
      </c>
      <c r="O75" s="276">
        <f>IF($C75+1&gt;O$7,0,IF($D75&gt;SUM($G75:N75),$D75/$E75,0))</f>
        <v>0</v>
      </c>
      <c r="P75" s="276">
        <f>IF($C75+1&gt;P$7,0,IF($D75&gt;SUM($G75:O75),$D75/$E75,0))</f>
        <v>0</v>
      </c>
      <c r="Q75" s="276">
        <f>IF($C75+1&gt;Q$7,0,IF($D75&gt;SUM($G75:P75),$D75/$E75,0))</f>
        <v>0</v>
      </c>
      <c r="R75" s="276">
        <f>IF($C75+1&gt;R$7,0,IF($D75&gt;SUM($G75:Q75),$D75/$E75,0))</f>
        <v>0</v>
      </c>
      <c r="S75" s="276">
        <f>IF($C75+1&gt;S$7,0,IF($D75&gt;SUM($G75:R75),$D75/$E75,0))</f>
        <v>0</v>
      </c>
      <c r="T75" s="276">
        <f>IF($C75+1&gt;T$7,0,IF($D75&gt;SUM($G75:S75),$D75/$E75,0))</f>
        <v>0</v>
      </c>
      <c r="U75" s="276">
        <f>IF($C75+1&gt;U$7,0,IF($D75&gt;SUM($G75:T75),$D75/$E75,0))</f>
        <v>0</v>
      </c>
      <c r="V75" s="276">
        <f>IF($C75+1&gt;V$7,0,IF($D75&gt;SUM($G75:U75),$D75/$E75,0))</f>
        <v>0</v>
      </c>
      <c r="W75" s="276">
        <f>IF($C75+1&gt;W$7,0,IF($D75&gt;SUM($G75:V75),$D75/$E75,0))</f>
        <v>0</v>
      </c>
      <c r="X75" s="276">
        <f>IF($C75+1&gt;X$7,0,IF($D75&gt;SUM($G75:W75),$D75/$E75,0))</f>
        <v>0</v>
      </c>
      <c r="Y75" s="276">
        <f>IF($C75+1&gt;Y$7,0,IF($D75&gt;SUM($G75:X75),$D75/$E75,0))</f>
        <v>0</v>
      </c>
      <c r="Z75" s="276">
        <f>IF($C75+1&gt;Z$7,0,IF($D75&gt;SUM($G75:Y75),$D75/$E75,0))</f>
        <v>0</v>
      </c>
      <c r="AA75" s="276">
        <f>IF($C75+1&gt;AA$7,0,IF($D75&gt;SUM($G75:Z75),$D75/$E75,0))</f>
        <v>0</v>
      </c>
      <c r="AB75" s="276">
        <f>IF($C75+1&gt;AB$7,0,IF($D75&gt;SUM($G75:AA75),$D75/$E75,0))</f>
        <v>0</v>
      </c>
      <c r="AC75" s="276">
        <f>IF($C75+1&gt;AC$7,0,IF($D75&gt;SUM($G75:AB75),$D75/$E75,0))</f>
        <v>0</v>
      </c>
      <c r="AD75" s="276">
        <f>IF($C75+1&gt;AD$7,0,IF($D75&gt;SUM($G75:AC75),$D75/$E75,0))</f>
        <v>0</v>
      </c>
      <c r="AE75" s="276">
        <f>IF($C75+1&gt;AE$7,0,IF($D75&gt;SUM($G75:AD75),$D75/$E75,0))</f>
        <v>0</v>
      </c>
      <c r="AF75" s="276">
        <f>IF($C75+1&gt;AF$7,0,IF($D75&gt;SUM($G75:AE75),$D75/$E75,0))</f>
        <v>0</v>
      </c>
      <c r="AG75" s="276">
        <f>IF($C75+1&gt;AG$7,0,IF($D75&gt;SUM($G75:AF75),$D75/$E75,0))</f>
        <v>0</v>
      </c>
      <c r="AH75" s="276">
        <f>IF($C75+1&gt;AH$7,0,IF($D75&gt;SUM($G75:AG75),$D75/$E75,0))</f>
        <v>0</v>
      </c>
      <c r="AI75" s="276">
        <f>IF($C75+1&gt;AI$7,0,IF($D75&gt;SUM($G75:AH75),$D75/$E75,0))</f>
        <v>0</v>
      </c>
      <c r="AJ75" s="276">
        <f>IF($C75+1&gt;AJ$7,0,IF($D75&gt;SUM($G75:AI75),$D75/$E75,0))</f>
        <v>0</v>
      </c>
      <c r="AK75" s="276">
        <f>IF($C75+1&gt;AK$7,0,IF($D75&gt;SUM($G75:AJ75),$D75/$E75,0))</f>
        <v>0</v>
      </c>
      <c r="AL75" s="276">
        <f>IF($C75+1&gt;AL$7,0,IF($D75&gt;SUM($G75:AK75),$D75/$E75,0))</f>
        <v>0</v>
      </c>
      <c r="AM75" s="276">
        <f>IF($C75+1&gt;AM$7,0,IF($D75&gt;SUM($G75:AL75),$D75/$E75,0))</f>
        <v>0</v>
      </c>
      <c r="AN75" s="276">
        <f>IF($C75+1&gt;AN$7,0,IF($D75&gt;SUM($G75:AM75),$D75/$E75,0))</f>
        <v>0</v>
      </c>
      <c r="AO75" s="276">
        <f>IF($C75+1&gt;AO$7,0,IF($D75&gt;SUM($G75:AN75),$D75/$E75,0))</f>
        <v>0</v>
      </c>
      <c r="AP75" s="276">
        <f ca="1">IF($C75+1&gt;AP$7,0,IF($D75&gt;SUM($G75:AO75),$D75/$E75,0))</f>
        <v>0</v>
      </c>
      <c r="AQ75" s="276">
        <f ca="1">IF($C75+1&gt;AQ$7,0,IF($D75&gt;SUM($G75:AP75),$D75/$E75,0))</f>
        <v>0</v>
      </c>
      <c r="AR75" s="276">
        <f ca="1">IF($C75+1&gt;AR$7,0,IF($D75&gt;SUM($G75:AQ75),$D75/$E75,0))</f>
        <v>0</v>
      </c>
      <c r="AS75" s="276">
        <f ca="1">IF($C75+1&gt;AS$7,0,IF($D75&gt;SUM($G75:AR75),$D75/$E75,0))</f>
        <v>0</v>
      </c>
      <c r="AT75" s="276">
        <f ca="1">IF($C75+1&gt;AT$7,0,IF($D75&gt;SUM($G75:AS75),$D75/$E75,0))</f>
        <v>0</v>
      </c>
      <c r="AU75" s="276">
        <f ca="1">IF($C75+1&gt;AU$7,0,IF($D75&gt;SUM($G75:AT75),$D75/$E75,0))</f>
        <v>0</v>
      </c>
      <c r="AV75" s="276">
        <f ca="1">IF($C75+1&gt;AV$7,0,IF($D75&gt;SUM($G75:AU75),$D75/$E75,0))</f>
        <v>0</v>
      </c>
      <c r="AW75" s="276">
        <f ca="1">IF($C75+1&gt;AW$7,0,IF($D75&gt;SUM($G75:AV75),$D75/$E75,0))</f>
        <v>0</v>
      </c>
      <c r="AX75" s="276">
        <f ca="1">IF($C75+1&gt;AX$7,0,IF($D75&gt;SUM($G75:AW75),$D75/$E75,0))</f>
        <v>0</v>
      </c>
      <c r="AY75" s="276">
        <f ca="1">IF($C75+1&gt;AY$7,0,IF($D75&gt;SUM($G75:AX75),$D75/$E75,0))</f>
        <v>0</v>
      </c>
      <c r="AZ75" s="276">
        <f ca="1">IF($C75+1&gt;AZ$7,0,IF($D75&gt;SUM($G75:AY75),$D75/$E75,0))</f>
        <v>0</v>
      </c>
      <c r="BA75" s="276">
        <f ca="1">IF($C75+1&gt;BA$7,0,IF($D75&gt;SUM($G75:AZ75),$D75/$E75,0))</f>
        <v>0</v>
      </c>
      <c r="BB75" s="276">
        <f ca="1">IF($C75+1&gt;BB$7,0,IF($D75&gt;SUM($G75:BA75),$D75/$E75,0))</f>
        <v>0</v>
      </c>
      <c r="BC75" s="276">
        <f ca="1">IF($C75+1&gt;BC$7,0,IF($D75&gt;SUM($G75:BB75),$D75/$E75,0))</f>
        <v>0</v>
      </c>
      <c r="BD75" s="276">
        <f ca="1">IF($C75+1&gt;BD$7,0,IF($D75&gt;SUM($G75:BC75),$D75/$E75,0))</f>
        <v>0</v>
      </c>
      <c r="BE75" s="276">
        <f ca="1">IF($C75+1&gt;BE$7,0,IF($D75&gt;SUM($G75:BD75),$D75/$E75,0))</f>
        <v>0</v>
      </c>
      <c r="BF75" s="276">
        <f ca="1">IF($C75+1&gt;BF$7,0,IF($D75&gt;SUM($G75:BE75),$D75/$E75,0))</f>
        <v>0</v>
      </c>
      <c r="BG75" s="276">
        <f ca="1">IF($C75+1&gt;BG$7,0,IF($D75&gt;SUM($G75:BF75),$D75/$E75,0))</f>
        <v>0</v>
      </c>
      <c r="BH75" s="276">
        <f ca="1">IF($C75+1&gt;BH$7,0,IF($D75&gt;SUM($G75:BG75),$D75/$E75,0))</f>
        <v>0</v>
      </c>
      <c r="BI75" s="276">
        <f ca="1">IF($C75+1&gt;BI$7,0,IF($D75&gt;SUM($G75:BH75),$D75/$E75,0))</f>
        <v>0</v>
      </c>
      <c r="BJ75" s="276">
        <f ca="1">IF($C75+1&gt;BJ$7,0,IF($D75&gt;SUM($G75:BI75),$D75/$E75,0))</f>
        <v>0</v>
      </c>
      <c r="BK75" s="276">
        <f ca="1">IF($C75+1&gt;BK$7,0,IF($D75&gt;SUM($G75:BJ75),$D75/$E75,0))</f>
        <v>0</v>
      </c>
      <c r="BL75" s="276">
        <f ca="1">IF($C75+1&gt;BL$7,0,IF($D75&gt;SUM($G75:BK75),$D75/$E75,0))</f>
        <v>0</v>
      </c>
      <c r="BM75" s="276">
        <f ca="1">IF($C75+1&gt;BM$7,0,IF($D75&gt;SUM($G75:BL75),$D75/$E75,0))</f>
        <v>0</v>
      </c>
      <c r="BN75" s="276">
        <f ca="1">IF($C75+1&gt;BN$7,0,IF($D75&gt;SUM($G75:BM75),$D75/$E75,0))</f>
        <v>0</v>
      </c>
      <c r="BO75" s="276"/>
      <c r="BP75" s="276"/>
      <c r="BQ75" s="276"/>
      <c r="BR75" s="276"/>
      <c r="BS75" s="276"/>
      <c r="BT75" s="276"/>
      <c r="BU75" s="276"/>
      <c r="BV75" s="276"/>
      <c r="BW75" s="276"/>
      <c r="BX75" s="276"/>
      <c r="BY75" s="276"/>
      <c r="BZ75" s="276"/>
      <c r="CA75" s="254"/>
      <c r="CB75" s="254"/>
      <c r="CC75" s="254"/>
      <c r="CD75" s="254"/>
      <c r="CE75" s="254"/>
      <c r="CF75" s="254"/>
      <c r="CG75" s="254"/>
      <c r="CH75" s="254"/>
      <c r="CI75" s="254"/>
      <c r="CJ75" s="254"/>
      <c r="CK75" s="254"/>
      <c r="CL75" s="254"/>
    </row>
    <row r="76" spans="1:90" outlineLevel="1" x14ac:dyDescent="0.15">
      <c r="A76" s="272"/>
      <c r="B76" s="273"/>
      <c r="C76" s="275">
        <v>36</v>
      </c>
      <c r="D76" s="278">
        <f ca="1"/>
        <v>0</v>
      </c>
      <c r="E76" s="275">
        <f>SAP_Leadsheet!$E$50</f>
        <v>0</v>
      </c>
      <c r="F76" s="275"/>
      <c r="G76" s="276">
        <f>IF($C76+1&gt;G$7,0,IF($D76&gt;SUM(#REF!),$D76/$E76,0))</f>
        <v>0</v>
      </c>
      <c r="H76" s="276">
        <f>IF($C76+1&gt;H$7,0,IF($D76&gt;SUM($G76:G76),$D76/$E76,0))</f>
        <v>0</v>
      </c>
      <c r="I76" s="276">
        <f>IF($C76+1&gt;I$7,0,IF($D76&gt;SUM($G76:H76),$D76/$E76,0))</f>
        <v>0</v>
      </c>
      <c r="J76" s="276">
        <f>IF($C76+1&gt;J$7,0,IF($D76&gt;SUM($G76:I76),$D76/$E76,0))</f>
        <v>0</v>
      </c>
      <c r="K76" s="276">
        <f>IF($C76+1&gt;K$7,0,IF($D76&gt;SUM($G76:J76),$D76/$E76,0))</f>
        <v>0</v>
      </c>
      <c r="L76" s="276">
        <f>IF($C76+1&gt;L$7,0,IF($D76&gt;SUM($G76:K76),$D76/$E76,0))</f>
        <v>0</v>
      </c>
      <c r="M76" s="276">
        <f>IF($C76+1&gt;M$7,0,IF($D76&gt;SUM($G76:L76),$D76/$E76,0))</f>
        <v>0</v>
      </c>
      <c r="N76" s="276">
        <f>IF($C76+1&gt;N$7,0,IF($D76&gt;SUM($G76:M76),$D76/$E76,0))</f>
        <v>0</v>
      </c>
      <c r="O76" s="276">
        <f>IF($C76+1&gt;O$7,0,IF($D76&gt;SUM($G76:N76),$D76/$E76,0))</f>
        <v>0</v>
      </c>
      <c r="P76" s="276">
        <f>IF($C76+1&gt;P$7,0,IF($D76&gt;SUM($G76:O76),$D76/$E76,0))</f>
        <v>0</v>
      </c>
      <c r="Q76" s="276">
        <f>IF($C76+1&gt;Q$7,0,IF($D76&gt;SUM($G76:P76),$D76/$E76,0))</f>
        <v>0</v>
      </c>
      <c r="R76" s="276">
        <f>IF($C76+1&gt;R$7,0,IF($D76&gt;SUM($G76:Q76),$D76/$E76,0))</f>
        <v>0</v>
      </c>
      <c r="S76" s="276">
        <f>IF($C76+1&gt;S$7,0,IF($D76&gt;SUM($G76:R76),$D76/$E76,0))</f>
        <v>0</v>
      </c>
      <c r="T76" s="276">
        <f>IF($C76+1&gt;T$7,0,IF($D76&gt;SUM($G76:S76),$D76/$E76,0))</f>
        <v>0</v>
      </c>
      <c r="U76" s="276">
        <f>IF($C76+1&gt;U$7,0,IF($D76&gt;SUM($G76:T76),$D76/$E76,0))</f>
        <v>0</v>
      </c>
      <c r="V76" s="276">
        <f>IF($C76+1&gt;V$7,0,IF($D76&gt;SUM($G76:U76),$D76/$E76,0))</f>
        <v>0</v>
      </c>
      <c r="W76" s="276">
        <f>IF($C76+1&gt;W$7,0,IF($D76&gt;SUM($G76:V76),$D76/$E76,0))</f>
        <v>0</v>
      </c>
      <c r="X76" s="276">
        <f>IF($C76+1&gt;X$7,0,IF($D76&gt;SUM($G76:W76),$D76/$E76,0))</f>
        <v>0</v>
      </c>
      <c r="Y76" s="276">
        <f>IF($C76+1&gt;Y$7,0,IF($D76&gt;SUM($G76:X76),$D76/$E76,0))</f>
        <v>0</v>
      </c>
      <c r="Z76" s="276">
        <f>IF($C76+1&gt;Z$7,0,IF($D76&gt;SUM($G76:Y76),$D76/$E76,0))</f>
        <v>0</v>
      </c>
      <c r="AA76" s="276">
        <f>IF($C76+1&gt;AA$7,0,IF($D76&gt;SUM($G76:Z76),$D76/$E76,0))</f>
        <v>0</v>
      </c>
      <c r="AB76" s="276">
        <f>IF($C76+1&gt;AB$7,0,IF($D76&gt;SUM($G76:AA76),$D76/$E76,0))</f>
        <v>0</v>
      </c>
      <c r="AC76" s="276">
        <f>IF($C76+1&gt;AC$7,0,IF($D76&gt;SUM($G76:AB76),$D76/$E76,0))</f>
        <v>0</v>
      </c>
      <c r="AD76" s="276">
        <f>IF($C76+1&gt;AD$7,0,IF($D76&gt;SUM($G76:AC76),$D76/$E76,0))</f>
        <v>0</v>
      </c>
      <c r="AE76" s="276">
        <f>IF($C76+1&gt;AE$7,0,IF($D76&gt;SUM($G76:AD76),$D76/$E76,0))</f>
        <v>0</v>
      </c>
      <c r="AF76" s="276">
        <f>IF($C76+1&gt;AF$7,0,IF($D76&gt;SUM($G76:AE76),$D76/$E76,0))</f>
        <v>0</v>
      </c>
      <c r="AG76" s="276">
        <f>IF($C76+1&gt;AG$7,0,IF($D76&gt;SUM($G76:AF76),$D76/$E76,0))</f>
        <v>0</v>
      </c>
      <c r="AH76" s="276">
        <f>IF($C76+1&gt;AH$7,0,IF($D76&gt;SUM($G76:AG76),$D76/$E76,0))</f>
        <v>0</v>
      </c>
      <c r="AI76" s="276">
        <f>IF($C76+1&gt;AI$7,0,IF($D76&gt;SUM($G76:AH76),$D76/$E76,0))</f>
        <v>0</v>
      </c>
      <c r="AJ76" s="276">
        <f>IF($C76+1&gt;AJ$7,0,IF($D76&gt;SUM($G76:AI76),$D76/$E76,0))</f>
        <v>0</v>
      </c>
      <c r="AK76" s="276">
        <f>IF($C76+1&gt;AK$7,0,IF($D76&gt;SUM($G76:AJ76),$D76/$E76,0))</f>
        <v>0</v>
      </c>
      <c r="AL76" s="276">
        <f>IF($C76+1&gt;AL$7,0,IF($D76&gt;SUM($G76:AK76),$D76/$E76,0))</f>
        <v>0</v>
      </c>
      <c r="AM76" s="276">
        <f>IF($C76+1&gt;AM$7,0,IF($D76&gt;SUM($G76:AL76),$D76/$E76,0))</f>
        <v>0</v>
      </c>
      <c r="AN76" s="276">
        <f>IF($C76+1&gt;AN$7,0,IF($D76&gt;SUM($G76:AM76),$D76/$E76,0))</f>
        <v>0</v>
      </c>
      <c r="AO76" s="276">
        <f>IF($C76+1&gt;AO$7,0,IF($D76&gt;SUM($G76:AN76),$D76/$E76,0))</f>
        <v>0</v>
      </c>
      <c r="AP76" s="276">
        <f>IF($C76+1&gt;AP$7,0,IF($D76&gt;SUM($G76:AO76),$D76/$E76,0))</f>
        <v>0</v>
      </c>
      <c r="AQ76" s="276">
        <f ca="1">IF($C76+1&gt;AQ$7,0,IF($D76&gt;SUM($G76:AP76),$D76/$E76,0))</f>
        <v>0</v>
      </c>
      <c r="AR76" s="276">
        <f ca="1">IF($C76+1&gt;AR$7,0,IF($D76&gt;SUM($G76:AQ76),$D76/$E76,0))</f>
        <v>0</v>
      </c>
      <c r="AS76" s="276">
        <f ca="1">IF($C76+1&gt;AS$7,0,IF($D76&gt;SUM($G76:AR76),$D76/$E76,0))</f>
        <v>0</v>
      </c>
      <c r="AT76" s="276">
        <f ca="1">IF($C76+1&gt;AT$7,0,IF($D76&gt;SUM($G76:AS76),$D76/$E76,0))</f>
        <v>0</v>
      </c>
      <c r="AU76" s="276">
        <f ca="1">IF($C76+1&gt;AU$7,0,IF($D76&gt;SUM($G76:AT76),$D76/$E76,0))</f>
        <v>0</v>
      </c>
      <c r="AV76" s="276">
        <f ca="1">IF($C76+1&gt;AV$7,0,IF($D76&gt;SUM($G76:AU76),$D76/$E76,0))</f>
        <v>0</v>
      </c>
      <c r="AW76" s="276">
        <f ca="1">IF($C76+1&gt;AW$7,0,IF($D76&gt;SUM($G76:AV76),$D76/$E76,0))</f>
        <v>0</v>
      </c>
      <c r="AX76" s="276">
        <f ca="1">IF($C76+1&gt;AX$7,0,IF($D76&gt;SUM($G76:AW76),$D76/$E76,0))</f>
        <v>0</v>
      </c>
      <c r="AY76" s="276">
        <f ca="1">IF($C76+1&gt;AY$7,0,IF($D76&gt;SUM($G76:AX76),$D76/$E76,0))</f>
        <v>0</v>
      </c>
      <c r="AZ76" s="276">
        <f ca="1">IF($C76+1&gt;AZ$7,0,IF($D76&gt;SUM($G76:AY76),$D76/$E76,0))</f>
        <v>0</v>
      </c>
      <c r="BA76" s="276">
        <f ca="1">IF($C76+1&gt;BA$7,0,IF($D76&gt;SUM($G76:AZ76),$D76/$E76,0))</f>
        <v>0</v>
      </c>
      <c r="BB76" s="276">
        <f ca="1">IF($C76+1&gt;BB$7,0,IF($D76&gt;SUM($G76:BA76),$D76/$E76,0))</f>
        <v>0</v>
      </c>
      <c r="BC76" s="276">
        <f ca="1">IF($C76+1&gt;BC$7,0,IF($D76&gt;SUM($G76:BB76),$D76/$E76,0))</f>
        <v>0</v>
      </c>
      <c r="BD76" s="276">
        <f ca="1">IF($C76+1&gt;BD$7,0,IF($D76&gt;SUM($G76:BC76),$D76/$E76,0))</f>
        <v>0</v>
      </c>
      <c r="BE76" s="276">
        <f ca="1">IF($C76+1&gt;BE$7,0,IF($D76&gt;SUM($G76:BD76),$D76/$E76,0))</f>
        <v>0</v>
      </c>
      <c r="BF76" s="276">
        <f ca="1">IF($C76+1&gt;BF$7,0,IF($D76&gt;SUM($G76:BE76),$D76/$E76,0))</f>
        <v>0</v>
      </c>
      <c r="BG76" s="276">
        <f ca="1">IF($C76+1&gt;BG$7,0,IF($D76&gt;SUM($G76:BF76),$D76/$E76,0))</f>
        <v>0</v>
      </c>
      <c r="BH76" s="276">
        <f ca="1">IF($C76+1&gt;BH$7,0,IF($D76&gt;SUM($G76:BG76),$D76/$E76,0))</f>
        <v>0</v>
      </c>
      <c r="BI76" s="276">
        <f ca="1">IF($C76+1&gt;BI$7,0,IF($D76&gt;SUM($G76:BH76),$D76/$E76,0))</f>
        <v>0</v>
      </c>
      <c r="BJ76" s="276">
        <f ca="1">IF($C76+1&gt;BJ$7,0,IF($D76&gt;SUM($G76:BI76),$D76/$E76,0))</f>
        <v>0</v>
      </c>
      <c r="BK76" s="276">
        <f ca="1">IF($C76+1&gt;BK$7,0,IF($D76&gt;SUM($G76:BJ76),$D76/$E76,0))</f>
        <v>0</v>
      </c>
      <c r="BL76" s="276">
        <f ca="1">IF($C76+1&gt;BL$7,0,IF($D76&gt;SUM($G76:BK76),$D76/$E76,0))</f>
        <v>0</v>
      </c>
      <c r="BM76" s="276">
        <f ca="1">IF($C76+1&gt;BM$7,0,IF($D76&gt;SUM($G76:BL76),$D76/$E76,0))</f>
        <v>0</v>
      </c>
      <c r="BN76" s="276">
        <f ca="1">IF($C76+1&gt;BN$7,0,IF($D76&gt;SUM($G76:BM76),$D76/$E76,0))</f>
        <v>0</v>
      </c>
      <c r="BO76" s="276"/>
      <c r="BP76" s="276"/>
      <c r="BQ76" s="276"/>
      <c r="BR76" s="276"/>
      <c r="BS76" s="276"/>
      <c r="BT76" s="276"/>
      <c r="BU76" s="276"/>
      <c r="BV76" s="276"/>
      <c r="BW76" s="276"/>
      <c r="BX76" s="276"/>
      <c r="BY76" s="276"/>
      <c r="BZ76" s="276"/>
      <c r="CA76" s="254"/>
      <c r="CB76" s="254"/>
      <c r="CC76" s="254"/>
      <c r="CD76" s="254"/>
      <c r="CE76" s="254"/>
      <c r="CF76" s="254"/>
      <c r="CG76" s="254"/>
      <c r="CH76" s="254"/>
      <c r="CI76" s="254"/>
      <c r="CJ76" s="254"/>
      <c r="CK76" s="254"/>
      <c r="CL76" s="254"/>
    </row>
    <row r="77" spans="1:90" outlineLevel="1" x14ac:dyDescent="0.15">
      <c r="A77" s="272"/>
      <c r="B77" s="273"/>
      <c r="C77" s="275">
        <v>37</v>
      </c>
      <c r="D77" s="278">
        <f ca="1"/>
        <v>0</v>
      </c>
      <c r="E77" s="275">
        <f>SAP_Leadsheet!$E$50</f>
        <v>0</v>
      </c>
      <c r="F77" s="275"/>
      <c r="G77" s="276">
        <f>IF($C77+1&gt;G$7,0,IF($D77&gt;SUM(#REF!),$D77/$E77,0))</f>
        <v>0</v>
      </c>
      <c r="H77" s="276">
        <f>IF($C77+1&gt;H$7,0,IF($D77&gt;SUM($G77:G77),$D77/$E77,0))</f>
        <v>0</v>
      </c>
      <c r="I77" s="276">
        <f>IF($C77+1&gt;I$7,0,IF($D77&gt;SUM($G77:H77),$D77/$E77,0))</f>
        <v>0</v>
      </c>
      <c r="J77" s="276">
        <f>IF($C77+1&gt;J$7,0,IF($D77&gt;SUM($G77:I77),$D77/$E77,0))</f>
        <v>0</v>
      </c>
      <c r="K77" s="276">
        <f>IF($C77+1&gt;K$7,0,IF($D77&gt;SUM($G77:J77),$D77/$E77,0))</f>
        <v>0</v>
      </c>
      <c r="L77" s="276">
        <f>IF($C77+1&gt;L$7,0,IF($D77&gt;SUM($G77:K77),$D77/$E77,0))</f>
        <v>0</v>
      </c>
      <c r="M77" s="276">
        <f>IF($C77+1&gt;M$7,0,IF($D77&gt;SUM($G77:L77),$D77/$E77,0))</f>
        <v>0</v>
      </c>
      <c r="N77" s="276">
        <f>IF($C77+1&gt;N$7,0,IF($D77&gt;SUM($G77:M77),$D77/$E77,0))</f>
        <v>0</v>
      </c>
      <c r="O77" s="276">
        <f>IF($C77+1&gt;O$7,0,IF($D77&gt;SUM($G77:N77),$D77/$E77,0))</f>
        <v>0</v>
      </c>
      <c r="P77" s="276">
        <f>IF($C77+1&gt;P$7,0,IF($D77&gt;SUM($G77:O77),$D77/$E77,0))</f>
        <v>0</v>
      </c>
      <c r="Q77" s="276">
        <f>IF($C77+1&gt;Q$7,0,IF($D77&gt;SUM($G77:P77),$D77/$E77,0))</f>
        <v>0</v>
      </c>
      <c r="R77" s="276">
        <f>IF($C77+1&gt;R$7,0,IF($D77&gt;SUM($G77:Q77),$D77/$E77,0))</f>
        <v>0</v>
      </c>
      <c r="S77" s="276">
        <f>IF($C77+1&gt;S$7,0,IF($D77&gt;SUM($G77:R77),$D77/$E77,0))</f>
        <v>0</v>
      </c>
      <c r="T77" s="276">
        <f>IF($C77+1&gt;T$7,0,IF($D77&gt;SUM($G77:S77),$D77/$E77,0))</f>
        <v>0</v>
      </c>
      <c r="U77" s="276">
        <f>IF($C77+1&gt;U$7,0,IF($D77&gt;SUM($G77:T77),$D77/$E77,0))</f>
        <v>0</v>
      </c>
      <c r="V77" s="276">
        <f>IF($C77+1&gt;V$7,0,IF($D77&gt;SUM($G77:U77),$D77/$E77,0))</f>
        <v>0</v>
      </c>
      <c r="W77" s="276">
        <f>IF($C77+1&gt;W$7,0,IF($D77&gt;SUM($G77:V77),$D77/$E77,0))</f>
        <v>0</v>
      </c>
      <c r="X77" s="276">
        <f>IF($C77+1&gt;X$7,0,IF($D77&gt;SUM($G77:W77),$D77/$E77,0))</f>
        <v>0</v>
      </c>
      <c r="Y77" s="276">
        <f>IF($C77+1&gt;Y$7,0,IF($D77&gt;SUM($G77:X77),$D77/$E77,0))</f>
        <v>0</v>
      </c>
      <c r="Z77" s="276">
        <f>IF($C77+1&gt;Z$7,0,IF($D77&gt;SUM($G77:Y77),$D77/$E77,0))</f>
        <v>0</v>
      </c>
      <c r="AA77" s="276">
        <f>IF($C77+1&gt;AA$7,0,IF($D77&gt;SUM($G77:Z77),$D77/$E77,0))</f>
        <v>0</v>
      </c>
      <c r="AB77" s="276">
        <f>IF($C77+1&gt;AB$7,0,IF($D77&gt;SUM($G77:AA77),$D77/$E77,0))</f>
        <v>0</v>
      </c>
      <c r="AC77" s="276">
        <f>IF($C77+1&gt;AC$7,0,IF($D77&gt;SUM($G77:AB77),$D77/$E77,0))</f>
        <v>0</v>
      </c>
      <c r="AD77" s="276">
        <f>IF($C77+1&gt;AD$7,0,IF($D77&gt;SUM($G77:AC77),$D77/$E77,0))</f>
        <v>0</v>
      </c>
      <c r="AE77" s="276">
        <f>IF($C77+1&gt;AE$7,0,IF($D77&gt;SUM($G77:AD77),$D77/$E77,0))</f>
        <v>0</v>
      </c>
      <c r="AF77" s="276">
        <f>IF($C77+1&gt;AF$7,0,IF($D77&gt;SUM($G77:AE77),$D77/$E77,0))</f>
        <v>0</v>
      </c>
      <c r="AG77" s="276">
        <f>IF($C77+1&gt;AG$7,0,IF($D77&gt;SUM($G77:AF77),$D77/$E77,0))</f>
        <v>0</v>
      </c>
      <c r="AH77" s="276">
        <f>IF($C77+1&gt;AH$7,0,IF($D77&gt;SUM($G77:AG77),$D77/$E77,0))</f>
        <v>0</v>
      </c>
      <c r="AI77" s="276">
        <f>IF($C77+1&gt;AI$7,0,IF($D77&gt;SUM($G77:AH77),$D77/$E77,0))</f>
        <v>0</v>
      </c>
      <c r="AJ77" s="276">
        <f>IF($C77+1&gt;AJ$7,0,IF($D77&gt;SUM($G77:AI77),$D77/$E77,0))</f>
        <v>0</v>
      </c>
      <c r="AK77" s="276">
        <f>IF($C77+1&gt;AK$7,0,IF($D77&gt;SUM($G77:AJ77),$D77/$E77,0))</f>
        <v>0</v>
      </c>
      <c r="AL77" s="276">
        <f>IF($C77+1&gt;AL$7,0,IF($D77&gt;SUM($G77:AK77),$D77/$E77,0))</f>
        <v>0</v>
      </c>
      <c r="AM77" s="276">
        <f>IF($C77+1&gt;AM$7,0,IF($D77&gt;SUM($G77:AL77),$D77/$E77,0))</f>
        <v>0</v>
      </c>
      <c r="AN77" s="276">
        <f>IF($C77+1&gt;AN$7,0,IF($D77&gt;SUM($G77:AM77),$D77/$E77,0))</f>
        <v>0</v>
      </c>
      <c r="AO77" s="276">
        <f>IF($C77+1&gt;AO$7,0,IF($D77&gt;SUM($G77:AN77),$D77/$E77,0))</f>
        <v>0</v>
      </c>
      <c r="AP77" s="276">
        <f>IF($C77+1&gt;AP$7,0,IF($D77&gt;SUM($G77:AO77),$D77/$E77,0))</f>
        <v>0</v>
      </c>
      <c r="AQ77" s="276">
        <f>IF($C77+1&gt;AQ$7,0,IF($D77&gt;SUM($G77:AP77),$D77/$E77,0))</f>
        <v>0</v>
      </c>
      <c r="AR77" s="276">
        <f ca="1">IF($C77+1&gt;AR$7,0,IF($D77&gt;SUM($G77:AQ77),$D77/$E77,0))</f>
        <v>0</v>
      </c>
      <c r="AS77" s="276">
        <f ca="1">IF($C77+1&gt;AS$7,0,IF($D77&gt;SUM($G77:AR77),$D77/$E77,0))</f>
        <v>0</v>
      </c>
      <c r="AT77" s="276">
        <f ca="1">IF($C77+1&gt;AT$7,0,IF($D77&gt;SUM($G77:AS77),$D77/$E77,0))</f>
        <v>0</v>
      </c>
      <c r="AU77" s="276">
        <f ca="1">IF($C77+1&gt;AU$7,0,IF($D77&gt;SUM($G77:AT77),$D77/$E77,0))</f>
        <v>0</v>
      </c>
      <c r="AV77" s="276">
        <f ca="1">IF($C77+1&gt;AV$7,0,IF($D77&gt;SUM($G77:AU77),$D77/$E77,0))</f>
        <v>0</v>
      </c>
      <c r="AW77" s="276">
        <f ca="1">IF($C77+1&gt;AW$7,0,IF($D77&gt;SUM($G77:AV77),$D77/$E77,0))</f>
        <v>0</v>
      </c>
      <c r="AX77" s="276">
        <f ca="1">IF($C77+1&gt;AX$7,0,IF($D77&gt;SUM($G77:AW77),$D77/$E77,0))</f>
        <v>0</v>
      </c>
      <c r="AY77" s="276">
        <f ca="1">IF($C77+1&gt;AY$7,0,IF($D77&gt;SUM($G77:AX77),$D77/$E77,0))</f>
        <v>0</v>
      </c>
      <c r="AZ77" s="276">
        <f ca="1">IF($C77+1&gt;AZ$7,0,IF($D77&gt;SUM($G77:AY77),$D77/$E77,0))</f>
        <v>0</v>
      </c>
      <c r="BA77" s="276">
        <f ca="1">IF($C77+1&gt;BA$7,0,IF($D77&gt;SUM($G77:AZ77),$D77/$E77,0))</f>
        <v>0</v>
      </c>
      <c r="BB77" s="276">
        <f ca="1">IF($C77+1&gt;BB$7,0,IF($D77&gt;SUM($G77:BA77),$D77/$E77,0))</f>
        <v>0</v>
      </c>
      <c r="BC77" s="276">
        <f ca="1">IF($C77+1&gt;BC$7,0,IF($D77&gt;SUM($G77:BB77),$D77/$E77,0))</f>
        <v>0</v>
      </c>
      <c r="BD77" s="276">
        <f ca="1">IF($C77+1&gt;BD$7,0,IF($D77&gt;SUM($G77:BC77),$D77/$E77,0))</f>
        <v>0</v>
      </c>
      <c r="BE77" s="276">
        <f ca="1">IF($C77+1&gt;BE$7,0,IF($D77&gt;SUM($G77:BD77),$D77/$E77,0))</f>
        <v>0</v>
      </c>
      <c r="BF77" s="276">
        <f ca="1">IF($C77+1&gt;BF$7,0,IF($D77&gt;SUM($G77:BE77),$D77/$E77,0))</f>
        <v>0</v>
      </c>
      <c r="BG77" s="276">
        <f ca="1">IF($C77+1&gt;BG$7,0,IF($D77&gt;SUM($G77:BF77),$D77/$E77,0))</f>
        <v>0</v>
      </c>
      <c r="BH77" s="276">
        <f ca="1">IF($C77+1&gt;BH$7,0,IF($D77&gt;SUM($G77:BG77),$D77/$E77,0))</f>
        <v>0</v>
      </c>
      <c r="BI77" s="276">
        <f ca="1">IF($C77+1&gt;BI$7,0,IF($D77&gt;SUM($G77:BH77),$D77/$E77,0))</f>
        <v>0</v>
      </c>
      <c r="BJ77" s="276">
        <f ca="1">IF($C77+1&gt;BJ$7,0,IF($D77&gt;SUM($G77:BI77),$D77/$E77,0))</f>
        <v>0</v>
      </c>
      <c r="BK77" s="276">
        <f ca="1">IF($C77+1&gt;BK$7,0,IF($D77&gt;SUM($G77:BJ77),$D77/$E77,0))</f>
        <v>0</v>
      </c>
      <c r="BL77" s="276">
        <f ca="1">IF($C77+1&gt;BL$7,0,IF($D77&gt;SUM($G77:BK77),$D77/$E77,0))</f>
        <v>0</v>
      </c>
      <c r="BM77" s="276">
        <f ca="1">IF($C77+1&gt;BM$7,0,IF($D77&gt;SUM($G77:BL77),$D77/$E77,0))</f>
        <v>0</v>
      </c>
      <c r="BN77" s="276">
        <f ca="1">IF($C77+1&gt;BN$7,0,IF($D77&gt;SUM($G77:BM77),$D77/$E77,0))</f>
        <v>0</v>
      </c>
      <c r="BO77" s="276"/>
      <c r="BP77" s="276"/>
      <c r="BQ77" s="276"/>
      <c r="BR77" s="276"/>
      <c r="BS77" s="276"/>
      <c r="BT77" s="276"/>
      <c r="BU77" s="276"/>
      <c r="BV77" s="276"/>
      <c r="BW77" s="276"/>
      <c r="BX77" s="276"/>
      <c r="BY77" s="276"/>
      <c r="BZ77" s="276"/>
      <c r="CA77" s="254"/>
      <c r="CB77" s="254"/>
      <c r="CC77" s="254"/>
      <c r="CD77" s="254"/>
      <c r="CE77" s="254"/>
      <c r="CF77" s="254"/>
      <c r="CG77" s="254"/>
      <c r="CH77" s="254"/>
      <c r="CI77" s="254"/>
      <c r="CJ77" s="254"/>
      <c r="CK77" s="254"/>
      <c r="CL77" s="254"/>
    </row>
    <row r="78" spans="1:90" outlineLevel="1" x14ac:dyDescent="0.15">
      <c r="A78" s="272"/>
      <c r="B78" s="273"/>
      <c r="C78" s="275">
        <v>38</v>
      </c>
      <c r="D78" s="278">
        <f ca="1"/>
        <v>0</v>
      </c>
      <c r="E78" s="275">
        <f>SAP_Leadsheet!$E$50</f>
        <v>0</v>
      </c>
      <c r="F78" s="275"/>
      <c r="G78" s="276">
        <f>IF($C78+1&gt;G$7,0,IF($D78&gt;SUM(#REF!),$D78/$E78,0))</f>
        <v>0</v>
      </c>
      <c r="H78" s="276">
        <f>IF($C78+1&gt;H$7,0,IF($D78&gt;SUM($G78:G78),$D78/$E78,0))</f>
        <v>0</v>
      </c>
      <c r="I78" s="276">
        <f>IF($C78+1&gt;I$7,0,IF($D78&gt;SUM($G78:H78),$D78/$E78,0))</f>
        <v>0</v>
      </c>
      <c r="J78" s="276">
        <f>IF($C78+1&gt;J$7,0,IF($D78&gt;SUM($G78:I78),$D78/$E78,0))</f>
        <v>0</v>
      </c>
      <c r="K78" s="276">
        <f>IF($C78+1&gt;K$7,0,IF($D78&gt;SUM($G78:J78),$D78/$E78,0))</f>
        <v>0</v>
      </c>
      <c r="L78" s="276">
        <f>IF($C78+1&gt;L$7,0,IF($D78&gt;SUM($G78:K78),$D78/$E78,0))</f>
        <v>0</v>
      </c>
      <c r="M78" s="276">
        <f>IF($C78+1&gt;M$7,0,IF($D78&gt;SUM($G78:L78),$D78/$E78,0))</f>
        <v>0</v>
      </c>
      <c r="N78" s="276">
        <f>IF($C78+1&gt;N$7,0,IF($D78&gt;SUM($G78:M78),$D78/$E78,0))</f>
        <v>0</v>
      </c>
      <c r="O78" s="276">
        <f>IF($C78+1&gt;O$7,0,IF($D78&gt;SUM($G78:N78),$D78/$E78,0))</f>
        <v>0</v>
      </c>
      <c r="P78" s="276">
        <f>IF($C78+1&gt;P$7,0,IF($D78&gt;SUM($G78:O78),$D78/$E78,0))</f>
        <v>0</v>
      </c>
      <c r="Q78" s="276">
        <f>IF($C78+1&gt;Q$7,0,IF($D78&gt;SUM($G78:P78),$D78/$E78,0))</f>
        <v>0</v>
      </c>
      <c r="R78" s="276">
        <f>IF($C78+1&gt;R$7,0,IF($D78&gt;SUM($G78:Q78),$D78/$E78,0))</f>
        <v>0</v>
      </c>
      <c r="S78" s="276">
        <f>IF($C78+1&gt;S$7,0,IF($D78&gt;SUM($G78:R78),$D78/$E78,0))</f>
        <v>0</v>
      </c>
      <c r="T78" s="276">
        <f>IF($C78+1&gt;T$7,0,IF($D78&gt;SUM($G78:S78),$D78/$E78,0))</f>
        <v>0</v>
      </c>
      <c r="U78" s="276">
        <f>IF($C78+1&gt;U$7,0,IF($D78&gt;SUM($G78:T78),$D78/$E78,0))</f>
        <v>0</v>
      </c>
      <c r="V78" s="276">
        <f>IF($C78+1&gt;V$7,0,IF($D78&gt;SUM($G78:U78),$D78/$E78,0))</f>
        <v>0</v>
      </c>
      <c r="W78" s="276">
        <f>IF($C78+1&gt;W$7,0,IF($D78&gt;SUM($G78:V78),$D78/$E78,0))</f>
        <v>0</v>
      </c>
      <c r="X78" s="276">
        <f>IF($C78+1&gt;X$7,0,IF($D78&gt;SUM($G78:W78),$D78/$E78,0))</f>
        <v>0</v>
      </c>
      <c r="Y78" s="276">
        <f>IF($C78+1&gt;Y$7,0,IF($D78&gt;SUM($G78:X78),$D78/$E78,0))</f>
        <v>0</v>
      </c>
      <c r="Z78" s="276">
        <f>IF($C78+1&gt;Z$7,0,IF($D78&gt;SUM($G78:Y78),$D78/$E78,0))</f>
        <v>0</v>
      </c>
      <c r="AA78" s="276">
        <f>IF($C78+1&gt;AA$7,0,IF($D78&gt;SUM($G78:Z78),$D78/$E78,0))</f>
        <v>0</v>
      </c>
      <c r="AB78" s="276">
        <f>IF($C78+1&gt;AB$7,0,IF($D78&gt;SUM($G78:AA78),$D78/$E78,0))</f>
        <v>0</v>
      </c>
      <c r="AC78" s="276">
        <f>IF($C78+1&gt;AC$7,0,IF($D78&gt;SUM($G78:AB78),$D78/$E78,0))</f>
        <v>0</v>
      </c>
      <c r="AD78" s="276">
        <f>IF($C78+1&gt;AD$7,0,IF($D78&gt;SUM($G78:AC78),$D78/$E78,0))</f>
        <v>0</v>
      </c>
      <c r="AE78" s="276">
        <f>IF($C78+1&gt;AE$7,0,IF($D78&gt;SUM($G78:AD78),$D78/$E78,0))</f>
        <v>0</v>
      </c>
      <c r="AF78" s="276">
        <f>IF($C78+1&gt;AF$7,0,IF($D78&gt;SUM($G78:AE78),$D78/$E78,0))</f>
        <v>0</v>
      </c>
      <c r="AG78" s="276">
        <f>IF($C78+1&gt;AG$7,0,IF($D78&gt;SUM($G78:AF78),$D78/$E78,0))</f>
        <v>0</v>
      </c>
      <c r="AH78" s="276">
        <f>IF($C78+1&gt;AH$7,0,IF($D78&gt;SUM($G78:AG78),$D78/$E78,0))</f>
        <v>0</v>
      </c>
      <c r="AI78" s="276">
        <f>IF($C78+1&gt;AI$7,0,IF($D78&gt;SUM($G78:AH78),$D78/$E78,0))</f>
        <v>0</v>
      </c>
      <c r="AJ78" s="276">
        <f>IF($C78+1&gt;AJ$7,0,IF($D78&gt;SUM($G78:AI78),$D78/$E78,0))</f>
        <v>0</v>
      </c>
      <c r="AK78" s="276">
        <f>IF($C78+1&gt;AK$7,0,IF($D78&gt;SUM($G78:AJ78),$D78/$E78,0))</f>
        <v>0</v>
      </c>
      <c r="AL78" s="276">
        <f>IF($C78+1&gt;AL$7,0,IF($D78&gt;SUM($G78:AK78),$D78/$E78,0))</f>
        <v>0</v>
      </c>
      <c r="AM78" s="276">
        <f>IF($C78+1&gt;AM$7,0,IF($D78&gt;SUM($G78:AL78),$D78/$E78,0))</f>
        <v>0</v>
      </c>
      <c r="AN78" s="276">
        <f>IF($C78+1&gt;AN$7,0,IF($D78&gt;SUM($G78:AM78),$D78/$E78,0))</f>
        <v>0</v>
      </c>
      <c r="AO78" s="276">
        <f>IF($C78+1&gt;AO$7,0,IF($D78&gt;SUM($G78:AN78),$D78/$E78,0))</f>
        <v>0</v>
      </c>
      <c r="AP78" s="276">
        <f>IF($C78+1&gt;AP$7,0,IF($D78&gt;SUM($G78:AO78),$D78/$E78,0))</f>
        <v>0</v>
      </c>
      <c r="AQ78" s="276">
        <f>IF($C78+1&gt;AQ$7,0,IF($D78&gt;SUM($G78:AP78),$D78/$E78,0))</f>
        <v>0</v>
      </c>
      <c r="AR78" s="276">
        <f>IF($C78+1&gt;AR$7,0,IF($D78&gt;SUM($G78:AQ78),$D78/$E78,0))</f>
        <v>0</v>
      </c>
      <c r="AS78" s="276">
        <f ca="1">IF($C78+1&gt;AS$7,0,IF($D78&gt;SUM($G78:AR78),$D78/$E78,0))</f>
        <v>0</v>
      </c>
      <c r="AT78" s="276">
        <f ca="1">IF($C78+1&gt;AT$7,0,IF($D78&gt;SUM($G78:AS78),$D78/$E78,0))</f>
        <v>0</v>
      </c>
      <c r="AU78" s="276">
        <f ca="1">IF($C78+1&gt;AU$7,0,IF($D78&gt;SUM($G78:AT78),$D78/$E78,0))</f>
        <v>0</v>
      </c>
      <c r="AV78" s="276">
        <f ca="1">IF($C78+1&gt;AV$7,0,IF($D78&gt;SUM($G78:AU78),$D78/$E78,0))</f>
        <v>0</v>
      </c>
      <c r="AW78" s="276">
        <f ca="1">IF($C78+1&gt;AW$7,0,IF($D78&gt;SUM($G78:AV78),$D78/$E78,0))</f>
        <v>0</v>
      </c>
      <c r="AX78" s="276">
        <f ca="1">IF($C78+1&gt;AX$7,0,IF($D78&gt;SUM($G78:AW78),$D78/$E78,0))</f>
        <v>0</v>
      </c>
      <c r="AY78" s="276">
        <f ca="1">IF($C78+1&gt;AY$7,0,IF($D78&gt;SUM($G78:AX78),$D78/$E78,0))</f>
        <v>0</v>
      </c>
      <c r="AZ78" s="276">
        <f ca="1">IF($C78+1&gt;AZ$7,0,IF($D78&gt;SUM($G78:AY78),$D78/$E78,0))</f>
        <v>0</v>
      </c>
      <c r="BA78" s="276">
        <f ca="1">IF($C78+1&gt;BA$7,0,IF($D78&gt;SUM($G78:AZ78),$D78/$E78,0))</f>
        <v>0</v>
      </c>
      <c r="BB78" s="276">
        <f ca="1">IF($C78+1&gt;BB$7,0,IF($D78&gt;SUM($G78:BA78),$D78/$E78,0))</f>
        <v>0</v>
      </c>
      <c r="BC78" s="276">
        <f ca="1">IF($C78+1&gt;BC$7,0,IF($D78&gt;SUM($G78:BB78),$D78/$E78,0))</f>
        <v>0</v>
      </c>
      <c r="BD78" s="276">
        <f ca="1">IF($C78+1&gt;BD$7,0,IF($D78&gt;SUM($G78:BC78),$D78/$E78,0))</f>
        <v>0</v>
      </c>
      <c r="BE78" s="276">
        <f ca="1">IF($C78+1&gt;BE$7,0,IF($D78&gt;SUM($G78:BD78),$D78/$E78,0))</f>
        <v>0</v>
      </c>
      <c r="BF78" s="276">
        <f ca="1">IF($C78+1&gt;BF$7,0,IF($D78&gt;SUM($G78:BE78),$D78/$E78,0))</f>
        <v>0</v>
      </c>
      <c r="BG78" s="276">
        <f ca="1">IF($C78+1&gt;BG$7,0,IF($D78&gt;SUM($G78:BF78),$D78/$E78,0))</f>
        <v>0</v>
      </c>
      <c r="BH78" s="276">
        <f ca="1">IF($C78+1&gt;BH$7,0,IF($D78&gt;SUM($G78:BG78),$D78/$E78,0))</f>
        <v>0</v>
      </c>
      <c r="BI78" s="276">
        <f ca="1">IF($C78+1&gt;BI$7,0,IF($D78&gt;SUM($G78:BH78),$D78/$E78,0))</f>
        <v>0</v>
      </c>
      <c r="BJ78" s="276">
        <f ca="1">IF($C78+1&gt;BJ$7,0,IF($D78&gt;SUM($G78:BI78),$D78/$E78,0))</f>
        <v>0</v>
      </c>
      <c r="BK78" s="276">
        <f ca="1">IF($C78+1&gt;BK$7,0,IF($D78&gt;SUM($G78:BJ78),$D78/$E78,0))</f>
        <v>0</v>
      </c>
      <c r="BL78" s="276">
        <f ca="1">IF($C78+1&gt;BL$7,0,IF($D78&gt;SUM($G78:BK78),$D78/$E78,0))</f>
        <v>0</v>
      </c>
      <c r="BM78" s="276">
        <f ca="1">IF($C78+1&gt;BM$7,0,IF($D78&gt;SUM($G78:BL78),$D78/$E78,0))</f>
        <v>0</v>
      </c>
      <c r="BN78" s="276">
        <f ca="1">IF($C78+1&gt;BN$7,0,IF($D78&gt;SUM($G78:BM78),$D78/$E78,0))</f>
        <v>0</v>
      </c>
      <c r="BO78" s="276"/>
      <c r="BP78" s="276"/>
      <c r="BQ78" s="276"/>
      <c r="BR78" s="276"/>
      <c r="BS78" s="276"/>
      <c r="BT78" s="276"/>
      <c r="BU78" s="276"/>
      <c r="BV78" s="276"/>
      <c r="BW78" s="276"/>
      <c r="BX78" s="276"/>
      <c r="BY78" s="276"/>
      <c r="BZ78" s="276"/>
      <c r="CA78" s="254"/>
      <c r="CB78" s="254"/>
      <c r="CC78" s="254"/>
      <c r="CD78" s="254"/>
      <c r="CE78" s="254"/>
      <c r="CF78" s="254"/>
      <c r="CG78" s="254"/>
      <c r="CH78" s="254"/>
      <c r="CI78" s="254"/>
      <c r="CJ78" s="254"/>
      <c r="CK78" s="254"/>
      <c r="CL78" s="254"/>
    </row>
    <row r="79" spans="1:90" outlineLevel="1" x14ac:dyDescent="0.15">
      <c r="A79" s="272"/>
      <c r="B79" s="273"/>
      <c r="C79" s="275">
        <v>39</v>
      </c>
      <c r="D79" s="278">
        <f ca="1"/>
        <v>0</v>
      </c>
      <c r="E79" s="275">
        <f>SAP_Leadsheet!$E$50</f>
        <v>0</v>
      </c>
      <c r="F79" s="275"/>
      <c r="G79" s="276">
        <f>IF($C79+1&gt;G$7,0,IF($D79&gt;SUM(#REF!),$D79/$E79,0))</f>
        <v>0</v>
      </c>
      <c r="H79" s="276">
        <f>IF($C79+1&gt;H$7,0,IF($D79&gt;SUM($G79:G79),$D79/$E79,0))</f>
        <v>0</v>
      </c>
      <c r="I79" s="276">
        <f>IF($C79+1&gt;I$7,0,IF($D79&gt;SUM($G79:H79),$D79/$E79,0))</f>
        <v>0</v>
      </c>
      <c r="J79" s="276">
        <f>IF($C79+1&gt;J$7,0,IF($D79&gt;SUM($G79:I79),$D79/$E79,0))</f>
        <v>0</v>
      </c>
      <c r="K79" s="276">
        <f>IF($C79+1&gt;K$7,0,IF($D79&gt;SUM($G79:J79),$D79/$E79,0))</f>
        <v>0</v>
      </c>
      <c r="L79" s="276">
        <f>IF($C79+1&gt;L$7,0,IF($D79&gt;SUM($G79:K79),$D79/$E79,0))</f>
        <v>0</v>
      </c>
      <c r="M79" s="276">
        <f>IF($C79+1&gt;M$7,0,IF($D79&gt;SUM($G79:L79),$D79/$E79,0))</f>
        <v>0</v>
      </c>
      <c r="N79" s="276">
        <f>IF($C79+1&gt;N$7,0,IF($D79&gt;SUM($G79:M79),$D79/$E79,0))</f>
        <v>0</v>
      </c>
      <c r="O79" s="276">
        <f>IF($C79+1&gt;O$7,0,IF($D79&gt;SUM($G79:N79),$D79/$E79,0))</f>
        <v>0</v>
      </c>
      <c r="P79" s="276">
        <f>IF($C79+1&gt;P$7,0,IF($D79&gt;SUM($G79:O79),$D79/$E79,0))</f>
        <v>0</v>
      </c>
      <c r="Q79" s="276">
        <f>IF($C79+1&gt;Q$7,0,IF($D79&gt;SUM($G79:P79),$D79/$E79,0))</f>
        <v>0</v>
      </c>
      <c r="R79" s="276">
        <f>IF($C79+1&gt;R$7,0,IF($D79&gt;SUM($G79:Q79),$D79/$E79,0))</f>
        <v>0</v>
      </c>
      <c r="S79" s="276">
        <f>IF($C79+1&gt;S$7,0,IF($D79&gt;SUM($G79:R79),$D79/$E79,0))</f>
        <v>0</v>
      </c>
      <c r="T79" s="276">
        <f>IF($C79+1&gt;T$7,0,IF($D79&gt;SUM($G79:S79),$D79/$E79,0))</f>
        <v>0</v>
      </c>
      <c r="U79" s="276">
        <f>IF($C79+1&gt;U$7,0,IF($D79&gt;SUM($G79:T79),$D79/$E79,0))</f>
        <v>0</v>
      </c>
      <c r="V79" s="276">
        <f>IF($C79+1&gt;V$7,0,IF($D79&gt;SUM($G79:U79),$D79/$E79,0))</f>
        <v>0</v>
      </c>
      <c r="W79" s="276">
        <f>IF($C79+1&gt;W$7,0,IF($D79&gt;SUM($G79:V79),$D79/$E79,0))</f>
        <v>0</v>
      </c>
      <c r="X79" s="276">
        <f>IF($C79+1&gt;X$7,0,IF($D79&gt;SUM($G79:W79),$D79/$E79,0))</f>
        <v>0</v>
      </c>
      <c r="Y79" s="276">
        <f>IF($C79+1&gt;Y$7,0,IF($D79&gt;SUM($G79:X79),$D79/$E79,0))</f>
        <v>0</v>
      </c>
      <c r="Z79" s="276">
        <f>IF($C79+1&gt;Z$7,0,IF($D79&gt;SUM($G79:Y79),$D79/$E79,0))</f>
        <v>0</v>
      </c>
      <c r="AA79" s="276">
        <f>IF($C79+1&gt;AA$7,0,IF($D79&gt;SUM($G79:Z79),$D79/$E79,0))</f>
        <v>0</v>
      </c>
      <c r="AB79" s="276">
        <f>IF($C79+1&gt;AB$7,0,IF($D79&gt;SUM($G79:AA79),$D79/$E79,0))</f>
        <v>0</v>
      </c>
      <c r="AC79" s="276">
        <f>IF($C79+1&gt;AC$7,0,IF($D79&gt;SUM($G79:AB79),$D79/$E79,0))</f>
        <v>0</v>
      </c>
      <c r="AD79" s="276">
        <f>IF($C79+1&gt;AD$7,0,IF($D79&gt;SUM($G79:AC79),$D79/$E79,0))</f>
        <v>0</v>
      </c>
      <c r="AE79" s="276">
        <f>IF($C79+1&gt;AE$7,0,IF($D79&gt;SUM($G79:AD79),$D79/$E79,0))</f>
        <v>0</v>
      </c>
      <c r="AF79" s="276">
        <f>IF($C79+1&gt;AF$7,0,IF($D79&gt;SUM($G79:AE79),$D79/$E79,0))</f>
        <v>0</v>
      </c>
      <c r="AG79" s="276">
        <f>IF($C79+1&gt;AG$7,0,IF($D79&gt;SUM($G79:AF79),$D79/$E79,0))</f>
        <v>0</v>
      </c>
      <c r="AH79" s="276">
        <f>IF($C79+1&gt;AH$7,0,IF($D79&gt;SUM($G79:AG79),$D79/$E79,0))</f>
        <v>0</v>
      </c>
      <c r="AI79" s="276">
        <f>IF($C79+1&gt;AI$7,0,IF($D79&gt;SUM($G79:AH79),$D79/$E79,0))</f>
        <v>0</v>
      </c>
      <c r="AJ79" s="276">
        <f>IF($C79+1&gt;AJ$7,0,IF($D79&gt;SUM($G79:AI79),$D79/$E79,0))</f>
        <v>0</v>
      </c>
      <c r="AK79" s="276">
        <f>IF($C79+1&gt;AK$7,0,IF($D79&gt;SUM($G79:AJ79),$D79/$E79,0))</f>
        <v>0</v>
      </c>
      <c r="AL79" s="276">
        <f>IF($C79+1&gt;AL$7,0,IF($D79&gt;SUM($G79:AK79),$D79/$E79,0))</f>
        <v>0</v>
      </c>
      <c r="AM79" s="276">
        <f>IF($C79+1&gt;AM$7,0,IF($D79&gt;SUM($G79:AL79),$D79/$E79,0))</f>
        <v>0</v>
      </c>
      <c r="AN79" s="276">
        <f>IF($C79+1&gt;AN$7,0,IF($D79&gt;SUM($G79:AM79),$D79/$E79,0))</f>
        <v>0</v>
      </c>
      <c r="AO79" s="276">
        <f>IF($C79+1&gt;AO$7,0,IF($D79&gt;SUM($G79:AN79),$D79/$E79,0))</f>
        <v>0</v>
      </c>
      <c r="AP79" s="276">
        <f>IF($C79+1&gt;AP$7,0,IF($D79&gt;SUM($G79:AO79),$D79/$E79,0))</f>
        <v>0</v>
      </c>
      <c r="AQ79" s="276">
        <f>IF($C79+1&gt;AQ$7,0,IF($D79&gt;SUM($G79:AP79),$D79/$E79,0))</f>
        <v>0</v>
      </c>
      <c r="AR79" s="276">
        <f>IF($C79+1&gt;AR$7,0,IF($D79&gt;SUM($G79:AQ79),$D79/$E79,0))</f>
        <v>0</v>
      </c>
      <c r="AS79" s="276">
        <f>IF($C79+1&gt;AS$7,0,IF($D79&gt;SUM($G79:AR79),$D79/$E79,0))</f>
        <v>0</v>
      </c>
      <c r="AT79" s="276">
        <f ca="1">IF($C79+1&gt;AT$7,0,IF($D79&gt;SUM($G79:AS79),$D79/$E79,0))</f>
        <v>0</v>
      </c>
      <c r="AU79" s="276">
        <f ca="1">IF($C79+1&gt;AU$7,0,IF($D79&gt;SUM($G79:AT79),$D79/$E79,0))</f>
        <v>0</v>
      </c>
      <c r="AV79" s="276">
        <f ca="1">IF($C79+1&gt;AV$7,0,IF($D79&gt;SUM($G79:AU79),$D79/$E79,0))</f>
        <v>0</v>
      </c>
      <c r="AW79" s="276">
        <f ca="1">IF($C79+1&gt;AW$7,0,IF($D79&gt;SUM($G79:AV79),$D79/$E79,0))</f>
        <v>0</v>
      </c>
      <c r="AX79" s="276">
        <f ca="1">IF($C79+1&gt;AX$7,0,IF($D79&gt;SUM($G79:AW79),$D79/$E79,0))</f>
        <v>0</v>
      </c>
      <c r="AY79" s="276">
        <f ca="1">IF($C79+1&gt;AY$7,0,IF($D79&gt;SUM($G79:AX79),$D79/$E79,0))</f>
        <v>0</v>
      </c>
      <c r="AZ79" s="276">
        <f ca="1">IF($C79+1&gt;AZ$7,0,IF($D79&gt;SUM($G79:AY79),$D79/$E79,0))</f>
        <v>0</v>
      </c>
      <c r="BA79" s="276">
        <f ca="1">IF($C79+1&gt;BA$7,0,IF($D79&gt;SUM($G79:AZ79),$D79/$E79,0))</f>
        <v>0</v>
      </c>
      <c r="BB79" s="276">
        <f ca="1">IF($C79+1&gt;BB$7,0,IF($D79&gt;SUM($G79:BA79),$D79/$E79,0))</f>
        <v>0</v>
      </c>
      <c r="BC79" s="276">
        <f ca="1">IF($C79+1&gt;BC$7,0,IF($D79&gt;SUM($G79:BB79),$D79/$E79,0))</f>
        <v>0</v>
      </c>
      <c r="BD79" s="276">
        <f ca="1">IF($C79+1&gt;BD$7,0,IF($D79&gt;SUM($G79:BC79),$D79/$E79,0))</f>
        <v>0</v>
      </c>
      <c r="BE79" s="276">
        <f ca="1">IF($C79+1&gt;BE$7,0,IF($D79&gt;SUM($G79:BD79),$D79/$E79,0))</f>
        <v>0</v>
      </c>
      <c r="BF79" s="276">
        <f ca="1">IF($C79+1&gt;BF$7,0,IF($D79&gt;SUM($G79:BE79),$D79/$E79,0))</f>
        <v>0</v>
      </c>
      <c r="BG79" s="276">
        <f ca="1">IF($C79+1&gt;BG$7,0,IF($D79&gt;SUM($G79:BF79),$D79/$E79,0))</f>
        <v>0</v>
      </c>
      <c r="BH79" s="276">
        <f ca="1">IF($C79+1&gt;BH$7,0,IF($D79&gt;SUM($G79:BG79),$D79/$E79,0))</f>
        <v>0</v>
      </c>
      <c r="BI79" s="276">
        <f ca="1">IF($C79+1&gt;BI$7,0,IF($D79&gt;SUM($G79:BH79),$D79/$E79,0))</f>
        <v>0</v>
      </c>
      <c r="BJ79" s="276">
        <f ca="1">IF($C79+1&gt;BJ$7,0,IF($D79&gt;SUM($G79:BI79),$D79/$E79,0))</f>
        <v>0</v>
      </c>
      <c r="BK79" s="276">
        <f ca="1">IF($C79+1&gt;BK$7,0,IF($D79&gt;SUM($G79:BJ79),$D79/$E79,0))</f>
        <v>0</v>
      </c>
      <c r="BL79" s="276">
        <f ca="1">IF($C79+1&gt;BL$7,0,IF($D79&gt;SUM($G79:BK79),$D79/$E79,0))</f>
        <v>0</v>
      </c>
      <c r="BM79" s="276">
        <f ca="1">IF($C79+1&gt;BM$7,0,IF($D79&gt;SUM($G79:BL79),$D79/$E79,0))</f>
        <v>0</v>
      </c>
      <c r="BN79" s="276">
        <f ca="1">IF($C79+1&gt;BN$7,0,IF($D79&gt;SUM($G79:BM79),$D79/$E79,0))</f>
        <v>0</v>
      </c>
      <c r="BO79" s="276"/>
      <c r="BP79" s="276"/>
      <c r="BQ79" s="276"/>
      <c r="BR79" s="276"/>
      <c r="BS79" s="276"/>
      <c r="BT79" s="276"/>
      <c r="BU79" s="276"/>
      <c r="BV79" s="276"/>
      <c r="BW79" s="276"/>
      <c r="BX79" s="276"/>
      <c r="BY79" s="276"/>
      <c r="BZ79" s="276"/>
      <c r="CA79" s="254"/>
      <c r="CB79" s="254"/>
      <c r="CC79" s="254"/>
      <c r="CD79" s="254"/>
      <c r="CE79" s="254"/>
      <c r="CF79" s="254"/>
      <c r="CG79" s="254"/>
      <c r="CH79" s="254"/>
      <c r="CI79" s="254"/>
      <c r="CJ79" s="254"/>
      <c r="CK79" s="254"/>
      <c r="CL79" s="254"/>
    </row>
    <row r="80" spans="1:90" outlineLevel="1" x14ac:dyDescent="0.15">
      <c r="A80" s="272"/>
      <c r="B80" s="273"/>
      <c r="C80" s="275">
        <v>40</v>
      </c>
      <c r="D80" s="278">
        <f ca="1"/>
        <v>0</v>
      </c>
      <c r="E80" s="275">
        <f>SAP_Leadsheet!$E$50</f>
        <v>0</v>
      </c>
      <c r="F80" s="275"/>
      <c r="G80" s="276">
        <f>IF($C80+1&gt;G$7,0,IF($D80&gt;SUM(#REF!),$D80/$E80,0))</f>
        <v>0</v>
      </c>
      <c r="H80" s="276">
        <f>IF($C80+1&gt;H$7,0,IF($D80&gt;SUM($G80:G80),$D80/$E80,0))</f>
        <v>0</v>
      </c>
      <c r="I80" s="276">
        <f>IF($C80+1&gt;I$7,0,IF($D80&gt;SUM($G80:H80),$D80/$E80,0))</f>
        <v>0</v>
      </c>
      <c r="J80" s="276">
        <f>IF($C80+1&gt;J$7,0,IF($D80&gt;SUM($G80:I80),$D80/$E80,0))</f>
        <v>0</v>
      </c>
      <c r="K80" s="276">
        <f>IF($C80+1&gt;K$7,0,IF($D80&gt;SUM($G80:J80),$D80/$E80,0))</f>
        <v>0</v>
      </c>
      <c r="L80" s="276">
        <f>IF($C80+1&gt;L$7,0,IF($D80&gt;SUM($G80:K80),$D80/$E80,0))</f>
        <v>0</v>
      </c>
      <c r="M80" s="276">
        <f>IF($C80+1&gt;M$7,0,IF($D80&gt;SUM($G80:L80),$D80/$E80,0))</f>
        <v>0</v>
      </c>
      <c r="N80" s="276">
        <f>IF($C80+1&gt;N$7,0,IF($D80&gt;SUM($G80:M80),$D80/$E80,0))</f>
        <v>0</v>
      </c>
      <c r="O80" s="276">
        <f>IF($C80+1&gt;O$7,0,IF($D80&gt;SUM($G80:N80),$D80/$E80,0))</f>
        <v>0</v>
      </c>
      <c r="P80" s="276">
        <f>IF($C80+1&gt;P$7,0,IF($D80&gt;SUM($G80:O80),$D80/$E80,0))</f>
        <v>0</v>
      </c>
      <c r="Q80" s="276">
        <f>IF($C80+1&gt;Q$7,0,IF($D80&gt;SUM($G80:P80),$D80/$E80,0))</f>
        <v>0</v>
      </c>
      <c r="R80" s="276">
        <f>IF($C80+1&gt;R$7,0,IF($D80&gt;SUM($G80:Q80),$D80/$E80,0))</f>
        <v>0</v>
      </c>
      <c r="S80" s="276">
        <f>IF($C80+1&gt;S$7,0,IF($D80&gt;SUM($G80:R80),$D80/$E80,0))</f>
        <v>0</v>
      </c>
      <c r="T80" s="276">
        <f>IF($C80+1&gt;T$7,0,IF($D80&gt;SUM($G80:S80),$D80/$E80,0))</f>
        <v>0</v>
      </c>
      <c r="U80" s="276">
        <f>IF($C80+1&gt;U$7,0,IF($D80&gt;SUM($G80:T80),$D80/$E80,0))</f>
        <v>0</v>
      </c>
      <c r="V80" s="276">
        <f>IF($C80+1&gt;V$7,0,IF($D80&gt;SUM($G80:U80),$D80/$E80,0))</f>
        <v>0</v>
      </c>
      <c r="W80" s="276">
        <f>IF($C80+1&gt;W$7,0,IF($D80&gt;SUM($G80:V80),$D80/$E80,0))</f>
        <v>0</v>
      </c>
      <c r="X80" s="276">
        <f>IF($C80+1&gt;X$7,0,IF($D80&gt;SUM($G80:W80),$D80/$E80,0))</f>
        <v>0</v>
      </c>
      <c r="Y80" s="276">
        <f>IF($C80+1&gt;Y$7,0,IF($D80&gt;SUM($G80:X80),$D80/$E80,0))</f>
        <v>0</v>
      </c>
      <c r="Z80" s="276">
        <f>IF($C80+1&gt;Z$7,0,IF($D80&gt;SUM($G80:Y80),$D80/$E80,0))</f>
        <v>0</v>
      </c>
      <c r="AA80" s="276">
        <f>IF($C80+1&gt;AA$7,0,IF($D80&gt;SUM($G80:Z80),$D80/$E80,0))</f>
        <v>0</v>
      </c>
      <c r="AB80" s="276">
        <f>IF($C80+1&gt;AB$7,0,IF($D80&gt;SUM($G80:AA80),$D80/$E80,0))</f>
        <v>0</v>
      </c>
      <c r="AC80" s="276">
        <f>IF($C80+1&gt;AC$7,0,IF($D80&gt;SUM($G80:AB80),$D80/$E80,0))</f>
        <v>0</v>
      </c>
      <c r="AD80" s="276">
        <f>IF($C80+1&gt;AD$7,0,IF($D80&gt;SUM($G80:AC80),$D80/$E80,0))</f>
        <v>0</v>
      </c>
      <c r="AE80" s="276">
        <f>IF($C80+1&gt;AE$7,0,IF($D80&gt;SUM($G80:AD80),$D80/$E80,0))</f>
        <v>0</v>
      </c>
      <c r="AF80" s="276">
        <f>IF($C80+1&gt;AF$7,0,IF($D80&gt;SUM($G80:AE80),$D80/$E80,0))</f>
        <v>0</v>
      </c>
      <c r="AG80" s="276">
        <f>IF($C80+1&gt;AG$7,0,IF($D80&gt;SUM($G80:AF80),$D80/$E80,0))</f>
        <v>0</v>
      </c>
      <c r="AH80" s="276">
        <f>IF($C80+1&gt;AH$7,0,IF($D80&gt;SUM($G80:AG80),$D80/$E80,0))</f>
        <v>0</v>
      </c>
      <c r="AI80" s="276">
        <f>IF($C80+1&gt;AI$7,0,IF($D80&gt;SUM($G80:AH80),$D80/$E80,0))</f>
        <v>0</v>
      </c>
      <c r="AJ80" s="276">
        <f>IF($C80+1&gt;AJ$7,0,IF($D80&gt;SUM($G80:AI80),$D80/$E80,0))</f>
        <v>0</v>
      </c>
      <c r="AK80" s="276">
        <f>IF($C80+1&gt;AK$7,0,IF($D80&gt;SUM($G80:AJ80),$D80/$E80,0))</f>
        <v>0</v>
      </c>
      <c r="AL80" s="276">
        <f>IF($C80+1&gt;AL$7,0,IF($D80&gt;SUM($G80:AK80),$D80/$E80,0))</f>
        <v>0</v>
      </c>
      <c r="AM80" s="276">
        <f>IF($C80+1&gt;AM$7,0,IF($D80&gt;SUM($G80:AL80),$D80/$E80,0))</f>
        <v>0</v>
      </c>
      <c r="AN80" s="276">
        <f>IF($C80+1&gt;AN$7,0,IF($D80&gt;SUM($G80:AM80),$D80/$E80,0))</f>
        <v>0</v>
      </c>
      <c r="AO80" s="276">
        <f>IF($C80+1&gt;AO$7,0,IF($D80&gt;SUM($G80:AN80),$D80/$E80,0))</f>
        <v>0</v>
      </c>
      <c r="AP80" s="276">
        <f>IF($C80+1&gt;AP$7,0,IF($D80&gt;SUM($G80:AO80),$D80/$E80,0))</f>
        <v>0</v>
      </c>
      <c r="AQ80" s="276">
        <f>IF($C80+1&gt;AQ$7,0,IF($D80&gt;SUM($G80:AP80),$D80/$E80,0))</f>
        <v>0</v>
      </c>
      <c r="AR80" s="276">
        <f>IF($C80+1&gt;AR$7,0,IF($D80&gt;SUM($G80:AQ80),$D80/$E80,0))</f>
        <v>0</v>
      </c>
      <c r="AS80" s="276">
        <f>IF($C80+1&gt;AS$7,0,IF($D80&gt;SUM($G80:AR80),$D80/$E80,0))</f>
        <v>0</v>
      </c>
      <c r="AT80" s="276">
        <f>IF($C80+1&gt;AT$7,0,IF($D80&gt;SUM($G80:AS80),$D80/$E80,0))</f>
        <v>0</v>
      </c>
      <c r="AU80" s="276">
        <f ca="1">IF($C80+1&gt;AU$7,0,IF($D80&gt;SUM($G80:AT80),$D80/$E80,0))</f>
        <v>0</v>
      </c>
      <c r="AV80" s="276">
        <f ca="1">IF($C80+1&gt;AV$7,0,IF($D80&gt;SUM($G80:AU80),$D80/$E80,0))</f>
        <v>0</v>
      </c>
      <c r="AW80" s="276">
        <f ca="1">IF($C80+1&gt;AW$7,0,IF($D80&gt;SUM($G80:AV80),$D80/$E80,0))</f>
        <v>0</v>
      </c>
      <c r="AX80" s="276">
        <f ca="1">IF($C80+1&gt;AX$7,0,IF($D80&gt;SUM($G80:AW80),$D80/$E80,0))</f>
        <v>0</v>
      </c>
      <c r="AY80" s="276">
        <f ca="1">IF($C80+1&gt;AY$7,0,IF($D80&gt;SUM($G80:AX80),$D80/$E80,0))</f>
        <v>0</v>
      </c>
      <c r="AZ80" s="276">
        <f ca="1">IF($C80+1&gt;AZ$7,0,IF($D80&gt;SUM($G80:AY80),$D80/$E80,0))</f>
        <v>0</v>
      </c>
      <c r="BA80" s="276">
        <f ca="1">IF($C80+1&gt;BA$7,0,IF($D80&gt;SUM($G80:AZ80),$D80/$E80,0))</f>
        <v>0</v>
      </c>
      <c r="BB80" s="276">
        <f ca="1">IF($C80+1&gt;BB$7,0,IF($D80&gt;SUM($G80:BA80),$D80/$E80,0))</f>
        <v>0</v>
      </c>
      <c r="BC80" s="276">
        <f ca="1">IF($C80+1&gt;BC$7,0,IF($D80&gt;SUM($G80:BB80),$D80/$E80,0))</f>
        <v>0</v>
      </c>
      <c r="BD80" s="276">
        <f ca="1">IF($C80+1&gt;BD$7,0,IF($D80&gt;SUM($G80:BC80),$D80/$E80,0))</f>
        <v>0</v>
      </c>
      <c r="BE80" s="276">
        <f ca="1">IF($C80+1&gt;BE$7,0,IF($D80&gt;SUM($G80:BD80),$D80/$E80,0))</f>
        <v>0</v>
      </c>
      <c r="BF80" s="276">
        <f ca="1">IF($C80+1&gt;BF$7,0,IF($D80&gt;SUM($G80:BE80),$D80/$E80,0))</f>
        <v>0</v>
      </c>
      <c r="BG80" s="276">
        <f ca="1">IF($C80+1&gt;BG$7,0,IF($D80&gt;SUM($G80:BF80),$D80/$E80,0))</f>
        <v>0</v>
      </c>
      <c r="BH80" s="276">
        <f ca="1">IF($C80+1&gt;BH$7,0,IF($D80&gt;SUM($G80:BG80),$D80/$E80,0))</f>
        <v>0</v>
      </c>
      <c r="BI80" s="276">
        <f ca="1">IF($C80+1&gt;BI$7,0,IF($D80&gt;SUM($G80:BH80),$D80/$E80,0))</f>
        <v>0</v>
      </c>
      <c r="BJ80" s="276">
        <f ca="1">IF($C80+1&gt;BJ$7,0,IF($D80&gt;SUM($G80:BI80),$D80/$E80,0))</f>
        <v>0</v>
      </c>
      <c r="BK80" s="276">
        <f ca="1">IF($C80+1&gt;BK$7,0,IF($D80&gt;SUM($G80:BJ80),$D80/$E80,0))</f>
        <v>0</v>
      </c>
      <c r="BL80" s="276">
        <f ca="1">IF($C80+1&gt;BL$7,0,IF($D80&gt;SUM($G80:BK80),$D80/$E80,0))</f>
        <v>0</v>
      </c>
      <c r="BM80" s="276">
        <f ca="1">IF($C80+1&gt;BM$7,0,IF($D80&gt;SUM($G80:BL80),$D80/$E80,0))</f>
        <v>0</v>
      </c>
      <c r="BN80" s="276">
        <f ca="1">IF($C80+1&gt;BN$7,0,IF($D80&gt;SUM($G80:BM80),$D80/$E80,0))</f>
        <v>0</v>
      </c>
      <c r="BO80" s="276"/>
      <c r="BP80" s="276"/>
      <c r="BQ80" s="276"/>
      <c r="BR80" s="276"/>
      <c r="BS80" s="276"/>
      <c r="BT80" s="276"/>
      <c r="BU80" s="276"/>
      <c r="BV80" s="276"/>
      <c r="BW80" s="276"/>
      <c r="BX80" s="276"/>
      <c r="BY80" s="276"/>
      <c r="BZ80" s="276"/>
      <c r="CA80" s="254"/>
      <c r="CB80" s="254"/>
      <c r="CC80" s="254"/>
      <c r="CD80" s="254"/>
      <c r="CE80" s="254"/>
      <c r="CF80" s="254"/>
      <c r="CG80" s="254"/>
      <c r="CH80" s="254"/>
      <c r="CI80" s="254"/>
      <c r="CJ80" s="254"/>
      <c r="CK80" s="254"/>
      <c r="CL80" s="254"/>
    </row>
    <row r="81" spans="1:90" outlineLevel="1" x14ac:dyDescent="0.15">
      <c r="A81" s="272"/>
      <c r="B81" s="273"/>
      <c r="C81" s="275">
        <v>41</v>
      </c>
      <c r="D81" s="278">
        <f ca="1"/>
        <v>0</v>
      </c>
      <c r="E81" s="275">
        <f>SAP_Leadsheet!$E$50</f>
        <v>0</v>
      </c>
      <c r="F81" s="275"/>
      <c r="G81" s="276">
        <f>IF($C81+1&gt;G$7,0,IF($D81&gt;SUM(#REF!),$D81/$E81,0))</f>
        <v>0</v>
      </c>
      <c r="H81" s="276">
        <f>IF($C81+1&gt;H$7,0,IF($D81&gt;SUM($G81:G81),$D81/$E81,0))</f>
        <v>0</v>
      </c>
      <c r="I81" s="276">
        <f>IF($C81+1&gt;I$7,0,IF($D81&gt;SUM($G81:H81),$D81/$E81,0))</f>
        <v>0</v>
      </c>
      <c r="J81" s="276">
        <f>IF($C81+1&gt;J$7,0,IF($D81&gt;SUM($G81:I81),$D81/$E81,0))</f>
        <v>0</v>
      </c>
      <c r="K81" s="276">
        <f>IF($C81+1&gt;K$7,0,IF($D81&gt;SUM($G81:J81),$D81/$E81,0))</f>
        <v>0</v>
      </c>
      <c r="L81" s="276">
        <f>IF($C81+1&gt;L$7,0,IF($D81&gt;SUM($G81:K81),$D81/$E81,0))</f>
        <v>0</v>
      </c>
      <c r="M81" s="276">
        <f>IF($C81+1&gt;M$7,0,IF($D81&gt;SUM($G81:L81),$D81/$E81,0))</f>
        <v>0</v>
      </c>
      <c r="N81" s="276">
        <f>IF($C81+1&gt;N$7,0,IF($D81&gt;SUM($G81:M81),$D81/$E81,0))</f>
        <v>0</v>
      </c>
      <c r="O81" s="276">
        <f>IF($C81+1&gt;O$7,0,IF($D81&gt;SUM($G81:N81),$D81/$E81,0))</f>
        <v>0</v>
      </c>
      <c r="P81" s="276">
        <f>IF($C81+1&gt;P$7,0,IF($D81&gt;SUM($G81:O81),$D81/$E81,0))</f>
        <v>0</v>
      </c>
      <c r="Q81" s="276">
        <f>IF($C81+1&gt;Q$7,0,IF($D81&gt;SUM($G81:P81),$D81/$E81,0))</f>
        <v>0</v>
      </c>
      <c r="R81" s="276">
        <f>IF($C81+1&gt;R$7,0,IF($D81&gt;SUM($G81:Q81),$D81/$E81,0))</f>
        <v>0</v>
      </c>
      <c r="S81" s="276">
        <f>IF($C81+1&gt;S$7,0,IF($D81&gt;SUM($G81:R81),$D81/$E81,0))</f>
        <v>0</v>
      </c>
      <c r="T81" s="276">
        <f>IF($C81+1&gt;T$7,0,IF($D81&gt;SUM($G81:S81),$D81/$E81,0))</f>
        <v>0</v>
      </c>
      <c r="U81" s="276">
        <f>IF($C81+1&gt;U$7,0,IF($D81&gt;SUM($G81:T81),$D81/$E81,0))</f>
        <v>0</v>
      </c>
      <c r="V81" s="276">
        <f>IF($C81+1&gt;V$7,0,IF($D81&gt;SUM($G81:U81),$D81/$E81,0))</f>
        <v>0</v>
      </c>
      <c r="W81" s="276">
        <f>IF($C81+1&gt;W$7,0,IF($D81&gt;SUM($G81:V81),$D81/$E81,0))</f>
        <v>0</v>
      </c>
      <c r="X81" s="276">
        <f>IF($C81+1&gt;X$7,0,IF($D81&gt;SUM($G81:W81),$D81/$E81,0))</f>
        <v>0</v>
      </c>
      <c r="Y81" s="276">
        <f>IF($C81+1&gt;Y$7,0,IF($D81&gt;SUM($G81:X81),$D81/$E81,0))</f>
        <v>0</v>
      </c>
      <c r="Z81" s="276">
        <f>IF($C81+1&gt;Z$7,0,IF($D81&gt;SUM($G81:Y81),$D81/$E81,0))</f>
        <v>0</v>
      </c>
      <c r="AA81" s="276">
        <f>IF($C81+1&gt;AA$7,0,IF($D81&gt;SUM($G81:Z81),$D81/$E81,0))</f>
        <v>0</v>
      </c>
      <c r="AB81" s="276">
        <f>IF($C81+1&gt;AB$7,0,IF($D81&gt;SUM($G81:AA81),$D81/$E81,0))</f>
        <v>0</v>
      </c>
      <c r="AC81" s="276">
        <f>IF($C81+1&gt;AC$7,0,IF($D81&gt;SUM($G81:AB81),$D81/$E81,0))</f>
        <v>0</v>
      </c>
      <c r="AD81" s="276">
        <f>IF($C81+1&gt;AD$7,0,IF($D81&gt;SUM($G81:AC81),$D81/$E81,0))</f>
        <v>0</v>
      </c>
      <c r="AE81" s="276">
        <f>IF($C81+1&gt;AE$7,0,IF($D81&gt;SUM($G81:AD81),$D81/$E81,0))</f>
        <v>0</v>
      </c>
      <c r="AF81" s="276">
        <f>IF($C81+1&gt;AF$7,0,IF($D81&gt;SUM($G81:AE81),$D81/$E81,0))</f>
        <v>0</v>
      </c>
      <c r="AG81" s="276">
        <f>IF($C81+1&gt;AG$7,0,IF($D81&gt;SUM($G81:AF81),$D81/$E81,0))</f>
        <v>0</v>
      </c>
      <c r="AH81" s="276">
        <f>IF($C81+1&gt;AH$7,0,IF($D81&gt;SUM($G81:AG81),$D81/$E81,0))</f>
        <v>0</v>
      </c>
      <c r="AI81" s="276">
        <f>IF($C81+1&gt;AI$7,0,IF($D81&gt;SUM($G81:AH81),$D81/$E81,0))</f>
        <v>0</v>
      </c>
      <c r="AJ81" s="276">
        <f>IF($C81+1&gt;AJ$7,0,IF($D81&gt;SUM($G81:AI81),$D81/$E81,0))</f>
        <v>0</v>
      </c>
      <c r="AK81" s="276">
        <f>IF($C81+1&gt;AK$7,0,IF($D81&gt;SUM($G81:AJ81),$D81/$E81,0))</f>
        <v>0</v>
      </c>
      <c r="AL81" s="276">
        <f>IF($C81+1&gt;AL$7,0,IF($D81&gt;SUM($G81:AK81),$D81/$E81,0))</f>
        <v>0</v>
      </c>
      <c r="AM81" s="276">
        <f>IF($C81+1&gt;AM$7,0,IF($D81&gt;SUM($G81:AL81),$D81/$E81,0))</f>
        <v>0</v>
      </c>
      <c r="AN81" s="276">
        <f>IF($C81+1&gt;AN$7,0,IF($D81&gt;SUM($G81:AM81),$D81/$E81,0))</f>
        <v>0</v>
      </c>
      <c r="AO81" s="276">
        <f>IF($C81+1&gt;AO$7,0,IF($D81&gt;SUM($G81:AN81),$D81/$E81,0))</f>
        <v>0</v>
      </c>
      <c r="AP81" s="276">
        <f>IF($C81+1&gt;AP$7,0,IF($D81&gt;SUM($G81:AO81),$D81/$E81,0))</f>
        <v>0</v>
      </c>
      <c r="AQ81" s="276">
        <f>IF($C81+1&gt;AQ$7,0,IF($D81&gt;SUM($G81:AP81),$D81/$E81,0))</f>
        <v>0</v>
      </c>
      <c r="AR81" s="276">
        <f>IF($C81+1&gt;AR$7,0,IF($D81&gt;SUM($G81:AQ81),$D81/$E81,0))</f>
        <v>0</v>
      </c>
      <c r="AS81" s="276">
        <f>IF($C81+1&gt;AS$7,0,IF($D81&gt;SUM($G81:AR81),$D81/$E81,0))</f>
        <v>0</v>
      </c>
      <c r="AT81" s="276">
        <f>IF($C81+1&gt;AT$7,0,IF($D81&gt;SUM($G81:AS81),$D81/$E81,0))</f>
        <v>0</v>
      </c>
      <c r="AU81" s="276">
        <f>IF($C81+1&gt;AU$7,0,IF($D81&gt;SUM($G81:AT81),$D81/$E81,0))</f>
        <v>0</v>
      </c>
      <c r="AV81" s="276">
        <f ca="1">IF($C81+1&gt;AV$7,0,IF($D81&gt;SUM($G81:AU81),$D81/$E81,0))</f>
        <v>0</v>
      </c>
      <c r="AW81" s="276">
        <f ca="1">IF($C81+1&gt;AW$7,0,IF($D81&gt;SUM($G81:AV81),$D81/$E81,0))</f>
        <v>0</v>
      </c>
      <c r="AX81" s="276">
        <f ca="1">IF($C81+1&gt;AX$7,0,IF($D81&gt;SUM($G81:AW81),$D81/$E81,0))</f>
        <v>0</v>
      </c>
      <c r="AY81" s="276">
        <f ca="1">IF($C81+1&gt;AY$7,0,IF($D81&gt;SUM($G81:AX81),$D81/$E81,0))</f>
        <v>0</v>
      </c>
      <c r="AZ81" s="276">
        <f ca="1">IF($C81+1&gt;AZ$7,0,IF($D81&gt;SUM($G81:AY81),$D81/$E81,0))</f>
        <v>0</v>
      </c>
      <c r="BA81" s="276">
        <f ca="1">IF($C81+1&gt;BA$7,0,IF($D81&gt;SUM($G81:AZ81),$D81/$E81,0))</f>
        <v>0</v>
      </c>
      <c r="BB81" s="276">
        <f ca="1">IF($C81+1&gt;BB$7,0,IF($D81&gt;SUM($G81:BA81),$D81/$E81,0))</f>
        <v>0</v>
      </c>
      <c r="BC81" s="276">
        <f ca="1">IF($C81+1&gt;BC$7,0,IF($D81&gt;SUM($G81:BB81),$D81/$E81,0))</f>
        <v>0</v>
      </c>
      <c r="BD81" s="276">
        <f ca="1">IF($C81+1&gt;BD$7,0,IF($D81&gt;SUM($G81:BC81),$D81/$E81,0))</f>
        <v>0</v>
      </c>
      <c r="BE81" s="276">
        <f ca="1">IF($C81+1&gt;BE$7,0,IF($D81&gt;SUM($G81:BD81),$D81/$E81,0))</f>
        <v>0</v>
      </c>
      <c r="BF81" s="276">
        <f ca="1">IF($C81+1&gt;BF$7,0,IF($D81&gt;SUM($G81:BE81),$D81/$E81,0))</f>
        <v>0</v>
      </c>
      <c r="BG81" s="276">
        <f ca="1">IF($C81+1&gt;BG$7,0,IF($D81&gt;SUM($G81:BF81),$D81/$E81,0))</f>
        <v>0</v>
      </c>
      <c r="BH81" s="276">
        <f ca="1">IF($C81+1&gt;BH$7,0,IF($D81&gt;SUM($G81:BG81),$D81/$E81,0))</f>
        <v>0</v>
      </c>
      <c r="BI81" s="276">
        <f ca="1">IF($C81+1&gt;BI$7,0,IF($D81&gt;SUM($G81:BH81),$D81/$E81,0))</f>
        <v>0</v>
      </c>
      <c r="BJ81" s="276">
        <f ca="1">IF($C81+1&gt;BJ$7,0,IF($D81&gt;SUM($G81:BI81),$D81/$E81,0))</f>
        <v>0</v>
      </c>
      <c r="BK81" s="276">
        <f ca="1">IF($C81+1&gt;BK$7,0,IF($D81&gt;SUM($G81:BJ81),$D81/$E81,0))</f>
        <v>0</v>
      </c>
      <c r="BL81" s="276">
        <f ca="1">IF($C81+1&gt;BL$7,0,IF($D81&gt;SUM($G81:BK81),$D81/$E81,0))</f>
        <v>0</v>
      </c>
      <c r="BM81" s="276">
        <f ca="1">IF($C81+1&gt;BM$7,0,IF($D81&gt;SUM($G81:BL81),$D81/$E81,0))</f>
        <v>0</v>
      </c>
      <c r="BN81" s="276">
        <f ca="1">IF($C81+1&gt;BN$7,0,IF($D81&gt;SUM($G81:BM81),$D81/$E81,0))</f>
        <v>0</v>
      </c>
      <c r="BO81" s="276"/>
      <c r="BP81" s="276"/>
      <c r="BQ81" s="276"/>
      <c r="BR81" s="276"/>
      <c r="BS81" s="276"/>
      <c r="BT81" s="276"/>
      <c r="BU81" s="276"/>
      <c r="BV81" s="276"/>
      <c r="BW81" s="276"/>
      <c r="BX81" s="276"/>
      <c r="BY81" s="276"/>
      <c r="BZ81" s="276"/>
      <c r="CA81" s="254"/>
      <c r="CB81" s="254"/>
      <c r="CC81" s="254"/>
      <c r="CD81" s="254"/>
      <c r="CE81" s="254"/>
      <c r="CF81" s="254"/>
      <c r="CG81" s="254"/>
      <c r="CH81" s="254"/>
      <c r="CI81" s="254"/>
      <c r="CJ81" s="254"/>
      <c r="CK81" s="254"/>
      <c r="CL81" s="254"/>
    </row>
    <row r="82" spans="1:90" outlineLevel="1" x14ac:dyDescent="0.15">
      <c r="A82" s="272"/>
      <c r="B82" s="273"/>
      <c r="C82" s="275">
        <v>42</v>
      </c>
      <c r="D82" s="278">
        <f ca="1"/>
        <v>0</v>
      </c>
      <c r="E82" s="275">
        <f>SAP_Leadsheet!$E$50</f>
        <v>0</v>
      </c>
      <c r="F82" s="275"/>
      <c r="G82" s="276">
        <f>IF($C82+1&gt;G$7,0,IF($D82&gt;SUM(#REF!),$D82/$E82,0))</f>
        <v>0</v>
      </c>
      <c r="H82" s="276">
        <f>IF($C82+1&gt;H$7,0,IF($D82&gt;SUM($G82:G82),$D82/$E82,0))</f>
        <v>0</v>
      </c>
      <c r="I82" s="276">
        <f>IF($C82+1&gt;I$7,0,IF($D82&gt;SUM($G82:H82),$D82/$E82,0))</f>
        <v>0</v>
      </c>
      <c r="J82" s="276">
        <f>IF($C82+1&gt;J$7,0,IF($D82&gt;SUM($G82:I82),$D82/$E82,0))</f>
        <v>0</v>
      </c>
      <c r="K82" s="276">
        <f>IF($C82+1&gt;K$7,0,IF($D82&gt;SUM($G82:J82),$D82/$E82,0))</f>
        <v>0</v>
      </c>
      <c r="L82" s="276">
        <f>IF($C82+1&gt;L$7,0,IF($D82&gt;SUM($G82:K82),$D82/$E82,0))</f>
        <v>0</v>
      </c>
      <c r="M82" s="276">
        <f>IF($C82+1&gt;M$7,0,IF($D82&gt;SUM($G82:L82),$D82/$E82,0))</f>
        <v>0</v>
      </c>
      <c r="N82" s="276">
        <f>IF($C82+1&gt;N$7,0,IF($D82&gt;SUM($G82:M82),$D82/$E82,0))</f>
        <v>0</v>
      </c>
      <c r="O82" s="276">
        <f>IF($C82+1&gt;O$7,0,IF($D82&gt;SUM($G82:N82),$D82/$E82,0))</f>
        <v>0</v>
      </c>
      <c r="P82" s="276">
        <f>IF($C82+1&gt;P$7,0,IF($D82&gt;SUM($G82:O82),$D82/$E82,0))</f>
        <v>0</v>
      </c>
      <c r="Q82" s="276">
        <f>IF($C82+1&gt;Q$7,0,IF($D82&gt;SUM($G82:P82),$D82/$E82,0))</f>
        <v>0</v>
      </c>
      <c r="R82" s="276">
        <f>IF($C82+1&gt;R$7,0,IF($D82&gt;SUM($G82:Q82),$D82/$E82,0))</f>
        <v>0</v>
      </c>
      <c r="S82" s="276">
        <f>IF($C82+1&gt;S$7,0,IF($D82&gt;SUM($G82:R82),$D82/$E82,0))</f>
        <v>0</v>
      </c>
      <c r="T82" s="276">
        <f>IF($C82+1&gt;T$7,0,IF($D82&gt;SUM($G82:S82),$D82/$E82,0))</f>
        <v>0</v>
      </c>
      <c r="U82" s="276">
        <f>IF($C82+1&gt;U$7,0,IF($D82&gt;SUM($G82:T82),$D82/$E82,0))</f>
        <v>0</v>
      </c>
      <c r="V82" s="276">
        <f>IF($C82+1&gt;V$7,0,IF($D82&gt;SUM($G82:U82),$D82/$E82,0))</f>
        <v>0</v>
      </c>
      <c r="W82" s="276">
        <f>IF($C82+1&gt;W$7,0,IF($D82&gt;SUM($G82:V82),$D82/$E82,0))</f>
        <v>0</v>
      </c>
      <c r="X82" s="276">
        <f>IF($C82+1&gt;X$7,0,IF($D82&gt;SUM($G82:W82),$D82/$E82,0))</f>
        <v>0</v>
      </c>
      <c r="Y82" s="276">
        <f>IF($C82+1&gt;Y$7,0,IF($D82&gt;SUM($G82:X82),$D82/$E82,0))</f>
        <v>0</v>
      </c>
      <c r="Z82" s="276">
        <f>IF($C82+1&gt;Z$7,0,IF($D82&gt;SUM($G82:Y82),$D82/$E82,0))</f>
        <v>0</v>
      </c>
      <c r="AA82" s="276">
        <f>IF($C82+1&gt;AA$7,0,IF($D82&gt;SUM($G82:Z82),$D82/$E82,0))</f>
        <v>0</v>
      </c>
      <c r="AB82" s="276">
        <f>IF($C82+1&gt;AB$7,0,IF($D82&gt;SUM($G82:AA82),$D82/$E82,0))</f>
        <v>0</v>
      </c>
      <c r="AC82" s="276">
        <f>IF($C82+1&gt;AC$7,0,IF($D82&gt;SUM($G82:AB82),$D82/$E82,0))</f>
        <v>0</v>
      </c>
      <c r="AD82" s="276">
        <f>IF($C82+1&gt;AD$7,0,IF($D82&gt;SUM($G82:AC82),$D82/$E82,0))</f>
        <v>0</v>
      </c>
      <c r="AE82" s="276">
        <f>IF($C82+1&gt;AE$7,0,IF($D82&gt;SUM($G82:AD82),$D82/$E82,0))</f>
        <v>0</v>
      </c>
      <c r="AF82" s="276">
        <f>IF($C82+1&gt;AF$7,0,IF($D82&gt;SUM($G82:AE82),$D82/$E82,0))</f>
        <v>0</v>
      </c>
      <c r="AG82" s="276">
        <f>IF($C82+1&gt;AG$7,0,IF($D82&gt;SUM($G82:AF82),$D82/$E82,0))</f>
        <v>0</v>
      </c>
      <c r="AH82" s="276">
        <f>IF($C82+1&gt;AH$7,0,IF($D82&gt;SUM($G82:AG82),$D82/$E82,0))</f>
        <v>0</v>
      </c>
      <c r="AI82" s="276">
        <f>IF($C82+1&gt;AI$7,0,IF($D82&gt;SUM($G82:AH82),$D82/$E82,0))</f>
        <v>0</v>
      </c>
      <c r="AJ82" s="276">
        <f>IF($C82+1&gt;AJ$7,0,IF($D82&gt;SUM($G82:AI82),$D82/$E82,0))</f>
        <v>0</v>
      </c>
      <c r="AK82" s="276">
        <f>IF($C82+1&gt;AK$7,0,IF($D82&gt;SUM($G82:AJ82),$D82/$E82,0))</f>
        <v>0</v>
      </c>
      <c r="AL82" s="276">
        <f>IF($C82+1&gt;AL$7,0,IF($D82&gt;SUM($G82:AK82),$D82/$E82,0))</f>
        <v>0</v>
      </c>
      <c r="AM82" s="276">
        <f>IF($C82+1&gt;AM$7,0,IF($D82&gt;SUM($G82:AL82),$D82/$E82,0))</f>
        <v>0</v>
      </c>
      <c r="AN82" s="276">
        <f>IF($C82+1&gt;AN$7,0,IF($D82&gt;SUM($G82:AM82),$D82/$E82,0))</f>
        <v>0</v>
      </c>
      <c r="AO82" s="276">
        <f>IF($C82+1&gt;AO$7,0,IF($D82&gt;SUM($G82:AN82),$D82/$E82,0))</f>
        <v>0</v>
      </c>
      <c r="AP82" s="276">
        <f>IF($C82+1&gt;AP$7,0,IF($D82&gt;SUM($G82:AO82),$D82/$E82,0))</f>
        <v>0</v>
      </c>
      <c r="AQ82" s="276">
        <f>IF($C82+1&gt;AQ$7,0,IF($D82&gt;SUM($G82:AP82),$D82/$E82,0))</f>
        <v>0</v>
      </c>
      <c r="AR82" s="276">
        <f>IF($C82+1&gt;AR$7,0,IF($D82&gt;SUM($G82:AQ82),$D82/$E82,0))</f>
        <v>0</v>
      </c>
      <c r="AS82" s="276">
        <f>IF($C82+1&gt;AS$7,0,IF($D82&gt;SUM($G82:AR82),$D82/$E82,0))</f>
        <v>0</v>
      </c>
      <c r="AT82" s="276">
        <f>IF($C82+1&gt;AT$7,0,IF($D82&gt;SUM($G82:AS82),$D82/$E82,0))</f>
        <v>0</v>
      </c>
      <c r="AU82" s="276">
        <f>IF($C82+1&gt;AU$7,0,IF($D82&gt;SUM($G82:AT82),$D82/$E82,0))</f>
        <v>0</v>
      </c>
      <c r="AV82" s="276">
        <f>IF($C82+1&gt;AV$7,0,IF($D82&gt;SUM($G82:AU82),$D82/$E82,0))</f>
        <v>0</v>
      </c>
      <c r="AW82" s="276">
        <f ca="1">IF($C82+1&gt;AW$7,0,IF($D82&gt;SUM($G82:AV82),$D82/$E82,0))</f>
        <v>0</v>
      </c>
      <c r="AX82" s="276">
        <f ca="1">IF($C82+1&gt;AX$7,0,IF($D82&gt;SUM($G82:AW82),$D82/$E82,0))</f>
        <v>0</v>
      </c>
      <c r="AY82" s="276">
        <f ca="1">IF($C82+1&gt;AY$7,0,IF($D82&gt;SUM($G82:AX82),$D82/$E82,0))</f>
        <v>0</v>
      </c>
      <c r="AZ82" s="276">
        <f ca="1">IF($C82+1&gt;AZ$7,0,IF($D82&gt;SUM($G82:AY82),$D82/$E82,0))</f>
        <v>0</v>
      </c>
      <c r="BA82" s="276">
        <f ca="1">IF($C82+1&gt;BA$7,0,IF($D82&gt;SUM($G82:AZ82),$D82/$E82,0))</f>
        <v>0</v>
      </c>
      <c r="BB82" s="276">
        <f ca="1">IF($C82+1&gt;BB$7,0,IF($D82&gt;SUM($G82:BA82),$D82/$E82,0))</f>
        <v>0</v>
      </c>
      <c r="BC82" s="276">
        <f ca="1">IF($C82+1&gt;BC$7,0,IF($D82&gt;SUM($G82:BB82),$D82/$E82,0))</f>
        <v>0</v>
      </c>
      <c r="BD82" s="276">
        <f ca="1">IF($C82+1&gt;BD$7,0,IF($D82&gt;SUM($G82:BC82),$D82/$E82,0))</f>
        <v>0</v>
      </c>
      <c r="BE82" s="276">
        <f ca="1">IF($C82+1&gt;BE$7,0,IF($D82&gt;SUM($G82:BD82),$D82/$E82,0))</f>
        <v>0</v>
      </c>
      <c r="BF82" s="276">
        <f ca="1">IF($C82+1&gt;BF$7,0,IF($D82&gt;SUM($G82:BE82),$D82/$E82,0))</f>
        <v>0</v>
      </c>
      <c r="BG82" s="276">
        <f ca="1">IF($C82+1&gt;BG$7,0,IF($D82&gt;SUM($G82:BF82),$D82/$E82,0))</f>
        <v>0</v>
      </c>
      <c r="BH82" s="276">
        <f ca="1">IF($C82+1&gt;BH$7,0,IF($D82&gt;SUM($G82:BG82),$D82/$E82,0))</f>
        <v>0</v>
      </c>
      <c r="BI82" s="276">
        <f ca="1">IF($C82+1&gt;BI$7,0,IF($D82&gt;SUM($G82:BH82),$D82/$E82,0))</f>
        <v>0</v>
      </c>
      <c r="BJ82" s="276">
        <f ca="1">IF($C82+1&gt;BJ$7,0,IF($D82&gt;SUM($G82:BI82),$D82/$E82,0))</f>
        <v>0</v>
      </c>
      <c r="BK82" s="276">
        <f ca="1">IF($C82+1&gt;BK$7,0,IF($D82&gt;SUM($G82:BJ82),$D82/$E82,0))</f>
        <v>0</v>
      </c>
      <c r="BL82" s="276">
        <f ca="1">IF($C82+1&gt;BL$7,0,IF($D82&gt;SUM($G82:BK82),$D82/$E82,0))</f>
        <v>0</v>
      </c>
      <c r="BM82" s="276">
        <f ca="1">IF($C82+1&gt;BM$7,0,IF($D82&gt;SUM($G82:BL82),$D82/$E82,0))</f>
        <v>0</v>
      </c>
      <c r="BN82" s="276">
        <f ca="1">IF($C82+1&gt;BN$7,0,IF($D82&gt;SUM($G82:BM82),$D82/$E82,0))</f>
        <v>0</v>
      </c>
      <c r="BO82" s="276"/>
      <c r="BP82" s="276"/>
      <c r="BQ82" s="276"/>
      <c r="BR82" s="276"/>
      <c r="BS82" s="276"/>
      <c r="BT82" s="276"/>
      <c r="BU82" s="276"/>
      <c r="BV82" s="276"/>
      <c r="BW82" s="276"/>
      <c r="BX82" s="276"/>
      <c r="BY82" s="276"/>
      <c r="BZ82" s="276"/>
      <c r="CA82" s="254"/>
      <c r="CB82" s="254"/>
      <c r="CC82" s="254"/>
      <c r="CD82" s="254"/>
      <c r="CE82" s="254"/>
      <c r="CF82" s="254"/>
      <c r="CG82" s="254"/>
      <c r="CH82" s="254"/>
      <c r="CI82" s="254"/>
      <c r="CJ82" s="254"/>
      <c r="CK82" s="254"/>
      <c r="CL82" s="254"/>
    </row>
    <row r="83" spans="1:90" outlineLevel="1" x14ac:dyDescent="0.15">
      <c r="A83" s="272"/>
      <c r="B83" s="273"/>
      <c r="C83" s="275">
        <v>43</v>
      </c>
      <c r="D83" s="278">
        <f ca="1"/>
        <v>0</v>
      </c>
      <c r="E83" s="275">
        <f>SAP_Leadsheet!$E$50</f>
        <v>0</v>
      </c>
      <c r="F83" s="275"/>
      <c r="G83" s="276">
        <f>IF($C83+1&gt;G$7,0,IF($D83&gt;SUM(#REF!),$D83/$E83,0))</f>
        <v>0</v>
      </c>
      <c r="H83" s="276">
        <f>IF($C83+1&gt;H$7,0,IF($D83&gt;SUM($G83:G83),$D83/$E83,0))</f>
        <v>0</v>
      </c>
      <c r="I83" s="276">
        <f>IF($C83+1&gt;I$7,0,IF($D83&gt;SUM($G83:H83),$D83/$E83,0))</f>
        <v>0</v>
      </c>
      <c r="J83" s="276">
        <f>IF($C83+1&gt;J$7,0,IF($D83&gt;SUM($G83:I83),$D83/$E83,0))</f>
        <v>0</v>
      </c>
      <c r="K83" s="276">
        <f>IF($C83+1&gt;K$7,0,IF($D83&gt;SUM($G83:J83),$D83/$E83,0))</f>
        <v>0</v>
      </c>
      <c r="L83" s="276">
        <f>IF($C83+1&gt;L$7,0,IF($D83&gt;SUM($G83:K83),$D83/$E83,0))</f>
        <v>0</v>
      </c>
      <c r="M83" s="276">
        <f>IF($C83+1&gt;M$7,0,IF($D83&gt;SUM($G83:L83),$D83/$E83,0))</f>
        <v>0</v>
      </c>
      <c r="N83" s="276">
        <f>IF($C83+1&gt;N$7,0,IF($D83&gt;SUM($G83:M83),$D83/$E83,0))</f>
        <v>0</v>
      </c>
      <c r="O83" s="276">
        <f>IF($C83+1&gt;O$7,0,IF($D83&gt;SUM($G83:N83),$D83/$E83,0))</f>
        <v>0</v>
      </c>
      <c r="P83" s="276">
        <f>IF($C83+1&gt;P$7,0,IF($D83&gt;SUM($G83:O83),$D83/$E83,0))</f>
        <v>0</v>
      </c>
      <c r="Q83" s="276">
        <f>IF($C83+1&gt;Q$7,0,IF($D83&gt;SUM($G83:P83),$D83/$E83,0))</f>
        <v>0</v>
      </c>
      <c r="R83" s="276">
        <f>IF($C83+1&gt;R$7,0,IF($D83&gt;SUM($G83:Q83),$D83/$E83,0))</f>
        <v>0</v>
      </c>
      <c r="S83" s="276">
        <f>IF($C83+1&gt;S$7,0,IF($D83&gt;SUM($G83:R83),$D83/$E83,0))</f>
        <v>0</v>
      </c>
      <c r="T83" s="276">
        <f>IF($C83+1&gt;T$7,0,IF($D83&gt;SUM($G83:S83),$D83/$E83,0))</f>
        <v>0</v>
      </c>
      <c r="U83" s="276">
        <f>IF($C83+1&gt;U$7,0,IF($D83&gt;SUM($G83:T83),$D83/$E83,0))</f>
        <v>0</v>
      </c>
      <c r="V83" s="276">
        <f>IF($C83+1&gt;V$7,0,IF($D83&gt;SUM($G83:U83),$D83/$E83,0))</f>
        <v>0</v>
      </c>
      <c r="W83" s="276">
        <f>IF($C83+1&gt;W$7,0,IF($D83&gt;SUM($G83:V83),$D83/$E83,0))</f>
        <v>0</v>
      </c>
      <c r="X83" s="276">
        <f>IF($C83+1&gt;X$7,0,IF($D83&gt;SUM($G83:W83),$D83/$E83,0))</f>
        <v>0</v>
      </c>
      <c r="Y83" s="276">
        <f>IF($C83+1&gt;Y$7,0,IF($D83&gt;SUM($G83:X83),$D83/$E83,0))</f>
        <v>0</v>
      </c>
      <c r="Z83" s="276">
        <f>IF($C83+1&gt;Z$7,0,IF($D83&gt;SUM($G83:Y83),$D83/$E83,0))</f>
        <v>0</v>
      </c>
      <c r="AA83" s="276">
        <f>IF($C83+1&gt;AA$7,0,IF($D83&gt;SUM($G83:Z83),$D83/$E83,0))</f>
        <v>0</v>
      </c>
      <c r="AB83" s="276">
        <f>IF($C83+1&gt;AB$7,0,IF($D83&gt;SUM($G83:AA83),$D83/$E83,0))</f>
        <v>0</v>
      </c>
      <c r="AC83" s="276">
        <f>IF($C83+1&gt;AC$7,0,IF($D83&gt;SUM($G83:AB83),$D83/$E83,0))</f>
        <v>0</v>
      </c>
      <c r="AD83" s="276">
        <f>IF($C83+1&gt;AD$7,0,IF($D83&gt;SUM($G83:AC83),$D83/$E83,0))</f>
        <v>0</v>
      </c>
      <c r="AE83" s="276">
        <f>IF($C83+1&gt;AE$7,0,IF($D83&gt;SUM($G83:AD83),$D83/$E83,0))</f>
        <v>0</v>
      </c>
      <c r="AF83" s="276">
        <f>IF($C83+1&gt;AF$7,0,IF($D83&gt;SUM($G83:AE83),$D83/$E83,0))</f>
        <v>0</v>
      </c>
      <c r="AG83" s="276">
        <f>IF($C83+1&gt;AG$7,0,IF($D83&gt;SUM($G83:AF83),$D83/$E83,0))</f>
        <v>0</v>
      </c>
      <c r="AH83" s="276">
        <f>IF($C83+1&gt;AH$7,0,IF($D83&gt;SUM($G83:AG83),$D83/$E83,0))</f>
        <v>0</v>
      </c>
      <c r="AI83" s="276">
        <f>IF($C83+1&gt;AI$7,0,IF($D83&gt;SUM($G83:AH83),$D83/$E83,0))</f>
        <v>0</v>
      </c>
      <c r="AJ83" s="276">
        <f>IF($C83+1&gt;AJ$7,0,IF($D83&gt;SUM($G83:AI83),$D83/$E83,0))</f>
        <v>0</v>
      </c>
      <c r="AK83" s="276">
        <f>IF($C83+1&gt;AK$7,0,IF($D83&gt;SUM($G83:AJ83),$D83/$E83,0))</f>
        <v>0</v>
      </c>
      <c r="AL83" s="276">
        <f>IF($C83+1&gt;AL$7,0,IF($D83&gt;SUM($G83:AK83),$D83/$E83,0))</f>
        <v>0</v>
      </c>
      <c r="AM83" s="276">
        <f>IF($C83+1&gt;AM$7,0,IF($D83&gt;SUM($G83:AL83),$D83/$E83,0))</f>
        <v>0</v>
      </c>
      <c r="AN83" s="276">
        <f>IF($C83+1&gt;AN$7,0,IF($D83&gt;SUM($G83:AM83),$D83/$E83,0))</f>
        <v>0</v>
      </c>
      <c r="AO83" s="276">
        <f>IF($C83+1&gt;AO$7,0,IF($D83&gt;SUM($G83:AN83),$D83/$E83,0))</f>
        <v>0</v>
      </c>
      <c r="AP83" s="276">
        <f>IF($C83+1&gt;AP$7,0,IF($D83&gt;SUM($G83:AO83),$D83/$E83,0))</f>
        <v>0</v>
      </c>
      <c r="AQ83" s="276">
        <f>IF($C83+1&gt;AQ$7,0,IF($D83&gt;SUM($G83:AP83),$D83/$E83,0))</f>
        <v>0</v>
      </c>
      <c r="AR83" s="276">
        <f>IF($C83+1&gt;AR$7,0,IF($D83&gt;SUM($G83:AQ83),$D83/$E83,0))</f>
        <v>0</v>
      </c>
      <c r="AS83" s="276">
        <f>IF($C83+1&gt;AS$7,0,IF($D83&gt;SUM($G83:AR83),$D83/$E83,0))</f>
        <v>0</v>
      </c>
      <c r="AT83" s="276">
        <f>IF($C83+1&gt;AT$7,0,IF($D83&gt;SUM($G83:AS83),$D83/$E83,0))</f>
        <v>0</v>
      </c>
      <c r="AU83" s="276">
        <f>IF($C83+1&gt;AU$7,0,IF($D83&gt;SUM($G83:AT83),$D83/$E83,0))</f>
        <v>0</v>
      </c>
      <c r="AV83" s="276">
        <f>IF($C83+1&gt;AV$7,0,IF($D83&gt;SUM($G83:AU83),$D83/$E83,0))</f>
        <v>0</v>
      </c>
      <c r="AW83" s="276">
        <f>IF($C83+1&gt;AW$7,0,IF($D83&gt;SUM($G83:AV83),$D83/$E83,0))</f>
        <v>0</v>
      </c>
      <c r="AX83" s="276">
        <f ca="1">IF($C83+1&gt;AX$7,0,IF($D83&gt;SUM($G83:AW83),$D83/$E83,0))</f>
        <v>0</v>
      </c>
      <c r="AY83" s="276">
        <f ca="1">IF($C83+1&gt;AY$7,0,IF($D83&gt;SUM($G83:AX83),$D83/$E83,0))</f>
        <v>0</v>
      </c>
      <c r="AZ83" s="276">
        <f ca="1">IF($C83+1&gt;AZ$7,0,IF($D83&gt;SUM($G83:AY83),$D83/$E83,0))</f>
        <v>0</v>
      </c>
      <c r="BA83" s="276">
        <f ca="1">IF($C83+1&gt;BA$7,0,IF($D83&gt;SUM($G83:AZ83),$D83/$E83,0))</f>
        <v>0</v>
      </c>
      <c r="BB83" s="276">
        <f ca="1">IF($C83+1&gt;BB$7,0,IF($D83&gt;SUM($G83:BA83),$D83/$E83,0))</f>
        <v>0</v>
      </c>
      <c r="BC83" s="276">
        <f ca="1">IF($C83+1&gt;BC$7,0,IF($D83&gt;SUM($G83:BB83),$D83/$E83,0))</f>
        <v>0</v>
      </c>
      <c r="BD83" s="276">
        <f ca="1">IF($C83+1&gt;BD$7,0,IF($D83&gt;SUM($G83:BC83),$D83/$E83,0))</f>
        <v>0</v>
      </c>
      <c r="BE83" s="276">
        <f ca="1">IF($C83+1&gt;BE$7,0,IF($D83&gt;SUM($G83:BD83),$D83/$E83,0))</f>
        <v>0</v>
      </c>
      <c r="BF83" s="276">
        <f ca="1">IF($C83+1&gt;BF$7,0,IF($D83&gt;SUM($G83:BE83),$D83/$E83,0))</f>
        <v>0</v>
      </c>
      <c r="BG83" s="276">
        <f ca="1">IF($C83+1&gt;BG$7,0,IF($D83&gt;SUM($G83:BF83),$D83/$E83,0))</f>
        <v>0</v>
      </c>
      <c r="BH83" s="276">
        <f ca="1">IF($C83+1&gt;BH$7,0,IF($D83&gt;SUM($G83:BG83),$D83/$E83,0))</f>
        <v>0</v>
      </c>
      <c r="BI83" s="276">
        <f ca="1">IF($C83+1&gt;BI$7,0,IF($D83&gt;SUM($G83:BH83),$D83/$E83,0))</f>
        <v>0</v>
      </c>
      <c r="BJ83" s="276">
        <f ca="1">IF($C83+1&gt;BJ$7,0,IF($D83&gt;SUM($G83:BI83),$D83/$E83,0))</f>
        <v>0</v>
      </c>
      <c r="BK83" s="276">
        <f ca="1">IF($C83+1&gt;BK$7,0,IF($D83&gt;SUM($G83:BJ83),$D83/$E83,0))</f>
        <v>0</v>
      </c>
      <c r="BL83" s="276">
        <f ca="1">IF($C83+1&gt;BL$7,0,IF($D83&gt;SUM($G83:BK83),$D83/$E83,0))</f>
        <v>0</v>
      </c>
      <c r="BM83" s="276">
        <f ca="1">IF($C83+1&gt;BM$7,0,IF($D83&gt;SUM($G83:BL83),$D83/$E83,0))</f>
        <v>0</v>
      </c>
      <c r="BN83" s="276">
        <f ca="1">IF($C83+1&gt;BN$7,0,IF($D83&gt;SUM($G83:BM83),$D83/$E83,0))</f>
        <v>0</v>
      </c>
      <c r="BO83" s="276"/>
      <c r="BP83" s="276"/>
      <c r="BQ83" s="276"/>
      <c r="BR83" s="276"/>
      <c r="BS83" s="276"/>
      <c r="BT83" s="276"/>
      <c r="BU83" s="276"/>
      <c r="BV83" s="276"/>
      <c r="BW83" s="276"/>
      <c r="BX83" s="276"/>
      <c r="BY83" s="276"/>
      <c r="BZ83" s="276"/>
      <c r="CA83" s="254"/>
      <c r="CB83" s="254"/>
      <c r="CC83" s="254"/>
      <c r="CD83" s="254"/>
      <c r="CE83" s="254"/>
      <c r="CF83" s="254"/>
      <c r="CG83" s="254"/>
      <c r="CH83" s="254"/>
      <c r="CI83" s="254"/>
      <c r="CJ83" s="254"/>
      <c r="CK83" s="254"/>
      <c r="CL83" s="254"/>
    </row>
    <row r="84" spans="1:90" outlineLevel="1" x14ac:dyDescent="0.15">
      <c r="A84" s="272"/>
      <c r="B84" s="273"/>
      <c r="C84" s="275">
        <v>44</v>
      </c>
      <c r="D84" s="278">
        <f ca="1"/>
        <v>0</v>
      </c>
      <c r="E84" s="275">
        <f>SAP_Leadsheet!$E$50</f>
        <v>0</v>
      </c>
      <c r="F84" s="275"/>
      <c r="G84" s="276">
        <f>IF($C84+1&gt;G$7,0,IF($D84&gt;SUM(#REF!),$D84/$E84,0))</f>
        <v>0</v>
      </c>
      <c r="H84" s="276">
        <f>IF($C84+1&gt;H$7,0,IF($D84&gt;SUM($G84:G84),$D84/$E84,0))</f>
        <v>0</v>
      </c>
      <c r="I84" s="276">
        <f>IF($C84+1&gt;I$7,0,IF($D84&gt;SUM($G84:H84),$D84/$E84,0))</f>
        <v>0</v>
      </c>
      <c r="J84" s="276">
        <f>IF($C84+1&gt;J$7,0,IF($D84&gt;SUM($G84:I84),$D84/$E84,0))</f>
        <v>0</v>
      </c>
      <c r="K84" s="276">
        <f>IF($C84+1&gt;K$7,0,IF($D84&gt;SUM($G84:J84),$D84/$E84,0))</f>
        <v>0</v>
      </c>
      <c r="L84" s="276">
        <f>IF($C84+1&gt;L$7,0,IF($D84&gt;SUM($G84:K84),$D84/$E84,0))</f>
        <v>0</v>
      </c>
      <c r="M84" s="276">
        <f>IF($C84+1&gt;M$7,0,IF($D84&gt;SUM($G84:L84),$D84/$E84,0))</f>
        <v>0</v>
      </c>
      <c r="N84" s="276">
        <f>IF($C84+1&gt;N$7,0,IF($D84&gt;SUM($G84:M84),$D84/$E84,0))</f>
        <v>0</v>
      </c>
      <c r="O84" s="276">
        <f>IF($C84+1&gt;O$7,0,IF($D84&gt;SUM($G84:N84),$D84/$E84,0))</f>
        <v>0</v>
      </c>
      <c r="P84" s="276">
        <f>IF($C84+1&gt;P$7,0,IF($D84&gt;SUM($G84:O84),$D84/$E84,0))</f>
        <v>0</v>
      </c>
      <c r="Q84" s="276">
        <f>IF($C84+1&gt;Q$7,0,IF($D84&gt;SUM($G84:P84),$D84/$E84,0))</f>
        <v>0</v>
      </c>
      <c r="R84" s="276">
        <f>IF($C84+1&gt;R$7,0,IF($D84&gt;SUM($G84:Q84),$D84/$E84,0))</f>
        <v>0</v>
      </c>
      <c r="S84" s="276">
        <f>IF($C84+1&gt;S$7,0,IF($D84&gt;SUM($G84:R84),$D84/$E84,0))</f>
        <v>0</v>
      </c>
      <c r="T84" s="276">
        <f>IF($C84+1&gt;T$7,0,IF($D84&gt;SUM($G84:S84),$D84/$E84,0))</f>
        <v>0</v>
      </c>
      <c r="U84" s="276">
        <f>IF($C84+1&gt;U$7,0,IF($D84&gt;SUM($G84:T84),$D84/$E84,0))</f>
        <v>0</v>
      </c>
      <c r="V84" s="276">
        <f>IF($C84+1&gt;V$7,0,IF($D84&gt;SUM($G84:U84),$D84/$E84,0))</f>
        <v>0</v>
      </c>
      <c r="W84" s="276">
        <f>IF($C84+1&gt;W$7,0,IF($D84&gt;SUM($G84:V84),$D84/$E84,0))</f>
        <v>0</v>
      </c>
      <c r="X84" s="276">
        <f>IF($C84+1&gt;X$7,0,IF($D84&gt;SUM($G84:W84),$D84/$E84,0))</f>
        <v>0</v>
      </c>
      <c r="Y84" s="276">
        <f>IF($C84+1&gt;Y$7,0,IF($D84&gt;SUM($G84:X84),$D84/$E84,0))</f>
        <v>0</v>
      </c>
      <c r="Z84" s="276">
        <f>IF($C84+1&gt;Z$7,0,IF($D84&gt;SUM($G84:Y84),$D84/$E84,0))</f>
        <v>0</v>
      </c>
      <c r="AA84" s="276">
        <f>IF($C84+1&gt;AA$7,0,IF($D84&gt;SUM($G84:Z84),$D84/$E84,0))</f>
        <v>0</v>
      </c>
      <c r="AB84" s="276">
        <f>IF($C84+1&gt;AB$7,0,IF($D84&gt;SUM($G84:AA84),$D84/$E84,0))</f>
        <v>0</v>
      </c>
      <c r="AC84" s="276">
        <f>IF($C84+1&gt;AC$7,0,IF($D84&gt;SUM($G84:AB84),$D84/$E84,0))</f>
        <v>0</v>
      </c>
      <c r="AD84" s="276">
        <f>IF($C84+1&gt;AD$7,0,IF($D84&gt;SUM($G84:AC84),$D84/$E84,0))</f>
        <v>0</v>
      </c>
      <c r="AE84" s="276">
        <f>IF($C84+1&gt;AE$7,0,IF($D84&gt;SUM($G84:AD84),$D84/$E84,0))</f>
        <v>0</v>
      </c>
      <c r="AF84" s="276">
        <f>IF($C84+1&gt;AF$7,0,IF($D84&gt;SUM($G84:AE84),$D84/$E84,0))</f>
        <v>0</v>
      </c>
      <c r="AG84" s="276">
        <f>IF($C84+1&gt;AG$7,0,IF($D84&gt;SUM($G84:AF84),$D84/$E84,0))</f>
        <v>0</v>
      </c>
      <c r="AH84" s="276">
        <f>IF($C84+1&gt;AH$7,0,IF($D84&gt;SUM($G84:AG84),$D84/$E84,0))</f>
        <v>0</v>
      </c>
      <c r="AI84" s="276">
        <f>IF($C84+1&gt;AI$7,0,IF($D84&gt;SUM($G84:AH84),$D84/$E84,0))</f>
        <v>0</v>
      </c>
      <c r="AJ84" s="276">
        <f>IF($C84+1&gt;AJ$7,0,IF($D84&gt;SUM($G84:AI84),$D84/$E84,0))</f>
        <v>0</v>
      </c>
      <c r="AK84" s="276">
        <f>IF($C84+1&gt;AK$7,0,IF($D84&gt;SUM($G84:AJ84),$D84/$E84,0))</f>
        <v>0</v>
      </c>
      <c r="AL84" s="276">
        <f>IF($C84+1&gt;AL$7,0,IF($D84&gt;SUM($G84:AK84),$D84/$E84,0))</f>
        <v>0</v>
      </c>
      <c r="AM84" s="276">
        <f>IF($C84+1&gt;AM$7,0,IF($D84&gt;SUM($G84:AL84),$D84/$E84,0))</f>
        <v>0</v>
      </c>
      <c r="AN84" s="276">
        <f>IF($C84+1&gt;AN$7,0,IF($D84&gt;SUM($G84:AM84),$D84/$E84,0))</f>
        <v>0</v>
      </c>
      <c r="AO84" s="276">
        <f>IF($C84+1&gt;AO$7,0,IF($D84&gt;SUM($G84:AN84),$D84/$E84,0))</f>
        <v>0</v>
      </c>
      <c r="AP84" s="276">
        <f>IF($C84+1&gt;AP$7,0,IF($D84&gt;SUM($G84:AO84),$D84/$E84,0))</f>
        <v>0</v>
      </c>
      <c r="AQ84" s="276">
        <f>IF($C84+1&gt;AQ$7,0,IF($D84&gt;SUM($G84:AP84),$D84/$E84,0))</f>
        <v>0</v>
      </c>
      <c r="AR84" s="276">
        <f>IF($C84+1&gt;AR$7,0,IF($D84&gt;SUM($G84:AQ84),$D84/$E84,0))</f>
        <v>0</v>
      </c>
      <c r="AS84" s="276">
        <f>IF($C84+1&gt;AS$7,0,IF($D84&gt;SUM($G84:AR84),$D84/$E84,0))</f>
        <v>0</v>
      </c>
      <c r="AT84" s="276">
        <f>IF($C84+1&gt;AT$7,0,IF($D84&gt;SUM($G84:AS84),$D84/$E84,0))</f>
        <v>0</v>
      </c>
      <c r="AU84" s="276">
        <f>IF($C84+1&gt;AU$7,0,IF($D84&gt;SUM($G84:AT84),$D84/$E84,0))</f>
        <v>0</v>
      </c>
      <c r="AV84" s="276">
        <f>IF($C84+1&gt;AV$7,0,IF($D84&gt;SUM($G84:AU84),$D84/$E84,0))</f>
        <v>0</v>
      </c>
      <c r="AW84" s="276">
        <f>IF($C84+1&gt;AW$7,0,IF($D84&gt;SUM($G84:AV84),$D84/$E84,0))</f>
        <v>0</v>
      </c>
      <c r="AX84" s="276">
        <f>IF($C84+1&gt;AX$7,0,IF($D84&gt;SUM($G84:AW84),$D84/$E84,0))</f>
        <v>0</v>
      </c>
      <c r="AY84" s="276">
        <f ca="1">IF($C84+1&gt;AY$7,0,IF($D84&gt;SUM($G84:AX84),$D84/$E84,0))</f>
        <v>0</v>
      </c>
      <c r="AZ84" s="276">
        <f ca="1">IF($C84+1&gt;AZ$7,0,IF($D84&gt;SUM($G84:AY84),$D84/$E84,0))</f>
        <v>0</v>
      </c>
      <c r="BA84" s="276">
        <f ca="1">IF($C84+1&gt;BA$7,0,IF($D84&gt;SUM($G84:AZ84),$D84/$E84,0))</f>
        <v>0</v>
      </c>
      <c r="BB84" s="276">
        <f ca="1">IF($C84+1&gt;BB$7,0,IF($D84&gt;SUM($G84:BA84),$D84/$E84,0))</f>
        <v>0</v>
      </c>
      <c r="BC84" s="276">
        <f ca="1">IF($C84+1&gt;BC$7,0,IF($D84&gt;SUM($G84:BB84),$D84/$E84,0))</f>
        <v>0</v>
      </c>
      <c r="BD84" s="276">
        <f ca="1">IF($C84+1&gt;BD$7,0,IF($D84&gt;SUM($G84:BC84),$D84/$E84,0))</f>
        <v>0</v>
      </c>
      <c r="BE84" s="276">
        <f ca="1">IF($C84+1&gt;BE$7,0,IF($D84&gt;SUM($G84:BD84),$D84/$E84,0))</f>
        <v>0</v>
      </c>
      <c r="BF84" s="276">
        <f ca="1">IF($C84+1&gt;BF$7,0,IF($D84&gt;SUM($G84:BE84),$D84/$E84,0))</f>
        <v>0</v>
      </c>
      <c r="BG84" s="276">
        <f ca="1">IF($C84+1&gt;BG$7,0,IF($D84&gt;SUM($G84:BF84),$D84/$E84,0))</f>
        <v>0</v>
      </c>
      <c r="BH84" s="276">
        <f ca="1">IF($C84+1&gt;BH$7,0,IF($D84&gt;SUM($G84:BG84),$D84/$E84,0))</f>
        <v>0</v>
      </c>
      <c r="BI84" s="276">
        <f ca="1">IF($C84+1&gt;BI$7,0,IF($D84&gt;SUM($G84:BH84),$D84/$E84,0))</f>
        <v>0</v>
      </c>
      <c r="BJ84" s="276">
        <f ca="1">IF($C84+1&gt;BJ$7,0,IF($D84&gt;SUM($G84:BI84),$D84/$E84,0))</f>
        <v>0</v>
      </c>
      <c r="BK84" s="276">
        <f ca="1">IF($C84+1&gt;BK$7,0,IF($D84&gt;SUM($G84:BJ84),$D84/$E84,0))</f>
        <v>0</v>
      </c>
      <c r="BL84" s="276">
        <f ca="1">IF($C84+1&gt;BL$7,0,IF($D84&gt;SUM($G84:BK84),$D84/$E84,0))</f>
        <v>0</v>
      </c>
      <c r="BM84" s="276">
        <f ca="1">IF($C84+1&gt;BM$7,0,IF($D84&gt;SUM($G84:BL84),$D84/$E84,0))</f>
        <v>0</v>
      </c>
      <c r="BN84" s="276">
        <f ca="1">IF($C84+1&gt;BN$7,0,IF($D84&gt;SUM($G84:BM84),$D84/$E84,0))</f>
        <v>0</v>
      </c>
      <c r="BO84" s="276"/>
      <c r="BP84" s="276"/>
      <c r="BQ84" s="276"/>
      <c r="BR84" s="276"/>
      <c r="BS84" s="276"/>
      <c r="BT84" s="276"/>
      <c r="BU84" s="276"/>
      <c r="BV84" s="276"/>
      <c r="BW84" s="276"/>
      <c r="BX84" s="276"/>
      <c r="BY84" s="276"/>
      <c r="BZ84" s="276"/>
      <c r="CA84" s="254"/>
      <c r="CB84" s="254"/>
      <c r="CC84" s="254"/>
      <c r="CD84" s="254"/>
      <c r="CE84" s="254"/>
      <c r="CF84" s="254"/>
      <c r="CG84" s="254"/>
      <c r="CH84" s="254"/>
      <c r="CI84" s="254"/>
      <c r="CJ84" s="254"/>
      <c r="CK84" s="254"/>
      <c r="CL84" s="254"/>
    </row>
    <row r="85" spans="1:90" outlineLevel="1" x14ac:dyDescent="0.15">
      <c r="A85" s="272"/>
      <c r="B85" s="273"/>
      <c r="C85" s="275">
        <v>45</v>
      </c>
      <c r="D85" s="278">
        <f ca="1"/>
        <v>0</v>
      </c>
      <c r="E85" s="275">
        <f>SAP_Leadsheet!$E$50</f>
        <v>0</v>
      </c>
      <c r="F85" s="275"/>
      <c r="G85" s="276">
        <f>IF($C85+1&gt;G$7,0,IF($D85&gt;SUM(#REF!),$D85/$E85,0))</f>
        <v>0</v>
      </c>
      <c r="H85" s="276">
        <f>IF($C85+1&gt;H$7,0,IF($D85&gt;SUM($G85:G85),$D85/$E85,0))</f>
        <v>0</v>
      </c>
      <c r="I85" s="276">
        <f>IF($C85+1&gt;I$7,0,IF($D85&gt;SUM($G85:H85),$D85/$E85,0))</f>
        <v>0</v>
      </c>
      <c r="J85" s="276">
        <f>IF($C85+1&gt;J$7,0,IF($D85&gt;SUM($G85:I85),$D85/$E85,0))</f>
        <v>0</v>
      </c>
      <c r="K85" s="276">
        <f>IF($C85+1&gt;K$7,0,IF($D85&gt;SUM($G85:J85),$D85/$E85,0))</f>
        <v>0</v>
      </c>
      <c r="L85" s="276">
        <f>IF($C85+1&gt;L$7,0,IF($D85&gt;SUM($G85:K85),$D85/$E85,0))</f>
        <v>0</v>
      </c>
      <c r="M85" s="276">
        <f>IF($C85+1&gt;M$7,0,IF($D85&gt;SUM($G85:L85),$D85/$E85,0))</f>
        <v>0</v>
      </c>
      <c r="N85" s="276">
        <f>IF($C85+1&gt;N$7,0,IF($D85&gt;SUM($G85:M85),$D85/$E85,0))</f>
        <v>0</v>
      </c>
      <c r="O85" s="276">
        <f>IF($C85+1&gt;O$7,0,IF($D85&gt;SUM($G85:N85),$D85/$E85,0))</f>
        <v>0</v>
      </c>
      <c r="P85" s="276">
        <f>IF($C85+1&gt;P$7,0,IF($D85&gt;SUM($G85:O85),$D85/$E85,0))</f>
        <v>0</v>
      </c>
      <c r="Q85" s="276">
        <f>IF($C85+1&gt;Q$7,0,IF($D85&gt;SUM($G85:P85),$D85/$E85,0))</f>
        <v>0</v>
      </c>
      <c r="R85" s="276">
        <f>IF($C85+1&gt;R$7,0,IF($D85&gt;SUM($G85:Q85),$D85/$E85,0))</f>
        <v>0</v>
      </c>
      <c r="S85" s="276">
        <f>IF($C85+1&gt;S$7,0,IF($D85&gt;SUM($G85:R85),$D85/$E85,0))</f>
        <v>0</v>
      </c>
      <c r="T85" s="276">
        <f>IF($C85+1&gt;T$7,0,IF($D85&gt;SUM($G85:S85),$D85/$E85,0))</f>
        <v>0</v>
      </c>
      <c r="U85" s="276">
        <f>IF($C85+1&gt;U$7,0,IF($D85&gt;SUM($G85:T85),$D85/$E85,0))</f>
        <v>0</v>
      </c>
      <c r="V85" s="276">
        <f>IF($C85+1&gt;V$7,0,IF($D85&gt;SUM($G85:U85),$D85/$E85,0))</f>
        <v>0</v>
      </c>
      <c r="W85" s="276">
        <f>IF($C85+1&gt;W$7,0,IF($D85&gt;SUM($G85:V85),$D85/$E85,0))</f>
        <v>0</v>
      </c>
      <c r="X85" s="276">
        <f>IF($C85+1&gt;X$7,0,IF($D85&gt;SUM($G85:W85),$D85/$E85,0))</f>
        <v>0</v>
      </c>
      <c r="Y85" s="276">
        <f>IF($C85+1&gt;Y$7,0,IF($D85&gt;SUM($G85:X85),$D85/$E85,0))</f>
        <v>0</v>
      </c>
      <c r="Z85" s="276">
        <f>IF($C85+1&gt;Z$7,0,IF($D85&gt;SUM($G85:Y85),$D85/$E85,0))</f>
        <v>0</v>
      </c>
      <c r="AA85" s="276">
        <f>IF($C85+1&gt;AA$7,0,IF($D85&gt;SUM($G85:Z85),$D85/$E85,0))</f>
        <v>0</v>
      </c>
      <c r="AB85" s="276">
        <f>IF($C85+1&gt;AB$7,0,IF($D85&gt;SUM($G85:AA85),$D85/$E85,0))</f>
        <v>0</v>
      </c>
      <c r="AC85" s="276">
        <f>IF($C85+1&gt;AC$7,0,IF($D85&gt;SUM($G85:AB85),$D85/$E85,0))</f>
        <v>0</v>
      </c>
      <c r="AD85" s="276">
        <f>IF($C85+1&gt;AD$7,0,IF($D85&gt;SUM($G85:AC85),$D85/$E85,0))</f>
        <v>0</v>
      </c>
      <c r="AE85" s="276">
        <f>IF($C85+1&gt;AE$7,0,IF($D85&gt;SUM($G85:AD85),$D85/$E85,0))</f>
        <v>0</v>
      </c>
      <c r="AF85" s="276">
        <f>IF($C85+1&gt;AF$7,0,IF($D85&gt;SUM($G85:AE85),$D85/$E85,0))</f>
        <v>0</v>
      </c>
      <c r="AG85" s="276">
        <f>IF($C85+1&gt;AG$7,0,IF($D85&gt;SUM($G85:AF85),$D85/$E85,0))</f>
        <v>0</v>
      </c>
      <c r="AH85" s="276">
        <f>IF($C85+1&gt;AH$7,0,IF($D85&gt;SUM($G85:AG85),$D85/$E85,0))</f>
        <v>0</v>
      </c>
      <c r="AI85" s="276">
        <f>IF($C85+1&gt;AI$7,0,IF($D85&gt;SUM($G85:AH85),$D85/$E85,0))</f>
        <v>0</v>
      </c>
      <c r="AJ85" s="276">
        <f>IF($C85+1&gt;AJ$7,0,IF($D85&gt;SUM($G85:AI85),$D85/$E85,0))</f>
        <v>0</v>
      </c>
      <c r="AK85" s="276">
        <f>IF($C85+1&gt;AK$7,0,IF($D85&gt;SUM($G85:AJ85),$D85/$E85,0))</f>
        <v>0</v>
      </c>
      <c r="AL85" s="276">
        <f>IF($C85+1&gt;AL$7,0,IF($D85&gt;SUM($G85:AK85),$D85/$E85,0))</f>
        <v>0</v>
      </c>
      <c r="AM85" s="276">
        <f>IF($C85+1&gt;AM$7,0,IF($D85&gt;SUM($G85:AL85),$D85/$E85,0))</f>
        <v>0</v>
      </c>
      <c r="AN85" s="276">
        <f>IF($C85+1&gt;AN$7,0,IF($D85&gt;SUM($G85:AM85),$D85/$E85,0))</f>
        <v>0</v>
      </c>
      <c r="AO85" s="276">
        <f>IF($C85+1&gt;AO$7,0,IF($D85&gt;SUM($G85:AN85),$D85/$E85,0))</f>
        <v>0</v>
      </c>
      <c r="AP85" s="276">
        <f>IF($C85+1&gt;AP$7,0,IF($D85&gt;SUM($G85:AO85),$D85/$E85,0))</f>
        <v>0</v>
      </c>
      <c r="AQ85" s="276">
        <f>IF($C85+1&gt;AQ$7,0,IF($D85&gt;SUM($G85:AP85),$D85/$E85,0))</f>
        <v>0</v>
      </c>
      <c r="AR85" s="276">
        <f>IF($C85+1&gt;AR$7,0,IF($D85&gt;SUM($G85:AQ85),$D85/$E85,0))</f>
        <v>0</v>
      </c>
      <c r="AS85" s="276">
        <f>IF($C85+1&gt;AS$7,0,IF($D85&gt;SUM($G85:AR85),$D85/$E85,0))</f>
        <v>0</v>
      </c>
      <c r="AT85" s="276">
        <f>IF($C85+1&gt;AT$7,0,IF($D85&gt;SUM($G85:AS85),$D85/$E85,0))</f>
        <v>0</v>
      </c>
      <c r="AU85" s="276">
        <f>IF($C85+1&gt;AU$7,0,IF($D85&gt;SUM($G85:AT85),$D85/$E85,0))</f>
        <v>0</v>
      </c>
      <c r="AV85" s="276">
        <f>IF($C85+1&gt;AV$7,0,IF($D85&gt;SUM($G85:AU85),$D85/$E85,0))</f>
        <v>0</v>
      </c>
      <c r="AW85" s="276">
        <f>IF($C85+1&gt;AW$7,0,IF($D85&gt;SUM($G85:AV85),$D85/$E85,0))</f>
        <v>0</v>
      </c>
      <c r="AX85" s="276">
        <f>IF($C85+1&gt;AX$7,0,IF($D85&gt;SUM($G85:AW85),$D85/$E85,0))</f>
        <v>0</v>
      </c>
      <c r="AY85" s="276">
        <f>IF($C85+1&gt;AY$7,0,IF($D85&gt;SUM($G85:AX85),$D85/$E85,0))</f>
        <v>0</v>
      </c>
      <c r="AZ85" s="276">
        <f ca="1">IF($C85+1&gt;AZ$7,0,IF($D85&gt;SUM($G85:AY85),$D85/$E85,0))</f>
        <v>0</v>
      </c>
      <c r="BA85" s="276">
        <f ca="1">IF($C85+1&gt;BA$7,0,IF($D85&gt;SUM($G85:AZ85),$D85/$E85,0))</f>
        <v>0</v>
      </c>
      <c r="BB85" s="276">
        <f ca="1">IF($C85+1&gt;BB$7,0,IF($D85&gt;SUM($G85:BA85),$D85/$E85,0))</f>
        <v>0</v>
      </c>
      <c r="BC85" s="276">
        <f ca="1">IF($C85+1&gt;BC$7,0,IF($D85&gt;SUM($G85:BB85),$D85/$E85,0))</f>
        <v>0</v>
      </c>
      <c r="BD85" s="276">
        <f ca="1">IF($C85+1&gt;BD$7,0,IF($D85&gt;SUM($G85:BC85),$D85/$E85,0))</f>
        <v>0</v>
      </c>
      <c r="BE85" s="276">
        <f ca="1">IF($C85+1&gt;BE$7,0,IF($D85&gt;SUM($G85:BD85),$D85/$E85,0))</f>
        <v>0</v>
      </c>
      <c r="BF85" s="276">
        <f ca="1">IF($C85+1&gt;BF$7,0,IF($D85&gt;SUM($G85:BE85),$D85/$E85,0))</f>
        <v>0</v>
      </c>
      <c r="BG85" s="276">
        <f ca="1">IF($C85+1&gt;BG$7,0,IF($D85&gt;SUM($G85:BF85),$D85/$E85,0))</f>
        <v>0</v>
      </c>
      <c r="BH85" s="276">
        <f ca="1">IF($C85+1&gt;BH$7,0,IF($D85&gt;SUM($G85:BG85),$D85/$E85,0))</f>
        <v>0</v>
      </c>
      <c r="BI85" s="276">
        <f ca="1">IF($C85+1&gt;BI$7,0,IF($D85&gt;SUM($G85:BH85),$D85/$E85,0))</f>
        <v>0</v>
      </c>
      <c r="BJ85" s="276">
        <f ca="1">IF($C85+1&gt;BJ$7,0,IF($D85&gt;SUM($G85:BI85),$D85/$E85,0))</f>
        <v>0</v>
      </c>
      <c r="BK85" s="276">
        <f ca="1">IF($C85+1&gt;BK$7,0,IF($D85&gt;SUM($G85:BJ85),$D85/$E85,0))</f>
        <v>0</v>
      </c>
      <c r="BL85" s="276">
        <f ca="1">IF($C85+1&gt;BL$7,0,IF($D85&gt;SUM($G85:BK85),$D85/$E85,0))</f>
        <v>0</v>
      </c>
      <c r="BM85" s="276">
        <f ca="1">IF($C85+1&gt;BM$7,0,IF($D85&gt;SUM($G85:BL85),$D85/$E85,0))</f>
        <v>0</v>
      </c>
      <c r="BN85" s="276">
        <f ca="1">IF($C85+1&gt;BN$7,0,IF($D85&gt;SUM($G85:BM85),$D85/$E85,0))</f>
        <v>0</v>
      </c>
      <c r="BO85" s="276"/>
      <c r="BP85" s="276"/>
      <c r="BQ85" s="276"/>
      <c r="BR85" s="276"/>
      <c r="BS85" s="276"/>
      <c r="BT85" s="276"/>
      <c r="BU85" s="276"/>
      <c r="BV85" s="276"/>
      <c r="BW85" s="276"/>
      <c r="BX85" s="276"/>
      <c r="BY85" s="276"/>
      <c r="BZ85" s="276"/>
      <c r="CA85" s="254"/>
      <c r="CB85" s="254"/>
      <c r="CC85" s="254"/>
      <c r="CD85" s="254"/>
      <c r="CE85" s="254"/>
      <c r="CF85" s="254"/>
      <c r="CG85" s="254"/>
      <c r="CH85" s="254"/>
      <c r="CI85" s="254"/>
      <c r="CJ85" s="254"/>
      <c r="CK85" s="254"/>
      <c r="CL85" s="254"/>
    </row>
    <row r="86" spans="1:90" outlineLevel="1" x14ac:dyDescent="0.15">
      <c r="A86" s="272"/>
      <c r="B86" s="273"/>
      <c r="C86" s="275">
        <v>46</v>
      </c>
      <c r="D86" s="278">
        <f ca="1"/>
        <v>0</v>
      </c>
      <c r="E86" s="275">
        <f>SAP_Leadsheet!$E$50</f>
        <v>0</v>
      </c>
      <c r="F86" s="275"/>
      <c r="G86" s="276">
        <f>IF($C86+1&gt;G$7,0,IF($D86&gt;SUM(#REF!),$D86/$E86,0))</f>
        <v>0</v>
      </c>
      <c r="H86" s="276">
        <f>IF($C86+1&gt;H$7,0,IF($D86&gt;SUM($G86:G86),$D86/$E86,0))</f>
        <v>0</v>
      </c>
      <c r="I86" s="276">
        <f>IF($C86+1&gt;I$7,0,IF($D86&gt;SUM($G86:H86),$D86/$E86,0))</f>
        <v>0</v>
      </c>
      <c r="J86" s="276">
        <f>IF($C86+1&gt;J$7,0,IF($D86&gt;SUM($G86:I86),$D86/$E86,0))</f>
        <v>0</v>
      </c>
      <c r="K86" s="276">
        <f>IF($C86+1&gt;K$7,0,IF($D86&gt;SUM($G86:J86),$D86/$E86,0))</f>
        <v>0</v>
      </c>
      <c r="L86" s="276">
        <f>IF($C86+1&gt;L$7,0,IF($D86&gt;SUM($G86:K86),$D86/$E86,0))</f>
        <v>0</v>
      </c>
      <c r="M86" s="276">
        <f>IF($C86+1&gt;M$7,0,IF($D86&gt;SUM($G86:L86),$D86/$E86,0))</f>
        <v>0</v>
      </c>
      <c r="N86" s="276">
        <f>IF($C86+1&gt;N$7,0,IF($D86&gt;SUM($G86:M86),$D86/$E86,0))</f>
        <v>0</v>
      </c>
      <c r="O86" s="276">
        <f>IF($C86+1&gt;O$7,0,IF($D86&gt;SUM($G86:N86),$D86/$E86,0))</f>
        <v>0</v>
      </c>
      <c r="P86" s="276">
        <f>IF($C86+1&gt;P$7,0,IF($D86&gt;SUM($G86:O86),$D86/$E86,0))</f>
        <v>0</v>
      </c>
      <c r="Q86" s="276">
        <f>IF($C86+1&gt;Q$7,0,IF($D86&gt;SUM($G86:P86),$D86/$E86,0))</f>
        <v>0</v>
      </c>
      <c r="R86" s="276">
        <f>IF($C86+1&gt;R$7,0,IF($D86&gt;SUM($G86:Q86),$D86/$E86,0))</f>
        <v>0</v>
      </c>
      <c r="S86" s="276">
        <f>IF($C86+1&gt;S$7,0,IF($D86&gt;SUM($G86:R86),$D86/$E86,0))</f>
        <v>0</v>
      </c>
      <c r="T86" s="276">
        <f>IF($C86+1&gt;T$7,0,IF($D86&gt;SUM($G86:S86),$D86/$E86,0))</f>
        <v>0</v>
      </c>
      <c r="U86" s="276">
        <f>IF($C86+1&gt;U$7,0,IF($D86&gt;SUM($G86:T86),$D86/$E86,0))</f>
        <v>0</v>
      </c>
      <c r="V86" s="276">
        <f>IF($C86+1&gt;V$7,0,IF($D86&gt;SUM($G86:U86),$D86/$E86,0))</f>
        <v>0</v>
      </c>
      <c r="W86" s="276">
        <f>IF($C86+1&gt;W$7,0,IF($D86&gt;SUM($G86:V86),$D86/$E86,0))</f>
        <v>0</v>
      </c>
      <c r="X86" s="276">
        <f>IF($C86+1&gt;X$7,0,IF($D86&gt;SUM($G86:W86),$D86/$E86,0))</f>
        <v>0</v>
      </c>
      <c r="Y86" s="276">
        <f>IF($C86+1&gt;Y$7,0,IF($D86&gt;SUM($G86:X86),$D86/$E86,0))</f>
        <v>0</v>
      </c>
      <c r="Z86" s="276">
        <f>IF($C86+1&gt;Z$7,0,IF($D86&gt;SUM($G86:Y86),$D86/$E86,0))</f>
        <v>0</v>
      </c>
      <c r="AA86" s="276">
        <f>IF($C86+1&gt;AA$7,0,IF($D86&gt;SUM($G86:Z86),$D86/$E86,0))</f>
        <v>0</v>
      </c>
      <c r="AB86" s="276">
        <f>IF($C86+1&gt;AB$7,0,IF($D86&gt;SUM($G86:AA86),$D86/$E86,0))</f>
        <v>0</v>
      </c>
      <c r="AC86" s="276">
        <f>IF($C86+1&gt;AC$7,0,IF($D86&gt;SUM($G86:AB86),$D86/$E86,0))</f>
        <v>0</v>
      </c>
      <c r="AD86" s="276">
        <f>IF($C86+1&gt;AD$7,0,IF($D86&gt;SUM($G86:AC86),$D86/$E86,0))</f>
        <v>0</v>
      </c>
      <c r="AE86" s="276">
        <f>IF($C86+1&gt;AE$7,0,IF($D86&gt;SUM($G86:AD86),$D86/$E86,0))</f>
        <v>0</v>
      </c>
      <c r="AF86" s="276">
        <f>IF($C86+1&gt;AF$7,0,IF($D86&gt;SUM($G86:AE86),$D86/$E86,0))</f>
        <v>0</v>
      </c>
      <c r="AG86" s="276">
        <f>IF($C86+1&gt;AG$7,0,IF($D86&gt;SUM($G86:AF86),$D86/$E86,0))</f>
        <v>0</v>
      </c>
      <c r="AH86" s="276">
        <f>IF($C86+1&gt;AH$7,0,IF($D86&gt;SUM($G86:AG86),$D86/$E86,0))</f>
        <v>0</v>
      </c>
      <c r="AI86" s="276">
        <f>IF($C86+1&gt;AI$7,0,IF($D86&gt;SUM($G86:AH86),$D86/$E86,0))</f>
        <v>0</v>
      </c>
      <c r="AJ86" s="276">
        <f>IF($C86+1&gt;AJ$7,0,IF($D86&gt;SUM($G86:AI86),$D86/$E86,0))</f>
        <v>0</v>
      </c>
      <c r="AK86" s="276">
        <f>IF($C86+1&gt;AK$7,0,IF($D86&gt;SUM($G86:AJ86),$D86/$E86,0))</f>
        <v>0</v>
      </c>
      <c r="AL86" s="276">
        <f>IF($C86+1&gt;AL$7,0,IF($D86&gt;SUM($G86:AK86),$D86/$E86,0))</f>
        <v>0</v>
      </c>
      <c r="AM86" s="276">
        <f>IF($C86+1&gt;AM$7,0,IF($D86&gt;SUM($G86:AL86),$D86/$E86,0))</f>
        <v>0</v>
      </c>
      <c r="AN86" s="276">
        <f>IF($C86+1&gt;AN$7,0,IF($D86&gt;SUM($G86:AM86),$D86/$E86,0))</f>
        <v>0</v>
      </c>
      <c r="AO86" s="276">
        <f>IF($C86+1&gt;AO$7,0,IF($D86&gt;SUM($G86:AN86),$D86/$E86,0))</f>
        <v>0</v>
      </c>
      <c r="AP86" s="276">
        <f>IF($C86+1&gt;AP$7,0,IF($D86&gt;SUM($G86:AO86),$D86/$E86,0))</f>
        <v>0</v>
      </c>
      <c r="AQ86" s="276">
        <f>IF($C86+1&gt;AQ$7,0,IF($D86&gt;SUM($G86:AP86),$D86/$E86,0))</f>
        <v>0</v>
      </c>
      <c r="AR86" s="276">
        <f>IF($C86+1&gt;AR$7,0,IF($D86&gt;SUM($G86:AQ86),$D86/$E86,0))</f>
        <v>0</v>
      </c>
      <c r="AS86" s="276">
        <f>IF($C86+1&gt;AS$7,0,IF($D86&gt;SUM($G86:AR86),$D86/$E86,0))</f>
        <v>0</v>
      </c>
      <c r="AT86" s="276">
        <f>IF($C86+1&gt;AT$7,0,IF($D86&gt;SUM($G86:AS86),$D86/$E86,0))</f>
        <v>0</v>
      </c>
      <c r="AU86" s="276">
        <f>IF($C86+1&gt;AU$7,0,IF($D86&gt;SUM($G86:AT86),$D86/$E86,0))</f>
        <v>0</v>
      </c>
      <c r="AV86" s="276">
        <f>IF($C86+1&gt;AV$7,0,IF($D86&gt;SUM($G86:AU86),$D86/$E86,0))</f>
        <v>0</v>
      </c>
      <c r="AW86" s="276">
        <f>IF($C86+1&gt;AW$7,0,IF($D86&gt;SUM($G86:AV86),$D86/$E86,0))</f>
        <v>0</v>
      </c>
      <c r="AX86" s="276">
        <f>IF($C86+1&gt;AX$7,0,IF($D86&gt;SUM($G86:AW86),$D86/$E86,0))</f>
        <v>0</v>
      </c>
      <c r="AY86" s="276">
        <f>IF($C86+1&gt;AY$7,0,IF($D86&gt;SUM($G86:AX86),$D86/$E86,0))</f>
        <v>0</v>
      </c>
      <c r="AZ86" s="276">
        <f>IF($C86+1&gt;AZ$7,0,IF($D86&gt;SUM($G86:AY86),$D86/$E86,0))</f>
        <v>0</v>
      </c>
      <c r="BA86" s="276">
        <f ca="1">IF($C86+1&gt;BA$7,0,IF($D86&gt;SUM($G86:AZ86),$D86/$E86,0))</f>
        <v>0</v>
      </c>
      <c r="BB86" s="276">
        <f ca="1">IF($C86+1&gt;BB$7,0,IF($D86&gt;SUM($G86:BA86),$D86/$E86,0))</f>
        <v>0</v>
      </c>
      <c r="BC86" s="276">
        <f ca="1">IF($C86+1&gt;BC$7,0,IF($D86&gt;SUM($G86:BB86),$D86/$E86,0))</f>
        <v>0</v>
      </c>
      <c r="BD86" s="276">
        <f ca="1">IF($C86+1&gt;BD$7,0,IF($D86&gt;SUM($G86:BC86),$D86/$E86,0))</f>
        <v>0</v>
      </c>
      <c r="BE86" s="276">
        <f ca="1">IF($C86+1&gt;BE$7,0,IF($D86&gt;SUM($G86:BD86),$D86/$E86,0))</f>
        <v>0</v>
      </c>
      <c r="BF86" s="276">
        <f ca="1">IF($C86+1&gt;BF$7,0,IF($D86&gt;SUM($G86:BE86),$D86/$E86,0))</f>
        <v>0</v>
      </c>
      <c r="BG86" s="276">
        <f ca="1">IF($C86+1&gt;BG$7,0,IF($D86&gt;SUM($G86:BF86),$D86/$E86,0))</f>
        <v>0</v>
      </c>
      <c r="BH86" s="276">
        <f ca="1">IF($C86+1&gt;BH$7,0,IF($D86&gt;SUM($G86:BG86),$D86/$E86,0))</f>
        <v>0</v>
      </c>
      <c r="BI86" s="276">
        <f ca="1">IF($C86+1&gt;BI$7,0,IF($D86&gt;SUM($G86:BH86),$D86/$E86,0))</f>
        <v>0</v>
      </c>
      <c r="BJ86" s="276">
        <f ca="1">IF($C86+1&gt;BJ$7,0,IF($D86&gt;SUM($G86:BI86),$D86/$E86,0))</f>
        <v>0</v>
      </c>
      <c r="BK86" s="276">
        <f ca="1">IF($C86+1&gt;BK$7,0,IF($D86&gt;SUM($G86:BJ86),$D86/$E86,0))</f>
        <v>0</v>
      </c>
      <c r="BL86" s="276">
        <f ca="1">IF($C86+1&gt;BL$7,0,IF($D86&gt;SUM($G86:BK86),$D86/$E86,0))</f>
        <v>0</v>
      </c>
      <c r="BM86" s="276">
        <f ca="1">IF($C86+1&gt;BM$7,0,IF($D86&gt;SUM($G86:BL86),$D86/$E86,0))</f>
        <v>0</v>
      </c>
      <c r="BN86" s="276">
        <f ca="1">IF($C86+1&gt;BN$7,0,IF($D86&gt;SUM($G86:BM86),$D86/$E86,0))</f>
        <v>0</v>
      </c>
      <c r="BO86" s="276"/>
      <c r="BP86" s="276"/>
      <c r="BQ86" s="276"/>
      <c r="BR86" s="276"/>
      <c r="BS86" s="276"/>
      <c r="BT86" s="276"/>
      <c r="BU86" s="276"/>
      <c r="BV86" s="276"/>
      <c r="BW86" s="276"/>
      <c r="BX86" s="276"/>
      <c r="BY86" s="276"/>
      <c r="BZ86" s="276"/>
      <c r="CA86" s="254"/>
      <c r="CB86" s="254"/>
      <c r="CC86" s="254"/>
      <c r="CD86" s="254"/>
      <c r="CE86" s="254"/>
      <c r="CF86" s="254"/>
      <c r="CG86" s="254"/>
      <c r="CH86" s="254"/>
      <c r="CI86" s="254"/>
      <c r="CJ86" s="254"/>
      <c r="CK86" s="254"/>
      <c r="CL86" s="254"/>
    </row>
    <row r="87" spans="1:90" outlineLevel="1" x14ac:dyDescent="0.15">
      <c r="A87" s="272"/>
      <c r="B87" s="273"/>
      <c r="C87" s="275">
        <v>47</v>
      </c>
      <c r="D87" s="278">
        <f ca="1"/>
        <v>0</v>
      </c>
      <c r="E87" s="275">
        <f>SAP_Leadsheet!$E$50</f>
        <v>0</v>
      </c>
      <c r="F87" s="275"/>
      <c r="G87" s="276">
        <f>IF($C87+1&gt;G$7,0,IF($D87&gt;SUM(#REF!),$D87/$E87,0))</f>
        <v>0</v>
      </c>
      <c r="H87" s="276">
        <f>IF($C87+1&gt;H$7,0,IF($D87&gt;SUM($G87:G87),$D87/$E87,0))</f>
        <v>0</v>
      </c>
      <c r="I87" s="276">
        <f>IF($C87+1&gt;I$7,0,IF($D87&gt;SUM($G87:H87),$D87/$E87,0))</f>
        <v>0</v>
      </c>
      <c r="J87" s="276">
        <f>IF($C87+1&gt;J$7,0,IF($D87&gt;SUM($G87:I87),$D87/$E87,0))</f>
        <v>0</v>
      </c>
      <c r="K87" s="276">
        <f>IF($C87+1&gt;K$7,0,IF($D87&gt;SUM($G87:J87),$D87/$E87,0))</f>
        <v>0</v>
      </c>
      <c r="L87" s="276">
        <f>IF($C87+1&gt;L$7,0,IF($D87&gt;SUM($G87:K87),$D87/$E87,0))</f>
        <v>0</v>
      </c>
      <c r="M87" s="276">
        <f>IF($C87+1&gt;M$7,0,IF($D87&gt;SUM($G87:L87),$D87/$E87,0))</f>
        <v>0</v>
      </c>
      <c r="N87" s="276">
        <f>IF($C87+1&gt;N$7,0,IF($D87&gt;SUM($G87:M87),$D87/$E87,0))</f>
        <v>0</v>
      </c>
      <c r="O87" s="276">
        <f>IF($C87+1&gt;O$7,0,IF($D87&gt;SUM($G87:N87),$D87/$E87,0))</f>
        <v>0</v>
      </c>
      <c r="P87" s="276">
        <f>IF($C87+1&gt;P$7,0,IF($D87&gt;SUM($G87:O87),$D87/$E87,0))</f>
        <v>0</v>
      </c>
      <c r="Q87" s="276">
        <f>IF($C87+1&gt;Q$7,0,IF($D87&gt;SUM($G87:P87),$D87/$E87,0))</f>
        <v>0</v>
      </c>
      <c r="R87" s="276">
        <f>IF($C87+1&gt;R$7,0,IF($D87&gt;SUM($G87:Q87),$D87/$E87,0))</f>
        <v>0</v>
      </c>
      <c r="S87" s="276">
        <f>IF($C87+1&gt;S$7,0,IF($D87&gt;SUM($G87:R87),$D87/$E87,0))</f>
        <v>0</v>
      </c>
      <c r="T87" s="276">
        <f>IF($C87+1&gt;T$7,0,IF($D87&gt;SUM($G87:S87),$D87/$E87,0))</f>
        <v>0</v>
      </c>
      <c r="U87" s="276">
        <f>IF($C87+1&gt;U$7,0,IF($D87&gt;SUM($G87:T87),$D87/$E87,0))</f>
        <v>0</v>
      </c>
      <c r="V87" s="276">
        <f>IF($C87+1&gt;V$7,0,IF($D87&gt;SUM($G87:U87),$D87/$E87,0))</f>
        <v>0</v>
      </c>
      <c r="W87" s="276">
        <f>IF($C87+1&gt;W$7,0,IF($D87&gt;SUM($G87:V87),$D87/$E87,0))</f>
        <v>0</v>
      </c>
      <c r="X87" s="276">
        <f>IF($C87+1&gt;X$7,0,IF($D87&gt;SUM($G87:W87),$D87/$E87,0))</f>
        <v>0</v>
      </c>
      <c r="Y87" s="276">
        <f>IF($C87+1&gt;Y$7,0,IF($D87&gt;SUM($G87:X87),$D87/$E87,0))</f>
        <v>0</v>
      </c>
      <c r="Z87" s="276">
        <f>IF($C87+1&gt;Z$7,0,IF($D87&gt;SUM($G87:Y87),$D87/$E87,0))</f>
        <v>0</v>
      </c>
      <c r="AA87" s="276">
        <f>IF($C87+1&gt;AA$7,0,IF($D87&gt;SUM($G87:Z87),$D87/$E87,0))</f>
        <v>0</v>
      </c>
      <c r="AB87" s="276">
        <f>IF($C87+1&gt;AB$7,0,IF($D87&gt;SUM($G87:AA87),$D87/$E87,0))</f>
        <v>0</v>
      </c>
      <c r="AC87" s="276">
        <f>IF($C87+1&gt;AC$7,0,IF($D87&gt;SUM($G87:AB87),$D87/$E87,0))</f>
        <v>0</v>
      </c>
      <c r="AD87" s="276">
        <f>IF($C87+1&gt;AD$7,0,IF($D87&gt;SUM($G87:AC87),$D87/$E87,0))</f>
        <v>0</v>
      </c>
      <c r="AE87" s="276">
        <f>IF($C87+1&gt;AE$7,0,IF($D87&gt;SUM($G87:AD87),$D87/$E87,0))</f>
        <v>0</v>
      </c>
      <c r="AF87" s="276">
        <f>IF($C87+1&gt;AF$7,0,IF($D87&gt;SUM($G87:AE87),$D87/$E87,0))</f>
        <v>0</v>
      </c>
      <c r="AG87" s="276">
        <f>IF($C87+1&gt;AG$7,0,IF($D87&gt;SUM($G87:AF87),$D87/$E87,0))</f>
        <v>0</v>
      </c>
      <c r="AH87" s="276">
        <f>IF($C87+1&gt;AH$7,0,IF($D87&gt;SUM($G87:AG87),$D87/$E87,0))</f>
        <v>0</v>
      </c>
      <c r="AI87" s="276">
        <f>IF($C87+1&gt;AI$7,0,IF($D87&gt;SUM($G87:AH87),$D87/$E87,0))</f>
        <v>0</v>
      </c>
      <c r="AJ87" s="276">
        <f>IF($C87+1&gt;AJ$7,0,IF($D87&gt;SUM($G87:AI87),$D87/$E87,0))</f>
        <v>0</v>
      </c>
      <c r="AK87" s="276">
        <f>IF($C87+1&gt;AK$7,0,IF($D87&gt;SUM($G87:AJ87),$D87/$E87,0))</f>
        <v>0</v>
      </c>
      <c r="AL87" s="276">
        <f>IF($C87+1&gt;AL$7,0,IF($D87&gt;SUM($G87:AK87),$D87/$E87,0))</f>
        <v>0</v>
      </c>
      <c r="AM87" s="276">
        <f>IF($C87+1&gt;AM$7,0,IF($D87&gt;SUM($G87:AL87),$D87/$E87,0))</f>
        <v>0</v>
      </c>
      <c r="AN87" s="276">
        <f>IF($C87+1&gt;AN$7,0,IF($D87&gt;SUM($G87:AM87),$D87/$E87,0))</f>
        <v>0</v>
      </c>
      <c r="AO87" s="276">
        <f>IF($C87+1&gt;AO$7,0,IF($D87&gt;SUM($G87:AN87),$D87/$E87,0))</f>
        <v>0</v>
      </c>
      <c r="AP87" s="276">
        <f>IF($C87+1&gt;AP$7,0,IF($D87&gt;SUM($G87:AO87),$D87/$E87,0))</f>
        <v>0</v>
      </c>
      <c r="AQ87" s="276">
        <f>IF($C87+1&gt;AQ$7,0,IF($D87&gt;SUM($G87:AP87),$D87/$E87,0))</f>
        <v>0</v>
      </c>
      <c r="AR87" s="276">
        <f>IF($C87+1&gt;AR$7,0,IF($D87&gt;SUM($G87:AQ87),$D87/$E87,0))</f>
        <v>0</v>
      </c>
      <c r="AS87" s="276">
        <f>IF($C87+1&gt;AS$7,0,IF($D87&gt;SUM($G87:AR87),$D87/$E87,0))</f>
        <v>0</v>
      </c>
      <c r="AT87" s="276">
        <f>IF($C87+1&gt;AT$7,0,IF($D87&gt;SUM($G87:AS87),$D87/$E87,0))</f>
        <v>0</v>
      </c>
      <c r="AU87" s="276">
        <f>IF($C87+1&gt;AU$7,0,IF($D87&gt;SUM($G87:AT87),$D87/$E87,0))</f>
        <v>0</v>
      </c>
      <c r="AV87" s="276">
        <f>IF($C87+1&gt;AV$7,0,IF($D87&gt;SUM($G87:AU87),$D87/$E87,0))</f>
        <v>0</v>
      </c>
      <c r="AW87" s="276">
        <f>IF($C87+1&gt;AW$7,0,IF($D87&gt;SUM($G87:AV87),$D87/$E87,0))</f>
        <v>0</v>
      </c>
      <c r="AX87" s="276">
        <f>IF($C87+1&gt;AX$7,0,IF($D87&gt;SUM($G87:AW87),$D87/$E87,0))</f>
        <v>0</v>
      </c>
      <c r="AY87" s="276">
        <f>IF($C87+1&gt;AY$7,0,IF($D87&gt;SUM($G87:AX87),$D87/$E87,0))</f>
        <v>0</v>
      </c>
      <c r="AZ87" s="276">
        <f>IF($C87+1&gt;AZ$7,0,IF($D87&gt;SUM($G87:AY87),$D87/$E87,0))</f>
        <v>0</v>
      </c>
      <c r="BA87" s="276">
        <f>IF($C87+1&gt;BA$7,0,IF($D87&gt;SUM($G87:AZ87),$D87/$E87,0))</f>
        <v>0</v>
      </c>
      <c r="BB87" s="276">
        <f ca="1">IF($C87+1&gt;BB$7,0,IF($D87&gt;SUM($G87:BA87),$D87/$E87,0))</f>
        <v>0</v>
      </c>
      <c r="BC87" s="276">
        <f ca="1">IF($C87+1&gt;BC$7,0,IF($D87&gt;SUM($G87:BB87),$D87/$E87,0))</f>
        <v>0</v>
      </c>
      <c r="BD87" s="276">
        <f ca="1">IF($C87+1&gt;BD$7,0,IF($D87&gt;SUM($G87:BC87),$D87/$E87,0))</f>
        <v>0</v>
      </c>
      <c r="BE87" s="276">
        <f ca="1">IF($C87+1&gt;BE$7,0,IF($D87&gt;SUM($G87:BD87),$D87/$E87,0))</f>
        <v>0</v>
      </c>
      <c r="BF87" s="276">
        <f ca="1">IF($C87+1&gt;BF$7,0,IF($D87&gt;SUM($G87:BE87),$D87/$E87,0))</f>
        <v>0</v>
      </c>
      <c r="BG87" s="276">
        <f ca="1">IF($C87+1&gt;BG$7,0,IF($D87&gt;SUM($G87:BF87),$D87/$E87,0))</f>
        <v>0</v>
      </c>
      <c r="BH87" s="276">
        <f ca="1">IF($C87+1&gt;BH$7,0,IF($D87&gt;SUM($G87:BG87),$D87/$E87,0))</f>
        <v>0</v>
      </c>
      <c r="BI87" s="276">
        <f ca="1">IF($C87+1&gt;BI$7,0,IF($D87&gt;SUM($G87:BH87),$D87/$E87,0))</f>
        <v>0</v>
      </c>
      <c r="BJ87" s="276">
        <f ca="1">IF($C87+1&gt;BJ$7,0,IF($D87&gt;SUM($G87:BI87),$D87/$E87,0))</f>
        <v>0</v>
      </c>
      <c r="BK87" s="276">
        <f ca="1">IF($C87+1&gt;BK$7,0,IF($D87&gt;SUM($G87:BJ87),$D87/$E87,0))</f>
        <v>0</v>
      </c>
      <c r="BL87" s="276">
        <f ca="1">IF($C87+1&gt;BL$7,0,IF($D87&gt;SUM($G87:BK87),$D87/$E87,0))</f>
        <v>0</v>
      </c>
      <c r="BM87" s="276">
        <f ca="1">IF($C87+1&gt;BM$7,0,IF($D87&gt;SUM($G87:BL87),$D87/$E87,0))</f>
        <v>0</v>
      </c>
      <c r="BN87" s="276">
        <f ca="1">IF($C87+1&gt;BN$7,0,IF($D87&gt;SUM($G87:BM87),$D87/$E87,0))</f>
        <v>0</v>
      </c>
      <c r="BO87" s="276"/>
      <c r="BP87" s="276"/>
      <c r="BQ87" s="276"/>
      <c r="BR87" s="276"/>
      <c r="BS87" s="276"/>
      <c r="BT87" s="276"/>
      <c r="BU87" s="276"/>
      <c r="BV87" s="276"/>
      <c r="BW87" s="276"/>
      <c r="BX87" s="276"/>
      <c r="BY87" s="276"/>
      <c r="BZ87" s="276"/>
      <c r="CA87" s="254"/>
      <c r="CB87" s="254"/>
      <c r="CC87" s="254"/>
      <c r="CD87" s="254"/>
      <c r="CE87" s="254"/>
      <c r="CF87" s="254"/>
      <c r="CG87" s="254"/>
      <c r="CH87" s="254"/>
      <c r="CI87" s="254"/>
      <c r="CJ87" s="254"/>
      <c r="CK87" s="254"/>
      <c r="CL87" s="254"/>
    </row>
    <row r="88" spans="1:90" outlineLevel="1" x14ac:dyDescent="0.15">
      <c r="A88" s="272"/>
      <c r="B88" s="273"/>
      <c r="C88" s="275">
        <v>48</v>
      </c>
      <c r="D88" s="278">
        <f ca="1"/>
        <v>0</v>
      </c>
      <c r="E88" s="275">
        <f>SAP_Leadsheet!$E$50</f>
        <v>0</v>
      </c>
      <c r="F88" s="275"/>
      <c r="G88" s="276">
        <f>IF($C88+1&gt;G$7,0,IF($D88&gt;SUM(#REF!),$D88/$E88,0))</f>
        <v>0</v>
      </c>
      <c r="H88" s="276">
        <f>IF($C88+1&gt;H$7,0,IF($D88&gt;SUM($G88:G88),$D88/$E88,0))</f>
        <v>0</v>
      </c>
      <c r="I88" s="276">
        <f>IF($C88+1&gt;I$7,0,IF($D88&gt;SUM($G88:H88),$D88/$E88,0))</f>
        <v>0</v>
      </c>
      <c r="J88" s="276">
        <f>IF($C88+1&gt;J$7,0,IF($D88&gt;SUM($G88:I88),$D88/$E88,0))</f>
        <v>0</v>
      </c>
      <c r="K88" s="276">
        <f>IF($C88+1&gt;K$7,0,IF($D88&gt;SUM($G88:J88),$D88/$E88,0))</f>
        <v>0</v>
      </c>
      <c r="L88" s="276">
        <f>IF($C88+1&gt;L$7,0,IF($D88&gt;SUM($G88:K88),$D88/$E88,0))</f>
        <v>0</v>
      </c>
      <c r="M88" s="276">
        <f>IF($C88+1&gt;M$7,0,IF($D88&gt;SUM($G88:L88),$D88/$E88,0))</f>
        <v>0</v>
      </c>
      <c r="N88" s="276">
        <f>IF($C88+1&gt;N$7,0,IF($D88&gt;SUM($G88:M88),$D88/$E88,0))</f>
        <v>0</v>
      </c>
      <c r="O88" s="276">
        <f>IF($C88+1&gt;O$7,0,IF($D88&gt;SUM($G88:N88),$D88/$E88,0))</f>
        <v>0</v>
      </c>
      <c r="P88" s="276">
        <f>IF($C88+1&gt;P$7,0,IF($D88&gt;SUM($G88:O88),$D88/$E88,0))</f>
        <v>0</v>
      </c>
      <c r="Q88" s="276">
        <f>IF($C88+1&gt;Q$7,0,IF($D88&gt;SUM($G88:P88),$D88/$E88,0))</f>
        <v>0</v>
      </c>
      <c r="R88" s="276">
        <f>IF($C88+1&gt;R$7,0,IF($D88&gt;SUM($G88:Q88),$D88/$E88,0))</f>
        <v>0</v>
      </c>
      <c r="S88" s="276">
        <f>IF($C88+1&gt;S$7,0,IF($D88&gt;SUM($G88:R88),$D88/$E88,0))</f>
        <v>0</v>
      </c>
      <c r="T88" s="276">
        <f>IF($C88+1&gt;T$7,0,IF($D88&gt;SUM($G88:S88),$D88/$E88,0))</f>
        <v>0</v>
      </c>
      <c r="U88" s="276">
        <f>IF($C88+1&gt;U$7,0,IF($D88&gt;SUM($G88:T88),$D88/$E88,0))</f>
        <v>0</v>
      </c>
      <c r="V88" s="276">
        <f>IF($C88+1&gt;V$7,0,IF($D88&gt;SUM($G88:U88),$D88/$E88,0))</f>
        <v>0</v>
      </c>
      <c r="W88" s="276">
        <f>IF($C88+1&gt;W$7,0,IF($D88&gt;SUM($G88:V88),$D88/$E88,0))</f>
        <v>0</v>
      </c>
      <c r="X88" s="276">
        <f>IF($C88+1&gt;X$7,0,IF($D88&gt;SUM($G88:W88),$D88/$E88,0))</f>
        <v>0</v>
      </c>
      <c r="Y88" s="276">
        <f>IF($C88+1&gt;Y$7,0,IF($D88&gt;SUM($G88:X88),$D88/$E88,0))</f>
        <v>0</v>
      </c>
      <c r="Z88" s="276">
        <f>IF($C88+1&gt;Z$7,0,IF($D88&gt;SUM($G88:Y88),$D88/$E88,0))</f>
        <v>0</v>
      </c>
      <c r="AA88" s="276">
        <f>IF($C88+1&gt;AA$7,0,IF($D88&gt;SUM($G88:Z88),$D88/$E88,0))</f>
        <v>0</v>
      </c>
      <c r="AB88" s="276">
        <f>IF($C88+1&gt;AB$7,0,IF($D88&gt;SUM($G88:AA88),$D88/$E88,0))</f>
        <v>0</v>
      </c>
      <c r="AC88" s="276">
        <f>IF($C88+1&gt;AC$7,0,IF($D88&gt;SUM($G88:AB88),$D88/$E88,0))</f>
        <v>0</v>
      </c>
      <c r="AD88" s="276">
        <f>IF($C88+1&gt;AD$7,0,IF($D88&gt;SUM($G88:AC88),$D88/$E88,0))</f>
        <v>0</v>
      </c>
      <c r="AE88" s="276">
        <f>IF($C88+1&gt;AE$7,0,IF($D88&gt;SUM($G88:AD88),$D88/$E88,0))</f>
        <v>0</v>
      </c>
      <c r="AF88" s="276">
        <f>IF($C88+1&gt;AF$7,0,IF($D88&gt;SUM($G88:AE88),$D88/$E88,0))</f>
        <v>0</v>
      </c>
      <c r="AG88" s="276">
        <f>IF($C88+1&gt;AG$7,0,IF($D88&gt;SUM($G88:AF88),$D88/$E88,0))</f>
        <v>0</v>
      </c>
      <c r="AH88" s="276">
        <f>IF($C88+1&gt;AH$7,0,IF($D88&gt;SUM($G88:AG88),$D88/$E88,0))</f>
        <v>0</v>
      </c>
      <c r="AI88" s="276">
        <f>IF($C88+1&gt;AI$7,0,IF($D88&gt;SUM($G88:AH88),$D88/$E88,0))</f>
        <v>0</v>
      </c>
      <c r="AJ88" s="276">
        <f>IF($C88+1&gt;AJ$7,0,IF($D88&gt;SUM($G88:AI88),$D88/$E88,0))</f>
        <v>0</v>
      </c>
      <c r="AK88" s="276">
        <f>IF($C88+1&gt;AK$7,0,IF($D88&gt;SUM($G88:AJ88),$D88/$E88,0))</f>
        <v>0</v>
      </c>
      <c r="AL88" s="276">
        <f>IF($C88+1&gt;AL$7,0,IF($D88&gt;SUM($G88:AK88),$D88/$E88,0))</f>
        <v>0</v>
      </c>
      <c r="AM88" s="276">
        <f>IF($C88+1&gt;AM$7,0,IF($D88&gt;SUM($G88:AL88),$D88/$E88,0))</f>
        <v>0</v>
      </c>
      <c r="AN88" s="276">
        <f>IF($C88+1&gt;AN$7,0,IF($D88&gt;SUM($G88:AM88),$D88/$E88,0))</f>
        <v>0</v>
      </c>
      <c r="AO88" s="276">
        <f>IF($C88+1&gt;AO$7,0,IF($D88&gt;SUM($G88:AN88),$D88/$E88,0))</f>
        <v>0</v>
      </c>
      <c r="AP88" s="276">
        <f>IF($C88+1&gt;AP$7,0,IF($D88&gt;SUM($G88:AO88),$D88/$E88,0))</f>
        <v>0</v>
      </c>
      <c r="AQ88" s="276">
        <f>IF($C88+1&gt;AQ$7,0,IF($D88&gt;SUM($G88:AP88),$D88/$E88,0))</f>
        <v>0</v>
      </c>
      <c r="AR88" s="276">
        <f>IF($C88+1&gt;AR$7,0,IF($D88&gt;SUM($G88:AQ88),$D88/$E88,0))</f>
        <v>0</v>
      </c>
      <c r="AS88" s="276">
        <f>IF($C88+1&gt;AS$7,0,IF($D88&gt;SUM($G88:AR88),$D88/$E88,0))</f>
        <v>0</v>
      </c>
      <c r="AT88" s="276">
        <f>IF($C88+1&gt;AT$7,0,IF($D88&gt;SUM($G88:AS88),$D88/$E88,0))</f>
        <v>0</v>
      </c>
      <c r="AU88" s="276">
        <f>IF($C88+1&gt;AU$7,0,IF($D88&gt;SUM($G88:AT88),$D88/$E88,0))</f>
        <v>0</v>
      </c>
      <c r="AV88" s="276">
        <f>IF($C88+1&gt;AV$7,0,IF($D88&gt;SUM($G88:AU88),$D88/$E88,0))</f>
        <v>0</v>
      </c>
      <c r="AW88" s="276">
        <f>IF($C88+1&gt;AW$7,0,IF($D88&gt;SUM($G88:AV88),$D88/$E88,0))</f>
        <v>0</v>
      </c>
      <c r="AX88" s="276">
        <f>IF($C88+1&gt;AX$7,0,IF($D88&gt;SUM($G88:AW88),$D88/$E88,0))</f>
        <v>0</v>
      </c>
      <c r="AY88" s="276">
        <f>IF($C88+1&gt;AY$7,0,IF($D88&gt;SUM($G88:AX88),$D88/$E88,0))</f>
        <v>0</v>
      </c>
      <c r="AZ88" s="276">
        <f>IF($C88+1&gt;AZ$7,0,IF($D88&gt;SUM($G88:AY88),$D88/$E88,0))</f>
        <v>0</v>
      </c>
      <c r="BA88" s="276">
        <f>IF($C88+1&gt;BA$7,0,IF($D88&gt;SUM($G88:AZ88),$D88/$E88,0))</f>
        <v>0</v>
      </c>
      <c r="BB88" s="276">
        <f>IF($C88+1&gt;BB$7,0,IF($D88&gt;SUM($G88:BA88),$D88/$E88,0))</f>
        <v>0</v>
      </c>
      <c r="BC88" s="276">
        <f ca="1">IF($C88+1&gt;BC$7,0,IF($D88&gt;SUM($G88:BB88),$D88/$E88,0))</f>
        <v>0</v>
      </c>
      <c r="BD88" s="276">
        <f ca="1">IF($C88+1&gt;BD$7,0,IF($D88&gt;SUM($G88:BC88),$D88/$E88,0))</f>
        <v>0</v>
      </c>
      <c r="BE88" s="276">
        <f ca="1">IF($C88+1&gt;BE$7,0,IF($D88&gt;SUM($G88:BD88),$D88/$E88,0))</f>
        <v>0</v>
      </c>
      <c r="BF88" s="276">
        <f ca="1">IF($C88+1&gt;BF$7,0,IF($D88&gt;SUM($G88:BE88),$D88/$E88,0))</f>
        <v>0</v>
      </c>
      <c r="BG88" s="276">
        <f ca="1">IF($C88+1&gt;BG$7,0,IF($D88&gt;SUM($G88:BF88),$D88/$E88,0))</f>
        <v>0</v>
      </c>
      <c r="BH88" s="276">
        <f ca="1">IF($C88+1&gt;BH$7,0,IF($D88&gt;SUM($G88:BG88),$D88/$E88,0))</f>
        <v>0</v>
      </c>
      <c r="BI88" s="276">
        <f ca="1">IF($C88+1&gt;BI$7,0,IF($D88&gt;SUM($G88:BH88),$D88/$E88,0))</f>
        <v>0</v>
      </c>
      <c r="BJ88" s="276">
        <f ca="1">IF($C88+1&gt;BJ$7,0,IF($D88&gt;SUM($G88:BI88),$D88/$E88,0))</f>
        <v>0</v>
      </c>
      <c r="BK88" s="276">
        <f ca="1">IF($C88+1&gt;BK$7,0,IF($D88&gt;SUM($G88:BJ88),$D88/$E88,0))</f>
        <v>0</v>
      </c>
      <c r="BL88" s="276">
        <f ca="1">IF($C88+1&gt;BL$7,0,IF($D88&gt;SUM($G88:BK88),$D88/$E88,0))</f>
        <v>0</v>
      </c>
      <c r="BM88" s="276">
        <f ca="1">IF($C88+1&gt;BM$7,0,IF($D88&gt;SUM($G88:BL88),$D88/$E88,0))</f>
        <v>0</v>
      </c>
      <c r="BN88" s="276">
        <f ca="1">IF($C88+1&gt;BN$7,0,IF($D88&gt;SUM($G88:BM88),$D88/$E88,0))</f>
        <v>0</v>
      </c>
      <c r="BO88" s="276"/>
      <c r="BP88" s="276"/>
      <c r="BQ88" s="276"/>
      <c r="BR88" s="276"/>
      <c r="BS88" s="276"/>
      <c r="BT88" s="276"/>
      <c r="BU88" s="276"/>
      <c r="BV88" s="276"/>
      <c r="BW88" s="276"/>
      <c r="BX88" s="276"/>
      <c r="BY88" s="276"/>
      <c r="BZ88" s="276"/>
      <c r="CA88" s="254"/>
      <c r="CB88" s="254"/>
      <c r="CC88" s="254"/>
      <c r="CD88" s="254"/>
      <c r="CE88" s="254"/>
      <c r="CF88" s="254"/>
      <c r="CG88" s="254"/>
      <c r="CH88" s="254"/>
      <c r="CI88" s="254"/>
      <c r="CJ88" s="254"/>
      <c r="CK88" s="254"/>
      <c r="CL88" s="254"/>
    </row>
    <row r="89" spans="1:90" outlineLevel="1" x14ac:dyDescent="0.15">
      <c r="A89" s="272"/>
      <c r="B89" s="273"/>
      <c r="C89" s="275">
        <v>49</v>
      </c>
      <c r="D89" s="278">
        <f ca="1"/>
        <v>0</v>
      </c>
      <c r="E89" s="275">
        <f>SAP_Leadsheet!$E$50</f>
        <v>0</v>
      </c>
      <c r="F89" s="275"/>
      <c r="G89" s="276">
        <f>IF($C89+1&gt;G$7,0,IF($D89&gt;SUM(#REF!),$D89/$E89,0))</f>
        <v>0</v>
      </c>
      <c r="H89" s="276">
        <f>IF($C89+1&gt;H$7,0,IF($D89&gt;SUM($G89:G89),$D89/$E89,0))</f>
        <v>0</v>
      </c>
      <c r="I89" s="276">
        <f>IF($C89+1&gt;I$7,0,IF($D89&gt;SUM($G89:H89),$D89/$E89,0))</f>
        <v>0</v>
      </c>
      <c r="J89" s="276">
        <f>IF($C89+1&gt;J$7,0,IF($D89&gt;SUM($G89:I89),$D89/$E89,0))</f>
        <v>0</v>
      </c>
      <c r="K89" s="276">
        <f>IF($C89+1&gt;K$7,0,IF($D89&gt;SUM($G89:J89),$D89/$E89,0))</f>
        <v>0</v>
      </c>
      <c r="L89" s="276">
        <f>IF($C89+1&gt;L$7,0,IF($D89&gt;SUM($G89:K89),$D89/$E89,0))</f>
        <v>0</v>
      </c>
      <c r="M89" s="276">
        <f>IF($C89+1&gt;M$7,0,IF($D89&gt;SUM($G89:L89),$D89/$E89,0))</f>
        <v>0</v>
      </c>
      <c r="N89" s="276">
        <f>IF($C89+1&gt;N$7,0,IF($D89&gt;SUM($G89:M89),$D89/$E89,0))</f>
        <v>0</v>
      </c>
      <c r="O89" s="276">
        <f>IF($C89+1&gt;O$7,0,IF($D89&gt;SUM($G89:N89),$D89/$E89,0))</f>
        <v>0</v>
      </c>
      <c r="P89" s="276">
        <f>IF($C89+1&gt;P$7,0,IF($D89&gt;SUM($G89:O89),$D89/$E89,0))</f>
        <v>0</v>
      </c>
      <c r="Q89" s="276">
        <f>IF($C89+1&gt;Q$7,0,IF($D89&gt;SUM($G89:P89),$D89/$E89,0))</f>
        <v>0</v>
      </c>
      <c r="R89" s="276">
        <f>IF($C89+1&gt;R$7,0,IF($D89&gt;SUM($G89:Q89),$D89/$E89,0))</f>
        <v>0</v>
      </c>
      <c r="S89" s="276">
        <f>IF($C89+1&gt;S$7,0,IF($D89&gt;SUM($G89:R89),$D89/$E89,0))</f>
        <v>0</v>
      </c>
      <c r="T89" s="276">
        <f>IF($C89+1&gt;T$7,0,IF($D89&gt;SUM($G89:S89),$D89/$E89,0))</f>
        <v>0</v>
      </c>
      <c r="U89" s="276">
        <f>IF($C89+1&gt;U$7,0,IF($D89&gt;SUM($G89:T89),$D89/$E89,0))</f>
        <v>0</v>
      </c>
      <c r="V89" s="276">
        <f>IF($C89+1&gt;V$7,0,IF($D89&gt;SUM($G89:U89),$D89/$E89,0))</f>
        <v>0</v>
      </c>
      <c r="W89" s="276">
        <f>IF($C89+1&gt;W$7,0,IF($D89&gt;SUM($G89:V89),$D89/$E89,0))</f>
        <v>0</v>
      </c>
      <c r="X89" s="276">
        <f>IF($C89+1&gt;X$7,0,IF($D89&gt;SUM($G89:W89),$D89/$E89,0))</f>
        <v>0</v>
      </c>
      <c r="Y89" s="276">
        <f>IF($C89+1&gt;Y$7,0,IF($D89&gt;SUM($G89:X89),$D89/$E89,0))</f>
        <v>0</v>
      </c>
      <c r="Z89" s="276">
        <f>IF($C89+1&gt;Z$7,0,IF($D89&gt;SUM($G89:Y89),$D89/$E89,0))</f>
        <v>0</v>
      </c>
      <c r="AA89" s="276">
        <f>IF($C89+1&gt;AA$7,0,IF($D89&gt;SUM($G89:Z89),$D89/$E89,0))</f>
        <v>0</v>
      </c>
      <c r="AB89" s="276">
        <f>IF($C89+1&gt;AB$7,0,IF($D89&gt;SUM($G89:AA89),$D89/$E89,0))</f>
        <v>0</v>
      </c>
      <c r="AC89" s="276">
        <f>IF($C89+1&gt;AC$7,0,IF($D89&gt;SUM($G89:AB89),$D89/$E89,0))</f>
        <v>0</v>
      </c>
      <c r="AD89" s="276">
        <f>IF($C89+1&gt;AD$7,0,IF($D89&gt;SUM($G89:AC89),$D89/$E89,0))</f>
        <v>0</v>
      </c>
      <c r="AE89" s="276">
        <f>IF($C89+1&gt;AE$7,0,IF($D89&gt;SUM($G89:AD89),$D89/$E89,0))</f>
        <v>0</v>
      </c>
      <c r="AF89" s="276">
        <f>IF($C89+1&gt;AF$7,0,IF($D89&gt;SUM($G89:AE89),$D89/$E89,0))</f>
        <v>0</v>
      </c>
      <c r="AG89" s="276">
        <f>IF($C89+1&gt;AG$7,0,IF($D89&gt;SUM($G89:AF89),$D89/$E89,0))</f>
        <v>0</v>
      </c>
      <c r="AH89" s="276">
        <f>IF($C89+1&gt;AH$7,0,IF($D89&gt;SUM($G89:AG89),$D89/$E89,0))</f>
        <v>0</v>
      </c>
      <c r="AI89" s="276">
        <f>IF($C89+1&gt;AI$7,0,IF($D89&gt;SUM($G89:AH89),$D89/$E89,0))</f>
        <v>0</v>
      </c>
      <c r="AJ89" s="276">
        <f>IF($C89+1&gt;AJ$7,0,IF($D89&gt;SUM($G89:AI89),$D89/$E89,0))</f>
        <v>0</v>
      </c>
      <c r="AK89" s="276">
        <f>IF($C89+1&gt;AK$7,0,IF($D89&gt;SUM($G89:AJ89),$D89/$E89,0))</f>
        <v>0</v>
      </c>
      <c r="AL89" s="276">
        <f>IF($C89+1&gt;AL$7,0,IF($D89&gt;SUM($G89:AK89),$D89/$E89,0))</f>
        <v>0</v>
      </c>
      <c r="AM89" s="276">
        <f>IF($C89+1&gt;AM$7,0,IF($D89&gt;SUM($G89:AL89),$D89/$E89,0))</f>
        <v>0</v>
      </c>
      <c r="AN89" s="276">
        <f>IF($C89+1&gt;AN$7,0,IF($D89&gt;SUM($G89:AM89),$D89/$E89,0))</f>
        <v>0</v>
      </c>
      <c r="AO89" s="276">
        <f>IF($C89+1&gt;AO$7,0,IF($D89&gt;SUM($G89:AN89),$D89/$E89,0))</f>
        <v>0</v>
      </c>
      <c r="AP89" s="276">
        <f>IF($C89+1&gt;AP$7,0,IF($D89&gt;SUM($G89:AO89),$D89/$E89,0))</f>
        <v>0</v>
      </c>
      <c r="AQ89" s="276">
        <f>IF($C89+1&gt;AQ$7,0,IF($D89&gt;SUM($G89:AP89),$D89/$E89,0))</f>
        <v>0</v>
      </c>
      <c r="AR89" s="276">
        <f>IF($C89+1&gt;AR$7,0,IF($D89&gt;SUM($G89:AQ89),$D89/$E89,0))</f>
        <v>0</v>
      </c>
      <c r="AS89" s="276">
        <f>IF($C89+1&gt;AS$7,0,IF($D89&gt;SUM($G89:AR89),$D89/$E89,0))</f>
        <v>0</v>
      </c>
      <c r="AT89" s="276">
        <f>IF($C89+1&gt;AT$7,0,IF($D89&gt;SUM($G89:AS89),$D89/$E89,0))</f>
        <v>0</v>
      </c>
      <c r="AU89" s="276">
        <f>IF($C89+1&gt;AU$7,0,IF($D89&gt;SUM($G89:AT89),$D89/$E89,0))</f>
        <v>0</v>
      </c>
      <c r="AV89" s="276">
        <f>IF($C89+1&gt;AV$7,0,IF($D89&gt;SUM($G89:AU89),$D89/$E89,0))</f>
        <v>0</v>
      </c>
      <c r="AW89" s="276">
        <f>IF($C89+1&gt;AW$7,0,IF($D89&gt;SUM($G89:AV89),$D89/$E89,0))</f>
        <v>0</v>
      </c>
      <c r="AX89" s="276">
        <f>IF($C89+1&gt;AX$7,0,IF($D89&gt;SUM($G89:AW89),$D89/$E89,0))</f>
        <v>0</v>
      </c>
      <c r="AY89" s="276">
        <f>IF($C89+1&gt;AY$7,0,IF($D89&gt;SUM($G89:AX89),$D89/$E89,0))</f>
        <v>0</v>
      </c>
      <c r="AZ89" s="276">
        <f>IF($C89+1&gt;AZ$7,0,IF($D89&gt;SUM($G89:AY89),$D89/$E89,0))</f>
        <v>0</v>
      </c>
      <c r="BA89" s="276">
        <f>IF($C89+1&gt;BA$7,0,IF($D89&gt;SUM($G89:AZ89),$D89/$E89,0))</f>
        <v>0</v>
      </c>
      <c r="BB89" s="276">
        <f>IF($C89+1&gt;BB$7,0,IF($D89&gt;SUM($G89:BA89),$D89/$E89,0))</f>
        <v>0</v>
      </c>
      <c r="BC89" s="276">
        <f>IF($C89+1&gt;BC$7,0,IF($D89&gt;SUM($G89:BB89),$D89/$E89,0))</f>
        <v>0</v>
      </c>
      <c r="BD89" s="276">
        <f ca="1">IF($C89+1&gt;BD$7,0,IF($D89&gt;SUM($G89:BC89),$D89/$E89,0))</f>
        <v>0</v>
      </c>
      <c r="BE89" s="276">
        <f ca="1">IF($C89+1&gt;BE$7,0,IF($D89&gt;SUM($G89:BD89),$D89/$E89,0))</f>
        <v>0</v>
      </c>
      <c r="BF89" s="276">
        <f ca="1">IF($C89+1&gt;BF$7,0,IF($D89&gt;SUM($G89:BE89),$D89/$E89,0))</f>
        <v>0</v>
      </c>
      <c r="BG89" s="276">
        <f ca="1">IF($C89+1&gt;BG$7,0,IF($D89&gt;SUM($G89:BF89),$D89/$E89,0))</f>
        <v>0</v>
      </c>
      <c r="BH89" s="276">
        <f ca="1">IF($C89+1&gt;BH$7,0,IF($D89&gt;SUM($G89:BG89),$D89/$E89,0))</f>
        <v>0</v>
      </c>
      <c r="BI89" s="276">
        <f ca="1">IF($C89+1&gt;BI$7,0,IF($D89&gt;SUM($G89:BH89),$D89/$E89,0))</f>
        <v>0</v>
      </c>
      <c r="BJ89" s="276">
        <f ca="1">IF($C89+1&gt;BJ$7,0,IF($D89&gt;SUM($G89:BI89),$D89/$E89,0))</f>
        <v>0</v>
      </c>
      <c r="BK89" s="276">
        <f ca="1">IF($C89+1&gt;BK$7,0,IF($D89&gt;SUM($G89:BJ89),$D89/$E89,0))</f>
        <v>0</v>
      </c>
      <c r="BL89" s="276">
        <f ca="1">IF($C89+1&gt;BL$7,0,IF($D89&gt;SUM($G89:BK89),$D89/$E89,0))</f>
        <v>0</v>
      </c>
      <c r="BM89" s="276">
        <f ca="1">IF($C89+1&gt;BM$7,0,IF($D89&gt;SUM($G89:BL89),$D89/$E89,0))</f>
        <v>0</v>
      </c>
      <c r="BN89" s="276">
        <f ca="1">IF($C89+1&gt;BN$7,0,IF($D89&gt;SUM($G89:BM89),$D89/$E89,0))</f>
        <v>0</v>
      </c>
      <c r="BO89" s="276"/>
      <c r="BP89" s="276"/>
      <c r="BQ89" s="276"/>
      <c r="BR89" s="276"/>
      <c r="BS89" s="276"/>
      <c r="BT89" s="276"/>
      <c r="BU89" s="276"/>
      <c r="BV89" s="276"/>
      <c r="BW89" s="276"/>
      <c r="BX89" s="276"/>
      <c r="BY89" s="276"/>
      <c r="BZ89" s="276"/>
      <c r="CA89" s="254"/>
      <c r="CB89" s="254"/>
      <c r="CC89" s="254"/>
      <c r="CD89" s="254"/>
      <c r="CE89" s="254"/>
      <c r="CF89" s="254"/>
      <c r="CG89" s="254"/>
      <c r="CH89" s="254"/>
      <c r="CI89" s="254"/>
      <c r="CJ89" s="254"/>
      <c r="CK89" s="254"/>
      <c r="CL89" s="254"/>
    </row>
    <row r="90" spans="1:90" outlineLevel="1" x14ac:dyDescent="0.15">
      <c r="A90" s="272"/>
      <c r="B90" s="273"/>
      <c r="C90" s="275">
        <v>50</v>
      </c>
      <c r="D90" s="278">
        <f ca="1"/>
        <v>0</v>
      </c>
      <c r="E90" s="275">
        <f>SAP_Leadsheet!$E$50</f>
        <v>0</v>
      </c>
      <c r="F90" s="275"/>
      <c r="G90" s="276">
        <f>IF($C90+1&gt;G$7,0,IF($D90&gt;SUM(#REF!),$D90/$E90,0))</f>
        <v>0</v>
      </c>
      <c r="H90" s="276">
        <f>IF($C90+1&gt;H$7,0,IF($D90&gt;SUM($G90:G90),$D90/$E90,0))</f>
        <v>0</v>
      </c>
      <c r="I90" s="276">
        <f>IF($C90+1&gt;I$7,0,IF($D90&gt;SUM($G90:H90),$D90/$E90,0))</f>
        <v>0</v>
      </c>
      <c r="J90" s="276">
        <f>IF($C90+1&gt;J$7,0,IF($D90&gt;SUM($G90:I90),$D90/$E90,0))</f>
        <v>0</v>
      </c>
      <c r="K90" s="276">
        <f>IF($C90+1&gt;K$7,0,IF($D90&gt;SUM($G90:J90),$D90/$E90,0))</f>
        <v>0</v>
      </c>
      <c r="L90" s="276">
        <f>IF($C90+1&gt;L$7,0,IF($D90&gt;SUM($G90:K90),$D90/$E90,0))</f>
        <v>0</v>
      </c>
      <c r="M90" s="276">
        <f>IF($C90+1&gt;M$7,0,IF($D90&gt;SUM($G90:L90),$D90/$E90,0))</f>
        <v>0</v>
      </c>
      <c r="N90" s="276">
        <f>IF($C90+1&gt;N$7,0,IF($D90&gt;SUM($G90:M90),$D90/$E90,0))</f>
        <v>0</v>
      </c>
      <c r="O90" s="276">
        <f>IF($C90+1&gt;O$7,0,IF($D90&gt;SUM($G90:N90),$D90/$E90,0))</f>
        <v>0</v>
      </c>
      <c r="P90" s="276">
        <f>IF($C90+1&gt;P$7,0,IF($D90&gt;SUM($G90:O90),$D90/$E90,0))</f>
        <v>0</v>
      </c>
      <c r="Q90" s="276">
        <f>IF($C90+1&gt;Q$7,0,IF($D90&gt;SUM($G90:P90),$D90/$E90,0))</f>
        <v>0</v>
      </c>
      <c r="R90" s="276">
        <f>IF($C90+1&gt;R$7,0,IF($D90&gt;SUM($G90:Q90),$D90/$E90,0))</f>
        <v>0</v>
      </c>
      <c r="S90" s="276">
        <f>IF($C90+1&gt;S$7,0,IF($D90&gt;SUM($G90:R90),$D90/$E90,0))</f>
        <v>0</v>
      </c>
      <c r="T90" s="276">
        <f>IF($C90+1&gt;T$7,0,IF($D90&gt;SUM($G90:S90),$D90/$E90,0))</f>
        <v>0</v>
      </c>
      <c r="U90" s="276">
        <f>IF($C90+1&gt;U$7,0,IF($D90&gt;SUM($G90:T90),$D90/$E90,0))</f>
        <v>0</v>
      </c>
      <c r="V90" s="276">
        <f>IF($C90+1&gt;V$7,0,IF($D90&gt;SUM($G90:U90),$D90/$E90,0))</f>
        <v>0</v>
      </c>
      <c r="W90" s="276">
        <f>IF($C90+1&gt;W$7,0,IF($D90&gt;SUM($G90:V90),$D90/$E90,0))</f>
        <v>0</v>
      </c>
      <c r="X90" s="276">
        <f>IF($C90+1&gt;X$7,0,IF($D90&gt;SUM($G90:W90),$D90/$E90,0))</f>
        <v>0</v>
      </c>
      <c r="Y90" s="276">
        <f>IF($C90+1&gt;Y$7,0,IF($D90&gt;SUM($G90:X90),$D90/$E90,0))</f>
        <v>0</v>
      </c>
      <c r="Z90" s="276">
        <f>IF($C90+1&gt;Z$7,0,IF($D90&gt;SUM($G90:Y90),$D90/$E90,0))</f>
        <v>0</v>
      </c>
      <c r="AA90" s="276">
        <f>IF($C90+1&gt;AA$7,0,IF($D90&gt;SUM($G90:Z90),$D90/$E90,0))</f>
        <v>0</v>
      </c>
      <c r="AB90" s="276">
        <f>IF($C90+1&gt;AB$7,0,IF($D90&gt;SUM($G90:AA90),$D90/$E90,0))</f>
        <v>0</v>
      </c>
      <c r="AC90" s="276">
        <f>IF($C90+1&gt;AC$7,0,IF($D90&gt;SUM($G90:AB90),$D90/$E90,0))</f>
        <v>0</v>
      </c>
      <c r="AD90" s="276">
        <f>IF($C90+1&gt;AD$7,0,IF($D90&gt;SUM($G90:AC90),$D90/$E90,0))</f>
        <v>0</v>
      </c>
      <c r="AE90" s="276">
        <f>IF($C90+1&gt;AE$7,0,IF($D90&gt;SUM($G90:AD90),$D90/$E90,0))</f>
        <v>0</v>
      </c>
      <c r="AF90" s="276">
        <f>IF($C90+1&gt;AF$7,0,IF($D90&gt;SUM($G90:AE90),$D90/$E90,0))</f>
        <v>0</v>
      </c>
      <c r="AG90" s="276">
        <f>IF($C90+1&gt;AG$7,0,IF($D90&gt;SUM($G90:AF90),$D90/$E90,0))</f>
        <v>0</v>
      </c>
      <c r="AH90" s="276">
        <f>IF($C90+1&gt;AH$7,0,IF($D90&gt;SUM($G90:AG90),$D90/$E90,0))</f>
        <v>0</v>
      </c>
      <c r="AI90" s="276">
        <f>IF($C90+1&gt;AI$7,0,IF($D90&gt;SUM($G90:AH90),$D90/$E90,0))</f>
        <v>0</v>
      </c>
      <c r="AJ90" s="276">
        <f>IF($C90+1&gt;AJ$7,0,IF($D90&gt;SUM($G90:AI90),$D90/$E90,0))</f>
        <v>0</v>
      </c>
      <c r="AK90" s="276">
        <f>IF($C90+1&gt;AK$7,0,IF($D90&gt;SUM($G90:AJ90),$D90/$E90,0))</f>
        <v>0</v>
      </c>
      <c r="AL90" s="276">
        <f>IF($C90+1&gt;AL$7,0,IF($D90&gt;SUM($G90:AK90),$D90/$E90,0))</f>
        <v>0</v>
      </c>
      <c r="AM90" s="276">
        <f>IF($C90+1&gt;AM$7,0,IF($D90&gt;SUM($G90:AL90),$D90/$E90,0))</f>
        <v>0</v>
      </c>
      <c r="AN90" s="276">
        <f>IF($C90+1&gt;AN$7,0,IF($D90&gt;SUM($G90:AM90),$D90/$E90,0))</f>
        <v>0</v>
      </c>
      <c r="AO90" s="276">
        <f>IF($C90+1&gt;AO$7,0,IF($D90&gt;SUM($G90:AN90),$D90/$E90,0))</f>
        <v>0</v>
      </c>
      <c r="AP90" s="276">
        <f>IF($C90+1&gt;AP$7,0,IF($D90&gt;SUM($G90:AO90),$D90/$E90,0))</f>
        <v>0</v>
      </c>
      <c r="AQ90" s="276">
        <f>IF($C90+1&gt;AQ$7,0,IF($D90&gt;SUM($G90:AP90),$D90/$E90,0))</f>
        <v>0</v>
      </c>
      <c r="AR90" s="276">
        <f>IF($C90+1&gt;AR$7,0,IF($D90&gt;SUM($G90:AQ90),$D90/$E90,0))</f>
        <v>0</v>
      </c>
      <c r="AS90" s="276">
        <f>IF($C90+1&gt;AS$7,0,IF($D90&gt;SUM($G90:AR90),$D90/$E90,0))</f>
        <v>0</v>
      </c>
      <c r="AT90" s="276">
        <f>IF($C90+1&gt;AT$7,0,IF($D90&gt;SUM($G90:AS90),$D90/$E90,0))</f>
        <v>0</v>
      </c>
      <c r="AU90" s="276">
        <f>IF($C90+1&gt;AU$7,0,IF($D90&gt;SUM($G90:AT90),$D90/$E90,0))</f>
        <v>0</v>
      </c>
      <c r="AV90" s="276">
        <f>IF($C90+1&gt;AV$7,0,IF($D90&gt;SUM($G90:AU90),$D90/$E90,0))</f>
        <v>0</v>
      </c>
      <c r="AW90" s="276">
        <f>IF($C90+1&gt;AW$7,0,IF($D90&gt;SUM($G90:AV90),$D90/$E90,0))</f>
        <v>0</v>
      </c>
      <c r="AX90" s="276">
        <f>IF($C90+1&gt;AX$7,0,IF($D90&gt;SUM($G90:AW90),$D90/$E90,0))</f>
        <v>0</v>
      </c>
      <c r="AY90" s="276">
        <f>IF($C90+1&gt;AY$7,0,IF($D90&gt;SUM($G90:AX90),$D90/$E90,0))</f>
        <v>0</v>
      </c>
      <c r="AZ90" s="276">
        <f>IF($C90+1&gt;AZ$7,0,IF($D90&gt;SUM($G90:AY90),$D90/$E90,0))</f>
        <v>0</v>
      </c>
      <c r="BA90" s="276">
        <f>IF($C90+1&gt;BA$7,0,IF($D90&gt;SUM($G90:AZ90),$D90/$E90,0))</f>
        <v>0</v>
      </c>
      <c r="BB90" s="276">
        <f>IF($C90+1&gt;BB$7,0,IF($D90&gt;SUM($G90:BA90),$D90/$E90,0))</f>
        <v>0</v>
      </c>
      <c r="BC90" s="276">
        <f>IF($C90+1&gt;BC$7,0,IF($D90&gt;SUM($G90:BB90),$D90/$E90,0))</f>
        <v>0</v>
      </c>
      <c r="BD90" s="276">
        <f>IF($C90+1&gt;BD$7,0,IF($D90&gt;SUM($G90:BC90),$D90/$E90,0))</f>
        <v>0</v>
      </c>
      <c r="BE90" s="276">
        <f ca="1">IF($C90+1&gt;BE$7,0,IF($D90&gt;SUM($G90:BD90),$D90/$E90,0))</f>
        <v>0</v>
      </c>
      <c r="BF90" s="276">
        <f ca="1">IF($C90+1&gt;BF$7,0,IF($D90&gt;SUM($G90:BE90),$D90/$E90,0))</f>
        <v>0</v>
      </c>
      <c r="BG90" s="276">
        <f ca="1">IF($C90+1&gt;BG$7,0,IF($D90&gt;SUM($G90:BF90),$D90/$E90,0))</f>
        <v>0</v>
      </c>
      <c r="BH90" s="276">
        <f ca="1">IF($C90+1&gt;BH$7,0,IF($D90&gt;SUM($G90:BG90),$D90/$E90,0))</f>
        <v>0</v>
      </c>
      <c r="BI90" s="276">
        <f ca="1">IF($C90+1&gt;BI$7,0,IF($D90&gt;SUM($G90:BH90),$D90/$E90,0))</f>
        <v>0</v>
      </c>
      <c r="BJ90" s="276">
        <f ca="1">IF($C90+1&gt;BJ$7,0,IF($D90&gt;SUM($G90:BI90),$D90/$E90,0))</f>
        <v>0</v>
      </c>
      <c r="BK90" s="276">
        <f ca="1">IF($C90+1&gt;BK$7,0,IF($D90&gt;SUM($G90:BJ90),$D90/$E90,0))</f>
        <v>0</v>
      </c>
      <c r="BL90" s="276">
        <f ca="1">IF($C90+1&gt;BL$7,0,IF($D90&gt;SUM($G90:BK90),$D90/$E90,0))</f>
        <v>0</v>
      </c>
      <c r="BM90" s="276">
        <f ca="1">IF($C90+1&gt;BM$7,0,IF($D90&gt;SUM($G90:BL90),$D90/$E90,0))</f>
        <v>0</v>
      </c>
      <c r="BN90" s="276">
        <f ca="1">IF($C90+1&gt;BN$7,0,IF($D90&gt;SUM($G90:BM90),$D90/$E90,0))</f>
        <v>0</v>
      </c>
      <c r="BO90" s="276"/>
      <c r="BP90" s="276"/>
      <c r="BQ90" s="276"/>
      <c r="BR90" s="276"/>
      <c r="BS90" s="276"/>
      <c r="BT90" s="276"/>
      <c r="BU90" s="276"/>
      <c r="BV90" s="276"/>
      <c r="BW90" s="276"/>
      <c r="BX90" s="276"/>
      <c r="BY90" s="276"/>
      <c r="BZ90" s="276"/>
      <c r="CA90" s="254"/>
      <c r="CB90" s="254"/>
      <c r="CC90" s="254"/>
      <c r="CD90" s="254"/>
      <c r="CE90" s="254"/>
      <c r="CF90" s="254"/>
      <c r="CG90" s="254"/>
      <c r="CH90" s="254"/>
      <c r="CI90" s="254"/>
      <c r="CJ90" s="254"/>
      <c r="CK90" s="254"/>
      <c r="CL90" s="254"/>
    </row>
    <row r="91" spans="1:90" outlineLevel="1" x14ac:dyDescent="0.15">
      <c r="A91" s="272"/>
      <c r="B91" s="273"/>
      <c r="C91" s="275">
        <v>51</v>
      </c>
      <c r="D91" s="278">
        <f ca="1"/>
        <v>0</v>
      </c>
      <c r="E91" s="275">
        <f>SAP_Leadsheet!$E$50</f>
        <v>0</v>
      </c>
      <c r="F91" s="275"/>
      <c r="G91" s="276">
        <f>IF($C91+1&gt;G$7,0,IF($D91&gt;SUM(#REF!),$D91/$E91,0))</f>
        <v>0</v>
      </c>
      <c r="H91" s="276">
        <f>IF($C91+1&gt;H$7,0,IF($D91&gt;SUM($G91:G91),$D91/$E91,0))</f>
        <v>0</v>
      </c>
      <c r="I91" s="276">
        <f>IF($C91+1&gt;I$7,0,IF($D91&gt;SUM($G91:H91),$D91/$E91,0))</f>
        <v>0</v>
      </c>
      <c r="J91" s="276">
        <f>IF($C91+1&gt;J$7,0,IF($D91&gt;SUM($G91:I91),$D91/$E91,0))</f>
        <v>0</v>
      </c>
      <c r="K91" s="276">
        <f>IF($C91+1&gt;K$7,0,IF($D91&gt;SUM($G91:J91),$D91/$E91,0))</f>
        <v>0</v>
      </c>
      <c r="L91" s="276">
        <f>IF($C91+1&gt;L$7,0,IF($D91&gt;SUM($G91:K91),$D91/$E91,0))</f>
        <v>0</v>
      </c>
      <c r="M91" s="276">
        <f>IF($C91+1&gt;M$7,0,IF($D91&gt;SUM($G91:L91),$D91/$E91,0))</f>
        <v>0</v>
      </c>
      <c r="N91" s="276">
        <f>IF($C91+1&gt;N$7,0,IF($D91&gt;SUM($G91:M91),$D91/$E91,0))</f>
        <v>0</v>
      </c>
      <c r="O91" s="276">
        <f>IF($C91+1&gt;O$7,0,IF($D91&gt;SUM($G91:N91),$D91/$E91,0))</f>
        <v>0</v>
      </c>
      <c r="P91" s="276">
        <f>IF($C91+1&gt;P$7,0,IF($D91&gt;SUM($G91:O91),$D91/$E91,0))</f>
        <v>0</v>
      </c>
      <c r="Q91" s="276">
        <f>IF($C91+1&gt;Q$7,0,IF($D91&gt;SUM($G91:P91),$D91/$E91,0))</f>
        <v>0</v>
      </c>
      <c r="R91" s="276">
        <f>IF($C91+1&gt;R$7,0,IF($D91&gt;SUM($G91:Q91),$D91/$E91,0))</f>
        <v>0</v>
      </c>
      <c r="S91" s="276">
        <f>IF($C91+1&gt;S$7,0,IF($D91&gt;SUM($G91:R91),$D91/$E91,0))</f>
        <v>0</v>
      </c>
      <c r="T91" s="276">
        <f>IF($C91+1&gt;T$7,0,IF($D91&gt;SUM($G91:S91),$D91/$E91,0))</f>
        <v>0</v>
      </c>
      <c r="U91" s="276">
        <f>IF($C91+1&gt;U$7,0,IF($D91&gt;SUM($G91:T91),$D91/$E91,0))</f>
        <v>0</v>
      </c>
      <c r="V91" s="276">
        <f>IF($C91+1&gt;V$7,0,IF($D91&gt;SUM($G91:U91),$D91/$E91,0))</f>
        <v>0</v>
      </c>
      <c r="W91" s="276">
        <f>IF($C91+1&gt;W$7,0,IF($D91&gt;SUM($G91:V91),$D91/$E91,0))</f>
        <v>0</v>
      </c>
      <c r="X91" s="276">
        <f>IF($C91+1&gt;X$7,0,IF($D91&gt;SUM($G91:W91),$D91/$E91,0))</f>
        <v>0</v>
      </c>
      <c r="Y91" s="276">
        <f>IF($C91+1&gt;Y$7,0,IF($D91&gt;SUM($G91:X91),$D91/$E91,0))</f>
        <v>0</v>
      </c>
      <c r="Z91" s="276">
        <f>IF($C91+1&gt;Z$7,0,IF($D91&gt;SUM($G91:Y91),$D91/$E91,0))</f>
        <v>0</v>
      </c>
      <c r="AA91" s="276">
        <f>IF($C91+1&gt;AA$7,0,IF($D91&gt;SUM($G91:Z91),$D91/$E91,0))</f>
        <v>0</v>
      </c>
      <c r="AB91" s="276">
        <f>IF($C91+1&gt;AB$7,0,IF($D91&gt;SUM($G91:AA91),$D91/$E91,0))</f>
        <v>0</v>
      </c>
      <c r="AC91" s="276">
        <f>IF($C91+1&gt;AC$7,0,IF($D91&gt;SUM($G91:AB91),$D91/$E91,0))</f>
        <v>0</v>
      </c>
      <c r="AD91" s="276">
        <f>IF($C91+1&gt;AD$7,0,IF($D91&gt;SUM($G91:AC91),$D91/$E91,0))</f>
        <v>0</v>
      </c>
      <c r="AE91" s="276">
        <f>IF($C91+1&gt;AE$7,0,IF($D91&gt;SUM($G91:AD91),$D91/$E91,0))</f>
        <v>0</v>
      </c>
      <c r="AF91" s="276">
        <f>IF($C91+1&gt;AF$7,0,IF($D91&gt;SUM($G91:AE91),$D91/$E91,0))</f>
        <v>0</v>
      </c>
      <c r="AG91" s="276">
        <f>IF($C91+1&gt;AG$7,0,IF($D91&gt;SUM($G91:AF91),$D91/$E91,0))</f>
        <v>0</v>
      </c>
      <c r="AH91" s="276">
        <f>IF($C91+1&gt;AH$7,0,IF($D91&gt;SUM($G91:AG91),$D91/$E91,0))</f>
        <v>0</v>
      </c>
      <c r="AI91" s="276">
        <f>IF($C91+1&gt;AI$7,0,IF($D91&gt;SUM($G91:AH91),$D91/$E91,0))</f>
        <v>0</v>
      </c>
      <c r="AJ91" s="276">
        <f>IF($C91+1&gt;AJ$7,0,IF($D91&gt;SUM($G91:AI91),$D91/$E91,0))</f>
        <v>0</v>
      </c>
      <c r="AK91" s="276">
        <f>IF($C91+1&gt;AK$7,0,IF($D91&gt;SUM($G91:AJ91),$D91/$E91,0))</f>
        <v>0</v>
      </c>
      <c r="AL91" s="276">
        <f>IF($C91+1&gt;AL$7,0,IF($D91&gt;SUM($G91:AK91),$D91/$E91,0))</f>
        <v>0</v>
      </c>
      <c r="AM91" s="276">
        <f>IF($C91+1&gt;AM$7,0,IF($D91&gt;SUM($G91:AL91),$D91/$E91,0))</f>
        <v>0</v>
      </c>
      <c r="AN91" s="276">
        <f>IF($C91+1&gt;AN$7,0,IF($D91&gt;SUM($G91:AM91),$D91/$E91,0))</f>
        <v>0</v>
      </c>
      <c r="AO91" s="276">
        <f>IF($C91+1&gt;AO$7,0,IF($D91&gt;SUM($G91:AN91),$D91/$E91,0))</f>
        <v>0</v>
      </c>
      <c r="AP91" s="276">
        <f>IF($C91+1&gt;AP$7,0,IF($D91&gt;SUM($G91:AO91),$D91/$E91,0))</f>
        <v>0</v>
      </c>
      <c r="AQ91" s="276">
        <f>IF($C91+1&gt;AQ$7,0,IF($D91&gt;SUM($G91:AP91),$D91/$E91,0))</f>
        <v>0</v>
      </c>
      <c r="AR91" s="276">
        <f>IF($C91+1&gt;AR$7,0,IF($D91&gt;SUM($G91:AQ91),$D91/$E91,0))</f>
        <v>0</v>
      </c>
      <c r="AS91" s="276">
        <f>IF($C91+1&gt;AS$7,0,IF($D91&gt;SUM($G91:AR91),$D91/$E91,0))</f>
        <v>0</v>
      </c>
      <c r="AT91" s="276">
        <f>IF($C91+1&gt;AT$7,0,IF($D91&gt;SUM($G91:AS91),$D91/$E91,0))</f>
        <v>0</v>
      </c>
      <c r="AU91" s="276">
        <f>IF($C91+1&gt;AU$7,0,IF($D91&gt;SUM($G91:AT91),$D91/$E91,0))</f>
        <v>0</v>
      </c>
      <c r="AV91" s="276">
        <f>IF($C91+1&gt;AV$7,0,IF($D91&gt;SUM($G91:AU91),$D91/$E91,0))</f>
        <v>0</v>
      </c>
      <c r="AW91" s="276">
        <f>IF($C91+1&gt;AW$7,0,IF($D91&gt;SUM($G91:AV91),$D91/$E91,0))</f>
        <v>0</v>
      </c>
      <c r="AX91" s="276">
        <f>IF($C91+1&gt;AX$7,0,IF($D91&gt;SUM($G91:AW91),$D91/$E91,0))</f>
        <v>0</v>
      </c>
      <c r="AY91" s="276">
        <f>IF($C91+1&gt;AY$7,0,IF($D91&gt;SUM($G91:AX91),$D91/$E91,0))</f>
        <v>0</v>
      </c>
      <c r="AZ91" s="276">
        <f>IF($C91+1&gt;AZ$7,0,IF($D91&gt;SUM($G91:AY91),$D91/$E91,0))</f>
        <v>0</v>
      </c>
      <c r="BA91" s="276">
        <f>IF($C91+1&gt;BA$7,0,IF($D91&gt;SUM($G91:AZ91),$D91/$E91,0))</f>
        <v>0</v>
      </c>
      <c r="BB91" s="276">
        <f>IF($C91+1&gt;BB$7,0,IF($D91&gt;SUM($G91:BA91),$D91/$E91,0))</f>
        <v>0</v>
      </c>
      <c r="BC91" s="276">
        <f>IF($C91+1&gt;BC$7,0,IF($D91&gt;SUM($G91:BB91),$D91/$E91,0))</f>
        <v>0</v>
      </c>
      <c r="BD91" s="276">
        <f>IF($C91+1&gt;BD$7,0,IF($D91&gt;SUM($G91:BC91),$D91/$E91,0))</f>
        <v>0</v>
      </c>
      <c r="BE91" s="276">
        <f>IF($C91+1&gt;BE$7,0,IF($D91&gt;SUM($G91:BD91),$D91/$E91,0))</f>
        <v>0</v>
      </c>
      <c r="BF91" s="276">
        <f ca="1">IF($C91+1&gt;BF$7,0,IF($D91&gt;SUM($G91:BE91),$D91/$E91,0))</f>
        <v>0</v>
      </c>
      <c r="BG91" s="276">
        <f ca="1">IF($C91+1&gt;BG$7,0,IF($D91&gt;SUM($G91:BF91),$D91/$E91,0))</f>
        <v>0</v>
      </c>
      <c r="BH91" s="276">
        <f ca="1">IF($C91+1&gt;BH$7,0,IF($D91&gt;SUM($G91:BG91),$D91/$E91,0))</f>
        <v>0</v>
      </c>
      <c r="BI91" s="276">
        <f ca="1">IF($C91+1&gt;BI$7,0,IF($D91&gt;SUM($G91:BH91),$D91/$E91,0))</f>
        <v>0</v>
      </c>
      <c r="BJ91" s="276">
        <f ca="1">IF($C91+1&gt;BJ$7,0,IF($D91&gt;SUM($G91:BI91),$D91/$E91,0))</f>
        <v>0</v>
      </c>
      <c r="BK91" s="276">
        <f ca="1">IF($C91+1&gt;BK$7,0,IF($D91&gt;SUM($G91:BJ91),$D91/$E91,0))</f>
        <v>0</v>
      </c>
      <c r="BL91" s="276">
        <f ca="1">IF($C91+1&gt;BL$7,0,IF($D91&gt;SUM($G91:BK91),$D91/$E91,0))</f>
        <v>0</v>
      </c>
      <c r="BM91" s="276">
        <f ca="1">IF($C91+1&gt;BM$7,0,IF($D91&gt;SUM($G91:BL91),$D91/$E91,0))</f>
        <v>0</v>
      </c>
      <c r="BN91" s="276">
        <f ca="1">IF($C91+1&gt;BN$7,0,IF($D91&gt;SUM($G91:BM91),$D91/$E91,0))</f>
        <v>0</v>
      </c>
      <c r="BO91" s="276"/>
      <c r="BP91" s="276"/>
      <c r="BQ91" s="276"/>
      <c r="BR91" s="276"/>
      <c r="BS91" s="276"/>
      <c r="BT91" s="276"/>
      <c r="BU91" s="276"/>
      <c r="BV91" s="276"/>
      <c r="BW91" s="276"/>
      <c r="BX91" s="276"/>
      <c r="BY91" s="276"/>
      <c r="BZ91" s="276"/>
      <c r="CA91" s="254"/>
      <c r="CB91" s="254"/>
      <c r="CC91" s="254"/>
      <c r="CD91" s="254"/>
      <c r="CE91" s="254"/>
      <c r="CF91" s="254"/>
      <c r="CG91" s="254"/>
      <c r="CH91" s="254"/>
      <c r="CI91" s="254"/>
      <c r="CJ91" s="254"/>
      <c r="CK91" s="254"/>
      <c r="CL91" s="254"/>
    </row>
    <row r="92" spans="1:90" outlineLevel="1" x14ac:dyDescent="0.15">
      <c r="A92" s="272"/>
      <c r="B92" s="273"/>
      <c r="C92" s="275">
        <v>52</v>
      </c>
      <c r="D92" s="278">
        <f ca="1"/>
        <v>0</v>
      </c>
      <c r="E92" s="275">
        <f>SAP_Leadsheet!$E$50</f>
        <v>0</v>
      </c>
      <c r="F92" s="275"/>
      <c r="G92" s="276">
        <f>IF($C92+1&gt;G$7,0,IF($D92&gt;SUM(#REF!),$D92/$E92,0))</f>
        <v>0</v>
      </c>
      <c r="H92" s="276">
        <f>IF($C92+1&gt;H$7,0,IF($D92&gt;SUM($G92:G92),$D92/$E92,0))</f>
        <v>0</v>
      </c>
      <c r="I92" s="276">
        <f>IF($C92+1&gt;I$7,0,IF($D92&gt;SUM($G92:H92),$D92/$E92,0))</f>
        <v>0</v>
      </c>
      <c r="J92" s="276">
        <f>IF($C92+1&gt;J$7,0,IF($D92&gt;SUM($G92:I92),$D92/$E92,0))</f>
        <v>0</v>
      </c>
      <c r="K92" s="276">
        <f>IF($C92+1&gt;K$7,0,IF($D92&gt;SUM($G92:J92),$D92/$E92,0))</f>
        <v>0</v>
      </c>
      <c r="L92" s="276">
        <f>IF($C92+1&gt;L$7,0,IF($D92&gt;SUM($G92:K92),$D92/$E92,0))</f>
        <v>0</v>
      </c>
      <c r="M92" s="276">
        <f>IF($C92+1&gt;M$7,0,IF($D92&gt;SUM($G92:L92),$D92/$E92,0))</f>
        <v>0</v>
      </c>
      <c r="N92" s="276">
        <f>IF($C92+1&gt;N$7,0,IF($D92&gt;SUM($G92:M92),$D92/$E92,0))</f>
        <v>0</v>
      </c>
      <c r="O92" s="276">
        <f>IF($C92+1&gt;O$7,0,IF($D92&gt;SUM($G92:N92),$D92/$E92,0))</f>
        <v>0</v>
      </c>
      <c r="P92" s="276">
        <f>IF($C92+1&gt;P$7,0,IF($D92&gt;SUM($G92:O92),$D92/$E92,0))</f>
        <v>0</v>
      </c>
      <c r="Q92" s="276">
        <f>IF($C92+1&gt;Q$7,0,IF($D92&gt;SUM($G92:P92),$D92/$E92,0))</f>
        <v>0</v>
      </c>
      <c r="R92" s="276">
        <f>IF($C92+1&gt;R$7,0,IF($D92&gt;SUM($G92:Q92),$D92/$E92,0))</f>
        <v>0</v>
      </c>
      <c r="S92" s="276">
        <f>IF($C92+1&gt;S$7,0,IF($D92&gt;SUM($G92:R92),$D92/$E92,0))</f>
        <v>0</v>
      </c>
      <c r="T92" s="276">
        <f>IF($C92+1&gt;T$7,0,IF($D92&gt;SUM($G92:S92),$D92/$E92,0))</f>
        <v>0</v>
      </c>
      <c r="U92" s="276">
        <f>IF($C92+1&gt;U$7,0,IF($D92&gt;SUM($G92:T92),$D92/$E92,0))</f>
        <v>0</v>
      </c>
      <c r="V92" s="276">
        <f>IF($C92+1&gt;V$7,0,IF($D92&gt;SUM($G92:U92),$D92/$E92,0))</f>
        <v>0</v>
      </c>
      <c r="W92" s="276">
        <f>IF($C92+1&gt;W$7,0,IF($D92&gt;SUM($G92:V92),$D92/$E92,0))</f>
        <v>0</v>
      </c>
      <c r="X92" s="276">
        <f>IF($C92+1&gt;X$7,0,IF($D92&gt;SUM($G92:W92),$D92/$E92,0))</f>
        <v>0</v>
      </c>
      <c r="Y92" s="276">
        <f>IF($C92+1&gt;Y$7,0,IF($D92&gt;SUM($G92:X92),$D92/$E92,0))</f>
        <v>0</v>
      </c>
      <c r="Z92" s="276">
        <f>IF($C92+1&gt;Z$7,0,IF($D92&gt;SUM($G92:Y92),$D92/$E92,0))</f>
        <v>0</v>
      </c>
      <c r="AA92" s="276">
        <f>IF($C92+1&gt;AA$7,0,IF($D92&gt;SUM($G92:Z92),$D92/$E92,0))</f>
        <v>0</v>
      </c>
      <c r="AB92" s="276">
        <f>IF($C92+1&gt;AB$7,0,IF($D92&gt;SUM($G92:AA92),$D92/$E92,0))</f>
        <v>0</v>
      </c>
      <c r="AC92" s="276">
        <f>IF($C92+1&gt;AC$7,0,IF($D92&gt;SUM($G92:AB92),$D92/$E92,0))</f>
        <v>0</v>
      </c>
      <c r="AD92" s="276">
        <f>IF($C92+1&gt;AD$7,0,IF($D92&gt;SUM($G92:AC92),$D92/$E92,0))</f>
        <v>0</v>
      </c>
      <c r="AE92" s="276">
        <f>IF($C92+1&gt;AE$7,0,IF($D92&gt;SUM($G92:AD92),$D92/$E92,0))</f>
        <v>0</v>
      </c>
      <c r="AF92" s="276">
        <f>IF($C92+1&gt;AF$7,0,IF($D92&gt;SUM($G92:AE92),$D92/$E92,0))</f>
        <v>0</v>
      </c>
      <c r="AG92" s="276">
        <f>IF($C92+1&gt;AG$7,0,IF($D92&gt;SUM($G92:AF92),$D92/$E92,0))</f>
        <v>0</v>
      </c>
      <c r="AH92" s="276">
        <f>IF($C92+1&gt;AH$7,0,IF($D92&gt;SUM($G92:AG92),$D92/$E92,0))</f>
        <v>0</v>
      </c>
      <c r="AI92" s="276">
        <f>IF($C92+1&gt;AI$7,0,IF($D92&gt;SUM($G92:AH92),$D92/$E92,0))</f>
        <v>0</v>
      </c>
      <c r="AJ92" s="276">
        <f>IF($C92+1&gt;AJ$7,0,IF($D92&gt;SUM($G92:AI92),$D92/$E92,0))</f>
        <v>0</v>
      </c>
      <c r="AK92" s="276">
        <f>IF($C92+1&gt;AK$7,0,IF($D92&gt;SUM($G92:AJ92),$D92/$E92,0))</f>
        <v>0</v>
      </c>
      <c r="AL92" s="276">
        <f>IF($C92+1&gt;AL$7,0,IF($D92&gt;SUM($G92:AK92),$D92/$E92,0))</f>
        <v>0</v>
      </c>
      <c r="AM92" s="276">
        <f>IF($C92+1&gt;AM$7,0,IF($D92&gt;SUM($G92:AL92),$D92/$E92,0))</f>
        <v>0</v>
      </c>
      <c r="AN92" s="276">
        <f>IF($C92+1&gt;AN$7,0,IF($D92&gt;SUM($G92:AM92),$D92/$E92,0))</f>
        <v>0</v>
      </c>
      <c r="AO92" s="276">
        <f>IF($C92+1&gt;AO$7,0,IF($D92&gt;SUM($G92:AN92),$D92/$E92,0))</f>
        <v>0</v>
      </c>
      <c r="AP92" s="276">
        <f>IF($C92+1&gt;AP$7,0,IF($D92&gt;SUM($G92:AO92),$D92/$E92,0))</f>
        <v>0</v>
      </c>
      <c r="AQ92" s="276">
        <f>IF($C92+1&gt;AQ$7,0,IF($D92&gt;SUM($G92:AP92),$D92/$E92,0))</f>
        <v>0</v>
      </c>
      <c r="AR92" s="276">
        <f>IF($C92+1&gt;AR$7,0,IF($D92&gt;SUM($G92:AQ92),$D92/$E92,0))</f>
        <v>0</v>
      </c>
      <c r="AS92" s="276">
        <f>IF($C92+1&gt;AS$7,0,IF($D92&gt;SUM($G92:AR92),$D92/$E92,0))</f>
        <v>0</v>
      </c>
      <c r="AT92" s="276">
        <f>IF($C92+1&gt;AT$7,0,IF($D92&gt;SUM($G92:AS92),$D92/$E92,0))</f>
        <v>0</v>
      </c>
      <c r="AU92" s="276">
        <f>IF($C92+1&gt;AU$7,0,IF($D92&gt;SUM($G92:AT92),$D92/$E92,0))</f>
        <v>0</v>
      </c>
      <c r="AV92" s="276">
        <f>IF($C92+1&gt;AV$7,0,IF($D92&gt;SUM($G92:AU92),$D92/$E92,0))</f>
        <v>0</v>
      </c>
      <c r="AW92" s="276">
        <f>IF($C92+1&gt;AW$7,0,IF($D92&gt;SUM($G92:AV92),$D92/$E92,0))</f>
        <v>0</v>
      </c>
      <c r="AX92" s="276">
        <f>IF($C92+1&gt;AX$7,0,IF($D92&gt;SUM($G92:AW92),$D92/$E92,0))</f>
        <v>0</v>
      </c>
      <c r="AY92" s="276">
        <f>IF($C92+1&gt;AY$7,0,IF($D92&gt;SUM($G92:AX92),$D92/$E92,0))</f>
        <v>0</v>
      </c>
      <c r="AZ92" s="276">
        <f>IF($C92+1&gt;AZ$7,0,IF($D92&gt;SUM($G92:AY92),$D92/$E92,0))</f>
        <v>0</v>
      </c>
      <c r="BA92" s="276">
        <f>IF($C92+1&gt;BA$7,0,IF($D92&gt;SUM($G92:AZ92),$D92/$E92,0))</f>
        <v>0</v>
      </c>
      <c r="BB92" s="276">
        <f>IF($C92+1&gt;BB$7,0,IF($D92&gt;SUM($G92:BA92),$D92/$E92,0))</f>
        <v>0</v>
      </c>
      <c r="BC92" s="276">
        <f>IF($C92+1&gt;BC$7,0,IF($D92&gt;SUM($G92:BB92),$D92/$E92,0))</f>
        <v>0</v>
      </c>
      <c r="BD92" s="276">
        <f>IF($C92+1&gt;BD$7,0,IF($D92&gt;SUM($G92:BC92),$D92/$E92,0))</f>
        <v>0</v>
      </c>
      <c r="BE92" s="276">
        <f>IF($C92+1&gt;BE$7,0,IF($D92&gt;SUM($G92:BD92),$D92/$E92,0))</f>
        <v>0</v>
      </c>
      <c r="BF92" s="276">
        <f>IF($C92+1&gt;BF$7,0,IF($D92&gt;SUM($G92:BE92),$D92/$E92,0))</f>
        <v>0</v>
      </c>
      <c r="BG92" s="276">
        <f ca="1">IF($C92+1&gt;BG$7,0,IF($D92&gt;SUM($G92:BF92),$D92/$E92,0))</f>
        <v>0</v>
      </c>
      <c r="BH92" s="276">
        <f ca="1">IF($C92+1&gt;BH$7,0,IF($D92&gt;SUM($G92:BG92),$D92/$E92,0))</f>
        <v>0</v>
      </c>
      <c r="BI92" s="276">
        <f ca="1">IF($C92+1&gt;BI$7,0,IF($D92&gt;SUM($G92:BH92),$D92/$E92,0))</f>
        <v>0</v>
      </c>
      <c r="BJ92" s="276">
        <f ca="1">IF($C92+1&gt;BJ$7,0,IF($D92&gt;SUM($G92:BI92),$D92/$E92,0))</f>
        <v>0</v>
      </c>
      <c r="BK92" s="276">
        <f ca="1">IF($C92+1&gt;BK$7,0,IF($D92&gt;SUM($G92:BJ92),$D92/$E92,0))</f>
        <v>0</v>
      </c>
      <c r="BL92" s="276">
        <f ca="1">IF($C92+1&gt;BL$7,0,IF($D92&gt;SUM($G92:BK92),$D92/$E92,0))</f>
        <v>0</v>
      </c>
      <c r="BM92" s="276">
        <f ca="1">IF($C92+1&gt;BM$7,0,IF($D92&gt;SUM($G92:BL92),$D92/$E92,0))</f>
        <v>0</v>
      </c>
      <c r="BN92" s="276">
        <f ca="1">IF($C92+1&gt;BN$7,0,IF($D92&gt;SUM($G92:BM92),$D92/$E92,0))</f>
        <v>0</v>
      </c>
      <c r="BO92" s="276"/>
      <c r="BP92" s="276"/>
      <c r="BQ92" s="276"/>
      <c r="BR92" s="276"/>
      <c r="BS92" s="276"/>
      <c r="BT92" s="276"/>
      <c r="BU92" s="276"/>
      <c r="BV92" s="276"/>
      <c r="BW92" s="276"/>
      <c r="BX92" s="276"/>
      <c r="BY92" s="276"/>
      <c r="BZ92" s="276"/>
      <c r="CA92" s="254"/>
      <c r="CB92" s="254"/>
      <c r="CC92" s="254"/>
      <c r="CD92" s="254"/>
      <c r="CE92" s="254"/>
      <c r="CF92" s="254"/>
      <c r="CG92" s="254"/>
      <c r="CH92" s="254"/>
      <c r="CI92" s="254"/>
      <c r="CJ92" s="254"/>
      <c r="CK92" s="254"/>
      <c r="CL92" s="254"/>
    </row>
    <row r="93" spans="1:90" outlineLevel="1" x14ac:dyDescent="0.15">
      <c r="A93" s="272"/>
      <c r="B93" s="273"/>
      <c r="C93" s="275">
        <v>53</v>
      </c>
      <c r="D93" s="278">
        <f ca="1"/>
        <v>0</v>
      </c>
      <c r="E93" s="275">
        <f>SAP_Leadsheet!$E$50</f>
        <v>0</v>
      </c>
      <c r="F93" s="275"/>
      <c r="G93" s="276">
        <f>IF($C93+1&gt;G$7,0,IF($D93&gt;SUM(#REF!),$D93/$E93,0))</f>
        <v>0</v>
      </c>
      <c r="H93" s="276">
        <f>IF($C93+1&gt;H$7,0,IF($D93&gt;SUM($G93:G93),$D93/$E93,0))</f>
        <v>0</v>
      </c>
      <c r="I93" s="276">
        <f>IF($C93+1&gt;I$7,0,IF($D93&gt;SUM($G93:H93),$D93/$E93,0))</f>
        <v>0</v>
      </c>
      <c r="J93" s="276">
        <f>IF($C93+1&gt;J$7,0,IF($D93&gt;SUM($G93:I93),$D93/$E93,0))</f>
        <v>0</v>
      </c>
      <c r="K93" s="276">
        <f>IF($C93+1&gt;K$7,0,IF($D93&gt;SUM($G93:J93),$D93/$E93,0))</f>
        <v>0</v>
      </c>
      <c r="L93" s="276">
        <f>IF($C93+1&gt;L$7,0,IF($D93&gt;SUM($G93:K93),$D93/$E93,0))</f>
        <v>0</v>
      </c>
      <c r="M93" s="276">
        <f>IF($C93+1&gt;M$7,0,IF($D93&gt;SUM($G93:L93),$D93/$E93,0))</f>
        <v>0</v>
      </c>
      <c r="N93" s="276">
        <f>IF($C93+1&gt;N$7,0,IF($D93&gt;SUM($G93:M93),$D93/$E93,0))</f>
        <v>0</v>
      </c>
      <c r="O93" s="276">
        <f>IF($C93+1&gt;O$7,0,IF($D93&gt;SUM($G93:N93),$D93/$E93,0))</f>
        <v>0</v>
      </c>
      <c r="P93" s="276">
        <f>IF($C93+1&gt;P$7,0,IF($D93&gt;SUM($G93:O93),$D93/$E93,0))</f>
        <v>0</v>
      </c>
      <c r="Q93" s="276">
        <f>IF($C93+1&gt;Q$7,0,IF($D93&gt;SUM($G93:P93),$D93/$E93,0))</f>
        <v>0</v>
      </c>
      <c r="R93" s="276">
        <f>IF($C93+1&gt;R$7,0,IF($D93&gt;SUM($G93:Q93),$D93/$E93,0))</f>
        <v>0</v>
      </c>
      <c r="S93" s="276">
        <f>IF($C93+1&gt;S$7,0,IF($D93&gt;SUM($G93:R93),$D93/$E93,0))</f>
        <v>0</v>
      </c>
      <c r="T93" s="276">
        <f>IF($C93+1&gt;T$7,0,IF($D93&gt;SUM($G93:S93),$D93/$E93,0))</f>
        <v>0</v>
      </c>
      <c r="U93" s="276">
        <f>IF($C93+1&gt;U$7,0,IF($D93&gt;SUM($G93:T93),$D93/$E93,0))</f>
        <v>0</v>
      </c>
      <c r="V93" s="276">
        <f>IF($C93+1&gt;V$7,0,IF($D93&gt;SUM($G93:U93),$D93/$E93,0))</f>
        <v>0</v>
      </c>
      <c r="W93" s="276">
        <f>IF($C93+1&gt;W$7,0,IF($D93&gt;SUM($G93:V93),$D93/$E93,0))</f>
        <v>0</v>
      </c>
      <c r="X93" s="276">
        <f>IF($C93+1&gt;X$7,0,IF($D93&gt;SUM($G93:W93),$D93/$E93,0))</f>
        <v>0</v>
      </c>
      <c r="Y93" s="276">
        <f>IF($C93+1&gt;Y$7,0,IF($D93&gt;SUM($G93:X93),$D93/$E93,0))</f>
        <v>0</v>
      </c>
      <c r="Z93" s="276">
        <f>IF($C93+1&gt;Z$7,0,IF($D93&gt;SUM($G93:Y93),$D93/$E93,0))</f>
        <v>0</v>
      </c>
      <c r="AA93" s="276">
        <f>IF($C93+1&gt;AA$7,0,IF($D93&gt;SUM($G93:Z93),$D93/$E93,0))</f>
        <v>0</v>
      </c>
      <c r="AB93" s="276">
        <f>IF($C93+1&gt;AB$7,0,IF($D93&gt;SUM($G93:AA93),$D93/$E93,0))</f>
        <v>0</v>
      </c>
      <c r="AC93" s="276">
        <f>IF($C93+1&gt;AC$7,0,IF($D93&gt;SUM($G93:AB93),$D93/$E93,0))</f>
        <v>0</v>
      </c>
      <c r="AD93" s="276">
        <f>IF($C93+1&gt;AD$7,0,IF($D93&gt;SUM($G93:AC93),$D93/$E93,0))</f>
        <v>0</v>
      </c>
      <c r="AE93" s="276">
        <f>IF($C93+1&gt;AE$7,0,IF($D93&gt;SUM($G93:AD93),$D93/$E93,0))</f>
        <v>0</v>
      </c>
      <c r="AF93" s="276">
        <f>IF($C93+1&gt;AF$7,0,IF($D93&gt;SUM($G93:AE93),$D93/$E93,0))</f>
        <v>0</v>
      </c>
      <c r="AG93" s="276">
        <f>IF($C93+1&gt;AG$7,0,IF($D93&gt;SUM($G93:AF93),$D93/$E93,0))</f>
        <v>0</v>
      </c>
      <c r="AH93" s="276">
        <f>IF($C93+1&gt;AH$7,0,IF($D93&gt;SUM($G93:AG93),$D93/$E93,0))</f>
        <v>0</v>
      </c>
      <c r="AI93" s="276">
        <f>IF($C93+1&gt;AI$7,0,IF($D93&gt;SUM($G93:AH93),$D93/$E93,0))</f>
        <v>0</v>
      </c>
      <c r="AJ93" s="276">
        <f>IF($C93+1&gt;AJ$7,0,IF($D93&gt;SUM($G93:AI93),$D93/$E93,0))</f>
        <v>0</v>
      </c>
      <c r="AK93" s="276">
        <f>IF($C93+1&gt;AK$7,0,IF($D93&gt;SUM($G93:AJ93),$D93/$E93,0))</f>
        <v>0</v>
      </c>
      <c r="AL93" s="276">
        <f>IF($C93+1&gt;AL$7,0,IF($D93&gt;SUM($G93:AK93),$D93/$E93,0))</f>
        <v>0</v>
      </c>
      <c r="AM93" s="276">
        <f>IF($C93+1&gt;AM$7,0,IF($D93&gt;SUM($G93:AL93),$D93/$E93,0))</f>
        <v>0</v>
      </c>
      <c r="AN93" s="276">
        <f>IF($C93+1&gt;AN$7,0,IF($D93&gt;SUM($G93:AM93),$D93/$E93,0))</f>
        <v>0</v>
      </c>
      <c r="AO93" s="276">
        <f>IF($C93+1&gt;AO$7,0,IF($D93&gt;SUM($G93:AN93),$D93/$E93,0))</f>
        <v>0</v>
      </c>
      <c r="AP93" s="276">
        <f>IF($C93+1&gt;AP$7,0,IF($D93&gt;SUM($G93:AO93),$D93/$E93,0))</f>
        <v>0</v>
      </c>
      <c r="AQ93" s="276">
        <f>IF($C93+1&gt;AQ$7,0,IF($D93&gt;SUM($G93:AP93),$D93/$E93,0))</f>
        <v>0</v>
      </c>
      <c r="AR93" s="276">
        <f>IF($C93+1&gt;AR$7,0,IF($D93&gt;SUM($G93:AQ93),$D93/$E93,0))</f>
        <v>0</v>
      </c>
      <c r="AS93" s="276">
        <f>IF($C93+1&gt;AS$7,0,IF($D93&gt;SUM($G93:AR93),$D93/$E93,0))</f>
        <v>0</v>
      </c>
      <c r="AT93" s="276">
        <f>IF($C93+1&gt;AT$7,0,IF($D93&gt;SUM($G93:AS93),$D93/$E93,0))</f>
        <v>0</v>
      </c>
      <c r="AU93" s="276">
        <f>IF($C93+1&gt;AU$7,0,IF($D93&gt;SUM($G93:AT93),$D93/$E93,0))</f>
        <v>0</v>
      </c>
      <c r="AV93" s="276">
        <f>IF($C93+1&gt;AV$7,0,IF($D93&gt;SUM($G93:AU93),$D93/$E93,0))</f>
        <v>0</v>
      </c>
      <c r="AW93" s="276">
        <f>IF($C93+1&gt;AW$7,0,IF($D93&gt;SUM($G93:AV93),$D93/$E93,0))</f>
        <v>0</v>
      </c>
      <c r="AX93" s="276">
        <f>IF($C93+1&gt;AX$7,0,IF($D93&gt;SUM($G93:AW93),$D93/$E93,0))</f>
        <v>0</v>
      </c>
      <c r="AY93" s="276">
        <f>IF($C93+1&gt;AY$7,0,IF($D93&gt;SUM($G93:AX93),$D93/$E93,0))</f>
        <v>0</v>
      </c>
      <c r="AZ93" s="276">
        <f>IF($C93+1&gt;AZ$7,0,IF($D93&gt;SUM($G93:AY93),$D93/$E93,0))</f>
        <v>0</v>
      </c>
      <c r="BA93" s="276">
        <f>IF($C93+1&gt;BA$7,0,IF($D93&gt;SUM($G93:AZ93),$D93/$E93,0))</f>
        <v>0</v>
      </c>
      <c r="BB93" s="276">
        <f>IF($C93+1&gt;BB$7,0,IF($D93&gt;SUM($G93:BA93),$D93/$E93,0))</f>
        <v>0</v>
      </c>
      <c r="BC93" s="276">
        <f>IF($C93+1&gt;BC$7,0,IF($D93&gt;SUM($G93:BB93),$D93/$E93,0))</f>
        <v>0</v>
      </c>
      <c r="BD93" s="276">
        <f>IF($C93+1&gt;BD$7,0,IF($D93&gt;SUM($G93:BC93),$D93/$E93,0))</f>
        <v>0</v>
      </c>
      <c r="BE93" s="276">
        <f>IF($C93+1&gt;BE$7,0,IF($D93&gt;SUM($G93:BD93),$D93/$E93,0))</f>
        <v>0</v>
      </c>
      <c r="BF93" s="276">
        <f>IF($C93+1&gt;BF$7,0,IF($D93&gt;SUM($G93:BE93),$D93/$E93,0))</f>
        <v>0</v>
      </c>
      <c r="BG93" s="276">
        <f>IF($C93+1&gt;BG$7,0,IF($D93&gt;SUM($G93:BF93),$D93/$E93,0))</f>
        <v>0</v>
      </c>
      <c r="BH93" s="276">
        <f ca="1">IF($C93+1&gt;BH$7,0,IF($D93&gt;SUM($G93:BG93),$D93/$E93,0))</f>
        <v>0</v>
      </c>
      <c r="BI93" s="276">
        <f ca="1">IF($C93+1&gt;BI$7,0,IF($D93&gt;SUM($G93:BH93),$D93/$E93,0))</f>
        <v>0</v>
      </c>
      <c r="BJ93" s="276">
        <f ca="1">IF($C93+1&gt;BJ$7,0,IF($D93&gt;SUM($G93:BI93),$D93/$E93,0))</f>
        <v>0</v>
      </c>
      <c r="BK93" s="276">
        <f ca="1">IF($C93+1&gt;BK$7,0,IF($D93&gt;SUM($G93:BJ93),$D93/$E93,0))</f>
        <v>0</v>
      </c>
      <c r="BL93" s="276">
        <f ca="1">IF($C93+1&gt;BL$7,0,IF($D93&gt;SUM($G93:BK93),$D93/$E93,0))</f>
        <v>0</v>
      </c>
      <c r="BM93" s="276">
        <f ca="1">IF($C93+1&gt;BM$7,0,IF($D93&gt;SUM($G93:BL93),$D93/$E93,0))</f>
        <v>0</v>
      </c>
      <c r="BN93" s="276">
        <f ca="1">IF($C93+1&gt;BN$7,0,IF($D93&gt;SUM($G93:BM93),$D93/$E93,0))</f>
        <v>0</v>
      </c>
      <c r="BO93" s="276"/>
      <c r="BP93" s="276"/>
      <c r="BQ93" s="276"/>
      <c r="BR93" s="276"/>
      <c r="BS93" s="276"/>
      <c r="BT93" s="276"/>
      <c r="BU93" s="276"/>
      <c r="BV93" s="276"/>
      <c r="BW93" s="276"/>
      <c r="BX93" s="276"/>
      <c r="BY93" s="276"/>
      <c r="BZ93" s="276"/>
      <c r="CA93" s="254"/>
      <c r="CB93" s="254"/>
      <c r="CC93" s="254"/>
      <c r="CD93" s="254"/>
      <c r="CE93" s="254"/>
      <c r="CF93" s="254"/>
      <c r="CG93" s="254"/>
      <c r="CH93" s="254"/>
      <c r="CI93" s="254"/>
      <c r="CJ93" s="254"/>
      <c r="CK93" s="254"/>
      <c r="CL93" s="254"/>
    </row>
    <row r="94" spans="1:90" outlineLevel="1" x14ac:dyDescent="0.15">
      <c r="A94" s="272"/>
      <c r="B94" s="273"/>
      <c r="C94" s="275">
        <v>54</v>
      </c>
      <c r="D94" s="278">
        <f ca="1"/>
        <v>0</v>
      </c>
      <c r="E94" s="275">
        <f>SAP_Leadsheet!$E$50</f>
        <v>0</v>
      </c>
      <c r="F94" s="275"/>
      <c r="G94" s="276">
        <f>IF($C94+1&gt;G$7,0,IF($D94&gt;SUM(#REF!),$D94/$E94,0))</f>
        <v>0</v>
      </c>
      <c r="H94" s="276">
        <f>IF($C94+1&gt;H$7,0,IF($D94&gt;SUM($G94:G94),$D94/$E94,0))</f>
        <v>0</v>
      </c>
      <c r="I94" s="276">
        <f>IF($C94+1&gt;I$7,0,IF($D94&gt;SUM($G94:H94),$D94/$E94,0))</f>
        <v>0</v>
      </c>
      <c r="J94" s="276">
        <f>IF($C94+1&gt;J$7,0,IF($D94&gt;SUM($G94:I94),$D94/$E94,0))</f>
        <v>0</v>
      </c>
      <c r="K94" s="276">
        <f>IF($C94+1&gt;K$7,0,IF($D94&gt;SUM($G94:J94),$D94/$E94,0))</f>
        <v>0</v>
      </c>
      <c r="L94" s="276">
        <f>IF($C94+1&gt;L$7,0,IF($D94&gt;SUM($G94:K94),$D94/$E94,0))</f>
        <v>0</v>
      </c>
      <c r="M94" s="276">
        <f>IF($C94+1&gt;M$7,0,IF($D94&gt;SUM($G94:L94),$D94/$E94,0))</f>
        <v>0</v>
      </c>
      <c r="N94" s="276">
        <f>IF($C94+1&gt;N$7,0,IF($D94&gt;SUM($G94:M94),$D94/$E94,0))</f>
        <v>0</v>
      </c>
      <c r="O94" s="276">
        <f>IF($C94+1&gt;O$7,0,IF($D94&gt;SUM($G94:N94),$D94/$E94,0))</f>
        <v>0</v>
      </c>
      <c r="P94" s="276">
        <f>IF($C94+1&gt;P$7,0,IF($D94&gt;SUM($G94:O94),$D94/$E94,0))</f>
        <v>0</v>
      </c>
      <c r="Q94" s="276">
        <f>IF($C94+1&gt;Q$7,0,IF($D94&gt;SUM($G94:P94),$D94/$E94,0))</f>
        <v>0</v>
      </c>
      <c r="R94" s="276">
        <f>IF($C94+1&gt;R$7,0,IF($D94&gt;SUM($G94:Q94),$D94/$E94,0))</f>
        <v>0</v>
      </c>
      <c r="S94" s="276">
        <f>IF($C94+1&gt;S$7,0,IF($D94&gt;SUM($G94:R94),$D94/$E94,0))</f>
        <v>0</v>
      </c>
      <c r="T94" s="276">
        <f>IF($C94+1&gt;T$7,0,IF($D94&gt;SUM($G94:S94),$D94/$E94,0))</f>
        <v>0</v>
      </c>
      <c r="U94" s="276">
        <f>IF($C94+1&gt;U$7,0,IF($D94&gt;SUM($G94:T94),$D94/$E94,0))</f>
        <v>0</v>
      </c>
      <c r="V94" s="276">
        <f>IF($C94+1&gt;V$7,0,IF($D94&gt;SUM($G94:U94),$D94/$E94,0))</f>
        <v>0</v>
      </c>
      <c r="W94" s="276">
        <f>IF($C94+1&gt;W$7,0,IF($D94&gt;SUM($G94:V94),$D94/$E94,0))</f>
        <v>0</v>
      </c>
      <c r="X94" s="276">
        <f>IF($C94+1&gt;X$7,0,IF($D94&gt;SUM($G94:W94),$D94/$E94,0))</f>
        <v>0</v>
      </c>
      <c r="Y94" s="276">
        <f>IF($C94+1&gt;Y$7,0,IF($D94&gt;SUM($G94:X94),$D94/$E94,0))</f>
        <v>0</v>
      </c>
      <c r="Z94" s="276">
        <f>IF($C94+1&gt;Z$7,0,IF($D94&gt;SUM($G94:Y94),$D94/$E94,0))</f>
        <v>0</v>
      </c>
      <c r="AA94" s="276">
        <f>IF($C94+1&gt;AA$7,0,IF($D94&gt;SUM($G94:Z94),$D94/$E94,0))</f>
        <v>0</v>
      </c>
      <c r="AB94" s="276">
        <f>IF($C94+1&gt;AB$7,0,IF($D94&gt;SUM($G94:AA94),$D94/$E94,0))</f>
        <v>0</v>
      </c>
      <c r="AC94" s="276">
        <f>IF($C94+1&gt;AC$7,0,IF($D94&gt;SUM($G94:AB94),$D94/$E94,0))</f>
        <v>0</v>
      </c>
      <c r="AD94" s="276">
        <f>IF($C94+1&gt;AD$7,0,IF($D94&gt;SUM($G94:AC94),$D94/$E94,0))</f>
        <v>0</v>
      </c>
      <c r="AE94" s="276">
        <f>IF($C94+1&gt;AE$7,0,IF($D94&gt;SUM($G94:AD94),$D94/$E94,0))</f>
        <v>0</v>
      </c>
      <c r="AF94" s="276">
        <f>IF($C94+1&gt;AF$7,0,IF($D94&gt;SUM($G94:AE94),$D94/$E94,0))</f>
        <v>0</v>
      </c>
      <c r="AG94" s="276">
        <f>IF($C94+1&gt;AG$7,0,IF($D94&gt;SUM($G94:AF94),$D94/$E94,0))</f>
        <v>0</v>
      </c>
      <c r="AH94" s="276">
        <f>IF($C94+1&gt;AH$7,0,IF($D94&gt;SUM($G94:AG94),$D94/$E94,0))</f>
        <v>0</v>
      </c>
      <c r="AI94" s="276">
        <f>IF($C94+1&gt;AI$7,0,IF($D94&gt;SUM($G94:AH94),$D94/$E94,0))</f>
        <v>0</v>
      </c>
      <c r="AJ94" s="276">
        <f>IF($C94+1&gt;AJ$7,0,IF($D94&gt;SUM($G94:AI94),$D94/$E94,0))</f>
        <v>0</v>
      </c>
      <c r="AK94" s="276">
        <f>IF($C94+1&gt;AK$7,0,IF($D94&gt;SUM($G94:AJ94),$D94/$E94,0))</f>
        <v>0</v>
      </c>
      <c r="AL94" s="276">
        <f>IF($C94+1&gt;AL$7,0,IF($D94&gt;SUM($G94:AK94),$D94/$E94,0))</f>
        <v>0</v>
      </c>
      <c r="AM94" s="276">
        <f>IF($C94+1&gt;AM$7,0,IF($D94&gt;SUM($G94:AL94),$D94/$E94,0))</f>
        <v>0</v>
      </c>
      <c r="AN94" s="276">
        <f>IF($C94+1&gt;AN$7,0,IF($D94&gt;SUM($G94:AM94),$D94/$E94,0))</f>
        <v>0</v>
      </c>
      <c r="AO94" s="276">
        <f>IF($C94+1&gt;AO$7,0,IF($D94&gt;SUM($G94:AN94),$D94/$E94,0))</f>
        <v>0</v>
      </c>
      <c r="AP94" s="276">
        <f>IF($C94+1&gt;AP$7,0,IF($D94&gt;SUM($G94:AO94),$D94/$E94,0))</f>
        <v>0</v>
      </c>
      <c r="AQ94" s="276">
        <f>IF($C94+1&gt;AQ$7,0,IF($D94&gt;SUM($G94:AP94),$D94/$E94,0))</f>
        <v>0</v>
      </c>
      <c r="AR94" s="276">
        <f>IF($C94+1&gt;AR$7,0,IF($D94&gt;SUM($G94:AQ94),$D94/$E94,0))</f>
        <v>0</v>
      </c>
      <c r="AS94" s="276">
        <f>IF($C94+1&gt;AS$7,0,IF($D94&gt;SUM($G94:AR94),$D94/$E94,0))</f>
        <v>0</v>
      </c>
      <c r="AT94" s="276">
        <f>IF($C94+1&gt;AT$7,0,IF($D94&gt;SUM($G94:AS94),$D94/$E94,0))</f>
        <v>0</v>
      </c>
      <c r="AU94" s="276">
        <f>IF($C94+1&gt;AU$7,0,IF($D94&gt;SUM($G94:AT94),$D94/$E94,0))</f>
        <v>0</v>
      </c>
      <c r="AV94" s="276">
        <f>IF($C94+1&gt;AV$7,0,IF($D94&gt;SUM($G94:AU94),$D94/$E94,0))</f>
        <v>0</v>
      </c>
      <c r="AW94" s="276">
        <f>IF($C94+1&gt;AW$7,0,IF($D94&gt;SUM($G94:AV94),$D94/$E94,0))</f>
        <v>0</v>
      </c>
      <c r="AX94" s="276">
        <f>IF($C94+1&gt;AX$7,0,IF($D94&gt;SUM($G94:AW94),$D94/$E94,0))</f>
        <v>0</v>
      </c>
      <c r="AY94" s="276">
        <f>IF($C94+1&gt;AY$7,0,IF($D94&gt;SUM($G94:AX94),$D94/$E94,0))</f>
        <v>0</v>
      </c>
      <c r="AZ94" s="276">
        <f>IF($C94+1&gt;AZ$7,0,IF($D94&gt;SUM($G94:AY94),$D94/$E94,0))</f>
        <v>0</v>
      </c>
      <c r="BA94" s="276">
        <f>IF($C94+1&gt;BA$7,0,IF($D94&gt;SUM($G94:AZ94),$D94/$E94,0))</f>
        <v>0</v>
      </c>
      <c r="BB94" s="276">
        <f>IF($C94+1&gt;BB$7,0,IF($D94&gt;SUM($G94:BA94),$D94/$E94,0))</f>
        <v>0</v>
      </c>
      <c r="BC94" s="276">
        <f>IF($C94+1&gt;BC$7,0,IF($D94&gt;SUM($G94:BB94),$D94/$E94,0))</f>
        <v>0</v>
      </c>
      <c r="BD94" s="276">
        <f>IF($C94+1&gt;BD$7,0,IF($D94&gt;SUM($G94:BC94),$D94/$E94,0))</f>
        <v>0</v>
      </c>
      <c r="BE94" s="276">
        <f>IF($C94+1&gt;BE$7,0,IF($D94&gt;SUM($G94:BD94),$D94/$E94,0))</f>
        <v>0</v>
      </c>
      <c r="BF94" s="276">
        <f>IF($C94+1&gt;BF$7,0,IF($D94&gt;SUM($G94:BE94),$D94/$E94,0))</f>
        <v>0</v>
      </c>
      <c r="BG94" s="276">
        <f>IF($C94+1&gt;BG$7,0,IF($D94&gt;SUM($G94:BF94),$D94/$E94,0))</f>
        <v>0</v>
      </c>
      <c r="BH94" s="276">
        <f>IF($C94+1&gt;BH$7,0,IF($D94&gt;SUM($G94:BG94),$D94/$E94,0))</f>
        <v>0</v>
      </c>
      <c r="BI94" s="276">
        <f ca="1">IF($C94+1&gt;BI$7,0,IF($D94&gt;SUM($G94:BH94),$D94/$E94,0))</f>
        <v>0</v>
      </c>
      <c r="BJ94" s="276">
        <f ca="1">IF($C94+1&gt;BJ$7,0,IF($D94&gt;SUM($G94:BI94),$D94/$E94,0))</f>
        <v>0</v>
      </c>
      <c r="BK94" s="276">
        <f ca="1">IF($C94+1&gt;BK$7,0,IF($D94&gt;SUM($G94:BJ94),$D94/$E94,0))</f>
        <v>0</v>
      </c>
      <c r="BL94" s="276">
        <f ca="1">IF($C94+1&gt;BL$7,0,IF($D94&gt;SUM($G94:BK94),$D94/$E94,0))</f>
        <v>0</v>
      </c>
      <c r="BM94" s="276">
        <f ca="1">IF($C94+1&gt;BM$7,0,IF($D94&gt;SUM($G94:BL94),$D94/$E94,0))</f>
        <v>0</v>
      </c>
      <c r="BN94" s="276">
        <f ca="1">IF($C94+1&gt;BN$7,0,IF($D94&gt;SUM($G94:BM94),$D94/$E94,0))</f>
        <v>0</v>
      </c>
      <c r="BO94" s="276"/>
      <c r="BP94" s="276"/>
      <c r="BQ94" s="276"/>
      <c r="BR94" s="276"/>
      <c r="BS94" s="276"/>
      <c r="BT94" s="276"/>
      <c r="BU94" s="276"/>
      <c r="BV94" s="276"/>
      <c r="BW94" s="276"/>
      <c r="BX94" s="276"/>
      <c r="BY94" s="276"/>
      <c r="BZ94" s="276"/>
      <c r="CA94" s="254"/>
      <c r="CB94" s="254"/>
      <c r="CC94" s="254"/>
      <c r="CD94" s="254"/>
      <c r="CE94" s="254"/>
      <c r="CF94" s="254"/>
      <c r="CG94" s="254"/>
      <c r="CH94" s="254"/>
      <c r="CI94" s="254"/>
      <c r="CJ94" s="254"/>
      <c r="CK94" s="254"/>
      <c r="CL94" s="254"/>
    </row>
    <row r="95" spans="1:90" outlineLevel="1" x14ac:dyDescent="0.15">
      <c r="A95" s="272"/>
      <c r="B95" s="273"/>
      <c r="C95" s="275">
        <v>55</v>
      </c>
      <c r="D95" s="278">
        <f ca="1"/>
        <v>0</v>
      </c>
      <c r="E95" s="275">
        <f>SAP_Leadsheet!$E$50</f>
        <v>0</v>
      </c>
      <c r="F95" s="275"/>
      <c r="G95" s="276">
        <f>IF($C95+1&gt;G$7,0,IF($D95&gt;SUM(#REF!),$D95/$E95,0))</f>
        <v>0</v>
      </c>
      <c r="H95" s="276">
        <f>IF($C95+1&gt;H$7,0,IF($D95&gt;SUM($G95:G95),$D95/$E95,0))</f>
        <v>0</v>
      </c>
      <c r="I95" s="276">
        <f>IF($C95+1&gt;I$7,0,IF($D95&gt;SUM($G95:H95),$D95/$E95,0))</f>
        <v>0</v>
      </c>
      <c r="J95" s="276">
        <f>IF($C95+1&gt;J$7,0,IF($D95&gt;SUM($G95:I95),$D95/$E95,0))</f>
        <v>0</v>
      </c>
      <c r="K95" s="276">
        <f>IF($C95+1&gt;K$7,0,IF($D95&gt;SUM($G95:J95),$D95/$E95,0))</f>
        <v>0</v>
      </c>
      <c r="L95" s="276">
        <f>IF($C95+1&gt;L$7,0,IF($D95&gt;SUM($G95:K95),$D95/$E95,0))</f>
        <v>0</v>
      </c>
      <c r="M95" s="276">
        <f>IF($C95+1&gt;M$7,0,IF($D95&gt;SUM($G95:L95),$D95/$E95,0))</f>
        <v>0</v>
      </c>
      <c r="N95" s="276">
        <f>IF($C95+1&gt;N$7,0,IF($D95&gt;SUM($G95:M95),$D95/$E95,0))</f>
        <v>0</v>
      </c>
      <c r="O95" s="276">
        <f>IF($C95+1&gt;O$7,0,IF($D95&gt;SUM($G95:N95),$D95/$E95,0))</f>
        <v>0</v>
      </c>
      <c r="P95" s="276">
        <f>IF($C95+1&gt;P$7,0,IF($D95&gt;SUM($G95:O95),$D95/$E95,0))</f>
        <v>0</v>
      </c>
      <c r="Q95" s="276">
        <f>IF($C95+1&gt;Q$7,0,IF($D95&gt;SUM($G95:P95),$D95/$E95,0))</f>
        <v>0</v>
      </c>
      <c r="R95" s="276">
        <f>IF($C95+1&gt;R$7,0,IF($D95&gt;SUM($G95:Q95),$D95/$E95,0))</f>
        <v>0</v>
      </c>
      <c r="S95" s="276">
        <f>IF($C95+1&gt;S$7,0,IF($D95&gt;SUM($G95:R95),$D95/$E95,0))</f>
        <v>0</v>
      </c>
      <c r="T95" s="276">
        <f>IF($C95+1&gt;T$7,0,IF($D95&gt;SUM($G95:S95),$D95/$E95,0))</f>
        <v>0</v>
      </c>
      <c r="U95" s="276">
        <f>IF($C95+1&gt;U$7,0,IF($D95&gt;SUM($G95:T95),$D95/$E95,0))</f>
        <v>0</v>
      </c>
      <c r="V95" s="276">
        <f>IF($C95+1&gt;V$7,0,IF($D95&gt;SUM($G95:U95),$D95/$E95,0))</f>
        <v>0</v>
      </c>
      <c r="W95" s="276">
        <f>IF($C95+1&gt;W$7,0,IF($D95&gt;SUM($G95:V95),$D95/$E95,0))</f>
        <v>0</v>
      </c>
      <c r="X95" s="276">
        <f>IF($C95+1&gt;X$7,0,IF($D95&gt;SUM($G95:W95),$D95/$E95,0))</f>
        <v>0</v>
      </c>
      <c r="Y95" s="276">
        <f>IF($C95+1&gt;Y$7,0,IF($D95&gt;SUM($G95:X95),$D95/$E95,0))</f>
        <v>0</v>
      </c>
      <c r="Z95" s="276">
        <f>IF($C95+1&gt;Z$7,0,IF($D95&gt;SUM($G95:Y95),$D95/$E95,0))</f>
        <v>0</v>
      </c>
      <c r="AA95" s="276">
        <f>IF($C95+1&gt;AA$7,0,IF($D95&gt;SUM($G95:Z95),$D95/$E95,0))</f>
        <v>0</v>
      </c>
      <c r="AB95" s="276">
        <f>IF($C95+1&gt;AB$7,0,IF($D95&gt;SUM($G95:AA95),$D95/$E95,0))</f>
        <v>0</v>
      </c>
      <c r="AC95" s="276">
        <f>IF($C95+1&gt;AC$7,0,IF($D95&gt;SUM($G95:AB95),$D95/$E95,0))</f>
        <v>0</v>
      </c>
      <c r="AD95" s="276">
        <f>IF($C95+1&gt;AD$7,0,IF($D95&gt;SUM($G95:AC95),$D95/$E95,0))</f>
        <v>0</v>
      </c>
      <c r="AE95" s="276">
        <f>IF($C95+1&gt;AE$7,0,IF($D95&gt;SUM($G95:AD95),$D95/$E95,0))</f>
        <v>0</v>
      </c>
      <c r="AF95" s="276">
        <f>IF($C95+1&gt;AF$7,0,IF($D95&gt;SUM($G95:AE95),$D95/$E95,0))</f>
        <v>0</v>
      </c>
      <c r="AG95" s="276">
        <f>IF($C95+1&gt;AG$7,0,IF($D95&gt;SUM($G95:AF95),$D95/$E95,0))</f>
        <v>0</v>
      </c>
      <c r="AH95" s="276">
        <f>IF($C95+1&gt;AH$7,0,IF($D95&gt;SUM($G95:AG95),$D95/$E95,0))</f>
        <v>0</v>
      </c>
      <c r="AI95" s="276">
        <f>IF($C95+1&gt;AI$7,0,IF($D95&gt;SUM($G95:AH95),$D95/$E95,0))</f>
        <v>0</v>
      </c>
      <c r="AJ95" s="276">
        <f>IF($C95+1&gt;AJ$7,0,IF($D95&gt;SUM($G95:AI95),$D95/$E95,0))</f>
        <v>0</v>
      </c>
      <c r="AK95" s="276">
        <f>IF($C95+1&gt;AK$7,0,IF($D95&gt;SUM($G95:AJ95),$D95/$E95,0))</f>
        <v>0</v>
      </c>
      <c r="AL95" s="276">
        <f>IF($C95+1&gt;AL$7,0,IF($D95&gt;SUM($G95:AK95),$D95/$E95,0))</f>
        <v>0</v>
      </c>
      <c r="AM95" s="276">
        <f>IF($C95+1&gt;AM$7,0,IF($D95&gt;SUM($G95:AL95),$D95/$E95,0))</f>
        <v>0</v>
      </c>
      <c r="AN95" s="276">
        <f>IF($C95+1&gt;AN$7,0,IF($D95&gt;SUM($G95:AM95),$D95/$E95,0))</f>
        <v>0</v>
      </c>
      <c r="AO95" s="276">
        <f>IF($C95+1&gt;AO$7,0,IF($D95&gt;SUM($G95:AN95),$D95/$E95,0))</f>
        <v>0</v>
      </c>
      <c r="AP95" s="276">
        <f>IF($C95+1&gt;AP$7,0,IF($D95&gt;SUM($G95:AO95),$D95/$E95,0))</f>
        <v>0</v>
      </c>
      <c r="AQ95" s="276">
        <f>IF($C95+1&gt;AQ$7,0,IF($D95&gt;SUM($G95:AP95),$D95/$E95,0))</f>
        <v>0</v>
      </c>
      <c r="AR95" s="276">
        <f>IF($C95+1&gt;AR$7,0,IF($D95&gt;SUM($G95:AQ95),$D95/$E95,0))</f>
        <v>0</v>
      </c>
      <c r="AS95" s="276">
        <f>IF($C95+1&gt;AS$7,0,IF($D95&gt;SUM($G95:AR95),$D95/$E95,0))</f>
        <v>0</v>
      </c>
      <c r="AT95" s="276">
        <f>IF($C95+1&gt;AT$7,0,IF($D95&gt;SUM($G95:AS95),$D95/$E95,0))</f>
        <v>0</v>
      </c>
      <c r="AU95" s="276">
        <f>IF($C95+1&gt;AU$7,0,IF($D95&gt;SUM($G95:AT95),$D95/$E95,0))</f>
        <v>0</v>
      </c>
      <c r="AV95" s="276">
        <f>IF($C95+1&gt;AV$7,0,IF($D95&gt;SUM($G95:AU95),$D95/$E95,0))</f>
        <v>0</v>
      </c>
      <c r="AW95" s="276">
        <f>IF($C95+1&gt;AW$7,0,IF($D95&gt;SUM($G95:AV95),$D95/$E95,0))</f>
        <v>0</v>
      </c>
      <c r="AX95" s="276">
        <f>IF($C95+1&gt;AX$7,0,IF($D95&gt;SUM($G95:AW95),$D95/$E95,0))</f>
        <v>0</v>
      </c>
      <c r="AY95" s="276">
        <f>IF($C95+1&gt;AY$7,0,IF($D95&gt;SUM($G95:AX95),$D95/$E95,0))</f>
        <v>0</v>
      </c>
      <c r="AZ95" s="276">
        <f>IF($C95+1&gt;AZ$7,0,IF($D95&gt;SUM($G95:AY95),$D95/$E95,0))</f>
        <v>0</v>
      </c>
      <c r="BA95" s="276">
        <f>IF($C95+1&gt;BA$7,0,IF($D95&gt;SUM($G95:AZ95),$D95/$E95,0))</f>
        <v>0</v>
      </c>
      <c r="BB95" s="276">
        <f>IF($C95+1&gt;BB$7,0,IF($D95&gt;SUM($G95:BA95),$D95/$E95,0))</f>
        <v>0</v>
      </c>
      <c r="BC95" s="276">
        <f>IF($C95+1&gt;BC$7,0,IF($D95&gt;SUM($G95:BB95),$D95/$E95,0))</f>
        <v>0</v>
      </c>
      <c r="BD95" s="276">
        <f>IF($C95+1&gt;BD$7,0,IF($D95&gt;SUM($G95:BC95),$D95/$E95,0))</f>
        <v>0</v>
      </c>
      <c r="BE95" s="276">
        <f>IF($C95+1&gt;BE$7,0,IF($D95&gt;SUM($G95:BD95),$D95/$E95,0))</f>
        <v>0</v>
      </c>
      <c r="BF95" s="276">
        <f>IF($C95+1&gt;BF$7,0,IF($D95&gt;SUM($G95:BE95),$D95/$E95,0))</f>
        <v>0</v>
      </c>
      <c r="BG95" s="276">
        <f>IF($C95+1&gt;BG$7,0,IF($D95&gt;SUM($G95:BF95),$D95/$E95,0))</f>
        <v>0</v>
      </c>
      <c r="BH95" s="276">
        <f>IF($C95+1&gt;BH$7,0,IF($D95&gt;SUM($G95:BG95),$D95/$E95,0))</f>
        <v>0</v>
      </c>
      <c r="BI95" s="276">
        <f>IF($C95+1&gt;BI$7,0,IF($D95&gt;SUM($G95:BH95),$D95/$E95,0))</f>
        <v>0</v>
      </c>
      <c r="BJ95" s="276">
        <f ca="1">IF($C95+1&gt;BJ$7,0,IF($D95&gt;SUM($G95:BI95),$D95/$E95,0))</f>
        <v>0</v>
      </c>
      <c r="BK95" s="276">
        <f ca="1">IF($C95+1&gt;BK$7,0,IF($D95&gt;SUM($G95:BJ95),$D95/$E95,0))</f>
        <v>0</v>
      </c>
      <c r="BL95" s="276">
        <f ca="1">IF($C95+1&gt;BL$7,0,IF($D95&gt;SUM($G95:BK95),$D95/$E95,0))</f>
        <v>0</v>
      </c>
      <c r="BM95" s="276">
        <f ca="1">IF($C95+1&gt;BM$7,0,IF($D95&gt;SUM($G95:BL95),$D95/$E95,0))</f>
        <v>0</v>
      </c>
      <c r="BN95" s="276">
        <f ca="1">IF($C95+1&gt;BN$7,0,IF($D95&gt;SUM($G95:BM95),$D95/$E95,0))</f>
        <v>0</v>
      </c>
      <c r="BO95" s="276"/>
      <c r="BP95" s="276"/>
      <c r="BQ95" s="276"/>
      <c r="BR95" s="276"/>
      <c r="BS95" s="276"/>
      <c r="BT95" s="276"/>
      <c r="BU95" s="276"/>
      <c r="BV95" s="276"/>
      <c r="BW95" s="276"/>
      <c r="BX95" s="276"/>
      <c r="BY95" s="276"/>
      <c r="BZ95" s="276"/>
      <c r="CA95" s="254"/>
      <c r="CB95" s="254"/>
      <c r="CC95" s="254"/>
      <c r="CD95" s="254"/>
      <c r="CE95" s="254"/>
      <c r="CF95" s="254"/>
      <c r="CG95" s="254"/>
      <c r="CH95" s="254"/>
      <c r="CI95" s="254"/>
      <c r="CJ95" s="254"/>
      <c r="CK95" s="254"/>
      <c r="CL95" s="254"/>
    </row>
    <row r="96" spans="1:90" outlineLevel="1" x14ac:dyDescent="0.15">
      <c r="A96" s="272"/>
      <c r="B96" s="273"/>
      <c r="C96" s="275">
        <v>56</v>
      </c>
      <c r="D96" s="278">
        <f ca="1"/>
        <v>0</v>
      </c>
      <c r="E96" s="275">
        <f>SAP_Leadsheet!$E$50</f>
        <v>0</v>
      </c>
      <c r="F96" s="275"/>
      <c r="G96" s="276">
        <f>IF($C96+1&gt;G$7,0,IF($D96&gt;SUM(#REF!),$D96/$E96,0))</f>
        <v>0</v>
      </c>
      <c r="H96" s="276">
        <f>IF($C96+1&gt;H$7,0,IF($D96&gt;SUM($G96:G96),$D96/$E96,0))</f>
        <v>0</v>
      </c>
      <c r="I96" s="276">
        <f>IF($C96+1&gt;I$7,0,IF($D96&gt;SUM($G96:H96),$D96/$E96,0))</f>
        <v>0</v>
      </c>
      <c r="J96" s="276">
        <f>IF($C96+1&gt;J$7,0,IF($D96&gt;SUM($G96:I96),$D96/$E96,0))</f>
        <v>0</v>
      </c>
      <c r="K96" s="276">
        <f>IF($C96+1&gt;K$7,0,IF($D96&gt;SUM($G96:J96),$D96/$E96,0))</f>
        <v>0</v>
      </c>
      <c r="L96" s="276">
        <f>IF($C96+1&gt;L$7,0,IF($D96&gt;SUM($G96:K96),$D96/$E96,0))</f>
        <v>0</v>
      </c>
      <c r="M96" s="276">
        <f>IF($C96+1&gt;M$7,0,IF($D96&gt;SUM($G96:L96),$D96/$E96,0))</f>
        <v>0</v>
      </c>
      <c r="N96" s="276">
        <f>IF($C96+1&gt;N$7,0,IF($D96&gt;SUM($G96:M96),$D96/$E96,0))</f>
        <v>0</v>
      </c>
      <c r="O96" s="276">
        <f>IF($C96+1&gt;O$7,0,IF($D96&gt;SUM($G96:N96),$D96/$E96,0))</f>
        <v>0</v>
      </c>
      <c r="P96" s="276">
        <f>IF($C96+1&gt;P$7,0,IF($D96&gt;SUM($G96:O96),$D96/$E96,0))</f>
        <v>0</v>
      </c>
      <c r="Q96" s="276">
        <f>IF($C96+1&gt;Q$7,0,IF($D96&gt;SUM($G96:P96),$D96/$E96,0))</f>
        <v>0</v>
      </c>
      <c r="R96" s="276">
        <f>IF($C96+1&gt;R$7,0,IF($D96&gt;SUM($G96:Q96),$D96/$E96,0))</f>
        <v>0</v>
      </c>
      <c r="S96" s="276">
        <f>IF($C96+1&gt;S$7,0,IF($D96&gt;SUM($G96:R96),$D96/$E96,0))</f>
        <v>0</v>
      </c>
      <c r="T96" s="276">
        <f>IF($C96+1&gt;T$7,0,IF($D96&gt;SUM($G96:S96),$D96/$E96,0))</f>
        <v>0</v>
      </c>
      <c r="U96" s="276">
        <f>IF($C96+1&gt;U$7,0,IF($D96&gt;SUM($G96:T96),$D96/$E96,0))</f>
        <v>0</v>
      </c>
      <c r="V96" s="276">
        <f>IF($C96+1&gt;V$7,0,IF($D96&gt;SUM($G96:U96),$D96/$E96,0))</f>
        <v>0</v>
      </c>
      <c r="W96" s="276">
        <f>IF($C96+1&gt;W$7,0,IF($D96&gt;SUM($G96:V96),$D96/$E96,0))</f>
        <v>0</v>
      </c>
      <c r="X96" s="276">
        <f>IF($C96+1&gt;X$7,0,IF($D96&gt;SUM($G96:W96),$D96/$E96,0))</f>
        <v>0</v>
      </c>
      <c r="Y96" s="276">
        <f>IF($C96+1&gt;Y$7,0,IF($D96&gt;SUM($G96:X96),$D96/$E96,0))</f>
        <v>0</v>
      </c>
      <c r="Z96" s="276">
        <f>IF($C96+1&gt;Z$7,0,IF($D96&gt;SUM($G96:Y96),$D96/$E96,0))</f>
        <v>0</v>
      </c>
      <c r="AA96" s="276">
        <f>IF($C96+1&gt;AA$7,0,IF($D96&gt;SUM($G96:Z96),$D96/$E96,0))</f>
        <v>0</v>
      </c>
      <c r="AB96" s="276">
        <f>IF($C96+1&gt;AB$7,0,IF($D96&gt;SUM($G96:AA96),$D96/$E96,0))</f>
        <v>0</v>
      </c>
      <c r="AC96" s="276">
        <f>IF($C96+1&gt;AC$7,0,IF($D96&gt;SUM($G96:AB96),$D96/$E96,0))</f>
        <v>0</v>
      </c>
      <c r="AD96" s="276">
        <f>IF($C96+1&gt;AD$7,0,IF($D96&gt;SUM($G96:AC96),$D96/$E96,0))</f>
        <v>0</v>
      </c>
      <c r="AE96" s="276">
        <f>IF($C96+1&gt;AE$7,0,IF($D96&gt;SUM($G96:AD96),$D96/$E96,0))</f>
        <v>0</v>
      </c>
      <c r="AF96" s="276">
        <f>IF($C96+1&gt;AF$7,0,IF($D96&gt;SUM($G96:AE96),$D96/$E96,0))</f>
        <v>0</v>
      </c>
      <c r="AG96" s="276">
        <f>IF($C96+1&gt;AG$7,0,IF($D96&gt;SUM($G96:AF96),$D96/$E96,0))</f>
        <v>0</v>
      </c>
      <c r="AH96" s="276">
        <f>IF($C96+1&gt;AH$7,0,IF($D96&gt;SUM($G96:AG96),$D96/$E96,0))</f>
        <v>0</v>
      </c>
      <c r="AI96" s="276">
        <f>IF($C96+1&gt;AI$7,0,IF($D96&gt;SUM($G96:AH96),$D96/$E96,0))</f>
        <v>0</v>
      </c>
      <c r="AJ96" s="276">
        <f>IF($C96+1&gt;AJ$7,0,IF($D96&gt;SUM($G96:AI96),$D96/$E96,0))</f>
        <v>0</v>
      </c>
      <c r="AK96" s="276">
        <f>IF($C96+1&gt;AK$7,0,IF($D96&gt;SUM($G96:AJ96),$D96/$E96,0))</f>
        <v>0</v>
      </c>
      <c r="AL96" s="276">
        <f>IF($C96+1&gt;AL$7,0,IF($D96&gt;SUM($G96:AK96),$D96/$E96,0))</f>
        <v>0</v>
      </c>
      <c r="AM96" s="276">
        <f>IF($C96+1&gt;AM$7,0,IF($D96&gt;SUM($G96:AL96),$D96/$E96,0))</f>
        <v>0</v>
      </c>
      <c r="AN96" s="276">
        <f>IF($C96+1&gt;AN$7,0,IF($D96&gt;SUM($G96:AM96),$D96/$E96,0))</f>
        <v>0</v>
      </c>
      <c r="AO96" s="276">
        <f>IF($C96+1&gt;AO$7,0,IF($D96&gt;SUM($G96:AN96),$D96/$E96,0))</f>
        <v>0</v>
      </c>
      <c r="AP96" s="276">
        <f>IF($C96+1&gt;AP$7,0,IF($D96&gt;SUM($G96:AO96),$D96/$E96,0))</f>
        <v>0</v>
      </c>
      <c r="AQ96" s="276">
        <f>IF($C96+1&gt;AQ$7,0,IF($D96&gt;SUM($G96:AP96),$D96/$E96,0))</f>
        <v>0</v>
      </c>
      <c r="AR96" s="276">
        <f>IF($C96+1&gt;AR$7,0,IF($D96&gt;SUM($G96:AQ96),$D96/$E96,0))</f>
        <v>0</v>
      </c>
      <c r="AS96" s="276">
        <f>IF($C96+1&gt;AS$7,0,IF($D96&gt;SUM($G96:AR96),$D96/$E96,0))</f>
        <v>0</v>
      </c>
      <c r="AT96" s="276">
        <f>IF($C96+1&gt;AT$7,0,IF($D96&gt;SUM($G96:AS96),$D96/$E96,0))</f>
        <v>0</v>
      </c>
      <c r="AU96" s="276">
        <f>IF($C96+1&gt;AU$7,0,IF($D96&gt;SUM($G96:AT96),$D96/$E96,0))</f>
        <v>0</v>
      </c>
      <c r="AV96" s="276">
        <f>IF($C96+1&gt;AV$7,0,IF($D96&gt;SUM($G96:AU96),$D96/$E96,0))</f>
        <v>0</v>
      </c>
      <c r="AW96" s="276">
        <f>IF($C96+1&gt;AW$7,0,IF($D96&gt;SUM($G96:AV96),$D96/$E96,0))</f>
        <v>0</v>
      </c>
      <c r="AX96" s="276">
        <f>IF($C96+1&gt;AX$7,0,IF($D96&gt;SUM($G96:AW96),$D96/$E96,0))</f>
        <v>0</v>
      </c>
      <c r="AY96" s="276">
        <f>IF($C96+1&gt;AY$7,0,IF($D96&gt;SUM($G96:AX96),$D96/$E96,0))</f>
        <v>0</v>
      </c>
      <c r="AZ96" s="276">
        <f>IF($C96+1&gt;AZ$7,0,IF($D96&gt;SUM($G96:AY96),$D96/$E96,0))</f>
        <v>0</v>
      </c>
      <c r="BA96" s="276">
        <f>IF($C96+1&gt;BA$7,0,IF($D96&gt;SUM($G96:AZ96),$D96/$E96,0))</f>
        <v>0</v>
      </c>
      <c r="BB96" s="276">
        <f>IF($C96+1&gt;BB$7,0,IF($D96&gt;SUM($G96:BA96),$D96/$E96,0))</f>
        <v>0</v>
      </c>
      <c r="BC96" s="276">
        <f>IF($C96+1&gt;BC$7,0,IF($D96&gt;SUM($G96:BB96),$D96/$E96,0))</f>
        <v>0</v>
      </c>
      <c r="BD96" s="276">
        <f>IF($C96+1&gt;BD$7,0,IF($D96&gt;SUM($G96:BC96),$D96/$E96,0))</f>
        <v>0</v>
      </c>
      <c r="BE96" s="276">
        <f>IF($C96+1&gt;BE$7,0,IF($D96&gt;SUM($G96:BD96),$D96/$E96,0))</f>
        <v>0</v>
      </c>
      <c r="BF96" s="276">
        <f>IF($C96+1&gt;BF$7,0,IF($D96&gt;SUM($G96:BE96),$D96/$E96,0))</f>
        <v>0</v>
      </c>
      <c r="BG96" s="276">
        <f>IF($C96+1&gt;BG$7,0,IF($D96&gt;SUM($G96:BF96),$D96/$E96,0))</f>
        <v>0</v>
      </c>
      <c r="BH96" s="276">
        <f>IF($C96+1&gt;BH$7,0,IF($D96&gt;SUM($G96:BG96),$D96/$E96,0))</f>
        <v>0</v>
      </c>
      <c r="BI96" s="276">
        <f>IF($C96+1&gt;BI$7,0,IF($D96&gt;SUM($G96:BH96),$D96/$E96,0))</f>
        <v>0</v>
      </c>
      <c r="BJ96" s="276">
        <f>IF($C96+1&gt;BJ$7,0,IF($D96&gt;SUM($G96:BI96),$D96/$E96,0))</f>
        <v>0</v>
      </c>
      <c r="BK96" s="276">
        <f ca="1">IF($C96+1&gt;BK$7,0,IF($D96&gt;SUM($G96:BJ96),$D96/$E96,0))</f>
        <v>0</v>
      </c>
      <c r="BL96" s="276">
        <f ca="1">IF($C96+1&gt;BL$7,0,IF($D96&gt;SUM($G96:BK96),$D96/$E96,0))</f>
        <v>0</v>
      </c>
      <c r="BM96" s="276">
        <f ca="1">IF($C96+1&gt;BM$7,0,IF($D96&gt;SUM($G96:BL96),$D96/$E96,0))</f>
        <v>0</v>
      </c>
      <c r="BN96" s="276">
        <f ca="1">IF($C96+1&gt;BN$7,0,IF($D96&gt;SUM($G96:BM96),$D96/$E96,0))</f>
        <v>0</v>
      </c>
      <c r="BO96" s="276"/>
      <c r="BP96" s="276"/>
      <c r="BQ96" s="276"/>
      <c r="BR96" s="276"/>
      <c r="BS96" s="276"/>
      <c r="BT96" s="276"/>
      <c r="BU96" s="276"/>
      <c r="BV96" s="276"/>
      <c r="BW96" s="276"/>
      <c r="BX96" s="276"/>
      <c r="BY96" s="276"/>
      <c r="BZ96" s="276"/>
      <c r="CA96" s="254"/>
      <c r="CB96" s="254"/>
      <c r="CC96" s="254"/>
      <c r="CD96" s="254"/>
      <c r="CE96" s="254"/>
      <c r="CF96" s="254"/>
      <c r="CG96" s="254"/>
      <c r="CH96" s="254"/>
      <c r="CI96" s="254"/>
      <c r="CJ96" s="254"/>
      <c r="CK96" s="254"/>
      <c r="CL96" s="254"/>
    </row>
    <row r="97" spans="1:90" outlineLevel="1" x14ac:dyDescent="0.15">
      <c r="A97" s="272"/>
      <c r="B97" s="273"/>
      <c r="C97" s="275">
        <v>57</v>
      </c>
      <c r="D97" s="278">
        <f ca="1"/>
        <v>0</v>
      </c>
      <c r="E97" s="275">
        <f>SAP_Leadsheet!$E$50</f>
        <v>0</v>
      </c>
      <c r="F97" s="275"/>
      <c r="G97" s="276">
        <f>IF($C97+1&gt;G$7,0,IF($D97&gt;SUM(#REF!),$D97/$E97,0))</f>
        <v>0</v>
      </c>
      <c r="H97" s="276">
        <f>IF($C97+1&gt;H$7,0,IF($D97&gt;SUM($G97:G97),$D97/$E97,0))</f>
        <v>0</v>
      </c>
      <c r="I97" s="276">
        <f>IF($C97+1&gt;I$7,0,IF($D97&gt;SUM($G97:H97),$D97/$E97,0))</f>
        <v>0</v>
      </c>
      <c r="J97" s="276">
        <f>IF($C97+1&gt;J$7,0,IF($D97&gt;SUM($G97:I97),$D97/$E97,0))</f>
        <v>0</v>
      </c>
      <c r="K97" s="276">
        <f>IF($C97+1&gt;K$7,0,IF($D97&gt;SUM($G97:J97),$D97/$E97,0))</f>
        <v>0</v>
      </c>
      <c r="L97" s="276">
        <f>IF($C97+1&gt;L$7,0,IF($D97&gt;SUM($G97:K97),$D97/$E97,0))</f>
        <v>0</v>
      </c>
      <c r="M97" s="276">
        <f>IF($C97+1&gt;M$7,0,IF($D97&gt;SUM($G97:L97),$D97/$E97,0))</f>
        <v>0</v>
      </c>
      <c r="N97" s="276">
        <f>IF($C97+1&gt;N$7,0,IF($D97&gt;SUM($G97:M97),$D97/$E97,0))</f>
        <v>0</v>
      </c>
      <c r="O97" s="276">
        <f>IF($C97+1&gt;O$7,0,IF($D97&gt;SUM($G97:N97),$D97/$E97,0))</f>
        <v>0</v>
      </c>
      <c r="P97" s="276">
        <f>IF($C97+1&gt;P$7,0,IF($D97&gt;SUM($G97:O97),$D97/$E97,0))</f>
        <v>0</v>
      </c>
      <c r="Q97" s="276">
        <f>IF($C97+1&gt;Q$7,0,IF($D97&gt;SUM($G97:P97),$D97/$E97,0))</f>
        <v>0</v>
      </c>
      <c r="R97" s="276">
        <f>IF($C97+1&gt;R$7,0,IF($D97&gt;SUM($G97:Q97),$D97/$E97,0))</f>
        <v>0</v>
      </c>
      <c r="S97" s="276">
        <f>IF($C97+1&gt;S$7,0,IF($D97&gt;SUM($G97:R97),$D97/$E97,0))</f>
        <v>0</v>
      </c>
      <c r="T97" s="276">
        <f>IF($C97+1&gt;T$7,0,IF($D97&gt;SUM($G97:S97),$D97/$E97,0))</f>
        <v>0</v>
      </c>
      <c r="U97" s="276">
        <f>IF($C97+1&gt;U$7,0,IF($D97&gt;SUM($G97:T97),$D97/$E97,0))</f>
        <v>0</v>
      </c>
      <c r="V97" s="276">
        <f>IF($C97+1&gt;V$7,0,IF($D97&gt;SUM($G97:U97),$D97/$E97,0))</f>
        <v>0</v>
      </c>
      <c r="W97" s="276">
        <f>IF($C97+1&gt;W$7,0,IF($D97&gt;SUM($G97:V97),$D97/$E97,0))</f>
        <v>0</v>
      </c>
      <c r="X97" s="276">
        <f>IF($C97+1&gt;X$7,0,IF($D97&gt;SUM($G97:W97),$D97/$E97,0))</f>
        <v>0</v>
      </c>
      <c r="Y97" s="276">
        <f>IF($C97+1&gt;Y$7,0,IF($D97&gt;SUM($G97:X97),$D97/$E97,0))</f>
        <v>0</v>
      </c>
      <c r="Z97" s="276">
        <f>IF($C97+1&gt;Z$7,0,IF($D97&gt;SUM($G97:Y97),$D97/$E97,0))</f>
        <v>0</v>
      </c>
      <c r="AA97" s="276">
        <f>IF($C97+1&gt;AA$7,0,IF($D97&gt;SUM($G97:Z97),$D97/$E97,0))</f>
        <v>0</v>
      </c>
      <c r="AB97" s="276">
        <f>IF($C97+1&gt;AB$7,0,IF($D97&gt;SUM($G97:AA97),$D97/$E97,0))</f>
        <v>0</v>
      </c>
      <c r="AC97" s="276">
        <f>IF($C97+1&gt;AC$7,0,IF($D97&gt;SUM($G97:AB97),$D97/$E97,0))</f>
        <v>0</v>
      </c>
      <c r="AD97" s="276">
        <f>IF($C97+1&gt;AD$7,0,IF($D97&gt;SUM($G97:AC97),$D97/$E97,0))</f>
        <v>0</v>
      </c>
      <c r="AE97" s="276">
        <f>IF($C97+1&gt;AE$7,0,IF($D97&gt;SUM($G97:AD97),$D97/$E97,0))</f>
        <v>0</v>
      </c>
      <c r="AF97" s="276">
        <f>IF($C97+1&gt;AF$7,0,IF($D97&gt;SUM($G97:AE97),$D97/$E97,0))</f>
        <v>0</v>
      </c>
      <c r="AG97" s="276">
        <f>IF($C97+1&gt;AG$7,0,IF($D97&gt;SUM($G97:AF97),$D97/$E97,0))</f>
        <v>0</v>
      </c>
      <c r="AH97" s="276">
        <f>IF($C97+1&gt;AH$7,0,IF($D97&gt;SUM($G97:AG97),$D97/$E97,0))</f>
        <v>0</v>
      </c>
      <c r="AI97" s="276">
        <f>IF($C97+1&gt;AI$7,0,IF($D97&gt;SUM($G97:AH97),$D97/$E97,0))</f>
        <v>0</v>
      </c>
      <c r="AJ97" s="276">
        <f>IF($C97+1&gt;AJ$7,0,IF($D97&gt;SUM($G97:AI97),$D97/$E97,0))</f>
        <v>0</v>
      </c>
      <c r="AK97" s="276">
        <f>IF($C97+1&gt;AK$7,0,IF($D97&gt;SUM($G97:AJ97),$D97/$E97,0))</f>
        <v>0</v>
      </c>
      <c r="AL97" s="276">
        <f>IF($C97+1&gt;AL$7,0,IF($D97&gt;SUM($G97:AK97),$D97/$E97,0))</f>
        <v>0</v>
      </c>
      <c r="AM97" s="276">
        <f>IF($C97+1&gt;AM$7,0,IF($D97&gt;SUM($G97:AL97),$D97/$E97,0))</f>
        <v>0</v>
      </c>
      <c r="AN97" s="276">
        <f>IF($C97+1&gt;AN$7,0,IF($D97&gt;SUM($G97:AM97),$D97/$E97,0))</f>
        <v>0</v>
      </c>
      <c r="AO97" s="276">
        <f>IF($C97+1&gt;AO$7,0,IF($D97&gt;SUM($G97:AN97),$D97/$E97,0))</f>
        <v>0</v>
      </c>
      <c r="AP97" s="276">
        <f>IF($C97+1&gt;AP$7,0,IF($D97&gt;SUM($G97:AO97),$D97/$E97,0))</f>
        <v>0</v>
      </c>
      <c r="AQ97" s="276">
        <f>IF($C97+1&gt;AQ$7,0,IF($D97&gt;SUM($G97:AP97),$D97/$E97,0))</f>
        <v>0</v>
      </c>
      <c r="AR97" s="276">
        <f>IF($C97+1&gt;AR$7,0,IF($D97&gt;SUM($G97:AQ97),$D97/$E97,0))</f>
        <v>0</v>
      </c>
      <c r="AS97" s="276">
        <f>IF($C97+1&gt;AS$7,0,IF($D97&gt;SUM($G97:AR97),$D97/$E97,0))</f>
        <v>0</v>
      </c>
      <c r="AT97" s="276">
        <f>IF($C97+1&gt;AT$7,0,IF($D97&gt;SUM($G97:AS97),$D97/$E97,0))</f>
        <v>0</v>
      </c>
      <c r="AU97" s="276">
        <f>IF($C97+1&gt;AU$7,0,IF($D97&gt;SUM($G97:AT97),$D97/$E97,0))</f>
        <v>0</v>
      </c>
      <c r="AV97" s="276">
        <f>IF($C97+1&gt;AV$7,0,IF($D97&gt;SUM($G97:AU97),$D97/$E97,0))</f>
        <v>0</v>
      </c>
      <c r="AW97" s="276">
        <f>IF($C97+1&gt;AW$7,0,IF($D97&gt;SUM($G97:AV97),$D97/$E97,0))</f>
        <v>0</v>
      </c>
      <c r="AX97" s="276">
        <f>IF($C97+1&gt;AX$7,0,IF($D97&gt;SUM($G97:AW97),$D97/$E97,0))</f>
        <v>0</v>
      </c>
      <c r="AY97" s="276">
        <f>IF($C97+1&gt;AY$7,0,IF($D97&gt;SUM($G97:AX97),$D97/$E97,0))</f>
        <v>0</v>
      </c>
      <c r="AZ97" s="276">
        <f>IF($C97+1&gt;AZ$7,0,IF($D97&gt;SUM($G97:AY97),$D97/$E97,0))</f>
        <v>0</v>
      </c>
      <c r="BA97" s="276">
        <f>IF($C97+1&gt;BA$7,0,IF($D97&gt;SUM($G97:AZ97),$D97/$E97,0))</f>
        <v>0</v>
      </c>
      <c r="BB97" s="276">
        <f>IF($C97+1&gt;BB$7,0,IF($D97&gt;SUM($G97:BA97),$D97/$E97,0))</f>
        <v>0</v>
      </c>
      <c r="BC97" s="276">
        <f>IF($C97+1&gt;BC$7,0,IF($D97&gt;SUM($G97:BB97),$D97/$E97,0))</f>
        <v>0</v>
      </c>
      <c r="BD97" s="276">
        <f>IF($C97+1&gt;BD$7,0,IF($D97&gt;SUM($G97:BC97),$D97/$E97,0))</f>
        <v>0</v>
      </c>
      <c r="BE97" s="276">
        <f>IF($C97+1&gt;BE$7,0,IF($D97&gt;SUM($G97:BD97),$D97/$E97,0))</f>
        <v>0</v>
      </c>
      <c r="BF97" s="276">
        <f>IF($C97+1&gt;BF$7,0,IF($D97&gt;SUM($G97:BE97),$D97/$E97,0))</f>
        <v>0</v>
      </c>
      <c r="BG97" s="276">
        <f>IF($C97+1&gt;BG$7,0,IF($D97&gt;SUM($G97:BF97),$D97/$E97,0))</f>
        <v>0</v>
      </c>
      <c r="BH97" s="276">
        <f>IF($C97+1&gt;BH$7,0,IF($D97&gt;SUM($G97:BG97),$D97/$E97,0))</f>
        <v>0</v>
      </c>
      <c r="BI97" s="276">
        <f>IF($C97+1&gt;BI$7,0,IF($D97&gt;SUM($G97:BH97),$D97/$E97,0))</f>
        <v>0</v>
      </c>
      <c r="BJ97" s="276">
        <f>IF($C97+1&gt;BJ$7,0,IF($D97&gt;SUM($G97:BI97),$D97/$E97,0))</f>
        <v>0</v>
      </c>
      <c r="BK97" s="276">
        <f>IF($C97+1&gt;BK$7,0,IF($D97&gt;SUM($G97:BJ97),$D97/$E97,0))</f>
        <v>0</v>
      </c>
      <c r="BL97" s="276">
        <f ca="1">IF($C97+1&gt;BL$7,0,IF($D97&gt;SUM($G97:BK97),$D97/$E97,0))</f>
        <v>0</v>
      </c>
      <c r="BM97" s="276">
        <f ca="1">IF($C97+1&gt;BM$7,0,IF($D97&gt;SUM($G97:BL97),$D97/$E97,0))</f>
        <v>0</v>
      </c>
      <c r="BN97" s="276">
        <f ca="1">IF($C97+1&gt;BN$7,0,IF($D97&gt;SUM($G97:BM97),$D97/$E97,0))</f>
        <v>0</v>
      </c>
      <c r="BO97" s="276"/>
      <c r="BP97" s="276"/>
      <c r="BQ97" s="276"/>
      <c r="BR97" s="276"/>
      <c r="BS97" s="276"/>
      <c r="BT97" s="276"/>
      <c r="BU97" s="276"/>
      <c r="BV97" s="276"/>
      <c r="BW97" s="276"/>
      <c r="BX97" s="276"/>
      <c r="BY97" s="276"/>
      <c r="BZ97" s="276"/>
      <c r="CA97" s="254"/>
      <c r="CB97" s="254"/>
      <c r="CC97" s="254"/>
      <c r="CD97" s="254"/>
      <c r="CE97" s="254"/>
      <c r="CF97" s="254"/>
      <c r="CG97" s="254"/>
      <c r="CH97" s="254"/>
      <c r="CI97" s="254"/>
      <c r="CJ97" s="254"/>
      <c r="CK97" s="254"/>
      <c r="CL97" s="254"/>
    </row>
    <row r="98" spans="1:90" outlineLevel="1" x14ac:dyDescent="0.15">
      <c r="A98" s="272"/>
      <c r="B98" s="273"/>
      <c r="C98" s="275">
        <v>58</v>
      </c>
      <c r="D98" s="278">
        <f ca="1"/>
        <v>0</v>
      </c>
      <c r="E98" s="275">
        <f>SAP_Leadsheet!$E$50</f>
        <v>0</v>
      </c>
      <c r="F98" s="275"/>
      <c r="G98" s="276">
        <f>IF($C98+1&gt;G$7,0,IF($D98&gt;SUM(#REF!),$D98/$E98,0))</f>
        <v>0</v>
      </c>
      <c r="H98" s="276">
        <f>IF($C98+1&gt;H$7,0,IF($D98&gt;SUM($G98:G98),$D98/$E98,0))</f>
        <v>0</v>
      </c>
      <c r="I98" s="276">
        <f>IF($C98+1&gt;I$7,0,IF($D98&gt;SUM($G98:H98),$D98/$E98,0))</f>
        <v>0</v>
      </c>
      <c r="J98" s="276">
        <f>IF($C98+1&gt;J$7,0,IF($D98&gt;SUM($G98:I98),$D98/$E98,0))</f>
        <v>0</v>
      </c>
      <c r="K98" s="276">
        <f>IF($C98+1&gt;K$7,0,IF($D98&gt;SUM($G98:J98),$D98/$E98,0))</f>
        <v>0</v>
      </c>
      <c r="L98" s="276">
        <f>IF($C98+1&gt;L$7,0,IF($D98&gt;SUM($G98:K98),$D98/$E98,0))</f>
        <v>0</v>
      </c>
      <c r="M98" s="276">
        <f>IF($C98+1&gt;M$7,0,IF($D98&gt;SUM($G98:L98),$D98/$E98,0))</f>
        <v>0</v>
      </c>
      <c r="N98" s="276">
        <f>IF($C98+1&gt;N$7,0,IF($D98&gt;SUM($G98:M98),$D98/$E98,0))</f>
        <v>0</v>
      </c>
      <c r="O98" s="276">
        <f>IF($C98+1&gt;O$7,0,IF($D98&gt;SUM($G98:N98),$D98/$E98,0))</f>
        <v>0</v>
      </c>
      <c r="P98" s="276">
        <f>IF($C98+1&gt;P$7,0,IF($D98&gt;SUM($G98:O98),$D98/$E98,0))</f>
        <v>0</v>
      </c>
      <c r="Q98" s="276">
        <f>IF($C98+1&gt;Q$7,0,IF($D98&gt;SUM($G98:P98),$D98/$E98,0))</f>
        <v>0</v>
      </c>
      <c r="R98" s="276">
        <f>IF($C98+1&gt;R$7,0,IF($D98&gt;SUM($G98:Q98),$D98/$E98,0))</f>
        <v>0</v>
      </c>
      <c r="S98" s="276">
        <f>IF($C98+1&gt;S$7,0,IF($D98&gt;SUM($G98:R98),$D98/$E98,0))</f>
        <v>0</v>
      </c>
      <c r="T98" s="276">
        <f>IF($C98+1&gt;T$7,0,IF($D98&gt;SUM($G98:S98),$D98/$E98,0))</f>
        <v>0</v>
      </c>
      <c r="U98" s="276">
        <f>IF($C98+1&gt;U$7,0,IF($D98&gt;SUM($G98:T98),$D98/$E98,0))</f>
        <v>0</v>
      </c>
      <c r="V98" s="276">
        <f>IF($C98+1&gt;V$7,0,IF($D98&gt;SUM($G98:U98),$D98/$E98,0))</f>
        <v>0</v>
      </c>
      <c r="W98" s="276">
        <f>IF($C98+1&gt;W$7,0,IF($D98&gt;SUM($G98:V98),$D98/$E98,0))</f>
        <v>0</v>
      </c>
      <c r="X98" s="276">
        <f>IF($C98+1&gt;X$7,0,IF($D98&gt;SUM($G98:W98),$D98/$E98,0))</f>
        <v>0</v>
      </c>
      <c r="Y98" s="276">
        <f>IF($C98+1&gt;Y$7,0,IF($D98&gt;SUM($G98:X98),$D98/$E98,0))</f>
        <v>0</v>
      </c>
      <c r="Z98" s="276">
        <f>IF($C98+1&gt;Z$7,0,IF($D98&gt;SUM($G98:Y98),$D98/$E98,0))</f>
        <v>0</v>
      </c>
      <c r="AA98" s="276">
        <f>IF($C98+1&gt;AA$7,0,IF($D98&gt;SUM($G98:Z98),$D98/$E98,0))</f>
        <v>0</v>
      </c>
      <c r="AB98" s="276">
        <f>IF($C98+1&gt;AB$7,0,IF($D98&gt;SUM($G98:AA98),$D98/$E98,0))</f>
        <v>0</v>
      </c>
      <c r="AC98" s="276">
        <f>IF($C98+1&gt;AC$7,0,IF($D98&gt;SUM($G98:AB98),$D98/$E98,0))</f>
        <v>0</v>
      </c>
      <c r="AD98" s="276">
        <f>IF($C98+1&gt;AD$7,0,IF($D98&gt;SUM($G98:AC98),$D98/$E98,0))</f>
        <v>0</v>
      </c>
      <c r="AE98" s="276">
        <f>IF($C98+1&gt;AE$7,0,IF($D98&gt;SUM($G98:AD98),$D98/$E98,0))</f>
        <v>0</v>
      </c>
      <c r="AF98" s="276">
        <f>IF($C98+1&gt;AF$7,0,IF($D98&gt;SUM($G98:AE98),$D98/$E98,0))</f>
        <v>0</v>
      </c>
      <c r="AG98" s="276">
        <f>IF($C98+1&gt;AG$7,0,IF($D98&gt;SUM($G98:AF98),$D98/$E98,0))</f>
        <v>0</v>
      </c>
      <c r="AH98" s="276">
        <f>IF($C98+1&gt;AH$7,0,IF($D98&gt;SUM($G98:AG98),$D98/$E98,0))</f>
        <v>0</v>
      </c>
      <c r="AI98" s="276">
        <f>IF($C98+1&gt;AI$7,0,IF($D98&gt;SUM($G98:AH98),$D98/$E98,0))</f>
        <v>0</v>
      </c>
      <c r="AJ98" s="276">
        <f>IF($C98+1&gt;AJ$7,0,IF($D98&gt;SUM($G98:AI98),$D98/$E98,0))</f>
        <v>0</v>
      </c>
      <c r="AK98" s="276">
        <f>IF($C98+1&gt;AK$7,0,IF($D98&gt;SUM($G98:AJ98),$D98/$E98,0))</f>
        <v>0</v>
      </c>
      <c r="AL98" s="276">
        <f>IF($C98+1&gt;AL$7,0,IF($D98&gt;SUM($G98:AK98),$D98/$E98,0))</f>
        <v>0</v>
      </c>
      <c r="AM98" s="276">
        <f>IF($C98+1&gt;AM$7,0,IF($D98&gt;SUM($G98:AL98),$D98/$E98,0))</f>
        <v>0</v>
      </c>
      <c r="AN98" s="276">
        <f>IF($C98+1&gt;AN$7,0,IF($D98&gt;SUM($G98:AM98),$D98/$E98,0))</f>
        <v>0</v>
      </c>
      <c r="AO98" s="276">
        <f>IF($C98+1&gt;AO$7,0,IF($D98&gt;SUM($G98:AN98),$D98/$E98,0))</f>
        <v>0</v>
      </c>
      <c r="AP98" s="276">
        <f>IF($C98+1&gt;AP$7,0,IF($D98&gt;SUM($G98:AO98),$D98/$E98,0))</f>
        <v>0</v>
      </c>
      <c r="AQ98" s="276">
        <f>IF($C98+1&gt;AQ$7,0,IF($D98&gt;SUM($G98:AP98),$D98/$E98,0))</f>
        <v>0</v>
      </c>
      <c r="AR98" s="276">
        <f>IF($C98+1&gt;AR$7,0,IF($D98&gt;SUM($G98:AQ98),$D98/$E98,0))</f>
        <v>0</v>
      </c>
      <c r="AS98" s="276">
        <f>IF($C98+1&gt;AS$7,0,IF($D98&gt;SUM($G98:AR98),$D98/$E98,0))</f>
        <v>0</v>
      </c>
      <c r="AT98" s="276">
        <f>IF($C98+1&gt;AT$7,0,IF($D98&gt;SUM($G98:AS98),$D98/$E98,0))</f>
        <v>0</v>
      </c>
      <c r="AU98" s="276">
        <f>IF($C98+1&gt;AU$7,0,IF($D98&gt;SUM($G98:AT98),$D98/$E98,0))</f>
        <v>0</v>
      </c>
      <c r="AV98" s="276">
        <f>IF($C98+1&gt;AV$7,0,IF($D98&gt;SUM($G98:AU98),$D98/$E98,0))</f>
        <v>0</v>
      </c>
      <c r="AW98" s="276">
        <f>IF($C98+1&gt;AW$7,0,IF($D98&gt;SUM($G98:AV98),$D98/$E98,0))</f>
        <v>0</v>
      </c>
      <c r="AX98" s="276">
        <f>IF($C98+1&gt;AX$7,0,IF($D98&gt;SUM($G98:AW98),$D98/$E98,0))</f>
        <v>0</v>
      </c>
      <c r="AY98" s="276">
        <f>IF($C98+1&gt;AY$7,0,IF($D98&gt;SUM($G98:AX98),$D98/$E98,0))</f>
        <v>0</v>
      </c>
      <c r="AZ98" s="276">
        <f>IF($C98+1&gt;AZ$7,0,IF($D98&gt;SUM($G98:AY98),$D98/$E98,0))</f>
        <v>0</v>
      </c>
      <c r="BA98" s="276">
        <f>IF($C98+1&gt;BA$7,0,IF($D98&gt;SUM($G98:AZ98),$D98/$E98,0))</f>
        <v>0</v>
      </c>
      <c r="BB98" s="276">
        <f>IF($C98+1&gt;BB$7,0,IF($D98&gt;SUM($G98:BA98),$D98/$E98,0))</f>
        <v>0</v>
      </c>
      <c r="BC98" s="276">
        <f>IF($C98+1&gt;BC$7,0,IF($D98&gt;SUM($G98:BB98),$D98/$E98,0))</f>
        <v>0</v>
      </c>
      <c r="BD98" s="276">
        <f>IF($C98+1&gt;BD$7,0,IF($D98&gt;SUM($G98:BC98),$D98/$E98,0))</f>
        <v>0</v>
      </c>
      <c r="BE98" s="276">
        <f>IF($C98+1&gt;BE$7,0,IF($D98&gt;SUM($G98:BD98),$D98/$E98,0))</f>
        <v>0</v>
      </c>
      <c r="BF98" s="276">
        <f>IF($C98+1&gt;BF$7,0,IF($D98&gt;SUM($G98:BE98),$D98/$E98,0))</f>
        <v>0</v>
      </c>
      <c r="BG98" s="276">
        <f>IF($C98+1&gt;BG$7,0,IF($D98&gt;SUM($G98:BF98),$D98/$E98,0))</f>
        <v>0</v>
      </c>
      <c r="BH98" s="276">
        <f>IF($C98+1&gt;BH$7,0,IF($D98&gt;SUM($G98:BG98),$D98/$E98,0))</f>
        <v>0</v>
      </c>
      <c r="BI98" s="276">
        <f>IF($C98+1&gt;BI$7,0,IF($D98&gt;SUM($G98:BH98),$D98/$E98,0))</f>
        <v>0</v>
      </c>
      <c r="BJ98" s="276">
        <f>IF($C98+1&gt;BJ$7,0,IF($D98&gt;SUM($G98:BI98),$D98/$E98,0))</f>
        <v>0</v>
      </c>
      <c r="BK98" s="276">
        <f>IF($C98+1&gt;BK$7,0,IF($D98&gt;SUM($G98:BJ98),$D98/$E98,0))</f>
        <v>0</v>
      </c>
      <c r="BL98" s="276">
        <f>IF($C98+1&gt;BL$7,0,IF($D98&gt;SUM($G98:BK98),$D98/$E98,0))</f>
        <v>0</v>
      </c>
      <c r="BM98" s="276">
        <f ca="1">IF($C98+1&gt;BM$7,0,IF($D98&gt;SUM($G98:BL98),$D98/$E98,0))</f>
        <v>0</v>
      </c>
      <c r="BN98" s="276">
        <f ca="1">IF($C98+1&gt;BN$7,0,IF($D98&gt;SUM($G98:BM98),$D98/$E98,0))</f>
        <v>0</v>
      </c>
      <c r="BO98" s="276"/>
      <c r="BP98" s="276"/>
      <c r="BQ98" s="276"/>
      <c r="BR98" s="276"/>
      <c r="BS98" s="276"/>
      <c r="BT98" s="276"/>
      <c r="BU98" s="276"/>
      <c r="BV98" s="276"/>
      <c r="BW98" s="276"/>
      <c r="BX98" s="276"/>
      <c r="BY98" s="276"/>
      <c r="BZ98" s="276"/>
      <c r="CA98" s="254"/>
      <c r="CB98" s="254"/>
      <c r="CC98" s="254"/>
      <c r="CD98" s="254"/>
      <c r="CE98" s="254"/>
      <c r="CF98" s="254"/>
      <c r="CG98" s="254"/>
      <c r="CH98" s="254"/>
      <c r="CI98" s="254"/>
      <c r="CJ98" s="254"/>
      <c r="CK98" s="254"/>
      <c r="CL98" s="254"/>
    </row>
    <row r="99" spans="1:90" outlineLevel="1" x14ac:dyDescent="0.15">
      <c r="A99" s="272"/>
      <c r="B99" s="273"/>
      <c r="C99" s="275">
        <v>59</v>
      </c>
      <c r="D99" s="278">
        <f ca="1"/>
        <v>0</v>
      </c>
      <c r="E99" s="275">
        <f>SAP_Leadsheet!$E$50</f>
        <v>0</v>
      </c>
      <c r="F99" s="275"/>
      <c r="G99" s="276">
        <f>IF($C99+1&gt;G$7,0,IF($D99&gt;SUM(#REF!),$D99/$E99,0))</f>
        <v>0</v>
      </c>
      <c r="H99" s="276">
        <f>IF($C99+1&gt;H$7,0,IF($D99&gt;SUM($G99:G99),$D99/$E99,0))</f>
        <v>0</v>
      </c>
      <c r="I99" s="276">
        <f>IF($C99+1&gt;I$7,0,IF($D99&gt;SUM($G99:H99),$D99/$E99,0))</f>
        <v>0</v>
      </c>
      <c r="J99" s="276">
        <f>IF($C99+1&gt;J$7,0,IF($D99&gt;SUM($G99:I99),$D99/$E99,0))</f>
        <v>0</v>
      </c>
      <c r="K99" s="276">
        <f>IF($C99+1&gt;K$7,0,IF($D99&gt;SUM($G99:J99),$D99/$E99,0))</f>
        <v>0</v>
      </c>
      <c r="L99" s="276">
        <f>IF($C99+1&gt;L$7,0,IF($D99&gt;SUM($G99:K99),$D99/$E99,0))</f>
        <v>0</v>
      </c>
      <c r="M99" s="276">
        <f>IF($C99+1&gt;M$7,0,IF($D99&gt;SUM($G99:L99),$D99/$E99,0))</f>
        <v>0</v>
      </c>
      <c r="N99" s="276">
        <f>IF($C99+1&gt;N$7,0,IF($D99&gt;SUM($G99:M99),$D99/$E99,0))</f>
        <v>0</v>
      </c>
      <c r="O99" s="276">
        <f>IF($C99+1&gt;O$7,0,IF($D99&gt;SUM($G99:N99),$D99/$E99,0))</f>
        <v>0</v>
      </c>
      <c r="P99" s="276">
        <f>IF($C99+1&gt;P$7,0,IF($D99&gt;SUM($G99:O99),$D99/$E99,0))</f>
        <v>0</v>
      </c>
      <c r="Q99" s="276">
        <f>IF($C99+1&gt;Q$7,0,IF($D99&gt;SUM($G99:P99),$D99/$E99,0))</f>
        <v>0</v>
      </c>
      <c r="R99" s="276">
        <f>IF($C99+1&gt;R$7,0,IF($D99&gt;SUM($G99:Q99),$D99/$E99,0))</f>
        <v>0</v>
      </c>
      <c r="S99" s="276">
        <f>IF($C99+1&gt;S$7,0,IF($D99&gt;SUM($G99:R99),$D99/$E99,0))</f>
        <v>0</v>
      </c>
      <c r="T99" s="276">
        <f>IF($C99+1&gt;T$7,0,IF($D99&gt;SUM($G99:S99),$D99/$E99,0))</f>
        <v>0</v>
      </c>
      <c r="U99" s="276">
        <f>IF($C99+1&gt;U$7,0,IF($D99&gt;SUM($G99:T99),$D99/$E99,0))</f>
        <v>0</v>
      </c>
      <c r="V99" s="276">
        <f>IF($C99+1&gt;V$7,0,IF($D99&gt;SUM($G99:U99),$D99/$E99,0))</f>
        <v>0</v>
      </c>
      <c r="W99" s="276">
        <f>IF($C99+1&gt;W$7,0,IF($D99&gt;SUM($G99:V99),$D99/$E99,0))</f>
        <v>0</v>
      </c>
      <c r="X99" s="276">
        <f>IF($C99+1&gt;X$7,0,IF($D99&gt;SUM($G99:W99),$D99/$E99,0))</f>
        <v>0</v>
      </c>
      <c r="Y99" s="276">
        <f>IF($C99+1&gt;Y$7,0,IF($D99&gt;SUM($G99:X99),$D99/$E99,0))</f>
        <v>0</v>
      </c>
      <c r="Z99" s="276">
        <f>IF($C99+1&gt;Z$7,0,IF($D99&gt;SUM($G99:Y99),$D99/$E99,0))</f>
        <v>0</v>
      </c>
      <c r="AA99" s="276">
        <f>IF($C99+1&gt;AA$7,0,IF($D99&gt;SUM($G99:Z99),$D99/$E99,0))</f>
        <v>0</v>
      </c>
      <c r="AB99" s="276">
        <f>IF($C99+1&gt;AB$7,0,IF($D99&gt;SUM($G99:AA99),$D99/$E99,0))</f>
        <v>0</v>
      </c>
      <c r="AC99" s="276">
        <f>IF($C99+1&gt;AC$7,0,IF($D99&gt;SUM($G99:AB99),$D99/$E99,0))</f>
        <v>0</v>
      </c>
      <c r="AD99" s="276">
        <f>IF($C99+1&gt;AD$7,0,IF($D99&gt;SUM($G99:AC99),$D99/$E99,0))</f>
        <v>0</v>
      </c>
      <c r="AE99" s="276">
        <f>IF($C99+1&gt;AE$7,0,IF($D99&gt;SUM($G99:AD99),$D99/$E99,0))</f>
        <v>0</v>
      </c>
      <c r="AF99" s="276">
        <f>IF($C99+1&gt;AF$7,0,IF($D99&gt;SUM($G99:AE99),$D99/$E99,0))</f>
        <v>0</v>
      </c>
      <c r="AG99" s="276">
        <f>IF($C99+1&gt;AG$7,0,IF($D99&gt;SUM($G99:AF99),$D99/$E99,0))</f>
        <v>0</v>
      </c>
      <c r="AH99" s="276">
        <f>IF($C99+1&gt;AH$7,0,IF($D99&gt;SUM($G99:AG99),$D99/$E99,0))</f>
        <v>0</v>
      </c>
      <c r="AI99" s="276">
        <f>IF($C99+1&gt;AI$7,0,IF($D99&gt;SUM($G99:AH99),$D99/$E99,0))</f>
        <v>0</v>
      </c>
      <c r="AJ99" s="276">
        <f>IF($C99+1&gt;AJ$7,0,IF($D99&gt;SUM($G99:AI99),$D99/$E99,0))</f>
        <v>0</v>
      </c>
      <c r="AK99" s="276">
        <f>IF($C99+1&gt;AK$7,0,IF($D99&gt;SUM($G99:AJ99),$D99/$E99,0))</f>
        <v>0</v>
      </c>
      <c r="AL99" s="276">
        <f>IF($C99+1&gt;AL$7,0,IF($D99&gt;SUM($G99:AK99),$D99/$E99,0))</f>
        <v>0</v>
      </c>
      <c r="AM99" s="276">
        <f>IF($C99+1&gt;AM$7,0,IF($D99&gt;SUM($G99:AL99),$D99/$E99,0))</f>
        <v>0</v>
      </c>
      <c r="AN99" s="276">
        <f>IF($C99+1&gt;AN$7,0,IF($D99&gt;SUM($G99:AM99),$D99/$E99,0))</f>
        <v>0</v>
      </c>
      <c r="AO99" s="276">
        <f>IF($C99+1&gt;AO$7,0,IF($D99&gt;SUM($G99:AN99),$D99/$E99,0))</f>
        <v>0</v>
      </c>
      <c r="AP99" s="276">
        <f>IF($C99+1&gt;AP$7,0,IF($D99&gt;SUM($G99:AO99),$D99/$E99,0))</f>
        <v>0</v>
      </c>
      <c r="AQ99" s="276">
        <f>IF($C99+1&gt;AQ$7,0,IF($D99&gt;SUM($G99:AP99),$D99/$E99,0))</f>
        <v>0</v>
      </c>
      <c r="AR99" s="276">
        <f>IF($C99+1&gt;AR$7,0,IF($D99&gt;SUM($G99:AQ99),$D99/$E99,0))</f>
        <v>0</v>
      </c>
      <c r="AS99" s="276">
        <f>IF($C99+1&gt;AS$7,0,IF($D99&gt;SUM($G99:AR99),$D99/$E99,0))</f>
        <v>0</v>
      </c>
      <c r="AT99" s="276">
        <f>IF($C99+1&gt;AT$7,0,IF($D99&gt;SUM($G99:AS99),$D99/$E99,0))</f>
        <v>0</v>
      </c>
      <c r="AU99" s="276">
        <f>IF($C99+1&gt;AU$7,0,IF($D99&gt;SUM($G99:AT99),$D99/$E99,0))</f>
        <v>0</v>
      </c>
      <c r="AV99" s="276">
        <f>IF($C99+1&gt;AV$7,0,IF($D99&gt;SUM($G99:AU99),$D99/$E99,0))</f>
        <v>0</v>
      </c>
      <c r="AW99" s="276">
        <f>IF($C99+1&gt;AW$7,0,IF($D99&gt;SUM($G99:AV99),$D99/$E99,0))</f>
        <v>0</v>
      </c>
      <c r="AX99" s="276">
        <f>IF($C99+1&gt;AX$7,0,IF($D99&gt;SUM($G99:AW99),$D99/$E99,0))</f>
        <v>0</v>
      </c>
      <c r="AY99" s="276">
        <f>IF($C99+1&gt;AY$7,0,IF($D99&gt;SUM($G99:AX99),$D99/$E99,0))</f>
        <v>0</v>
      </c>
      <c r="AZ99" s="276">
        <f>IF($C99+1&gt;AZ$7,0,IF($D99&gt;SUM($G99:AY99),$D99/$E99,0))</f>
        <v>0</v>
      </c>
      <c r="BA99" s="276">
        <f>IF($C99+1&gt;BA$7,0,IF($D99&gt;SUM($G99:AZ99),$D99/$E99,0))</f>
        <v>0</v>
      </c>
      <c r="BB99" s="276">
        <f>IF($C99+1&gt;BB$7,0,IF($D99&gt;SUM($G99:BA99),$D99/$E99,0))</f>
        <v>0</v>
      </c>
      <c r="BC99" s="276">
        <f>IF($C99+1&gt;BC$7,0,IF($D99&gt;SUM($G99:BB99),$D99/$E99,0))</f>
        <v>0</v>
      </c>
      <c r="BD99" s="276">
        <f>IF($C99+1&gt;BD$7,0,IF($D99&gt;SUM($G99:BC99),$D99/$E99,0))</f>
        <v>0</v>
      </c>
      <c r="BE99" s="276">
        <f>IF($C99+1&gt;BE$7,0,IF($D99&gt;SUM($G99:BD99),$D99/$E99,0))</f>
        <v>0</v>
      </c>
      <c r="BF99" s="276">
        <f>IF($C99+1&gt;BF$7,0,IF($D99&gt;SUM($G99:BE99),$D99/$E99,0))</f>
        <v>0</v>
      </c>
      <c r="BG99" s="276">
        <f>IF($C99+1&gt;BG$7,0,IF($D99&gt;SUM($G99:BF99),$D99/$E99,0))</f>
        <v>0</v>
      </c>
      <c r="BH99" s="276">
        <f>IF($C99+1&gt;BH$7,0,IF($D99&gt;SUM($G99:BG99),$D99/$E99,0))</f>
        <v>0</v>
      </c>
      <c r="BI99" s="276">
        <f>IF($C99+1&gt;BI$7,0,IF($D99&gt;SUM($G99:BH99),$D99/$E99,0))</f>
        <v>0</v>
      </c>
      <c r="BJ99" s="276">
        <f>IF($C99+1&gt;BJ$7,0,IF($D99&gt;SUM($G99:BI99),$D99/$E99,0))</f>
        <v>0</v>
      </c>
      <c r="BK99" s="276">
        <f>IF($C99+1&gt;BK$7,0,IF($D99&gt;SUM($G99:BJ99),$D99/$E99,0))</f>
        <v>0</v>
      </c>
      <c r="BL99" s="276">
        <f>IF($C99+1&gt;BL$7,0,IF($D99&gt;SUM($G99:BK99),$D99/$E99,0))</f>
        <v>0</v>
      </c>
      <c r="BM99" s="276">
        <f>IF($C99+1&gt;BM$7,0,IF($D99&gt;SUM($G99:BL99),$D99/$E99,0))</f>
        <v>0</v>
      </c>
      <c r="BN99" s="276">
        <f ca="1">IF($C99+1&gt;BN$7,0,IF($D99&gt;SUM($G99:BM99),$D99/$E99,0))</f>
        <v>0</v>
      </c>
      <c r="BO99" s="276"/>
      <c r="BP99" s="276"/>
      <c r="BQ99" s="276"/>
      <c r="BR99" s="276"/>
      <c r="BS99" s="276"/>
      <c r="BT99" s="276"/>
      <c r="BU99" s="276"/>
      <c r="BV99" s="276"/>
      <c r="BW99" s="276"/>
      <c r="BX99" s="276"/>
      <c r="BY99" s="276"/>
      <c r="BZ99" s="276"/>
      <c r="CA99" s="254"/>
      <c r="CB99" s="254"/>
      <c r="CC99" s="254"/>
      <c r="CD99" s="254"/>
      <c r="CE99" s="254"/>
      <c r="CF99" s="254"/>
      <c r="CG99" s="254"/>
      <c r="CH99" s="254"/>
      <c r="CI99" s="254"/>
      <c r="CJ99" s="254"/>
      <c r="CK99" s="254"/>
      <c r="CL99" s="254"/>
    </row>
    <row r="100" spans="1:90" outlineLevel="1" x14ac:dyDescent="0.15">
      <c r="A100" s="272"/>
      <c r="B100" s="273"/>
      <c r="C100" s="275">
        <v>60</v>
      </c>
      <c r="D100" s="278">
        <f ca="1"/>
        <v>0</v>
      </c>
      <c r="E100" s="275">
        <f>SAP_Leadsheet!$E$50</f>
        <v>0</v>
      </c>
      <c r="F100" s="275"/>
      <c r="G100" s="276">
        <f>IF($C100+1&gt;G$7,0,IF($D100&gt;SUM(#REF!),$D100/$E100,0))</f>
        <v>0</v>
      </c>
      <c r="H100" s="276">
        <f>IF($C100+1&gt;H$7,0,IF($D100&gt;SUM($G100:G100),$D100/$E100,0))</f>
        <v>0</v>
      </c>
      <c r="I100" s="276">
        <f>IF($C100+1&gt;I$7,0,IF($D100&gt;SUM($G100:H100),$D100/$E100,0))</f>
        <v>0</v>
      </c>
      <c r="J100" s="276">
        <f>IF($C100+1&gt;J$7,0,IF($D100&gt;SUM($G100:I100),$D100/$E100,0))</f>
        <v>0</v>
      </c>
      <c r="K100" s="276">
        <f>IF($C100+1&gt;K$7,0,IF($D100&gt;SUM($G100:J100),$D100/$E100,0))</f>
        <v>0</v>
      </c>
      <c r="L100" s="276">
        <f>IF($C100+1&gt;L$7,0,IF($D100&gt;SUM($G100:K100),$D100/$E100,0))</f>
        <v>0</v>
      </c>
      <c r="M100" s="276">
        <f>IF($C100+1&gt;M$7,0,IF($D100&gt;SUM($G100:L100),$D100/$E100,0))</f>
        <v>0</v>
      </c>
      <c r="N100" s="276">
        <f>IF($C100+1&gt;N$7,0,IF($D100&gt;SUM($G100:M100),$D100/$E100,0))</f>
        <v>0</v>
      </c>
      <c r="O100" s="276">
        <f>IF($C100+1&gt;O$7,0,IF($D100&gt;SUM($G100:N100),$D100/$E100,0))</f>
        <v>0</v>
      </c>
      <c r="P100" s="276">
        <f>IF($C100+1&gt;P$7,0,IF($D100&gt;SUM($G100:O100),$D100/$E100,0))</f>
        <v>0</v>
      </c>
      <c r="Q100" s="276">
        <f>IF($C100+1&gt;Q$7,0,IF($D100&gt;SUM($G100:P100),$D100/$E100,0))</f>
        <v>0</v>
      </c>
      <c r="R100" s="276">
        <f>IF($C100+1&gt;R$7,0,IF($D100&gt;SUM($G100:Q100),$D100/$E100,0))</f>
        <v>0</v>
      </c>
      <c r="S100" s="276">
        <f>IF($C100+1&gt;S$7,0,IF($D100&gt;SUM($G100:R100),$D100/$E100,0))</f>
        <v>0</v>
      </c>
      <c r="T100" s="276">
        <f>IF($C100+1&gt;T$7,0,IF($D100&gt;SUM($G100:S100),$D100/$E100,0))</f>
        <v>0</v>
      </c>
      <c r="U100" s="276">
        <f>IF($C100+1&gt;U$7,0,IF($D100&gt;SUM($G100:T100),$D100/$E100,0))</f>
        <v>0</v>
      </c>
      <c r="V100" s="276">
        <f>IF($C100+1&gt;V$7,0,IF($D100&gt;SUM($G100:U100),$D100/$E100,0))</f>
        <v>0</v>
      </c>
      <c r="W100" s="276">
        <f>IF($C100+1&gt;W$7,0,IF($D100&gt;SUM($G100:V100),$D100/$E100,0))</f>
        <v>0</v>
      </c>
      <c r="X100" s="276">
        <f>IF($C100+1&gt;X$7,0,IF($D100&gt;SUM($G100:W100),$D100/$E100,0))</f>
        <v>0</v>
      </c>
      <c r="Y100" s="276">
        <f>IF($C100+1&gt;Y$7,0,IF($D100&gt;SUM($G100:X100),$D100/$E100,0))</f>
        <v>0</v>
      </c>
      <c r="Z100" s="276">
        <f>IF($C100+1&gt;Z$7,0,IF($D100&gt;SUM($G100:Y100),$D100/$E100,0))</f>
        <v>0</v>
      </c>
      <c r="AA100" s="276">
        <f>IF($C100+1&gt;AA$7,0,IF($D100&gt;SUM($G100:Z100),$D100/$E100,0))</f>
        <v>0</v>
      </c>
      <c r="AB100" s="276">
        <f>IF($C100+1&gt;AB$7,0,IF($D100&gt;SUM($G100:AA100),$D100/$E100,0))</f>
        <v>0</v>
      </c>
      <c r="AC100" s="276">
        <f>IF($C100+1&gt;AC$7,0,IF($D100&gt;SUM($G100:AB100),$D100/$E100,0))</f>
        <v>0</v>
      </c>
      <c r="AD100" s="276">
        <f>IF($C100+1&gt;AD$7,0,IF($D100&gt;SUM($G100:AC100),$D100/$E100,0))</f>
        <v>0</v>
      </c>
      <c r="AE100" s="276">
        <f>IF($C100+1&gt;AE$7,0,IF($D100&gt;SUM($G100:AD100),$D100/$E100,0))</f>
        <v>0</v>
      </c>
      <c r="AF100" s="276">
        <f>IF($C100+1&gt;AF$7,0,IF($D100&gt;SUM($G100:AE100),$D100/$E100,0))</f>
        <v>0</v>
      </c>
      <c r="AG100" s="276">
        <f>IF($C100+1&gt;AG$7,0,IF($D100&gt;SUM($G100:AF100),$D100/$E100,0))</f>
        <v>0</v>
      </c>
      <c r="AH100" s="276">
        <f>IF($C100+1&gt;AH$7,0,IF($D100&gt;SUM($G100:AG100),$D100/$E100,0))</f>
        <v>0</v>
      </c>
      <c r="AI100" s="276">
        <f>IF($C100+1&gt;AI$7,0,IF($D100&gt;SUM($G100:AH100),$D100/$E100,0))</f>
        <v>0</v>
      </c>
      <c r="AJ100" s="276">
        <f>IF($C100+1&gt;AJ$7,0,IF($D100&gt;SUM($G100:AI100),$D100/$E100,0))</f>
        <v>0</v>
      </c>
      <c r="AK100" s="276">
        <f>IF($C100+1&gt;AK$7,0,IF($D100&gt;SUM($G100:AJ100),$D100/$E100,0))</f>
        <v>0</v>
      </c>
      <c r="AL100" s="276">
        <f>IF($C100+1&gt;AL$7,0,IF($D100&gt;SUM($G100:AK100),$D100/$E100,0))</f>
        <v>0</v>
      </c>
      <c r="AM100" s="276">
        <f>IF($C100+1&gt;AM$7,0,IF($D100&gt;SUM($G100:AL100),$D100/$E100,0))</f>
        <v>0</v>
      </c>
      <c r="AN100" s="276">
        <f>IF($C100+1&gt;AN$7,0,IF($D100&gt;SUM($G100:AM100),$D100/$E100,0))</f>
        <v>0</v>
      </c>
      <c r="AO100" s="276">
        <f>IF($C100+1&gt;AO$7,0,IF($D100&gt;SUM($G100:AN100),$D100/$E100,0))</f>
        <v>0</v>
      </c>
      <c r="AP100" s="276">
        <f>IF($C100+1&gt;AP$7,0,IF($D100&gt;SUM($G100:AO100),$D100/$E100,0))</f>
        <v>0</v>
      </c>
      <c r="AQ100" s="276">
        <f>IF($C100+1&gt;AQ$7,0,IF($D100&gt;SUM($G100:AP100),$D100/$E100,0))</f>
        <v>0</v>
      </c>
      <c r="AR100" s="276">
        <f>IF($C100+1&gt;AR$7,0,IF($D100&gt;SUM($G100:AQ100),$D100/$E100,0))</f>
        <v>0</v>
      </c>
      <c r="AS100" s="276">
        <f>IF($C100+1&gt;AS$7,0,IF($D100&gt;SUM($G100:AR100),$D100/$E100,0))</f>
        <v>0</v>
      </c>
      <c r="AT100" s="276">
        <f>IF($C100+1&gt;AT$7,0,IF($D100&gt;SUM($G100:AS100),$D100/$E100,0))</f>
        <v>0</v>
      </c>
      <c r="AU100" s="276">
        <f>IF($C100+1&gt;AU$7,0,IF($D100&gt;SUM($G100:AT100),$D100/$E100,0))</f>
        <v>0</v>
      </c>
      <c r="AV100" s="276">
        <f>IF($C100+1&gt;AV$7,0,IF($D100&gt;SUM($G100:AU100),$D100/$E100,0))</f>
        <v>0</v>
      </c>
      <c r="AW100" s="276">
        <f>IF($C100+1&gt;AW$7,0,IF($D100&gt;SUM($G100:AV100),$D100/$E100,0))</f>
        <v>0</v>
      </c>
      <c r="AX100" s="276">
        <f>IF($C100+1&gt;AX$7,0,IF($D100&gt;SUM($G100:AW100),$D100/$E100,0))</f>
        <v>0</v>
      </c>
      <c r="AY100" s="276">
        <f>IF($C100+1&gt;AY$7,0,IF($D100&gt;SUM($G100:AX100),$D100/$E100,0))</f>
        <v>0</v>
      </c>
      <c r="AZ100" s="276">
        <f>IF($C100+1&gt;AZ$7,0,IF($D100&gt;SUM($G100:AY100),$D100/$E100,0))</f>
        <v>0</v>
      </c>
      <c r="BA100" s="276">
        <f>IF($C100+1&gt;BA$7,0,IF($D100&gt;SUM($G100:AZ100),$D100/$E100,0))</f>
        <v>0</v>
      </c>
      <c r="BB100" s="276">
        <f>IF($C100+1&gt;BB$7,0,IF($D100&gt;SUM($G100:BA100),$D100/$E100,0))</f>
        <v>0</v>
      </c>
      <c r="BC100" s="276">
        <f>IF($C100+1&gt;BC$7,0,IF($D100&gt;SUM($G100:BB100),$D100/$E100,0))</f>
        <v>0</v>
      </c>
      <c r="BD100" s="276">
        <f>IF($C100+1&gt;BD$7,0,IF($D100&gt;SUM($G100:BC100),$D100/$E100,0))</f>
        <v>0</v>
      </c>
      <c r="BE100" s="276">
        <f>IF($C100+1&gt;BE$7,0,IF($D100&gt;SUM($G100:BD100),$D100/$E100,0))</f>
        <v>0</v>
      </c>
      <c r="BF100" s="276">
        <f>IF($C100+1&gt;BF$7,0,IF($D100&gt;SUM($G100:BE100),$D100/$E100,0))</f>
        <v>0</v>
      </c>
      <c r="BG100" s="276">
        <f>IF($C100+1&gt;BG$7,0,IF($D100&gt;SUM($G100:BF100),$D100/$E100,0))</f>
        <v>0</v>
      </c>
      <c r="BH100" s="276">
        <f>IF($C100+1&gt;BH$7,0,IF($D100&gt;SUM($G100:BG100),$D100/$E100,0))</f>
        <v>0</v>
      </c>
      <c r="BI100" s="276">
        <f>IF($C100+1&gt;BI$7,0,IF($D100&gt;SUM($G100:BH100),$D100/$E100,0))</f>
        <v>0</v>
      </c>
      <c r="BJ100" s="276">
        <f>IF($C100+1&gt;BJ$7,0,IF($D100&gt;SUM($G100:BI100),$D100/$E100,0))</f>
        <v>0</v>
      </c>
      <c r="BK100" s="276">
        <f>IF($C100+1&gt;BK$7,0,IF($D100&gt;SUM($G100:BJ100),$D100/$E100,0))</f>
        <v>0</v>
      </c>
      <c r="BL100" s="276">
        <f>IF($C100+1&gt;BL$7,0,IF($D100&gt;SUM($G100:BK100),$D100/$E100,0))</f>
        <v>0</v>
      </c>
      <c r="BM100" s="276">
        <f>IF($C100+1&gt;BM$7,0,IF($D100&gt;SUM($G100:BL100),$D100/$E100,0))</f>
        <v>0</v>
      </c>
      <c r="BN100" s="276">
        <f>IF($C100+1&gt;BN$7,0,IF($D100&gt;SUM($G100:BM100),$D100/$E100,0))</f>
        <v>0</v>
      </c>
      <c r="BO100" s="276"/>
      <c r="BP100" s="276"/>
      <c r="BQ100" s="276"/>
      <c r="BR100" s="276"/>
      <c r="BS100" s="276"/>
      <c r="BT100" s="276"/>
      <c r="BU100" s="276"/>
      <c r="BV100" s="276"/>
      <c r="BW100" s="276"/>
      <c r="BX100" s="276"/>
      <c r="BY100" s="276"/>
      <c r="BZ100" s="276"/>
      <c r="CA100" s="254"/>
      <c r="CB100" s="254"/>
      <c r="CC100" s="254"/>
      <c r="CD100" s="254"/>
      <c r="CE100" s="254"/>
      <c r="CF100" s="254"/>
      <c r="CG100" s="254"/>
      <c r="CH100" s="254"/>
      <c r="CI100" s="254"/>
      <c r="CJ100" s="254"/>
      <c r="CK100" s="254"/>
      <c r="CL100" s="254"/>
    </row>
    <row r="101" spans="1:90" x14ac:dyDescent="0.15">
      <c r="A101" s="272"/>
      <c r="B101" s="273"/>
      <c r="C101" s="275"/>
      <c r="D101" s="273" t="s">
        <v>353</v>
      </c>
      <c r="E101" s="275"/>
      <c r="F101" s="275"/>
      <c r="G101" s="279">
        <f ca="1">SUM(G38:G40)</f>
        <v>0</v>
      </c>
      <c r="H101" s="279">
        <f t="shared" ref="H101:BN101" ca="1" si="14">SUM(H38:H40)</f>
        <v>0</v>
      </c>
      <c r="I101" s="279">
        <f t="shared" ca="1" si="14"/>
        <v>0</v>
      </c>
      <c r="J101" s="279">
        <f t="shared" ca="1" si="14"/>
        <v>0</v>
      </c>
      <c r="K101" s="279">
        <f t="shared" ca="1" si="14"/>
        <v>0</v>
      </c>
      <c r="L101" s="279">
        <f t="shared" ca="1" si="14"/>
        <v>0</v>
      </c>
      <c r="M101" s="279">
        <f t="shared" ca="1" si="14"/>
        <v>0</v>
      </c>
      <c r="N101" s="279">
        <f t="shared" ca="1" si="14"/>
        <v>0</v>
      </c>
      <c r="O101" s="279">
        <f t="shared" ca="1" si="14"/>
        <v>0</v>
      </c>
      <c r="P101" s="279">
        <f t="shared" ca="1" si="14"/>
        <v>0</v>
      </c>
      <c r="Q101" s="279">
        <f t="shared" ca="1" si="14"/>
        <v>0</v>
      </c>
      <c r="R101" s="279">
        <f t="shared" ca="1" si="14"/>
        <v>0</v>
      </c>
      <c r="S101" s="279">
        <f t="shared" ca="1" si="14"/>
        <v>0</v>
      </c>
      <c r="T101" s="279">
        <f t="shared" ca="1" si="14"/>
        <v>0</v>
      </c>
      <c r="U101" s="279">
        <f t="shared" ca="1" si="14"/>
        <v>0</v>
      </c>
      <c r="V101" s="279">
        <f t="shared" ca="1" si="14"/>
        <v>0</v>
      </c>
      <c r="W101" s="279">
        <f t="shared" ca="1" si="14"/>
        <v>0</v>
      </c>
      <c r="X101" s="279">
        <f t="shared" ca="1" si="14"/>
        <v>0</v>
      </c>
      <c r="Y101" s="279">
        <f t="shared" ca="1" si="14"/>
        <v>0</v>
      </c>
      <c r="Z101" s="279">
        <f t="shared" ca="1" si="14"/>
        <v>0</v>
      </c>
      <c r="AA101" s="279">
        <f t="shared" ca="1" si="14"/>
        <v>0</v>
      </c>
      <c r="AB101" s="279">
        <f t="shared" ca="1" si="14"/>
        <v>0</v>
      </c>
      <c r="AC101" s="279">
        <f t="shared" ca="1" si="14"/>
        <v>0</v>
      </c>
      <c r="AD101" s="279">
        <f t="shared" ca="1" si="14"/>
        <v>0</v>
      </c>
      <c r="AE101" s="279">
        <f t="shared" ca="1" si="14"/>
        <v>0</v>
      </c>
      <c r="AF101" s="279">
        <f t="shared" ca="1" si="14"/>
        <v>0</v>
      </c>
      <c r="AG101" s="279">
        <f t="shared" ca="1" si="14"/>
        <v>0</v>
      </c>
      <c r="AH101" s="279">
        <f t="shared" ca="1" si="14"/>
        <v>0</v>
      </c>
      <c r="AI101" s="279">
        <f t="shared" ca="1" si="14"/>
        <v>0</v>
      </c>
      <c r="AJ101" s="279">
        <f t="shared" ca="1" si="14"/>
        <v>0</v>
      </c>
      <c r="AK101" s="279">
        <f t="shared" ca="1" si="14"/>
        <v>0</v>
      </c>
      <c r="AL101" s="279">
        <f t="shared" ca="1" si="14"/>
        <v>0</v>
      </c>
      <c r="AM101" s="279">
        <f t="shared" ca="1" si="14"/>
        <v>0</v>
      </c>
      <c r="AN101" s="279">
        <f t="shared" ca="1" si="14"/>
        <v>0</v>
      </c>
      <c r="AO101" s="279">
        <f t="shared" ca="1" si="14"/>
        <v>0</v>
      </c>
      <c r="AP101" s="279">
        <f t="shared" ca="1" si="14"/>
        <v>0</v>
      </c>
      <c r="AQ101" s="279">
        <f t="shared" ca="1" si="14"/>
        <v>0</v>
      </c>
      <c r="AR101" s="279">
        <f t="shared" ca="1" si="14"/>
        <v>0</v>
      </c>
      <c r="AS101" s="279">
        <f t="shared" ca="1" si="14"/>
        <v>0</v>
      </c>
      <c r="AT101" s="279">
        <f t="shared" ca="1" si="14"/>
        <v>0</v>
      </c>
      <c r="AU101" s="279">
        <f t="shared" ca="1" si="14"/>
        <v>0</v>
      </c>
      <c r="AV101" s="279">
        <f t="shared" ca="1" si="14"/>
        <v>0</v>
      </c>
      <c r="AW101" s="279">
        <f t="shared" ca="1" si="14"/>
        <v>0</v>
      </c>
      <c r="AX101" s="279">
        <f t="shared" ca="1" si="14"/>
        <v>0</v>
      </c>
      <c r="AY101" s="279">
        <f t="shared" ca="1" si="14"/>
        <v>0</v>
      </c>
      <c r="AZ101" s="279">
        <f t="shared" ca="1" si="14"/>
        <v>0</v>
      </c>
      <c r="BA101" s="279">
        <f t="shared" ca="1" si="14"/>
        <v>0</v>
      </c>
      <c r="BB101" s="279">
        <f t="shared" ca="1" si="14"/>
        <v>0</v>
      </c>
      <c r="BC101" s="279">
        <f t="shared" ca="1" si="14"/>
        <v>0</v>
      </c>
      <c r="BD101" s="279">
        <f t="shared" ca="1" si="14"/>
        <v>0</v>
      </c>
      <c r="BE101" s="279">
        <f t="shared" ca="1" si="14"/>
        <v>0</v>
      </c>
      <c r="BF101" s="279">
        <f t="shared" ca="1" si="14"/>
        <v>0</v>
      </c>
      <c r="BG101" s="279">
        <f t="shared" ca="1" si="14"/>
        <v>0</v>
      </c>
      <c r="BH101" s="279">
        <f t="shared" ca="1" si="14"/>
        <v>0</v>
      </c>
      <c r="BI101" s="279">
        <f t="shared" ca="1" si="14"/>
        <v>0</v>
      </c>
      <c r="BJ101" s="279">
        <f t="shared" ca="1" si="14"/>
        <v>0</v>
      </c>
      <c r="BK101" s="279">
        <f t="shared" ca="1" si="14"/>
        <v>0</v>
      </c>
      <c r="BL101" s="279">
        <f t="shared" ca="1" si="14"/>
        <v>0</v>
      </c>
      <c r="BM101" s="279">
        <f t="shared" ca="1" si="14"/>
        <v>0</v>
      </c>
      <c r="BN101" s="279">
        <f t="shared" ca="1" si="14"/>
        <v>0</v>
      </c>
      <c r="BO101" s="276"/>
      <c r="BP101" s="276"/>
      <c r="BQ101" s="276"/>
      <c r="BR101" s="276"/>
      <c r="BS101" s="276"/>
      <c r="BT101" s="276"/>
      <c r="BU101" s="276"/>
      <c r="BV101" s="276"/>
      <c r="BW101" s="276"/>
      <c r="BX101" s="276"/>
      <c r="BY101" s="276"/>
      <c r="BZ101" s="276"/>
      <c r="CA101" s="254"/>
      <c r="CB101" s="254"/>
      <c r="CC101" s="254"/>
      <c r="CD101" s="254"/>
      <c r="CE101" s="254"/>
      <c r="CF101" s="254"/>
      <c r="CG101" s="254"/>
      <c r="CH101" s="254"/>
      <c r="CI101" s="254"/>
      <c r="CJ101" s="254"/>
      <c r="CK101" s="254"/>
      <c r="CL101" s="254"/>
    </row>
    <row r="102" spans="1:90" x14ac:dyDescent="0.15">
      <c r="A102" s="50"/>
      <c r="B102" s="23"/>
      <c r="D102" s="23"/>
      <c r="G102" s="262"/>
      <c r="H102" s="262"/>
      <c r="I102" s="262"/>
      <c r="J102" s="262"/>
      <c r="K102" s="262"/>
      <c r="L102" s="262"/>
      <c r="M102" s="262"/>
      <c r="N102" s="262"/>
      <c r="O102" s="262"/>
      <c r="P102" s="262"/>
      <c r="Q102" s="262"/>
      <c r="R102" s="262"/>
      <c r="S102" s="262"/>
      <c r="T102" s="262"/>
      <c r="U102" s="262"/>
      <c r="V102" s="262"/>
      <c r="W102" s="262"/>
      <c r="X102" s="262"/>
      <c r="Y102" s="262"/>
      <c r="Z102" s="262"/>
      <c r="AA102" s="262"/>
      <c r="AB102" s="262"/>
      <c r="AC102" s="262"/>
      <c r="AD102" s="262"/>
      <c r="AE102" s="262"/>
      <c r="AF102" s="262"/>
      <c r="AG102" s="262"/>
      <c r="AH102" s="262"/>
      <c r="AI102" s="262"/>
      <c r="AJ102" s="262"/>
      <c r="AK102" s="262"/>
      <c r="AL102" s="262"/>
      <c r="AM102" s="262"/>
      <c r="AN102" s="262"/>
      <c r="AO102" s="262"/>
      <c r="AP102" s="262"/>
      <c r="AQ102" s="262"/>
      <c r="AR102" s="262"/>
      <c r="AS102" s="262"/>
      <c r="AT102" s="262"/>
      <c r="AU102" s="262"/>
      <c r="AV102" s="262"/>
      <c r="AW102" s="262"/>
      <c r="AX102" s="262"/>
      <c r="AY102" s="262"/>
      <c r="AZ102" s="262"/>
      <c r="BA102" s="262"/>
      <c r="BB102" s="262"/>
      <c r="BC102" s="262"/>
      <c r="BD102" s="262"/>
      <c r="BE102" s="262"/>
      <c r="BF102" s="262"/>
      <c r="BG102" s="262"/>
      <c r="BH102" s="262"/>
      <c r="BI102" s="262"/>
      <c r="BJ102" s="262"/>
      <c r="BK102" s="262"/>
      <c r="BL102" s="262"/>
      <c r="BM102" s="262"/>
      <c r="BN102" s="262"/>
      <c r="BO102" s="263"/>
      <c r="BP102" s="263"/>
      <c r="BQ102" s="263"/>
      <c r="BR102" s="263"/>
      <c r="BS102" s="263"/>
      <c r="BT102" s="263"/>
      <c r="BU102" s="263"/>
      <c r="BV102" s="263"/>
      <c r="BW102" s="263"/>
      <c r="BX102" s="263"/>
      <c r="BY102" s="263"/>
      <c r="BZ102" s="263"/>
      <c r="CA102" s="254"/>
      <c r="CB102" s="254"/>
      <c r="CC102" s="254"/>
      <c r="CD102" s="254"/>
      <c r="CE102" s="254"/>
      <c r="CF102" s="254"/>
      <c r="CG102" s="254"/>
      <c r="CH102" s="254"/>
      <c r="CI102" s="254"/>
      <c r="CJ102" s="254"/>
      <c r="CK102" s="254"/>
      <c r="CL102" s="254"/>
    </row>
    <row r="103" spans="1:90" x14ac:dyDescent="0.15">
      <c r="A103" s="50"/>
      <c r="B103" s="23"/>
      <c r="C103" s="23" t="s">
        <v>362</v>
      </c>
      <c r="D103" s="23"/>
      <c r="G103" s="262"/>
      <c r="H103" s="262"/>
      <c r="I103" s="262"/>
      <c r="J103" s="262"/>
      <c r="K103" s="262"/>
      <c r="L103" s="262"/>
      <c r="M103" s="262"/>
      <c r="N103" s="262"/>
      <c r="O103" s="262"/>
      <c r="P103" s="262"/>
      <c r="Q103" s="262"/>
      <c r="R103" s="262"/>
      <c r="S103" s="262"/>
      <c r="T103" s="262"/>
      <c r="U103" s="262"/>
      <c r="V103" s="262"/>
      <c r="W103" s="262"/>
      <c r="X103" s="262"/>
      <c r="Y103" s="262"/>
      <c r="Z103" s="262"/>
      <c r="AA103" s="262"/>
      <c r="AB103" s="262"/>
      <c r="AC103" s="262"/>
      <c r="AD103" s="262"/>
      <c r="AE103" s="262"/>
      <c r="AF103" s="262"/>
      <c r="AG103" s="262"/>
      <c r="AH103" s="262"/>
      <c r="AI103" s="262"/>
      <c r="AJ103" s="262"/>
      <c r="AK103" s="262"/>
      <c r="AL103" s="262"/>
      <c r="AM103" s="262"/>
      <c r="AN103" s="262"/>
      <c r="AO103" s="262"/>
      <c r="AP103" s="262"/>
      <c r="AQ103" s="262"/>
      <c r="AR103" s="262"/>
      <c r="AS103" s="262"/>
      <c r="AT103" s="262"/>
      <c r="AU103" s="262"/>
      <c r="AV103" s="262"/>
      <c r="AW103" s="262"/>
      <c r="AX103" s="262"/>
      <c r="AY103" s="262"/>
      <c r="AZ103" s="262"/>
      <c r="BA103" s="262"/>
      <c r="BB103" s="262"/>
      <c r="BC103" s="262"/>
      <c r="BD103" s="262"/>
      <c r="BE103" s="262"/>
      <c r="BF103" s="262"/>
      <c r="BG103" s="262"/>
      <c r="BH103" s="262"/>
      <c r="BI103" s="262"/>
      <c r="BJ103" s="262"/>
      <c r="BK103" s="262"/>
      <c r="BL103" s="262"/>
      <c r="BM103" s="262"/>
      <c r="BN103" s="262"/>
      <c r="BO103" s="263"/>
      <c r="BP103" s="263"/>
      <c r="BQ103" s="263"/>
      <c r="BR103" s="263"/>
      <c r="BS103" s="263"/>
      <c r="BT103" s="263"/>
      <c r="BU103" s="263"/>
      <c r="BV103" s="263"/>
      <c r="BW103" s="263"/>
      <c r="BX103" s="263"/>
      <c r="BY103" s="263"/>
      <c r="BZ103" s="263"/>
      <c r="CA103" s="254"/>
      <c r="CB103" s="254"/>
      <c r="CC103" s="254"/>
      <c r="CD103" s="254"/>
      <c r="CE103" s="254"/>
      <c r="CF103" s="254"/>
      <c r="CG103" s="254"/>
      <c r="CH103" s="254"/>
      <c r="CI103" s="254"/>
      <c r="CJ103" s="254"/>
      <c r="CK103" s="254"/>
      <c r="CL103" s="254"/>
    </row>
    <row r="104" spans="1:90" x14ac:dyDescent="0.15">
      <c r="A104" s="50"/>
      <c r="B104" s="23"/>
      <c r="C104" s="23"/>
      <c r="D104" s="23" t="s">
        <v>363</v>
      </c>
      <c r="F104" s="26" t="s">
        <v>364</v>
      </c>
      <c r="G104" s="280">
        <f>IF(G7=SAP_Leadsheet!$E$56,1,IF(G7=SAP_Leadsheet!$E$56+SAP_Leadsheet!$E$61+2,2,IF(G7=SAP_Leadsheet!$E$56+SAP_Leadsheet!$E$61*2+4,3,IF(G7=SAP_Leadsheet!$E$56+SAP_Leadsheet!$E$61*3+6,4,IF(G7=SAP_Leadsheet!$E$56+SAP_Leadsheet!$E$61*4+8,5,0)))))</f>
        <v>0</v>
      </c>
      <c r="H104" s="280">
        <f>IF(H7=SAP_Leadsheet!$E$56,1,IF(H7=SAP_Leadsheet!$E$56+SAP_Leadsheet!$E$61+2,2,IF(H7=SAP_Leadsheet!$E$56+SAP_Leadsheet!$E$61*2+4,3,IF(H7=SAP_Leadsheet!$E$56+SAP_Leadsheet!$E$61*3+6,4,IF(H7=SAP_Leadsheet!$E$56+SAP_Leadsheet!$E$61*4+8,5,0)))))</f>
        <v>0</v>
      </c>
      <c r="I104" s="280">
        <f>IF(I7=SAP_Leadsheet!$E$56,1,IF(I7=SAP_Leadsheet!$E$56+SAP_Leadsheet!$E$61+2,2,IF(I7=SAP_Leadsheet!$E$56+SAP_Leadsheet!$E$61*2+4,3,IF(I7=SAP_Leadsheet!$E$56+SAP_Leadsheet!$E$61*3+6,4,IF(I7=SAP_Leadsheet!$E$56+SAP_Leadsheet!$E$61*4+8,5,0)))))</f>
        <v>0</v>
      </c>
      <c r="J104" s="280">
        <f>IF(J7=SAP_Leadsheet!$E$56,1,IF(J7=SAP_Leadsheet!$E$56+SAP_Leadsheet!$E$61+2,2,IF(J7=SAP_Leadsheet!$E$56+SAP_Leadsheet!$E$61*2+4,3,IF(J7=SAP_Leadsheet!$E$56+SAP_Leadsheet!$E$61*3+6,4,IF(J7=SAP_Leadsheet!$E$56+SAP_Leadsheet!$E$61*4+8,5,0)))))</f>
        <v>0</v>
      </c>
      <c r="K104" s="280">
        <f>IF(K7=SAP_Leadsheet!$E$56,1,IF(K7=SAP_Leadsheet!$E$56+SAP_Leadsheet!$E$61+2,2,IF(K7=SAP_Leadsheet!$E$56+SAP_Leadsheet!$E$61*2+4,3,IF(K7=SAP_Leadsheet!$E$56+SAP_Leadsheet!$E$61*3+6,4,IF(K7=SAP_Leadsheet!$E$56+SAP_Leadsheet!$E$61*4+8,5,0)))))</f>
        <v>0</v>
      </c>
      <c r="L104" s="280">
        <f>IF(L7=SAP_Leadsheet!$E$56,1,IF(L7=SAP_Leadsheet!$E$56+SAP_Leadsheet!$E$61+2,2,IF(L7=SAP_Leadsheet!$E$56+SAP_Leadsheet!$E$61*2+4,3,IF(L7=SAP_Leadsheet!$E$56+SAP_Leadsheet!$E$61*3+6,4,IF(L7=SAP_Leadsheet!$E$56+SAP_Leadsheet!$E$61*4+8,5,0)))))</f>
        <v>1</v>
      </c>
      <c r="M104" s="280">
        <f>IF(M7=SAP_Leadsheet!$E$56,1,IF(M7=SAP_Leadsheet!$E$56+SAP_Leadsheet!$E$61+2,2,IF(M7=SAP_Leadsheet!$E$56+SAP_Leadsheet!$E$61*2+4,3,IF(M7=SAP_Leadsheet!$E$56+SAP_Leadsheet!$E$61*3+6,4,IF(M7=SAP_Leadsheet!$E$56+SAP_Leadsheet!$E$61*4+8,5,0)))))</f>
        <v>0</v>
      </c>
      <c r="N104" s="280">
        <f>IF(N7=SAP_Leadsheet!$E$56,1,IF(N7=SAP_Leadsheet!$E$56+SAP_Leadsheet!$E$61+2,2,IF(N7=SAP_Leadsheet!$E$56+SAP_Leadsheet!$E$61*2+4,3,IF(N7=SAP_Leadsheet!$E$56+SAP_Leadsheet!$E$61*3+6,4,IF(N7=SAP_Leadsheet!$E$56+SAP_Leadsheet!$E$61*4+8,5,0)))))</f>
        <v>0</v>
      </c>
      <c r="O104" s="280">
        <f>IF(O7=SAP_Leadsheet!$E$56,1,IF(O7=SAP_Leadsheet!$E$56+SAP_Leadsheet!$E$61+2,2,IF(O7=SAP_Leadsheet!$E$56+SAP_Leadsheet!$E$61*2+4,3,IF(O7=SAP_Leadsheet!$E$56+SAP_Leadsheet!$E$61*3+6,4,IF(O7=SAP_Leadsheet!$E$56+SAP_Leadsheet!$E$61*4+8,5,0)))))</f>
        <v>0</v>
      </c>
      <c r="P104" s="280">
        <f>IF(P7=SAP_Leadsheet!$E$56,1,IF(P7=SAP_Leadsheet!$E$56+SAP_Leadsheet!$E$61+2,2,IF(P7=SAP_Leadsheet!$E$56+SAP_Leadsheet!$E$61*2+4,3,IF(P7=SAP_Leadsheet!$E$56+SAP_Leadsheet!$E$61*3+6,4,IF(P7=SAP_Leadsheet!$E$56+SAP_Leadsheet!$E$61*4+8,5,0)))))</f>
        <v>0</v>
      </c>
      <c r="Q104" s="280">
        <f>IF(Q7=SAP_Leadsheet!$E$56,1,IF(Q7=SAP_Leadsheet!$E$56+SAP_Leadsheet!$E$61+2,2,IF(Q7=SAP_Leadsheet!$E$56+SAP_Leadsheet!$E$61*2+4,3,IF(Q7=SAP_Leadsheet!$E$56+SAP_Leadsheet!$E$61*3+6,4,IF(Q7=SAP_Leadsheet!$E$56+SAP_Leadsheet!$E$61*4+8,5,0)))))</f>
        <v>0</v>
      </c>
      <c r="R104" s="280">
        <f>IF(R7=SAP_Leadsheet!$E$56,1,IF(R7=SAP_Leadsheet!$E$56+SAP_Leadsheet!$E$61+2,2,IF(R7=SAP_Leadsheet!$E$56+SAP_Leadsheet!$E$61*2+4,3,IF(R7=SAP_Leadsheet!$E$56+SAP_Leadsheet!$E$61*3+6,4,IF(R7=SAP_Leadsheet!$E$56+SAP_Leadsheet!$E$61*4+8,5,0)))))</f>
        <v>0</v>
      </c>
      <c r="S104" s="280">
        <f>IF(S7=SAP_Leadsheet!$E$56,1,IF(S7=SAP_Leadsheet!$E$56+SAP_Leadsheet!$E$61+2,2,IF(S7=SAP_Leadsheet!$E$56+SAP_Leadsheet!$E$61*2+4,3,IF(S7=SAP_Leadsheet!$E$56+SAP_Leadsheet!$E$61*3+6,4,IF(S7=SAP_Leadsheet!$E$56+SAP_Leadsheet!$E$61*4+8,5,0)))))</f>
        <v>0</v>
      </c>
      <c r="T104" s="280">
        <f>IF(T7=SAP_Leadsheet!$E$56,1,IF(T7=SAP_Leadsheet!$E$56+SAP_Leadsheet!$E$61+2,2,IF(T7=SAP_Leadsheet!$E$56+SAP_Leadsheet!$E$61*2+4,3,IF(T7=SAP_Leadsheet!$E$56+SAP_Leadsheet!$E$61*3+6,4,IF(T7=SAP_Leadsheet!$E$56+SAP_Leadsheet!$E$61*4+8,5,0)))))</f>
        <v>0</v>
      </c>
      <c r="U104" s="280">
        <f>IF(U7=SAP_Leadsheet!$E$56,1,IF(U7=SAP_Leadsheet!$E$56+SAP_Leadsheet!$E$61+2,2,IF(U7=SAP_Leadsheet!$E$56+SAP_Leadsheet!$E$61*2+4,3,IF(U7=SAP_Leadsheet!$E$56+SAP_Leadsheet!$E$61*3+6,4,IF(U7=SAP_Leadsheet!$E$56+SAP_Leadsheet!$E$61*4+8,5,0)))))</f>
        <v>2</v>
      </c>
      <c r="V104" s="280">
        <f>IF(V7=SAP_Leadsheet!$E$56,1,IF(V7=SAP_Leadsheet!$E$56+SAP_Leadsheet!$E$61+2,2,IF(V7=SAP_Leadsheet!$E$56+SAP_Leadsheet!$E$61*2+4,3,IF(V7=SAP_Leadsheet!$E$56+SAP_Leadsheet!$E$61*3+6,4,IF(V7=SAP_Leadsheet!$E$56+SAP_Leadsheet!$E$61*4+8,5,0)))))</f>
        <v>0</v>
      </c>
      <c r="W104" s="280">
        <f>IF(W7=SAP_Leadsheet!$E$56,1,IF(W7=SAP_Leadsheet!$E$56+SAP_Leadsheet!$E$61+2,2,IF(W7=SAP_Leadsheet!$E$56+SAP_Leadsheet!$E$61*2+4,3,IF(W7=SAP_Leadsheet!$E$56+SAP_Leadsheet!$E$61*3+6,4,IF(W7=SAP_Leadsheet!$E$56+SAP_Leadsheet!$E$61*4+8,5,0)))))</f>
        <v>0</v>
      </c>
      <c r="X104" s="280">
        <f>IF(X7=SAP_Leadsheet!$E$56,1,IF(X7=SAP_Leadsheet!$E$56+SAP_Leadsheet!$E$61+2,2,IF(X7=SAP_Leadsheet!$E$56+SAP_Leadsheet!$E$61*2+4,3,IF(X7=SAP_Leadsheet!$E$56+SAP_Leadsheet!$E$61*3+6,4,IF(X7=SAP_Leadsheet!$E$56+SAP_Leadsheet!$E$61*4+8,5,0)))))</f>
        <v>0</v>
      </c>
      <c r="Y104" s="280">
        <f>IF(Y7=SAP_Leadsheet!$E$56,1,IF(Y7=SAP_Leadsheet!$E$56+SAP_Leadsheet!$E$61+2,2,IF(Y7=SAP_Leadsheet!$E$56+SAP_Leadsheet!$E$61*2+4,3,IF(Y7=SAP_Leadsheet!$E$56+SAP_Leadsheet!$E$61*3+6,4,IF(Y7=SAP_Leadsheet!$E$56+SAP_Leadsheet!$E$61*4+8,5,0)))))</f>
        <v>0</v>
      </c>
      <c r="Z104" s="280">
        <f>IF(Z7=SAP_Leadsheet!$E$56,1,IF(Z7=SAP_Leadsheet!$E$56+SAP_Leadsheet!$E$61+2,2,IF(Z7=SAP_Leadsheet!$E$56+SAP_Leadsheet!$E$61*2+4,3,IF(Z7=SAP_Leadsheet!$E$56+SAP_Leadsheet!$E$61*3+6,4,IF(Z7=SAP_Leadsheet!$E$56+SAP_Leadsheet!$E$61*4+8,5,0)))))</f>
        <v>0</v>
      </c>
      <c r="AA104" s="280">
        <f>IF(AA7=SAP_Leadsheet!$E$56,1,IF(AA7=SAP_Leadsheet!$E$56+SAP_Leadsheet!$E$61+2,2,IF(AA7=SAP_Leadsheet!$E$56+SAP_Leadsheet!$E$61*2+4,3,IF(AA7=SAP_Leadsheet!$E$56+SAP_Leadsheet!$E$61*3+6,4,IF(AA7=SAP_Leadsheet!$E$56+SAP_Leadsheet!$E$61*4+8,5,0)))))</f>
        <v>0</v>
      </c>
      <c r="AB104" s="280">
        <f>IF(AB7=SAP_Leadsheet!$E$56,1,IF(AB7=SAP_Leadsheet!$E$56+SAP_Leadsheet!$E$61+2,2,IF(AB7=SAP_Leadsheet!$E$56+SAP_Leadsheet!$E$61*2+4,3,IF(AB7=SAP_Leadsheet!$E$56+SAP_Leadsheet!$E$61*3+6,4,IF(AB7=SAP_Leadsheet!$E$56+SAP_Leadsheet!$E$61*4+8,5,0)))))</f>
        <v>0</v>
      </c>
      <c r="AC104" s="280">
        <f>IF(AC7=SAP_Leadsheet!$E$56,1,IF(AC7=SAP_Leadsheet!$E$56+SAP_Leadsheet!$E$61+2,2,IF(AC7=SAP_Leadsheet!$E$56+SAP_Leadsheet!$E$61*2+4,3,IF(AC7=SAP_Leadsheet!$E$56+SAP_Leadsheet!$E$61*3+6,4,IF(AC7=SAP_Leadsheet!$E$56+SAP_Leadsheet!$E$61*4+8,5,0)))))</f>
        <v>0</v>
      </c>
      <c r="AD104" s="280">
        <f>IF(AD7=SAP_Leadsheet!$E$56,1,IF(AD7=SAP_Leadsheet!$E$56+SAP_Leadsheet!$E$61+2,2,IF(AD7=SAP_Leadsheet!$E$56+SAP_Leadsheet!$E$61*2+4,3,IF(AD7=SAP_Leadsheet!$E$56+SAP_Leadsheet!$E$61*3+6,4,IF(AD7=SAP_Leadsheet!$E$56+SAP_Leadsheet!$E$61*4+8,5,0)))))</f>
        <v>3</v>
      </c>
      <c r="AE104" s="280">
        <f>IF(AE7=SAP_Leadsheet!$E$56,1,IF(AE7=SAP_Leadsheet!$E$56+SAP_Leadsheet!$E$61+2,2,IF(AE7=SAP_Leadsheet!$E$56+SAP_Leadsheet!$E$61*2+4,3,IF(AE7=SAP_Leadsheet!$E$56+SAP_Leadsheet!$E$61*3+6,4,IF(AE7=SAP_Leadsheet!$E$56+SAP_Leadsheet!$E$61*4+8,5,0)))))</f>
        <v>0</v>
      </c>
      <c r="AF104" s="280">
        <f>IF(AF7=SAP_Leadsheet!$E$56,1,IF(AF7=SAP_Leadsheet!$E$56+SAP_Leadsheet!$E$61+2,2,IF(AF7=SAP_Leadsheet!$E$56+SAP_Leadsheet!$E$61*2+4,3,IF(AF7=SAP_Leadsheet!$E$56+SAP_Leadsheet!$E$61*3+6,4,IF(AF7=SAP_Leadsheet!$E$56+SAP_Leadsheet!$E$61*4+8,5,0)))))</f>
        <v>0</v>
      </c>
      <c r="AG104" s="280">
        <f>IF(AG7=SAP_Leadsheet!$E$56,1,IF(AG7=SAP_Leadsheet!$E$56+SAP_Leadsheet!$E$61+2,2,IF(AG7=SAP_Leadsheet!$E$56+SAP_Leadsheet!$E$61*2+4,3,IF(AG7=SAP_Leadsheet!$E$56+SAP_Leadsheet!$E$61*3+6,4,IF(AG7=SAP_Leadsheet!$E$56+SAP_Leadsheet!$E$61*4+8,5,0)))))</f>
        <v>0</v>
      </c>
      <c r="AH104" s="280">
        <f>IF(AH7=SAP_Leadsheet!$E$56,1,IF(AH7=SAP_Leadsheet!$E$56+SAP_Leadsheet!$E$61+2,2,IF(AH7=SAP_Leadsheet!$E$56+SAP_Leadsheet!$E$61*2+4,3,IF(AH7=SAP_Leadsheet!$E$56+SAP_Leadsheet!$E$61*3+6,4,IF(AH7=SAP_Leadsheet!$E$56+SAP_Leadsheet!$E$61*4+8,5,0)))))</f>
        <v>0</v>
      </c>
      <c r="AI104" s="280">
        <f>IF(AI7=SAP_Leadsheet!$E$56,1,IF(AI7=SAP_Leadsheet!$E$56+SAP_Leadsheet!$E$61+2,2,IF(AI7=SAP_Leadsheet!$E$56+SAP_Leadsheet!$E$61*2+4,3,IF(AI7=SAP_Leadsheet!$E$56+SAP_Leadsheet!$E$61*3+6,4,IF(AI7=SAP_Leadsheet!$E$56+SAP_Leadsheet!$E$61*4+8,5,0)))))</f>
        <v>0</v>
      </c>
      <c r="AJ104" s="280">
        <f>IF(AJ7=SAP_Leadsheet!$E$56,1,IF(AJ7=SAP_Leadsheet!$E$56+SAP_Leadsheet!$E$61+2,2,IF(AJ7=SAP_Leadsheet!$E$56+SAP_Leadsheet!$E$61*2+4,3,IF(AJ7=SAP_Leadsheet!$E$56+SAP_Leadsheet!$E$61*3+6,4,IF(AJ7=SAP_Leadsheet!$E$56+SAP_Leadsheet!$E$61*4+8,5,0)))))</f>
        <v>0</v>
      </c>
      <c r="AK104" s="280">
        <f>IF(AK7=SAP_Leadsheet!$E$56,1,IF(AK7=SAP_Leadsheet!$E$56+SAP_Leadsheet!$E$61+2,2,IF(AK7=SAP_Leadsheet!$E$56+SAP_Leadsheet!$E$61*2+4,3,IF(AK7=SAP_Leadsheet!$E$56+SAP_Leadsheet!$E$61*3+6,4,IF(AK7=SAP_Leadsheet!$E$56+SAP_Leadsheet!$E$61*4+8,5,0)))))</f>
        <v>0</v>
      </c>
      <c r="AL104" s="280">
        <f>IF(AL7=SAP_Leadsheet!$E$56,1,IF(AL7=SAP_Leadsheet!$E$56+SAP_Leadsheet!$E$61+2,2,IF(AL7=SAP_Leadsheet!$E$56+SAP_Leadsheet!$E$61*2+4,3,IF(AL7=SAP_Leadsheet!$E$56+SAP_Leadsheet!$E$61*3+6,4,IF(AL7=SAP_Leadsheet!$E$56+SAP_Leadsheet!$E$61*4+8,5,0)))))</f>
        <v>0</v>
      </c>
      <c r="AM104" s="280">
        <f>IF(AM7=SAP_Leadsheet!$E$56,1,IF(AM7=SAP_Leadsheet!$E$56+SAP_Leadsheet!$E$61+2,2,IF(AM7=SAP_Leadsheet!$E$56+SAP_Leadsheet!$E$61*2+4,3,IF(AM7=SAP_Leadsheet!$E$56+SAP_Leadsheet!$E$61*3+6,4,IF(AM7=SAP_Leadsheet!$E$56+SAP_Leadsheet!$E$61*4+8,5,0)))))</f>
        <v>4</v>
      </c>
      <c r="AN104" s="280">
        <f>IF(AN7=SAP_Leadsheet!$E$56,1,IF(AN7=SAP_Leadsheet!$E$56+SAP_Leadsheet!$E$61+2,2,IF(AN7=SAP_Leadsheet!$E$56+SAP_Leadsheet!$E$61*2+4,3,IF(AN7=SAP_Leadsheet!$E$56+SAP_Leadsheet!$E$61*3+6,4,IF(AN7=SAP_Leadsheet!$E$56+SAP_Leadsheet!$E$61*4+8,5,0)))))</f>
        <v>0</v>
      </c>
      <c r="AO104" s="280">
        <f>IF(AO7=SAP_Leadsheet!$E$56,1,IF(AO7=SAP_Leadsheet!$E$56+SAP_Leadsheet!$E$61+2,2,IF(AO7=SAP_Leadsheet!$E$56+SAP_Leadsheet!$E$61*2+4,3,IF(AO7=SAP_Leadsheet!$E$56+SAP_Leadsheet!$E$61*3+6,4,IF(AO7=SAP_Leadsheet!$E$56+SAP_Leadsheet!$E$61*4+8,5,0)))))</f>
        <v>0</v>
      </c>
      <c r="AP104" s="280">
        <f>IF(AP7=SAP_Leadsheet!$E$56,1,IF(AP7=SAP_Leadsheet!$E$56+SAP_Leadsheet!$E$61+2,2,IF(AP7=SAP_Leadsheet!$E$56+SAP_Leadsheet!$E$61*2+4,3,IF(AP7=SAP_Leadsheet!$E$56+SAP_Leadsheet!$E$61*3+6,4,IF(AP7=SAP_Leadsheet!$E$56+SAP_Leadsheet!$E$61*4+8,5,0)))))</f>
        <v>0</v>
      </c>
      <c r="AQ104" s="280">
        <f>IF(AQ7=SAP_Leadsheet!$E$56,1,IF(AQ7=SAP_Leadsheet!$E$56+SAP_Leadsheet!$E$61+2,2,IF(AQ7=SAP_Leadsheet!$E$56+SAP_Leadsheet!$E$61*2+4,3,IF(AQ7=SAP_Leadsheet!$E$56+SAP_Leadsheet!$E$61*3+6,4,IF(AQ7=SAP_Leadsheet!$E$56+SAP_Leadsheet!$E$61*4+8,5,0)))))</f>
        <v>0</v>
      </c>
      <c r="AR104" s="280">
        <f>IF(AR7=SAP_Leadsheet!$E$56,1,IF(AR7=SAP_Leadsheet!$E$56+SAP_Leadsheet!$E$61+2,2,IF(AR7=SAP_Leadsheet!$E$56+SAP_Leadsheet!$E$61*2+4,3,IF(AR7=SAP_Leadsheet!$E$56+SAP_Leadsheet!$E$61*3+6,4,IF(AR7=SAP_Leadsheet!$E$56+SAP_Leadsheet!$E$61*4+8,5,0)))))</f>
        <v>0</v>
      </c>
      <c r="AS104" s="280">
        <f>IF(AS7=SAP_Leadsheet!$E$56,1,IF(AS7=SAP_Leadsheet!$E$56+SAP_Leadsheet!$E$61+2,2,IF(AS7=SAP_Leadsheet!$E$56+SAP_Leadsheet!$E$61*2+4,3,IF(AS7=SAP_Leadsheet!$E$56+SAP_Leadsheet!$E$61*3+6,4,IF(AS7=SAP_Leadsheet!$E$56+SAP_Leadsheet!$E$61*4+8,5,0)))))</f>
        <v>0</v>
      </c>
      <c r="AT104" s="280">
        <f>IF(AT7=SAP_Leadsheet!$E$56,1,IF(AT7=SAP_Leadsheet!$E$56+SAP_Leadsheet!$E$61+2,2,IF(AT7=SAP_Leadsheet!$E$56+SAP_Leadsheet!$E$61*2+4,3,IF(AT7=SAP_Leadsheet!$E$56+SAP_Leadsheet!$E$61*3+6,4,IF(AT7=SAP_Leadsheet!$E$56+SAP_Leadsheet!$E$61*4+8,5,0)))))</f>
        <v>0</v>
      </c>
      <c r="AU104" s="280">
        <f>IF(AU7=SAP_Leadsheet!$E$56,1,IF(AU7=SAP_Leadsheet!$E$56+SAP_Leadsheet!$E$61+2,2,IF(AU7=SAP_Leadsheet!$E$56+SAP_Leadsheet!$E$61*2+4,3,IF(AU7=SAP_Leadsheet!$E$56+SAP_Leadsheet!$E$61*3+6,4,IF(AU7=SAP_Leadsheet!$E$56+SAP_Leadsheet!$E$61*4+8,5,0)))))</f>
        <v>0</v>
      </c>
      <c r="AV104" s="280">
        <f>IF(AV7=SAP_Leadsheet!$E$56,1,IF(AV7=SAP_Leadsheet!$E$56+SAP_Leadsheet!$E$61+2,2,IF(AV7=SAP_Leadsheet!$E$56+SAP_Leadsheet!$E$61*2+4,3,IF(AV7=SAP_Leadsheet!$E$56+SAP_Leadsheet!$E$61*3+6,4,IF(AV7=SAP_Leadsheet!$E$56+SAP_Leadsheet!$E$61*4+8,5,0)))))</f>
        <v>5</v>
      </c>
      <c r="AW104" s="280">
        <f>IF(AW7=SAP_Leadsheet!$E$56,1,IF(AW7=SAP_Leadsheet!$E$56+SAP_Leadsheet!$E$61+2,2,IF(AW7=SAP_Leadsheet!$E$56+SAP_Leadsheet!$E$61*2+4,3,IF(AW7=SAP_Leadsheet!$E$56+SAP_Leadsheet!$E$61*3+6,4,IF(AW7=SAP_Leadsheet!$E$56+SAP_Leadsheet!$E$61*4+8,5,0)))))</f>
        <v>0</v>
      </c>
      <c r="AX104" s="280">
        <f>IF(AX7=SAP_Leadsheet!$E$56,1,IF(AX7=SAP_Leadsheet!$E$56+SAP_Leadsheet!$E$61+2,2,IF(AX7=SAP_Leadsheet!$E$56+SAP_Leadsheet!$E$61*2+4,3,IF(AX7=SAP_Leadsheet!$E$56+SAP_Leadsheet!$E$61*3+6,4,IF(AX7=SAP_Leadsheet!$E$56+SAP_Leadsheet!$E$61*4+8,5,0)))))</f>
        <v>0</v>
      </c>
      <c r="AY104" s="280">
        <f>IF(AY7=SAP_Leadsheet!$E$56,1,IF(AY7=SAP_Leadsheet!$E$56+SAP_Leadsheet!$E$61+2,2,IF(AY7=SAP_Leadsheet!$E$56+SAP_Leadsheet!$E$61*2+4,3,IF(AY7=SAP_Leadsheet!$E$56+SAP_Leadsheet!$E$61*3+6,4,IF(AY7=SAP_Leadsheet!$E$56+SAP_Leadsheet!$E$61*4+8,5,0)))))</f>
        <v>0</v>
      </c>
      <c r="AZ104" s="280">
        <f>IF(AZ7=SAP_Leadsheet!$E$56,1,IF(AZ7=SAP_Leadsheet!$E$56+SAP_Leadsheet!$E$61+2,2,IF(AZ7=SAP_Leadsheet!$E$56+SAP_Leadsheet!$E$61*2+4,3,IF(AZ7=SAP_Leadsheet!$E$56+SAP_Leadsheet!$E$61*3+6,4,IF(AZ7=SAP_Leadsheet!$E$56+SAP_Leadsheet!$E$61*4+8,5,0)))))</f>
        <v>0</v>
      </c>
      <c r="BA104" s="280">
        <f>IF(BA7=SAP_Leadsheet!$E$56,1,IF(BA7=SAP_Leadsheet!$E$56+SAP_Leadsheet!$E$61+2,2,IF(BA7=SAP_Leadsheet!$E$56+SAP_Leadsheet!$E$61*2+4,3,IF(BA7=SAP_Leadsheet!$E$56+SAP_Leadsheet!$E$61*3+6,4,IF(BA7=SAP_Leadsheet!$E$56+SAP_Leadsheet!$E$61*4+8,5,0)))))</f>
        <v>0</v>
      </c>
      <c r="BB104" s="280">
        <f>IF(BB7=SAP_Leadsheet!$E$56,1,IF(BB7=SAP_Leadsheet!$E$56+SAP_Leadsheet!$E$61+2,2,IF(BB7=SAP_Leadsheet!$E$56+SAP_Leadsheet!$E$61*2+4,3,IF(BB7=SAP_Leadsheet!$E$56+SAP_Leadsheet!$E$61*3+6,4,IF(BB7=SAP_Leadsheet!$E$56+SAP_Leadsheet!$E$61*4+8,5,0)))))</f>
        <v>0</v>
      </c>
      <c r="BC104" s="280">
        <f>IF(BC7=SAP_Leadsheet!$E$56,1,IF(BC7=SAP_Leadsheet!$E$56+SAP_Leadsheet!$E$61+2,2,IF(BC7=SAP_Leadsheet!$E$56+SAP_Leadsheet!$E$61*2+4,3,IF(BC7=SAP_Leadsheet!$E$56+SAP_Leadsheet!$E$61*3+6,4,IF(BC7=SAP_Leadsheet!$E$56+SAP_Leadsheet!$E$61*4+8,5,0)))))</f>
        <v>0</v>
      </c>
      <c r="BD104" s="280">
        <f>IF(BD7=SAP_Leadsheet!$E$56,1,IF(BD7=SAP_Leadsheet!$E$56+SAP_Leadsheet!$E$61+2,2,IF(BD7=SAP_Leadsheet!$E$56+SAP_Leadsheet!$E$61*2+4,3,IF(BD7=SAP_Leadsheet!$E$56+SAP_Leadsheet!$E$61*3+6,4,IF(BD7=SAP_Leadsheet!$E$56+SAP_Leadsheet!$E$61*4+8,5,0)))))</f>
        <v>0</v>
      </c>
      <c r="BE104" s="280">
        <f>IF(BE7=SAP_Leadsheet!$E$56,1,IF(BE7=SAP_Leadsheet!$E$56+SAP_Leadsheet!$E$61+2,2,IF(BE7=SAP_Leadsheet!$E$56+SAP_Leadsheet!$E$61*2+4,3,IF(BE7=SAP_Leadsheet!$E$56+SAP_Leadsheet!$E$61*3+6,4,IF(BE7=SAP_Leadsheet!$E$56+SAP_Leadsheet!$E$61*4+8,5,0)))))</f>
        <v>0</v>
      </c>
      <c r="BF104" s="280">
        <f>IF(BF7=SAP_Leadsheet!$E$56,1,IF(BF7=SAP_Leadsheet!$E$56+SAP_Leadsheet!$E$61+2,2,IF(BF7=SAP_Leadsheet!$E$56+SAP_Leadsheet!$E$61*2+4,3,IF(BF7=SAP_Leadsheet!$E$56+SAP_Leadsheet!$E$61*3+6,4,IF(BF7=SAP_Leadsheet!$E$56+SAP_Leadsheet!$E$61*4+8,5,0)))))</f>
        <v>0</v>
      </c>
      <c r="BG104" s="280">
        <f>IF(BG7=SAP_Leadsheet!$E$56,1,IF(BG7=SAP_Leadsheet!$E$56+SAP_Leadsheet!$E$61+2,2,IF(BG7=SAP_Leadsheet!$E$56+SAP_Leadsheet!$E$61*2+4,3,IF(BG7=SAP_Leadsheet!$E$56+SAP_Leadsheet!$E$61*3+6,4,IF(BG7=SAP_Leadsheet!$E$56+SAP_Leadsheet!$E$61*4+8,5,0)))))</f>
        <v>0</v>
      </c>
      <c r="BH104" s="280">
        <f>IF(BH7=SAP_Leadsheet!$E$56,1,IF(BH7=SAP_Leadsheet!$E$56+SAP_Leadsheet!$E$61+2,2,IF(BH7=SAP_Leadsheet!$E$56+SAP_Leadsheet!$E$61*2+4,3,IF(BH7=SAP_Leadsheet!$E$56+SAP_Leadsheet!$E$61*3+6,4,IF(BH7=SAP_Leadsheet!$E$56+SAP_Leadsheet!$E$61*4+8,5,0)))))</f>
        <v>0</v>
      </c>
      <c r="BI104" s="280">
        <f>IF(BI7=SAP_Leadsheet!$E$56,1,IF(BI7=SAP_Leadsheet!$E$56+SAP_Leadsheet!$E$61+2,2,IF(BI7=SAP_Leadsheet!$E$56+SAP_Leadsheet!$E$61*2+4,3,IF(BI7=SAP_Leadsheet!$E$56+SAP_Leadsheet!$E$61*3+6,4,IF(BI7=SAP_Leadsheet!$E$56+SAP_Leadsheet!$E$61*4+8,5,0)))))</f>
        <v>0</v>
      </c>
      <c r="BJ104" s="280">
        <f>IF(BJ7=SAP_Leadsheet!$E$56,1,IF(BJ7=SAP_Leadsheet!$E$56+SAP_Leadsheet!$E$61+2,2,IF(BJ7=SAP_Leadsheet!$E$56+SAP_Leadsheet!$E$61*2+4,3,IF(BJ7=SAP_Leadsheet!$E$56+SAP_Leadsheet!$E$61*3+6,4,IF(BJ7=SAP_Leadsheet!$E$56+SAP_Leadsheet!$E$61*4+8,5,0)))))</f>
        <v>0</v>
      </c>
      <c r="BK104" s="280">
        <f>IF(BK7=SAP_Leadsheet!$E$56,1,IF(BK7=SAP_Leadsheet!$E$56+SAP_Leadsheet!$E$61+2,2,IF(BK7=SAP_Leadsheet!$E$56+SAP_Leadsheet!$E$61*2+4,3,IF(BK7=SAP_Leadsheet!$E$56+SAP_Leadsheet!$E$61*3+6,4,IF(BK7=SAP_Leadsheet!$E$56+SAP_Leadsheet!$E$61*4+8,5,0)))))</f>
        <v>0</v>
      </c>
      <c r="BL104" s="280">
        <f>IF(BL7=SAP_Leadsheet!$E$56,1,IF(BL7=SAP_Leadsheet!$E$56+SAP_Leadsheet!$E$61+2,2,IF(BL7=SAP_Leadsheet!$E$56+SAP_Leadsheet!$E$61*2+4,3,IF(BL7=SAP_Leadsheet!$E$56+SAP_Leadsheet!$E$61*3+6,4,IF(BL7=SAP_Leadsheet!$E$56+SAP_Leadsheet!$E$61*4+8,5,0)))))</f>
        <v>0</v>
      </c>
      <c r="BM104" s="280">
        <f>IF(BM7=SAP_Leadsheet!$E$56,1,IF(BM7=SAP_Leadsheet!$E$56+SAP_Leadsheet!$E$61+2,2,IF(BM7=SAP_Leadsheet!$E$56+SAP_Leadsheet!$E$61*2+4,3,IF(BM7=SAP_Leadsheet!$E$56+SAP_Leadsheet!$E$61*3+6,4,IF(BM7=SAP_Leadsheet!$E$56+SAP_Leadsheet!$E$61*4+8,5,0)))))</f>
        <v>0</v>
      </c>
      <c r="BN104" s="280">
        <f>IF(BN7=SAP_Leadsheet!$E$56,1,IF(BN7=SAP_Leadsheet!$E$56+SAP_Leadsheet!$E$61+2,2,IF(BN7=SAP_Leadsheet!$E$56+SAP_Leadsheet!$E$61*2+4,3,IF(BN7=SAP_Leadsheet!$E$56+SAP_Leadsheet!$E$61*3+6,4,IF(BN7=SAP_Leadsheet!$E$56+SAP_Leadsheet!$E$61*4+8,5,0)))))</f>
        <v>0</v>
      </c>
      <c r="BO104" s="263"/>
      <c r="BP104" s="263"/>
      <c r="BQ104" s="263"/>
      <c r="BR104" s="263"/>
      <c r="BS104" s="263"/>
      <c r="BT104" s="263"/>
      <c r="BU104" s="263"/>
      <c r="BV104" s="263"/>
      <c r="BW104" s="263"/>
      <c r="BX104" s="263"/>
      <c r="BY104" s="263"/>
      <c r="BZ104" s="263"/>
      <c r="CA104" s="254"/>
      <c r="CB104" s="254"/>
      <c r="CC104" s="254"/>
      <c r="CD104" s="254"/>
      <c r="CE104" s="254"/>
      <c r="CF104" s="254"/>
      <c r="CG104" s="254"/>
      <c r="CH104" s="254"/>
      <c r="CI104" s="254"/>
      <c r="CJ104" s="254"/>
      <c r="CK104" s="254"/>
      <c r="CL104" s="254"/>
    </row>
    <row r="105" spans="1:90" x14ac:dyDescent="0.15">
      <c r="A105" s="50"/>
      <c r="B105" s="23"/>
      <c r="D105" s="26" t="s">
        <v>365</v>
      </c>
      <c r="F105" s="26" t="s">
        <v>174</v>
      </c>
      <c r="G105" s="256">
        <f>IF(G104=0,0,SAP_Leadsheet!$E$57)</f>
        <v>0</v>
      </c>
      <c r="H105" s="256">
        <f>IF(H104=0,0,SAP_Leadsheet!$E$57)</f>
        <v>0</v>
      </c>
      <c r="I105" s="256">
        <f>IF(I104=0,0,SAP_Leadsheet!$E$57)</f>
        <v>0</v>
      </c>
      <c r="J105" s="256">
        <f>IF(J104=0,0,SAP_Leadsheet!$E$57)</f>
        <v>0</v>
      </c>
      <c r="K105" s="256">
        <f>IF(K104=0,0,SAP_Leadsheet!$E$57)</f>
        <v>0</v>
      </c>
      <c r="L105" s="256">
        <f>IF(L104=0,0,SAP_Leadsheet!$E$57)</f>
        <v>0.1</v>
      </c>
      <c r="M105" s="256">
        <f>IF(M104=0,0,SAP_Leadsheet!$E$57)</f>
        <v>0</v>
      </c>
      <c r="N105" s="256">
        <f>IF(N104=0,0,SAP_Leadsheet!$E$57)</f>
        <v>0</v>
      </c>
      <c r="O105" s="256">
        <f>IF(O104=0,0,SAP_Leadsheet!$E$57)</f>
        <v>0</v>
      </c>
      <c r="P105" s="256">
        <f>IF(P104=0,0,SAP_Leadsheet!$E$57)</f>
        <v>0</v>
      </c>
      <c r="Q105" s="256">
        <f>IF(Q104=0,0,SAP_Leadsheet!$E$57)</f>
        <v>0</v>
      </c>
      <c r="R105" s="256">
        <f>IF(R104=0,0,SAP_Leadsheet!$E$57)</f>
        <v>0</v>
      </c>
      <c r="S105" s="256">
        <f>IF(S104=0,0,SAP_Leadsheet!$E$57)</f>
        <v>0</v>
      </c>
      <c r="T105" s="256">
        <f>IF(T104=0,0,SAP_Leadsheet!$E$57)</f>
        <v>0</v>
      </c>
      <c r="U105" s="256">
        <f>IF(U104=0,0,SAP_Leadsheet!$E$57)</f>
        <v>0.1</v>
      </c>
      <c r="V105" s="256">
        <f>IF(V104=0,0,SAP_Leadsheet!$E$57)</f>
        <v>0</v>
      </c>
      <c r="W105" s="256">
        <f>IF(W104=0,0,SAP_Leadsheet!$E$57)</f>
        <v>0</v>
      </c>
      <c r="X105" s="256">
        <f>IF(X104=0,0,SAP_Leadsheet!$E$57)</f>
        <v>0</v>
      </c>
      <c r="Y105" s="256">
        <f>IF(Y104=0,0,SAP_Leadsheet!$E$57)</f>
        <v>0</v>
      </c>
      <c r="Z105" s="256">
        <f>IF(Z104=0,0,SAP_Leadsheet!$E$57)</f>
        <v>0</v>
      </c>
      <c r="AA105" s="256">
        <f>IF(AA104=0,0,SAP_Leadsheet!$E$57)</f>
        <v>0</v>
      </c>
      <c r="AB105" s="256">
        <f>IF(AB104=0,0,SAP_Leadsheet!$E$57)</f>
        <v>0</v>
      </c>
      <c r="AC105" s="256">
        <f>IF(AC104=0,0,SAP_Leadsheet!$E$57)</f>
        <v>0</v>
      </c>
      <c r="AD105" s="256">
        <f>IF(AD104=0,0,SAP_Leadsheet!$E$57)</f>
        <v>0.1</v>
      </c>
      <c r="AE105" s="256">
        <f>IF(AE104=0,0,SAP_Leadsheet!$E$57)</f>
        <v>0</v>
      </c>
      <c r="AF105" s="256">
        <f>IF(AF104=0,0,SAP_Leadsheet!$E$57)</f>
        <v>0</v>
      </c>
      <c r="AG105" s="256">
        <f>IF(AG104=0,0,SAP_Leadsheet!$E$57)</f>
        <v>0</v>
      </c>
      <c r="AH105" s="256">
        <f>IF(AH104=0,0,SAP_Leadsheet!$E$57)</f>
        <v>0</v>
      </c>
      <c r="AI105" s="256">
        <f>IF(AI104=0,0,SAP_Leadsheet!$E$57)</f>
        <v>0</v>
      </c>
      <c r="AJ105" s="256">
        <f>IF(AJ104=0,0,SAP_Leadsheet!$E$57)</f>
        <v>0</v>
      </c>
      <c r="AK105" s="256">
        <f>IF(AK104=0,0,SAP_Leadsheet!$E$57)</f>
        <v>0</v>
      </c>
      <c r="AL105" s="256">
        <f>IF(AL104=0,0,SAP_Leadsheet!$E$57)</f>
        <v>0</v>
      </c>
      <c r="AM105" s="256">
        <f>IF(AM104=0,0,SAP_Leadsheet!$E$57)</f>
        <v>0.1</v>
      </c>
      <c r="AN105" s="256">
        <f>IF(AN104=0,0,SAP_Leadsheet!$E$57)</f>
        <v>0</v>
      </c>
      <c r="AO105" s="256">
        <f>IF(AO104=0,0,SAP_Leadsheet!$E$57)</f>
        <v>0</v>
      </c>
      <c r="AP105" s="256">
        <f>IF(AP104=0,0,SAP_Leadsheet!$E$57)</f>
        <v>0</v>
      </c>
      <c r="AQ105" s="256">
        <f>IF(AQ104=0,0,SAP_Leadsheet!$E$57)</f>
        <v>0</v>
      </c>
      <c r="AR105" s="256">
        <f>IF(AR104=0,0,SAP_Leadsheet!$E$57)</f>
        <v>0</v>
      </c>
      <c r="AS105" s="256">
        <f>IF(AS104=0,0,SAP_Leadsheet!$E$57)</f>
        <v>0</v>
      </c>
      <c r="AT105" s="256">
        <f>IF(AT104=0,0,SAP_Leadsheet!$E$57)</f>
        <v>0</v>
      </c>
      <c r="AU105" s="256">
        <f>IF(AU104=0,0,SAP_Leadsheet!$E$57)</f>
        <v>0</v>
      </c>
      <c r="AV105" s="256">
        <f>IF(AV104=0,0,SAP_Leadsheet!$E$57)</f>
        <v>0.1</v>
      </c>
      <c r="AW105" s="256">
        <f>IF(AW104=0,0,SAP_Leadsheet!$E$57)</f>
        <v>0</v>
      </c>
      <c r="AX105" s="256">
        <f>IF(AX104=0,0,SAP_Leadsheet!$E$57)</f>
        <v>0</v>
      </c>
      <c r="AY105" s="256">
        <f>IF(AY104=0,0,SAP_Leadsheet!$E$57)</f>
        <v>0</v>
      </c>
      <c r="AZ105" s="256">
        <f>IF(AZ104=0,0,SAP_Leadsheet!$E$57)</f>
        <v>0</v>
      </c>
      <c r="BA105" s="256">
        <f>IF(BA104=0,0,SAP_Leadsheet!$E$57)</f>
        <v>0</v>
      </c>
      <c r="BB105" s="256">
        <f>IF(BB104=0,0,SAP_Leadsheet!$E$57)</f>
        <v>0</v>
      </c>
      <c r="BC105" s="256">
        <f>IF(BC104=0,0,SAP_Leadsheet!$E$57)</f>
        <v>0</v>
      </c>
      <c r="BD105" s="256">
        <f>IF(BD104=0,0,SAP_Leadsheet!$E$57)</f>
        <v>0</v>
      </c>
      <c r="BE105" s="256">
        <f>IF(BE104=0,0,SAP_Leadsheet!$E$57)</f>
        <v>0</v>
      </c>
      <c r="BF105" s="256">
        <f>IF(BF104=0,0,SAP_Leadsheet!$E$57)</f>
        <v>0</v>
      </c>
      <c r="BG105" s="256">
        <f>IF(BG104=0,0,SAP_Leadsheet!$E$57)</f>
        <v>0</v>
      </c>
      <c r="BH105" s="256">
        <f>IF(BH104=0,0,SAP_Leadsheet!$E$57)</f>
        <v>0</v>
      </c>
      <c r="BI105" s="256">
        <f>IF(BI104=0,0,SAP_Leadsheet!$E$57)</f>
        <v>0</v>
      </c>
      <c r="BJ105" s="256">
        <f>IF(BJ104=0,0,SAP_Leadsheet!$E$57)</f>
        <v>0</v>
      </c>
      <c r="BK105" s="256">
        <f>IF(BK104=0,0,SAP_Leadsheet!$E$57)</f>
        <v>0</v>
      </c>
      <c r="BL105" s="256">
        <f>IF(BL104=0,0,SAP_Leadsheet!$E$57)</f>
        <v>0</v>
      </c>
      <c r="BM105" s="256">
        <f>IF(BM104=0,0,SAP_Leadsheet!$E$57)</f>
        <v>0</v>
      </c>
      <c r="BN105" s="256">
        <f>IF(BN104=0,0,SAP_Leadsheet!$E$57)</f>
        <v>0</v>
      </c>
      <c r="BO105" s="263"/>
      <c r="BP105" s="263"/>
      <c r="BQ105" s="263"/>
      <c r="BR105" s="263"/>
      <c r="BS105" s="263"/>
      <c r="BT105" s="263"/>
      <c r="BU105" s="263"/>
      <c r="BV105" s="263"/>
      <c r="BW105" s="263"/>
      <c r="BX105" s="263"/>
      <c r="BY105" s="263"/>
      <c r="BZ105" s="263"/>
      <c r="CA105" s="254"/>
      <c r="CB105" s="254"/>
      <c r="CC105" s="254"/>
      <c r="CD105" s="254"/>
      <c r="CE105" s="254"/>
      <c r="CF105" s="254"/>
      <c r="CG105" s="254"/>
      <c r="CH105" s="254"/>
      <c r="CI105" s="254"/>
      <c r="CJ105" s="254"/>
      <c r="CK105" s="254"/>
      <c r="CL105" s="254"/>
    </row>
    <row r="106" spans="1:90" x14ac:dyDescent="0.15">
      <c r="A106" s="50"/>
      <c r="B106" s="23"/>
      <c r="D106" s="23" t="s">
        <v>348</v>
      </c>
      <c r="G106" s="262">
        <v>0</v>
      </c>
      <c r="H106" s="262">
        <f>G169</f>
        <v>0</v>
      </c>
      <c r="I106" s="262">
        <f t="shared" ref="I106:BN106" si="15">H169</f>
        <v>0</v>
      </c>
      <c r="J106" s="262">
        <f t="shared" si="15"/>
        <v>0</v>
      </c>
      <c r="K106" s="262">
        <f t="shared" si="15"/>
        <v>0</v>
      </c>
      <c r="L106" s="262">
        <f t="shared" si="15"/>
        <v>0</v>
      </c>
      <c r="M106" s="262">
        <f t="shared" si="15"/>
        <v>0.70000000000000007</v>
      </c>
      <c r="N106" s="262">
        <f t="shared" si="15"/>
        <v>0.60000000000000009</v>
      </c>
      <c r="O106" s="262">
        <f t="shared" si="15"/>
        <v>0.50000000000000011</v>
      </c>
      <c r="P106" s="262">
        <f t="shared" si="15"/>
        <v>0.40000000000000013</v>
      </c>
      <c r="Q106" s="262">
        <f t="shared" si="15"/>
        <v>0.30000000000000016</v>
      </c>
      <c r="R106" s="262">
        <f t="shared" si="15"/>
        <v>0.20000000000000015</v>
      </c>
      <c r="S106" s="262">
        <f t="shared" si="15"/>
        <v>0.10000000000000014</v>
      </c>
      <c r="T106" s="262">
        <f t="shared" si="15"/>
        <v>1.3877787807814457E-16</v>
      </c>
      <c r="U106" s="262">
        <f t="shared" si="15"/>
        <v>1.3877787807814457E-16</v>
      </c>
      <c r="V106" s="262">
        <f t="shared" si="15"/>
        <v>0.70000000000000018</v>
      </c>
      <c r="W106" s="262">
        <f t="shared" si="15"/>
        <v>0.6000000000000002</v>
      </c>
      <c r="X106" s="262">
        <f t="shared" si="15"/>
        <v>0.50000000000000022</v>
      </c>
      <c r="Y106" s="262">
        <f t="shared" si="15"/>
        <v>0.40000000000000024</v>
      </c>
      <c r="Z106" s="262">
        <f t="shared" si="15"/>
        <v>0.30000000000000027</v>
      </c>
      <c r="AA106" s="262">
        <f t="shared" si="15"/>
        <v>0.20000000000000026</v>
      </c>
      <c r="AB106" s="262">
        <f t="shared" si="15"/>
        <v>0.10000000000000026</v>
      </c>
      <c r="AC106" s="262">
        <f t="shared" si="15"/>
        <v>2.4980018054066022E-16</v>
      </c>
      <c r="AD106" s="262">
        <f t="shared" si="15"/>
        <v>2.4980018054066022E-16</v>
      </c>
      <c r="AE106" s="262">
        <f t="shared" si="15"/>
        <v>0.70000000000000029</v>
      </c>
      <c r="AF106" s="262">
        <f t="shared" si="15"/>
        <v>0.60000000000000031</v>
      </c>
      <c r="AG106" s="262">
        <f t="shared" si="15"/>
        <v>0.50000000000000033</v>
      </c>
      <c r="AH106" s="262">
        <f t="shared" si="15"/>
        <v>0.40000000000000036</v>
      </c>
      <c r="AI106" s="262">
        <f t="shared" si="15"/>
        <v>0.30000000000000038</v>
      </c>
      <c r="AJ106" s="262">
        <f t="shared" si="15"/>
        <v>0.20000000000000037</v>
      </c>
      <c r="AK106" s="262">
        <f t="shared" si="15"/>
        <v>0.10000000000000037</v>
      </c>
      <c r="AL106" s="262">
        <f t="shared" si="15"/>
        <v>3.6082248300317588E-16</v>
      </c>
      <c r="AM106" s="262">
        <f t="shared" si="15"/>
        <v>3.6082248300317588E-16</v>
      </c>
      <c r="AN106" s="262">
        <f t="shared" si="15"/>
        <v>3.6082248300317588E-16</v>
      </c>
      <c r="AO106" s="262">
        <f t="shared" si="15"/>
        <v>3.6082248300317588E-16</v>
      </c>
      <c r="AP106" s="262">
        <f t="shared" si="15"/>
        <v>3.6082248300317588E-16</v>
      </c>
      <c r="AQ106" s="262">
        <f t="shared" si="15"/>
        <v>3.6082248300317588E-16</v>
      </c>
      <c r="AR106" s="262">
        <f t="shared" si="15"/>
        <v>3.6082248300317588E-16</v>
      </c>
      <c r="AS106" s="262">
        <f t="shared" si="15"/>
        <v>3.6082248300317588E-16</v>
      </c>
      <c r="AT106" s="262">
        <f t="shared" si="15"/>
        <v>3.6082248300317588E-16</v>
      </c>
      <c r="AU106" s="262">
        <f t="shared" si="15"/>
        <v>3.6082248300317588E-16</v>
      </c>
      <c r="AV106" s="262">
        <f t="shared" si="15"/>
        <v>3.6082248300317588E-16</v>
      </c>
      <c r="AW106" s="262">
        <f t="shared" si="15"/>
        <v>3.6082248300317588E-16</v>
      </c>
      <c r="AX106" s="262">
        <f t="shared" si="15"/>
        <v>3.6082248300317588E-16</v>
      </c>
      <c r="AY106" s="262">
        <f t="shared" si="15"/>
        <v>3.6082248300317588E-16</v>
      </c>
      <c r="AZ106" s="262">
        <f t="shared" si="15"/>
        <v>3.6082248300317588E-16</v>
      </c>
      <c r="BA106" s="262">
        <f t="shared" si="15"/>
        <v>3.6082248300317588E-16</v>
      </c>
      <c r="BB106" s="262">
        <f t="shared" si="15"/>
        <v>3.6082248300317588E-16</v>
      </c>
      <c r="BC106" s="262">
        <f t="shared" si="15"/>
        <v>3.6082248300317588E-16</v>
      </c>
      <c r="BD106" s="262">
        <f t="shared" si="15"/>
        <v>3.6082248300317588E-16</v>
      </c>
      <c r="BE106" s="262">
        <f t="shared" si="15"/>
        <v>3.6082248300317588E-16</v>
      </c>
      <c r="BF106" s="262">
        <f t="shared" si="15"/>
        <v>3.6082248300317588E-16</v>
      </c>
      <c r="BG106" s="262">
        <f t="shared" si="15"/>
        <v>3.6082248300317588E-16</v>
      </c>
      <c r="BH106" s="262">
        <f t="shared" si="15"/>
        <v>3.6082248300317588E-16</v>
      </c>
      <c r="BI106" s="262">
        <f t="shared" si="15"/>
        <v>3.6082248300317588E-16</v>
      </c>
      <c r="BJ106" s="262">
        <f t="shared" si="15"/>
        <v>3.6082248300317588E-16</v>
      </c>
      <c r="BK106" s="262">
        <f t="shared" si="15"/>
        <v>3.6082248300317588E-16</v>
      </c>
      <c r="BL106" s="262">
        <f t="shared" si="15"/>
        <v>3.6082248300317588E-16</v>
      </c>
      <c r="BM106" s="262">
        <f t="shared" si="15"/>
        <v>3.6082248300317588E-16</v>
      </c>
      <c r="BN106" s="262">
        <f t="shared" si="15"/>
        <v>3.6082248300317588E-16</v>
      </c>
      <c r="BO106" s="263"/>
      <c r="BP106" s="263"/>
      <c r="BQ106" s="263"/>
      <c r="BR106" s="263"/>
      <c r="BS106" s="263"/>
      <c r="BT106" s="263"/>
      <c r="BU106" s="263"/>
      <c r="BV106" s="263"/>
      <c r="BW106" s="263"/>
      <c r="BX106" s="263"/>
      <c r="BY106" s="263"/>
      <c r="BZ106" s="263"/>
      <c r="CA106" s="254"/>
      <c r="CB106" s="254"/>
      <c r="CC106" s="254"/>
      <c r="CD106" s="254"/>
      <c r="CE106" s="254"/>
      <c r="CF106" s="254"/>
      <c r="CG106" s="254"/>
      <c r="CH106" s="254"/>
      <c r="CI106" s="254"/>
      <c r="CJ106" s="254"/>
      <c r="CK106" s="254"/>
      <c r="CL106" s="254"/>
    </row>
    <row r="107" spans="1:90" x14ac:dyDescent="0.15">
      <c r="A107" s="50"/>
      <c r="B107" s="23"/>
      <c r="D107" s="26" t="s">
        <v>356</v>
      </c>
      <c r="G107" s="263">
        <f>IF(AND(SAP_Leadsheet!$C$9="EMI",G104&lt;=SAP_Leadsheet!$E$58),G105*SAP_Leadsheet!$E$59,0)</f>
        <v>0</v>
      </c>
      <c r="H107" s="263">
        <f>IF(AND(SAP_Leadsheet!$C$9="EMI",H104&lt;=SAP_Leadsheet!$E$58),H105*SAP_Leadsheet!$E$59,0)</f>
        <v>0</v>
      </c>
      <c r="I107" s="263">
        <f>IF(AND(SAP_Leadsheet!$C$9="EMI",I104&lt;=SAP_Leadsheet!$E$58),I105*SAP_Leadsheet!$E$59,0)</f>
        <v>0</v>
      </c>
      <c r="J107" s="263">
        <f>IF(AND(SAP_Leadsheet!$C$9="EMI",J104&lt;=SAP_Leadsheet!$E$58),J105*SAP_Leadsheet!$E$59,0)</f>
        <v>0</v>
      </c>
      <c r="K107" s="263">
        <f>IF(AND(SAP_Leadsheet!$C$9="EMI",K104&lt;=SAP_Leadsheet!$E$58),K105*SAP_Leadsheet!$E$59,0)</f>
        <v>0</v>
      </c>
      <c r="L107" s="263">
        <f>IF(AND(SAP_Leadsheet!$C$9="EMI",L104&lt;=SAP_Leadsheet!$E$58),L105*SAP_Leadsheet!$E$59,0)</f>
        <v>0.70000000000000007</v>
      </c>
      <c r="M107" s="263">
        <f>IF(AND(SAP_Leadsheet!$C$9="EMI",M104&lt;=SAP_Leadsheet!$E$58),M105*SAP_Leadsheet!$E$59,0)</f>
        <v>0</v>
      </c>
      <c r="N107" s="263">
        <f>IF(AND(SAP_Leadsheet!$C$9="EMI",N104&lt;=SAP_Leadsheet!$E$58),N105*SAP_Leadsheet!$E$59,0)</f>
        <v>0</v>
      </c>
      <c r="O107" s="263">
        <f>IF(AND(SAP_Leadsheet!$C$9="EMI",O104&lt;=SAP_Leadsheet!$E$58),O105*SAP_Leadsheet!$E$59,0)</f>
        <v>0</v>
      </c>
      <c r="P107" s="263">
        <f>IF(AND(SAP_Leadsheet!$C$9="EMI",P104&lt;=SAP_Leadsheet!$E$58),P105*SAP_Leadsheet!$E$59,0)</f>
        <v>0</v>
      </c>
      <c r="Q107" s="263">
        <f>IF(AND(SAP_Leadsheet!$C$9="EMI",Q104&lt;=SAP_Leadsheet!$E$58),Q105*SAP_Leadsheet!$E$59,0)</f>
        <v>0</v>
      </c>
      <c r="R107" s="263">
        <f>IF(AND(SAP_Leadsheet!$C$9="EMI",R104&lt;=SAP_Leadsheet!$E$58),R105*SAP_Leadsheet!$E$59,0)</f>
        <v>0</v>
      </c>
      <c r="S107" s="263">
        <f>IF(AND(SAP_Leadsheet!$C$9="EMI",S104&lt;=SAP_Leadsheet!$E$58),S105*SAP_Leadsheet!$E$59,0)</f>
        <v>0</v>
      </c>
      <c r="T107" s="263">
        <f>IF(AND(SAP_Leadsheet!$C$9="EMI",T104&lt;=SAP_Leadsheet!$E$58),T105*SAP_Leadsheet!$E$59,0)</f>
        <v>0</v>
      </c>
      <c r="U107" s="263">
        <f>IF(AND(SAP_Leadsheet!$C$9="EMI",U104&lt;=SAP_Leadsheet!$E$58),U105*SAP_Leadsheet!$E$59,0)</f>
        <v>0.70000000000000007</v>
      </c>
      <c r="V107" s="263">
        <f>IF(AND(SAP_Leadsheet!$C$9="EMI",V104&lt;=SAP_Leadsheet!$E$58),V105*SAP_Leadsheet!$E$59,0)</f>
        <v>0</v>
      </c>
      <c r="W107" s="263">
        <f>IF(AND(SAP_Leadsheet!$C$9="EMI",W104&lt;=SAP_Leadsheet!$E$58),W105*SAP_Leadsheet!$E$59,0)</f>
        <v>0</v>
      </c>
      <c r="X107" s="263">
        <f>IF(AND(SAP_Leadsheet!$C$9="EMI",X104&lt;=SAP_Leadsheet!$E$58),X105*SAP_Leadsheet!$E$59,0)</f>
        <v>0</v>
      </c>
      <c r="Y107" s="263">
        <f>IF(AND(SAP_Leadsheet!$C$9="EMI",Y104&lt;=SAP_Leadsheet!$E$58),Y105*SAP_Leadsheet!$E$59,0)</f>
        <v>0</v>
      </c>
      <c r="Z107" s="263">
        <f>IF(AND(SAP_Leadsheet!$C$9="EMI",Z104&lt;=SAP_Leadsheet!$E$58),Z105*SAP_Leadsheet!$E$59,0)</f>
        <v>0</v>
      </c>
      <c r="AA107" s="263">
        <f>IF(AND(SAP_Leadsheet!$C$9="EMI",AA104&lt;=SAP_Leadsheet!$E$58),AA105*SAP_Leadsheet!$E$59,0)</f>
        <v>0</v>
      </c>
      <c r="AB107" s="263">
        <f>IF(AND(SAP_Leadsheet!$C$9="EMI",AB104&lt;=SAP_Leadsheet!$E$58),AB105*SAP_Leadsheet!$E$59,0)</f>
        <v>0</v>
      </c>
      <c r="AC107" s="263">
        <f>IF(AND(SAP_Leadsheet!$C$9="EMI",AC104&lt;=SAP_Leadsheet!$E$58),AC105*SAP_Leadsheet!$E$59,0)</f>
        <v>0</v>
      </c>
      <c r="AD107" s="263">
        <f>IF(AND(SAP_Leadsheet!$C$9="EMI",AD104&lt;=SAP_Leadsheet!$E$58),AD105*SAP_Leadsheet!$E$59,0)</f>
        <v>0.70000000000000007</v>
      </c>
      <c r="AE107" s="263">
        <f>IF(AND(SAP_Leadsheet!$C$9="EMI",AE104&lt;=SAP_Leadsheet!$E$58),AE105*SAP_Leadsheet!$E$59,0)</f>
        <v>0</v>
      </c>
      <c r="AF107" s="263">
        <f>IF(AND(SAP_Leadsheet!$C$9="EMI",AF104&lt;=SAP_Leadsheet!$E$58),AF105*SAP_Leadsheet!$E$59,0)</f>
        <v>0</v>
      </c>
      <c r="AG107" s="263">
        <f>IF(AND(SAP_Leadsheet!$C$9="EMI",AG104&lt;=SAP_Leadsheet!$E$58),AG105*SAP_Leadsheet!$E$59,0)</f>
        <v>0</v>
      </c>
      <c r="AH107" s="263">
        <f>IF(AND(SAP_Leadsheet!$C$9="EMI",AH104&lt;=SAP_Leadsheet!$E$58),AH105*SAP_Leadsheet!$E$59,0)</f>
        <v>0</v>
      </c>
      <c r="AI107" s="263">
        <f>IF(AND(SAP_Leadsheet!$C$9="EMI",AI104&lt;=SAP_Leadsheet!$E$58),AI105*SAP_Leadsheet!$E$59,0)</f>
        <v>0</v>
      </c>
      <c r="AJ107" s="263">
        <f>IF(AND(SAP_Leadsheet!$C$9="EMI",AJ104&lt;=SAP_Leadsheet!$E$58),AJ105*SAP_Leadsheet!$E$59,0)</f>
        <v>0</v>
      </c>
      <c r="AK107" s="263">
        <f>IF(AND(SAP_Leadsheet!$C$9="EMI",AK104&lt;=SAP_Leadsheet!$E$58),AK105*SAP_Leadsheet!$E$59,0)</f>
        <v>0</v>
      </c>
      <c r="AL107" s="263">
        <f>IF(AND(SAP_Leadsheet!$C$9="EMI",AL104&lt;=SAP_Leadsheet!$E$58),AL105*SAP_Leadsheet!$E$59,0)</f>
        <v>0</v>
      </c>
      <c r="AM107" s="263">
        <f>IF(AND(SAP_Leadsheet!$C$9="EMI",AM104&lt;=SAP_Leadsheet!$E$58),AM105*SAP_Leadsheet!$E$59,0)</f>
        <v>0</v>
      </c>
      <c r="AN107" s="263">
        <f>IF(AND(SAP_Leadsheet!$C$9="EMI",AN104&lt;=SAP_Leadsheet!$E$58),AN105*SAP_Leadsheet!$E$59,0)</f>
        <v>0</v>
      </c>
      <c r="AO107" s="263">
        <f>IF(AND(SAP_Leadsheet!$C$9="EMI",AO104&lt;=SAP_Leadsheet!$E$58),AO105*SAP_Leadsheet!$E$59,0)</f>
        <v>0</v>
      </c>
      <c r="AP107" s="263">
        <f>IF(AND(SAP_Leadsheet!$C$9="EMI",AP104&lt;=SAP_Leadsheet!$E$58),AP105*SAP_Leadsheet!$E$59,0)</f>
        <v>0</v>
      </c>
      <c r="AQ107" s="263">
        <f>IF(AND(SAP_Leadsheet!$C$9="EMI",AQ104&lt;=SAP_Leadsheet!$E$58),AQ105*SAP_Leadsheet!$E$59,0)</f>
        <v>0</v>
      </c>
      <c r="AR107" s="263">
        <f>IF(AND(SAP_Leadsheet!$C$9="EMI",AR104&lt;=SAP_Leadsheet!$E$58),AR105*SAP_Leadsheet!$E$59,0)</f>
        <v>0</v>
      </c>
      <c r="AS107" s="263">
        <f>IF(AND(SAP_Leadsheet!$C$9="EMI",AS104&lt;=SAP_Leadsheet!$E$58),AS105*SAP_Leadsheet!$E$59,0)</f>
        <v>0</v>
      </c>
      <c r="AT107" s="263">
        <f>IF(AND(SAP_Leadsheet!$C$9="EMI",AT104&lt;=SAP_Leadsheet!$E$58),AT105*SAP_Leadsheet!$E$59,0)</f>
        <v>0</v>
      </c>
      <c r="AU107" s="263">
        <f>IF(AND(SAP_Leadsheet!$C$9="EMI",AU104&lt;=SAP_Leadsheet!$E$58),AU105*SAP_Leadsheet!$E$59,0)</f>
        <v>0</v>
      </c>
      <c r="AV107" s="263">
        <f>IF(AND(SAP_Leadsheet!$C$9="EMI",AV104&lt;=SAP_Leadsheet!$E$58),AV105*SAP_Leadsheet!$E$59,0)</f>
        <v>0</v>
      </c>
      <c r="AW107" s="263">
        <f>IF(AND(SAP_Leadsheet!$C$9="EMI",AW104&lt;=SAP_Leadsheet!$E$58),AW105*SAP_Leadsheet!$E$59,0)</f>
        <v>0</v>
      </c>
      <c r="AX107" s="263">
        <f>IF(AND(SAP_Leadsheet!$C$9="EMI",AX104&lt;=SAP_Leadsheet!$E$58),AX105*SAP_Leadsheet!$E$59,0)</f>
        <v>0</v>
      </c>
      <c r="AY107" s="263">
        <f>IF(AND(SAP_Leadsheet!$C$9="EMI",AY104&lt;=SAP_Leadsheet!$E$58),AY105*SAP_Leadsheet!$E$59,0)</f>
        <v>0</v>
      </c>
      <c r="AZ107" s="263">
        <f>IF(AND(SAP_Leadsheet!$C$9="EMI",AZ104&lt;=SAP_Leadsheet!$E$58),AZ105*SAP_Leadsheet!$E$59,0)</f>
        <v>0</v>
      </c>
      <c r="BA107" s="263">
        <f>IF(AND(SAP_Leadsheet!$C$9="EMI",BA104&lt;=SAP_Leadsheet!$E$58),BA105*SAP_Leadsheet!$E$59,0)</f>
        <v>0</v>
      </c>
      <c r="BB107" s="263">
        <f>IF(AND(SAP_Leadsheet!$C$9="EMI",BB104&lt;=SAP_Leadsheet!$E$58),BB105*SAP_Leadsheet!$E$59,0)</f>
        <v>0</v>
      </c>
      <c r="BC107" s="263">
        <f>IF(AND(SAP_Leadsheet!$C$9="EMI",BC104&lt;=SAP_Leadsheet!$E$58),BC105*SAP_Leadsheet!$E$59,0)</f>
        <v>0</v>
      </c>
      <c r="BD107" s="263">
        <f>IF(AND(SAP_Leadsheet!$C$9="EMI",BD104&lt;=SAP_Leadsheet!$E$58),BD105*SAP_Leadsheet!$E$59,0)</f>
        <v>0</v>
      </c>
      <c r="BE107" s="263">
        <f>IF(AND(SAP_Leadsheet!$C$9="EMI",BE104&lt;=SAP_Leadsheet!$E$58),BE105*SAP_Leadsheet!$E$59,0)</f>
        <v>0</v>
      </c>
      <c r="BF107" s="263">
        <f>IF(AND(SAP_Leadsheet!$C$9="EMI",BF104&lt;=SAP_Leadsheet!$E$58),BF105*SAP_Leadsheet!$E$59,0)</f>
        <v>0</v>
      </c>
      <c r="BG107" s="263">
        <f>IF(AND(SAP_Leadsheet!$C$9="EMI",BG104&lt;=SAP_Leadsheet!$E$58),BG105*SAP_Leadsheet!$E$59,0)</f>
        <v>0</v>
      </c>
      <c r="BH107" s="263">
        <f>IF(AND(SAP_Leadsheet!$C$9="EMI",BH104&lt;=SAP_Leadsheet!$E$58),BH105*SAP_Leadsheet!$E$59,0)</f>
        <v>0</v>
      </c>
      <c r="BI107" s="263">
        <f>IF(AND(SAP_Leadsheet!$C$9="EMI",BI104&lt;=SAP_Leadsheet!$E$58),BI105*SAP_Leadsheet!$E$59,0)</f>
        <v>0</v>
      </c>
      <c r="BJ107" s="263">
        <f>IF(AND(SAP_Leadsheet!$C$9="EMI",BJ104&lt;=SAP_Leadsheet!$E$58),BJ105*SAP_Leadsheet!$E$59,0)</f>
        <v>0</v>
      </c>
      <c r="BK107" s="263">
        <f>IF(AND(SAP_Leadsheet!$C$9="EMI",BK104&lt;=SAP_Leadsheet!$E$58),BK105*SAP_Leadsheet!$E$59,0)</f>
        <v>0</v>
      </c>
      <c r="BL107" s="263">
        <f>IF(AND(SAP_Leadsheet!$C$9="EMI",BL104&lt;=SAP_Leadsheet!$E$58),BL105*SAP_Leadsheet!$E$59,0)</f>
        <v>0</v>
      </c>
      <c r="BM107" s="263">
        <f>IF(AND(SAP_Leadsheet!$C$9="EMI",BM104&lt;=SAP_Leadsheet!$E$58),BM105*SAP_Leadsheet!$E$59,0)</f>
        <v>0</v>
      </c>
      <c r="BN107" s="263">
        <f>IF(AND(SAP_Leadsheet!$C$9="EMI",BN104&lt;=SAP_Leadsheet!$E$58),BN105*SAP_Leadsheet!$E$59,0)</f>
        <v>0</v>
      </c>
      <c r="BO107" s="263"/>
      <c r="BP107" s="263"/>
      <c r="BQ107" s="263"/>
      <c r="BR107" s="263"/>
      <c r="BS107" s="263"/>
      <c r="BT107" s="263"/>
      <c r="BU107" s="263"/>
      <c r="BV107" s="263"/>
      <c r="BW107" s="263"/>
      <c r="BX107" s="263"/>
      <c r="BY107" s="263"/>
      <c r="BZ107" s="263"/>
      <c r="CA107" s="254"/>
      <c r="CB107" s="254"/>
      <c r="CC107" s="254"/>
      <c r="CD107" s="254"/>
      <c r="CE107" s="254"/>
      <c r="CF107" s="254"/>
      <c r="CG107" s="254"/>
      <c r="CH107" s="254"/>
      <c r="CI107" s="254"/>
      <c r="CJ107" s="254"/>
      <c r="CK107" s="254"/>
      <c r="CL107" s="254"/>
    </row>
    <row r="108" spans="1:90" x14ac:dyDescent="0.15">
      <c r="A108" s="50"/>
      <c r="B108" s="23"/>
      <c r="D108" s="26" t="s">
        <v>352</v>
      </c>
      <c r="G108" s="263">
        <f>-SUM(G109:G168)</f>
        <v>0</v>
      </c>
      <c r="H108" s="263">
        <f t="shared" ref="H108:BN108" si="16">-SUM(H109:H168)</f>
        <v>0</v>
      </c>
      <c r="I108" s="263">
        <f t="shared" si="16"/>
        <v>0</v>
      </c>
      <c r="J108" s="263">
        <f t="shared" si="16"/>
        <v>0</v>
      </c>
      <c r="K108" s="263">
        <f t="shared" si="16"/>
        <v>0</v>
      </c>
      <c r="L108" s="263">
        <f t="shared" si="16"/>
        <v>0</v>
      </c>
      <c r="M108" s="263">
        <f t="shared" si="16"/>
        <v>-0.1</v>
      </c>
      <c r="N108" s="263">
        <f t="shared" si="16"/>
        <v>-0.1</v>
      </c>
      <c r="O108" s="263">
        <f t="shared" si="16"/>
        <v>-0.1</v>
      </c>
      <c r="P108" s="263">
        <f t="shared" si="16"/>
        <v>-0.1</v>
      </c>
      <c r="Q108" s="263">
        <f t="shared" si="16"/>
        <v>-0.1</v>
      </c>
      <c r="R108" s="263">
        <f t="shared" si="16"/>
        <v>-0.1</v>
      </c>
      <c r="S108" s="263">
        <f t="shared" si="16"/>
        <v>-0.1</v>
      </c>
      <c r="T108" s="263">
        <f t="shared" si="16"/>
        <v>0</v>
      </c>
      <c r="U108" s="263">
        <f t="shared" si="16"/>
        <v>0</v>
      </c>
      <c r="V108" s="263">
        <f t="shared" si="16"/>
        <v>-0.1</v>
      </c>
      <c r="W108" s="263">
        <f t="shared" si="16"/>
        <v>-0.1</v>
      </c>
      <c r="X108" s="263">
        <f t="shared" si="16"/>
        <v>-0.1</v>
      </c>
      <c r="Y108" s="263">
        <f t="shared" si="16"/>
        <v>-0.1</v>
      </c>
      <c r="Z108" s="263">
        <f t="shared" si="16"/>
        <v>-0.1</v>
      </c>
      <c r="AA108" s="263">
        <f t="shared" si="16"/>
        <v>-0.1</v>
      </c>
      <c r="AB108" s="263">
        <f t="shared" si="16"/>
        <v>-0.1</v>
      </c>
      <c r="AC108" s="263">
        <f t="shared" si="16"/>
        <v>0</v>
      </c>
      <c r="AD108" s="263">
        <f t="shared" si="16"/>
        <v>0</v>
      </c>
      <c r="AE108" s="263">
        <f t="shared" si="16"/>
        <v>-0.1</v>
      </c>
      <c r="AF108" s="263">
        <f t="shared" si="16"/>
        <v>-0.1</v>
      </c>
      <c r="AG108" s="263">
        <f t="shared" si="16"/>
        <v>-0.1</v>
      </c>
      <c r="AH108" s="263">
        <f t="shared" si="16"/>
        <v>-0.1</v>
      </c>
      <c r="AI108" s="263">
        <f t="shared" si="16"/>
        <v>-0.1</v>
      </c>
      <c r="AJ108" s="263">
        <f t="shared" si="16"/>
        <v>-0.1</v>
      </c>
      <c r="AK108" s="263">
        <f t="shared" si="16"/>
        <v>-0.1</v>
      </c>
      <c r="AL108" s="263">
        <f t="shared" si="16"/>
        <v>0</v>
      </c>
      <c r="AM108" s="263">
        <f t="shared" si="16"/>
        <v>0</v>
      </c>
      <c r="AN108" s="263">
        <f t="shared" si="16"/>
        <v>0</v>
      </c>
      <c r="AO108" s="263">
        <f t="shared" si="16"/>
        <v>0</v>
      </c>
      <c r="AP108" s="263">
        <f t="shared" si="16"/>
        <v>0</v>
      </c>
      <c r="AQ108" s="263">
        <f t="shared" si="16"/>
        <v>0</v>
      </c>
      <c r="AR108" s="263">
        <f t="shared" si="16"/>
        <v>0</v>
      </c>
      <c r="AS108" s="263">
        <f t="shared" si="16"/>
        <v>0</v>
      </c>
      <c r="AT108" s="263">
        <f t="shared" si="16"/>
        <v>0</v>
      </c>
      <c r="AU108" s="263">
        <f t="shared" si="16"/>
        <v>0</v>
      </c>
      <c r="AV108" s="263">
        <f t="shared" si="16"/>
        <v>0</v>
      </c>
      <c r="AW108" s="263">
        <f t="shared" si="16"/>
        <v>0</v>
      </c>
      <c r="AX108" s="263">
        <f t="shared" si="16"/>
        <v>0</v>
      </c>
      <c r="AY108" s="263">
        <f t="shared" si="16"/>
        <v>0</v>
      </c>
      <c r="AZ108" s="263">
        <f t="shared" si="16"/>
        <v>0</v>
      </c>
      <c r="BA108" s="263">
        <f t="shared" si="16"/>
        <v>0</v>
      </c>
      <c r="BB108" s="263">
        <f t="shared" si="16"/>
        <v>0</v>
      </c>
      <c r="BC108" s="263">
        <f t="shared" si="16"/>
        <v>0</v>
      </c>
      <c r="BD108" s="263">
        <f t="shared" si="16"/>
        <v>0</v>
      </c>
      <c r="BE108" s="263">
        <f t="shared" si="16"/>
        <v>0</v>
      </c>
      <c r="BF108" s="263">
        <f t="shared" si="16"/>
        <v>0</v>
      </c>
      <c r="BG108" s="263">
        <f t="shared" si="16"/>
        <v>0</v>
      </c>
      <c r="BH108" s="263">
        <f t="shared" si="16"/>
        <v>0</v>
      </c>
      <c r="BI108" s="263">
        <f t="shared" si="16"/>
        <v>0</v>
      </c>
      <c r="BJ108" s="263">
        <f t="shared" si="16"/>
        <v>0</v>
      </c>
      <c r="BK108" s="263">
        <f t="shared" si="16"/>
        <v>0</v>
      </c>
      <c r="BL108" s="263">
        <f t="shared" si="16"/>
        <v>0</v>
      </c>
      <c r="BM108" s="263">
        <f t="shared" si="16"/>
        <v>0</v>
      </c>
      <c r="BN108" s="263">
        <f t="shared" si="16"/>
        <v>0</v>
      </c>
      <c r="BO108" s="262"/>
      <c r="BP108" s="262"/>
      <c r="BQ108" s="262"/>
      <c r="BR108" s="262"/>
      <c r="BS108" s="262"/>
      <c r="BT108" s="262"/>
      <c r="BU108" s="262"/>
      <c r="BV108" s="262"/>
      <c r="BW108" s="262"/>
      <c r="BX108" s="262"/>
      <c r="BY108" s="262"/>
      <c r="BZ108" s="262"/>
      <c r="CA108" s="254"/>
      <c r="CB108" s="254"/>
      <c r="CC108" s="254"/>
      <c r="CD108" s="254"/>
      <c r="CE108" s="254"/>
      <c r="CF108" s="254"/>
      <c r="CG108" s="254"/>
      <c r="CH108" s="254"/>
      <c r="CI108" s="254"/>
      <c r="CJ108" s="254"/>
      <c r="CK108" s="254"/>
      <c r="CL108" s="254"/>
    </row>
    <row r="109" spans="1:90" outlineLevel="1" x14ac:dyDescent="0.15">
      <c r="A109" s="50"/>
      <c r="B109" s="23"/>
      <c r="C109" s="26" cm="1">
        <f t="array" ref="C109:C168">TRANSPOSE(G7:BN7)</f>
        <v>1</v>
      </c>
      <c r="D109" s="281" cm="1">
        <f t="array" ref="D109:D168">TRANSPOSE(G107:BN107)</f>
        <v>0</v>
      </c>
      <c r="E109" s="26">
        <f>SAP_Leadsheet!$E$61</f>
        <v>7</v>
      </c>
      <c r="G109" s="263">
        <f>IF($C109+1&gt;G$7,0,IF($D109&gt;SUM(#REF!),$D109/$E109,0))</f>
        <v>0</v>
      </c>
      <c r="H109" s="263">
        <f>IF($C109+1&gt;H$7,0,IF($D109&gt;SUM($G109:G109),$D109/$E109,0))</f>
        <v>0</v>
      </c>
      <c r="I109" s="263">
        <f>IF($C109+1&gt;I$7,0,IF($D109&gt;SUM($G109:H109),$D109/$E109,0))</f>
        <v>0</v>
      </c>
      <c r="J109" s="263">
        <f>IF($C109+1&gt;J$7,0,IF($D109&gt;SUM($G109:I109),$D109/$E109,0))</f>
        <v>0</v>
      </c>
      <c r="K109" s="263">
        <f>IF($C109+1&gt;K$7,0,IF($D109&gt;SUM($G109:J109),$D109/$E109,0))</f>
        <v>0</v>
      </c>
      <c r="L109" s="263">
        <f>IF($C109+1&gt;L$7,0,IF($D109&gt;SUM($G109:K109),$D109/$E109,0))</f>
        <v>0</v>
      </c>
      <c r="M109" s="263">
        <f>IF($C109+1&gt;M$7,0,IF($D109&gt;SUM($G109:L109),$D109/$E109,0))</f>
        <v>0</v>
      </c>
      <c r="N109" s="263">
        <f>IF($C109+1&gt;N$7,0,IF($D109&gt;SUM($G109:M109),$D109/$E109,0))</f>
        <v>0</v>
      </c>
      <c r="O109" s="263">
        <f>IF($C109+1&gt;O$7,0,IF($D109&gt;SUM($G109:N109),$D109/$E109,0))</f>
        <v>0</v>
      </c>
      <c r="P109" s="263">
        <f>IF($C109+1&gt;P$7,0,IF($D109&gt;SUM($G109:O109),$D109/$E109,0))</f>
        <v>0</v>
      </c>
      <c r="Q109" s="263">
        <f>IF($C109+1&gt;Q$7,0,IF($D109&gt;SUM($G109:P109),$D109/$E109,0))</f>
        <v>0</v>
      </c>
      <c r="R109" s="263">
        <f>IF($C109+1&gt;R$7,0,IF($D109&gt;SUM($G109:Q109),$D109/$E109,0))</f>
        <v>0</v>
      </c>
      <c r="S109" s="263">
        <f>IF($C109+1&gt;S$7,0,IF($D109&gt;SUM($G109:R109),$D109/$E109,0))</f>
        <v>0</v>
      </c>
      <c r="T109" s="263">
        <f>IF($C109+1&gt;T$7,0,IF($D109&gt;SUM($G109:S109),$D109/$E109,0))</f>
        <v>0</v>
      </c>
      <c r="U109" s="263">
        <f>IF($C109+1&gt;U$7,0,IF($D109&gt;SUM($G109:T109),$D109/$E109,0))</f>
        <v>0</v>
      </c>
      <c r="V109" s="263">
        <f>IF($C109+1&gt;V$7,0,IF($D109&gt;SUM($G109:U109),$D109/$E109,0))</f>
        <v>0</v>
      </c>
      <c r="W109" s="263">
        <f>IF($C109+1&gt;W$7,0,IF($D109&gt;SUM($G109:V109),$D109/$E109,0))</f>
        <v>0</v>
      </c>
      <c r="X109" s="263">
        <f>IF($C109+1&gt;X$7,0,IF($D109&gt;SUM($G109:W109),$D109/$E109,0))</f>
        <v>0</v>
      </c>
      <c r="Y109" s="263">
        <f>IF($C109+1&gt;Y$7,0,IF($D109&gt;SUM($G109:X109),$D109/$E109,0))</f>
        <v>0</v>
      </c>
      <c r="Z109" s="263">
        <f>IF($C109+1&gt;Z$7,0,IF($D109&gt;SUM($G109:Y109),$D109/$E109,0))</f>
        <v>0</v>
      </c>
      <c r="AA109" s="263">
        <f>IF($C109+1&gt;AA$7,0,IF($D109&gt;SUM($G109:Z109),$D109/$E109,0))</f>
        <v>0</v>
      </c>
      <c r="AB109" s="263">
        <f>IF($C109+1&gt;AB$7,0,IF($D109&gt;SUM($G109:AA109),$D109/$E109,0))</f>
        <v>0</v>
      </c>
      <c r="AC109" s="263">
        <f>IF($C109+1&gt;AC$7,0,IF($D109&gt;SUM($G109:AB109),$D109/$E109,0))</f>
        <v>0</v>
      </c>
      <c r="AD109" s="263">
        <f>IF($C109+1&gt;AD$7,0,IF($D109&gt;SUM($G109:AC109),$D109/$E109,0))</f>
        <v>0</v>
      </c>
      <c r="AE109" s="263">
        <f>IF($C109+1&gt;AE$7,0,IF($D109&gt;SUM($G109:AD109),$D109/$E109,0))</f>
        <v>0</v>
      </c>
      <c r="AF109" s="263">
        <f>IF($C109+1&gt;AF$7,0,IF($D109&gt;SUM($G109:AE109),$D109/$E109,0))</f>
        <v>0</v>
      </c>
      <c r="AG109" s="263">
        <f>IF($C109+1&gt;AG$7,0,IF($D109&gt;SUM($G109:AF109),$D109/$E109,0))</f>
        <v>0</v>
      </c>
      <c r="AH109" s="263">
        <f>IF($C109+1&gt;AH$7,0,IF($D109&gt;SUM($G109:AG109),$D109/$E109,0))</f>
        <v>0</v>
      </c>
      <c r="AI109" s="263">
        <f>IF($C109+1&gt;AI$7,0,IF($D109&gt;SUM($G109:AH109),$D109/$E109,0))</f>
        <v>0</v>
      </c>
      <c r="AJ109" s="263">
        <f>IF($C109+1&gt;AJ$7,0,IF($D109&gt;SUM($G109:AI109),$D109/$E109,0))</f>
        <v>0</v>
      </c>
      <c r="AK109" s="263">
        <f>IF($C109+1&gt;AK$7,0,IF($D109&gt;SUM($G109:AJ109),$D109/$E109,0))</f>
        <v>0</v>
      </c>
      <c r="AL109" s="263">
        <f>IF($C109+1&gt;AL$7,0,IF($D109&gt;SUM($G109:AK109),$D109/$E109,0))</f>
        <v>0</v>
      </c>
      <c r="AM109" s="263">
        <f>IF($C109+1&gt;AM$7,0,IF($D109&gt;SUM($G109:AL109),$D109/$E109,0))</f>
        <v>0</v>
      </c>
      <c r="AN109" s="263">
        <f>IF($C109+1&gt;AN$7,0,IF($D109&gt;SUM($G109:AM109),$D109/$E109,0))</f>
        <v>0</v>
      </c>
      <c r="AO109" s="263">
        <f>IF($C109+1&gt;AO$7,0,IF($D109&gt;SUM($G109:AN109),$D109/$E109,0))</f>
        <v>0</v>
      </c>
      <c r="AP109" s="263">
        <f>IF($C109+1&gt;AP$7,0,IF($D109&gt;SUM($G109:AO109),$D109/$E109,0))</f>
        <v>0</v>
      </c>
      <c r="AQ109" s="263">
        <f>IF($C109+1&gt;AQ$7,0,IF($D109&gt;SUM($G109:AP109),$D109/$E109,0))</f>
        <v>0</v>
      </c>
      <c r="AR109" s="263">
        <f>IF($C109+1&gt;AR$7,0,IF($D109&gt;SUM($G109:AQ109),$D109/$E109,0))</f>
        <v>0</v>
      </c>
      <c r="AS109" s="263">
        <f>IF($C109+1&gt;AS$7,0,IF($D109&gt;SUM($G109:AR109),$D109/$E109,0))</f>
        <v>0</v>
      </c>
      <c r="AT109" s="263">
        <f>IF($C109+1&gt;AT$7,0,IF($D109&gt;SUM($G109:AS109),$D109/$E109,0))</f>
        <v>0</v>
      </c>
      <c r="AU109" s="263">
        <f>IF($C109+1&gt;AU$7,0,IF($D109&gt;SUM($G109:AT109),$D109/$E109,0))</f>
        <v>0</v>
      </c>
      <c r="AV109" s="263">
        <f>IF($C109+1&gt;AV$7,0,IF($D109&gt;SUM($G109:AU109),$D109/$E109,0))</f>
        <v>0</v>
      </c>
      <c r="AW109" s="263">
        <f>IF($C109+1&gt;AW$7,0,IF($D109&gt;SUM($G109:AV109),$D109/$E109,0))</f>
        <v>0</v>
      </c>
      <c r="AX109" s="263">
        <f>IF($C109+1&gt;AX$7,0,IF($D109&gt;SUM($G109:AW109),$D109/$E109,0))</f>
        <v>0</v>
      </c>
      <c r="AY109" s="263">
        <f>IF($C109+1&gt;AY$7,0,IF($D109&gt;SUM($G109:AX109),$D109/$E109,0))</f>
        <v>0</v>
      </c>
      <c r="AZ109" s="263">
        <f>IF($C109+1&gt;AZ$7,0,IF($D109&gt;SUM($G109:AY109),$D109/$E109,0))</f>
        <v>0</v>
      </c>
      <c r="BA109" s="263">
        <f>IF($C109+1&gt;BA$7,0,IF($D109&gt;SUM($G109:AZ109),$D109/$E109,0))</f>
        <v>0</v>
      </c>
      <c r="BB109" s="263">
        <f>IF($C109+1&gt;BB$7,0,IF($D109&gt;SUM($G109:BA109),$D109/$E109,0))</f>
        <v>0</v>
      </c>
      <c r="BC109" s="263">
        <f>IF($C109+1&gt;BC$7,0,IF($D109&gt;SUM($G109:BB109),$D109/$E109,0))</f>
        <v>0</v>
      </c>
      <c r="BD109" s="263">
        <f>IF($C109+1&gt;BD$7,0,IF($D109&gt;SUM($G109:BC109),$D109/$E109,0))</f>
        <v>0</v>
      </c>
      <c r="BE109" s="263">
        <f>IF($C109+1&gt;BE$7,0,IF($D109&gt;SUM($G109:BD109),$D109/$E109,0))</f>
        <v>0</v>
      </c>
      <c r="BF109" s="263">
        <f>IF($C109+1&gt;BF$7,0,IF($D109&gt;SUM($G109:BE109),$D109/$E109,0))</f>
        <v>0</v>
      </c>
      <c r="BG109" s="263">
        <f>IF($C109+1&gt;BG$7,0,IF($D109&gt;SUM($G109:BF109),$D109/$E109,0))</f>
        <v>0</v>
      </c>
      <c r="BH109" s="263">
        <f>IF($C109+1&gt;BH$7,0,IF($D109&gt;SUM($G109:BG109),$D109/$E109,0))</f>
        <v>0</v>
      </c>
      <c r="BI109" s="263">
        <f>IF($C109+1&gt;BI$7,0,IF($D109&gt;SUM($G109:BH109),$D109/$E109,0))</f>
        <v>0</v>
      </c>
      <c r="BJ109" s="263">
        <f>IF($C109+1&gt;BJ$7,0,IF($D109&gt;SUM($G109:BI109),$D109/$E109,0))</f>
        <v>0</v>
      </c>
      <c r="BK109" s="263">
        <f>IF($C109+1&gt;BK$7,0,IF($D109&gt;SUM($G109:BJ109),$D109/$E109,0))</f>
        <v>0</v>
      </c>
      <c r="BL109" s="263">
        <f>IF($C109+1&gt;BL$7,0,IF($D109&gt;SUM($G109:BK109),$D109/$E109,0))</f>
        <v>0</v>
      </c>
      <c r="BM109" s="263">
        <f>IF($C109+1&gt;BM$7,0,IF($D109&gt;SUM($G109:BL109),$D109/$E109,0))</f>
        <v>0</v>
      </c>
      <c r="BN109" s="263">
        <f>IF($C109+1&gt;BN$7,0,IF($D109&gt;SUM($G109:BM109),$D109/$E109,0))</f>
        <v>0</v>
      </c>
      <c r="BO109" s="263"/>
      <c r="BP109" s="263"/>
      <c r="BQ109" s="263"/>
      <c r="BR109" s="263"/>
      <c r="BS109" s="263"/>
      <c r="BT109" s="263"/>
      <c r="BU109" s="263"/>
      <c r="BV109" s="263"/>
      <c r="BW109" s="263"/>
      <c r="BX109" s="263"/>
      <c r="BY109" s="263"/>
      <c r="BZ109" s="263"/>
      <c r="CA109" s="254"/>
      <c r="CB109" s="254"/>
      <c r="CC109" s="254"/>
      <c r="CD109" s="254"/>
      <c r="CE109" s="254"/>
      <c r="CF109" s="254"/>
      <c r="CG109" s="254"/>
      <c r="CH109" s="254"/>
      <c r="CI109" s="254"/>
      <c r="CJ109" s="254"/>
      <c r="CK109" s="254"/>
      <c r="CL109" s="254"/>
    </row>
    <row r="110" spans="1:90" outlineLevel="1" x14ac:dyDescent="0.15">
      <c r="A110" s="50"/>
      <c r="B110" s="23"/>
      <c r="C110" s="26">
        <v>2</v>
      </c>
      <c r="D110" s="281">
        <v>0</v>
      </c>
      <c r="E110" s="26">
        <f>SAP_Leadsheet!$E$61</f>
        <v>7</v>
      </c>
      <c r="G110" s="263">
        <f>IF($C110+1&gt;G$7,0,IF($D110&gt;SUM(#REF!),$D110/$E110,0))</f>
        <v>0</v>
      </c>
      <c r="H110" s="263">
        <f>IF($C110+1&gt;H$7,0,IF($D110&gt;SUM($G110:G110),$D110/$E110,0))</f>
        <v>0</v>
      </c>
      <c r="I110" s="263">
        <f>IF($C110+1&gt;I$7,0,IF($D110&gt;SUM($G110:H110),$D110/$E110,0))</f>
        <v>0</v>
      </c>
      <c r="J110" s="263">
        <f>IF($C110+1&gt;J$7,0,IF($D110&gt;SUM($G110:I110),$D110/$E110,0))</f>
        <v>0</v>
      </c>
      <c r="K110" s="263">
        <f>IF($C110+1&gt;K$7,0,IF($D110&gt;SUM($G110:J110),$D110/$E110,0))</f>
        <v>0</v>
      </c>
      <c r="L110" s="263">
        <f>IF($C110+1&gt;L$7,0,IF($D110&gt;SUM($G110:K110),$D110/$E110,0))</f>
        <v>0</v>
      </c>
      <c r="M110" s="263">
        <f>IF($C110+1&gt;M$7,0,IF($D110&gt;SUM($G110:L110),$D110/$E110,0))</f>
        <v>0</v>
      </c>
      <c r="N110" s="263">
        <f>IF($C110+1&gt;N$7,0,IF($D110&gt;SUM($G110:M110),$D110/$E110,0))</f>
        <v>0</v>
      </c>
      <c r="O110" s="263">
        <f>IF($C110+1&gt;O$7,0,IF($D110&gt;SUM($G110:N110),$D110/$E110,0))</f>
        <v>0</v>
      </c>
      <c r="P110" s="263">
        <f>IF($C110+1&gt;P$7,0,IF($D110&gt;SUM($G110:O110),$D110/$E110,0))</f>
        <v>0</v>
      </c>
      <c r="Q110" s="263">
        <f>IF($C110+1&gt;Q$7,0,IF($D110&gt;SUM($G110:P110),$D110/$E110,0))</f>
        <v>0</v>
      </c>
      <c r="R110" s="263">
        <f>IF($C110+1&gt;R$7,0,IF($D110&gt;SUM($G110:Q110),$D110/$E110,0))</f>
        <v>0</v>
      </c>
      <c r="S110" s="263">
        <f>IF($C110+1&gt;S$7,0,IF($D110&gt;SUM($G110:R110),$D110/$E110,0))</f>
        <v>0</v>
      </c>
      <c r="T110" s="263">
        <f>IF($C110+1&gt;T$7,0,IF($D110&gt;SUM($G110:S110),$D110/$E110,0))</f>
        <v>0</v>
      </c>
      <c r="U110" s="263">
        <f>IF($C110+1&gt;U$7,0,IF($D110&gt;SUM($G110:T110),$D110/$E110,0))</f>
        <v>0</v>
      </c>
      <c r="V110" s="263">
        <f>IF($C110+1&gt;V$7,0,IF($D110&gt;SUM($G110:U110),$D110/$E110,0))</f>
        <v>0</v>
      </c>
      <c r="W110" s="263">
        <f>IF($C110+1&gt;W$7,0,IF($D110&gt;SUM($G110:V110),$D110/$E110,0))</f>
        <v>0</v>
      </c>
      <c r="X110" s="263">
        <f>IF($C110+1&gt;X$7,0,IF($D110&gt;SUM($G110:W110),$D110/$E110,0))</f>
        <v>0</v>
      </c>
      <c r="Y110" s="263">
        <f>IF($C110+1&gt;Y$7,0,IF($D110&gt;SUM($G110:X110),$D110/$E110,0))</f>
        <v>0</v>
      </c>
      <c r="Z110" s="263">
        <f>IF($C110+1&gt;Z$7,0,IF($D110&gt;SUM($G110:Y110),$D110/$E110,0))</f>
        <v>0</v>
      </c>
      <c r="AA110" s="263">
        <f>IF($C110+1&gt;AA$7,0,IF($D110&gt;SUM($G110:Z110),$D110/$E110,0))</f>
        <v>0</v>
      </c>
      <c r="AB110" s="263">
        <f>IF($C110+1&gt;AB$7,0,IF($D110&gt;SUM($G110:AA110),$D110/$E110,0))</f>
        <v>0</v>
      </c>
      <c r="AC110" s="263">
        <f>IF($C110+1&gt;AC$7,0,IF($D110&gt;SUM($G110:AB110),$D110/$E110,0))</f>
        <v>0</v>
      </c>
      <c r="AD110" s="263">
        <f>IF($C110+1&gt;AD$7,0,IF($D110&gt;SUM($G110:AC110),$D110/$E110,0))</f>
        <v>0</v>
      </c>
      <c r="AE110" s="263">
        <f>IF($C110+1&gt;AE$7,0,IF($D110&gt;SUM($G110:AD110),$D110/$E110,0))</f>
        <v>0</v>
      </c>
      <c r="AF110" s="263">
        <f>IF($C110+1&gt;AF$7,0,IF($D110&gt;SUM($G110:AE110),$D110/$E110,0))</f>
        <v>0</v>
      </c>
      <c r="AG110" s="263">
        <f>IF($C110+1&gt;AG$7,0,IF($D110&gt;SUM($G110:AF110),$D110/$E110,0))</f>
        <v>0</v>
      </c>
      <c r="AH110" s="263">
        <f>IF($C110+1&gt;AH$7,0,IF($D110&gt;SUM($G110:AG110),$D110/$E110,0))</f>
        <v>0</v>
      </c>
      <c r="AI110" s="263">
        <f>IF($C110+1&gt;AI$7,0,IF($D110&gt;SUM($G110:AH110),$D110/$E110,0))</f>
        <v>0</v>
      </c>
      <c r="AJ110" s="263">
        <f>IF($C110+1&gt;AJ$7,0,IF($D110&gt;SUM($G110:AI110),$D110/$E110,0))</f>
        <v>0</v>
      </c>
      <c r="AK110" s="263">
        <f>IF($C110+1&gt;AK$7,0,IF($D110&gt;SUM($G110:AJ110),$D110/$E110,0))</f>
        <v>0</v>
      </c>
      <c r="AL110" s="263">
        <f>IF($C110+1&gt;AL$7,0,IF($D110&gt;SUM($G110:AK110),$D110/$E110,0))</f>
        <v>0</v>
      </c>
      <c r="AM110" s="263">
        <f>IF($C110+1&gt;AM$7,0,IF($D110&gt;SUM($G110:AL110),$D110/$E110,0))</f>
        <v>0</v>
      </c>
      <c r="AN110" s="263">
        <f>IF($C110+1&gt;AN$7,0,IF($D110&gt;SUM($G110:AM110),$D110/$E110,0))</f>
        <v>0</v>
      </c>
      <c r="AO110" s="263">
        <f>IF($C110+1&gt;AO$7,0,IF($D110&gt;SUM($G110:AN110),$D110/$E110,0))</f>
        <v>0</v>
      </c>
      <c r="AP110" s="263">
        <f>IF($C110+1&gt;AP$7,0,IF($D110&gt;SUM($G110:AO110),$D110/$E110,0))</f>
        <v>0</v>
      </c>
      <c r="AQ110" s="263">
        <f>IF($C110+1&gt;AQ$7,0,IF($D110&gt;SUM($G110:AP110),$D110/$E110,0))</f>
        <v>0</v>
      </c>
      <c r="AR110" s="263">
        <f>IF($C110+1&gt;AR$7,0,IF($D110&gt;SUM($G110:AQ110),$D110/$E110,0))</f>
        <v>0</v>
      </c>
      <c r="AS110" s="263">
        <f>IF($C110+1&gt;AS$7,0,IF($D110&gt;SUM($G110:AR110),$D110/$E110,0))</f>
        <v>0</v>
      </c>
      <c r="AT110" s="263">
        <f>IF($C110+1&gt;AT$7,0,IF($D110&gt;SUM($G110:AS110),$D110/$E110,0))</f>
        <v>0</v>
      </c>
      <c r="AU110" s="263">
        <f>IF($C110+1&gt;AU$7,0,IF($D110&gt;SUM($G110:AT110),$D110/$E110,0))</f>
        <v>0</v>
      </c>
      <c r="AV110" s="263">
        <f>IF($C110+1&gt;AV$7,0,IF($D110&gt;SUM($G110:AU110),$D110/$E110,0))</f>
        <v>0</v>
      </c>
      <c r="AW110" s="263">
        <f>IF($C110+1&gt;AW$7,0,IF($D110&gt;SUM($G110:AV110),$D110/$E110,0))</f>
        <v>0</v>
      </c>
      <c r="AX110" s="263">
        <f>IF($C110+1&gt;AX$7,0,IF($D110&gt;SUM($G110:AW110),$D110/$E110,0))</f>
        <v>0</v>
      </c>
      <c r="AY110" s="263">
        <f>IF($C110+1&gt;AY$7,0,IF($D110&gt;SUM($G110:AX110),$D110/$E110,0))</f>
        <v>0</v>
      </c>
      <c r="AZ110" s="263">
        <f>IF($C110+1&gt;AZ$7,0,IF($D110&gt;SUM($G110:AY110),$D110/$E110,0))</f>
        <v>0</v>
      </c>
      <c r="BA110" s="263">
        <f>IF($C110+1&gt;BA$7,0,IF($D110&gt;SUM($G110:AZ110),$D110/$E110,0))</f>
        <v>0</v>
      </c>
      <c r="BB110" s="263">
        <f>IF($C110+1&gt;BB$7,0,IF($D110&gt;SUM($G110:BA110),$D110/$E110,0))</f>
        <v>0</v>
      </c>
      <c r="BC110" s="263">
        <f>IF($C110+1&gt;BC$7,0,IF($D110&gt;SUM($G110:BB110),$D110/$E110,0))</f>
        <v>0</v>
      </c>
      <c r="BD110" s="263">
        <f>IF($C110+1&gt;BD$7,0,IF($D110&gt;SUM($G110:BC110),$D110/$E110,0))</f>
        <v>0</v>
      </c>
      <c r="BE110" s="263">
        <f>IF($C110+1&gt;BE$7,0,IF($D110&gt;SUM($G110:BD110),$D110/$E110,0))</f>
        <v>0</v>
      </c>
      <c r="BF110" s="263">
        <f>IF($C110+1&gt;BF$7,0,IF($D110&gt;SUM($G110:BE110),$D110/$E110,0))</f>
        <v>0</v>
      </c>
      <c r="BG110" s="263">
        <f>IF($C110+1&gt;BG$7,0,IF($D110&gt;SUM($G110:BF110),$D110/$E110,0))</f>
        <v>0</v>
      </c>
      <c r="BH110" s="263">
        <f>IF($C110+1&gt;BH$7,0,IF($D110&gt;SUM($G110:BG110),$D110/$E110,0))</f>
        <v>0</v>
      </c>
      <c r="BI110" s="263">
        <f>IF($C110+1&gt;BI$7,0,IF($D110&gt;SUM($G110:BH110),$D110/$E110,0))</f>
        <v>0</v>
      </c>
      <c r="BJ110" s="263">
        <f>IF($C110+1&gt;BJ$7,0,IF($D110&gt;SUM($G110:BI110),$D110/$E110,0))</f>
        <v>0</v>
      </c>
      <c r="BK110" s="263">
        <f>IF($C110+1&gt;BK$7,0,IF($D110&gt;SUM($G110:BJ110),$D110/$E110,0))</f>
        <v>0</v>
      </c>
      <c r="BL110" s="263">
        <f>IF($C110+1&gt;BL$7,0,IF($D110&gt;SUM($G110:BK110),$D110/$E110,0))</f>
        <v>0</v>
      </c>
      <c r="BM110" s="263">
        <f>IF($C110+1&gt;BM$7,0,IF($D110&gt;SUM($G110:BL110),$D110/$E110,0))</f>
        <v>0</v>
      </c>
      <c r="BN110" s="263">
        <f>IF($C110+1&gt;BN$7,0,IF($D110&gt;SUM($G110:BM110),$D110/$E110,0))</f>
        <v>0</v>
      </c>
      <c r="BO110" s="263"/>
      <c r="BP110" s="263"/>
      <c r="BQ110" s="263"/>
      <c r="BR110" s="263"/>
      <c r="BS110" s="263"/>
      <c r="BT110" s="263"/>
      <c r="BU110" s="263"/>
      <c r="BV110" s="263"/>
      <c r="BW110" s="263"/>
      <c r="BX110" s="263"/>
      <c r="BY110" s="263"/>
      <c r="BZ110" s="263"/>
      <c r="CA110" s="254"/>
      <c r="CB110" s="254"/>
      <c r="CC110" s="254"/>
      <c r="CD110" s="254"/>
      <c r="CE110" s="254"/>
      <c r="CF110" s="254"/>
      <c r="CG110" s="254"/>
      <c r="CH110" s="254"/>
      <c r="CI110" s="254"/>
      <c r="CJ110" s="254"/>
      <c r="CK110" s="254"/>
      <c r="CL110" s="254"/>
    </row>
    <row r="111" spans="1:90" outlineLevel="1" x14ac:dyDescent="0.15">
      <c r="A111" s="50"/>
      <c r="B111" s="23"/>
      <c r="C111" s="26">
        <v>3</v>
      </c>
      <c r="D111" s="281">
        <v>0</v>
      </c>
      <c r="E111" s="26">
        <f>SAP_Leadsheet!$E$61</f>
        <v>7</v>
      </c>
      <c r="G111" s="263">
        <f>IF($C111+1&gt;G$7,0,IF($D111&gt;SUM(#REF!),$D111/$E111,0))</f>
        <v>0</v>
      </c>
      <c r="H111" s="263">
        <f>IF($C111+1&gt;H$7,0,IF($D111&gt;SUM($G111:G111),$D111/$E111,0))</f>
        <v>0</v>
      </c>
      <c r="I111" s="263">
        <f>IF($C111+1&gt;I$7,0,IF($D111&gt;SUM($G111:H111),$D111/$E111,0))</f>
        <v>0</v>
      </c>
      <c r="J111" s="263">
        <f>IF($C111+1&gt;J$7,0,IF($D111&gt;SUM($G111:I111),$D111/$E111,0))</f>
        <v>0</v>
      </c>
      <c r="K111" s="263">
        <f>IF($C111+1&gt;K$7,0,IF($D111&gt;SUM($G111:J111),$D111/$E111,0))</f>
        <v>0</v>
      </c>
      <c r="L111" s="263">
        <f>IF($C111+1&gt;L$7,0,IF($D111&gt;SUM($G111:K111),$D111/$E111,0))</f>
        <v>0</v>
      </c>
      <c r="M111" s="263">
        <f>IF($C111+1&gt;M$7,0,IF($D111&gt;SUM($G111:L111),$D111/$E111,0))</f>
        <v>0</v>
      </c>
      <c r="N111" s="263">
        <f>IF($C111+1&gt;N$7,0,IF($D111&gt;SUM($G111:M111),$D111/$E111,0))</f>
        <v>0</v>
      </c>
      <c r="O111" s="263">
        <f>IF($C111+1&gt;O$7,0,IF($D111&gt;SUM($G111:N111),$D111/$E111,0))</f>
        <v>0</v>
      </c>
      <c r="P111" s="263">
        <f>IF($C111+1&gt;P$7,0,IF($D111&gt;SUM($G111:O111),$D111/$E111,0))</f>
        <v>0</v>
      </c>
      <c r="Q111" s="263">
        <f>IF($C111+1&gt;Q$7,0,IF($D111&gt;SUM($G111:P111),$D111/$E111,0))</f>
        <v>0</v>
      </c>
      <c r="R111" s="263">
        <f>IF($C111+1&gt;R$7,0,IF($D111&gt;SUM($G111:Q111),$D111/$E111,0))</f>
        <v>0</v>
      </c>
      <c r="S111" s="263">
        <f>IF($C111+1&gt;S$7,0,IF($D111&gt;SUM($G111:R111),$D111/$E111,0))</f>
        <v>0</v>
      </c>
      <c r="T111" s="263">
        <f>IF($C111+1&gt;T$7,0,IF($D111&gt;SUM($G111:S111),$D111/$E111,0))</f>
        <v>0</v>
      </c>
      <c r="U111" s="263">
        <f>IF($C111+1&gt;U$7,0,IF($D111&gt;SUM($G111:T111),$D111/$E111,0))</f>
        <v>0</v>
      </c>
      <c r="V111" s="263">
        <f>IF($C111+1&gt;V$7,0,IF($D111&gt;SUM($G111:U111),$D111/$E111,0))</f>
        <v>0</v>
      </c>
      <c r="W111" s="263">
        <f>IF($C111+1&gt;W$7,0,IF($D111&gt;SUM($G111:V111),$D111/$E111,0))</f>
        <v>0</v>
      </c>
      <c r="X111" s="263">
        <f>IF($C111+1&gt;X$7,0,IF($D111&gt;SUM($G111:W111),$D111/$E111,0))</f>
        <v>0</v>
      </c>
      <c r="Y111" s="263">
        <f>IF($C111+1&gt;Y$7,0,IF($D111&gt;SUM($G111:X111),$D111/$E111,0))</f>
        <v>0</v>
      </c>
      <c r="Z111" s="263">
        <f>IF($C111+1&gt;Z$7,0,IF($D111&gt;SUM($G111:Y111),$D111/$E111,0))</f>
        <v>0</v>
      </c>
      <c r="AA111" s="263">
        <f>IF($C111+1&gt;AA$7,0,IF($D111&gt;SUM($G111:Z111),$D111/$E111,0))</f>
        <v>0</v>
      </c>
      <c r="AB111" s="263">
        <f>IF($C111+1&gt;AB$7,0,IF($D111&gt;SUM($G111:AA111),$D111/$E111,0))</f>
        <v>0</v>
      </c>
      <c r="AC111" s="263">
        <f>IF($C111+1&gt;AC$7,0,IF($D111&gt;SUM($G111:AB111),$D111/$E111,0))</f>
        <v>0</v>
      </c>
      <c r="AD111" s="263">
        <f>IF($C111+1&gt;AD$7,0,IF($D111&gt;SUM($G111:AC111),$D111/$E111,0))</f>
        <v>0</v>
      </c>
      <c r="AE111" s="263">
        <f>IF($C111+1&gt;AE$7,0,IF($D111&gt;SUM($G111:AD111),$D111/$E111,0))</f>
        <v>0</v>
      </c>
      <c r="AF111" s="263">
        <f>IF($C111+1&gt;AF$7,0,IF($D111&gt;SUM($G111:AE111),$D111/$E111,0))</f>
        <v>0</v>
      </c>
      <c r="AG111" s="263">
        <f>IF($C111+1&gt;AG$7,0,IF($D111&gt;SUM($G111:AF111),$D111/$E111,0))</f>
        <v>0</v>
      </c>
      <c r="AH111" s="263">
        <f>IF($C111+1&gt;AH$7,0,IF($D111&gt;SUM($G111:AG111),$D111/$E111,0))</f>
        <v>0</v>
      </c>
      <c r="AI111" s="263">
        <f>IF($C111+1&gt;AI$7,0,IF($D111&gt;SUM($G111:AH111),$D111/$E111,0))</f>
        <v>0</v>
      </c>
      <c r="AJ111" s="263">
        <f>IF($C111+1&gt;AJ$7,0,IF($D111&gt;SUM($G111:AI111),$D111/$E111,0))</f>
        <v>0</v>
      </c>
      <c r="AK111" s="263">
        <f>IF($C111+1&gt;AK$7,0,IF($D111&gt;SUM($G111:AJ111),$D111/$E111,0))</f>
        <v>0</v>
      </c>
      <c r="AL111" s="263">
        <f>IF($C111+1&gt;AL$7,0,IF($D111&gt;SUM($G111:AK111),$D111/$E111,0))</f>
        <v>0</v>
      </c>
      <c r="AM111" s="263">
        <f>IF($C111+1&gt;AM$7,0,IF($D111&gt;SUM($G111:AL111),$D111/$E111,0))</f>
        <v>0</v>
      </c>
      <c r="AN111" s="263">
        <f>IF($C111+1&gt;AN$7,0,IF($D111&gt;SUM($G111:AM111),$D111/$E111,0))</f>
        <v>0</v>
      </c>
      <c r="AO111" s="263">
        <f>IF($C111+1&gt;AO$7,0,IF($D111&gt;SUM($G111:AN111),$D111/$E111,0))</f>
        <v>0</v>
      </c>
      <c r="AP111" s="263">
        <f>IF($C111+1&gt;AP$7,0,IF($D111&gt;SUM($G111:AO111),$D111/$E111,0))</f>
        <v>0</v>
      </c>
      <c r="AQ111" s="263">
        <f>IF($C111+1&gt;AQ$7,0,IF($D111&gt;SUM($G111:AP111),$D111/$E111,0))</f>
        <v>0</v>
      </c>
      <c r="AR111" s="263">
        <f>IF($C111+1&gt;AR$7,0,IF($D111&gt;SUM($G111:AQ111),$D111/$E111,0))</f>
        <v>0</v>
      </c>
      <c r="AS111" s="263">
        <f>IF($C111+1&gt;AS$7,0,IF($D111&gt;SUM($G111:AR111),$D111/$E111,0))</f>
        <v>0</v>
      </c>
      <c r="AT111" s="263">
        <f>IF($C111+1&gt;AT$7,0,IF($D111&gt;SUM($G111:AS111),$D111/$E111,0))</f>
        <v>0</v>
      </c>
      <c r="AU111" s="263">
        <f>IF($C111+1&gt;AU$7,0,IF($D111&gt;SUM($G111:AT111),$D111/$E111,0))</f>
        <v>0</v>
      </c>
      <c r="AV111" s="263">
        <f>IF($C111+1&gt;AV$7,0,IF($D111&gt;SUM($G111:AU111),$D111/$E111,0))</f>
        <v>0</v>
      </c>
      <c r="AW111" s="263">
        <f>IF($C111+1&gt;AW$7,0,IF($D111&gt;SUM($G111:AV111),$D111/$E111,0))</f>
        <v>0</v>
      </c>
      <c r="AX111" s="263">
        <f>IF($C111+1&gt;AX$7,0,IF($D111&gt;SUM($G111:AW111),$D111/$E111,0))</f>
        <v>0</v>
      </c>
      <c r="AY111" s="263">
        <f>IF($C111+1&gt;AY$7,0,IF($D111&gt;SUM($G111:AX111),$D111/$E111,0))</f>
        <v>0</v>
      </c>
      <c r="AZ111" s="263">
        <f>IF($C111+1&gt;AZ$7,0,IF($D111&gt;SUM($G111:AY111),$D111/$E111,0))</f>
        <v>0</v>
      </c>
      <c r="BA111" s="263">
        <f>IF($C111+1&gt;BA$7,0,IF($D111&gt;SUM($G111:AZ111),$D111/$E111,0))</f>
        <v>0</v>
      </c>
      <c r="BB111" s="263">
        <f>IF($C111+1&gt;BB$7,0,IF($D111&gt;SUM($G111:BA111),$D111/$E111,0))</f>
        <v>0</v>
      </c>
      <c r="BC111" s="263">
        <f>IF($C111+1&gt;BC$7,0,IF($D111&gt;SUM($G111:BB111),$D111/$E111,0))</f>
        <v>0</v>
      </c>
      <c r="BD111" s="263">
        <f>IF($C111+1&gt;BD$7,0,IF($D111&gt;SUM($G111:BC111),$D111/$E111,0))</f>
        <v>0</v>
      </c>
      <c r="BE111" s="263">
        <f>IF($C111+1&gt;BE$7,0,IF($D111&gt;SUM($G111:BD111),$D111/$E111,0))</f>
        <v>0</v>
      </c>
      <c r="BF111" s="263">
        <f>IF($C111+1&gt;BF$7,0,IF($D111&gt;SUM($G111:BE111),$D111/$E111,0))</f>
        <v>0</v>
      </c>
      <c r="BG111" s="263">
        <f>IF($C111+1&gt;BG$7,0,IF($D111&gt;SUM($G111:BF111),$D111/$E111,0))</f>
        <v>0</v>
      </c>
      <c r="BH111" s="263">
        <f>IF($C111+1&gt;BH$7,0,IF($D111&gt;SUM($G111:BG111),$D111/$E111,0))</f>
        <v>0</v>
      </c>
      <c r="BI111" s="263">
        <f>IF($C111+1&gt;BI$7,0,IF($D111&gt;SUM($G111:BH111),$D111/$E111,0))</f>
        <v>0</v>
      </c>
      <c r="BJ111" s="263">
        <f>IF($C111+1&gt;BJ$7,0,IF($D111&gt;SUM($G111:BI111),$D111/$E111,0))</f>
        <v>0</v>
      </c>
      <c r="BK111" s="263">
        <f>IF($C111+1&gt;BK$7,0,IF($D111&gt;SUM($G111:BJ111),$D111/$E111,0))</f>
        <v>0</v>
      </c>
      <c r="BL111" s="263">
        <f>IF($C111+1&gt;BL$7,0,IF($D111&gt;SUM($G111:BK111),$D111/$E111,0))</f>
        <v>0</v>
      </c>
      <c r="BM111" s="263">
        <f>IF($C111+1&gt;BM$7,0,IF($D111&gt;SUM($G111:BL111),$D111/$E111,0))</f>
        <v>0</v>
      </c>
      <c r="BN111" s="263">
        <f>IF($C111+1&gt;BN$7,0,IF($D111&gt;SUM($G111:BM111),$D111/$E111,0))</f>
        <v>0</v>
      </c>
      <c r="BO111" s="263"/>
      <c r="BP111" s="263"/>
      <c r="BQ111" s="263"/>
      <c r="BR111" s="263"/>
      <c r="BS111" s="263"/>
      <c r="BT111" s="263"/>
      <c r="BU111" s="263"/>
      <c r="BV111" s="263"/>
      <c r="BW111" s="263"/>
      <c r="BX111" s="263"/>
      <c r="BY111" s="263"/>
      <c r="BZ111" s="263"/>
      <c r="CA111" s="254"/>
      <c r="CB111" s="254"/>
      <c r="CC111" s="254"/>
      <c r="CD111" s="254"/>
      <c r="CE111" s="254"/>
      <c r="CF111" s="254"/>
      <c r="CG111" s="254"/>
      <c r="CH111" s="254"/>
      <c r="CI111" s="254"/>
      <c r="CJ111" s="254"/>
      <c r="CK111" s="254"/>
      <c r="CL111" s="254"/>
    </row>
    <row r="112" spans="1:90" outlineLevel="1" x14ac:dyDescent="0.15">
      <c r="A112" s="50"/>
      <c r="B112" s="23"/>
      <c r="C112" s="26">
        <v>4</v>
      </c>
      <c r="D112" s="281">
        <v>0</v>
      </c>
      <c r="E112" s="26">
        <f>SAP_Leadsheet!$E$61</f>
        <v>7</v>
      </c>
      <c r="G112" s="263">
        <f>IF($C112+1&gt;G$7,0,IF($D112&gt;SUM(#REF!),$D112/$E112,0))</f>
        <v>0</v>
      </c>
      <c r="H112" s="263">
        <f>IF($C112+1&gt;H$7,0,IF($D112&gt;SUM($G112:G112),$D112/$E112,0))</f>
        <v>0</v>
      </c>
      <c r="I112" s="263">
        <f>IF($C112+1&gt;I$7,0,IF($D112&gt;SUM($G112:H112),$D112/$E112,0))</f>
        <v>0</v>
      </c>
      <c r="J112" s="263">
        <f>IF($C112+1&gt;J$7,0,IF($D112&gt;SUM($G112:I112),$D112/$E112,0))</f>
        <v>0</v>
      </c>
      <c r="K112" s="263">
        <f>IF($C112+1&gt;K$7,0,IF($D112&gt;SUM($G112:J112),$D112/$E112,0))</f>
        <v>0</v>
      </c>
      <c r="L112" s="263">
        <f>IF($C112+1&gt;L$7,0,IF($D112&gt;SUM($G112:K112),$D112/$E112,0))</f>
        <v>0</v>
      </c>
      <c r="M112" s="263">
        <f>IF($C112+1&gt;M$7,0,IF($D112&gt;SUM($G112:L112),$D112/$E112,0))</f>
        <v>0</v>
      </c>
      <c r="N112" s="263">
        <f>IF($C112+1&gt;N$7,0,IF($D112&gt;SUM($G112:M112),$D112/$E112,0))</f>
        <v>0</v>
      </c>
      <c r="O112" s="263">
        <f>IF($C112+1&gt;O$7,0,IF($D112&gt;SUM($G112:N112),$D112/$E112,0))</f>
        <v>0</v>
      </c>
      <c r="P112" s="263">
        <f>IF($C112+1&gt;P$7,0,IF($D112&gt;SUM($G112:O112),$D112/$E112,0))</f>
        <v>0</v>
      </c>
      <c r="Q112" s="263">
        <f>IF($C112+1&gt;Q$7,0,IF($D112&gt;SUM($G112:P112),$D112/$E112,0))</f>
        <v>0</v>
      </c>
      <c r="R112" s="263">
        <f>IF($C112+1&gt;R$7,0,IF($D112&gt;SUM($G112:Q112),$D112/$E112,0))</f>
        <v>0</v>
      </c>
      <c r="S112" s="263">
        <f>IF($C112+1&gt;S$7,0,IF($D112&gt;SUM($G112:R112),$D112/$E112,0))</f>
        <v>0</v>
      </c>
      <c r="T112" s="263">
        <f>IF($C112+1&gt;T$7,0,IF($D112&gt;SUM($G112:S112),$D112/$E112,0))</f>
        <v>0</v>
      </c>
      <c r="U112" s="263">
        <f>IF($C112+1&gt;U$7,0,IF($D112&gt;SUM($G112:T112),$D112/$E112,0))</f>
        <v>0</v>
      </c>
      <c r="V112" s="263">
        <f>IF($C112+1&gt;V$7,0,IF($D112&gt;SUM($G112:U112),$D112/$E112,0))</f>
        <v>0</v>
      </c>
      <c r="W112" s="263">
        <f>IF($C112+1&gt;W$7,0,IF($D112&gt;SUM($G112:V112),$D112/$E112,0))</f>
        <v>0</v>
      </c>
      <c r="X112" s="263">
        <f>IF($C112+1&gt;X$7,0,IF($D112&gt;SUM($G112:W112),$D112/$E112,0))</f>
        <v>0</v>
      </c>
      <c r="Y112" s="263">
        <f>IF($C112+1&gt;Y$7,0,IF($D112&gt;SUM($G112:X112),$D112/$E112,0))</f>
        <v>0</v>
      </c>
      <c r="Z112" s="263">
        <f>IF($C112+1&gt;Z$7,0,IF($D112&gt;SUM($G112:Y112),$D112/$E112,0))</f>
        <v>0</v>
      </c>
      <c r="AA112" s="263">
        <f>IF($C112+1&gt;AA$7,0,IF($D112&gt;SUM($G112:Z112),$D112/$E112,0))</f>
        <v>0</v>
      </c>
      <c r="AB112" s="263">
        <f>IF($C112+1&gt;AB$7,0,IF($D112&gt;SUM($G112:AA112),$D112/$E112,0))</f>
        <v>0</v>
      </c>
      <c r="AC112" s="263">
        <f>IF($C112+1&gt;AC$7,0,IF($D112&gt;SUM($G112:AB112),$D112/$E112,0))</f>
        <v>0</v>
      </c>
      <c r="AD112" s="263">
        <f>IF($C112+1&gt;AD$7,0,IF($D112&gt;SUM($G112:AC112),$D112/$E112,0))</f>
        <v>0</v>
      </c>
      <c r="AE112" s="263">
        <f>IF($C112+1&gt;AE$7,0,IF($D112&gt;SUM($G112:AD112),$D112/$E112,0))</f>
        <v>0</v>
      </c>
      <c r="AF112" s="263">
        <f>IF($C112+1&gt;AF$7,0,IF($D112&gt;SUM($G112:AE112),$D112/$E112,0))</f>
        <v>0</v>
      </c>
      <c r="AG112" s="263">
        <f>IF($C112+1&gt;AG$7,0,IF($D112&gt;SUM($G112:AF112),$D112/$E112,0))</f>
        <v>0</v>
      </c>
      <c r="AH112" s="263">
        <f>IF($C112+1&gt;AH$7,0,IF($D112&gt;SUM($G112:AG112),$D112/$E112,0))</f>
        <v>0</v>
      </c>
      <c r="AI112" s="263">
        <f>IF($C112+1&gt;AI$7,0,IF($D112&gt;SUM($G112:AH112),$D112/$E112,0))</f>
        <v>0</v>
      </c>
      <c r="AJ112" s="263">
        <f>IF($C112+1&gt;AJ$7,0,IF($D112&gt;SUM($G112:AI112),$D112/$E112,0))</f>
        <v>0</v>
      </c>
      <c r="AK112" s="263">
        <f>IF($C112+1&gt;AK$7,0,IF($D112&gt;SUM($G112:AJ112),$D112/$E112,0))</f>
        <v>0</v>
      </c>
      <c r="AL112" s="263">
        <f>IF($C112+1&gt;AL$7,0,IF($D112&gt;SUM($G112:AK112),$D112/$E112,0))</f>
        <v>0</v>
      </c>
      <c r="AM112" s="263">
        <f>IF($C112+1&gt;AM$7,0,IF($D112&gt;SUM($G112:AL112),$D112/$E112,0))</f>
        <v>0</v>
      </c>
      <c r="AN112" s="263">
        <f>IF($C112+1&gt;AN$7,0,IF($D112&gt;SUM($G112:AM112),$D112/$E112,0))</f>
        <v>0</v>
      </c>
      <c r="AO112" s="263">
        <f>IF($C112+1&gt;AO$7,0,IF($D112&gt;SUM($G112:AN112),$D112/$E112,0))</f>
        <v>0</v>
      </c>
      <c r="AP112" s="263">
        <f>IF($C112+1&gt;AP$7,0,IF($D112&gt;SUM($G112:AO112),$D112/$E112,0))</f>
        <v>0</v>
      </c>
      <c r="AQ112" s="263">
        <f>IF($C112+1&gt;AQ$7,0,IF($D112&gt;SUM($G112:AP112),$D112/$E112,0))</f>
        <v>0</v>
      </c>
      <c r="AR112" s="263">
        <f>IF($C112+1&gt;AR$7,0,IF($D112&gt;SUM($G112:AQ112),$D112/$E112,0))</f>
        <v>0</v>
      </c>
      <c r="AS112" s="263">
        <f>IF($C112+1&gt;AS$7,0,IF($D112&gt;SUM($G112:AR112),$D112/$E112,0))</f>
        <v>0</v>
      </c>
      <c r="AT112" s="263">
        <f>IF($C112+1&gt;AT$7,0,IF($D112&gt;SUM($G112:AS112),$D112/$E112,0))</f>
        <v>0</v>
      </c>
      <c r="AU112" s="263">
        <f>IF($C112+1&gt;AU$7,0,IF($D112&gt;SUM($G112:AT112),$D112/$E112,0))</f>
        <v>0</v>
      </c>
      <c r="AV112" s="263">
        <f>IF($C112+1&gt;AV$7,0,IF($D112&gt;SUM($G112:AU112),$D112/$E112,0))</f>
        <v>0</v>
      </c>
      <c r="AW112" s="263">
        <f>IF($C112+1&gt;AW$7,0,IF($D112&gt;SUM($G112:AV112),$D112/$E112,0))</f>
        <v>0</v>
      </c>
      <c r="AX112" s="263">
        <f>IF($C112+1&gt;AX$7,0,IF($D112&gt;SUM($G112:AW112),$D112/$E112,0))</f>
        <v>0</v>
      </c>
      <c r="AY112" s="263">
        <f>IF($C112+1&gt;AY$7,0,IF($D112&gt;SUM($G112:AX112),$D112/$E112,0))</f>
        <v>0</v>
      </c>
      <c r="AZ112" s="263">
        <f>IF($C112+1&gt;AZ$7,0,IF($D112&gt;SUM($G112:AY112),$D112/$E112,0))</f>
        <v>0</v>
      </c>
      <c r="BA112" s="263">
        <f>IF($C112+1&gt;BA$7,0,IF($D112&gt;SUM($G112:AZ112),$D112/$E112,0))</f>
        <v>0</v>
      </c>
      <c r="BB112" s="263">
        <f>IF($C112+1&gt;BB$7,0,IF($D112&gt;SUM($G112:BA112),$D112/$E112,0))</f>
        <v>0</v>
      </c>
      <c r="BC112" s="263">
        <f>IF($C112+1&gt;BC$7,0,IF($D112&gt;SUM($G112:BB112),$D112/$E112,0))</f>
        <v>0</v>
      </c>
      <c r="BD112" s="263">
        <f>IF($C112+1&gt;BD$7,0,IF($D112&gt;SUM($G112:BC112),$D112/$E112,0))</f>
        <v>0</v>
      </c>
      <c r="BE112" s="263">
        <f>IF($C112+1&gt;BE$7,0,IF($D112&gt;SUM($G112:BD112),$D112/$E112,0))</f>
        <v>0</v>
      </c>
      <c r="BF112" s="263">
        <f>IF($C112+1&gt;BF$7,0,IF($D112&gt;SUM($G112:BE112),$D112/$E112,0))</f>
        <v>0</v>
      </c>
      <c r="BG112" s="263">
        <f>IF($C112+1&gt;BG$7,0,IF($D112&gt;SUM($G112:BF112),$D112/$E112,0))</f>
        <v>0</v>
      </c>
      <c r="BH112" s="263">
        <f>IF($C112+1&gt;BH$7,0,IF($D112&gt;SUM($G112:BG112),$D112/$E112,0))</f>
        <v>0</v>
      </c>
      <c r="BI112" s="263">
        <f>IF($C112+1&gt;BI$7,0,IF($D112&gt;SUM($G112:BH112),$D112/$E112,0))</f>
        <v>0</v>
      </c>
      <c r="BJ112" s="263">
        <f>IF($C112+1&gt;BJ$7,0,IF($D112&gt;SUM($G112:BI112),$D112/$E112,0))</f>
        <v>0</v>
      </c>
      <c r="BK112" s="263">
        <f>IF($C112+1&gt;BK$7,0,IF($D112&gt;SUM($G112:BJ112),$D112/$E112,0))</f>
        <v>0</v>
      </c>
      <c r="BL112" s="263">
        <f>IF($C112+1&gt;BL$7,0,IF($D112&gt;SUM($G112:BK112),$D112/$E112,0))</f>
        <v>0</v>
      </c>
      <c r="BM112" s="263">
        <f>IF($C112+1&gt;BM$7,0,IF($D112&gt;SUM($G112:BL112),$D112/$E112,0))</f>
        <v>0</v>
      </c>
      <c r="BN112" s="263">
        <f>IF($C112+1&gt;BN$7,0,IF($D112&gt;SUM($G112:BM112),$D112/$E112,0))</f>
        <v>0</v>
      </c>
      <c r="BO112" s="263"/>
      <c r="BP112" s="263"/>
      <c r="BQ112" s="263"/>
      <c r="BR112" s="263"/>
      <c r="BS112" s="263"/>
      <c r="BT112" s="263"/>
      <c r="BU112" s="263"/>
      <c r="BV112" s="263"/>
      <c r="BW112" s="263"/>
      <c r="BX112" s="263"/>
      <c r="BY112" s="263"/>
      <c r="BZ112" s="263"/>
      <c r="CA112" s="254"/>
      <c r="CB112" s="254"/>
      <c r="CC112" s="254"/>
      <c r="CD112" s="254"/>
      <c r="CE112" s="254"/>
      <c r="CF112" s="254"/>
      <c r="CG112" s="254"/>
      <c r="CH112" s="254"/>
      <c r="CI112" s="254"/>
      <c r="CJ112" s="254"/>
      <c r="CK112" s="254"/>
      <c r="CL112" s="254"/>
    </row>
    <row r="113" spans="1:90" outlineLevel="1" x14ac:dyDescent="0.15">
      <c r="A113" s="50"/>
      <c r="B113" s="23"/>
      <c r="C113" s="26">
        <v>5</v>
      </c>
      <c r="D113" s="281">
        <v>0</v>
      </c>
      <c r="E113" s="26">
        <f>SAP_Leadsheet!$E$61</f>
        <v>7</v>
      </c>
      <c r="G113" s="263">
        <f>IF($C113+1&gt;G$7,0,IF($D113&gt;SUM(#REF!),$D113/$E113,0))</f>
        <v>0</v>
      </c>
      <c r="H113" s="263">
        <f>IF($C113+1&gt;H$7,0,IF($D113&gt;SUM($G113:G113),$D113/$E113,0))</f>
        <v>0</v>
      </c>
      <c r="I113" s="263">
        <f>IF($C113+1&gt;I$7,0,IF($D113&gt;SUM($G113:H113),$D113/$E113,0))</f>
        <v>0</v>
      </c>
      <c r="J113" s="263">
        <f>IF($C113+1&gt;J$7,0,IF($D113&gt;SUM($G113:I113),$D113/$E113,0))</f>
        <v>0</v>
      </c>
      <c r="K113" s="263">
        <f>IF($C113+1&gt;K$7,0,IF($D113&gt;SUM($G113:J113),$D113/$E113,0))</f>
        <v>0</v>
      </c>
      <c r="L113" s="263">
        <f>IF($C113+1&gt;L$7,0,IF($D113&gt;SUM($G113:K113),$D113/$E113,0))</f>
        <v>0</v>
      </c>
      <c r="M113" s="263">
        <f>IF($C113+1&gt;M$7,0,IF($D113&gt;SUM($G113:L113),$D113/$E113,0))</f>
        <v>0</v>
      </c>
      <c r="N113" s="263">
        <f>IF($C113+1&gt;N$7,0,IF($D113&gt;SUM($G113:M113),$D113/$E113,0))</f>
        <v>0</v>
      </c>
      <c r="O113" s="263">
        <f>IF($C113+1&gt;O$7,0,IF($D113&gt;SUM($G113:N113),$D113/$E113,0))</f>
        <v>0</v>
      </c>
      <c r="P113" s="263">
        <f>IF($C113+1&gt;P$7,0,IF($D113&gt;SUM($G113:O113),$D113/$E113,0))</f>
        <v>0</v>
      </c>
      <c r="Q113" s="263">
        <f>IF($C113+1&gt;Q$7,0,IF($D113&gt;SUM($G113:P113),$D113/$E113,0))</f>
        <v>0</v>
      </c>
      <c r="R113" s="263">
        <f>IF($C113+1&gt;R$7,0,IF($D113&gt;SUM($G113:Q113),$D113/$E113,0))</f>
        <v>0</v>
      </c>
      <c r="S113" s="263">
        <f>IF($C113+1&gt;S$7,0,IF($D113&gt;SUM($G113:R113),$D113/$E113,0))</f>
        <v>0</v>
      </c>
      <c r="T113" s="263">
        <f>IF($C113+1&gt;T$7,0,IF($D113&gt;SUM($G113:S113),$D113/$E113,0))</f>
        <v>0</v>
      </c>
      <c r="U113" s="263">
        <f>IF($C113+1&gt;U$7,0,IF($D113&gt;SUM($G113:T113),$D113/$E113,0))</f>
        <v>0</v>
      </c>
      <c r="V113" s="263">
        <f>IF($C113+1&gt;V$7,0,IF($D113&gt;SUM($G113:U113),$D113/$E113,0))</f>
        <v>0</v>
      </c>
      <c r="W113" s="263">
        <f>IF($C113+1&gt;W$7,0,IF($D113&gt;SUM($G113:V113),$D113/$E113,0))</f>
        <v>0</v>
      </c>
      <c r="X113" s="263">
        <f>IF($C113+1&gt;X$7,0,IF($D113&gt;SUM($G113:W113),$D113/$E113,0))</f>
        <v>0</v>
      </c>
      <c r="Y113" s="263">
        <f>IF($C113+1&gt;Y$7,0,IF($D113&gt;SUM($G113:X113),$D113/$E113,0))</f>
        <v>0</v>
      </c>
      <c r="Z113" s="263">
        <f>IF($C113+1&gt;Z$7,0,IF($D113&gt;SUM($G113:Y113),$D113/$E113,0))</f>
        <v>0</v>
      </c>
      <c r="AA113" s="263">
        <f>IF($C113+1&gt;AA$7,0,IF($D113&gt;SUM($G113:Z113),$D113/$E113,0))</f>
        <v>0</v>
      </c>
      <c r="AB113" s="263">
        <f>IF($C113+1&gt;AB$7,0,IF($D113&gt;SUM($G113:AA113),$D113/$E113,0))</f>
        <v>0</v>
      </c>
      <c r="AC113" s="263">
        <f>IF($C113+1&gt;AC$7,0,IF($D113&gt;SUM($G113:AB113),$D113/$E113,0))</f>
        <v>0</v>
      </c>
      <c r="AD113" s="263">
        <f>IF($C113+1&gt;AD$7,0,IF($D113&gt;SUM($G113:AC113),$D113/$E113,0))</f>
        <v>0</v>
      </c>
      <c r="AE113" s="263">
        <f>IF($C113+1&gt;AE$7,0,IF($D113&gt;SUM($G113:AD113),$D113/$E113,0))</f>
        <v>0</v>
      </c>
      <c r="AF113" s="263">
        <f>IF($C113+1&gt;AF$7,0,IF($D113&gt;SUM($G113:AE113),$D113/$E113,0))</f>
        <v>0</v>
      </c>
      <c r="AG113" s="263">
        <f>IF($C113+1&gt;AG$7,0,IF($D113&gt;SUM($G113:AF113),$D113/$E113,0))</f>
        <v>0</v>
      </c>
      <c r="AH113" s="263">
        <f>IF($C113+1&gt;AH$7,0,IF($D113&gt;SUM($G113:AG113),$D113/$E113,0))</f>
        <v>0</v>
      </c>
      <c r="AI113" s="263">
        <f>IF($C113+1&gt;AI$7,0,IF($D113&gt;SUM($G113:AH113),$D113/$E113,0))</f>
        <v>0</v>
      </c>
      <c r="AJ113" s="263">
        <f>IF($C113+1&gt;AJ$7,0,IF($D113&gt;SUM($G113:AI113),$D113/$E113,0))</f>
        <v>0</v>
      </c>
      <c r="AK113" s="263">
        <f>IF($C113+1&gt;AK$7,0,IF($D113&gt;SUM($G113:AJ113),$D113/$E113,0))</f>
        <v>0</v>
      </c>
      <c r="AL113" s="263">
        <f>IF($C113+1&gt;AL$7,0,IF($D113&gt;SUM($G113:AK113),$D113/$E113,0))</f>
        <v>0</v>
      </c>
      <c r="AM113" s="263">
        <f>IF($C113+1&gt;AM$7,0,IF($D113&gt;SUM($G113:AL113),$D113/$E113,0))</f>
        <v>0</v>
      </c>
      <c r="AN113" s="263">
        <f>IF($C113+1&gt;AN$7,0,IF($D113&gt;SUM($G113:AM113),$D113/$E113,0))</f>
        <v>0</v>
      </c>
      <c r="AO113" s="263">
        <f>IF($C113+1&gt;AO$7,0,IF($D113&gt;SUM($G113:AN113),$D113/$E113,0))</f>
        <v>0</v>
      </c>
      <c r="AP113" s="263">
        <f>IF($C113+1&gt;AP$7,0,IF($D113&gt;SUM($G113:AO113),$D113/$E113,0))</f>
        <v>0</v>
      </c>
      <c r="AQ113" s="263">
        <f>IF($C113+1&gt;AQ$7,0,IF($D113&gt;SUM($G113:AP113),$D113/$E113,0))</f>
        <v>0</v>
      </c>
      <c r="AR113" s="263">
        <f>IF($C113+1&gt;AR$7,0,IF($D113&gt;SUM($G113:AQ113),$D113/$E113,0))</f>
        <v>0</v>
      </c>
      <c r="AS113" s="263">
        <f>IF($C113+1&gt;AS$7,0,IF($D113&gt;SUM($G113:AR113),$D113/$E113,0))</f>
        <v>0</v>
      </c>
      <c r="AT113" s="263">
        <f>IF($C113+1&gt;AT$7,0,IF($D113&gt;SUM($G113:AS113),$D113/$E113,0))</f>
        <v>0</v>
      </c>
      <c r="AU113" s="263">
        <f>IF($C113+1&gt;AU$7,0,IF($D113&gt;SUM($G113:AT113),$D113/$E113,0))</f>
        <v>0</v>
      </c>
      <c r="AV113" s="263">
        <f>IF($C113+1&gt;AV$7,0,IF($D113&gt;SUM($G113:AU113),$D113/$E113,0))</f>
        <v>0</v>
      </c>
      <c r="AW113" s="263">
        <f>IF($C113+1&gt;AW$7,0,IF($D113&gt;SUM($G113:AV113),$D113/$E113,0))</f>
        <v>0</v>
      </c>
      <c r="AX113" s="263">
        <f>IF($C113+1&gt;AX$7,0,IF($D113&gt;SUM($G113:AW113),$D113/$E113,0))</f>
        <v>0</v>
      </c>
      <c r="AY113" s="263">
        <f>IF($C113+1&gt;AY$7,0,IF($D113&gt;SUM($G113:AX113),$D113/$E113,0))</f>
        <v>0</v>
      </c>
      <c r="AZ113" s="263">
        <f>IF($C113+1&gt;AZ$7,0,IF($D113&gt;SUM($G113:AY113),$D113/$E113,0))</f>
        <v>0</v>
      </c>
      <c r="BA113" s="263">
        <f>IF($C113+1&gt;BA$7,0,IF($D113&gt;SUM($G113:AZ113),$D113/$E113,0))</f>
        <v>0</v>
      </c>
      <c r="BB113" s="263">
        <f>IF($C113+1&gt;BB$7,0,IF($D113&gt;SUM($G113:BA113),$D113/$E113,0))</f>
        <v>0</v>
      </c>
      <c r="BC113" s="263">
        <f>IF($C113+1&gt;BC$7,0,IF($D113&gt;SUM($G113:BB113),$D113/$E113,0))</f>
        <v>0</v>
      </c>
      <c r="BD113" s="263">
        <f>IF($C113+1&gt;BD$7,0,IF($D113&gt;SUM($G113:BC113),$D113/$E113,0))</f>
        <v>0</v>
      </c>
      <c r="BE113" s="263">
        <f>IF($C113+1&gt;BE$7,0,IF($D113&gt;SUM($G113:BD113),$D113/$E113,0))</f>
        <v>0</v>
      </c>
      <c r="BF113" s="263">
        <f>IF($C113+1&gt;BF$7,0,IF($D113&gt;SUM($G113:BE113),$D113/$E113,0))</f>
        <v>0</v>
      </c>
      <c r="BG113" s="263">
        <f>IF($C113+1&gt;BG$7,0,IF($D113&gt;SUM($G113:BF113),$D113/$E113,0))</f>
        <v>0</v>
      </c>
      <c r="BH113" s="263">
        <f>IF($C113+1&gt;BH$7,0,IF($D113&gt;SUM($G113:BG113),$D113/$E113,0))</f>
        <v>0</v>
      </c>
      <c r="BI113" s="263">
        <f>IF($C113+1&gt;BI$7,0,IF($D113&gt;SUM($G113:BH113),$D113/$E113,0))</f>
        <v>0</v>
      </c>
      <c r="BJ113" s="263">
        <f>IF($C113+1&gt;BJ$7,0,IF($D113&gt;SUM($G113:BI113),$D113/$E113,0))</f>
        <v>0</v>
      </c>
      <c r="BK113" s="263">
        <f>IF($C113+1&gt;BK$7,0,IF($D113&gt;SUM($G113:BJ113),$D113/$E113,0))</f>
        <v>0</v>
      </c>
      <c r="BL113" s="263">
        <f>IF($C113+1&gt;BL$7,0,IF($D113&gt;SUM($G113:BK113),$D113/$E113,0))</f>
        <v>0</v>
      </c>
      <c r="BM113" s="263">
        <f>IF($C113+1&gt;BM$7,0,IF($D113&gt;SUM($G113:BL113),$D113/$E113,0))</f>
        <v>0</v>
      </c>
      <c r="BN113" s="263">
        <f>IF($C113+1&gt;BN$7,0,IF($D113&gt;SUM($G113:BM113),$D113/$E113,0))</f>
        <v>0</v>
      </c>
      <c r="BO113" s="263"/>
      <c r="BP113" s="263"/>
      <c r="BQ113" s="263"/>
      <c r="BR113" s="263"/>
      <c r="BS113" s="263"/>
      <c r="BT113" s="263"/>
      <c r="BU113" s="263"/>
      <c r="BV113" s="263"/>
      <c r="BW113" s="263"/>
      <c r="BX113" s="263"/>
      <c r="BY113" s="263"/>
      <c r="BZ113" s="263"/>
      <c r="CA113" s="254"/>
      <c r="CB113" s="254"/>
      <c r="CC113" s="254"/>
      <c r="CD113" s="254"/>
      <c r="CE113" s="254"/>
      <c r="CF113" s="254"/>
      <c r="CG113" s="254"/>
      <c r="CH113" s="254"/>
      <c r="CI113" s="254"/>
      <c r="CJ113" s="254"/>
      <c r="CK113" s="254"/>
      <c r="CL113" s="254"/>
    </row>
    <row r="114" spans="1:90" outlineLevel="1" x14ac:dyDescent="0.15">
      <c r="A114" s="50"/>
      <c r="B114" s="23"/>
      <c r="C114" s="26">
        <v>6</v>
      </c>
      <c r="D114" s="281">
        <v>0.70000000000000007</v>
      </c>
      <c r="E114" s="26">
        <f>SAP_Leadsheet!$E$61</f>
        <v>7</v>
      </c>
      <c r="G114" s="263">
        <f>IF($C114+1&gt;G$7,0,IF($D114&gt;SUM(#REF!),$D114/$E114,0))</f>
        <v>0</v>
      </c>
      <c r="H114" s="263">
        <f>IF($C114+1&gt;H$7,0,IF($D114&gt;SUM($G114:G114),$D114/$E114,0))</f>
        <v>0</v>
      </c>
      <c r="I114" s="263">
        <f>IF($C114+1&gt;I$7,0,IF($D114&gt;SUM($G114:H114),$D114/$E114,0))</f>
        <v>0</v>
      </c>
      <c r="J114" s="263">
        <f>IF($C114+1&gt;J$7,0,IF($D114&gt;SUM($G114:I114),$D114/$E114,0))</f>
        <v>0</v>
      </c>
      <c r="K114" s="263">
        <f>IF($C114+1&gt;K$7,0,IF($D114&gt;SUM($G114:J114),$D114/$E114,0))</f>
        <v>0</v>
      </c>
      <c r="L114" s="263">
        <f>IF($C114+1&gt;L$7,0,IF($D114&gt;SUM($G114:K114),$D114/$E114,0))</f>
        <v>0</v>
      </c>
      <c r="M114" s="263">
        <f>IF($C114+1&gt;M$7,0,IF($D114&gt;SUM($G114:L114),$D114/$E114,0))</f>
        <v>0.1</v>
      </c>
      <c r="N114" s="263">
        <f>IF($C114+1&gt;N$7,0,IF($D114&gt;SUM($G114:M114),$D114/$E114,0))</f>
        <v>0.1</v>
      </c>
      <c r="O114" s="263">
        <f>IF($C114+1&gt;O$7,0,IF($D114&gt;SUM($G114:N114),$D114/$E114,0))</f>
        <v>0.1</v>
      </c>
      <c r="P114" s="263">
        <f>IF($C114+1&gt;P$7,0,IF($D114&gt;SUM($G114:O114),$D114/$E114,0))</f>
        <v>0.1</v>
      </c>
      <c r="Q114" s="263">
        <f>IF($C114+1&gt;Q$7,0,IF($D114&gt;SUM($G114:P114),$D114/$E114,0))</f>
        <v>0.1</v>
      </c>
      <c r="R114" s="263">
        <f>IF($C114+1&gt;R$7,0,IF($D114&gt;SUM($G114:Q114),$D114/$E114,0))</f>
        <v>0.1</v>
      </c>
      <c r="S114" s="263">
        <f>IF($C114+1&gt;S$7,0,IF($D114&gt;SUM($G114:R114),$D114/$E114,0))</f>
        <v>0.1</v>
      </c>
      <c r="T114" s="263">
        <f>IF($C114+1&gt;T$7,0,IF($D114&gt;SUM($G114:S114),$D114/$E114,0))</f>
        <v>0</v>
      </c>
      <c r="U114" s="263">
        <f>IF($C114+1&gt;U$7,0,IF($D114&gt;SUM($G114:T114),$D114/$E114,0))</f>
        <v>0</v>
      </c>
      <c r="V114" s="263">
        <f>IF($C114+1&gt;V$7,0,IF($D114&gt;SUM($G114:U114),$D114/$E114,0))</f>
        <v>0</v>
      </c>
      <c r="W114" s="263">
        <f>IF($C114+1&gt;W$7,0,IF($D114&gt;SUM($G114:V114),$D114/$E114,0))</f>
        <v>0</v>
      </c>
      <c r="X114" s="263">
        <f>IF($C114+1&gt;X$7,0,IF($D114&gt;SUM($G114:W114),$D114/$E114,0))</f>
        <v>0</v>
      </c>
      <c r="Y114" s="263">
        <f>IF($C114+1&gt;Y$7,0,IF($D114&gt;SUM($G114:X114),$D114/$E114,0))</f>
        <v>0</v>
      </c>
      <c r="Z114" s="263">
        <f>IF($C114+1&gt;Z$7,0,IF($D114&gt;SUM($G114:Y114),$D114/$E114,0))</f>
        <v>0</v>
      </c>
      <c r="AA114" s="263">
        <f>IF($C114+1&gt;AA$7,0,IF($D114&gt;SUM($G114:Z114),$D114/$E114,0))</f>
        <v>0</v>
      </c>
      <c r="AB114" s="263">
        <f>IF($C114+1&gt;AB$7,0,IF($D114&gt;SUM($G114:AA114),$D114/$E114,0))</f>
        <v>0</v>
      </c>
      <c r="AC114" s="263">
        <f>IF($C114+1&gt;AC$7,0,IF($D114&gt;SUM($G114:AB114),$D114/$E114,0))</f>
        <v>0</v>
      </c>
      <c r="AD114" s="263">
        <f>IF($C114+1&gt;AD$7,0,IF($D114&gt;SUM($G114:AC114),$D114/$E114,0))</f>
        <v>0</v>
      </c>
      <c r="AE114" s="263">
        <f>IF($C114+1&gt;AE$7,0,IF($D114&gt;SUM($G114:AD114),$D114/$E114,0))</f>
        <v>0</v>
      </c>
      <c r="AF114" s="263">
        <f>IF($C114+1&gt;AF$7,0,IF($D114&gt;SUM($G114:AE114),$D114/$E114,0))</f>
        <v>0</v>
      </c>
      <c r="AG114" s="263">
        <f>IF($C114+1&gt;AG$7,0,IF($D114&gt;SUM($G114:AF114),$D114/$E114,0))</f>
        <v>0</v>
      </c>
      <c r="AH114" s="263">
        <f>IF($C114+1&gt;AH$7,0,IF($D114&gt;SUM($G114:AG114),$D114/$E114,0))</f>
        <v>0</v>
      </c>
      <c r="AI114" s="263">
        <f>IF($C114+1&gt;AI$7,0,IF($D114&gt;SUM($G114:AH114),$D114/$E114,0))</f>
        <v>0</v>
      </c>
      <c r="AJ114" s="263">
        <f>IF($C114+1&gt;AJ$7,0,IF($D114&gt;SUM($G114:AI114),$D114/$E114,0))</f>
        <v>0</v>
      </c>
      <c r="AK114" s="263">
        <f>IF($C114+1&gt;AK$7,0,IF($D114&gt;SUM($G114:AJ114),$D114/$E114,0))</f>
        <v>0</v>
      </c>
      <c r="AL114" s="263">
        <f>IF($C114+1&gt;AL$7,0,IF($D114&gt;SUM($G114:AK114),$D114/$E114,0))</f>
        <v>0</v>
      </c>
      <c r="AM114" s="263">
        <f>IF($C114+1&gt;AM$7,0,IF($D114&gt;SUM($G114:AL114),$D114/$E114,0))</f>
        <v>0</v>
      </c>
      <c r="AN114" s="263">
        <f>IF($C114+1&gt;AN$7,0,IF($D114&gt;SUM($G114:AM114),$D114/$E114,0))</f>
        <v>0</v>
      </c>
      <c r="AO114" s="263">
        <f>IF($C114+1&gt;AO$7,0,IF($D114&gt;SUM($G114:AN114),$D114/$E114,0))</f>
        <v>0</v>
      </c>
      <c r="AP114" s="263">
        <f>IF($C114+1&gt;AP$7,0,IF($D114&gt;SUM($G114:AO114),$D114/$E114,0))</f>
        <v>0</v>
      </c>
      <c r="AQ114" s="263">
        <f>IF($C114+1&gt;AQ$7,0,IF($D114&gt;SUM($G114:AP114),$D114/$E114,0))</f>
        <v>0</v>
      </c>
      <c r="AR114" s="263">
        <f>IF($C114+1&gt;AR$7,0,IF($D114&gt;SUM($G114:AQ114),$D114/$E114,0))</f>
        <v>0</v>
      </c>
      <c r="AS114" s="263">
        <f>IF($C114+1&gt;AS$7,0,IF($D114&gt;SUM($G114:AR114),$D114/$E114,0))</f>
        <v>0</v>
      </c>
      <c r="AT114" s="263">
        <f>IF($C114+1&gt;AT$7,0,IF($D114&gt;SUM($G114:AS114),$D114/$E114,0))</f>
        <v>0</v>
      </c>
      <c r="AU114" s="263">
        <f>IF($C114+1&gt;AU$7,0,IF($D114&gt;SUM($G114:AT114),$D114/$E114,0))</f>
        <v>0</v>
      </c>
      <c r="AV114" s="263">
        <f>IF($C114+1&gt;AV$7,0,IF($D114&gt;SUM($G114:AU114),$D114/$E114,0))</f>
        <v>0</v>
      </c>
      <c r="AW114" s="263">
        <f>IF($C114+1&gt;AW$7,0,IF($D114&gt;SUM($G114:AV114),$D114/$E114,0))</f>
        <v>0</v>
      </c>
      <c r="AX114" s="263">
        <f>IF($C114+1&gt;AX$7,0,IF($D114&gt;SUM($G114:AW114),$D114/$E114,0))</f>
        <v>0</v>
      </c>
      <c r="AY114" s="263">
        <f>IF($C114+1&gt;AY$7,0,IF($D114&gt;SUM($G114:AX114),$D114/$E114,0))</f>
        <v>0</v>
      </c>
      <c r="AZ114" s="263">
        <f>IF($C114+1&gt;AZ$7,0,IF($D114&gt;SUM($G114:AY114),$D114/$E114,0))</f>
        <v>0</v>
      </c>
      <c r="BA114" s="263">
        <f>IF($C114+1&gt;BA$7,0,IF($D114&gt;SUM($G114:AZ114),$D114/$E114,0))</f>
        <v>0</v>
      </c>
      <c r="BB114" s="263">
        <f>IF($C114+1&gt;BB$7,0,IF($D114&gt;SUM($G114:BA114),$D114/$E114,0))</f>
        <v>0</v>
      </c>
      <c r="BC114" s="263">
        <f>IF($C114+1&gt;BC$7,0,IF($D114&gt;SUM($G114:BB114),$D114/$E114,0))</f>
        <v>0</v>
      </c>
      <c r="BD114" s="263">
        <f>IF($C114+1&gt;BD$7,0,IF($D114&gt;SUM($G114:BC114),$D114/$E114,0))</f>
        <v>0</v>
      </c>
      <c r="BE114" s="263">
        <f>IF($C114+1&gt;BE$7,0,IF($D114&gt;SUM($G114:BD114),$D114/$E114,0))</f>
        <v>0</v>
      </c>
      <c r="BF114" s="263">
        <f>IF($C114+1&gt;BF$7,0,IF($D114&gt;SUM($G114:BE114),$D114/$E114,0))</f>
        <v>0</v>
      </c>
      <c r="BG114" s="263">
        <f>IF($C114+1&gt;BG$7,0,IF($D114&gt;SUM($G114:BF114),$D114/$E114,0))</f>
        <v>0</v>
      </c>
      <c r="BH114" s="263">
        <f>IF($C114+1&gt;BH$7,0,IF($D114&gt;SUM($G114:BG114),$D114/$E114,0))</f>
        <v>0</v>
      </c>
      <c r="BI114" s="263">
        <f>IF($C114+1&gt;BI$7,0,IF($D114&gt;SUM($G114:BH114),$D114/$E114,0))</f>
        <v>0</v>
      </c>
      <c r="BJ114" s="263">
        <f>IF($C114+1&gt;BJ$7,0,IF($D114&gt;SUM($G114:BI114),$D114/$E114,0))</f>
        <v>0</v>
      </c>
      <c r="BK114" s="263">
        <f>IF($C114+1&gt;BK$7,0,IF($D114&gt;SUM($G114:BJ114),$D114/$E114,0))</f>
        <v>0</v>
      </c>
      <c r="BL114" s="263">
        <f>IF($C114+1&gt;BL$7,0,IF($D114&gt;SUM($G114:BK114),$D114/$E114,0))</f>
        <v>0</v>
      </c>
      <c r="BM114" s="263">
        <f>IF($C114+1&gt;BM$7,0,IF($D114&gt;SUM($G114:BL114),$D114/$E114,0))</f>
        <v>0</v>
      </c>
      <c r="BN114" s="263">
        <f>IF($C114+1&gt;BN$7,0,IF($D114&gt;SUM($G114:BM114),$D114/$E114,0))</f>
        <v>0</v>
      </c>
      <c r="BO114" s="263"/>
      <c r="BP114" s="263"/>
      <c r="BQ114" s="263"/>
      <c r="BR114" s="263"/>
      <c r="BS114" s="263"/>
      <c r="BT114" s="263"/>
      <c r="BU114" s="263"/>
      <c r="BV114" s="263"/>
      <c r="BW114" s="263"/>
      <c r="BX114" s="263"/>
      <c r="BY114" s="263"/>
      <c r="BZ114" s="263"/>
      <c r="CA114" s="254"/>
      <c r="CB114" s="254"/>
      <c r="CC114" s="254"/>
      <c r="CD114" s="254"/>
      <c r="CE114" s="254"/>
      <c r="CF114" s="254"/>
      <c r="CG114" s="254"/>
      <c r="CH114" s="254"/>
      <c r="CI114" s="254"/>
      <c r="CJ114" s="254"/>
      <c r="CK114" s="254"/>
      <c r="CL114" s="254"/>
    </row>
    <row r="115" spans="1:90" outlineLevel="1" x14ac:dyDescent="0.15">
      <c r="A115" s="50"/>
      <c r="B115" s="23"/>
      <c r="C115" s="26">
        <v>7</v>
      </c>
      <c r="D115" s="281">
        <v>0</v>
      </c>
      <c r="E115" s="26">
        <f>SAP_Leadsheet!$E$61</f>
        <v>7</v>
      </c>
      <c r="G115" s="263">
        <f>IF($C115+1&gt;G$7,0,IF($D115&gt;SUM(#REF!),$D115/$E115,0))</f>
        <v>0</v>
      </c>
      <c r="H115" s="263">
        <f>IF($C115+1&gt;H$7,0,IF($D115&gt;SUM($G115:G115),$D115/$E115,0))</f>
        <v>0</v>
      </c>
      <c r="I115" s="263">
        <f>IF($C115+1&gt;I$7,0,IF($D115&gt;SUM($G115:H115),$D115/$E115,0))</f>
        <v>0</v>
      </c>
      <c r="J115" s="263">
        <f>IF($C115+1&gt;J$7,0,IF($D115&gt;SUM($G115:I115),$D115/$E115,0))</f>
        <v>0</v>
      </c>
      <c r="K115" s="263">
        <f>IF($C115+1&gt;K$7,0,IF($D115&gt;SUM($G115:J115),$D115/$E115,0))</f>
        <v>0</v>
      </c>
      <c r="L115" s="263">
        <f>IF($C115+1&gt;L$7,0,IF($D115&gt;SUM($G115:K115),$D115/$E115,0))</f>
        <v>0</v>
      </c>
      <c r="M115" s="263">
        <f>IF($C115+1&gt;M$7,0,IF($D115&gt;SUM($G115:L115),$D115/$E115,0))</f>
        <v>0</v>
      </c>
      <c r="N115" s="263">
        <f>IF($C115+1&gt;N$7,0,IF($D115&gt;SUM($G115:M115),$D115/$E115,0))</f>
        <v>0</v>
      </c>
      <c r="O115" s="263">
        <f>IF($C115+1&gt;O$7,0,IF($D115&gt;SUM($G115:N115),$D115/$E115,0))</f>
        <v>0</v>
      </c>
      <c r="P115" s="263">
        <f>IF($C115+1&gt;P$7,0,IF($D115&gt;SUM($G115:O115),$D115/$E115,0))</f>
        <v>0</v>
      </c>
      <c r="Q115" s="263">
        <f>IF($C115+1&gt;Q$7,0,IF($D115&gt;SUM($G115:P115),$D115/$E115,0))</f>
        <v>0</v>
      </c>
      <c r="R115" s="263">
        <f>IF($C115+1&gt;R$7,0,IF($D115&gt;SUM($G115:Q115),$D115/$E115,0))</f>
        <v>0</v>
      </c>
      <c r="S115" s="263">
        <f>IF($C115+1&gt;S$7,0,IF($D115&gt;SUM($G115:R115),$D115/$E115,0))</f>
        <v>0</v>
      </c>
      <c r="T115" s="263">
        <f>IF($C115+1&gt;T$7,0,IF($D115&gt;SUM($G115:S115),$D115/$E115,0))</f>
        <v>0</v>
      </c>
      <c r="U115" s="263">
        <f>IF($C115+1&gt;U$7,0,IF($D115&gt;SUM($G115:T115),$D115/$E115,0))</f>
        <v>0</v>
      </c>
      <c r="V115" s="263">
        <f>IF($C115+1&gt;V$7,0,IF($D115&gt;SUM($G115:U115),$D115/$E115,0))</f>
        <v>0</v>
      </c>
      <c r="W115" s="263">
        <f>IF($C115+1&gt;W$7,0,IF($D115&gt;SUM($G115:V115),$D115/$E115,0))</f>
        <v>0</v>
      </c>
      <c r="X115" s="263">
        <f>IF($C115+1&gt;X$7,0,IF($D115&gt;SUM($G115:W115),$D115/$E115,0))</f>
        <v>0</v>
      </c>
      <c r="Y115" s="263">
        <f>IF($C115+1&gt;Y$7,0,IF($D115&gt;SUM($G115:X115),$D115/$E115,0))</f>
        <v>0</v>
      </c>
      <c r="Z115" s="263">
        <f>IF($C115+1&gt;Z$7,0,IF($D115&gt;SUM($G115:Y115),$D115/$E115,0))</f>
        <v>0</v>
      </c>
      <c r="AA115" s="263">
        <f>IF($C115+1&gt;AA$7,0,IF($D115&gt;SUM($G115:Z115),$D115/$E115,0))</f>
        <v>0</v>
      </c>
      <c r="AB115" s="263">
        <f>IF($C115+1&gt;AB$7,0,IF($D115&gt;SUM($G115:AA115),$D115/$E115,0))</f>
        <v>0</v>
      </c>
      <c r="AC115" s="263">
        <f>IF($C115+1&gt;AC$7,0,IF($D115&gt;SUM($G115:AB115),$D115/$E115,0))</f>
        <v>0</v>
      </c>
      <c r="AD115" s="263">
        <f>IF($C115+1&gt;AD$7,0,IF($D115&gt;SUM($G115:AC115),$D115/$E115,0))</f>
        <v>0</v>
      </c>
      <c r="AE115" s="263">
        <f>IF($C115+1&gt;AE$7,0,IF($D115&gt;SUM($G115:AD115),$D115/$E115,0))</f>
        <v>0</v>
      </c>
      <c r="AF115" s="263">
        <f>IF($C115+1&gt;AF$7,0,IF($D115&gt;SUM($G115:AE115),$D115/$E115,0))</f>
        <v>0</v>
      </c>
      <c r="AG115" s="263">
        <f>IF($C115+1&gt;AG$7,0,IF($D115&gt;SUM($G115:AF115),$D115/$E115,0))</f>
        <v>0</v>
      </c>
      <c r="AH115" s="263">
        <f>IF($C115+1&gt;AH$7,0,IF($D115&gt;SUM($G115:AG115),$D115/$E115,0))</f>
        <v>0</v>
      </c>
      <c r="AI115" s="263">
        <f>IF($C115+1&gt;AI$7,0,IF($D115&gt;SUM($G115:AH115),$D115/$E115,0))</f>
        <v>0</v>
      </c>
      <c r="AJ115" s="263">
        <f>IF($C115+1&gt;AJ$7,0,IF($D115&gt;SUM($G115:AI115),$D115/$E115,0))</f>
        <v>0</v>
      </c>
      <c r="AK115" s="263">
        <f>IF($C115+1&gt;AK$7,0,IF($D115&gt;SUM($G115:AJ115),$D115/$E115,0))</f>
        <v>0</v>
      </c>
      <c r="AL115" s="263">
        <f>IF($C115+1&gt;AL$7,0,IF($D115&gt;SUM($G115:AK115),$D115/$E115,0))</f>
        <v>0</v>
      </c>
      <c r="AM115" s="263">
        <f>IF($C115+1&gt;AM$7,0,IF($D115&gt;SUM($G115:AL115),$D115/$E115,0))</f>
        <v>0</v>
      </c>
      <c r="AN115" s="263">
        <f>IF($C115+1&gt;AN$7,0,IF($D115&gt;SUM($G115:AM115),$D115/$E115,0))</f>
        <v>0</v>
      </c>
      <c r="AO115" s="263">
        <f>IF($C115+1&gt;AO$7,0,IF($D115&gt;SUM($G115:AN115),$D115/$E115,0))</f>
        <v>0</v>
      </c>
      <c r="AP115" s="263">
        <f>IF($C115+1&gt;AP$7,0,IF($D115&gt;SUM($G115:AO115),$D115/$E115,0))</f>
        <v>0</v>
      </c>
      <c r="AQ115" s="263">
        <f>IF($C115+1&gt;AQ$7,0,IF($D115&gt;SUM($G115:AP115),$D115/$E115,0))</f>
        <v>0</v>
      </c>
      <c r="AR115" s="263">
        <f>IF($C115+1&gt;AR$7,0,IF($D115&gt;SUM($G115:AQ115),$D115/$E115,0))</f>
        <v>0</v>
      </c>
      <c r="AS115" s="263">
        <f>IF($C115+1&gt;AS$7,0,IF($D115&gt;SUM($G115:AR115),$D115/$E115,0))</f>
        <v>0</v>
      </c>
      <c r="AT115" s="263">
        <f>IF($C115+1&gt;AT$7,0,IF($D115&gt;SUM($G115:AS115),$D115/$E115,0))</f>
        <v>0</v>
      </c>
      <c r="AU115" s="263">
        <f>IF($C115+1&gt;AU$7,0,IF($D115&gt;SUM($G115:AT115),$D115/$E115,0))</f>
        <v>0</v>
      </c>
      <c r="AV115" s="263">
        <f>IF($C115+1&gt;AV$7,0,IF($D115&gt;SUM($G115:AU115),$D115/$E115,0))</f>
        <v>0</v>
      </c>
      <c r="AW115" s="263">
        <f>IF($C115+1&gt;AW$7,0,IF($D115&gt;SUM($G115:AV115),$D115/$E115,0))</f>
        <v>0</v>
      </c>
      <c r="AX115" s="263">
        <f>IF($C115+1&gt;AX$7,0,IF($D115&gt;SUM($G115:AW115),$D115/$E115,0))</f>
        <v>0</v>
      </c>
      <c r="AY115" s="263">
        <f>IF($C115+1&gt;AY$7,0,IF($D115&gt;SUM($G115:AX115),$D115/$E115,0))</f>
        <v>0</v>
      </c>
      <c r="AZ115" s="263">
        <f>IF($C115+1&gt;AZ$7,0,IF($D115&gt;SUM($G115:AY115),$D115/$E115,0))</f>
        <v>0</v>
      </c>
      <c r="BA115" s="263">
        <f>IF($C115+1&gt;BA$7,0,IF($D115&gt;SUM($G115:AZ115),$D115/$E115,0))</f>
        <v>0</v>
      </c>
      <c r="BB115" s="263">
        <f>IF($C115+1&gt;BB$7,0,IF($D115&gt;SUM($G115:BA115),$D115/$E115,0))</f>
        <v>0</v>
      </c>
      <c r="BC115" s="263">
        <f>IF($C115+1&gt;BC$7,0,IF($D115&gt;SUM($G115:BB115),$D115/$E115,0))</f>
        <v>0</v>
      </c>
      <c r="BD115" s="263">
        <f>IF($C115+1&gt;BD$7,0,IF($D115&gt;SUM($G115:BC115),$D115/$E115,0))</f>
        <v>0</v>
      </c>
      <c r="BE115" s="263">
        <f>IF($C115+1&gt;BE$7,0,IF($D115&gt;SUM($G115:BD115),$D115/$E115,0))</f>
        <v>0</v>
      </c>
      <c r="BF115" s="263">
        <f>IF($C115+1&gt;BF$7,0,IF($D115&gt;SUM($G115:BE115),$D115/$E115,0))</f>
        <v>0</v>
      </c>
      <c r="BG115" s="263">
        <f>IF($C115+1&gt;BG$7,0,IF($D115&gt;SUM($G115:BF115),$D115/$E115,0))</f>
        <v>0</v>
      </c>
      <c r="BH115" s="263">
        <f>IF($C115+1&gt;BH$7,0,IF($D115&gt;SUM($G115:BG115),$D115/$E115,0))</f>
        <v>0</v>
      </c>
      <c r="BI115" s="263">
        <f>IF($C115+1&gt;BI$7,0,IF($D115&gt;SUM($G115:BH115),$D115/$E115,0))</f>
        <v>0</v>
      </c>
      <c r="BJ115" s="263">
        <f>IF($C115+1&gt;BJ$7,0,IF($D115&gt;SUM($G115:BI115),$D115/$E115,0))</f>
        <v>0</v>
      </c>
      <c r="BK115" s="263">
        <f>IF($C115+1&gt;BK$7,0,IF($D115&gt;SUM($G115:BJ115),$D115/$E115,0))</f>
        <v>0</v>
      </c>
      <c r="BL115" s="263">
        <f>IF($C115+1&gt;BL$7,0,IF($D115&gt;SUM($G115:BK115),$D115/$E115,0))</f>
        <v>0</v>
      </c>
      <c r="BM115" s="263">
        <f>IF($C115+1&gt;BM$7,0,IF($D115&gt;SUM($G115:BL115),$D115/$E115,0))</f>
        <v>0</v>
      </c>
      <c r="BN115" s="263">
        <f>IF($C115+1&gt;BN$7,0,IF($D115&gt;SUM($G115:BM115),$D115/$E115,0))</f>
        <v>0</v>
      </c>
      <c r="BO115" s="263"/>
      <c r="BP115" s="263"/>
      <c r="BQ115" s="263"/>
      <c r="BR115" s="263"/>
      <c r="BS115" s="263"/>
      <c r="BT115" s="263"/>
      <c r="BU115" s="263"/>
      <c r="BV115" s="263"/>
      <c r="BW115" s="263"/>
      <c r="BX115" s="263"/>
      <c r="BY115" s="263"/>
      <c r="BZ115" s="263"/>
      <c r="CA115" s="254"/>
      <c r="CB115" s="254"/>
      <c r="CC115" s="254"/>
      <c r="CD115" s="254"/>
      <c r="CE115" s="254"/>
      <c r="CF115" s="254"/>
      <c r="CG115" s="254"/>
      <c r="CH115" s="254"/>
      <c r="CI115" s="254"/>
      <c r="CJ115" s="254"/>
      <c r="CK115" s="254"/>
      <c r="CL115" s="254"/>
    </row>
    <row r="116" spans="1:90" outlineLevel="1" x14ac:dyDescent="0.15">
      <c r="A116" s="50"/>
      <c r="B116" s="23"/>
      <c r="C116" s="26">
        <v>8</v>
      </c>
      <c r="D116" s="281">
        <v>0</v>
      </c>
      <c r="E116" s="26">
        <f>SAP_Leadsheet!$E$61</f>
        <v>7</v>
      </c>
      <c r="G116" s="263">
        <f>IF($C116+1&gt;G$7,0,IF($D116&gt;SUM(#REF!),$D116/$E116,0))</f>
        <v>0</v>
      </c>
      <c r="H116" s="263">
        <f>IF($C116+1&gt;H$7,0,IF($D116&gt;SUM($G116:G116),$D116/$E116,0))</f>
        <v>0</v>
      </c>
      <c r="I116" s="263">
        <f>IF($C116+1&gt;I$7,0,IF($D116&gt;SUM($G116:H116),$D116/$E116,0))</f>
        <v>0</v>
      </c>
      <c r="J116" s="263">
        <f>IF($C116+1&gt;J$7,0,IF($D116&gt;SUM($G116:I116),$D116/$E116,0))</f>
        <v>0</v>
      </c>
      <c r="K116" s="263">
        <f>IF($C116+1&gt;K$7,0,IF($D116&gt;SUM($G116:J116),$D116/$E116,0))</f>
        <v>0</v>
      </c>
      <c r="L116" s="263">
        <f>IF($C116+1&gt;L$7,0,IF($D116&gt;SUM($G116:K116),$D116/$E116,0))</f>
        <v>0</v>
      </c>
      <c r="M116" s="263">
        <f>IF($C116+1&gt;M$7,0,IF($D116&gt;SUM($G116:L116),$D116/$E116,0))</f>
        <v>0</v>
      </c>
      <c r="N116" s="263">
        <f>IF($C116+1&gt;N$7,0,IF($D116&gt;SUM($G116:M116),$D116/$E116,0))</f>
        <v>0</v>
      </c>
      <c r="O116" s="263">
        <f>IF($C116+1&gt;O$7,0,IF($D116&gt;SUM($G116:N116),$D116/$E116,0))</f>
        <v>0</v>
      </c>
      <c r="P116" s="263">
        <f>IF($C116+1&gt;P$7,0,IF($D116&gt;SUM($G116:O116),$D116/$E116,0))</f>
        <v>0</v>
      </c>
      <c r="Q116" s="263">
        <f>IF($C116+1&gt;Q$7,0,IF($D116&gt;SUM($G116:P116),$D116/$E116,0))</f>
        <v>0</v>
      </c>
      <c r="R116" s="263">
        <f>IF($C116+1&gt;R$7,0,IF($D116&gt;SUM($G116:Q116),$D116/$E116,0))</f>
        <v>0</v>
      </c>
      <c r="S116" s="263">
        <f>IF($C116+1&gt;S$7,0,IF($D116&gt;SUM($G116:R116),$D116/$E116,0))</f>
        <v>0</v>
      </c>
      <c r="T116" s="263">
        <f>IF($C116+1&gt;T$7,0,IF($D116&gt;SUM($G116:S116),$D116/$E116,0))</f>
        <v>0</v>
      </c>
      <c r="U116" s="263">
        <f>IF($C116+1&gt;U$7,0,IF($D116&gt;SUM($G116:T116),$D116/$E116,0))</f>
        <v>0</v>
      </c>
      <c r="V116" s="263">
        <f>IF($C116+1&gt;V$7,0,IF($D116&gt;SUM($G116:U116),$D116/$E116,0))</f>
        <v>0</v>
      </c>
      <c r="W116" s="263">
        <f>IF($C116+1&gt;W$7,0,IF($D116&gt;SUM($G116:V116),$D116/$E116,0))</f>
        <v>0</v>
      </c>
      <c r="X116" s="263">
        <f>IF($C116+1&gt;X$7,0,IF($D116&gt;SUM($G116:W116),$D116/$E116,0))</f>
        <v>0</v>
      </c>
      <c r="Y116" s="263">
        <f>IF($C116+1&gt;Y$7,0,IF($D116&gt;SUM($G116:X116),$D116/$E116,0))</f>
        <v>0</v>
      </c>
      <c r="Z116" s="263">
        <f>IF($C116+1&gt;Z$7,0,IF($D116&gt;SUM($G116:Y116),$D116/$E116,0))</f>
        <v>0</v>
      </c>
      <c r="AA116" s="263">
        <f>IF($C116+1&gt;AA$7,0,IF($D116&gt;SUM($G116:Z116),$D116/$E116,0))</f>
        <v>0</v>
      </c>
      <c r="AB116" s="263">
        <f>IF($C116+1&gt;AB$7,0,IF($D116&gt;SUM($G116:AA116),$D116/$E116,0))</f>
        <v>0</v>
      </c>
      <c r="AC116" s="263">
        <f>IF($C116+1&gt;AC$7,0,IF($D116&gt;SUM($G116:AB116),$D116/$E116,0))</f>
        <v>0</v>
      </c>
      <c r="AD116" s="263">
        <f>IF($C116+1&gt;AD$7,0,IF($D116&gt;SUM($G116:AC116),$D116/$E116,0))</f>
        <v>0</v>
      </c>
      <c r="AE116" s="263">
        <f>IF($C116+1&gt;AE$7,0,IF($D116&gt;SUM($G116:AD116),$D116/$E116,0))</f>
        <v>0</v>
      </c>
      <c r="AF116" s="263">
        <f>IF($C116+1&gt;AF$7,0,IF($D116&gt;SUM($G116:AE116),$D116/$E116,0))</f>
        <v>0</v>
      </c>
      <c r="AG116" s="263">
        <f>IF($C116+1&gt;AG$7,0,IF($D116&gt;SUM($G116:AF116),$D116/$E116,0))</f>
        <v>0</v>
      </c>
      <c r="AH116" s="263">
        <f>IF($C116+1&gt;AH$7,0,IF($D116&gt;SUM($G116:AG116),$D116/$E116,0))</f>
        <v>0</v>
      </c>
      <c r="AI116" s="263">
        <f>IF($C116+1&gt;AI$7,0,IF($D116&gt;SUM($G116:AH116),$D116/$E116,0))</f>
        <v>0</v>
      </c>
      <c r="AJ116" s="263">
        <f>IF($C116+1&gt;AJ$7,0,IF($D116&gt;SUM($G116:AI116),$D116/$E116,0))</f>
        <v>0</v>
      </c>
      <c r="AK116" s="263">
        <f>IF($C116+1&gt;AK$7,0,IF($D116&gt;SUM($G116:AJ116),$D116/$E116,0))</f>
        <v>0</v>
      </c>
      <c r="AL116" s="263">
        <f>IF($C116+1&gt;AL$7,0,IF($D116&gt;SUM($G116:AK116),$D116/$E116,0))</f>
        <v>0</v>
      </c>
      <c r="AM116" s="263">
        <f>IF($C116+1&gt;AM$7,0,IF($D116&gt;SUM($G116:AL116),$D116/$E116,0))</f>
        <v>0</v>
      </c>
      <c r="AN116" s="263">
        <f>IF($C116+1&gt;AN$7,0,IF($D116&gt;SUM($G116:AM116),$D116/$E116,0))</f>
        <v>0</v>
      </c>
      <c r="AO116" s="263">
        <f>IF($C116+1&gt;AO$7,0,IF($D116&gt;SUM($G116:AN116),$D116/$E116,0))</f>
        <v>0</v>
      </c>
      <c r="AP116" s="263">
        <f>IF($C116+1&gt;AP$7,0,IF($D116&gt;SUM($G116:AO116),$D116/$E116,0))</f>
        <v>0</v>
      </c>
      <c r="AQ116" s="263">
        <f>IF($C116+1&gt;AQ$7,0,IF($D116&gt;SUM($G116:AP116),$D116/$E116,0))</f>
        <v>0</v>
      </c>
      <c r="AR116" s="263">
        <f>IF($C116+1&gt;AR$7,0,IF($D116&gt;SUM($G116:AQ116),$D116/$E116,0))</f>
        <v>0</v>
      </c>
      <c r="AS116" s="263">
        <f>IF($C116+1&gt;AS$7,0,IF($D116&gt;SUM($G116:AR116),$D116/$E116,0))</f>
        <v>0</v>
      </c>
      <c r="AT116" s="263">
        <f>IF($C116+1&gt;AT$7,0,IF($D116&gt;SUM($G116:AS116),$D116/$E116,0))</f>
        <v>0</v>
      </c>
      <c r="AU116" s="263">
        <f>IF($C116+1&gt;AU$7,0,IF($D116&gt;SUM($G116:AT116),$D116/$E116,0))</f>
        <v>0</v>
      </c>
      <c r="AV116" s="263">
        <f>IF($C116+1&gt;AV$7,0,IF($D116&gt;SUM($G116:AU116),$D116/$E116,0))</f>
        <v>0</v>
      </c>
      <c r="AW116" s="263">
        <f>IF($C116+1&gt;AW$7,0,IF($D116&gt;SUM($G116:AV116),$D116/$E116,0))</f>
        <v>0</v>
      </c>
      <c r="AX116" s="263">
        <f>IF($C116+1&gt;AX$7,0,IF($D116&gt;SUM($G116:AW116),$D116/$E116,0))</f>
        <v>0</v>
      </c>
      <c r="AY116" s="263">
        <f>IF($C116+1&gt;AY$7,0,IF($D116&gt;SUM($G116:AX116),$D116/$E116,0))</f>
        <v>0</v>
      </c>
      <c r="AZ116" s="263">
        <f>IF($C116+1&gt;AZ$7,0,IF($D116&gt;SUM($G116:AY116),$D116/$E116,0))</f>
        <v>0</v>
      </c>
      <c r="BA116" s="263">
        <f>IF($C116+1&gt;BA$7,0,IF($D116&gt;SUM($G116:AZ116),$D116/$E116,0))</f>
        <v>0</v>
      </c>
      <c r="BB116" s="263">
        <f>IF($C116+1&gt;BB$7,0,IF($D116&gt;SUM($G116:BA116),$D116/$E116,0))</f>
        <v>0</v>
      </c>
      <c r="BC116" s="263">
        <f>IF($C116+1&gt;BC$7,0,IF($D116&gt;SUM($G116:BB116),$D116/$E116,0))</f>
        <v>0</v>
      </c>
      <c r="BD116" s="263">
        <f>IF($C116+1&gt;BD$7,0,IF($D116&gt;SUM($G116:BC116),$D116/$E116,0))</f>
        <v>0</v>
      </c>
      <c r="BE116" s="263">
        <f>IF($C116+1&gt;BE$7,0,IF($D116&gt;SUM($G116:BD116),$D116/$E116,0))</f>
        <v>0</v>
      </c>
      <c r="BF116" s="263">
        <f>IF($C116+1&gt;BF$7,0,IF($D116&gt;SUM($G116:BE116),$D116/$E116,0))</f>
        <v>0</v>
      </c>
      <c r="BG116" s="263">
        <f>IF($C116+1&gt;BG$7,0,IF($D116&gt;SUM($G116:BF116),$D116/$E116,0))</f>
        <v>0</v>
      </c>
      <c r="BH116" s="263">
        <f>IF($C116+1&gt;BH$7,0,IF($D116&gt;SUM($G116:BG116),$D116/$E116,0))</f>
        <v>0</v>
      </c>
      <c r="BI116" s="263">
        <f>IF($C116+1&gt;BI$7,0,IF($D116&gt;SUM($G116:BH116),$D116/$E116,0))</f>
        <v>0</v>
      </c>
      <c r="BJ116" s="263">
        <f>IF($C116+1&gt;BJ$7,0,IF($D116&gt;SUM($G116:BI116),$D116/$E116,0))</f>
        <v>0</v>
      </c>
      <c r="BK116" s="263">
        <f>IF($C116+1&gt;BK$7,0,IF($D116&gt;SUM($G116:BJ116),$D116/$E116,0))</f>
        <v>0</v>
      </c>
      <c r="BL116" s="263">
        <f>IF($C116+1&gt;BL$7,0,IF($D116&gt;SUM($G116:BK116),$D116/$E116,0))</f>
        <v>0</v>
      </c>
      <c r="BM116" s="263">
        <f>IF($C116+1&gt;BM$7,0,IF($D116&gt;SUM($G116:BL116),$D116/$E116,0))</f>
        <v>0</v>
      </c>
      <c r="BN116" s="263">
        <f>IF($C116+1&gt;BN$7,0,IF($D116&gt;SUM($G116:BM116),$D116/$E116,0))</f>
        <v>0</v>
      </c>
      <c r="BO116" s="263"/>
      <c r="BP116" s="263"/>
      <c r="BQ116" s="263"/>
      <c r="BR116" s="263"/>
      <c r="BS116" s="263"/>
      <c r="BT116" s="263"/>
      <c r="BU116" s="263"/>
      <c r="BV116" s="263"/>
      <c r="BW116" s="263"/>
      <c r="BX116" s="263"/>
      <c r="BY116" s="263"/>
      <c r="BZ116" s="263"/>
      <c r="CA116" s="254"/>
      <c r="CB116" s="254"/>
      <c r="CC116" s="254"/>
      <c r="CD116" s="254"/>
      <c r="CE116" s="254"/>
      <c r="CF116" s="254"/>
      <c r="CG116" s="254"/>
      <c r="CH116" s="254"/>
      <c r="CI116" s="254"/>
      <c r="CJ116" s="254"/>
      <c r="CK116" s="254"/>
      <c r="CL116" s="254"/>
    </row>
    <row r="117" spans="1:90" outlineLevel="1" x14ac:dyDescent="0.15">
      <c r="A117" s="50"/>
      <c r="B117" s="23"/>
      <c r="C117" s="26">
        <v>9</v>
      </c>
      <c r="D117" s="281">
        <v>0</v>
      </c>
      <c r="E117" s="26">
        <f>SAP_Leadsheet!$E$61</f>
        <v>7</v>
      </c>
      <c r="G117" s="263">
        <f>IF($C117+1&gt;G$7,0,IF($D117&gt;SUM(#REF!),$D117/$E117,0))</f>
        <v>0</v>
      </c>
      <c r="H117" s="263">
        <f>IF($C117+1&gt;H$7,0,IF($D117&gt;SUM($G117:G117),$D117/$E117,0))</f>
        <v>0</v>
      </c>
      <c r="I117" s="263">
        <f>IF($C117+1&gt;I$7,0,IF($D117&gt;SUM($G117:H117),$D117/$E117,0))</f>
        <v>0</v>
      </c>
      <c r="J117" s="263">
        <f>IF($C117+1&gt;J$7,0,IF($D117&gt;SUM($G117:I117),$D117/$E117,0))</f>
        <v>0</v>
      </c>
      <c r="K117" s="263">
        <f>IF($C117+1&gt;K$7,0,IF($D117&gt;SUM($G117:J117),$D117/$E117,0))</f>
        <v>0</v>
      </c>
      <c r="L117" s="263">
        <f>IF($C117+1&gt;L$7,0,IF($D117&gt;SUM($G117:K117),$D117/$E117,0))</f>
        <v>0</v>
      </c>
      <c r="M117" s="263">
        <f>IF($C117+1&gt;M$7,0,IF($D117&gt;SUM($G117:L117),$D117/$E117,0))</f>
        <v>0</v>
      </c>
      <c r="N117" s="263">
        <f>IF($C117+1&gt;N$7,0,IF($D117&gt;SUM($G117:M117),$D117/$E117,0))</f>
        <v>0</v>
      </c>
      <c r="O117" s="263">
        <f>IF($C117+1&gt;O$7,0,IF($D117&gt;SUM($G117:N117),$D117/$E117,0))</f>
        <v>0</v>
      </c>
      <c r="P117" s="263">
        <f>IF($C117+1&gt;P$7,0,IF($D117&gt;SUM($G117:O117),$D117/$E117,0))</f>
        <v>0</v>
      </c>
      <c r="Q117" s="263">
        <f>IF($C117+1&gt;Q$7,0,IF($D117&gt;SUM($G117:P117),$D117/$E117,0))</f>
        <v>0</v>
      </c>
      <c r="R117" s="263">
        <f>IF($C117+1&gt;R$7,0,IF($D117&gt;SUM($G117:Q117),$D117/$E117,0))</f>
        <v>0</v>
      </c>
      <c r="S117" s="263">
        <f>IF($C117+1&gt;S$7,0,IF($D117&gt;SUM($G117:R117),$D117/$E117,0))</f>
        <v>0</v>
      </c>
      <c r="T117" s="263">
        <f>IF($C117+1&gt;T$7,0,IF($D117&gt;SUM($G117:S117),$D117/$E117,0))</f>
        <v>0</v>
      </c>
      <c r="U117" s="263">
        <f>IF($C117+1&gt;U$7,0,IF($D117&gt;SUM($G117:T117),$D117/$E117,0))</f>
        <v>0</v>
      </c>
      <c r="V117" s="263">
        <f>IF($C117+1&gt;V$7,0,IF($D117&gt;SUM($G117:U117),$D117/$E117,0))</f>
        <v>0</v>
      </c>
      <c r="W117" s="263">
        <f>IF($C117+1&gt;W$7,0,IF($D117&gt;SUM($G117:V117),$D117/$E117,0))</f>
        <v>0</v>
      </c>
      <c r="X117" s="263">
        <f>IF($C117+1&gt;X$7,0,IF($D117&gt;SUM($G117:W117),$D117/$E117,0))</f>
        <v>0</v>
      </c>
      <c r="Y117" s="263">
        <f>IF($C117+1&gt;Y$7,0,IF($D117&gt;SUM($G117:X117),$D117/$E117,0))</f>
        <v>0</v>
      </c>
      <c r="Z117" s="263">
        <f>IF($C117+1&gt;Z$7,0,IF($D117&gt;SUM($G117:Y117),$D117/$E117,0))</f>
        <v>0</v>
      </c>
      <c r="AA117" s="263">
        <f>IF($C117+1&gt;AA$7,0,IF($D117&gt;SUM($G117:Z117),$D117/$E117,0))</f>
        <v>0</v>
      </c>
      <c r="AB117" s="263">
        <f>IF($C117+1&gt;AB$7,0,IF($D117&gt;SUM($G117:AA117),$D117/$E117,0))</f>
        <v>0</v>
      </c>
      <c r="AC117" s="263">
        <f>IF($C117+1&gt;AC$7,0,IF($D117&gt;SUM($G117:AB117),$D117/$E117,0))</f>
        <v>0</v>
      </c>
      <c r="AD117" s="263">
        <f>IF($C117+1&gt;AD$7,0,IF($D117&gt;SUM($G117:AC117),$D117/$E117,0))</f>
        <v>0</v>
      </c>
      <c r="AE117" s="263">
        <f>IF($C117+1&gt;AE$7,0,IF($D117&gt;SUM($G117:AD117),$D117/$E117,0))</f>
        <v>0</v>
      </c>
      <c r="AF117" s="263">
        <f>IF($C117+1&gt;AF$7,0,IF($D117&gt;SUM($G117:AE117),$D117/$E117,0))</f>
        <v>0</v>
      </c>
      <c r="AG117" s="263">
        <f>IF($C117+1&gt;AG$7,0,IF($D117&gt;SUM($G117:AF117),$D117/$E117,0))</f>
        <v>0</v>
      </c>
      <c r="AH117" s="263">
        <f>IF($C117+1&gt;AH$7,0,IF($D117&gt;SUM($G117:AG117),$D117/$E117,0))</f>
        <v>0</v>
      </c>
      <c r="AI117" s="263">
        <f>IF($C117+1&gt;AI$7,0,IF($D117&gt;SUM($G117:AH117),$D117/$E117,0))</f>
        <v>0</v>
      </c>
      <c r="AJ117" s="263">
        <f>IF($C117+1&gt;AJ$7,0,IF($D117&gt;SUM($G117:AI117),$D117/$E117,0))</f>
        <v>0</v>
      </c>
      <c r="AK117" s="263">
        <f>IF($C117+1&gt;AK$7,0,IF($D117&gt;SUM($G117:AJ117),$D117/$E117,0))</f>
        <v>0</v>
      </c>
      <c r="AL117" s="263">
        <f>IF($C117+1&gt;AL$7,0,IF($D117&gt;SUM($G117:AK117),$D117/$E117,0))</f>
        <v>0</v>
      </c>
      <c r="AM117" s="263">
        <f>IF($C117+1&gt;AM$7,0,IF($D117&gt;SUM($G117:AL117),$D117/$E117,0))</f>
        <v>0</v>
      </c>
      <c r="AN117" s="263">
        <f>IF($C117+1&gt;AN$7,0,IF($D117&gt;SUM($G117:AM117),$D117/$E117,0))</f>
        <v>0</v>
      </c>
      <c r="AO117" s="263">
        <f>IF($C117+1&gt;AO$7,0,IF($D117&gt;SUM($G117:AN117),$D117/$E117,0))</f>
        <v>0</v>
      </c>
      <c r="AP117" s="263">
        <f>IF($C117+1&gt;AP$7,0,IF($D117&gt;SUM($G117:AO117),$D117/$E117,0))</f>
        <v>0</v>
      </c>
      <c r="AQ117" s="263">
        <f>IF($C117+1&gt;AQ$7,0,IF($D117&gt;SUM($G117:AP117),$D117/$E117,0))</f>
        <v>0</v>
      </c>
      <c r="AR117" s="263">
        <f>IF($C117+1&gt;AR$7,0,IF($D117&gt;SUM($G117:AQ117),$D117/$E117,0))</f>
        <v>0</v>
      </c>
      <c r="AS117" s="263">
        <f>IF($C117+1&gt;AS$7,0,IF($D117&gt;SUM($G117:AR117),$D117/$E117,0))</f>
        <v>0</v>
      </c>
      <c r="AT117" s="263">
        <f>IF($C117+1&gt;AT$7,0,IF($D117&gt;SUM($G117:AS117),$D117/$E117,0))</f>
        <v>0</v>
      </c>
      <c r="AU117" s="263">
        <f>IF($C117+1&gt;AU$7,0,IF($D117&gt;SUM($G117:AT117),$D117/$E117,0))</f>
        <v>0</v>
      </c>
      <c r="AV117" s="263">
        <f>IF($C117+1&gt;AV$7,0,IF($D117&gt;SUM($G117:AU117),$D117/$E117,0))</f>
        <v>0</v>
      </c>
      <c r="AW117" s="263">
        <f>IF($C117+1&gt;AW$7,0,IF($D117&gt;SUM($G117:AV117),$D117/$E117,0))</f>
        <v>0</v>
      </c>
      <c r="AX117" s="263">
        <f>IF($C117+1&gt;AX$7,0,IF($D117&gt;SUM($G117:AW117),$D117/$E117,0))</f>
        <v>0</v>
      </c>
      <c r="AY117" s="263">
        <f>IF($C117+1&gt;AY$7,0,IF($D117&gt;SUM($G117:AX117),$D117/$E117,0))</f>
        <v>0</v>
      </c>
      <c r="AZ117" s="263">
        <f>IF($C117+1&gt;AZ$7,0,IF($D117&gt;SUM($G117:AY117),$D117/$E117,0))</f>
        <v>0</v>
      </c>
      <c r="BA117" s="263">
        <f>IF($C117+1&gt;BA$7,0,IF($D117&gt;SUM($G117:AZ117),$D117/$E117,0))</f>
        <v>0</v>
      </c>
      <c r="BB117" s="263">
        <f>IF($C117+1&gt;BB$7,0,IF($D117&gt;SUM($G117:BA117),$D117/$E117,0))</f>
        <v>0</v>
      </c>
      <c r="BC117" s="263">
        <f>IF($C117+1&gt;BC$7,0,IF($D117&gt;SUM($G117:BB117),$D117/$E117,0))</f>
        <v>0</v>
      </c>
      <c r="BD117" s="263">
        <f>IF($C117+1&gt;BD$7,0,IF($D117&gt;SUM($G117:BC117),$D117/$E117,0))</f>
        <v>0</v>
      </c>
      <c r="BE117" s="263">
        <f>IF($C117+1&gt;BE$7,0,IF($D117&gt;SUM($G117:BD117),$D117/$E117,0))</f>
        <v>0</v>
      </c>
      <c r="BF117" s="263">
        <f>IF($C117+1&gt;BF$7,0,IF($D117&gt;SUM($G117:BE117),$D117/$E117,0))</f>
        <v>0</v>
      </c>
      <c r="BG117" s="263">
        <f>IF($C117+1&gt;BG$7,0,IF($D117&gt;SUM($G117:BF117),$D117/$E117,0))</f>
        <v>0</v>
      </c>
      <c r="BH117" s="263">
        <f>IF($C117+1&gt;BH$7,0,IF($D117&gt;SUM($G117:BG117),$D117/$E117,0))</f>
        <v>0</v>
      </c>
      <c r="BI117" s="263">
        <f>IF($C117+1&gt;BI$7,0,IF($D117&gt;SUM($G117:BH117),$D117/$E117,0))</f>
        <v>0</v>
      </c>
      <c r="BJ117" s="263">
        <f>IF($C117+1&gt;BJ$7,0,IF($D117&gt;SUM($G117:BI117),$D117/$E117,0))</f>
        <v>0</v>
      </c>
      <c r="BK117" s="263">
        <f>IF($C117+1&gt;BK$7,0,IF($D117&gt;SUM($G117:BJ117),$D117/$E117,0))</f>
        <v>0</v>
      </c>
      <c r="BL117" s="263">
        <f>IF($C117+1&gt;BL$7,0,IF($D117&gt;SUM($G117:BK117),$D117/$E117,0))</f>
        <v>0</v>
      </c>
      <c r="BM117" s="263">
        <f>IF($C117+1&gt;BM$7,0,IF($D117&gt;SUM($G117:BL117),$D117/$E117,0))</f>
        <v>0</v>
      </c>
      <c r="BN117" s="263">
        <f>IF($C117+1&gt;BN$7,0,IF($D117&gt;SUM($G117:BM117),$D117/$E117,0))</f>
        <v>0</v>
      </c>
      <c r="BO117" s="263"/>
      <c r="BP117" s="263"/>
      <c r="BQ117" s="263"/>
      <c r="BR117" s="263"/>
      <c r="BS117" s="263"/>
      <c r="BT117" s="263"/>
      <c r="BU117" s="263"/>
      <c r="BV117" s="263"/>
      <c r="BW117" s="263"/>
      <c r="BX117" s="263"/>
      <c r="BY117" s="263"/>
      <c r="BZ117" s="263"/>
      <c r="CA117" s="254"/>
      <c r="CB117" s="254"/>
      <c r="CC117" s="254"/>
      <c r="CD117" s="254"/>
      <c r="CE117" s="254"/>
      <c r="CF117" s="254"/>
      <c r="CG117" s="254"/>
      <c r="CH117" s="254"/>
      <c r="CI117" s="254"/>
      <c r="CJ117" s="254"/>
      <c r="CK117" s="254"/>
      <c r="CL117" s="254"/>
    </row>
    <row r="118" spans="1:90" outlineLevel="1" x14ac:dyDescent="0.15">
      <c r="A118" s="50"/>
      <c r="B118" s="23"/>
      <c r="C118" s="26">
        <v>10</v>
      </c>
      <c r="D118" s="281">
        <v>0</v>
      </c>
      <c r="E118" s="26">
        <f>SAP_Leadsheet!$E$61</f>
        <v>7</v>
      </c>
      <c r="G118" s="263">
        <f>IF($C118+1&gt;G$7,0,IF($D118&gt;SUM(#REF!),$D118/$E118,0))</f>
        <v>0</v>
      </c>
      <c r="H118" s="263">
        <f>IF($C118+1&gt;H$7,0,IF($D118&gt;SUM($G118:G118),$D118/$E118,0))</f>
        <v>0</v>
      </c>
      <c r="I118" s="263">
        <f>IF($C118+1&gt;I$7,0,IF($D118&gt;SUM($G118:H118),$D118/$E118,0))</f>
        <v>0</v>
      </c>
      <c r="J118" s="263">
        <f>IF($C118+1&gt;J$7,0,IF($D118&gt;SUM($G118:I118),$D118/$E118,0))</f>
        <v>0</v>
      </c>
      <c r="K118" s="263">
        <f>IF($C118+1&gt;K$7,0,IF($D118&gt;SUM($G118:J118),$D118/$E118,0))</f>
        <v>0</v>
      </c>
      <c r="L118" s="263">
        <f>IF($C118+1&gt;L$7,0,IF($D118&gt;SUM($G118:K118),$D118/$E118,0))</f>
        <v>0</v>
      </c>
      <c r="M118" s="263">
        <f>IF($C118+1&gt;M$7,0,IF($D118&gt;SUM($G118:L118),$D118/$E118,0))</f>
        <v>0</v>
      </c>
      <c r="N118" s="263">
        <f>IF($C118+1&gt;N$7,0,IF($D118&gt;SUM($G118:M118),$D118/$E118,0))</f>
        <v>0</v>
      </c>
      <c r="O118" s="263">
        <f>IF($C118+1&gt;O$7,0,IF($D118&gt;SUM($G118:N118),$D118/$E118,0))</f>
        <v>0</v>
      </c>
      <c r="P118" s="263">
        <f>IF($C118+1&gt;P$7,0,IF($D118&gt;SUM($G118:O118),$D118/$E118,0))</f>
        <v>0</v>
      </c>
      <c r="Q118" s="263">
        <f>IF($C118+1&gt;Q$7,0,IF($D118&gt;SUM($G118:P118),$D118/$E118,0))</f>
        <v>0</v>
      </c>
      <c r="R118" s="263">
        <f>IF($C118+1&gt;R$7,0,IF($D118&gt;SUM($G118:Q118),$D118/$E118,0))</f>
        <v>0</v>
      </c>
      <c r="S118" s="263">
        <f>IF($C118+1&gt;S$7,0,IF($D118&gt;SUM($G118:R118),$D118/$E118,0))</f>
        <v>0</v>
      </c>
      <c r="T118" s="263">
        <f>IF($C118+1&gt;T$7,0,IF($D118&gt;SUM($G118:S118),$D118/$E118,0))</f>
        <v>0</v>
      </c>
      <c r="U118" s="263">
        <f>IF($C118+1&gt;U$7,0,IF($D118&gt;SUM($G118:T118),$D118/$E118,0))</f>
        <v>0</v>
      </c>
      <c r="V118" s="263">
        <f>IF($C118+1&gt;V$7,0,IF($D118&gt;SUM($G118:U118),$D118/$E118,0))</f>
        <v>0</v>
      </c>
      <c r="W118" s="263">
        <f>IF($C118+1&gt;W$7,0,IF($D118&gt;SUM($G118:V118),$D118/$E118,0))</f>
        <v>0</v>
      </c>
      <c r="X118" s="263">
        <f>IF($C118+1&gt;X$7,0,IF($D118&gt;SUM($G118:W118),$D118/$E118,0))</f>
        <v>0</v>
      </c>
      <c r="Y118" s="263">
        <f>IF($C118+1&gt;Y$7,0,IF($D118&gt;SUM($G118:X118),$D118/$E118,0))</f>
        <v>0</v>
      </c>
      <c r="Z118" s="263">
        <f>IF($C118+1&gt;Z$7,0,IF($D118&gt;SUM($G118:Y118),$D118/$E118,0))</f>
        <v>0</v>
      </c>
      <c r="AA118" s="263">
        <f>IF($C118+1&gt;AA$7,0,IF($D118&gt;SUM($G118:Z118),$D118/$E118,0))</f>
        <v>0</v>
      </c>
      <c r="AB118" s="263">
        <f>IF($C118+1&gt;AB$7,0,IF($D118&gt;SUM($G118:AA118),$D118/$E118,0))</f>
        <v>0</v>
      </c>
      <c r="AC118" s="263">
        <f>IF($C118+1&gt;AC$7,0,IF($D118&gt;SUM($G118:AB118),$D118/$E118,0))</f>
        <v>0</v>
      </c>
      <c r="AD118" s="263">
        <f>IF($C118+1&gt;AD$7,0,IF($D118&gt;SUM($G118:AC118),$D118/$E118,0))</f>
        <v>0</v>
      </c>
      <c r="AE118" s="263">
        <f>IF($C118+1&gt;AE$7,0,IF($D118&gt;SUM($G118:AD118),$D118/$E118,0))</f>
        <v>0</v>
      </c>
      <c r="AF118" s="263">
        <f>IF($C118+1&gt;AF$7,0,IF($D118&gt;SUM($G118:AE118),$D118/$E118,0))</f>
        <v>0</v>
      </c>
      <c r="AG118" s="263">
        <f>IF($C118+1&gt;AG$7,0,IF($D118&gt;SUM($G118:AF118),$D118/$E118,0))</f>
        <v>0</v>
      </c>
      <c r="AH118" s="263">
        <f>IF($C118+1&gt;AH$7,0,IF($D118&gt;SUM($G118:AG118),$D118/$E118,0))</f>
        <v>0</v>
      </c>
      <c r="AI118" s="263">
        <f>IF($C118+1&gt;AI$7,0,IF($D118&gt;SUM($G118:AH118),$D118/$E118,0))</f>
        <v>0</v>
      </c>
      <c r="AJ118" s="263">
        <f>IF($C118+1&gt;AJ$7,0,IF($D118&gt;SUM($G118:AI118),$D118/$E118,0))</f>
        <v>0</v>
      </c>
      <c r="AK118" s="263">
        <f>IF($C118+1&gt;AK$7,0,IF($D118&gt;SUM($G118:AJ118),$D118/$E118,0))</f>
        <v>0</v>
      </c>
      <c r="AL118" s="263">
        <f>IF($C118+1&gt;AL$7,0,IF($D118&gt;SUM($G118:AK118),$D118/$E118,0))</f>
        <v>0</v>
      </c>
      <c r="AM118" s="263">
        <f>IF($C118+1&gt;AM$7,0,IF($D118&gt;SUM($G118:AL118),$D118/$E118,0))</f>
        <v>0</v>
      </c>
      <c r="AN118" s="263">
        <f>IF($C118+1&gt;AN$7,0,IF($D118&gt;SUM($G118:AM118),$D118/$E118,0))</f>
        <v>0</v>
      </c>
      <c r="AO118" s="263">
        <f>IF($C118+1&gt;AO$7,0,IF($D118&gt;SUM($G118:AN118),$D118/$E118,0))</f>
        <v>0</v>
      </c>
      <c r="AP118" s="263">
        <f>IF($C118+1&gt;AP$7,0,IF($D118&gt;SUM($G118:AO118),$D118/$E118,0))</f>
        <v>0</v>
      </c>
      <c r="AQ118" s="263">
        <f>IF($C118+1&gt;AQ$7,0,IF($D118&gt;SUM($G118:AP118),$D118/$E118,0))</f>
        <v>0</v>
      </c>
      <c r="AR118" s="263">
        <f>IF($C118+1&gt;AR$7,0,IF($D118&gt;SUM($G118:AQ118),$D118/$E118,0))</f>
        <v>0</v>
      </c>
      <c r="AS118" s="263">
        <f>IF($C118+1&gt;AS$7,0,IF($D118&gt;SUM($G118:AR118),$D118/$E118,0))</f>
        <v>0</v>
      </c>
      <c r="AT118" s="263">
        <f>IF($C118+1&gt;AT$7,0,IF($D118&gt;SUM($G118:AS118),$D118/$E118,0))</f>
        <v>0</v>
      </c>
      <c r="AU118" s="263">
        <f>IF($C118+1&gt;AU$7,0,IF($D118&gt;SUM($G118:AT118),$D118/$E118,0))</f>
        <v>0</v>
      </c>
      <c r="AV118" s="263">
        <f>IF($C118+1&gt;AV$7,0,IF($D118&gt;SUM($G118:AU118),$D118/$E118,0))</f>
        <v>0</v>
      </c>
      <c r="AW118" s="263">
        <f>IF($C118+1&gt;AW$7,0,IF($D118&gt;SUM($G118:AV118),$D118/$E118,0))</f>
        <v>0</v>
      </c>
      <c r="AX118" s="263">
        <f>IF($C118+1&gt;AX$7,0,IF($D118&gt;SUM($G118:AW118),$D118/$E118,0))</f>
        <v>0</v>
      </c>
      <c r="AY118" s="263">
        <f>IF($C118+1&gt;AY$7,0,IF($D118&gt;SUM($G118:AX118),$D118/$E118,0))</f>
        <v>0</v>
      </c>
      <c r="AZ118" s="263">
        <f>IF($C118+1&gt;AZ$7,0,IF($D118&gt;SUM($G118:AY118),$D118/$E118,0))</f>
        <v>0</v>
      </c>
      <c r="BA118" s="263">
        <f>IF($C118+1&gt;BA$7,0,IF($D118&gt;SUM($G118:AZ118),$D118/$E118,0))</f>
        <v>0</v>
      </c>
      <c r="BB118" s="263">
        <f>IF($C118+1&gt;BB$7,0,IF($D118&gt;SUM($G118:BA118),$D118/$E118,0))</f>
        <v>0</v>
      </c>
      <c r="BC118" s="263">
        <f>IF($C118+1&gt;BC$7,0,IF($D118&gt;SUM($G118:BB118),$D118/$E118,0))</f>
        <v>0</v>
      </c>
      <c r="BD118" s="263">
        <f>IF($C118+1&gt;BD$7,0,IF($D118&gt;SUM($G118:BC118),$D118/$E118,0))</f>
        <v>0</v>
      </c>
      <c r="BE118" s="263">
        <f>IF($C118+1&gt;BE$7,0,IF($D118&gt;SUM($G118:BD118),$D118/$E118,0))</f>
        <v>0</v>
      </c>
      <c r="BF118" s="263">
        <f>IF($C118+1&gt;BF$7,0,IF($D118&gt;SUM($G118:BE118),$D118/$E118,0))</f>
        <v>0</v>
      </c>
      <c r="BG118" s="263">
        <f>IF($C118+1&gt;BG$7,0,IF($D118&gt;SUM($G118:BF118),$D118/$E118,0))</f>
        <v>0</v>
      </c>
      <c r="BH118" s="263">
        <f>IF($C118+1&gt;BH$7,0,IF($D118&gt;SUM($G118:BG118),$D118/$E118,0))</f>
        <v>0</v>
      </c>
      <c r="BI118" s="263">
        <f>IF($C118+1&gt;BI$7,0,IF($D118&gt;SUM($G118:BH118),$D118/$E118,0))</f>
        <v>0</v>
      </c>
      <c r="BJ118" s="263">
        <f>IF($C118+1&gt;BJ$7,0,IF($D118&gt;SUM($G118:BI118),$D118/$E118,0))</f>
        <v>0</v>
      </c>
      <c r="BK118" s="263">
        <f>IF($C118+1&gt;BK$7,0,IF($D118&gt;SUM($G118:BJ118),$D118/$E118,0))</f>
        <v>0</v>
      </c>
      <c r="BL118" s="263">
        <f>IF($C118+1&gt;BL$7,0,IF($D118&gt;SUM($G118:BK118),$D118/$E118,0))</f>
        <v>0</v>
      </c>
      <c r="BM118" s="263">
        <f>IF($C118+1&gt;BM$7,0,IF($D118&gt;SUM($G118:BL118),$D118/$E118,0))</f>
        <v>0</v>
      </c>
      <c r="BN118" s="263">
        <f>IF($C118+1&gt;BN$7,0,IF($D118&gt;SUM($G118:BM118),$D118/$E118,0))</f>
        <v>0</v>
      </c>
      <c r="BO118" s="263"/>
      <c r="BP118" s="263"/>
      <c r="BQ118" s="263"/>
      <c r="BR118" s="263"/>
      <c r="BS118" s="263"/>
      <c r="BT118" s="263"/>
      <c r="BU118" s="263"/>
      <c r="BV118" s="263"/>
      <c r="BW118" s="263"/>
      <c r="BX118" s="263"/>
      <c r="BY118" s="263"/>
      <c r="BZ118" s="263"/>
      <c r="CA118" s="254"/>
      <c r="CB118" s="254"/>
      <c r="CC118" s="254"/>
      <c r="CD118" s="254"/>
      <c r="CE118" s="254"/>
      <c r="CF118" s="254"/>
      <c r="CG118" s="254"/>
      <c r="CH118" s="254"/>
      <c r="CI118" s="254"/>
      <c r="CJ118" s="254"/>
      <c r="CK118" s="254"/>
      <c r="CL118" s="254"/>
    </row>
    <row r="119" spans="1:90" outlineLevel="1" x14ac:dyDescent="0.15">
      <c r="A119" s="50"/>
      <c r="B119" s="23"/>
      <c r="C119" s="26">
        <v>11</v>
      </c>
      <c r="D119" s="281">
        <v>0</v>
      </c>
      <c r="E119" s="26">
        <f>SAP_Leadsheet!$E$61</f>
        <v>7</v>
      </c>
      <c r="G119" s="263">
        <f>IF($C119+1&gt;G$7,0,IF($D119&gt;SUM(#REF!),$D119/$E119,0))</f>
        <v>0</v>
      </c>
      <c r="H119" s="263">
        <f>IF($C119+1&gt;H$7,0,IF($D119&gt;SUM($G119:G119),$D119/$E119,0))</f>
        <v>0</v>
      </c>
      <c r="I119" s="263">
        <f>IF($C119+1&gt;I$7,0,IF($D119&gt;SUM($G119:H119),$D119/$E119,0))</f>
        <v>0</v>
      </c>
      <c r="J119" s="263">
        <f>IF($C119+1&gt;J$7,0,IF($D119&gt;SUM($G119:I119),$D119/$E119,0))</f>
        <v>0</v>
      </c>
      <c r="K119" s="263">
        <f>IF($C119+1&gt;K$7,0,IF($D119&gt;SUM($G119:J119),$D119/$E119,0))</f>
        <v>0</v>
      </c>
      <c r="L119" s="263">
        <f>IF($C119+1&gt;L$7,0,IF($D119&gt;SUM($G119:K119),$D119/$E119,0))</f>
        <v>0</v>
      </c>
      <c r="M119" s="263">
        <f>IF($C119+1&gt;M$7,0,IF($D119&gt;SUM($G119:L119),$D119/$E119,0))</f>
        <v>0</v>
      </c>
      <c r="N119" s="263">
        <f>IF($C119+1&gt;N$7,0,IF($D119&gt;SUM($G119:M119),$D119/$E119,0))</f>
        <v>0</v>
      </c>
      <c r="O119" s="263">
        <f>IF($C119+1&gt;O$7,0,IF($D119&gt;SUM($G119:N119),$D119/$E119,0))</f>
        <v>0</v>
      </c>
      <c r="P119" s="263">
        <f>IF($C119+1&gt;P$7,0,IF($D119&gt;SUM($G119:O119),$D119/$E119,0))</f>
        <v>0</v>
      </c>
      <c r="Q119" s="263">
        <f>IF($C119+1&gt;Q$7,0,IF($D119&gt;SUM($G119:P119),$D119/$E119,0))</f>
        <v>0</v>
      </c>
      <c r="R119" s="263">
        <f>IF($C119+1&gt;R$7,0,IF($D119&gt;SUM($G119:Q119),$D119/$E119,0))</f>
        <v>0</v>
      </c>
      <c r="S119" s="263">
        <f>IF($C119+1&gt;S$7,0,IF($D119&gt;SUM($G119:R119),$D119/$E119,0))</f>
        <v>0</v>
      </c>
      <c r="T119" s="263">
        <f>IF($C119+1&gt;T$7,0,IF($D119&gt;SUM($G119:S119),$D119/$E119,0))</f>
        <v>0</v>
      </c>
      <c r="U119" s="263">
        <f>IF($C119+1&gt;U$7,0,IF($D119&gt;SUM($G119:T119),$D119/$E119,0))</f>
        <v>0</v>
      </c>
      <c r="V119" s="263">
        <f>IF($C119+1&gt;V$7,0,IF($D119&gt;SUM($G119:U119),$D119/$E119,0))</f>
        <v>0</v>
      </c>
      <c r="W119" s="263">
        <f>IF($C119+1&gt;W$7,0,IF($D119&gt;SUM($G119:V119),$D119/$E119,0))</f>
        <v>0</v>
      </c>
      <c r="X119" s="263">
        <f>IF($C119+1&gt;X$7,0,IF($D119&gt;SUM($G119:W119),$D119/$E119,0))</f>
        <v>0</v>
      </c>
      <c r="Y119" s="263">
        <f>IF($C119+1&gt;Y$7,0,IF($D119&gt;SUM($G119:X119),$D119/$E119,0))</f>
        <v>0</v>
      </c>
      <c r="Z119" s="263">
        <f>IF($C119+1&gt;Z$7,0,IF($D119&gt;SUM($G119:Y119),$D119/$E119,0))</f>
        <v>0</v>
      </c>
      <c r="AA119" s="263">
        <f>IF($C119+1&gt;AA$7,0,IF($D119&gt;SUM($G119:Z119),$D119/$E119,0))</f>
        <v>0</v>
      </c>
      <c r="AB119" s="263">
        <f>IF($C119+1&gt;AB$7,0,IF($D119&gt;SUM($G119:AA119),$D119/$E119,0))</f>
        <v>0</v>
      </c>
      <c r="AC119" s="263">
        <f>IF($C119+1&gt;AC$7,0,IF($D119&gt;SUM($G119:AB119),$D119/$E119,0))</f>
        <v>0</v>
      </c>
      <c r="AD119" s="263">
        <f>IF($C119+1&gt;AD$7,0,IF($D119&gt;SUM($G119:AC119),$D119/$E119,0))</f>
        <v>0</v>
      </c>
      <c r="AE119" s="263">
        <f>IF($C119+1&gt;AE$7,0,IF($D119&gt;SUM($G119:AD119),$D119/$E119,0))</f>
        <v>0</v>
      </c>
      <c r="AF119" s="263">
        <f>IF($C119+1&gt;AF$7,0,IF($D119&gt;SUM($G119:AE119),$D119/$E119,0))</f>
        <v>0</v>
      </c>
      <c r="AG119" s="263">
        <f>IF($C119+1&gt;AG$7,0,IF($D119&gt;SUM($G119:AF119),$D119/$E119,0))</f>
        <v>0</v>
      </c>
      <c r="AH119" s="263">
        <f>IF($C119+1&gt;AH$7,0,IF($D119&gt;SUM($G119:AG119),$D119/$E119,0))</f>
        <v>0</v>
      </c>
      <c r="AI119" s="263">
        <f>IF($C119+1&gt;AI$7,0,IF($D119&gt;SUM($G119:AH119),$D119/$E119,0))</f>
        <v>0</v>
      </c>
      <c r="AJ119" s="263">
        <f>IF($C119+1&gt;AJ$7,0,IF($D119&gt;SUM($G119:AI119),$D119/$E119,0))</f>
        <v>0</v>
      </c>
      <c r="AK119" s="263">
        <f>IF($C119+1&gt;AK$7,0,IF($D119&gt;SUM($G119:AJ119),$D119/$E119,0))</f>
        <v>0</v>
      </c>
      <c r="AL119" s="263">
        <f>IF($C119+1&gt;AL$7,0,IF($D119&gt;SUM($G119:AK119),$D119/$E119,0))</f>
        <v>0</v>
      </c>
      <c r="AM119" s="263">
        <f>IF($C119+1&gt;AM$7,0,IF($D119&gt;SUM($G119:AL119),$D119/$E119,0))</f>
        <v>0</v>
      </c>
      <c r="AN119" s="263">
        <f>IF($C119+1&gt;AN$7,0,IF($D119&gt;SUM($G119:AM119),$D119/$E119,0))</f>
        <v>0</v>
      </c>
      <c r="AO119" s="263">
        <f>IF($C119+1&gt;AO$7,0,IF($D119&gt;SUM($G119:AN119),$D119/$E119,0))</f>
        <v>0</v>
      </c>
      <c r="AP119" s="263">
        <f>IF($C119+1&gt;AP$7,0,IF($D119&gt;SUM($G119:AO119),$D119/$E119,0))</f>
        <v>0</v>
      </c>
      <c r="AQ119" s="263">
        <f>IF($C119+1&gt;AQ$7,0,IF($D119&gt;SUM($G119:AP119),$D119/$E119,0))</f>
        <v>0</v>
      </c>
      <c r="AR119" s="263">
        <f>IF($C119+1&gt;AR$7,0,IF($D119&gt;SUM($G119:AQ119),$D119/$E119,0))</f>
        <v>0</v>
      </c>
      <c r="AS119" s="263">
        <f>IF($C119+1&gt;AS$7,0,IF($D119&gt;SUM($G119:AR119),$D119/$E119,0))</f>
        <v>0</v>
      </c>
      <c r="AT119" s="263">
        <f>IF($C119+1&gt;AT$7,0,IF($D119&gt;SUM($G119:AS119),$D119/$E119,0))</f>
        <v>0</v>
      </c>
      <c r="AU119" s="263">
        <f>IF($C119+1&gt;AU$7,0,IF($D119&gt;SUM($G119:AT119),$D119/$E119,0))</f>
        <v>0</v>
      </c>
      <c r="AV119" s="263">
        <f>IF($C119+1&gt;AV$7,0,IF($D119&gt;SUM($G119:AU119),$D119/$E119,0))</f>
        <v>0</v>
      </c>
      <c r="AW119" s="263">
        <f>IF($C119+1&gt;AW$7,0,IF($D119&gt;SUM($G119:AV119),$D119/$E119,0))</f>
        <v>0</v>
      </c>
      <c r="AX119" s="263">
        <f>IF($C119+1&gt;AX$7,0,IF($D119&gt;SUM($G119:AW119),$D119/$E119,0))</f>
        <v>0</v>
      </c>
      <c r="AY119" s="263">
        <f>IF($C119+1&gt;AY$7,0,IF($D119&gt;SUM($G119:AX119),$D119/$E119,0))</f>
        <v>0</v>
      </c>
      <c r="AZ119" s="263">
        <f>IF($C119+1&gt;AZ$7,0,IF($D119&gt;SUM($G119:AY119),$D119/$E119,0))</f>
        <v>0</v>
      </c>
      <c r="BA119" s="263">
        <f>IF($C119+1&gt;BA$7,0,IF($D119&gt;SUM($G119:AZ119),$D119/$E119,0))</f>
        <v>0</v>
      </c>
      <c r="BB119" s="263">
        <f>IF($C119+1&gt;BB$7,0,IF($D119&gt;SUM($G119:BA119),$D119/$E119,0))</f>
        <v>0</v>
      </c>
      <c r="BC119" s="263">
        <f>IF($C119+1&gt;BC$7,0,IF($D119&gt;SUM($G119:BB119),$D119/$E119,0))</f>
        <v>0</v>
      </c>
      <c r="BD119" s="263">
        <f>IF($C119+1&gt;BD$7,0,IF($D119&gt;SUM($G119:BC119),$D119/$E119,0))</f>
        <v>0</v>
      </c>
      <c r="BE119" s="263">
        <f>IF($C119+1&gt;BE$7,0,IF($D119&gt;SUM($G119:BD119),$D119/$E119,0))</f>
        <v>0</v>
      </c>
      <c r="BF119" s="263">
        <f>IF($C119+1&gt;BF$7,0,IF($D119&gt;SUM($G119:BE119),$D119/$E119,0))</f>
        <v>0</v>
      </c>
      <c r="BG119" s="263">
        <f>IF($C119+1&gt;BG$7,0,IF($D119&gt;SUM($G119:BF119),$D119/$E119,0))</f>
        <v>0</v>
      </c>
      <c r="BH119" s="263">
        <f>IF($C119+1&gt;BH$7,0,IF($D119&gt;SUM($G119:BG119),$D119/$E119,0))</f>
        <v>0</v>
      </c>
      <c r="BI119" s="263">
        <f>IF($C119+1&gt;BI$7,0,IF($D119&gt;SUM($G119:BH119),$D119/$E119,0))</f>
        <v>0</v>
      </c>
      <c r="BJ119" s="263">
        <f>IF($C119+1&gt;BJ$7,0,IF($D119&gt;SUM($G119:BI119),$D119/$E119,0))</f>
        <v>0</v>
      </c>
      <c r="BK119" s="263">
        <f>IF($C119+1&gt;BK$7,0,IF($D119&gt;SUM($G119:BJ119),$D119/$E119,0))</f>
        <v>0</v>
      </c>
      <c r="BL119" s="263">
        <f>IF($C119+1&gt;BL$7,0,IF($D119&gt;SUM($G119:BK119),$D119/$E119,0))</f>
        <v>0</v>
      </c>
      <c r="BM119" s="263">
        <f>IF($C119+1&gt;BM$7,0,IF($D119&gt;SUM($G119:BL119),$D119/$E119,0))</f>
        <v>0</v>
      </c>
      <c r="BN119" s="263">
        <f>IF($C119+1&gt;BN$7,0,IF($D119&gt;SUM($G119:BM119),$D119/$E119,0))</f>
        <v>0</v>
      </c>
      <c r="BO119" s="263"/>
      <c r="BP119" s="263"/>
      <c r="BQ119" s="263"/>
      <c r="BR119" s="263"/>
      <c r="BS119" s="263"/>
      <c r="BT119" s="263"/>
      <c r="BU119" s="263"/>
      <c r="BV119" s="263"/>
      <c r="BW119" s="263"/>
      <c r="BX119" s="263"/>
      <c r="BY119" s="263"/>
      <c r="BZ119" s="263"/>
      <c r="CA119" s="254"/>
      <c r="CB119" s="254"/>
      <c r="CC119" s="254"/>
      <c r="CD119" s="254"/>
      <c r="CE119" s="254"/>
      <c r="CF119" s="254"/>
      <c r="CG119" s="254"/>
      <c r="CH119" s="254"/>
      <c r="CI119" s="254"/>
      <c r="CJ119" s="254"/>
      <c r="CK119" s="254"/>
      <c r="CL119" s="254"/>
    </row>
    <row r="120" spans="1:90" outlineLevel="1" x14ac:dyDescent="0.15">
      <c r="A120" s="50"/>
      <c r="B120" s="23"/>
      <c r="C120" s="26">
        <v>12</v>
      </c>
      <c r="D120" s="281">
        <v>0</v>
      </c>
      <c r="E120" s="26">
        <f>SAP_Leadsheet!$E$61</f>
        <v>7</v>
      </c>
      <c r="G120" s="263">
        <f>IF($C120+1&gt;G$7,0,IF($D120&gt;SUM(#REF!),$D120/$E120,0))</f>
        <v>0</v>
      </c>
      <c r="H120" s="263">
        <f>IF($C120+1&gt;H$7,0,IF($D120&gt;SUM($G120:G120),$D120/$E120,0))</f>
        <v>0</v>
      </c>
      <c r="I120" s="263">
        <f>IF($C120+1&gt;I$7,0,IF($D120&gt;SUM($G120:H120),$D120/$E120,0))</f>
        <v>0</v>
      </c>
      <c r="J120" s="263">
        <f>IF($C120+1&gt;J$7,0,IF($D120&gt;SUM($G120:I120),$D120/$E120,0))</f>
        <v>0</v>
      </c>
      <c r="K120" s="263">
        <f>IF($C120+1&gt;K$7,0,IF($D120&gt;SUM($G120:J120),$D120/$E120,0))</f>
        <v>0</v>
      </c>
      <c r="L120" s="263">
        <f>IF($C120+1&gt;L$7,0,IF($D120&gt;SUM($G120:K120),$D120/$E120,0))</f>
        <v>0</v>
      </c>
      <c r="M120" s="263">
        <f>IF($C120+1&gt;M$7,0,IF($D120&gt;SUM($G120:L120),$D120/$E120,0))</f>
        <v>0</v>
      </c>
      <c r="N120" s="263">
        <f>IF($C120+1&gt;N$7,0,IF($D120&gt;SUM($G120:M120),$D120/$E120,0))</f>
        <v>0</v>
      </c>
      <c r="O120" s="263">
        <f>IF($C120+1&gt;O$7,0,IF($D120&gt;SUM($G120:N120),$D120/$E120,0))</f>
        <v>0</v>
      </c>
      <c r="P120" s="263">
        <f>IF($C120+1&gt;P$7,0,IF($D120&gt;SUM($G120:O120),$D120/$E120,0))</f>
        <v>0</v>
      </c>
      <c r="Q120" s="263">
        <f>IF($C120+1&gt;Q$7,0,IF($D120&gt;SUM($G120:P120),$D120/$E120,0))</f>
        <v>0</v>
      </c>
      <c r="R120" s="263">
        <f>IF($C120+1&gt;R$7,0,IF($D120&gt;SUM($G120:Q120),$D120/$E120,0))</f>
        <v>0</v>
      </c>
      <c r="S120" s="263">
        <f>IF($C120+1&gt;S$7,0,IF($D120&gt;SUM($G120:R120),$D120/$E120,0))</f>
        <v>0</v>
      </c>
      <c r="T120" s="263">
        <f>IF($C120+1&gt;T$7,0,IF($D120&gt;SUM($G120:S120),$D120/$E120,0))</f>
        <v>0</v>
      </c>
      <c r="U120" s="263">
        <f>IF($C120+1&gt;U$7,0,IF($D120&gt;SUM($G120:T120),$D120/$E120,0))</f>
        <v>0</v>
      </c>
      <c r="V120" s="263">
        <f>IF($C120+1&gt;V$7,0,IF($D120&gt;SUM($G120:U120),$D120/$E120,0))</f>
        <v>0</v>
      </c>
      <c r="W120" s="263">
        <f>IF($C120+1&gt;W$7,0,IF($D120&gt;SUM($G120:V120),$D120/$E120,0))</f>
        <v>0</v>
      </c>
      <c r="X120" s="263">
        <f>IF($C120+1&gt;X$7,0,IF($D120&gt;SUM($G120:W120),$D120/$E120,0))</f>
        <v>0</v>
      </c>
      <c r="Y120" s="263">
        <f>IF($C120+1&gt;Y$7,0,IF($D120&gt;SUM($G120:X120),$D120/$E120,0))</f>
        <v>0</v>
      </c>
      <c r="Z120" s="263">
        <f>IF($C120+1&gt;Z$7,0,IF($D120&gt;SUM($G120:Y120),$D120/$E120,0))</f>
        <v>0</v>
      </c>
      <c r="AA120" s="263">
        <f>IF($C120+1&gt;AA$7,0,IF($D120&gt;SUM($G120:Z120),$D120/$E120,0))</f>
        <v>0</v>
      </c>
      <c r="AB120" s="263">
        <f>IF($C120+1&gt;AB$7,0,IF($D120&gt;SUM($G120:AA120),$D120/$E120,0))</f>
        <v>0</v>
      </c>
      <c r="AC120" s="263">
        <f>IF($C120+1&gt;AC$7,0,IF($D120&gt;SUM($G120:AB120),$D120/$E120,0))</f>
        <v>0</v>
      </c>
      <c r="AD120" s="263">
        <f>IF($C120+1&gt;AD$7,0,IF($D120&gt;SUM($G120:AC120),$D120/$E120,0))</f>
        <v>0</v>
      </c>
      <c r="AE120" s="263">
        <f>IF($C120+1&gt;AE$7,0,IF($D120&gt;SUM($G120:AD120),$D120/$E120,0))</f>
        <v>0</v>
      </c>
      <c r="AF120" s="263">
        <f>IF($C120+1&gt;AF$7,0,IF($D120&gt;SUM($G120:AE120),$D120/$E120,0))</f>
        <v>0</v>
      </c>
      <c r="AG120" s="263">
        <f>IF($C120+1&gt;AG$7,0,IF($D120&gt;SUM($G120:AF120),$D120/$E120,0))</f>
        <v>0</v>
      </c>
      <c r="AH120" s="263">
        <f>IF($C120+1&gt;AH$7,0,IF($D120&gt;SUM($G120:AG120),$D120/$E120,0))</f>
        <v>0</v>
      </c>
      <c r="AI120" s="263">
        <f>IF($C120+1&gt;AI$7,0,IF($D120&gt;SUM($G120:AH120),$D120/$E120,0))</f>
        <v>0</v>
      </c>
      <c r="AJ120" s="263">
        <f>IF($C120+1&gt;AJ$7,0,IF($D120&gt;SUM($G120:AI120),$D120/$E120,0))</f>
        <v>0</v>
      </c>
      <c r="AK120" s="263">
        <f>IF($C120+1&gt;AK$7,0,IF($D120&gt;SUM($G120:AJ120),$D120/$E120,0))</f>
        <v>0</v>
      </c>
      <c r="AL120" s="263">
        <f>IF($C120+1&gt;AL$7,0,IF($D120&gt;SUM($G120:AK120),$D120/$E120,0))</f>
        <v>0</v>
      </c>
      <c r="AM120" s="263">
        <f>IF($C120+1&gt;AM$7,0,IF($D120&gt;SUM($G120:AL120),$D120/$E120,0))</f>
        <v>0</v>
      </c>
      <c r="AN120" s="263">
        <f>IF($C120+1&gt;AN$7,0,IF($D120&gt;SUM($G120:AM120),$D120/$E120,0))</f>
        <v>0</v>
      </c>
      <c r="AO120" s="263">
        <f>IF($C120+1&gt;AO$7,0,IF($D120&gt;SUM($G120:AN120),$D120/$E120,0))</f>
        <v>0</v>
      </c>
      <c r="AP120" s="263">
        <f>IF($C120+1&gt;AP$7,0,IF($D120&gt;SUM($G120:AO120),$D120/$E120,0))</f>
        <v>0</v>
      </c>
      <c r="AQ120" s="263">
        <f>IF($C120+1&gt;AQ$7,0,IF($D120&gt;SUM($G120:AP120),$D120/$E120,0))</f>
        <v>0</v>
      </c>
      <c r="AR120" s="263">
        <f>IF($C120+1&gt;AR$7,0,IF($D120&gt;SUM($G120:AQ120),$D120/$E120,0))</f>
        <v>0</v>
      </c>
      <c r="AS120" s="263">
        <f>IF($C120+1&gt;AS$7,0,IF($D120&gt;SUM($G120:AR120),$D120/$E120,0))</f>
        <v>0</v>
      </c>
      <c r="AT120" s="263">
        <f>IF($C120+1&gt;AT$7,0,IF($D120&gt;SUM($G120:AS120),$D120/$E120,0))</f>
        <v>0</v>
      </c>
      <c r="AU120" s="263">
        <f>IF($C120+1&gt;AU$7,0,IF($D120&gt;SUM($G120:AT120),$D120/$E120,0))</f>
        <v>0</v>
      </c>
      <c r="AV120" s="263">
        <f>IF($C120+1&gt;AV$7,0,IF($D120&gt;SUM($G120:AU120),$D120/$E120,0))</f>
        <v>0</v>
      </c>
      <c r="AW120" s="263">
        <f>IF($C120+1&gt;AW$7,0,IF($D120&gt;SUM($G120:AV120),$D120/$E120,0))</f>
        <v>0</v>
      </c>
      <c r="AX120" s="263">
        <f>IF($C120+1&gt;AX$7,0,IF($D120&gt;SUM($G120:AW120),$D120/$E120,0))</f>
        <v>0</v>
      </c>
      <c r="AY120" s="263">
        <f>IF($C120+1&gt;AY$7,0,IF($D120&gt;SUM($G120:AX120),$D120/$E120,0))</f>
        <v>0</v>
      </c>
      <c r="AZ120" s="263">
        <f>IF($C120+1&gt;AZ$7,0,IF($D120&gt;SUM($G120:AY120),$D120/$E120,0))</f>
        <v>0</v>
      </c>
      <c r="BA120" s="263">
        <f>IF($C120+1&gt;BA$7,0,IF($D120&gt;SUM($G120:AZ120),$D120/$E120,0))</f>
        <v>0</v>
      </c>
      <c r="BB120" s="263">
        <f>IF($C120+1&gt;BB$7,0,IF($D120&gt;SUM($G120:BA120),$D120/$E120,0))</f>
        <v>0</v>
      </c>
      <c r="BC120" s="263">
        <f>IF($C120+1&gt;BC$7,0,IF($D120&gt;SUM($G120:BB120),$D120/$E120,0))</f>
        <v>0</v>
      </c>
      <c r="BD120" s="263">
        <f>IF($C120+1&gt;BD$7,0,IF($D120&gt;SUM($G120:BC120),$D120/$E120,0))</f>
        <v>0</v>
      </c>
      <c r="BE120" s="263">
        <f>IF($C120+1&gt;BE$7,0,IF($D120&gt;SUM($G120:BD120),$D120/$E120,0))</f>
        <v>0</v>
      </c>
      <c r="BF120" s="263">
        <f>IF($C120+1&gt;BF$7,0,IF($D120&gt;SUM($G120:BE120),$D120/$E120,0))</f>
        <v>0</v>
      </c>
      <c r="BG120" s="263">
        <f>IF($C120+1&gt;BG$7,0,IF($D120&gt;SUM($G120:BF120),$D120/$E120,0))</f>
        <v>0</v>
      </c>
      <c r="BH120" s="263">
        <f>IF($C120+1&gt;BH$7,0,IF($D120&gt;SUM($G120:BG120),$D120/$E120,0))</f>
        <v>0</v>
      </c>
      <c r="BI120" s="263">
        <f>IF($C120+1&gt;BI$7,0,IF($D120&gt;SUM($G120:BH120),$D120/$E120,0))</f>
        <v>0</v>
      </c>
      <c r="BJ120" s="263">
        <f>IF($C120+1&gt;BJ$7,0,IF($D120&gt;SUM($G120:BI120),$D120/$E120,0))</f>
        <v>0</v>
      </c>
      <c r="BK120" s="263">
        <f>IF($C120+1&gt;BK$7,0,IF($D120&gt;SUM($G120:BJ120),$D120/$E120,0))</f>
        <v>0</v>
      </c>
      <c r="BL120" s="263">
        <f>IF($C120+1&gt;BL$7,0,IF($D120&gt;SUM($G120:BK120),$D120/$E120,0))</f>
        <v>0</v>
      </c>
      <c r="BM120" s="263">
        <f>IF($C120+1&gt;BM$7,0,IF($D120&gt;SUM($G120:BL120),$D120/$E120,0))</f>
        <v>0</v>
      </c>
      <c r="BN120" s="263">
        <f>IF($C120+1&gt;BN$7,0,IF($D120&gt;SUM($G120:BM120),$D120/$E120,0))</f>
        <v>0</v>
      </c>
      <c r="BO120" s="263"/>
      <c r="BP120" s="263"/>
      <c r="BQ120" s="263"/>
      <c r="BR120" s="263"/>
      <c r="BS120" s="263"/>
      <c r="BT120" s="263"/>
      <c r="BU120" s="263"/>
      <c r="BV120" s="263"/>
      <c r="BW120" s="263"/>
      <c r="BX120" s="263"/>
      <c r="BY120" s="263"/>
      <c r="BZ120" s="263"/>
      <c r="CA120" s="254"/>
      <c r="CB120" s="254"/>
      <c r="CC120" s="254"/>
      <c r="CD120" s="254"/>
      <c r="CE120" s="254"/>
      <c r="CF120" s="254"/>
      <c r="CG120" s="254"/>
      <c r="CH120" s="254"/>
      <c r="CI120" s="254"/>
      <c r="CJ120" s="254"/>
      <c r="CK120" s="254"/>
      <c r="CL120" s="254"/>
    </row>
    <row r="121" spans="1:90" outlineLevel="1" x14ac:dyDescent="0.15">
      <c r="A121" s="50"/>
      <c r="B121" s="23"/>
      <c r="C121" s="26">
        <v>13</v>
      </c>
      <c r="D121" s="281">
        <v>0</v>
      </c>
      <c r="E121" s="26">
        <f>SAP_Leadsheet!$E$61</f>
        <v>7</v>
      </c>
      <c r="G121" s="263">
        <f>IF($C121+1&gt;G$7,0,IF($D121&gt;SUM(#REF!),$D121/$E121,0))</f>
        <v>0</v>
      </c>
      <c r="H121" s="263">
        <f>IF($C121+1&gt;H$7,0,IF($D121&gt;SUM($G121:G121),$D121/$E121,0))</f>
        <v>0</v>
      </c>
      <c r="I121" s="263">
        <f>IF($C121+1&gt;I$7,0,IF($D121&gt;SUM($G121:H121),$D121/$E121,0))</f>
        <v>0</v>
      </c>
      <c r="J121" s="263">
        <f>IF($C121+1&gt;J$7,0,IF($D121&gt;SUM($G121:I121),$D121/$E121,0))</f>
        <v>0</v>
      </c>
      <c r="K121" s="263">
        <f>IF($C121+1&gt;K$7,0,IF($D121&gt;SUM($G121:J121),$D121/$E121,0))</f>
        <v>0</v>
      </c>
      <c r="L121" s="263">
        <f>IF($C121+1&gt;L$7,0,IF($D121&gt;SUM($G121:K121),$D121/$E121,0))</f>
        <v>0</v>
      </c>
      <c r="M121" s="263">
        <f>IF($C121+1&gt;M$7,0,IF($D121&gt;SUM($G121:L121),$D121/$E121,0))</f>
        <v>0</v>
      </c>
      <c r="N121" s="263">
        <f>IF($C121+1&gt;N$7,0,IF($D121&gt;SUM($G121:M121),$D121/$E121,0))</f>
        <v>0</v>
      </c>
      <c r="O121" s="263">
        <f>IF($C121+1&gt;O$7,0,IF($D121&gt;SUM($G121:N121),$D121/$E121,0))</f>
        <v>0</v>
      </c>
      <c r="P121" s="263">
        <f>IF($C121+1&gt;P$7,0,IF($D121&gt;SUM($G121:O121),$D121/$E121,0))</f>
        <v>0</v>
      </c>
      <c r="Q121" s="263">
        <f>IF($C121+1&gt;Q$7,0,IF($D121&gt;SUM($G121:P121),$D121/$E121,0))</f>
        <v>0</v>
      </c>
      <c r="R121" s="263">
        <f>IF($C121+1&gt;R$7,0,IF($D121&gt;SUM($G121:Q121),$D121/$E121,0))</f>
        <v>0</v>
      </c>
      <c r="S121" s="263">
        <f>IF($C121+1&gt;S$7,0,IF($D121&gt;SUM($G121:R121),$D121/$E121,0))</f>
        <v>0</v>
      </c>
      <c r="T121" s="263">
        <f>IF($C121+1&gt;T$7,0,IF($D121&gt;SUM($G121:S121),$D121/$E121,0))</f>
        <v>0</v>
      </c>
      <c r="U121" s="263">
        <f>IF($C121+1&gt;U$7,0,IF($D121&gt;SUM($G121:T121),$D121/$E121,0))</f>
        <v>0</v>
      </c>
      <c r="V121" s="263">
        <f>IF($C121+1&gt;V$7,0,IF($D121&gt;SUM($G121:U121),$D121/$E121,0))</f>
        <v>0</v>
      </c>
      <c r="W121" s="263">
        <f>IF($C121+1&gt;W$7,0,IF($D121&gt;SUM($G121:V121),$D121/$E121,0))</f>
        <v>0</v>
      </c>
      <c r="X121" s="263">
        <f>IF($C121+1&gt;X$7,0,IF($D121&gt;SUM($G121:W121),$D121/$E121,0))</f>
        <v>0</v>
      </c>
      <c r="Y121" s="263">
        <f>IF($C121+1&gt;Y$7,0,IF($D121&gt;SUM($G121:X121),$D121/$E121,0))</f>
        <v>0</v>
      </c>
      <c r="Z121" s="263">
        <f>IF($C121+1&gt;Z$7,0,IF($D121&gt;SUM($G121:Y121),$D121/$E121,0))</f>
        <v>0</v>
      </c>
      <c r="AA121" s="263">
        <f>IF($C121+1&gt;AA$7,0,IF($D121&gt;SUM($G121:Z121),$D121/$E121,0))</f>
        <v>0</v>
      </c>
      <c r="AB121" s="263">
        <f>IF($C121+1&gt;AB$7,0,IF($D121&gt;SUM($G121:AA121),$D121/$E121,0))</f>
        <v>0</v>
      </c>
      <c r="AC121" s="263">
        <f>IF($C121+1&gt;AC$7,0,IF($D121&gt;SUM($G121:AB121),$D121/$E121,0))</f>
        <v>0</v>
      </c>
      <c r="AD121" s="263">
        <f>IF($C121+1&gt;AD$7,0,IF($D121&gt;SUM($G121:AC121),$D121/$E121,0))</f>
        <v>0</v>
      </c>
      <c r="AE121" s="263">
        <f>IF($C121+1&gt;AE$7,0,IF($D121&gt;SUM($G121:AD121),$D121/$E121,0))</f>
        <v>0</v>
      </c>
      <c r="AF121" s="263">
        <f>IF($C121+1&gt;AF$7,0,IF($D121&gt;SUM($G121:AE121),$D121/$E121,0))</f>
        <v>0</v>
      </c>
      <c r="AG121" s="263">
        <f>IF($C121+1&gt;AG$7,0,IF($D121&gt;SUM($G121:AF121),$D121/$E121,0))</f>
        <v>0</v>
      </c>
      <c r="AH121" s="263">
        <f>IF($C121+1&gt;AH$7,0,IF($D121&gt;SUM($G121:AG121),$D121/$E121,0))</f>
        <v>0</v>
      </c>
      <c r="AI121" s="263">
        <f>IF($C121+1&gt;AI$7,0,IF($D121&gt;SUM($G121:AH121),$D121/$E121,0))</f>
        <v>0</v>
      </c>
      <c r="AJ121" s="263">
        <f>IF($C121+1&gt;AJ$7,0,IF($D121&gt;SUM($G121:AI121),$D121/$E121,0))</f>
        <v>0</v>
      </c>
      <c r="AK121" s="263">
        <f>IF($C121+1&gt;AK$7,0,IF($D121&gt;SUM($G121:AJ121),$D121/$E121,0))</f>
        <v>0</v>
      </c>
      <c r="AL121" s="263">
        <f>IF($C121+1&gt;AL$7,0,IF($D121&gt;SUM($G121:AK121),$D121/$E121,0))</f>
        <v>0</v>
      </c>
      <c r="AM121" s="263">
        <f>IF($C121+1&gt;AM$7,0,IF($D121&gt;SUM($G121:AL121),$D121/$E121,0))</f>
        <v>0</v>
      </c>
      <c r="AN121" s="263">
        <f>IF($C121+1&gt;AN$7,0,IF($D121&gt;SUM($G121:AM121),$D121/$E121,0))</f>
        <v>0</v>
      </c>
      <c r="AO121" s="263">
        <f>IF($C121+1&gt;AO$7,0,IF($D121&gt;SUM($G121:AN121),$D121/$E121,0))</f>
        <v>0</v>
      </c>
      <c r="AP121" s="263">
        <f>IF($C121+1&gt;AP$7,0,IF($D121&gt;SUM($G121:AO121),$D121/$E121,0))</f>
        <v>0</v>
      </c>
      <c r="AQ121" s="263">
        <f>IF($C121+1&gt;AQ$7,0,IF($D121&gt;SUM($G121:AP121),$D121/$E121,0))</f>
        <v>0</v>
      </c>
      <c r="AR121" s="263">
        <f>IF($C121+1&gt;AR$7,0,IF($D121&gt;SUM($G121:AQ121),$D121/$E121,0))</f>
        <v>0</v>
      </c>
      <c r="AS121" s="263">
        <f>IF($C121+1&gt;AS$7,0,IF($D121&gt;SUM($G121:AR121),$D121/$E121,0))</f>
        <v>0</v>
      </c>
      <c r="AT121" s="263">
        <f>IF($C121+1&gt;AT$7,0,IF($D121&gt;SUM($G121:AS121),$D121/$E121,0))</f>
        <v>0</v>
      </c>
      <c r="AU121" s="263">
        <f>IF($C121+1&gt;AU$7,0,IF($D121&gt;SUM($G121:AT121),$D121/$E121,0))</f>
        <v>0</v>
      </c>
      <c r="AV121" s="263">
        <f>IF($C121+1&gt;AV$7,0,IF($D121&gt;SUM($G121:AU121),$D121/$E121,0))</f>
        <v>0</v>
      </c>
      <c r="AW121" s="263">
        <f>IF($C121+1&gt;AW$7,0,IF($D121&gt;SUM($G121:AV121),$D121/$E121,0))</f>
        <v>0</v>
      </c>
      <c r="AX121" s="263">
        <f>IF($C121+1&gt;AX$7,0,IF($D121&gt;SUM($G121:AW121),$D121/$E121,0))</f>
        <v>0</v>
      </c>
      <c r="AY121" s="263">
        <f>IF($C121+1&gt;AY$7,0,IF($D121&gt;SUM($G121:AX121),$D121/$E121,0))</f>
        <v>0</v>
      </c>
      <c r="AZ121" s="263">
        <f>IF($C121+1&gt;AZ$7,0,IF($D121&gt;SUM($G121:AY121),$D121/$E121,0))</f>
        <v>0</v>
      </c>
      <c r="BA121" s="263">
        <f>IF($C121+1&gt;BA$7,0,IF($D121&gt;SUM($G121:AZ121),$D121/$E121,0))</f>
        <v>0</v>
      </c>
      <c r="BB121" s="263">
        <f>IF($C121+1&gt;BB$7,0,IF($D121&gt;SUM($G121:BA121),$D121/$E121,0))</f>
        <v>0</v>
      </c>
      <c r="BC121" s="263">
        <f>IF($C121+1&gt;BC$7,0,IF($D121&gt;SUM($G121:BB121),$D121/$E121,0))</f>
        <v>0</v>
      </c>
      <c r="BD121" s="263">
        <f>IF($C121+1&gt;BD$7,0,IF($D121&gt;SUM($G121:BC121),$D121/$E121,0))</f>
        <v>0</v>
      </c>
      <c r="BE121" s="263">
        <f>IF($C121+1&gt;BE$7,0,IF($D121&gt;SUM($G121:BD121),$D121/$E121,0))</f>
        <v>0</v>
      </c>
      <c r="BF121" s="263">
        <f>IF($C121+1&gt;BF$7,0,IF($D121&gt;SUM($G121:BE121),$D121/$E121,0))</f>
        <v>0</v>
      </c>
      <c r="BG121" s="263">
        <f>IF($C121+1&gt;BG$7,0,IF($D121&gt;SUM($G121:BF121),$D121/$E121,0))</f>
        <v>0</v>
      </c>
      <c r="BH121" s="263">
        <f>IF($C121+1&gt;BH$7,0,IF($D121&gt;SUM($G121:BG121),$D121/$E121,0))</f>
        <v>0</v>
      </c>
      <c r="BI121" s="263">
        <f>IF($C121+1&gt;BI$7,0,IF($D121&gt;SUM($G121:BH121),$D121/$E121,0))</f>
        <v>0</v>
      </c>
      <c r="BJ121" s="263">
        <f>IF($C121+1&gt;BJ$7,0,IF($D121&gt;SUM($G121:BI121),$D121/$E121,0))</f>
        <v>0</v>
      </c>
      <c r="BK121" s="263">
        <f>IF($C121+1&gt;BK$7,0,IF($D121&gt;SUM($G121:BJ121),$D121/$E121,0))</f>
        <v>0</v>
      </c>
      <c r="BL121" s="263">
        <f>IF($C121+1&gt;BL$7,0,IF($D121&gt;SUM($G121:BK121),$D121/$E121,0))</f>
        <v>0</v>
      </c>
      <c r="BM121" s="263">
        <f>IF($C121+1&gt;BM$7,0,IF($D121&gt;SUM($G121:BL121),$D121/$E121,0))</f>
        <v>0</v>
      </c>
      <c r="BN121" s="263">
        <f>IF($C121+1&gt;BN$7,0,IF($D121&gt;SUM($G121:BM121),$D121/$E121,0))</f>
        <v>0</v>
      </c>
      <c r="BO121" s="263"/>
      <c r="BP121" s="263"/>
      <c r="BQ121" s="263"/>
      <c r="BR121" s="263"/>
      <c r="BS121" s="263"/>
      <c r="BT121" s="263"/>
      <c r="BU121" s="263"/>
      <c r="BV121" s="263"/>
      <c r="BW121" s="263"/>
      <c r="BX121" s="263"/>
      <c r="BY121" s="263"/>
      <c r="BZ121" s="263"/>
      <c r="CA121" s="254"/>
      <c r="CB121" s="254"/>
      <c r="CC121" s="254"/>
      <c r="CD121" s="254"/>
      <c r="CE121" s="254"/>
      <c r="CF121" s="254"/>
      <c r="CG121" s="254"/>
      <c r="CH121" s="254"/>
      <c r="CI121" s="254"/>
      <c r="CJ121" s="254"/>
      <c r="CK121" s="254"/>
      <c r="CL121" s="254"/>
    </row>
    <row r="122" spans="1:90" outlineLevel="1" x14ac:dyDescent="0.15">
      <c r="A122" s="50"/>
      <c r="B122" s="23"/>
      <c r="C122" s="26">
        <v>14</v>
      </c>
      <c r="D122" s="281">
        <v>0</v>
      </c>
      <c r="E122" s="26">
        <f>SAP_Leadsheet!$E$61</f>
        <v>7</v>
      </c>
      <c r="G122" s="263">
        <f>IF($C122+1&gt;G$7,0,IF($D122&gt;SUM(#REF!),$D122/$E122,0))</f>
        <v>0</v>
      </c>
      <c r="H122" s="263">
        <f>IF($C122+1&gt;H$7,0,IF($D122&gt;SUM($G122:G122),$D122/$E122,0))</f>
        <v>0</v>
      </c>
      <c r="I122" s="263">
        <f>IF($C122+1&gt;I$7,0,IF($D122&gt;SUM($G122:H122),$D122/$E122,0))</f>
        <v>0</v>
      </c>
      <c r="J122" s="263">
        <f>IF($C122+1&gt;J$7,0,IF($D122&gt;SUM($G122:I122),$D122/$E122,0))</f>
        <v>0</v>
      </c>
      <c r="K122" s="263">
        <f>IF($C122+1&gt;K$7,0,IF($D122&gt;SUM($G122:J122),$D122/$E122,0))</f>
        <v>0</v>
      </c>
      <c r="L122" s="263">
        <f>IF($C122+1&gt;L$7,0,IF($D122&gt;SUM($G122:K122),$D122/$E122,0))</f>
        <v>0</v>
      </c>
      <c r="M122" s="263">
        <f>IF($C122+1&gt;M$7,0,IF($D122&gt;SUM($G122:L122),$D122/$E122,0))</f>
        <v>0</v>
      </c>
      <c r="N122" s="263">
        <f>IF($C122+1&gt;N$7,0,IF($D122&gt;SUM($G122:M122),$D122/$E122,0))</f>
        <v>0</v>
      </c>
      <c r="O122" s="263">
        <f>IF($C122+1&gt;O$7,0,IF($D122&gt;SUM($G122:N122),$D122/$E122,0))</f>
        <v>0</v>
      </c>
      <c r="P122" s="263">
        <f>IF($C122+1&gt;P$7,0,IF($D122&gt;SUM($G122:O122),$D122/$E122,0))</f>
        <v>0</v>
      </c>
      <c r="Q122" s="263">
        <f>IF($C122+1&gt;Q$7,0,IF($D122&gt;SUM($G122:P122),$D122/$E122,0))</f>
        <v>0</v>
      </c>
      <c r="R122" s="263">
        <f>IF($C122+1&gt;R$7,0,IF($D122&gt;SUM($G122:Q122),$D122/$E122,0))</f>
        <v>0</v>
      </c>
      <c r="S122" s="263">
        <f>IF($C122+1&gt;S$7,0,IF($D122&gt;SUM($G122:R122),$D122/$E122,0))</f>
        <v>0</v>
      </c>
      <c r="T122" s="263">
        <f>IF($C122+1&gt;T$7,0,IF($D122&gt;SUM($G122:S122),$D122/$E122,0))</f>
        <v>0</v>
      </c>
      <c r="U122" s="263">
        <f>IF($C122+1&gt;U$7,0,IF($D122&gt;SUM($G122:T122),$D122/$E122,0))</f>
        <v>0</v>
      </c>
      <c r="V122" s="263">
        <f>IF($C122+1&gt;V$7,0,IF($D122&gt;SUM($G122:U122),$D122/$E122,0))</f>
        <v>0</v>
      </c>
      <c r="W122" s="263">
        <f>IF($C122+1&gt;W$7,0,IF($D122&gt;SUM($G122:V122),$D122/$E122,0))</f>
        <v>0</v>
      </c>
      <c r="X122" s="263">
        <f>IF($C122+1&gt;X$7,0,IF($D122&gt;SUM($G122:W122),$D122/$E122,0))</f>
        <v>0</v>
      </c>
      <c r="Y122" s="263">
        <f>IF($C122+1&gt;Y$7,0,IF($D122&gt;SUM($G122:X122),$D122/$E122,0))</f>
        <v>0</v>
      </c>
      <c r="Z122" s="263">
        <f>IF($C122+1&gt;Z$7,0,IF($D122&gt;SUM($G122:Y122),$D122/$E122,0))</f>
        <v>0</v>
      </c>
      <c r="AA122" s="263">
        <f>IF($C122+1&gt;AA$7,0,IF($D122&gt;SUM($G122:Z122),$D122/$E122,0))</f>
        <v>0</v>
      </c>
      <c r="AB122" s="263">
        <f>IF($C122+1&gt;AB$7,0,IF($D122&gt;SUM($G122:AA122),$D122/$E122,0))</f>
        <v>0</v>
      </c>
      <c r="AC122" s="263">
        <f>IF($C122+1&gt;AC$7,0,IF($D122&gt;SUM($G122:AB122),$D122/$E122,0))</f>
        <v>0</v>
      </c>
      <c r="AD122" s="263">
        <f>IF($C122+1&gt;AD$7,0,IF($D122&gt;SUM($G122:AC122),$D122/$E122,0))</f>
        <v>0</v>
      </c>
      <c r="AE122" s="263">
        <f>IF($C122+1&gt;AE$7,0,IF($D122&gt;SUM($G122:AD122),$D122/$E122,0))</f>
        <v>0</v>
      </c>
      <c r="AF122" s="263">
        <f>IF($C122+1&gt;AF$7,0,IF($D122&gt;SUM($G122:AE122),$D122/$E122,0))</f>
        <v>0</v>
      </c>
      <c r="AG122" s="263">
        <f>IF($C122+1&gt;AG$7,0,IF($D122&gt;SUM($G122:AF122),$D122/$E122,0))</f>
        <v>0</v>
      </c>
      <c r="AH122" s="263">
        <f>IF($C122+1&gt;AH$7,0,IF($D122&gt;SUM($G122:AG122),$D122/$E122,0))</f>
        <v>0</v>
      </c>
      <c r="AI122" s="263">
        <f>IF($C122+1&gt;AI$7,0,IF($D122&gt;SUM($G122:AH122),$D122/$E122,0))</f>
        <v>0</v>
      </c>
      <c r="AJ122" s="263">
        <f>IF($C122+1&gt;AJ$7,0,IF($D122&gt;SUM($G122:AI122),$D122/$E122,0))</f>
        <v>0</v>
      </c>
      <c r="AK122" s="263">
        <f>IF($C122+1&gt;AK$7,0,IF($D122&gt;SUM($G122:AJ122),$D122/$E122,0))</f>
        <v>0</v>
      </c>
      <c r="AL122" s="263">
        <f>IF($C122+1&gt;AL$7,0,IF($D122&gt;SUM($G122:AK122),$D122/$E122,0))</f>
        <v>0</v>
      </c>
      <c r="AM122" s="263">
        <f>IF($C122+1&gt;AM$7,0,IF($D122&gt;SUM($G122:AL122),$D122/$E122,0))</f>
        <v>0</v>
      </c>
      <c r="AN122" s="263">
        <f>IF($C122+1&gt;AN$7,0,IF($D122&gt;SUM($G122:AM122),$D122/$E122,0))</f>
        <v>0</v>
      </c>
      <c r="AO122" s="263">
        <f>IF($C122+1&gt;AO$7,0,IF($D122&gt;SUM($G122:AN122),$D122/$E122,0))</f>
        <v>0</v>
      </c>
      <c r="AP122" s="263">
        <f>IF($C122+1&gt;AP$7,0,IF($D122&gt;SUM($G122:AO122),$D122/$E122,0))</f>
        <v>0</v>
      </c>
      <c r="AQ122" s="263">
        <f>IF($C122+1&gt;AQ$7,0,IF($D122&gt;SUM($G122:AP122),$D122/$E122,0))</f>
        <v>0</v>
      </c>
      <c r="AR122" s="263">
        <f>IF($C122+1&gt;AR$7,0,IF($D122&gt;SUM($G122:AQ122),$D122/$E122,0))</f>
        <v>0</v>
      </c>
      <c r="AS122" s="263">
        <f>IF($C122+1&gt;AS$7,0,IF($D122&gt;SUM($G122:AR122),$D122/$E122,0))</f>
        <v>0</v>
      </c>
      <c r="AT122" s="263">
        <f>IF($C122+1&gt;AT$7,0,IF($D122&gt;SUM($G122:AS122),$D122/$E122,0))</f>
        <v>0</v>
      </c>
      <c r="AU122" s="263">
        <f>IF($C122+1&gt;AU$7,0,IF($D122&gt;SUM($G122:AT122),$D122/$E122,0))</f>
        <v>0</v>
      </c>
      <c r="AV122" s="263">
        <f>IF($C122+1&gt;AV$7,0,IF($D122&gt;SUM($G122:AU122),$D122/$E122,0))</f>
        <v>0</v>
      </c>
      <c r="AW122" s="263">
        <f>IF($C122+1&gt;AW$7,0,IF($D122&gt;SUM($G122:AV122),$D122/$E122,0))</f>
        <v>0</v>
      </c>
      <c r="AX122" s="263">
        <f>IF($C122+1&gt;AX$7,0,IF($D122&gt;SUM($G122:AW122),$D122/$E122,0))</f>
        <v>0</v>
      </c>
      <c r="AY122" s="263">
        <f>IF($C122+1&gt;AY$7,0,IF($D122&gt;SUM($G122:AX122),$D122/$E122,0))</f>
        <v>0</v>
      </c>
      <c r="AZ122" s="263">
        <f>IF($C122+1&gt;AZ$7,0,IF($D122&gt;SUM($G122:AY122),$D122/$E122,0))</f>
        <v>0</v>
      </c>
      <c r="BA122" s="263">
        <f>IF($C122+1&gt;BA$7,0,IF($D122&gt;SUM($G122:AZ122),$D122/$E122,0))</f>
        <v>0</v>
      </c>
      <c r="BB122" s="263">
        <f>IF($C122+1&gt;BB$7,0,IF($D122&gt;SUM($G122:BA122),$D122/$E122,0))</f>
        <v>0</v>
      </c>
      <c r="BC122" s="263">
        <f>IF($C122+1&gt;BC$7,0,IF($D122&gt;SUM($G122:BB122),$D122/$E122,0))</f>
        <v>0</v>
      </c>
      <c r="BD122" s="263">
        <f>IF($C122+1&gt;BD$7,0,IF($D122&gt;SUM($G122:BC122),$D122/$E122,0))</f>
        <v>0</v>
      </c>
      <c r="BE122" s="263">
        <f>IF($C122+1&gt;BE$7,0,IF($D122&gt;SUM($G122:BD122),$D122/$E122,0))</f>
        <v>0</v>
      </c>
      <c r="BF122" s="263">
        <f>IF($C122+1&gt;BF$7,0,IF($D122&gt;SUM($G122:BE122),$D122/$E122,0))</f>
        <v>0</v>
      </c>
      <c r="BG122" s="263">
        <f>IF($C122+1&gt;BG$7,0,IF($D122&gt;SUM($G122:BF122),$D122/$E122,0))</f>
        <v>0</v>
      </c>
      <c r="BH122" s="263">
        <f>IF($C122+1&gt;BH$7,0,IF($D122&gt;SUM($G122:BG122),$D122/$E122,0))</f>
        <v>0</v>
      </c>
      <c r="BI122" s="263">
        <f>IF($C122+1&gt;BI$7,0,IF($D122&gt;SUM($G122:BH122),$D122/$E122,0))</f>
        <v>0</v>
      </c>
      <c r="BJ122" s="263">
        <f>IF($C122+1&gt;BJ$7,0,IF($D122&gt;SUM($G122:BI122),$D122/$E122,0))</f>
        <v>0</v>
      </c>
      <c r="BK122" s="263">
        <f>IF($C122+1&gt;BK$7,0,IF($D122&gt;SUM($G122:BJ122),$D122/$E122,0))</f>
        <v>0</v>
      </c>
      <c r="BL122" s="263">
        <f>IF($C122+1&gt;BL$7,0,IF($D122&gt;SUM($G122:BK122),$D122/$E122,0))</f>
        <v>0</v>
      </c>
      <c r="BM122" s="263">
        <f>IF($C122+1&gt;BM$7,0,IF($D122&gt;SUM($G122:BL122),$D122/$E122,0))</f>
        <v>0</v>
      </c>
      <c r="BN122" s="263">
        <f>IF($C122+1&gt;BN$7,0,IF($D122&gt;SUM($G122:BM122),$D122/$E122,0))</f>
        <v>0</v>
      </c>
      <c r="BO122" s="263"/>
      <c r="BP122" s="263"/>
      <c r="BQ122" s="263"/>
      <c r="BR122" s="263"/>
      <c r="BS122" s="263"/>
      <c r="BT122" s="263"/>
      <c r="BU122" s="263"/>
      <c r="BV122" s="263"/>
      <c r="BW122" s="263"/>
      <c r="BX122" s="263"/>
      <c r="BY122" s="263"/>
      <c r="BZ122" s="263"/>
      <c r="CA122" s="254"/>
      <c r="CB122" s="254"/>
      <c r="CC122" s="254"/>
      <c r="CD122" s="254"/>
      <c r="CE122" s="254"/>
      <c r="CF122" s="254"/>
      <c r="CG122" s="254"/>
      <c r="CH122" s="254"/>
      <c r="CI122" s="254"/>
      <c r="CJ122" s="254"/>
      <c r="CK122" s="254"/>
      <c r="CL122" s="254"/>
    </row>
    <row r="123" spans="1:90" outlineLevel="1" x14ac:dyDescent="0.15">
      <c r="A123" s="50"/>
      <c r="B123" s="23"/>
      <c r="C123" s="26">
        <v>15</v>
      </c>
      <c r="D123" s="281">
        <v>0.70000000000000007</v>
      </c>
      <c r="E123" s="26">
        <f>SAP_Leadsheet!$E$61</f>
        <v>7</v>
      </c>
      <c r="G123" s="263">
        <f>IF($C123+1&gt;G$7,0,IF($D123&gt;SUM(#REF!),$D123/$E123,0))</f>
        <v>0</v>
      </c>
      <c r="H123" s="263">
        <f>IF($C123+1&gt;H$7,0,IF($D123&gt;SUM($G123:G123),$D123/$E123,0))</f>
        <v>0</v>
      </c>
      <c r="I123" s="263">
        <f>IF($C123+1&gt;I$7,0,IF($D123&gt;SUM($G123:H123),$D123/$E123,0))</f>
        <v>0</v>
      </c>
      <c r="J123" s="263">
        <f>IF($C123+1&gt;J$7,0,IF($D123&gt;SUM($G123:I123),$D123/$E123,0))</f>
        <v>0</v>
      </c>
      <c r="K123" s="263">
        <f>IF($C123+1&gt;K$7,0,IF($D123&gt;SUM($G123:J123),$D123/$E123,0))</f>
        <v>0</v>
      </c>
      <c r="L123" s="263">
        <f>IF($C123+1&gt;L$7,0,IF($D123&gt;SUM($G123:K123),$D123/$E123,0))</f>
        <v>0</v>
      </c>
      <c r="M123" s="263">
        <f>IF($C123+1&gt;M$7,0,IF($D123&gt;SUM($G123:L123),$D123/$E123,0))</f>
        <v>0</v>
      </c>
      <c r="N123" s="263">
        <f>IF($C123+1&gt;N$7,0,IF($D123&gt;SUM($G123:M123),$D123/$E123,0))</f>
        <v>0</v>
      </c>
      <c r="O123" s="263">
        <f>IF($C123+1&gt;O$7,0,IF($D123&gt;SUM($G123:N123),$D123/$E123,0))</f>
        <v>0</v>
      </c>
      <c r="P123" s="263">
        <f>IF($C123+1&gt;P$7,0,IF($D123&gt;SUM($G123:O123),$D123/$E123,0))</f>
        <v>0</v>
      </c>
      <c r="Q123" s="263">
        <f>IF($C123+1&gt;Q$7,0,IF($D123&gt;SUM($G123:P123),$D123/$E123,0))</f>
        <v>0</v>
      </c>
      <c r="R123" s="263">
        <f>IF($C123+1&gt;R$7,0,IF($D123&gt;SUM($G123:Q123),$D123/$E123,0))</f>
        <v>0</v>
      </c>
      <c r="S123" s="263">
        <f>IF($C123+1&gt;S$7,0,IF($D123&gt;SUM($G123:R123),$D123/$E123,0))</f>
        <v>0</v>
      </c>
      <c r="T123" s="263">
        <f>IF($C123+1&gt;T$7,0,IF($D123&gt;SUM($G123:S123),$D123/$E123,0))</f>
        <v>0</v>
      </c>
      <c r="U123" s="263">
        <f>IF($C123+1&gt;U$7,0,IF($D123&gt;SUM($G123:T123),$D123/$E123,0))</f>
        <v>0</v>
      </c>
      <c r="V123" s="263">
        <f>IF($C123+1&gt;V$7,0,IF($D123&gt;SUM($G123:U123),$D123/$E123,0))</f>
        <v>0.1</v>
      </c>
      <c r="W123" s="263">
        <f>IF($C123+1&gt;W$7,0,IF($D123&gt;SUM($G123:V123),$D123/$E123,0))</f>
        <v>0.1</v>
      </c>
      <c r="X123" s="263">
        <f>IF($C123+1&gt;X$7,0,IF($D123&gt;SUM($G123:W123),$D123/$E123,0))</f>
        <v>0.1</v>
      </c>
      <c r="Y123" s="263">
        <f>IF($C123+1&gt;Y$7,0,IF($D123&gt;SUM($G123:X123),$D123/$E123,0))</f>
        <v>0.1</v>
      </c>
      <c r="Z123" s="263">
        <f>IF($C123+1&gt;Z$7,0,IF($D123&gt;SUM($G123:Y123),$D123/$E123,0))</f>
        <v>0.1</v>
      </c>
      <c r="AA123" s="263">
        <f>IF($C123+1&gt;AA$7,0,IF($D123&gt;SUM($G123:Z123),$D123/$E123,0))</f>
        <v>0.1</v>
      </c>
      <c r="AB123" s="263">
        <f>IF($C123+1&gt;AB$7,0,IF($D123&gt;SUM($G123:AA123),$D123/$E123,0))</f>
        <v>0.1</v>
      </c>
      <c r="AC123" s="263">
        <f>IF($C123+1&gt;AC$7,0,IF($D123&gt;SUM($G123:AB123),$D123/$E123,0))</f>
        <v>0</v>
      </c>
      <c r="AD123" s="263">
        <f>IF($C123+1&gt;AD$7,0,IF($D123&gt;SUM($G123:AC123),$D123/$E123,0))</f>
        <v>0</v>
      </c>
      <c r="AE123" s="263">
        <f>IF($C123+1&gt;AE$7,0,IF($D123&gt;SUM($G123:AD123),$D123/$E123,0))</f>
        <v>0</v>
      </c>
      <c r="AF123" s="263">
        <f>IF($C123+1&gt;AF$7,0,IF($D123&gt;SUM($G123:AE123),$D123/$E123,0))</f>
        <v>0</v>
      </c>
      <c r="AG123" s="263">
        <f>IF($C123+1&gt;AG$7,0,IF($D123&gt;SUM($G123:AF123),$D123/$E123,0))</f>
        <v>0</v>
      </c>
      <c r="AH123" s="263">
        <f>IF($C123+1&gt;AH$7,0,IF($D123&gt;SUM($G123:AG123),$D123/$E123,0))</f>
        <v>0</v>
      </c>
      <c r="AI123" s="263">
        <f>IF($C123+1&gt;AI$7,0,IF($D123&gt;SUM($G123:AH123),$D123/$E123,0))</f>
        <v>0</v>
      </c>
      <c r="AJ123" s="263">
        <f>IF($C123+1&gt;AJ$7,0,IF($D123&gt;SUM($G123:AI123),$D123/$E123,0))</f>
        <v>0</v>
      </c>
      <c r="AK123" s="263">
        <f>IF($C123+1&gt;AK$7,0,IF($D123&gt;SUM($G123:AJ123),$D123/$E123,0))</f>
        <v>0</v>
      </c>
      <c r="AL123" s="263">
        <f>IF($C123+1&gt;AL$7,0,IF($D123&gt;SUM($G123:AK123),$D123/$E123,0))</f>
        <v>0</v>
      </c>
      <c r="AM123" s="263">
        <f>IF($C123+1&gt;AM$7,0,IF($D123&gt;SUM($G123:AL123),$D123/$E123,0))</f>
        <v>0</v>
      </c>
      <c r="AN123" s="263">
        <f>IF($C123+1&gt;AN$7,0,IF($D123&gt;SUM($G123:AM123),$D123/$E123,0))</f>
        <v>0</v>
      </c>
      <c r="AO123" s="263">
        <f>IF($C123+1&gt;AO$7,0,IF($D123&gt;SUM($G123:AN123),$D123/$E123,0))</f>
        <v>0</v>
      </c>
      <c r="AP123" s="263">
        <f>IF($C123+1&gt;AP$7,0,IF($D123&gt;SUM($G123:AO123),$D123/$E123,0))</f>
        <v>0</v>
      </c>
      <c r="AQ123" s="263">
        <f>IF($C123+1&gt;AQ$7,0,IF($D123&gt;SUM($G123:AP123),$D123/$E123,0))</f>
        <v>0</v>
      </c>
      <c r="AR123" s="263">
        <f>IF($C123+1&gt;AR$7,0,IF($D123&gt;SUM($G123:AQ123),$D123/$E123,0))</f>
        <v>0</v>
      </c>
      <c r="AS123" s="263">
        <f>IF($C123+1&gt;AS$7,0,IF($D123&gt;SUM($G123:AR123),$D123/$E123,0))</f>
        <v>0</v>
      </c>
      <c r="AT123" s="263">
        <f>IF($C123+1&gt;AT$7,0,IF($D123&gt;SUM($G123:AS123),$D123/$E123,0))</f>
        <v>0</v>
      </c>
      <c r="AU123" s="263">
        <f>IF($C123+1&gt;AU$7,0,IF($D123&gt;SUM($G123:AT123),$D123/$E123,0))</f>
        <v>0</v>
      </c>
      <c r="AV123" s="263">
        <f>IF($C123+1&gt;AV$7,0,IF($D123&gt;SUM($G123:AU123),$D123/$E123,0))</f>
        <v>0</v>
      </c>
      <c r="AW123" s="263">
        <f>IF($C123+1&gt;AW$7,0,IF($D123&gt;SUM($G123:AV123),$D123/$E123,0))</f>
        <v>0</v>
      </c>
      <c r="AX123" s="263">
        <f>IF($C123+1&gt;AX$7,0,IF($D123&gt;SUM($G123:AW123),$D123/$E123,0))</f>
        <v>0</v>
      </c>
      <c r="AY123" s="263">
        <f>IF($C123+1&gt;AY$7,0,IF($D123&gt;SUM($G123:AX123),$D123/$E123,0))</f>
        <v>0</v>
      </c>
      <c r="AZ123" s="263">
        <f>IF($C123+1&gt;AZ$7,0,IF($D123&gt;SUM($G123:AY123),$D123/$E123,0))</f>
        <v>0</v>
      </c>
      <c r="BA123" s="263">
        <f>IF($C123+1&gt;BA$7,0,IF($D123&gt;SUM($G123:AZ123),$D123/$E123,0))</f>
        <v>0</v>
      </c>
      <c r="BB123" s="263">
        <f>IF($C123+1&gt;BB$7,0,IF($D123&gt;SUM($G123:BA123),$D123/$E123,0))</f>
        <v>0</v>
      </c>
      <c r="BC123" s="263">
        <f>IF($C123+1&gt;BC$7,0,IF($D123&gt;SUM($G123:BB123),$D123/$E123,0))</f>
        <v>0</v>
      </c>
      <c r="BD123" s="263">
        <f>IF($C123+1&gt;BD$7,0,IF($D123&gt;SUM($G123:BC123),$D123/$E123,0))</f>
        <v>0</v>
      </c>
      <c r="BE123" s="263">
        <f>IF($C123+1&gt;BE$7,0,IF($D123&gt;SUM($G123:BD123),$D123/$E123,0))</f>
        <v>0</v>
      </c>
      <c r="BF123" s="263">
        <f>IF($C123+1&gt;BF$7,0,IF($D123&gt;SUM($G123:BE123),$D123/$E123,0))</f>
        <v>0</v>
      </c>
      <c r="BG123" s="263">
        <f>IF($C123+1&gt;BG$7,0,IF($D123&gt;SUM($G123:BF123),$D123/$E123,0))</f>
        <v>0</v>
      </c>
      <c r="BH123" s="263">
        <f>IF($C123+1&gt;BH$7,0,IF($D123&gt;SUM($G123:BG123),$D123/$E123,0))</f>
        <v>0</v>
      </c>
      <c r="BI123" s="263">
        <f>IF($C123+1&gt;BI$7,0,IF($D123&gt;SUM($G123:BH123),$D123/$E123,0))</f>
        <v>0</v>
      </c>
      <c r="BJ123" s="263">
        <f>IF($C123+1&gt;BJ$7,0,IF($D123&gt;SUM($G123:BI123),$D123/$E123,0))</f>
        <v>0</v>
      </c>
      <c r="BK123" s="263">
        <f>IF($C123+1&gt;BK$7,0,IF($D123&gt;SUM($G123:BJ123),$D123/$E123,0))</f>
        <v>0</v>
      </c>
      <c r="BL123" s="263">
        <f>IF($C123+1&gt;BL$7,0,IF($D123&gt;SUM($G123:BK123),$D123/$E123,0))</f>
        <v>0</v>
      </c>
      <c r="BM123" s="263">
        <f>IF($C123+1&gt;BM$7,0,IF($D123&gt;SUM($G123:BL123),$D123/$E123,0))</f>
        <v>0</v>
      </c>
      <c r="BN123" s="263">
        <f>IF($C123+1&gt;BN$7,0,IF($D123&gt;SUM($G123:BM123),$D123/$E123,0))</f>
        <v>0</v>
      </c>
      <c r="BO123" s="263"/>
      <c r="BP123" s="263"/>
      <c r="BQ123" s="263"/>
      <c r="BR123" s="263"/>
      <c r="BS123" s="263"/>
      <c r="BT123" s="263"/>
      <c r="BU123" s="263"/>
      <c r="BV123" s="263"/>
      <c r="BW123" s="263"/>
      <c r="BX123" s="263"/>
      <c r="BY123" s="263"/>
      <c r="BZ123" s="263"/>
      <c r="CA123" s="254"/>
      <c r="CB123" s="254"/>
      <c r="CC123" s="254"/>
      <c r="CD123" s="254"/>
      <c r="CE123" s="254"/>
      <c r="CF123" s="254"/>
      <c r="CG123" s="254"/>
      <c r="CH123" s="254"/>
      <c r="CI123" s="254"/>
      <c r="CJ123" s="254"/>
      <c r="CK123" s="254"/>
      <c r="CL123" s="254"/>
    </row>
    <row r="124" spans="1:90" outlineLevel="1" x14ac:dyDescent="0.15">
      <c r="A124" s="50"/>
      <c r="B124" s="23"/>
      <c r="C124" s="26">
        <v>16</v>
      </c>
      <c r="D124" s="281">
        <v>0</v>
      </c>
      <c r="E124" s="26">
        <f>SAP_Leadsheet!$E$61</f>
        <v>7</v>
      </c>
      <c r="G124" s="263">
        <f>IF($C124+1&gt;G$7,0,IF($D124&gt;SUM(#REF!),$D124/$E124,0))</f>
        <v>0</v>
      </c>
      <c r="H124" s="263">
        <f>IF($C124+1&gt;H$7,0,IF($D124&gt;SUM($G124:G124),$D124/$E124,0))</f>
        <v>0</v>
      </c>
      <c r="I124" s="263">
        <f>IF($C124+1&gt;I$7,0,IF($D124&gt;SUM($G124:H124),$D124/$E124,0))</f>
        <v>0</v>
      </c>
      <c r="J124" s="263">
        <f>IF($C124+1&gt;J$7,0,IF($D124&gt;SUM($G124:I124),$D124/$E124,0))</f>
        <v>0</v>
      </c>
      <c r="K124" s="263">
        <f>IF($C124+1&gt;K$7,0,IF($D124&gt;SUM($G124:J124),$D124/$E124,0))</f>
        <v>0</v>
      </c>
      <c r="L124" s="263">
        <f>IF($C124+1&gt;L$7,0,IF($D124&gt;SUM($G124:K124),$D124/$E124,0))</f>
        <v>0</v>
      </c>
      <c r="M124" s="263">
        <f>IF($C124+1&gt;M$7,0,IF($D124&gt;SUM($G124:L124),$D124/$E124,0))</f>
        <v>0</v>
      </c>
      <c r="N124" s="263">
        <f>IF($C124+1&gt;N$7,0,IF($D124&gt;SUM($G124:M124),$D124/$E124,0))</f>
        <v>0</v>
      </c>
      <c r="O124" s="263">
        <f>IF($C124+1&gt;O$7,0,IF($D124&gt;SUM($G124:N124),$D124/$E124,0))</f>
        <v>0</v>
      </c>
      <c r="P124" s="263">
        <f>IF($C124+1&gt;P$7,0,IF($D124&gt;SUM($G124:O124),$D124/$E124,0))</f>
        <v>0</v>
      </c>
      <c r="Q124" s="263">
        <f>IF($C124+1&gt;Q$7,0,IF($D124&gt;SUM($G124:P124),$D124/$E124,0))</f>
        <v>0</v>
      </c>
      <c r="R124" s="263">
        <f>IF($C124+1&gt;R$7,0,IF($D124&gt;SUM($G124:Q124),$D124/$E124,0))</f>
        <v>0</v>
      </c>
      <c r="S124" s="263">
        <f>IF($C124+1&gt;S$7,0,IF($D124&gt;SUM($G124:R124),$D124/$E124,0))</f>
        <v>0</v>
      </c>
      <c r="T124" s="263">
        <f>IF($C124+1&gt;T$7,0,IF($D124&gt;SUM($G124:S124),$D124/$E124,0))</f>
        <v>0</v>
      </c>
      <c r="U124" s="263">
        <f>IF($C124+1&gt;U$7,0,IF($D124&gt;SUM($G124:T124),$D124/$E124,0))</f>
        <v>0</v>
      </c>
      <c r="V124" s="263">
        <f>IF($C124+1&gt;V$7,0,IF($D124&gt;SUM($G124:U124),$D124/$E124,0))</f>
        <v>0</v>
      </c>
      <c r="W124" s="263">
        <f>IF($C124+1&gt;W$7,0,IF($D124&gt;SUM($G124:V124),$D124/$E124,0))</f>
        <v>0</v>
      </c>
      <c r="X124" s="263">
        <f>IF($C124+1&gt;X$7,0,IF($D124&gt;SUM($G124:W124),$D124/$E124,0))</f>
        <v>0</v>
      </c>
      <c r="Y124" s="263">
        <f>IF($C124+1&gt;Y$7,0,IF($D124&gt;SUM($G124:X124),$D124/$E124,0))</f>
        <v>0</v>
      </c>
      <c r="Z124" s="263">
        <f>IF($C124+1&gt;Z$7,0,IF($D124&gt;SUM($G124:Y124),$D124/$E124,0))</f>
        <v>0</v>
      </c>
      <c r="AA124" s="263">
        <f>IF($C124+1&gt;AA$7,0,IF($D124&gt;SUM($G124:Z124),$D124/$E124,0))</f>
        <v>0</v>
      </c>
      <c r="AB124" s="263">
        <f>IF($C124+1&gt;AB$7,0,IF($D124&gt;SUM($G124:AA124),$D124/$E124,0))</f>
        <v>0</v>
      </c>
      <c r="AC124" s="263">
        <f>IF($C124+1&gt;AC$7,0,IF($D124&gt;SUM($G124:AB124),$D124/$E124,0))</f>
        <v>0</v>
      </c>
      <c r="AD124" s="263">
        <f>IF($C124+1&gt;AD$7,0,IF($D124&gt;SUM($G124:AC124),$D124/$E124,0))</f>
        <v>0</v>
      </c>
      <c r="AE124" s="263">
        <f>IF($C124+1&gt;AE$7,0,IF($D124&gt;SUM($G124:AD124),$D124/$E124,0))</f>
        <v>0</v>
      </c>
      <c r="AF124" s="263">
        <f>IF($C124+1&gt;AF$7,0,IF($D124&gt;SUM($G124:AE124),$D124/$E124,0))</f>
        <v>0</v>
      </c>
      <c r="AG124" s="263">
        <f>IF($C124+1&gt;AG$7,0,IF($D124&gt;SUM($G124:AF124),$D124/$E124,0))</f>
        <v>0</v>
      </c>
      <c r="AH124" s="263">
        <f>IF($C124+1&gt;AH$7,0,IF($D124&gt;SUM($G124:AG124),$D124/$E124,0))</f>
        <v>0</v>
      </c>
      <c r="AI124" s="263">
        <f>IF($C124+1&gt;AI$7,0,IF($D124&gt;SUM($G124:AH124),$D124/$E124,0))</f>
        <v>0</v>
      </c>
      <c r="AJ124" s="263">
        <f>IF($C124+1&gt;AJ$7,0,IF($D124&gt;SUM($G124:AI124),$D124/$E124,0))</f>
        <v>0</v>
      </c>
      <c r="AK124" s="263">
        <f>IF($C124+1&gt;AK$7,0,IF($D124&gt;SUM($G124:AJ124),$D124/$E124,0))</f>
        <v>0</v>
      </c>
      <c r="AL124" s="263">
        <f>IF($C124+1&gt;AL$7,0,IF($D124&gt;SUM($G124:AK124),$D124/$E124,0))</f>
        <v>0</v>
      </c>
      <c r="AM124" s="263">
        <f>IF($C124+1&gt;AM$7,0,IF($D124&gt;SUM($G124:AL124),$D124/$E124,0))</f>
        <v>0</v>
      </c>
      <c r="AN124" s="263">
        <f>IF($C124+1&gt;AN$7,0,IF($D124&gt;SUM($G124:AM124),$D124/$E124,0))</f>
        <v>0</v>
      </c>
      <c r="AO124" s="263">
        <f>IF($C124+1&gt;AO$7,0,IF($D124&gt;SUM($G124:AN124),$D124/$E124,0))</f>
        <v>0</v>
      </c>
      <c r="AP124" s="263">
        <f>IF($C124+1&gt;AP$7,0,IF($D124&gt;SUM($G124:AO124),$D124/$E124,0))</f>
        <v>0</v>
      </c>
      <c r="AQ124" s="263">
        <f>IF($C124+1&gt;AQ$7,0,IF($D124&gt;SUM($G124:AP124),$D124/$E124,0))</f>
        <v>0</v>
      </c>
      <c r="AR124" s="263">
        <f>IF($C124+1&gt;AR$7,0,IF($D124&gt;SUM($G124:AQ124),$D124/$E124,0))</f>
        <v>0</v>
      </c>
      <c r="AS124" s="263">
        <f>IF($C124+1&gt;AS$7,0,IF($D124&gt;SUM($G124:AR124),$D124/$E124,0))</f>
        <v>0</v>
      </c>
      <c r="AT124" s="263">
        <f>IF($C124+1&gt;AT$7,0,IF($D124&gt;SUM($G124:AS124),$D124/$E124,0))</f>
        <v>0</v>
      </c>
      <c r="AU124" s="263">
        <f>IF($C124+1&gt;AU$7,0,IF($D124&gt;SUM($G124:AT124),$D124/$E124,0))</f>
        <v>0</v>
      </c>
      <c r="AV124" s="263">
        <f>IF($C124+1&gt;AV$7,0,IF($D124&gt;SUM($G124:AU124),$D124/$E124,0))</f>
        <v>0</v>
      </c>
      <c r="AW124" s="263">
        <f>IF($C124+1&gt;AW$7,0,IF($D124&gt;SUM($G124:AV124),$D124/$E124,0))</f>
        <v>0</v>
      </c>
      <c r="AX124" s="263">
        <f>IF($C124+1&gt;AX$7,0,IF($D124&gt;SUM($G124:AW124),$D124/$E124,0))</f>
        <v>0</v>
      </c>
      <c r="AY124" s="263">
        <f>IF($C124+1&gt;AY$7,0,IF($D124&gt;SUM($G124:AX124),$D124/$E124,0))</f>
        <v>0</v>
      </c>
      <c r="AZ124" s="263">
        <f>IF($C124+1&gt;AZ$7,0,IF($D124&gt;SUM($G124:AY124),$D124/$E124,0))</f>
        <v>0</v>
      </c>
      <c r="BA124" s="263">
        <f>IF($C124+1&gt;BA$7,0,IF($D124&gt;SUM($G124:AZ124),$D124/$E124,0))</f>
        <v>0</v>
      </c>
      <c r="BB124" s="263">
        <f>IF($C124+1&gt;BB$7,0,IF($D124&gt;SUM($G124:BA124),$D124/$E124,0))</f>
        <v>0</v>
      </c>
      <c r="BC124" s="263">
        <f>IF($C124+1&gt;BC$7,0,IF($D124&gt;SUM($G124:BB124),$D124/$E124,0))</f>
        <v>0</v>
      </c>
      <c r="BD124" s="263">
        <f>IF($C124+1&gt;BD$7,0,IF($D124&gt;SUM($G124:BC124),$D124/$E124,0))</f>
        <v>0</v>
      </c>
      <c r="BE124" s="263">
        <f>IF($C124+1&gt;BE$7,0,IF($D124&gt;SUM($G124:BD124),$D124/$E124,0))</f>
        <v>0</v>
      </c>
      <c r="BF124" s="263">
        <f>IF($C124+1&gt;BF$7,0,IF($D124&gt;SUM($G124:BE124),$D124/$E124,0))</f>
        <v>0</v>
      </c>
      <c r="BG124" s="263">
        <f>IF($C124+1&gt;BG$7,0,IF($D124&gt;SUM($G124:BF124),$D124/$E124,0))</f>
        <v>0</v>
      </c>
      <c r="BH124" s="263">
        <f>IF($C124+1&gt;BH$7,0,IF($D124&gt;SUM($G124:BG124),$D124/$E124,0))</f>
        <v>0</v>
      </c>
      <c r="BI124" s="263">
        <f>IF($C124+1&gt;BI$7,0,IF($D124&gt;SUM($G124:BH124),$D124/$E124,0))</f>
        <v>0</v>
      </c>
      <c r="BJ124" s="263">
        <f>IF($C124+1&gt;BJ$7,0,IF($D124&gt;SUM($G124:BI124),$D124/$E124,0))</f>
        <v>0</v>
      </c>
      <c r="BK124" s="263">
        <f>IF($C124+1&gt;BK$7,0,IF($D124&gt;SUM($G124:BJ124),$D124/$E124,0))</f>
        <v>0</v>
      </c>
      <c r="BL124" s="263">
        <f>IF($C124+1&gt;BL$7,0,IF($D124&gt;SUM($G124:BK124),$D124/$E124,0))</f>
        <v>0</v>
      </c>
      <c r="BM124" s="263">
        <f>IF($C124+1&gt;BM$7,0,IF($D124&gt;SUM($G124:BL124),$D124/$E124,0))</f>
        <v>0</v>
      </c>
      <c r="BN124" s="263">
        <f>IF($C124+1&gt;BN$7,0,IF($D124&gt;SUM($G124:BM124),$D124/$E124,0))</f>
        <v>0</v>
      </c>
      <c r="BO124" s="263"/>
      <c r="BP124" s="263"/>
      <c r="BQ124" s="263"/>
      <c r="BR124" s="263"/>
      <c r="BS124" s="263"/>
      <c r="BT124" s="263"/>
      <c r="BU124" s="263"/>
      <c r="BV124" s="263"/>
      <c r="BW124" s="263"/>
      <c r="BX124" s="263"/>
      <c r="BY124" s="263"/>
      <c r="BZ124" s="263"/>
      <c r="CA124" s="254"/>
      <c r="CB124" s="254"/>
      <c r="CC124" s="254"/>
      <c r="CD124" s="254"/>
      <c r="CE124" s="254"/>
      <c r="CF124" s="254"/>
      <c r="CG124" s="254"/>
      <c r="CH124" s="254"/>
      <c r="CI124" s="254"/>
      <c r="CJ124" s="254"/>
      <c r="CK124" s="254"/>
      <c r="CL124" s="254"/>
    </row>
    <row r="125" spans="1:90" outlineLevel="1" x14ac:dyDescent="0.15">
      <c r="A125" s="50"/>
      <c r="B125" s="23"/>
      <c r="C125" s="26">
        <v>17</v>
      </c>
      <c r="D125" s="281">
        <v>0</v>
      </c>
      <c r="E125" s="26">
        <f>SAP_Leadsheet!$E$61</f>
        <v>7</v>
      </c>
      <c r="G125" s="263">
        <f>IF($C125+1&gt;G$7,0,IF($D125&gt;SUM(#REF!),$D125/$E125,0))</f>
        <v>0</v>
      </c>
      <c r="H125" s="263">
        <f>IF($C125+1&gt;H$7,0,IF($D125&gt;SUM($G125:G125),$D125/$E125,0))</f>
        <v>0</v>
      </c>
      <c r="I125" s="263">
        <f>IF($C125+1&gt;I$7,0,IF($D125&gt;SUM($G125:H125),$D125/$E125,0))</f>
        <v>0</v>
      </c>
      <c r="J125" s="263">
        <f>IF($C125+1&gt;J$7,0,IF($D125&gt;SUM($G125:I125),$D125/$E125,0))</f>
        <v>0</v>
      </c>
      <c r="K125" s="263">
        <f>IF($C125+1&gt;K$7,0,IF($D125&gt;SUM($G125:J125),$D125/$E125,0))</f>
        <v>0</v>
      </c>
      <c r="L125" s="263">
        <f>IF($C125+1&gt;L$7,0,IF($D125&gt;SUM($G125:K125),$D125/$E125,0))</f>
        <v>0</v>
      </c>
      <c r="M125" s="263">
        <f>IF($C125+1&gt;M$7,0,IF($D125&gt;SUM($G125:L125),$D125/$E125,0))</f>
        <v>0</v>
      </c>
      <c r="N125" s="263">
        <f>IF($C125+1&gt;N$7,0,IF($D125&gt;SUM($G125:M125),$D125/$E125,0))</f>
        <v>0</v>
      </c>
      <c r="O125" s="263">
        <f>IF($C125+1&gt;O$7,0,IF($D125&gt;SUM($G125:N125),$D125/$E125,0))</f>
        <v>0</v>
      </c>
      <c r="P125" s="263">
        <f>IF($C125+1&gt;P$7,0,IF($D125&gt;SUM($G125:O125),$D125/$E125,0))</f>
        <v>0</v>
      </c>
      <c r="Q125" s="263">
        <f>IF($C125+1&gt;Q$7,0,IF($D125&gt;SUM($G125:P125),$D125/$E125,0))</f>
        <v>0</v>
      </c>
      <c r="R125" s="263">
        <f>IF($C125+1&gt;R$7,0,IF($D125&gt;SUM($G125:Q125),$D125/$E125,0))</f>
        <v>0</v>
      </c>
      <c r="S125" s="263">
        <f>IF($C125+1&gt;S$7,0,IF($D125&gt;SUM($G125:R125),$D125/$E125,0))</f>
        <v>0</v>
      </c>
      <c r="T125" s="263">
        <f>IF($C125+1&gt;T$7,0,IF($D125&gt;SUM($G125:S125),$D125/$E125,0))</f>
        <v>0</v>
      </c>
      <c r="U125" s="263">
        <f>IF($C125+1&gt;U$7,0,IF($D125&gt;SUM($G125:T125),$D125/$E125,0))</f>
        <v>0</v>
      </c>
      <c r="V125" s="263">
        <f>IF($C125+1&gt;V$7,0,IF($D125&gt;SUM($G125:U125),$D125/$E125,0))</f>
        <v>0</v>
      </c>
      <c r="W125" s="263">
        <f>IF($C125+1&gt;W$7,0,IF($D125&gt;SUM($G125:V125),$D125/$E125,0))</f>
        <v>0</v>
      </c>
      <c r="X125" s="263">
        <f>IF($C125+1&gt;X$7,0,IF($D125&gt;SUM($G125:W125),$D125/$E125,0))</f>
        <v>0</v>
      </c>
      <c r="Y125" s="263">
        <f>IF($C125+1&gt;Y$7,0,IF($D125&gt;SUM($G125:X125),$D125/$E125,0))</f>
        <v>0</v>
      </c>
      <c r="Z125" s="263">
        <f>IF($C125+1&gt;Z$7,0,IF($D125&gt;SUM($G125:Y125),$D125/$E125,0))</f>
        <v>0</v>
      </c>
      <c r="AA125" s="263">
        <f>IF($C125+1&gt;AA$7,0,IF($D125&gt;SUM($G125:Z125),$D125/$E125,0))</f>
        <v>0</v>
      </c>
      <c r="AB125" s="263">
        <f>IF($C125+1&gt;AB$7,0,IF($D125&gt;SUM($G125:AA125),$D125/$E125,0))</f>
        <v>0</v>
      </c>
      <c r="AC125" s="263">
        <f>IF($C125+1&gt;AC$7,0,IF($D125&gt;SUM($G125:AB125),$D125/$E125,0))</f>
        <v>0</v>
      </c>
      <c r="AD125" s="263">
        <f>IF($C125+1&gt;AD$7,0,IF($D125&gt;SUM($G125:AC125),$D125/$E125,0))</f>
        <v>0</v>
      </c>
      <c r="AE125" s="263">
        <f>IF($C125+1&gt;AE$7,0,IF($D125&gt;SUM($G125:AD125),$D125/$E125,0))</f>
        <v>0</v>
      </c>
      <c r="AF125" s="263">
        <f>IF($C125+1&gt;AF$7,0,IF($D125&gt;SUM($G125:AE125),$D125/$E125,0))</f>
        <v>0</v>
      </c>
      <c r="AG125" s="263">
        <f>IF($C125+1&gt;AG$7,0,IF($D125&gt;SUM($G125:AF125),$D125/$E125,0))</f>
        <v>0</v>
      </c>
      <c r="AH125" s="263">
        <f>IF($C125+1&gt;AH$7,0,IF($D125&gt;SUM($G125:AG125),$D125/$E125,0))</f>
        <v>0</v>
      </c>
      <c r="AI125" s="263">
        <f>IF($C125+1&gt;AI$7,0,IF($D125&gt;SUM($G125:AH125),$D125/$E125,0))</f>
        <v>0</v>
      </c>
      <c r="AJ125" s="263">
        <f>IF($C125+1&gt;AJ$7,0,IF($D125&gt;SUM($G125:AI125),$D125/$E125,0))</f>
        <v>0</v>
      </c>
      <c r="AK125" s="263">
        <f>IF($C125+1&gt;AK$7,0,IF($D125&gt;SUM($G125:AJ125),$D125/$E125,0))</f>
        <v>0</v>
      </c>
      <c r="AL125" s="263">
        <f>IF($C125+1&gt;AL$7,0,IF($D125&gt;SUM($G125:AK125),$D125/$E125,0))</f>
        <v>0</v>
      </c>
      <c r="AM125" s="263">
        <f>IF($C125+1&gt;AM$7,0,IF($D125&gt;SUM($G125:AL125),$D125/$E125,0))</f>
        <v>0</v>
      </c>
      <c r="AN125" s="263">
        <f>IF($C125+1&gt;AN$7,0,IF($D125&gt;SUM($G125:AM125),$D125/$E125,0))</f>
        <v>0</v>
      </c>
      <c r="AO125" s="263">
        <f>IF($C125+1&gt;AO$7,0,IF($D125&gt;SUM($G125:AN125),$D125/$E125,0))</f>
        <v>0</v>
      </c>
      <c r="AP125" s="263">
        <f>IF($C125+1&gt;AP$7,0,IF($D125&gt;SUM($G125:AO125),$D125/$E125,0))</f>
        <v>0</v>
      </c>
      <c r="AQ125" s="263">
        <f>IF($C125+1&gt;AQ$7,0,IF($D125&gt;SUM($G125:AP125),$D125/$E125,0))</f>
        <v>0</v>
      </c>
      <c r="AR125" s="263">
        <f>IF($C125+1&gt;AR$7,0,IF($D125&gt;SUM($G125:AQ125),$D125/$E125,0))</f>
        <v>0</v>
      </c>
      <c r="AS125" s="263">
        <f>IF($C125+1&gt;AS$7,0,IF($D125&gt;SUM($G125:AR125),$D125/$E125,0))</f>
        <v>0</v>
      </c>
      <c r="AT125" s="263">
        <f>IF($C125+1&gt;AT$7,0,IF($D125&gt;SUM($G125:AS125),$D125/$E125,0))</f>
        <v>0</v>
      </c>
      <c r="AU125" s="263">
        <f>IF($C125+1&gt;AU$7,0,IF($D125&gt;SUM($G125:AT125),$D125/$E125,0))</f>
        <v>0</v>
      </c>
      <c r="AV125" s="263">
        <f>IF($C125+1&gt;AV$7,0,IF($D125&gt;SUM($G125:AU125),$D125/$E125,0))</f>
        <v>0</v>
      </c>
      <c r="AW125" s="263">
        <f>IF($C125+1&gt;AW$7,0,IF($D125&gt;SUM($G125:AV125),$D125/$E125,0))</f>
        <v>0</v>
      </c>
      <c r="AX125" s="263">
        <f>IF($C125+1&gt;AX$7,0,IF($D125&gt;SUM($G125:AW125),$D125/$E125,0))</f>
        <v>0</v>
      </c>
      <c r="AY125" s="263">
        <f>IF($C125+1&gt;AY$7,0,IF($D125&gt;SUM($G125:AX125),$D125/$E125,0))</f>
        <v>0</v>
      </c>
      <c r="AZ125" s="263">
        <f>IF($C125+1&gt;AZ$7,0,IF($D125&gt;SUM($G125:AY125),$D125/$E125,0))</f>
        <v>0</v>
      </c>
      <c r="BA125" s="263">
        <f>IF($C125+1&gt;BA$7,0,IF($D125&gt;SUM($G125:AZ125),$D125/$E125,0))</f>
        <v>0</v>
      </c>
      <c r="BB125" s="263">
        <f>IF($C125+1&gt;BB$7,0,IF($D125&gt;SUM($G125:BA125),$D125/$E125,0))</f>
        <v>0</v>
      </c>
      <c r="BC125" s="263">
        <f>IF($C125+1&gt;BC$7,0,IF($D125&gt;SUM($G125:BB125),$D125/$E125,0))</f>
        <v>0</v>
      </c>
      <c r="BD125" s="263">
        <f>IF($C125+1&gt;BD$7,0,IF($D125&gt;SUM($G125:BC125),$D125/$E125,0))</f>
        <v>0</v>
      </c>
      <c r="BE125" s="263">
        <f>IF($C125+1&gt;BE$7,0,IF($D125&gt;SUM($G125:BD125),$D125/$E125,0))</f>
        <v>0</v>
      </c>
      <c r="BF125" s="263">
        <f>IF($C125+1&gt;BF$7,0,IF($D125&gt;SUM($G125:BE125),$D125/$E125,0))</f>
        <v>0</v>
      </c>
      <c r="BG125" s="263">
        <f>IF($C125+1&gt;BG$7,0,IF($D125&gt;SUM($G125:BF125),$D125/$E125,0))</f>
        <v>0</v>
      </c>
      <c r="BH125" s="263">
        <f>IF($C125+1&gt;BH$7,0,IF($D125&gt;SUM($G125:BG125),$D125/$E125,0))</f>
        <v>0</v>
      </c>
      <c r="BI125" s="263">
        <f>IF($C125+1&gt;BI$7,0,IF($D125&gt;SUM($G125:BH125),$D125/$E125,0))</f>
        <v>0</v>
      </c>
      <c r="BJ125" s="263">
        <f>IF($C125+1&gt;BJ$7,0,IF($D125&gt;SUM($G125:BI125),$D125/$E125,0))</f>
        <v>0</v>
      </c>
      <c r="BK125" s="263">
        <f>IF($C125+1&gt;BK$7,0,IF($D125&gt;SUM($G125:BJ125),$D125/$E125,0))</f>
        <v>0</v>
      </c>
      <c r="BL125" s="263">
        <f>IF($C125+1&gt;BL$7,0,IF($D125&gt;SUM($G125:BK125),$D125/$E125,0))</f>
        <v>0</v>
      </c>
      <c r="BM125" s="263">
        <f>IF($C125+1&gt;BM$7,0,IF($D125&gt;SUM($G125:BL125),$D125/$E125,0))</f>
        <v>0</v>
      </c>
      <c r="BN125" s="263">
        <f>IF($C125+1&gt;BN$7,0,IF($D125&gt;SUM($G125:BM125),$D125/$E125,0))</f>
        <v>0</v>
      </c>
      <c r="BO125" s="263"/>
      <c r="BP125" s="263"/>
      <c r="BQ125" s="263"/>
      <c r="BR125" s="263"/>
      <c r="BS125" s="263"/>
      <c r="BT125" s="263"/>
      <c r="BU125" s="263"/>
      <c r="BV125" s="263"/>
      <c r="BW125" s="263"/>
      <c r="BX125" s="263"/>
      <c r="BY125" s="263"/>
      <c r="BZ125" s="263"/>
      <c r="CA125" s="254"/>
      <c r="CB125" s="254"/>
      <c r="CC125" s="254"/>
      <c r="CD125" s="254"/>
      <c r="CE125" s="254"/>
      <c r="CF125" s="254"/>
      <c r="CG125" s="254"/>
      <c r="CH125" s="254"/>
      <c r="CI125" s="254"/>
      <c r="CJ125" s="254"/>
      <c r="CK125" s="254"/>
      <c r="CL125" s="254"/>
    </row>
    <row r="126" spans="1:90" outlineLevel="1" x14ac:dyDescent="0.15">
      <c r="A126" s="50"/>
      <c r="B126" s="23"/>
      <c r="C126" s="26">
        <v>18</v>
      </c>
      <c r="D126" s="281">
        <v>0</v>
      </c>
      <c r="E126" s="26">
        <f>SAP_Leadsheet!$E$61</f>
        <v>7</v>
      </c>
      <c r="G126" s="263">
        <f>IF($C126+1&gt;G$7,0,IF($D126&gt;SUM(#REF!),$D126/$E126,0))</f>
        <v>0</v>
      </c>
      <c r="H126" s="263">
        <f>IF($C126+1&gt;H$7,0,IF($D126&gt;SUM($G126:G126),$D126/$E126,0))</f>
        <v>0</v>
      </c>
      <c r="I126" s="263">
        <f>IF($C126+1&gt;I$7,0,IF($D126&gt;SUM($G126:H126),$D126/$E126,0))</f>
        <v>0</v>
      </c>
      <c r="J126" s="263">
        <f>IF($C126+1&gt;J$7,0,IF($D126&gt;SUM($G126:I126),$D126/$E126,0))</f>
        <v>0</v>
      </c>
      <c r="K126" s="263">
        <f>IF($C126+1&gt;K$7,0,IF($D126&gt;SUM($G126:J126),$D126/$E126,0))</f>
        <v>0</v>
      </c>
      <c r="L126" s="263">
        <f>IF($C126+1&gt;L$7,0,IF($D126&gt;SUM($G126:K126),$D126/$E126,0))</f>
        <v>0</v>
      </c>
      <c r="M126" s="263">
        <f>IF($C126+1&gt;M$7,0,IF($D126&gt;SUM($G126:L126),$D126/$E126,0))</f>
        <v>0</v>
      </c>
      <c r="N126" s="263">
        <f>IF($C126+1&gt;N$7,0,IF($D126&gt;SUM($G126:M126),$D126/$E126,0))</f>
        <v>0</v>
      </c>
      <c r="O126" s="263">
        <f>IF($C126+1&gt;O$7,0,IF($D126&gt;SUM($G126:N126),$D126/$E126,0))</f>
        <v>0</v>
      </c>
      <c r="P126" s="263">
        <f>IF($C126+1&gt;P$7,0,IF($D126&gt;SUM($G126:O126),$D126/$E126,0))</f>
        <v>0</v>
      </c>
      <c r="Q126" s="263">
        <f>IF($C126+1&gt;Q$7,0,IF($D126&gt;SUM($G126:P126),$D126/$E126,0))</f>
        <v>0</v>
      </c>
      <c r="R126" s="263">
        <f>IF($C126+1&gt;R$7,0,IF($D126&gt;SUM($G126:Q126),$D126/$E126,0))</f>
        <v>0</v>
      </c>
      <c r="S126" s="263">
        <f>IF($C126+1&gt;S$7,0,IF($D126&gt;SUM($G126:R126),$D126/$E126,0))</f>
        <v>0</v>
      </c>
      <c r="T126" s="263">
        <f>IF($C126+1&gt;T$7,0,IF($D126&gt;SUM($G126:S126),$D126/$E126,0))</f>
        <v>0</v>
      </c>
      <c r="U126" s="263">
        <f>IF($C126+1&gt;U$7,0,IF($D126&gt;SUM($G126:T126),$D126/$E126,0))</f>
        <v>0</v>
      </c>
      <c r="V126" s="263">
        <f>IF($C126+1&gt;V$7,0,IF($D126&gt;SUM($G126:U126),$D126/$E126,0))</f>
        <v>0</v>
      </c>
      <c r="W126" s="263">
        <f>IF($C126+1&gt;W$7,0,IF($D126&gt;SUM($G126:V126),$D126/$E126,0))</f>
        <v>0</v>
      </c>
      <c r="X126" s="263">
        <f>IF($C126+1&gt;X$7,0,IF($D126&gt;SUM($G126:W126),$D126/$E126,0))</f>
        <v>0</v>
      </c>
      <c r="Y126" s="263">
        <f>IF($C126+1&gt;Y$7,0,IF($D126&gt;SUM($G126:X126),$D126/$E126,0))</f>
        <v>0</v>
      </c>
      <c r="Z126" s="263">
        <f>IF($C126+1&gt;Z$7,0,IF($D126&gt;SUM($G126:Y126),$D126/$E126,0))</f>
        <v>0</v>
      </c>
      <c r="AA126" s="263">
        <f>IF($C126+1&gt;AA$7,0,IF($D126&gt;SUM($G126:Z126),$D126/$E126,0))</f>
        <v>0</v>
      </c>
      <c r="AB126" s="263">
        <f>IF($C126+1&gt;AB$7,0,IF($D126&gt;SUM($G126:AA126),$D126/$E126,0))</f>
        <v>0</v>
      </c>
      <c r="AC126" s="263">
        <f>IF($C126+1&gt;AC$7,0,IF($D126&gt;SUM($G126:AB126),$D126/$E126,0))</f>
        <v>0</v>
      </c>
      <c r="AD126" s="263">
        <f>IF($C126+1&gt;AD$7,0,IF($D126&gt;SUM($G126:AC126),$D126/$E126,0))</f>
        <v>0</v>
      </c>
      <c r="AE126" s="263">
        <f>IF($C126+1&gt;AE$7,0,IF($D126&gt;SUM($G126:AD126),$D126/$E126,0))</f>
        <v>0</v>
      </c>
      <c r="AF126" s="263">
        <f>IF($C126+1&gt;AF$7,0,IF($D126&gt;SUM($G126:AE126),$D126/$E126,0))</f>
        <v>0</v>
      </c>
      <c r="AG126" s="263">
        <f>IF($C126+1&gt;AG$7,0,IF($D126&gt;SUM($G126:AF126),$D126/$E126,0))</f>
        <v>0</v>
      </c>
      <c r="AH126" s="263">
        <f>IF($C126+1&gt;AH$7,0,IF($D126&gt;SUM($G126:AG126),$D126/$E126,0))</f>
        <v>0</v>
      </c>
      <c r="AI126" s="263">
        <f>IF($C126+1&gt;AI$7,0,IF($D126&gt;SUM($G126:AH126),$D126/$E126,0))</f>
        <v>0</v>
      </c>
      <c r="AJ126" s="263">
        <f>IF($C126+1&gt;AJ$7,0,IF($D126&gt;SUM($G126:AI126),$D126/$E126,0))</f>
        <v>0</v>
      </c>
      <c r="AK126" s="263">
        <f>IF($C126+1&gt;AK$7,0,IF($D126&gt;SUM($G126:AJ126),$D126/$E126,0))</f>
        <v>0</v>
      </c>
      <c r="AL126" s="263">
        <f>IF($C126+1&gt;AL$7,0,IF($D126&gt;SUM($G126:AK126),$D126/$E126,0))</f>
        <v>0</v>
      </c>
      <c r="AM126" s="263">
        <f>IF($C126+1&gt;AM$7,0,IF($D126&gt;SUM($G126:AL126),$D126/$E126,0))</f>
        <v>0</v>
      </c>
      <c r="AN126" s="263">
        <f>IF($C126+1&gt;AN$7,0,IF($D126&gt;SUM($G126:AM126),$D126/$E126,0))</f>
        <v>0</v>
      </c>
      <c r="AO126" s="263">
        <f>IF($C126+1&gt;AO$7,0,IF($D126&gt;SUM($G126:AN126),$D126/$E126,0))</f>
        <v>0</v>
      </c>
      <c r="AP126" s="263">
        <f>IF($C126+1&gt;AP$7,0,IF($D126&gt;SUM($G126:AO126),$D126/$E126,0))</f>
        <v>0</v>
      </c>
      <c r="AQ126" s="263">
        <f>IF($C126+1&gt;AQ$7,0,IF($D126&gt;SUM($G126:AP126),$D126/$E126,0))</f>
        <v>0</v>
      </c>
      <c r="AR126" s="263">
        <f>IF($C126+1&gt;AR$7,0,IF($D126&gt;SUM($G126:AQ126),$D126/$E126,0))</f>
        <v>0</v>
      </c>
      <c r="AS126" s="263">
        <f>IF($C126+1&gt;AS$7,0,IF($D126&gt;SUM($G126:AR126),$D126/$E126,0))</f>
        <v>0</v>
      </c>
      <c r="AT126" s="263">
        <f>IF($C126+1&gt;AT$7,0,IF($D126&gt;SUM($G126:AS126),$D126/$E126,0))</f>
        <v>0</v>
      </c>
      <c r="AU126" s="263">
        <f>IF($C126+1&gt;AU$7,0,IF($D126&gt;SUM($G126:AT126),$D126/$E126,0))</f>
        <v>0</v>
      </c>
      <c r="AV126" s="263">
        <f>IF($C126+1&gt;AV$7,0,IF($D126&gt;SUM($G126:AU126),$D126/$E126,0))</f>
        <v>0</v>
      </c>
      <c r="AW126" s="263">
        <f>IF($C126+1&gt;AW$7,0,IF($D126&gt;SUM($G126:AV126),$D126/$E126,0))</f>
        <v>0</v>
      </c>
      <c r="AX126" s="263">
        <f>IF($C126+1&gt;AX$7,0,IF($D126&gt;SUM($G126:AW126),$D126/$E126,0))</f>
        <v>0</v>
      </c>
      <c r="AY126" s="263">
        <f>IF($C126+1&gt;AY$7,0,IF($D126&gt;SUM($G126:AX126),$D126/$E126,0))</f>
        <v>0</v>
      </c>
      <c r="AZ126" s="263">
        <f>IF($C126+1&gt;AZ$7,0,IF($D126&gt;SUM($G126:AY126),$D126/$E126,0))</f>
        <v>0</v>
      </c>
      <c r="BA126" s="263">
        <f>IF($C126+1&gt;BA$7,0,IF($D126&gt;SUM($G126:AZ126),$D126/$E126,0))</f>
        <v>0</v>
      </c>
      <c r="BB126" s="263">
        <f>IF($C126+1&gt;BB$7,0,IF($D126&gt;SUM($G126:BA126),$D126/$E126,0))</f>
        <v>0</v>
      </c>
      <c r="BC126" s="263">
        <f>IF($C126+1&gt;BC$7,0,IF($D126&gt;SUM($G126:BB126),$D126/$E126,0))</f>
        <v>0</v>
      </c>
      <c r="BD126" s="263">
        <f>IF($C126+1&gt;BD$7,0,IF($D126&gt;SUM($G126:BC126),$D126/$E126,0))</f>
        <v>0</v>
      </c>
      <c r="BE126" s="263">
        <f>IF($C126+1&gt;BE$7,0,IF($D126&gt;SUM($G126:BD126),$D126/$E126,0))</f>
        <v>0</v>
      </c>
      <c r="BF126" s="263">
        <f>IF($C126+1&gt;BF$7,0,IF($D126&gt;SUM($G126:BE126),$D126/$E126,0))</f>
        <v>0</v>
      </c>
      <c r="BG126" s="263">
        <f>IF($C126+1&gt;BG$7,0,IF($D126&gt;SUM($G126:BF126),$D126/$E126,0))</f>
        <v>0</v>
      </c>
      <c r="BH126" s="263">
        <f>IF($C126+1&gt;BH$7,0,IF($D126&gt;SUM($G126:BG126),$D126/$E126,0))</f>
        <v>0</v>
      </c>
      <c r="BI126" s="263">
        <f>IF($C126+1&gt;BI$7,0,IF($D126&gt;SUM($G126:BH126),$D126/$E126,0))</f>
        <v>0</v>
      </c>
      <c r="BJ126" s="263">
        <f>IF($C126+1&gt;BJ$7,0,IF($D126&gt;SUM($G126:BI126),$D126/$E126,0))</f>
        <v>0</v>
      </c>
      <c r="BK126" s="263">
        <f>IF($C126+1&gt;BK$7,0,IF($D126&gt;SUM($G126:BJ126),$D126/$E126,0))</f>
        <v>0</v>
      </c>
      <c r="BL126" s="263">
        <f>IF($C126+1&gt;BL$7,0,IF($D126&gt;SUM($G126:BK126),$D126/$E126,0))</f>
        <v>0</v>
      </c>
      <c r="BM126" s="263">
        <f>IF($C126+1&gt;BM$7,0,IF($D126&gt;SUM($G126:BL126),$D126/$E126,0))</f>
        <v>0</v>
      </c>
      <c r="BN126" s="263">
        <f>IF($C126+1&gt;BN$7,0,IF($D126&gt;SUM($G126:BM126),$D126/$E126,0))</f>
        <v>0</v>
      </c>
      <c r="BO126" s="263"/>
      <c r="BP126" s="263"/>
      <c r="BQ126" s="263"/>
      <c r="BR126" s="263"/>
      <c r="BS126" s="263"/>
      <c r="BT126" s="263"/>
      <c r="BU126" s="263"/>
      <c r="BV126" s="263"/>
      <c r="BW126" s="263"/>
      <c r="BX126" s="263"/>
      <c r="BY126" s="263"/>
      <c r="BZ126" s="263"/>
      <c r="CA126" s="254"/>
      <c r="CB126" s="254"/>
      <c r="CC126" s="254"/>
      <c r="CD126" s="254"/>
      <c r="CE126" s="254"/>
      <c r="CF126" s="254"/>
      <c r="CG126" s="254"/>
      <c r="CH126" s="254"/>
      <c r="CI126" s="254"/>
      <c r="CJ126" s="254"/>
      <c r="CK126" s="254"/>
      <c r="CL126" s="254"/>
    </row>
    <row r="127" spans="1:90" outlineLevel="1" x14ac:dyDescent="0.15">
      <c r="A127" s="50"/>
      <c r="B127" s="23"/>
      <c r="C127" s="26">
        <v>19</v>
      </c>
      <c r="D127" s="281">
        <v>0</v>
      </c>
      <c r="E127" s="26">
        <f>SAP_Leadsheet!$E$61</f>
        <v>7</v>
      </c>
      <c r="G127" s="263">
        <f>IF($C127+1&gt;G$7,0,IF($D127&gt;SUM(#REF!),$D127/$E127,0))</f>
        <v>0</v>
      </c>
      <c r="H127" s="263">
        <f>IF($C127+1&gt;H$7,0,IF($D127&gt;SUM($G127:G127),$D127/$E127,0))</f>
        <v>0</v>
      </c>
      <c r="I127" s="263">
        <f>IF($C127+1&gt;I$7,0,IF($D127&gt;SUM($G127:H127),$D127/$E127,0))</f>
        <v>0</v>
      </c>
      <c r="J127" s="263">
        <f>IF($C127+1&gt;J$7,0,IF($D127&gt;SUM($G127:I127),$D127/$E127,0))</f>
        <v>0</v>
      </c>
      <c r="K127" s="263">
        <f>IF($C127+1&gt;K$7,0,IF($D127&gt;SUM($G127:J127),$D127/$E127,0))</f>
        <v>0</v>
      </c>
      <c r="L127" s="263">
        <f>IF($C127+1&gt;L$7,0,IF($D127&gt;SUM($G127:K127),$D127/$E127,0))</f>
        <v>0</v>
      </c>
      <c r="M127" s="263">
        <f>IF($C127+1&gt;M$7,0,IF($D127&gt;SUM($G127:L127),$D127/$E127,0))</f>
        <v>0</v>
      </c>
      <c r="N127" s="263">
        <f>IF($C127+1&gt;N$7,0,IF($D127&gt;SUM($G127:M127),$D127/$E127,0))</f>
        <v>0</v>
      </c>
      <c r="O127" s="263">
        <f>IF($C127+1&gt;O$7,0,IF($D127&gt;SUM($G127:N127),$D127/$E127,0))</f>
        <v>0</v>
      </c>
      <c r="P127" s="263">
        <f>IF($C127+1&gt;P$7,0,IF($D127&gt;SUM($G127:O127),$D127/$E127,0))</f>
        <v>0</v>
      </c>
      <c r="Q127" s="263">
        <f>IF($C127+1&gt;Q$7,0,IF($D127&gt;SUM($G127:P127),$D127/$E127,0))</f>
        <v>0</v>
      </c>
      <c r="R127" s="263">
        <f>IF($C127+1&gt;R$7,0,IF($D127&gt;SUM($G127:Q127),$D127/$E127,0))</f>
        <v>0</v>
      </c>
      <c r="S127" s="263">
        <f>IF($C127+1&gt;S$7,0,IF($D127&gt;SUM($G127:R127),$D127/$E127,0))</f>
        <v>0</v>
      </c>
      <c r="T127" s="263">
        <f>IF($C127+1&gt;T$7,0,IF($D127&gt;SUM($G127:S127),$D127/$E127,0))</f>
        <v>0</v>
      </c>
      <c r="U127" s="263">
        <f>IF($C127+1&gt;U$7,0,IF($D127&gt;SUM($G127:T127),$D127/$E127,0))</f>
        <v>0</v>
      </c>
      <c r="V127" s="263">
        <f>IF($C127+1&gt;V$7,0,IF($D127&gt;SUM($G127:U127),$D127/$E127,0))</f>
        <v>0</v>
      </c>
      <c r="W127" s="263">
        <f>IF($C127+1&gt;W$7,0,IF($D127&gt;SUM($G127:V127),$D127/$E127,0))</f>
        <v>0</v>
      </c>
      <c r="X127" s="263">
        <f>IF($C127+1&gt;X$7,0,IF($D127&gt;SUM($G127:W127),$D127/$E127,0))</f>
        <v>0</v>
      </c>
      <c r="Y127" s="263">
        <f>IF($C127+1&gt;Y$7,0,IF($D127&gt;SUM($G127:X127),$D127/$E127,0))</f>
        <v>0</v>
      </c>
      <c r="Z127" s="263">
        <f>IF($C127+1&gt;Z$7,0,IF($D127&gt;SUM($G127:Y127),$D127/$E127,0))</f>
        <v>0</v>
      </c>
      <c r="AA127" s="263">
        <f>IF($C127+1&gt;AA$7,0,IF($D127&gt;SUM($G127:Z127),$D127/$E127,0))</f>
        <v>0</v>
      </c>
      <c r="AB127" s="263">
        <f>IF($C127+1&gt;AB$7,0,IF($D127&gt;SUM($G127:AA127),$D127/$E127,0))</f>
        <v>0</v>
      </c>
      <c r="AC127" s="263">
        <f>IF($C127+1&gt;AC$7,0,IF($D127&gt;SUM($G127:AB127),$D127/$E127,0))</f>
        <v>0</v>
      </c>
      <c r="AD127" s="263">
        <f>IF($C127+1&gt;AD$7,0,IF($D127&gt;SUM($G127:AC127),$D127/$E127,0))</f>
        <v>0</v>
      </c>
      <c r="AE127" s="263">
        <f>IF($C127+1&gt;AE$7,0,IF($D127&gt;SUM($G127:AD127),$D127/$E127,0))</f>
        <v>0</v>
      </c>
      <c r="AF127" s="263">
        <f>IF($C127+1&gt;AF$7,0,IF($D127&gt;SUM($G127:AE127),$D127/$E127,0))</f>
        <v>0</v>
      </c>
      <c r="AG127" s="263">
        <f>IF($C127+1&gt;AG$7,0,IF($D127&gt;SUM($G127:AF127),$D127/$E127,0))</f>
        <v>0</v>
      </c>
      <c r="AH127" s="263">
        <f>IF($C127+1&gt;AH$7,0,IF($D127&gt;SUM($G127:AG127),$D127/$E127,0))</f>
        <v>0</v>
      </c>
      <c r="AI127" s="263">
        <f>IF($C127+1&gt;AI$7,0,IF($D127&gt;SUM($G127:AH127),$D127/$E127,0))</f>
        <v>0</v>
      </c>
      <c r="AJ127" s="263">
        <f>IF($C127+1&gt;AJ$7,0,IF($D127&gt;SUM($G127:AI127),$D127/$E127,0))</f>
        <v>0</v>
      </c>
      <c r="AK127" s="263">
        <f>IF($C127+1&gt;AK$7,0,IF($D127&gt;SUM($G127:AJ127),$D127/$E127,0))</f>
        <v>0</v>
      </c>
      <c r="AL127" s="263">
        <f>IF($C127+1&gt;AL$7,0,IF($D127&gt;SUM($G127:AK127),$D127/$E127,0))</f>
        <v>0</v>
      </c>
      <c r="AM127" s="263">
        <f>IF($C127+1&gt;AM$7,0,IF($D127&gt;SUM($G127:AL127),$D127/$E127,0))</f>
        <v>0</v>
      </c>
      <c r="AN127" s="263">
        <f>IF($C127+1&gt;AN$7,0,IF($D127&gt;SUM($G127:AM127),$D127/$E127,0))</f>
        <v>0</v>
      </c>
      <c r="AO127" s="263">
        <f>IF($C127+1&gt;AO$7,0,IF($D127&gt;SUM($G127:AN127),$D127/$E127,0))</f>
        <v>0</v>
      </c>
      <c r="AP127" s="263">
        <f>IF($C127+1&gt;AP$7,0,IF($D127&gt;SUM($G127:AO127),$D127/$E127,0))</f>
        <v>0</v>
      </c>
      <c r="AQ127" s="263">
        <f>IF($C127+1&gt;AQ$7,0,IF($D127&gt;SUM($G127:AP127),$D127/$E127,0))</f>
        <v>0</v>
      </c>
      <c r="AR127" s="263">
        <f>IF($C127+1&gt;AR$7,0,IF($D127&gt;SUM($G127:AQ127),$D127/$E127,0))</f>
        <v>0</v>
      </c>
      <c r="AS127" s="263">
        <f>IF($C127+1&gt;AS$7,0,IF($D127&gt;SUM($G127:AR127),$D127/$E127,0))</f>
        <v>0</v>
      </c>
      <c r="AT127" s="263">
        <f>IF($C127+1&gt;AT$7,0,IF($D127&gt;SUM($G127:AS127),$D127/$E127,0))</f>
        <v>0</v>
      </c>
      <c r="AU127" s="263">
        <f>IF($C127+1&gt;AU$7,0,IF($D127&gt;SUM($G127:AT127),$D127/$E127,0))</f>
        <v>0</v>
      </c>
      <c r="AV127" s="263">
        <f>IF($C127+1&gt;AV$7,0,IF($D127&gt;SUM($G127:AU127),$D127/$E127,0))</f>
        <v>0</v>
      </c>
      <c r="AW127" s="263">
        <f>IF($C127+1&gt;AW$7,0,IF($D127&gt;SUM($G127:AV127),$D127/$E127,0))</f>
        <v>0</v>
      </c>
      <c r="AX127" s="263">
        <f>IF($C127+1&gt;AX$7,0,IF($D127&gt;SUM($G127:AW127),$D127/$E127,0))</f>
        <v>0</v>
      </c>
      <c r="AY127" s="263">
        <f>IF($C127+1&gt;AY$7,0,IF($D127&gt;SUM($G127:AX127),$D127/$E127,0))</f>
        <v>0</v>
      </c>
      <c r="AZ127" s="263">
        <f>IF($C127+1&gt;AZ$7,0,IF($D127&gt;SUM($G127:AY127),$D127/$E127,0))</f>
        <v>0</v>
      </c>
      <c r="BA127" s="263">
        <f>IF($C127+1&gt;BA$7,0,IF($D127&gt;SUM($G127:AZ127),$D127/$E127,0))</f>
        <v>0</v>
      </c>
      <c r="BB127" s="263">
        <f>IF($C127+1&gt;BB$7,0,IF($D127&gt;SUM($G127:BA127),$D127/$E127,0))</f>
        <v>0</v>
      </c>
      <c r="BC127" s="263">
        <f>IF($C127+1&gt;BC$7,0,IF($D127&gt;SUM($G127:BB127),$D127/$E127,0))</f>
        <v>0</v>
      </c>
      <c r="BD127" s="263">
        <f>IF($C127+1&gt;BD$7,0,IF($D127&gt;SUM($G127:BC127),$D127/$E127,0))</f>
        <v>0</v>
      </c>
      <c r="BE127" s="263">
        <f>IF($C127+1&gt;BE$7,0,IF($D127&gt;SUM($G127:BD127),$D127/$E127,0))</f>
        <v>0</v>
      </c>
      <c r="BF127" s="263">
        <f>IF($C127+1&gt;BF$7,0,IF($D127&gt;SUM($G127:BE127),$D127/$E127,0))</f>
        <v>0</v>
      </c>
      <c r="BG127" s="263">
        <f>IF($C127+1&gt;BG$7,0,IF($D127&gt;SUM($G127:BF127),$D127/$E127,0))</f>
        <v>0</v>
      </c>
      <c r="BH127" s="263">
        <f>IF($C127+1&gt;BH$7,0,IF($D127&gt;SUM($G127:BG127),$D127/$E127,0))</f>
        <v>0</v>
      </c>
      <c r="BI127" s="263">
        <f>IF($C127+1&gt;BI$7,0,IF($D127&gt;SUM($G127:BH127),$D127/$E127,0))</f>
        <v>0</v>
      </c>
      <c r="BJ127" s="263">
        <f>IF($C127+1&gt;BJ$7,0,IF($D127&gt;SUM($G127:BI127),$D127/$E127,0))</f>
        <v>0</v>
      </c>
      <c r="BK127" s="263">
        <f>IF($C127+1&gt;BK$7,0,IF($D127&gt;SUM($G127:BJ127),$D127/$E127,0))</f>
        <v>0</v>
      </c>
      <c r="BL127" s="263">
        <f>IF($C127+1&gt;BL$7,0,IF($D127&gt;SUM($G127:BK127),$D127/$E127,0))</f>
        <v>0</v>
      </c>
      <c r="BM127" s="263">
        <f>IF($C127+1&gt;BM$7,0,IF($D127&gt;SUM($G127:BL127),$D127/$E127,0))</f>
        <v>0</v>
      </c>
      <c r="BN127" s="263">
        <f>IF($C127+1&gt;BN$7,0,IF($D127&gt;SUM($G127:BM127),$D127/$E127,0))</f>
        <v>0</v>
      </c>
      <c r="BO127" s="263"/>
      <c r="BP127" s="263"/>
      <c r="BQ127" s="263"/>
      <c r="BR127" s="263"/>
      <c r="BS127" s="263"/>
      <c r="BT127" s="263"/>
      <c r="BU127" s="263"/>
      <c r="BV127" s="263"/>
      <c r="BW127" s="263"/>
      <c r="BX127" s="263"/>
      <c r="BY127" s="263"/>
      <c r="BZ127" s="263"/>
      <c r="CA127" s="254"/>
      <c r="CB127" s="254"/>
      <c r="CC127" s="254"/>
      <c r="CD127" s="254"/>
      <c r="CE127" s="254"/>
      <c r="CF127" s="254"/>
      <c r="CG127" s="254"/>
      <c r="CH127" s="254"/>
      <c r="CI127" s="254"/>
      <c r="CJ127" s="254"/>
      <c r="CK127" s="254"/>
      <c r="CL127" s="254"/>
    </row>
    <row r="128" spans="1:90" outlineLevel="1" x14ac:dyDescent="0.15">
      <c r="A128" s="50"/>
      <c r="B128" s="23"/>
      <c r="C128" s="26">
        <v>20</v>
      </c>
      <c r="D128" s="281">
        <v>0</v>
      </c>
      <c r="E128" s="26">
        <f>SAP_Leadsheet!$E$61</f>
        <v>7</v>
      </c>
      <c r="G128" s="263">
        <f>IF($C128+1&gt;G$7,0,IF($D128&gt;SUM(#REF!),$D128/$E128,0))</f>
        <v>0</v>
      </c>
      <c r="H128" s="263">
        <f>IF($C128+1&gt;H$7,0,IF($D128&gt;SUM($G128:G128),$D128/$E128,0))</f>
        <v>0</v>
      </c>
      <c r="I128" s="263">
        <f>IF($C128+1&gt;I$7,0,IF($D128&gt;SUM($G128:H128),$D128/$E128,0))</f>
        <v>0</v>
      </c>
      <c r="J128" s="263">
        <f>IF($C128+1&gt;J$7,0,IF($D128&gt;SUM($G128:I128),$D128/$E128,0))</f>
        <v>0</v>
      </c>
      <c r="K128" s="263">
        <f>IF($C128+1&gt;K$7,0,IF($D128&gt;SUM($G128:J128),$D128/$E128,0))</f>
        <v>0</v>
      </c>
      <c r="L128" s="263">
        <f>IF($C128+1&gt;L$7,0,IF($D128&gt;SUM($G128:K128),$D128/$E128,0))</f>
        <v>0</v>
      </c>
      <c r="M128" s="263">
        <f>IF($C128+1&gt;M$7,0,IF($D128&gt;SUM($G128:L128),$D128/$E128,0))</f>
        <v>0</v>
      </c>
      <c r="N128" s="263">
        <f>IF($C128+1&gt;N$7,0,IF($D128&gt;SUM($G128:M128),$D128/$E128,0))</f>
        <v>0</v>
      </c>
      <c r="O128" s="263">
        <f>IF($C128+1&gt;O$7,0,IF($D128&gt;SUM($G128:N128),$D128/$E128,0))</f>
        <v>0</v>
      </c>
      <c r="P128" s="263">
        <f>IF($C128+1&gt;P$7,0,IF($D128&gt;SUM($G128:O128),$D128/$E128,0))</f>
        <v>0</v>
      </c>
      <c r="Q128" s="263">
        <f>IF($C128+1&gt;Q$7,0,IF($D128&gt;SUM($G128:P128),$D128/$E128,0))</f>
        <v>0</v>
      </c>
      <c r="R128" s="263">
        <f>IF($C128+1&gt;R$7,0,IF($D128&gt;SUM($G128:Q128),$D128/$E128,0))</f>
        <v>0</v>
      </c>
      <c r="S128" s="263">
        <f>IF($C128+1&gt;S$7,0,IF($D128&gt;SUM($G128:R128),$D128/$E128,0))</f>
        <v>0</v>
      </c>
      <c r="T128" s="263">
        <f>IF($C128+1&gt;T$7,0,IF($D128&gt;SUM($G128:S128),$D128/$E128,0))</f>
        <v>0</v>
      </c>
      <c r="U128" s="263">
        <f>IF($C128+1&gt;U$7,0,IF($D128&gt;SUM($G128:T128),$D128/$E128,0))</f>
        <v>0</v>
      </c>
      <c r="V128" s="263">
        <f>IF($C128+1&gt;V$7,0,IF($D128&gt;SUM($G128:U128),$D128/$E128,0))</f>
        <v>0</v>
      </c>
      <c r="W128" s="263">
        <f>IF($C128+1&gt;W$7,0,IF($D128&gt;SUM($G128:V128),$D128/$E128,0))</f>
        <v>0</v>
      </c>
      <c r="X128" s="263">
        <f>IF($C128+1&gt;X$7,0,IF($D128&gt;SUM($G128:W128),$D128/$E128,0))</f>
        <v>0</v>
      </c>
      <c r="Y128" s="263">
        <f>IF($C128+1&gt;Y$7,0,IF($D128&gt;SUM($G128:X128),$D128/$E128,0))</f>
        <v>0</v>
      </c>
      <c r="Z128" s="263">
        <f>IF($C128+1&gt;Z$7,0,IF($D128&gt;SUM($G128:Y128),$D128/$E128,0))</f>
        <v>0</v>
      </c>
      <c r="AA128" s="263">
        <f>IF($C128+1&gt;AA$7,0,IF($D128&gt;SUM($G128:Z128),$D128/$E128,0))</f>
        <v>0</v>
      </c>
      <c r="AB128" s="263">
        <f>IF($C128+1&gt;AB$7,0,IF($D128&gt;SUM($G128:AA128),$D128/$E128,0))</f>
        <v>0</v>
      </c>
      <c r="AC128" s="263">
        <f>IF($C128+1&gt;AC$7,0,IF($D128&gt;SUM($G128:AB128),$D128/$E128,0))</f>
        <v>0</v>
      </c>
      <c r="AD128" s="263">
        <f>IF($C128+1&gt;AD$7,0,IF($D128&gt;SUM($G128:AC128),$D128/$E128,0))</f>
        <v>0</v>
      </c>
      <c r="AE128" s="263">
        <f>IF($C128+1&gt;AE$7,0,IF($D128&gt;SUM($G128:AD128),$D128/$E128,0))</f>
        <v>0</v>
      </c>
      <c r="AF128" s="263">
        <f>IF($C128+1&gt;AF$7,0,IF($D128&gt;SUM($G128:AE128),$D128/$E128,0))</f>
        <v>0</v>
      </c>
      <c r="AG128" s="263">
        <f>IF($C128+1&gt;AG$7,0,IF($D128&gt;SUM($G128:AF128),$D128/$E128,0))</f>
        <v>0</v>
      </c>
      <c r="AH128" s="263">
        <f>IF($C128+1&gt;AH$7,0,IF($D128&gt;SUM($G128:AG128),$D128/$E128,0))</f>
        <v>0</v>
      </c>
      <c r="AI128" s="263">
        <f>IF($C128+1&gt;AI$7,0,IF($D128&gt;SUM($G128:AH128),$D128/$E128,0))</f>
        <v>0</v>
      </c>
      <c r="AJ128" s="263">
        <f>IF($C128+1&gt;AJ$7,0,IF($D128&gt;SUM($G128:AI128),$D128/$E128,0))</f>
        <v>0</v>
      </c>
      <c r="AK128" s="263">
        <f>IF($C128+1&gt;AK$7,0,IF($D128&gt;SUM($G128:AJ128),$D128/$E128,0))</f>
        <v>0</v>
      </c>
      <c r="AL128" s="263">
        <f>IF($C128+1&gt;AL$7,0,IF($D128&gt;SUM($G128:AK128),$D128/$E128,0))</f>
        <v>0</v>
      </c>
      <c r="AM128" s="263">
        <f>IF($C128+1&gt;AM$7,0,IF($D128&gt;SUM($G128:AL128),$D128/$E128,0))</f>
        <v>0</v>
      </c>
      <c r="AN128" s="263">
        <f>IF($C128+1&gt;AN$7,0,IF($D128&gt;SUM($G128:AM128),$D128/$E128,0))</f>
        <v>0</v>
      </c>
      <c r="AO128" s="263">
        <f>IF($C128+1&gt;AO$7,0,IF($D128&gt;SUM($G128:AN128),$D128/$E128,0))</f>
        <v>0</v>
      </c>
      <c r="AP128" s="263">
        <f>IF($C128+1&gt;AP$7,0,IF($D128&gt;SUM($G128:AO128),$D128/$E128,0))</f>
        <v>0</v>
      </c>
      <c r="AQ128" s="263">
        <f>IF($C128+1&gt;AQ$7,0,IF($D128&gt;SUM($G128:AP128),$D128/$E128,0))</f>
        <v>0</v>
      </c>
      <c r="AR128" s="263">
        <f>IF($C128+1&gt;AR$7,0,IF($D128&gt;SUM($G128:AQ128),$D128/$E128,0))</f>
        <v>0</v>
      </c>
      <c r="AS128" s="263">
        <f>IF($C128+1&gt;AS$7,0,IF($D128&gt;SUM($G128:AR128),$D128/$E128,0))</f>
        <v>0</v>
      </c>
      <c r="AT128" s="263">
        <f>IF($C128+1&gt;AT$7,0,IF($D128&gt;SUM($G128:AS128),$D128/$E128,0))</f>
        <v>0</v>
      </c>
      <c r="AU128" s="263">
        <f>IF($C128+1&gt;AU$7,0,IF($D128&gt;SUM($G128:AT128),$D128/$E128,0))</f>
        <v>0</v>
      </c>
      <c r="AV128" s="263">
        <f>IF($C128+1&gt;AV$7,0,IF($D128&gt;SUM($G128:AU128),$D128/$E128,0))</f>
        <v>0</v>
      </c>
      <c r="AW128" s="263">
        <f>IF($C128+1&gt;AW$7,0,IF($D128&gt;SUM($G128:AV128),$D128/$E128,0))</f>
        <v>0</v>
      </c>
      <c r="AX128" s="263">
        <f>IF($C128+1&gt;AX$7,0,IF($D128&gt;SUM($G128:AW128),$D128/$E128,0))</f>
        <v>0</v>
      </c>
      <c r="AY128" s="263">
        <f>IF($C128+1&gt;AY$7,0,IF($D128&gt;SUM($G128:AX128),$D128/$E128,0))</f>
        <v>0</v>
      </c>
      <c r="AZ128" s="263">
        <f>IF($C128+1&gt;AZ$7,0,IF($D128&gt;SUM($G128:AY128),$D128/$E128,0))</f>
        <v>0</v>
      </c>
      <c r="BA128" s="263">
        <f>IF($C128+1&gt;BA$7,0,IF($D128&gt;SUM($G128:AZ128),$D128/$E128,0))</f>
        <v>0</v>
      </c>
      <c r="BB128" s="263">
        <f>IF($C128+1&gt;BB$7,0,IF($D128&gt;SUM($G128:BA128),$D128/$E128,0))</f>
        <v>0</v>
      </c>
      <c r="BC128" s="263">
        <f>IF($C128+1&gt;BC$7,0,IF($D128&gt;SUM($G128:BB128),$D128/$E128,0))</f>
        <v>0</v>
      </c>
      <c r="BD128" s="263">
        <f>IF($C128+1&gt;BD$7,0,IF($D128&gt;SUM($G128:BC128),$D128/$E128,0))</f>
        <v>0</v>
      </c>
      <c r="BE128" s="263">
        <f>IF($C128+1&gt;BE$7,0,IF($D128&gt;SUM($G128:BD128),$D128/$E128,0))</f>
        <v>0</v>
      </c>
      <c r="BF128" s="263">
        <f>IF($C128+1&gt;BF$7,0,IF($D128&gt;SUM($G128:BE128),$D128/$E128,0))</f>
        <v>0</v>
      </c>
      <c r="BG128" s="263">
        <f>IF($C128+1&gt;BG$7,0,IF($D128&gt;SUM($G128:BF128),$D128/$E128,0))</f>
        <v>0</v>
      </c>
      <c r="BH128" s="263">
        <f>IF($C128+1&gt;BH$7,0,IF($D128&gt;SUM($G128:BG128),$D128/$E128,0))</f>
        <v>0</v>
      </c>
      <c r="BI128" s="263">
        <f>IF($C128+1&gt;BI$7,0,IF($D128&gt;SUM($G128:BH128),$D128/$E128,0))</f>
        <v>0</v>
      </c>
      <c r="BJ128" s="263">
        <f>IF($C128+1&gt;BJ$7,0,IF($D128&gt;SUM($G128:BI128),$D128/$E128,0))</f>
        <v>0</v>
      </c>
      <c r="BK128" s="263">
        <f>IF($C128+1&gt;BK$7,0,IF($D128&gt;SUM($G128:BJ128),$D128/$E128,0))</f>
        <v>0</v>
      </c>
      <c r="BL128" s="263">
        <f>IF($C128+1&gt;BL$7,0,IF($D128&gt;SUM($G128:BK128),$D128/$E128,0))</f>
        <v>0</v>
      </c>
      <c r="BM128" s="263">
        <f>IF($C128+1&gt;BM$7,0,IF($D128&gt;SUM($G128:BL128),$D128/$E128,0))</f>
        <v>0</v>
      </c>
      <c r="BN128" s="263">
        <f>IF($C128+1&gt;BN$7,0,IF($D128&gt;SUM($G128:BM128),$D128/$E128,0))</f>
        <v>0</v>
      </c>
      <c r="BO128" s="263"/>
      <c r="BP128" s="263"/>
      <c r="BQ128" s="263"/>
      <c r="BR128" s="263"/>
      <c r="BS128" s="263"/>
      <c r="BT128" s="263"/>
      <c r="BU128" s="263"/>
      <c r="BV128" s="263"/>
      <c r="BW128" s="263"/>
      <c r="BX128" s="263"/>
      <c r="BY128" s="263"/>
      <c r="BZ128" s="263"/>
      <c r="CA128" s="254"/>
      <c r="CB128" s="254"/>
      <c r="CC128" s="254"/>
      <c r="CD128" s="254"/>
      <c r="CE128" s="254"/>
      <c r="CF128" s="254"/>
      <c r="CG128" s="254"/>
      <c r="CH128" s="254"/>
      <c r="CI128" s="254"/>
      <c r="CJ128" s="254"/>
      <c r="CK128" s="254"/>
      <c r="CL128" s="254"/>
    </row>
    <row r="129" spans="1:90" outlineLevel="1" x14ac:dyDescent="0.15">
      <c r="A129" s="50"/>
      <c r="B129" s="23"/>
      <c r="C129" s="26">
        <v>21</v>
      </c>
      <c r="D129" s="281">
        <v>0</v>
      </c>
      <c r="E129" s="26">
        <f>SAP_Leadsheet!$E$61</f>
        <v>7</v>
      </c>
      <c r="G129" s="263">
        <f>IF($C129+1&gt;G$7,0,IF($D129&gt;SUM(#REF!),$D129/$E129,0))</f>
        <v>0</v>
      </c>
      <c r="H129" s="263">
        <f>IF($C129+1&gt;H$7,0,IF($D129&gt;SUM($G129:G129),$D129/$E129,0))</f>
        <v>0</v>
      </c>
      <c r="I129" s="263">
        <f>IF($C129+1&gt;I$7,0,IF($D129&gt;SUM($G129:H129),$D129/$E129,0))</f>
        <v>0</v>
      </c>
      <c r="J129" s="263">
        <f>IF($C129+1&gt;J$7,0,IF($D129&gt;SUM($G129:I129),$D129/$E129,0))</f>
        <v>0</v>
      </c>
      <c r="K129" s="263">
        <f>IF($C129+1&gt;K$7,0,IF($D129&gt;SUM($G129:J129),$D129/$E129,0))</f>
        <v>0</v>
      </c>
      <c r="L129" s="263">
        <f>IF($C129+1&gt;L$7,0,IF($D129&gt;SUM($G129:K129),$D129/$E129,0))</f>
        <v>0</v>
      </c>
      <c r="M129" s="263">
        <f>IF($C129+1&gt;M$7,0,IF($D129&gt;SUM($G129:L129),$D129/$E129,0))</f>
        <v>0</v>
      </c>
      <c r="N129" s="263">
        <f>IF($C129+1&gt;N$7,0,IF($D129&gt;SUM($G129:M129),$D129/$E129,0))</f>
        <v>0</v>
      </c>
      <c r="O129" s="263">
        <f>IF($C129+1&gt;O$7,0,IF($D129&gt;SUM($G129:N129),$D129/$E129,0))</f>
        <v>0</v>
      </c>
      <c r="P129" s="263">
        <f>IF($C129+1&gt;P$7,0,IF($D129&gt;SUM($G129:O129),$D129/$E129,0))</f>
        <v>0</v>
      </c>
      <c r="Q129" s="263">
        <f>IF($C129+1&gt;Q$7,0,IF($D129&gt;SUM($G129:P129),$D129/$E129,0))</f>
        <v>0</v>
      </c>
      <c r="R129" s="263">
        <f>IF($C129+1&gt;R$7,0,IF($D129&gt;SUM($G129:Q129),$D129/$E129,0))</f>
        <v>0</v>
      </c>
      <c r="S129" s="263">
        <f>IF($C129+1&gt;S$7,0,IF($D129&gt;SUM($G129:R129),$D129/$E129,0))</f>
        <v>0</v>
      </c>
      <c r="T129" s="263">
        <f>IF($C129+1&gt;T$7,0,IF($D129&gt;SUM($G129:S129),$D129/$E129,0))</f>
        <v>0</v>
      </c>
      <c r="U129" s="263">
        <f>IF($C129+1&gt;U$7,0,IF($D129&gt;SUM($G129:T129),$D129/$E129,0))</f>
        <v>0</v>
      </c>
      <c r="V129" s="263">
        <f>IF($C129+1&gt;V$7,0,IF($D129&gt;SUM($G129:U129),$D129/$E129,0))</f>
        <v>0</v>
      </c>
      <c r="W129" s="263">
        <f>IF($C129+1&gt;W$7,0,IF($D129&gt;SUM($G129:V129),$D129/$E129,0))</f>
        <v>0</v>
      </c>
      <c r="X129" s="263">
        <f>IF($C129+1&gt;X$7,0,IF($D129&gt;SUM($G129:W129),$D129/$E129,0))</f>
        <v>0</v>
      </c>
      <c r="Y129" s="263">
        <f>IF($C129+1&gt;Y$7,0,IF($D129&gt;SUM($G129:X129),$D129/$E129,0))</f>
        <v>0</v>
      </c>
      <c r="Z129" s="263">
        <f>IF($C129+1&gt;Z$7,0,IF($D129&gt;SUM($G129:Y129),$D129/$E129,0))</f>
        <v>0</v>
      </c>
      <c r="AA129" s="263">
        <f>IF($C129+1&gt;AA$7,0,IF($D129&gt;SUM($G129:Z129),$D129/$E129,0))</f>
        <v>0</v>
      </c>
      <c r="AB129" s="263">
        <f>IF($C129+1&gt;AB$7,0,IF($D129&gt;SUM($G129:AA129),$D129/$E129,0))</f>
        <v>0</v>
      </c>
      <c r="AC129" s="263">
        <f>IF($C129+1&gt;AC$7,0,IF($D129&gt;SUM($G129:AB129),$D129/$E129,0))</f>
        <v>0</v>
      </c>
      <c r="AD129" s="263">
        <f>IF($C129+1&gt;AD$7,0,IF($D129&gt;SUM($G129:AC129),$D129/$E129,0))</f>
        <v>0</v>
      </c>
      <c r="AE129" s="263">
        <f>IF($C129+1&gt;AE$7,0,IF($D129&gt;SUM($G129:AD129),$D129/$E129,0))</f>
        <v>0</v>
      </c>
      <c r="AF129" s="263">
        <f>IF($C129+1&gt;AF$7,0,IF($D129&gt;SUM($G129:AE129),$D129/$E129,0))</f>
        <v>0</v>
      </c>
      <c r="AG129" s="263">
        <f>IF($C129+1&gt;AG$7,0,IF($D129&gt;SUM($G129:AF129),$D129/$E129,0))</f>
        <v>0</v>
      </c>
      <c r="AH129" s="263">
        <f>IF($C129+1&gt;AH$7,0,IF($D129&gt;SUM($G129:AG129),$D129/$E129,0))</f>
        <v>0</v>
      </c>
      <c r="AI129" s="263">
        <f>IF($C129+1&gt;AI$7,0,IF($D129&gt;SUM($G129:AH129),$D129/$E129,0))</f>
        <v>0</v>
      </c>
      <c r="AJ129" s="263">
        <f>IF($C129+1&gt;AJ$7,0,IF($D129&gt;SUM($G129:AI129),$D129/$E129,0))</f>
        <v>0</v>
      </c>
      <c r="AK129" s="263">
        <f>IF($C129+1&gt;AK$7,0,IF($D129&gt;SUM($G129:AJ129),$D129/$E129,0))</f>
        <v>0</v>
      </c>
      <c r="AL129" s="263">
        <f>IF($C129+1&gt;AL$7,0,IF($D129&gt;SUM($G129:AK129),$D129/$E129,0))</f>
        <v>0</v>
      </c>
      <c r="AM129" s="263">
        <f>IF($C129+1&gt;AM$7,0,IF($D129&gt;SUM($G129:AL129),$D129/$E129,0))</f>
        <v>0</v>
      </c>
      <c r="AN129" s="263">
        <f>IF($C129+1&gt;AN$7,0,IF($D129&gt;SUM($G129:AM129),$D129/$E129,0))</f>
        <v>0</v>
      </c>
      <c r="AO129" s="263">
        <f>IF($C129+1&gt;AO$7,0,IF($D129&gt;SUM($G129:AN129),$D129/$E129,0))</f>
        <v>0</v>
      </c>
      <c r="AP129" s="263">
        <f>IF($C129+1&gt;AP$7,0,IF($D129&gt;SUM($G129:AO129),$D129/$E129,0))</f>
        <v>0</v>
      </c>
      <c r="AQ129" s="263">
        <f>IF($C129+1&gt;AQ$7,0,IF($D129&gt;SUM($G129:AP129),$D129/$E129,0))</f>
        <v>0</v>
      </c>
      <c r="AR129" s="263">
        <f>IF($C129+1&gt;AR$7,0,IF($D129&gt;SUM($G129:AQ129),$D129/$E129,0))</f>
        <v>0</v>
      </c>
      <c r="AS129" s="263">
        <f>IF($C129+1&gt;AS$7,0,IF($D129&gt;SUM($G129:AR129),$D129/$E129,0))</f>
        <v>0</v>
      </c>
      <c r="AT129" s="263">
        <f>IF($C129+1&gt;AT$7,0,IF($D129&gt;SUM($G129:AS129),$D129/$E129,0))</f>
        <v>0</v>
      </c>
      <c r="AU129" s="263">
        <f>IF($C129+1&gt;AU$7,0,IF($D129&gt;SUM($G129:AT129),$D129/$E129,0))</f>
        <v>0</v>
      </c>
      <c r="AV129" s="263">
        <f>IF($C129+1&gt;AV$7,0,IF($D129&gt;SUM($G129:AU129),$D129/$E129,0))</f>
        <v>0</v>
      </c>
      <c r="AW129" s="263">
        <f>IF($C129+1&gt;AW$7,0,IF($D129&gt;SUM($G129:AV129),$D129/$E129,0))</f>
        <v>0</v>
      </c>
      <c r="AX129" s="263">
        <f>IF($C129+1&gt;AX$7,0,IF($D129&gt;SUM($G129:AW129),$D129/$E129,0))</f>
        <v>0</v>
      </c>
      <c r="AY129" s="263">
        <f>IF($C129+1&gt;AY$7,0,IF($D129&gt;SUM($G129:AX129),$D129/$E129,0))</f>
        <v>0</v>
      </c>
      <c r="AZ129" s="263">
        <f>IF($C129+1&gt;AZ$7,0,IF($D129&gt;SUM($G129:AY129),$D129/$E129,0))</f>
        <v>0</v>
      </c>
      <c r="BA129" s="263">
        <f>IF($C129+1&gt;BA$7,0,IF($D129&gt;SUM($G129:AZ129),$D129/$E129,0))</f>
        <v>0</v>
      </c>
      <c r="BB129" s="263">
        <f>IF($C129+1&gt;BB$7,0,IF($D129&gt;SUM($G129:BA129),$D129/$E129,0))</f>
        <v>0</v>
      </c>
      <c r="BC129" s="263">
        <f>IF($C129+1&gt;BC$7,0,IF($D129&gt;SUM($G129:BB129),$D129/$E129,0))</f>
        <v>0</v>
      </c>
      <c r="BD129" s="263">
        <f>IF($C129+1&gt;BD$7,0,IF($D129&gt;SUM($G129:BC129),$D129/$E129,0))</f>
        <v>0</v>
      </c>
      <c r="BE129" s="263">
        <f>IF($C129+1&gt;BE$7,0,IF($D129&gt;SUM($G129:BD129),$D129/$E129,0))</f>
        <v>0</v>
      </c>
      <c r="BF129" s="263">
        <f>IF($C129+1&gt;BF$7,0,IF($D129&gt;SUM($G129:BE129),$D129/$E129,0))</f>
        <v>0</v>
      </c>
      <c r="BG129" s="263">
        <f>IF($C129+1&gt;BG$7,0,IF($D129&gt;SUM($G129:BF129),$D129/$E129,0))</f>
        <v>0</v>
      </c>
      <c r="BH129" s="263">
        <f>IF($C129+1&gt;BH$7,0,IF($D129&gt;SUM($G129:BG129),$D129/$E129,0))</f>
        <v>0</v>
      </c>
      <c r="BI129" s="263">
        <f>IF($C129+1&gt;BI$7,0,IF($D129&gt;SUM($G129:BH129),$D129/$E129,0))</f>
        <v>0</v>
      </c>
      <c r="BJ129" s="263">
        <f>IF($C129+1&gt;BJ$7,0,IF($D129&gt;SUM($G129:BI129),$D129/$E129,0))</f>
        <v>0</v>
      </c>
      <c r="BK129" s="263">
        <f>IF($C129+1&gt;BK$7,0,IF($D129&gt;SUM($G129:BJ129),$D129/$E129,0))</f>
        <v>0</v>
      </c>
      <c r="BL129" s="263">
        <f>IF($C129+1&gt;BL$7,0,IF($D129&gt;SUM($G129:BK129),$D129/$E129,0))</f>
        <v>0</v>
      </c>
      <c r="BM129" s="263">
        <f>IF($C129+1&gt;BM$7,0,IF($D129&gt;SUM($G129:BL129),$D129/$E129,0))</f>
        <v>0</v>
      </c>
      <c r="BN129" s="263">
        <f>IF($C129+1&gt;BN$7,0,IF($D129&gt;SUM($G129:BM129),$D129/$E129,0))</f>
        <v>0</v>
      </c>
      <c r="BO129" s="263"/>
      <c r="BP129" s="263"/>
      <c r="BQ129" s="263"/>
      <c r="BR129" s="263"/>
      <c r="BS129" s="263"/>
      <c r="BT129" s="263"/>
      <c r="BU129" s="263"/>
      <c r="BV129" s="263"/>
      <c r="BW129" s="263"/>
      <c r="BX129" s="263"/>
      <c r="BY129" s="263"/>
      <c r="BZ129" s="263"/>
      <c r="CA129" s="254"/>
      <c r="CB129" s="254"/>
      <c r="CC129" s="254"/>
      <c r="CD129" s="254"/>
      <c r="CE129" s="254"/>
      <c r="CF129" s="254"/>
      <c r="CG129" s="254"/>
      <c r="CH129" s="254"/>
      <c r="CI129" s="254"/>
      <c r="CJ129" s="254"/>
      <c r="CK129" s="254"/>
      <c r="CL129" s="254"/>
    </row>
    <row r="130" spans="1:90" outlineLevel="1" x14ac:dyDescent="0.15">
      <c r="A130" s="50"/>
      <c r="B130" s="23"/>
      <c r="C130" s="26">
        <v>22</v>
      </c>
      <c r="D130" s="281">
        <v>0</v>
      </c>
      <c r="E130" s="26">
        <f>SAP_Leadsheet!$E$61</f>
        <v>7</v>
      </c>
      <c r="G130" s="263">
        <f>IF($C130+1&gt;G$7,0,IF($D130&gt;SUM(#REF!),$D130/$E130,0))</f>
        <v>0</v>
      </c>
      <c r="H130" s="263">
        <f>IF($C130+1&gt;H$7,0,IF($D130&gt;SUM($G130:G130),$D130/$E130,0))</f>
        <v>0</v>
      </c>
      <c r="I130" s="263">
        <f>IF($C130+1&gt;I$7,0,IF($D130&gt;SUM($G130:H130),$D130/$E130,0))</f>
        <v>0</v>
      </c>
      <c r="J130" s="263">
        <f>IF($C130+1&gt;J$7,0,IF($D130&gt;SUM($G130:I130),$D130/$E130,0))</f>
        <v>0</v>
      </c>
      <c r="K130" s="263">
        <f>IF($C130+1&gt;K$7,0,IF($D130&gt;SUM($G130:J130),$D130/$E130,0))</f>
        <v>0</v>
      </c>
      <c r="L130" s="263">
        <f>IF($C130+1&gt;L$7,0,IF($D130&gt;SUM($G130:K130),$D130/$E130,0))</f>
        <v>0</v>
      </c>
      <c r="M130" s="263">
        <f>IF($C130+1&gt;M$7,0,IF($D130&gt;SUM($G130:L130),$D130/$E130,0))</f>
        <v>0</v>
      </c>
      <c r="N130" s="263">
        <f>IF($C130+1&gt;N$7,0,IF($D130&gt;SUM($G130:M130),$D130/$E130,0))</f>
        <v>0</v>
      </c>
      <c r="O130" s="263">
        <f>IF($C130+1&gt;O$7,0,IF($D130&gt;SUM($G130:N130),$D130/$E130,0))</f>
        <v>0</v>
      </c>
      <c r="P130" s="263">
        <f>IF($C130+1&gt;P$7,0,IF($D130&gt;SUM($G130:O130),$D130/$E130,0))</f>
        <v>0</v>
      </c>
      <c r="Q130" s="263">
        <f>IF($C130+1&gt;Q$7,0,IF($D130&gt;SUM($G130:P130),$D130/$E130,0))</f>
        <v>0</v>
      </c>
      <c r="R130" s="263">
        <f>IF($C130+1&gt;R$7,0,IF($D130&gt;SUM($G130:Q130),$D130/$E130,0))</f>
        <v>0</v>
      </c>
      <c r="S130" s="263">
        <f>IF($C130+1&gt;S$7,0,IF($D130&gt;SUM($G130:R130),$D130/$E130,0))</f>
        <v>0</v>
      </c>
      <c r="T130" s="263">
        <f>IF($C130+1&gt;T$7,0,IF($D130&gt;SUM($G130:S130),$D130/$E130,0))</f>
        <v>0</v>
      </c>
      <c r="U130" s="263">
        <f>IF($C130+1&gt;U$7,0,IF($D130&gt;SUM($G130:T130),$D130/$E130,0))</f>
        <v>0</v>
      </c>
      <c r="V130" s="263">
        <f>IF($C130+1&gt;V$7,0,IF($D130&gt;SUM($G130:U130),$D130/$E130,0))</f>
        <v>0</v>
      </c>
      <c r="W130" s="263">
        <f>IF($C130+1&gt;W$7,0,IF($D130&gt;SUM($G130:V130),$D130/$E130,0))</f>
        <v>0</v>
      </c>
      <c r="X130" s="263">
        <f>IF($C130+1&gt;X$7,0,IF($D130&gt;SUM($G130:W130),$D130/$E130,0))</f>
        <v>0</v>
      </c>
      <c r="Y130" s="263">
        <f>IF($C130+1&gt;Y$7,0,IF($D130&gt;SUM($G130:X130),$D130/$E130,0))</f>
        <v>0</v>
      </c>
      <c r="Z130" s="263">
        <f>IF($C130+1&gt;Z$7,0,IF($D130&gt;SUM($G130:Y130),$D130/$E130,0))</f>
        <v>0</v>
      </c>
      <c r="AA130" s="263">
        <f>IF($C130+1&gt;AA$7,0,IF($D130&gt;SUM($G130:Z130),$D130/$E130,0))</f>
        <v>0</v>
      </c>
      <c r="AB130" s="263">
        <f>IF($C130+1&gt;AB$7,0,IF($D130&gt;SUM($G130:AA130),$D130/$E130,0))</f>
        <v>0</v>
      </c>
      <c r="AC130" s="263">
        <f>IF($C130+1&gt;AC$7,0,IF($D130&gt;SUM($G130:AB130),$D130/$E130,0))</f>
        <v>0</v>
      </c>
      <c r="AD130" s="263">
        <f>IF($C130+1&gt;AD$7,0,IF($D130&gt;SUM($G130:AC130),$D130/$E130,0))</f>
        <v>0</v>
      </c>
      <c r="AE130" s="263">
        <f>IF($C130+1&gt;AE$7,0,IF($D130&gt;SUM($G130:AD130),$D130/$E130,0))</f>
        <v>0</v>
      </c>
      <c r="AF130" s="263">
        <f>IF($C130+1&gt;AF$7,0,IF($D130&gt;SUM($G130:AE130),$D130/$E130,0))</f>
        <v>0</v>
      </c>
      <c r="AG130" s="263">
        <f>IF($C130+1&gt;AG$7,0,IF($D130&gt;SUM($G130:AF130),$D130/$E130,0))</f>
        <v>0</v>
      </c>
      <c r="AH130" s="263">
        <f>IF($C130+1&gt;AH$7,0,IF($D130&gt;SUM($G130:AG130),$D130/$E130,0))</f>
        <v>0</v>
      </c>
      <c r="AI130" s="263">
        <f>IF($C130+1&gt;AI$7,0,IF($D130&gt;SUM($G130:AH130),$D130/$E130,0))</f>
        <v>0</v>
      </c>
      <c r="AJ130" s="263">
        <f>IF($C130+1&gt;AJ$7,0,IF($D130&gt;SUM($G130:AI130),$D130/$E130,0))</f>
        <v>0</v>
      </c>
      <c r="AK130" s="263">
        <f>IF($C130+1&gt;AK$7,0,IF($D130&gt;SUM($G130:AJ130),$D130/$E130,0))</f>
        <v>0</v>
      </c>
      <c r="AL130" s="263">
        <f>IF($C130+1&gt;AL$7,0,IF($D130&gt;SUM($G130:AK130),$D130/$E130,0))</f>
        <v>0</v>
      </c>
      <c r="AM130" s="263">
        <f>IF($C130+1&gt;AM$7,0,IF($D130&gt;SUM($G130:AL130),$D130/$E130,0))</f>
        <v>0</v>
      </c>
      <c r="AN130" s="263">
        <f>IF($C130+1&gt;AN$7,0,IF($D130&gt;SUM($G130:AM130),$D130/$E130,0))</f>
        <v>0</v>
      </c>
      <c r="AO130" s="263">
        <f>IF($C130+1&gt;AO$7,0,IF($D130&gt;SUM($G130:AN130),$D130/$E130,0))</f>
        <v>0</v>
      </c>
      <c r="AP130" s="263">
        <f>IF($C130+1&gt;AP$7,0,IF($D130&gt;SUM($G130:AO130),$D130/$E130,0))</f>
        <v>0</v>
      </c>
      <c r="AQ130" s="263">
        <f>IF($C130+1&gt;AQ$7,0,IF($D130&gt;SUM($G130:AP130),$D130/$E130,0))</f>
        <v>0</v>
      </c>
      <c r="AR130" s="263">
        <f>IF($C130+1&gt;AR$7,0,IF($D130&gt;SUM($G130:AQ130),$D130/$E130,0))</f>
        <v>0</v>
      </c>
      <c r="AS130" s="263">
        <f>IF($C130+1&gt;AS$7,0,IF($D130&gt;SUM($G130:AR130),$D130/$E130,0))</f>
        <v>0</v>
      </c>
      <c r="AT130" s="263">
        <f>IF($C130+1&gt;AT$7,0,IF($D130&gt;SUM($G130:AS130),$D130/$E130,0))</f>
        <v>0</v>
      </c>
      <c r="AU130" s="263">
        <f>IF($C130+1&gt;AU$7,0,IF($D130&gt;SUM($G130:AT130),$D130/$E130,0))</f>
        <v>0</v>
      </c>
      <c r="AV130" s="263">
        <f>IF($C130+1&gt;AV$7,0,IF($D130&gt;SUM($G130:AU130),$D130/$E130,0))</f>
        <v>0</v>
      </c>
      <c r="AW130" s="263">
        <f>IF($C130+1&gt;AW$7,0,IF($D130&gt;SUM($G130:AV130),$D130/$E130,0))</f>
        <v>0</v>
      </c>
      <c r="AX130" s="263">
        <f>IF($C130+1&gt;AX$7,0,IF($D130&gt;SUM($G130:AW130),$D130/$E130,0))</f>
        <v>0</v>
      </c>
      <c r="AY130" s="263">
        <f>IF($C130+1&gt;AY$7,0,IF($D130&gt;SUM($G130:AX130),$D130/$E130,0))</f>
        <v>0</v>
      </c>
      <c r="AZ130" s="263">
        <f>IF($C130+1&gt;AZ$7,0,IF($D130&gt;SUM($G130:AY130),$D130/$E130,0))</f>
        <v>0</v>
      </c>
      <c r="BA130" s="263">
        <f>IF($C130+1&gt;BA$7,0,IF($D130&gt;SUM($G130:AZ130),$D130/$E130,0))</f>
        <v>0</v>
      </c>
      <c r="BB130" s="263">
        <f>IF($C130+1&gt;BB$7,0,IF($D130&gt;SUM($G130:BA130),$D130/$E130,0))</f>
        <v>0</v>
      </c>
      <c r="BC130" s="263">
        <f>IF($C130+1&gt;BC$7,0,IF($D130&gt;SUM($G130:BB130),$D130/$E130,0))</f>
        <v>0</v>
      </c>
      <c r="BD130" s="263">
        <f>IF($C130+1&gt;BD$7,0,IF($D130&gt;SUM($G130:BC130),$D130/$E130,0))</f>
        <v>0</v>
      </c>
      <c r="BE130" s="263">
        <f>IF($C130+1&gt;BE$7,0,IF($D130&gt;SUM($G130:BD130),$D130/$E130,0))</f>
        <v>0</v>
      </c>
      <c r="BF130" s="263">
        <f>IF($C130+1&gt;BF$7,0,IF($D130&gt;SUM($G130:BE130),$D130/$E130,0))</f>
        <v>0</v>
      </c>
      <c r="BG130" s="263">
        <f>IF($C130+1&gt;BG$7,0,IF($D130&gt;SUM($G130:BF130),$D130/$E130,0))</f>
        <v>0</v>
      </c>
      <c r="BH130" s="263">
        <f>IF($C130+1&gt;BH$7,0,IF($D130&gt;SUM($G130:BG130),$D130/$E130,0))</f>
        <v>0</v>
      </c>
      <c r="BI130" s="263">
        <f>IF($C130+1&gt;BI$7,0,IF($D130&gt;SUM($G130:BH130),$D130/$E130,0))</f>
        <v>0</v>
      </c>
      <c r="BJ130" s="263">
        <f>IF($C130+1&gt;BJ$7,0,IF($D130&gt;SUM($G130:BI130),$D130/$E130,0))</f>
        <v>0</v>
      </c>
      <c r="BK130" s="263">
        <f>IF($C130+1&gt;BK$7,0,IF($D130&gt;SUM($G130:BJ130),$D130/$E130,0))</f>
        <v>0</v>
      </c>
      <c r="BL130" s="263">
        <f>IF($C130+1&gt;BL$7,0,IF($D130&gt;SUM($G130:BK130),$D130/$E130,0))</f>
        <v>0</v>
      </c>
      <c r="BM130" s="263">
        <f>IF($C130+1&gt;BM$7,0,IF($D130&gt;SUM($G130:BL130),$D130/$E130,0))</f>
        <v>0</v>
      </c>
      <c r="BN130" s="263">
        <f>IF($C130+1&gt;BN$7,0,IF($D130&gt;SUM($G130:BM130),$D130/$E130,0))</f>
        <v>0</v>
      </c>
      <c r="BO130" s="263"/>
      <c r="BP130" s="263"/>
      <c r="BQ130" s="263"/>
      <c r="BR130" s="263"/>
      <c r="BS130" s="263"/>
      <c r="BT130" s="263"/>
      <c r="BU130" s="263"/>
      <c r="BV130" s="263"/>
      <c r="BW130" s="263"/>
      <c r="BX130" s="263"/>
      <c r="BY130" s="263"/>
      <c r="BZ130" s="263"/>
      <c r="CA130" s="254"/>
      <c r="CB130" s="254"/>
      <c r="CC130" s="254"/>
      <c r="CD130" s="254"/>
      <c r="CE130" s="254"/>
      <c r="CF130" s="254"/>
      <c r="CG130" s="254"/>
      <c r="CH130" s="254"/>
      <c r="CI130" s="254"/>
      <c r="CJ130" s="254"/>
      <c r="CK130" s="254"/>
      <c r="CL130" s="254"/>
    </row>
    <row r="131" spans="1:90" outlineLevel="1" x14ac:dyDescent="0.15">
      <c r="A131" s="50"/>
      <c r="B131" s="23"/>
      <c r="C131" s="26">
        <v>23</v>
      </c>
      <c r="D131" s="281">
        <v>0</v>
      </c>
      <c r="E131" s="26">
        <f>SAP_Leadsheet!$E$61</f>
        <v>7</v>
      </c>
      <c r="G131" s="263">
        <f>IF($C131+1&gt;G$7,0,IF($D131&gt;SUM(#REF!),$D131/$E131,0))</f>
        <v>0</v>
      </c>
      <c r="H131" s="263">
        <f>IF($C131+1&gt;H$7,0,IF($D131&gt;SUM($G131:G131),$D131/$E131,0))</f>
        <v>0</v>
      </c>
      <c r="I131" s="263">
        <f>IF($C131+1&gt;I$7,0,IF($D131&gt;SUM($G131:H131),$D131/$E131,0))</f>
        <v>0</v>
      </c>
      <c r="J131" s="263">
        <f>IF($C131+1&gt;J$7,0,IF($D131&gt;SUM($G131:I131),$D131/$E131,0))</f>
        <v>0</v>
      </c>
      <c r="K131" s="263">
        <f>IF($C131+1&gt;K$7,0,IF($D131&gt;SUM($G131:J131),$D131/$E131,0))</f>
        <v>0</v>
      </c>
      <c r="L131" s="263">
        <f>IF($C131+1&gt;L$7,0,IF($D131&gt;SUM($G131:K131),$D131/$E131,0))</f>
        <v>0</v>
      </c>
      <c r="M131" s="263">
        <f>IF($C131+1&gt;M$7,0,IF($D131&gt;SUM($G131:L131),$D131/$E131,0))</f>
        <v>0</v>
      </c>
      <c r="N131" s="263">
        <f>IF($C131+1&gt;N$7,0,IF($D131&gt;SUM($G131:M131),$D131/$E131,0))</f>
        <v>0</v>
      </c>
      <c r="O131" s="263">
        <f>IF($C131+1&gt;O$7,0,IF($D131&gt;SUM($G131:N131),$D131/$E131,0))</f>
        <v>0</v>
      </c>
      <c r="P131" s="263">
        <f>IF($C131+1&gt;P$7,0,IF($D131&gt;SUM($G131:O131),$D131/$E131,0))</f>
        <v>0</v>
      </c>
      <c r="Q131" s="263">
        <f>IF($C131+1&gt;Q$7,0,IF($D131&gt;SUM($G131:P131),$D131/$E131,0))</f>
        <v>0</v>
      </c>
      <c r="R131" s="263">
        <f>IF($C131+1&gt;R$7,0,IF($D131&gt;SUM($G131:Q131),$D131/$E131,0))</f>
        <v>0</v>
      </c>
      <c r="S131" s="263">
        <f>IF($C131+1&gt;S$7,0,IF($D131&gt;SUM($G131:R131),$D131/$E131,0))</f>
        <v>0</v>
      </c>
      <c r="T131" s="263">
        <f>IF($C131+1&gt;T$7,0,IF($D131&gt;SUM($G131:S131),$D131/$E131,0))</f>
        <v>0</v>
      </c>
      <c r="U131" s="263">
        <f>IF($C131+1&gt;U$7,0,IF($D131&gt;SUM($G131:T131),$D131/$E131,0))</f>
        <v>0</v>
      </c>
      <c r="V131" s="263">
        <f>IF($C131+1&gt;V$7,0,IF($D131&gt;SUM($G131:U131),$D131/$E131,0))</f>
        <v>0</v>
      </c>
      <c r="W131" s="263">
        <f>IF($C131+1&gt;W$7,0,IF($D131&gt;SUM($G131:V131),$D131/$E131,0))</f>
        <v>0</v>
      </c>
      <c r="X131" s="263">
        <f>IF($C131+1&gt;X$7,0,IF($D131&gt;SUM($G131:W131),$D131/$E131,0))</f>
        <v>0</v>
      </c>
      <c r="Y131" s="263">
        <f>IF($C131+1&gt;Y$7,0,IF($D131&gt;SUM($G131:X131),$D131/$E131,0))</f>
        <v>0</v>
      </c>
      <c r="Z131" s="263">
        <f>IF($C131+1&gt;Z$7,0,IF($D131&gt;SUM($G131:Y131),$D131/$E131,0))</f>
        <v>0</v>
      </c>
      <c r="AA131" s="263">
        <f>IF($C131+1&gt;AA$7,0,IF($D131&gt;SUM($G131:Z131),$D131/$E131,0))</f>
        <v>0</v>
      </c>
      <c r="AB131" s="263">
        <f>IF($C131+1&gt;AB$7,0,IF($D131&gt;SUM($G131:AA131),$D131/$E131,0))</f>
        <v>0</v>
      </c>
      <c r="AC131" s="263">
        <f>IF($C131+1&gt;AC$7,0,IF($D131&gt;SUM($G131:AB131),$D131/$E131,0))</f>
        <v>0</v>
      </c>
      <c r="AD131" s="263">
        <f>IF($C131+1&gt;AD$7,0,IF($D131&gt;SUM($G131:AC131),$D131/$E131,0))</f>
        <v>0</v>
      </c>
      <c r="AE131" s="263">
        <f>IF($C131+1&gt;AE$7,0,IF($D131&gt;SUM($G131:AD131),$D131/$E131,0))</f>
        <v>0</v>
      </c>
      <c r="AF131" s="263">
        <f>IF($C131+1&gt;AF$7,0,IF($D131&gt;SUM($G131:AE131),$D131/$E131,0))</f>
        <v>0</v>
      </c>
      <c r="AG131" s="263">
        <f>IF($C131+1&gt;AG$7,0,IF($D131&gt;SUM($G131:AF131),$D131/$E131,0))</f>
        <v>0</v>
      </c>
      <c r="AH131" s="263">
        <f>IF($C131+1&gt;AH$7,0,IF($D131&gt;SUM($G131:AG131),$D131/$E131,0))</f>
        <v>0</v>
      </c>
      <c r="AI131" s="263">
        <f>IF($C131+1&gt;AI$7,0,IF($D131&gt;SUM($G131:AH131),$D131/$E131,0))</f>
        <v>0</v>
      </c>
      <c r="AJ131" s="263">
        <f>IF($C131+1&gt;AJ$7,0,IF($D131&gt;SUM($G131:AI131),$D131/$E131,0))</f>
        <v>0</v>
      </c>
      <c r="AK131" s="263">
        <f>IF($C131+1&gt;AK$7,0,IF($D131&gt;SUM($G131:AJ131),$D131/$E131,0))</f>
        <v>0</v>
      </c>
      <c r="AL131" s="263">
        <f>IF($C131+1&gt;AL$7,0,IF($D131&gt;SUM($G131:AK131),$D131/$E131,0))</f>
        <v>0</v>
      </c>
      <c r="AM131" s="263">
        <f>IF($C131+1&gt;AM$7,0,IF($D131&gt;SUM($G131:AL131),$D131/$E131,0))</f>
        <v>0</v>
      </c>
      <c r="AN131" s="263">
        <f>IF($C131+1&gt;AN$7,0,IF($D131&gt;SUM($G131:AM131),$D131/$E131,0))</f>
        <v>0</v>
      </c>
      <c r="AO131" s="263">
        <f>IF($C131+1&gt;AO$7,0,IF($D131&gt;SUM($G131:AN131),$D131/$E131,0))</f>
        <v>0</v>
      </c>
      <c r="AP131" s="263">
        <f>IF($C131+1&gt;AP$7,0,IF($D131&gt;SUM($G131:AO131),$D131/$E131,0))</f>
        <v>0</v>
      </c>
      <c r="AQ131" s="263">
        <f>IF($C131+1&gt;AQ$7,0,IF($D131&gt;SUM($G131:AP131),$D131/$E131,0))</f>
        <v>0</v>
      </c>
      <c r="AR131" s="263">
        <f>IF($C131+1&gt;AR$7,0,IF($D131&gt;SUM($G131:AQ131),$D131/$E131,0))</f>
        <v>0</v>
      </c>
      <c r="AS131" s="263">
        <f>IF($C131+1&gt;AS$7,0,IF($D131&gt;SUM($G131:AR131),$D131/$E131,0))</f>
        <v>0</v>
      </c>
      <c r="AT131" s="263">
        <f>IF($C131+1&gt;AT$7,0,IF($D131&gt;SUM($G131:AS131),$D131/$E131,0))</f>
        <v>0</v>
      </c>
      <c r="AU131" s="263">
        <f>IF($C131+1&gt;AU$7,0,IF($D131&gt;SUM($G131:AT131),$D131/$E131,0))</f>
        <v>0</v>
      </c>
      <c r="AV131" s="263">
        <f>IF($C131+1&gt;AV$7,0,IF($D131&gt;SUM($G131:AU131),$D131/$E131,0))</f>
        <v>0</v>
      </c>
      <c r="AW131" s="263">
        <f>IF($C131+1&gt;AW$7,0,IF($D131&gt;SUM($G131:AV131),$D131/$E131,0))</f>
        <v>0</v>
      </c>
      <c r="AX131" s="263">
        <f>IF($C131+1&gt;AX$7,0,IF($D131&gt;SUM($G131:AW131),$D131/$E131,0))</f>
        <v>0</v>
      </c>
      <c r="AY131" s="263">
        <f>IF($C131+1&gt;AY$7,0,IF($D131&gt;SUM($G131:AX131),$D131/$E131,0))</f>
        <v>0</v>
      </c>
      <c r="AZ131" s="263">
        <f>IF($C131+1&gt;AZ$7,0,IF($D131&gt;SUM($G131:AY131),$D131/$E131,0))</f>
        <v>0</v>
      </c>
      <c r="BA131" s="263">
        <f>IF($C131+1&gt;BA$7,0,IF($D131&gt;SUM($G131:AZ131),$D131/$E131,0))</f>
        <v>0</v>
      </c>
      <c r="BB131" s="263">
        <f>IF($C131+1&gt;BB$7,0,IF($D131&gt;SUM($G131:BA131),$D131/$E131,0))</f>
        <v>0</v>
      </c>
      <c r="BC131" s="263">
        <f>IF($C131+1&gt;BC$7,0,IF($D131&gt;SUM($G131:BB131),$D131/$E131,0))</f>
        <v>0</v>
      </c>
      <c r="BD131" s="263">
        <f>IF($C131+1&gt;BD$7,0,IF($D131&gt;SUM($G131:BC131),$D131/$E131,0))</f>
        <v>0</v>
      </c>
      <c r="BE131" s="263">
        <f>IF($C131+1&gt;BE$7,0,IF($D131&gt;SUM($G131:BD131),$D131/$E131,0))</f>
        <v>0</v>
      </c>
      <c r="BF131" s="263">
        <f>IF($C131+1&gt;BF$7,0,IF($D131&gt;SUM($G131:BE131),$D131/$E131,0))</f>
        <v>0</v>
      </c>
      <c r="BG131" s="263">
        <f>IF($C131+1&gt;BG$7,0,IF($D131&gt;SUM($G131:BF131),$D131/$E131,0))</f>
        <v>0</v>
      </c>
      <c r="BH131" s="263">
        <f>IF($C131+1&gt;BH$7,0,IF($D131&gt;SUM($G131:BG131),$D131/$E131,0))</f>
        <v>0</v>
      </c>
      <c r="BI131" s="263">
        <f>IF($C131+1&gt;BI$7,0,IF($D131&gt;SUM($G131:BH131),$D131/$E131,0))</f>
        <v>0</v>
      </c>
      <c r="BJ131" s="263">
        <f>IF($C131+1&gt;BJ$7,0,IF($D131&gt;SUM($G131:BI131),$D131/$E131,0))</f>
        <v>0</v>
      </c>
      <c r="BK131" s="263">
        <f>IF($C131+1&gt;BK$7,0,IF($D131&gt;SUM($G131:BJ131),$D131/$E131,0))</f>
        <v>0</v>
      </c>
      <c r="BL131" s="263">
        <f>IF($C131+1&gt;BL$7,0,IF($D131&gt;SUM($G131:BK131),$D131/$E131,0))</f>
        <v>0</v>
      </c>
      <c r="BM131" s="263">
        <f>IF($C131+1&gt;BM$7,0,IF($D131&gt;SUM($G131:BL131),$D131/$E131,0))</f>
        <v>0</v>
      </c>
      <c r="BN131" s="263">
        <f>IF($C131+1&gt;BN$7,0,IF($D131&gt;SUM($G131:BM131),$D131/$E131,0))</f>
        <v>0</v>
      </c>
      <c r="BO131" s="263"/>
      <c r="BP131" s="263"/>
      <c r="BQ131" s="263"/>
      <c r="BR131" s="263"/>
      <c r="BS131" s="263"/>
      <c r="BT131" s="263"/>
      <c r="BU131" s="263"/>
      <c r="BV131" s="263"/>
      <c r="BW131" s="263"/>
      <c r="BX131" s="263"/>
      <c r="BY131" s="263"/>
      <c r="BZ131" s="263"/>
      <c r="CA131" s="254"/>
      <c r="CB131" s="254"/>
      <c r="CC131" s="254"/>
      <c r="CD131" s="254"/>
      <c r="CE131" s="254"/>
      <c r="CF131" s="254"/>
      <c r="CG131" s="254"/>
      <c r="CH131" s="254"/>
      <c r="CI131" s="254"/>
      <c r="CJ131" s="254"/>
      <c r="CK131" s="254"/>
      <c r="CL131" s="254"/>
    </row>
    <row r="132" spans="1:90" outlineLevel="1" x14ac:dyDescent="0.15">
      <c r="A132" s="50"/>
      <c r="B132" s="23"/>
      <c r="C132" s="26">
        <v>24</v>
      </c>
      <c r="D132" s="281">
        <v>0.70000000000000007</v>
      </c>
      <c r="E132" s="26">
        <f>SAP_Leadsheet!$E$61</f>
        <v>7</v>
      </c>
      <c r="G132" s="263">
        <f>IF($C132+1&gt;G$7,0,IF($D132&gt;SUM(#REF!),$D132/$E132,0))</f>
        <v>0</v>
      </c>
      <c r="H132" s="263">
        <f>IF($C132+1&gt;H$7,0,IF($D132&gt;SUM($G132:G132),$D132/$E132,0))</f>
        <v>0</v>
      </c>
      <c r="I132" s="263">
        <f>IF($C132+1&gt;I$7,0,IF($D132&gt;SUM($G132:H132),$D132/$E132,0))</f>
        <v>0</v>
      </c>
      <c r="J132" s="263">
        <f>IF($C132+1&gt;J$7,0,IF($D132&gt;SUM($G132:I132),$D132/$E132,0))</f>
        <v>0</v>
      </c>
      <c r="K132" s="263">
        <f>IF($C132+1&gt;K$7,0,IF($D132&gt;SUM($G132:J132),$D132/$E132,0))</f>
        <v>0</v>
      </c>
      <c r="L132" s="263">
        <f>IF($C132+1&gt;L$7,0,IF($D132&gt;SUM($G132:K132),$D132/$E132,0))</f>
        <v>0</v>
      </c>
      <c r="M132" s="263">
        <f>IF($C132+1&gt;M$7,0,IF($D132&gt;SUM($G132:L132),$D132/$E132,0))</f>
        <v>0</v>
      </c>
      <c r="N132" s="263">
        <f>IF($C132+1&gt;N$7,0,IF($D132&gt;SUM($G132:M132),$D132/$E132,0))</f>
        <v>0</v>
      </c>
      <c r="O132" s="263">
        <f>IF($C132+1&gt;O$7,0,IF($D132&gt;SUM($G132:N132),$D132/$E132,0))</f>
        <v>0</v>
      </c>
      <c r="P132" s="263">
        <f>IF($C132+1&gt;P$7,0,IF($D132&gt;SUM($G132:O132),$D132/$E132,0))</f>
        <v>0</v>
      </c>
      <c r="Q132" s="263">
        <f>IF($C132+1&gt;Q$7,0,IF($D132&gt;SUM($G132:P132),$D132/$E132,0))</f>
        <v>0</v>
      </c>
      <c r="R132" s="263">
        <f>IF($C132+1&gt;R$7,0,IF($D132&gt;SUM($G132:Q132),$D132/$E132,0))</f>
        <v>0</v>
      </c>
      <c r="S132" s="263">
        <f>IF($C132+1&gt;S$7,0,IF($D132&gt;SUM($G132:R132),$D132/$E132,0))</f>
        <v>0</v>
      </c>
      <c r="T132" s="263">
        <f>IF($C132+1&gt;T$7,0,IF($D132&gt;SUM($G132:S132),$D132/$E132,0))</f>
        <v>0</v>
      </c>
      <c r="U132" s="263">
        <f>IF($C132+1&gt;U$7,0,IF($D132&gt;SUM($G132:T132),$D132/$E132,0))</f>
        <v>0</v>
      </c>
      <c r="V132" s="263">
        <f>IF($C132+1&gt;V$7,0,IF($D132&gt;SUM($G132:U132),$D132/$E132,0))</f>
        <v>0</v>
      </c>
      <c r="W132" s="263">
        <f>IF($C132+1&gt;W$7,0,IF($D132&gt;SUM($G132:V132),$D132/$E132,0))</f>
        <v>0</v>
      </c>
      <c r="X132" s="263">
        <f>IF($C132+1&gt;X$7,0,IF($D132&gt;SUM($G132:W132),$D132/$E132,0))</f>
        <v>0</v>
      </c>
      <c r="Y132" s="263">
        <f>IF($C132+1&gt;Y$7,0,IF($D132&gt;SUM($G132:X132),$D132/$E132,0))</f>
        <v>0</v>
      </c>
      <c r="Z132" s="263">
        <f>IF($C132+1&gt;Z$7,0,IF($D132&gt;SUM($G132:Y132),$D132/$E132,0))</f>
        <v>0</v>
      </c>
      <c r="AA132" s="263">
        <f>IF($C132+1&gt;AA$7,0,IF($D132&gt;SUM($G132:Z132),$D132/$E132,0))</f>
        <v>0</v>
      </c>
      <c r="AB132" s="263">
        <f>IF($C132+1&gt;AB$7,0,IF($D132&gt;SUM($G132:AA132),$D132/$E132,0))</f>
        <v>0</v>
      </c>
      <c r="AC132" s="263">
        <f>IF($C132+1&gt;AC$7,0,IF($D132&gt;SUM($G132:AB132),$D132/$E132,0))</f>
        <v>0</v>
      </c>
      <c r="AD132" s="263">
        <f>IF($C132+1&gt;AD$7,0,IF($D132&gt;SUM($G132:AC132),$D132/$E132,0))</f>
        <v>0</v>
      </c>
      <c r="AE132" s="263">
        <f>IF($C132+1&gt;AE$7,0,IF($D132&gt;SUM($G132:AD132),$D132/$E132,0))</f>
        <v>0.1</v>
      </c>
      <c r="AF132" s="263">
        <f>IF($C132+1&gt;AF$7,0,IF($D132&gt;SUM($G132:AE132),$D132/$E132,0))</f>
        <v>0.1</v>
      </c>
      <c r="AG132" s="263">
        <f>IF($C132+1&gt;AG$7,0,IF($D132&gt;SUM($G132:AF132),$D132/$E132,0))</f>
        <v>0.1</v>
      </c>
      <c r="AH132" s="263">
        <f>IF($C132+1&gt;AH$7,0,IF($D132&gt;SUM($G132:AG132),$D132/$E132,0))</f>
        <v>0.1</v>
      </c>
      <c r="AI132" s="263">
        <f>IF($C132+1&gt;AI$7,0,IF($D132&gt;SUM($G132:AH132),$D132/$E132,0))</f>
        <v>0.1</v>
      </c>
      <c r="AJ132" s="263">
        <f>IF($C132+1&gt;AJ$7,0,IF($D132&gt;SUM($G132:AI132),$D132/$E132,0))</f>
        <v>0.1</v>
      </c>
      <c r="AK132" s="263">
        <f>IF($C132+1&gt;AK$7,0,IF($D132&gt;SUM($G132:AJ132),$D132/$E132,0))</f>
        <v>0.1</v>
      </c>
      <c r="AL132" s="263">
        <f>IF($C132+1&gt;AL$7,0,IF($D132&gt;SUM($G132:AK132),$D132/$E132,0))</f>
        <v>0</v>
      </c>
      <c r="AM132" s="263">
        <f>IF($C132+1&gt;AM$7,0,IF($D132&gt;SUM($G132:AL132),$D132/$E132,0))</f>
        <v>0</v>
      </c>
      <c r="AN132" s="263">
        <f>IF($C132+1&gt;AN$7,0,IF($D132&gt;SUM($G132:AM132),$D132/$E132,0))</f>
        <v>0</v>
      </c>
      <c r="AO132" s="263">
        <f>IF($C132+1&gt;AO$7,0,IF($D132&gt;SUM($G132:AN132),$D132/$E132,0))</f>
        <v>0</v>
      </c>
      <c r="AP132" s="263">
        <f>IF($C132+1&gt;AP$7,0,IF($D132&gt;SUM($G132:AO132),$D132/$E132,0))</f>
        <v>0</v>
      </c>
      <c r="AQ132" s="263">
        <f>IF($C132+1&gt;AQ$7,0,IF($D132&gt;SUM($G132:AP132),$D132/$E132,0))</f>
        <v>0</v>
      </c>
      <c r="AR132" s="263">
        <f>IF($C132+1&gt;AR$7,0,IF($D132&gt;SUM($G132:AQ132),$D132/$E132,0))</f>
        <v>0</v>
      </c>
      <c r="AS132" s="263">
        <f>IF($C132+1&gt;AS$7,0,IF($D132&gt;SUM($G132:AR132),$D132/$E132,0))</f>
        <v>0</v>
      </c>
      <c r="AT132" s="263">
        <f>IF($C132+1&gt;AT$7,0,IF($D132&gt;SUM($G132:AS132),$D132/$E132,0))</f>
        <v>0</v>
      </c>
      <c r="AU132" s="263">
        <f>IF($C132+1&gt;AU$7,0,IF($D132&gt;SUM($G132:AT132),$D132/$E132,0))</f>
        <v>0</v>
      </c>
      <c r="AV132" s="263">
        <f>IF($C132+1&gt;AV$7,0,IF($D132&gt;SUM($G132:AU132),$D132/$E132,0))</f>
        <v>0</v>
      </c>
      <c r="AW132" s="263">
        <f>IF($C132+1&gt;AW$7,0,IF($D132&gt;SUM($G132:AV132),$D132/$E132,0))</f>
        <v>0</v>
      </c>
      <c r="AX132" s="263">
        <f>IF($C132+1&gt;AX$7,0,IF($D132&gt;SUM($G132:AW132),$D132/$E132,0))</f>
        <v>0</v>
      </c>
      <c r="AY132" s="263">
        <f>IF($C132+1&gt;AY$7,0,IF($D132&gt;SUM($G132:AX132),$D132/$E132,0))</f>
        <v>0</v>
      </c>
      <c r="AZ132" s="263">
        <f>IF($C132+1&gt;AZ$7,0,IF($D132&gt;SUM($G132:AY132),$D132/$E132,0))</f>
        <v>0</v>
      </c>
      <c r="BA132" s="263">
        <f>IF($C132+1&gt;BA$7,0,IF($D132&gt;SUM($G132:AZ132),$D132/$E132,0))</f>
        <v>0</v>
      </c>
      <c r="BB132" s="263">
        <f>IF($C132+1&gt;BB$7,0,IF($D132&gt;SUM($G132:BA132),$D132/$E132,0))</f>
        <v>0</v>
      </c>
      <c r="BC132" s="263">
        <f>IF($C132+1&gt;BC$7,0,IF($D132&gt;SUM($G132:BB132),$D132/$E132,0))</f>
        <v>0</v>
      </c>
      <c r="BD132" s="263">
        <f>IF($C132+1&gt;BD$7,0,IF($D132&gt;SUM($G132:BC132),$D132/$E132,0))</f>
        <v>0</v>
      </c>
      <c r="BE132" s="263">
        <f>IF($C132+1&gt;BE$7,0,IF($D132&gt;SUM($G132:BD132),$D132/$E132,0))</f>
        <v>0</v>
      </c>
      <c r="BF132" s="263">
        <f>IF($C132+1&gt;BF$7,0,IF($D132&gt;SUM($G132:BE132),$D132/$E132,0))</f>
        <v>0</v>
      </c>
      <c r="BG132" s="263">
        <f>IF($C132+1&gt;BG$7,0,IF($D132&gt;SUM($G132:BF132),$D132/$E132,0))</f>
        <v>0</v>
      </c>
      <c r="BH132" s="263">
        <f>IF($C132+1&gt;BH$7,0,IF($D132&gt;SUM($G132:BG132),$D132/$E132,0))</f>
        <v>0</v>
      </c>
      <c r="BI132" s="263">
        <f>IF($C132+1&gt;BI$7,0,IF($D132&gt;SUM($G132:BH132),$D132/$E132,0))</f>
        <v>0</v>
      </c>
      <c r="BJ132" s="263">
        <f>IF($C132+1&gt;BJ$7,0,IF($D132&gt;SUM($G132:BI132),$D132/$E132,0))</f>
        <v>0</v>
      </c>
      <c r="BK132" s="263">
        <f>IF($C132+1&gt;BK$7,0,IF($D132&gt;SUM($G132:BJ132),$D132/$E132,0))</f>
        <v>0</v>
      </c>
      <c r="BL132" s="263">
        <f>IF($C132+1&gt;BL$7,0,IF($D132&gt;SUM($G132:BK132),$D132/$E132,0))</f>
        <v>0</v>
      </c>
      <c r="BM132" s="263">
        <f>IF($C132+1&gt;BM$7,0,IF($D132&gt;SUM($G132:BL132),$D132/$E132,0))</f>
        <v>0</v>
      </c>
      <c r="BN132" s="263">
        <f>IF($C132+1&gt;BN$7,0,IF($D132&gt;SUM($G132:BM132),$D132/$E132,0))</f>
        <v>0</v>
      </c>
      <c r="BO132" s="263"/>
      <c r="BP132" s="263"/>
      <c r="BQ132" s="263"/>
      <c r="BR132" s="263"/>
      <c r="BS132" s="263"/>
      <c r="BT132" s="263"/>
      <c r="BU132" s="263"/>
      <c r="BV132" s="263"/>
      <c r="BW132" s="263"/>
      <c r="BX132" s="263"/>
      <c r="BY132" s="263"/>
      <c r="BZ132" s="263"/>
      <c r="CA132" s="254"/>
      <c r="CB132" s="254"/>
      <c r="CC132" s="254"/>
      <c r="CD132" s="254"/>
      <c r="CE132" s="254"/>
      <c r="CF132" s="254"/>
      <c r="CG132" s="254"/>
      <c r="CH132" s="254"/>
      <c r="CI132" s="254"/>
      <c r="CJ132" s="254"/>
      <c r="CK132" s="254"/>
      <c r="CL132" s="254"/>
    </row>
    <row r="133" spans="1:90" outlineLevel="1" x14ac:dyDescent="0.15">
      <c r="A133" s="50"/>
      <c r="B133" s="23"/>
      <c r="C133" s="26">
        <v>25</v>
      </c>
      <c r="D133" s="281">
        <v>0</v>
      </c>
      <c r="E133" s="26">
        <f>SAP_Leadsheet!$E$61</f>
        <v>7</v>
      </c>
      <c r="G133" s="263">
        <f>IF($C133+1&gt;G$7,0,IF($D133&gt;SUM(#REF!),$D133/$E133,0))</f>
        <v>0</v>
      </c>
      <c r="H133" s="263">
        <f>IF($C133+1&gt;H$7,0,IF($D133&gt;SUM($G133:G133),$D133/$E133,0))</f>
        <v>0</v>
      </c>
      <c r="I133" s="263">
        <f>IF($C133+1&gt;I$7,0,IF($D133&gt;SUM($G133:H133),$D133/$E133,0))</f>
        <v>0</v>
      </c>
      <c r="J133" s="263">
        <f>IF($C133+1&gt;J$7,0,IF($D133&gt;SUM($G133:I133),$D133/$E133,0))</f>
        <v>0</v>
      </c>
      <c r="K133" s="263">
        <f>IF($C133+1&gt;K$7,0,IF($D133&gt;SUM($G133:J133),$D133/$E133,0))</f>
        <v>0</v>
      </c>
      <c r="L133" s="263">
        <f>IF($C133+1&gt;L$7,0,IF($D133&gt;SUM($G133:K133),$D133/$E133,0))</f>
        <v>0</v>
      </c>
      <c r="M133" s="263">
        <f>IF($C133+1&gt;M$7,0,IF($D133&gt;SUM($G133:L133),$D133/$E133,0))</f>
        <v>0</v>
      </c>
      <c r="N133" s="263">
        <f>IF($C133+1&gt;N$7,0,IF($D133&gt;SUM($G133:M133),$D133/$E133,0))</f>
        <v>0</v>
      </c>
      <c r="O133" s="263">
        <f>IF($C133+1&gt;O$7,0,IF($D133&gt;SUM($G133:N133),$D133/$E133,0))</f>
        <v>0</v>
      </c>
      <c r="P133" s="263">
        <f>IF($C133+1&gt;P$7,0,IF($D133&gt;SUM($G133:O133),$D133/$E133,0))</f>
        <v>0</v>
      </c>
      <c r="Q133" s="263">
        <f>IF($C133+1&gt;Q$7,0,IF($D133&gt;SUM($G133:P133),$D133/$E133,0))</f>
        <v>0</v>
      </c>
      <c r="R133" s="263">
        <f>IF($C133+1&gt;R$7,0,IF($D133&gt;SUM($G133:Q133),$D133/$E133,0))</f>
        <v>0</v>
      </c>
      <c r="S133" s="263">
        <f>IF($C133+1&gt;S$7,0,IF($D133&gt;SUM($G133:R133),$D133/$E133,0))</f>
        <v>0</v>
      </c>
      <c r="T133" s="263">
        <f>IF($C133+1&gt;T$7,0,IF($D133&gt;SUM($G133:S133),$D133/$E133,0))</f>
        <v>0</v>
      </c>
      <c r="U133" s="263">
        <f>IF($C133+1&gt;U$7,0,IF($D133&gt;SUM($G133:T133),$D133/$E133,0))</f>
        <v>0</v>
      </c>
      <c r="V133" s="263">
        <f>IF($C133+1&gt;V$7,0,IF($D133&gt;SUM($G133:U133),$D133/$E133,0))</f>
        <v>0</v>
      </c>
      <c r="W133" s="263">
        <f>IF($C133+1&gt;W$7,0,IF($D133&gt;SUM($G133:V133),$D133/$E133,0))</f>
        <v>0</v>
      </c>
      <c r="X133" s="263">
        <f>IF($C133+1&gt;X$7,0,IF($D133&gt;SUM($G133:W133),$D133/$E133,0))</f>
        <v>0</v>
      </c>
      <c r="Y133" s="263">
        <f>IF($C133+1&gt;Y$7,0,IF($D133&gt;SUM($G133:X133),$D133/$E133,0))</f>
        <v>0</v>
      </c>
      <c r="Z133" s="263">
        <f>IF($C133+1&gt;Z$7,0,IF($D133&gt;SUM($G133:Y133),$D133/$E133,0))</f>
        <v>0</v>
      </c>
      <c r="AA133" s="263">
        <f>IF($C133+1&gt;AA$7,0,IF($D133&gt;SUM($G133:Z133),$D133/$E133,0))</f>
        <v>0</v>
      </c>
      <c r="AB133" s="263">
        <f>IF($C133+1&gt;AB$7,0,IF($D133&gt;SUM($G133:AA133),$D133/$E133,0))</f>
        <v>0</v>
      </c>
      <c r="AC133" s="263">
        <f>IF($C133+1&gt;AC$7,0,IF($D133&gt;SUM($G133:AB133),$D133/$E133,0))</f>
        <v>0</v>
      </c>
      <c r="AD133" s="263">
        <f>IF($C133+1&gt;AD$7,0,IF($D133&gt;SUM($G133:AC133),$D133/$E133,0))</f>
        <v>0</v>
      </c>
      <c r="AE133" s="263">
        <f>IF($C133+1&gt;AE$7,0,IF($D133&gt;SUM($G133:AD133),$D133/$E133,0))</f>
        <v>0</v>
      </c>
      <c r="AF133" s="263">
        <f>IF($C133+1&gt;AF$7,0,IF($D133&gt;SUM($G133:AE133),$D133/$E133,0))</f>
        <v>0</v>
      </c>
      <c r="AG133" s="263">
        <f>IF($C133+1&gt;AG$7,0,IF($D133&gt;SUM($G133:AF133),$D133/$E133,0))</f>
        <v>0</v>
      </c>
      <c r="AH133" s="263">
        <f>IF($C133+1&gt;AH$7,0,IF($D133&gt;SUM($G133:AG133),$D133/$E133,0))</f>
        <v>0</v>
      </c>
      <c r="AI133" s="263">
        <f>IF($C133+1&gt;AI$7,0,IF($D133&gt;SUM($G133:AH133),$D133/$E133,0))</f>
        <v>0</v>
      </c>
      <c r="AJ133" s="263">
        <f>IF($C133+1&gt;AJ$7,0,IF($D133&gt;SUM($G133:AI133),$D133/$E133,0))</f>
        <v>0</v>
      </c>
      <c r="AK133" s="263">
        <f>IF($C133+1&gt;AK$7,0,IF($D133&gt;SUM($G133:AJ133),$D133/$E133,0))</f>
        <v>0</v>
      </c>
      <c r="AL133" s="263">
        <f>IF($C133+1&gt;AL$7,0,IF($D133&gt;SUM($G133:AK133),$D133/$E133,0))</f>
        <v>0</v>
      </c>
      <c r="AM133" s="263">
        <f>IF($C133+1&gt;AM$7,0,IF($D133&gt;SUM($G133:AL133),$D133/$E133,0))</f>
        <v>0</v>
      </c>
      <c r="AN133" s="263">
        <f>IF($C133+1&gt;AN$7,0,IF($D133&gt;SUM($G133:AM133),$D133/$E133,0))</f>
        <v>0</v>
      </c>
      <c r="AO133" s="263">
        <f>IF($C133+1&gt;AO$7,0,IF($D133&gt;SUM($G133:AN133),$D133/$E133,0))</f>
        <v>0</v>
      </c>
      <c r="AP133" s="263">
        <f>IF($C133+1&gt;AP$7,0,IF($D133&gt;SUM($G133:AO133),$D133/$E133,0))</f>
        <v>0</v>
      </c>
      <c r="AQ133" s="263">
        <f>IF($C133+1&gt;AQ$7,0,IF($D133&gt;SUM($G133:AP133),$D133/$E133,0))</f>
        <v>0</v>
      </c>
      <c r="AR133" s="263">
        <f>IF($C133+1&gt;AR$7,0,IF($D133&gt;SUM($G133:AQ133),$D133/$E133,0))</f>
        <v>0</v>
      </c>
      <c r="AS133" s="263">
        <f>IF($C133+1&gt;AS$7,0,IF($D133&gt;SUM($G133:AR133),$D133/$E133,0))</f>
        <v>0</v>
      </c>
      <c r="AT133" s="263">
        <f>IF($C133+1&gt;AT$7,0,IF($D133&gt;SUM($G133:AS133),$D133/$E133,0))</f>
        <v>0</v>
      </c>
      <c r="AU133" s="263">
        <f>IF($C133+1&gt;AU$7,0,IF($D133&gt;SUM($G133:AT133),$D133/$E133,0))</f>
        <v>0</v>
      </c>
      <c r="AV133" s="263">
        <f>IF($C133+1&gt;AV$7,0,IF($D133&gt;SUM($G133:AU133),$D133/$E133,0))</f>
        <v>0</v>
      </c>
      <c r="AW133" s="263">
        <f>IF($C133+1&gt;AW$7,0,IF($D133&gt;SUM($G133:AV133),$D133/$E133,0))</f>
        <v>0</v>
      </c>
      <c r="AX133" s="263">
        <f>IF($C133+1&gt;AX$7,0,IF($D133&gt;SUM($G133:AW133),$D133/$E133,0))</f>
        <v>0</v>
      </c>
      <c r="AY133" s="263">
        <f>IF($C133+1&gt;AY$7,0,IF($D133&gt;SUM($G133:AX133),$D133/$E133,0))</f>
        <v>0</v>
      </c>
      <c r="AZ133" s="263">
        <f>IF($C133+1&gt;AZ$7,0,IF($D133&gt;SUM($G133:AY133),$D133/$E133,0))</f>
        <v>0</v>
      </c>
      <c r="BA133" s="263">
        <f>IF($C133+1&gt;BA$7,0,IF($D133&gt;SUM($G133:AZ133),$D133/$E133,0))</f>
        <v>0</v>
      </c>
      <c r="BB133" s="263">
        <f>IF($C133+1&gt;BB$7,0,IF($D133&gt;SUM($G133:BA133),$D133/$E133,0))</f>
        <v>0</v>
      </c>
      <c r="BC133" s="263">
        <f>IF($C133+1&gt;BC$7,0,IF($D133&gt;SUM($G133:BB133),$D133/$E133,0))</f>
        <v>0</v>
      </c>
      <c r="BD133" s="263">
        <f>IF($C133+1&gt;BD$7,0,IF($D133&gt;SUM($G133:BC133),$D133/$E133,0))</f>
        <v>0</v>
      </c>
      <c r="BE133" s="263">
        <f>IF($C133+1&gt;BE$7,0,IF($D133&gt;SUM($G133:BD133),$D133/$E133,0))</f>
        <v>0</v>
      </c>
      <c r="BF133" s="263">
        <f>IF($C133+1&gt;BF$7,0,IF($D133&gt;SUM($G133:BE133),$D133/$E133,0))</f>
        <v>0</v>
      </c>
      <c r="BG133" s="263">
        <f>IF($C133+1&gt;BG$7,0,IF($D133&gt;SUM($G133:BF133),$D133/$E133,0))</f>
        <v>0</v>
      </c>
      <c r="BH133" s="263">
        <f>IF($C133+1&gt;BH$7,0,IF($D133&gt;SUM($G133:BG133),$D133/$E133,0))</f>
        <v>0</v>
      </c>
      <c r="BI133" s="263">
        <f>IF($C133+1&gt;BI$7,0,IF($D133&gt;SUM($G133:BH133),$D133/$E133,0))</f>
        <v>0</v>
      </c>
      <c r="BJ133" s="263">
        <f>IF($C133+1&gt;BJ$7,0,IF($D133&gt;SUM($G133:BI133),$D133/$E133,0))</f>
        <v>0</v>
      </c>
      <c r="BK133" s="263">
        <f>IF($C133+1&gt;BK$7,0,IF($D133&gt;SUM($G133:BJ133),$D133/$E133,0))</f>
        <v>0</v>
      </c>
      <c r="BL133" s="263">
        <f>IF($C133+1&gt;BL$7,0,IF($D133&gt;SUM($G133:BK133),$D133/$E133,0))</f>
        <v>0</v>
      </c>
      <c r="BM133" s="263">
        <f>IF($C133+1&gt;BM$7,0,IF($D133&gt;SUM($G133:BL133),$D133/$E133,0))</f>
        <v>0</v>
      </c>
      <c r="BN133" s="263">
        <f>IF($C133+1&gt;BN$7,0,IF($D133&gt;SUM($G133:BM133),$D133/$E133,0))</f>
        <v>0</v>
      </c>
      <c r="BO133" s="263"/>
      <c r="BP133" s="263"/>
      <c r="BQ133" s="263"/>
      <c r="BR133" s="263"/>
      <c r="BS133" s="263"/>
      <c r="BT133" s="263"/>
      <c r="BU133" s="263"/>
      <c r="BV133" s="263"/>
      <c r="BW133" s="263"/>
      <c r="BX133" s="263"/>
      <c r="BY133" s="263"/>
      <c r="BZ133" s="263"/>
      <c r="CA133" s="254"/>
      <c r="CB133" s="254"/>
      <c r="CC133" s="254"/>
      <c r="CD133" s="254"/>
      <c r="CE133" s="254"/>
      <c r="CF133" s="254"/>
      <c r="CG133" s="254"/>
      <c r="CH133" s="254"/>
      <c r="CI133" s="254"/>
      <c r="CJ133" s="254"/>
      <c r="CK133" s="254"/>
      <c r="CL133" s="254"/>
    </row>
    <row r="134" spans="1:90" outlineLevel="1" x14ac:dyDescent="0.15">
      <c r="A134" s="50"/>
      <c r="B134" s="23"/>
      <c r="C134" s="26">
        <v>26</v>
      </c>
      <c r="D134" s="281">
        <v>0</v>
      </c>
      <c r="E134" s="26">
        <f>SAP_Leadsheet!$E$61</f>
        <v>7</v>
      </c>
      <c r="G134" s="263">
        <f>IF($C134+1&gt;G$7,0,IF($D134&gt;SUM(#REF!),$D134/$E134,0))</f>
        <v>0</v>
      </c>
      <c r="H134" s="263">
        <f>IF($C134+1&gt;H$7,0,IF($D134&gt;SUM($G134:G134),$D134/$E134,0))</f>
        <v>0</v>
      </c>
      <c r="I134" s="263">
        <f>IF($C134+1&gt;I$7,0,IF($D134&gt;SUM($G134:H134),$D134/$E134,0))</f>
        <v>0</v>
      </c>
      <c r="J134" s="263">
        <f>IF($C134+1&gt;J$7,0,IF($D134&gt;SUM($G134:I134),$D134/$E134,0))</f>
        <v>0</v>
      </c>
      <c r="K134" s="263">
        <f>IF($C134+1&gt;K$7,0,IF($D134&gt;SUM($G134:J134),$D134/$E134,0))</f>
        <v>0</v>
      </c>
      <c r="L134" s="263">
        <f>IF($C134+1&gt;L$7,0,IF($D134&gt;SUM($G134:K134),$D134/$E134,0))</f>
        <v>0</v>
      </c>
      <c r="M134" s="263">
        <f>IF($C134+1&gt;M$7,0,IF($D134&gt;SUM($G134:L134),$D134/$E134,0))</f>
        <v>0</v>
      </c>
      <c r="N134" s="263">
        <f>IF($C134+1&gt;N$7,0,IF($D134&gt;SUM($G134:M134),$D134/$E134,0))</f>
        <v>0</v>
      </c>
      <c r="O134" s="263">
        <f>IF($C134+1&gt;O$7,0,IF($D134&gt;SUM($G134:N134),$D134/$E134,0))</f>
        <v>0</v>
      </c>
      <c r="P134" s="263">
        <f>IF($C134+1&gt;P$7,0,IF($D134&gt;SUM($G134:O134),$D134/$E134,0))</f>
        <v>0</v>
      </c>
      <c r="Q134" s="263">
        <f>IF($C134+1&gt;Q$7,0,IF($D134&gt;SUM($G134:P134),$D134/$E134,0))</f>
        <v>0</v>
      </c>
      <c r="R134" s="263">
        <f>IF($C134+1&gt;R$7,0,IF($D134&gt;SUM($G134:Q134),$D134/$E134,0))</f>
        <v>0</v>
      </c>
      <c r="S134" s="263">
        <f>IF($C134+1&gt;S$7,0,IF($D134&gt;SUM($G134:R134),$D134/$E134,0))</f>
        <v>0</v>
      </c>
      <c r="T134" s="263">
        <f>IF($C134+1&gt;T$7,0,IF($D134&gt;SUM($G134:S134),$D134/$E134,0))</f>
        <v>0</v>
      </c>
      <c r="U134" s="263">
        <f>IF($C134+1&gt;U$7,0,IF($D134&gt;SUM($G134:T134),$D134/$E134,0))</f>
        <v>0</v>
      </c>
      <c r="V134" s="263">
        <f>IF($C134+1&gt;V$7,0,IF($D134&gt;SUM($G134:U134),$D134/$E134,0))</f>
        <v>0</v>
      </c>
      <c r="W134" s="263">
        <f>IF($C134+1&gt;W$7,0,IF($D134&gt;SUM($G134:V134),$D134/$E134,0))</f>
        <v>0</v>
      </c>
      <c r="X134" s="263">
        <f>IF($C134+1&gt;X$7,0,IF($D134&gt;SUM($G134:W134),$D134/$E134,0))</f>
        <v>0</v>
      </c>
      <c r="Y134" s="263">
        <f>IF($C134+1&gt;Y$7,0,IF($D134&gt;SUM($G134:X134),$D134/$E134,0))</f>
        <v>0</v>
      </c>
      <c r="Z134" s="263">
        <f>IF($C134+1&gt;Z$7,0,IF($D134&gt;SUM($G134:Y134),$D134/$E134,0))</f>
        <v>0</v>
      </c>
      <c r="AA134" s="263">
        <f>IF($C134+1&gt;AA$7,0,IF($D134&gt;SUM($G134:Z134),$D134/$E134,0))</f>
        <v>0</v>
      </c>
      <c r="AB134" s="263">
        <f>IF($C134+1&gt;AB$7,0,IF($D134&gt;SUM($G134:AA134),$D134/$E134,0))</f>
        <v>0</v>
      </c>
      <c r="AC134" s="263">
        <f>IF($C134+1&gt;AC$7,0,IF($D134&gt;SUM($G134:AB134),$D134/$E134,0))</f>
        <v>0</v>
      </c>
      <c r="AD134" s="263">
        <f>IF($C134+1&gt;AD$7,0,IF($D134&gt;SUM($G134:AC134),$D134/$E134,0))</f>
        <v>0</v>
      </c>
      <c r="AE134" s="263">
        <f>IF($C134+1&gt;AE$7,0,IF($D134&gt;SUM($G134:AD134),$D134/$E134,0))</f>
        <v>0</v>
      </c>
      <c r="AF134" s="263">
        <f>IF($C134+1&gt;AF$7,0,IF($D134&gt;SUM($G134:AE134),$D134/$E134,0))</f>
        <v>0</v>
      </c>
      <c r="AG134" s="263">
        <f>IF($C134+1&gt;AG$7,0,IF($D134&gt;SUM($G134:AF134),$D134/$E134,0))</f>
        <v>0</v>
      </c>
      <c r="AH134" s="263">
        <f>IF($C134+1&gt;AH$7,0,IF($D134&gt;SUM($G134:AG134),$D134/$E134,0))</f>
        <v>0</v>
      </c>
      <c r="AI134" s="263">
        <f>IF($C134+1&gt;AI$7,0,IF($D134&gt;SUM($G134:AH134),$D134/$E134,0))</f>
        <v>0</v>
      </c>
      <c r="AJ134" s="263">
        <f>IF($C134+1&gt;AJ$7,0,IF($D134&gt;SUM($G134:AI134),$D134/$E134,0))</f>
        <v>0</v>
      </c>
      <c r="AK134" s="263">
        <f>IF($C134+1&gt;AK$7,0,IF($D134&gt;SUM($G134:AJ134),$D134/$E134,0))</f>
        <v>0</v>
      </c>
      <c r="AL134" s="263">
        <f>IF($C134+1&gt;AL$7,0,IF($D134&gt;SUM($G134:AK134),$D134/$E134,0))</f>
        <v>0</v>
      </c>
      <c r="AM134" s="263">
        <f>IF($C134+1&gt;AM$7,0,IF($D134&gt;SUM($G134:AL134),$D134/$E134,0))</f>
        <v>0</v>
      </c>
      <c r="AN134" s="263">
        <f>IF($C134+1&gt;AN$7,0,IF($D134&gt;SUM($G134:AM134),$D134/$E134,0))</f>
        <v>0</v>
      </c>
      <c r="AO134" s="263">
        <f>IF($C134+1&gt;AO$7,0,IF($D134&gt;SUM($G134:AN134),$D134/$E134,0))</f>
        <v>0</v>
      </c>
      <c r="AP134" s="263">
        <f>IF($C134+1&gt;AP$7,0,IF($D134&gt;SUM($G134:AO134),$D134/$E134,0))</f>
        <v>0</v>
      </c>
      <c r="AQ134" s="263">
        <f>IF($C134+1&gt;AQ$7,0,IF($D134&gt;SUM($G134:AP134),$D134/$E134,0))</f>
        <v>0</v>
      </c>
      <c r="AR134" s="263">
        <f>IF($C134+1&gt;AR$7,0,IF($D134&gt;SUM($G134:AQ134),$D134/$E134,0))</f>
        <v>0</v>
      </c>
      <c r="AS134" s="263">
        <f>IF($C134+1&gt;AS$7,0,IF($D134&gt;SUM($G134:AR134),$D134/$E134,0))</f>
        <v>0</v>
      </c>
      <c r="AT134" s="263">
        <f>IF($C134+1&gt;AT$7,0,IF($D134&gt;SUM($G134:AS134),$D134/$E134,0))</f>
        <v>0</v>
      </c>
      <c r="AU134" s="263">
        <f>IF($C134+1&gt;AU$7,0,IF($D134&gt;SUM($G134:AT134),$D134/$E134,0))</f>
        <v>0</v>
      </c>
      <c r="AV134" s="263">
        <f>IF($C134+1&gt;AV$7,0,IF($D134&gt;SUM($G134:AU134),$D134/$E134,0))</f>
        <v>0</v>
      </c>
      <c r="AW134" s="263">
        <f>IF($C134+1&gt;AW$7,0,IF($D134&gt;SUM($G134:AV134),$D134/$E134,0))</f>
        <v>0</v>
      </c>
      <c r="AX134" s="263">
        <f>IF($C134+1&gt;AX$7,0,IF($D134&gt;SUM($G134:AW134),$D134/$E134,0))</f>
        <v>0</v>
      </c>
      <c r="AY134" s="263">
        <f>IF($C134+1&gt;AY$7,0,IF($D134&gt;SUM($G134:AX134),$D134/$E134,0))</f>
        <v>0</v>
      </c>
      <c r="AZ134" s="263">
        <f>IF($C134+1&gt;AZ$7,0,IF($D134&gt;SUM($G134:AY134),$D134/$E134,0))</f>
        <v>0</v>
      </c>
      <c r="BA134" s="263">
        <f>IF($C134+1&gt;BA$7,0,IF($D134&gt;SUM($G134:AZ134),$D134/$E134,0))</f>
        <v>0</v>
      </c>
      <c r="BB134" s="263">
        <f>IF($C134+1&gt;BB$7,0,IF($D134&gt;SUM($G134:BA134),$D134/$E134,0))</f>
        <v>0</v>
      </c>
      <c r="BC134" s="263">
        <f>IF($C134+1&gt;BC$7,0,IF($D134&gt;SUM($G134:BB134),$D134/$E134,0))</f>
        <v>0</v>
      </c>
      <c r="BD134" s="263">
        <f>IF($C134+1&gt;BD$7,0,IF($D134&gt;SUM($G134:BC134),$D134/$E134,0))</f>
        <v>0</v>
      </c>
      <c r="BE134" s="263">
        <f>IF($C134+1&gt;BE$7,0,IF($D134&gt;SUM($G134:BD134),$D134/$E134,0))</f>
        <v>0</v>
      </c>
      <c r="BF134" s="263">
        <f>IF($C134+1&gt;BF$7,0,IF($D134&gt;SUM($G134:BE134),$D134/$E134,0))</f>
        <v>0</v>
      </c>
      <c r="BG134" s="263">
        <f>IF($C134+1&gt;BG$7,0,IF($D134&gt;SUM($G134:BF134),$D134/$E134,0))</f>
        <v>0</v>
      </c>
      <c r="BH134" s="263">
        <f>IF($C134+1&gt;BH$7,0,IF($D134&gt;SUM($G134:BG134),$D134/$E134,0))</f>
        <v>0</v>
      </c>
      <c r="BI134" s="263">
        <f>IF($C134+1&gt;BI$7,0,IF($D134&gt;SUM($G134:BH134),$D134/$E134,0))</f>
        <v>0</v>
      </c>
      <c r="BJ134" s="263">
        <f>IF($C134+1&gt;BJ$7,0,IF($D134&gt;SUM($G134:BI134),$D134/$E134,0))</f>
        <v>0</v>
      </c>
      <c r="BK134" s="263">
        <f>IF($C134+1&gt;BK$7,0,IF($D134&gt;SUM($G134:BJ134),$D134/$E134,0))</f>
        <v>0</v>
      </c>
      <c r="BL134" s="263">
        <f>IF($C134+1&gt;BL$7,0,IF($D134&gt;SUM($G134:BK134),$D134/$E134,0))</f>
        <v>0</v>
      </c>
      <c r="BM134" s="263">
        <f>IF($C134+1&gt;BM$7,0,IF($D134&gt;SUM($G134:BL134),$D134/$E134,0))</f>
        <v>0</v>
      </c>
      <c r="BN134" s="263">
        <f>IF($C134+1&gt;BN$7,0,IF($D134&gt;SUM($G134:BM134),$D134/$E134,0))</f>
        <v>0</v>
      </c>
      <c r="BO134" s="263"/>
      <c r="BP134" s="263"/>
      <c r="BQ134" s="263"/>
      <c r="BR134" s="263"/>
      <c r="BS134" s="263"/>
      <c r="BT134" s="263"/>
      <c r="BU134" s="263"/>
      <c r="BV134" s="263"/>
      <c r="BW134" s="263"/>
      <c r="BX134" s="263"/>
      <c r="BY134" s="263"/>
      <c r="BZ134" s="263"/>
      <c r="CA134" s="254"/>
      <c r="CB134" s="254"/>
      <c r="CC134" s="254"/>
      <c r="CD134" s="254"/>
      <c r="CE134" s="254"/>
      <c r="CF134" s="254"/>
      <c r="CG134" s="254"/>
      <c r="CH134" s="254"/>
      <c r="CI134" s="254"/>
      <c r="CJ134" s="254"/>
      <c r="CK134" s="254"/>
      <c r="CL134" s="254"/>
    </row>
    <row r="135" spans="1:90" outlineLevel="1" x14ac:dyDescent="0.15">
      <c r="A135" s="50"/>
      <c r="B135" s="23"/>
      <c r="C135" s="26">
        <v>27</v>
      </c>
      <c r="D135" s="281">
        <v>0</v>
      </c>
      <c r="E135" s="26">
        <f>SAP_Leadsheet!$E$61</f>
        <v>7</v>
      </c>
      <c r="G135" s="263">
        <f>IF($C135+1&gt;G$7,0,IF($D135&gt;SUM(#REF!),$D135/$E135,0))</f>
        <v>0</v>
      </c>
      <c r="H135" s="263">
        <f>IF($C135+1&gt;H$7,0,IF($D135&gt;SUM($G135:G135),$D135/$E135,0))</f>
        <v>0</v>
      </c>
      <c r="I135" s="263">
        <f>IF($C135+1&gt;I$7,0,IF($D135&gt;SUM($G135:H135),$D135/$E135,0))</f>
        <v>0</v>
      </c>
      <c r="J135" s="263">
        <f>IF($C135+1&gt;J$7,0,IF($D135&gt;SUM($G135:I135),$D135/$E135,0))</f>
        <v>0</v>
      </c>
      <c r="K135" s="263">
        <f>IF($C135+1&gt;K$7,0,IF($D135&gt;SUM($G135:J135),$D135/$E135,0))</f>
        <v>0</v>
      </c>
      <c r="L135" s="263">
        <f>IF($C135+1&gt;L$7,0,IF($D135&gt;SUM($G135:K135),$D135/$E135,0))</f>
        <v>0</v>
      </c>
      <c r="M135" s="263">
        <f>IF($C135+1&gt;M$7,0,IF($D135&gt;SUM($G135:L135),$D135/$E135,0))</f>
        <v>0</v>
      </c>
      <c r="N135" s="263">
        <f>IF($C135+1&gt;N$7,0,IF($D135&gt;SUM($G135:M135),$D135/$E135,0))</f>
        <v>0</v>
      </c>
      <c r="O135" s="263">
        <f>IF($C135+1&gt;O$7,0,IF($D135&gt;SUM($G135:N135),$D135/$E135,0))</f>
        <v>0</v>
      </c>
      <c r="P135" s="263">
        <f>IF($C135+1&gt;P$7,0,IF($D135&gt;SUM($G135:O135),$D135/$E135,0))</f>
        <v>0</v>
      </c>
      <c r="Q135" s="263">
        <f>IF($C135+1&gt;Q$7,0,IF($D135&gt;SUM($G135:P135),$D135/$E135,0))</f>
        <v>0</v>
      </c>
      <c r="R135" s="263">
        <f>IF($C135+1&gt;R$7,0,IF($D135&gt;SUM($G135:Q135),$D135/$E135,0))</f>
        <v>0</v>
      </c>
      <c r="S135" s="263">
        <f>IF($C135+1&gt;S$7,0,IF($D135&gt;SUM($G135:R135),$D135/$E135,0))</f>
        <v>0</v>
      </c>
      <c r="T135" s="263">
        <f>IF($C135+1&gt;T$7,0,IF($D135&gt;SUM($G135:S135),$D135/$E135,0))</f>
        <v>0</v>
      </c>
      <c r="U135" s="263">
        <f>IF($C135+1&gt;U$7,0,IF($D135&gt;SUM($G135:T135),$D135/$E135,0))</f>
        <v>0</v>
      </c>
      <c r="V135" s="263">
        <f>IF($C135+1&gt;V$7,0,IF($D135&gt;SUM($G135:U135),$D135/$E135,0))</f>
        <v>0</v>
      </c>
      <c r="W135" s="263">
        <f>IF($C135+1&gt;W$7,0,IF($D135&gt;SUM($G135:V135),$D135/$E135,0))</f>
        <v>0</v>
      </c>
      <c r="X135" s="263">
        <f>IF($C135+1&gt;X$7,0,IF($D135&gt;SUM($G135:W135),$D135/$E135,0))</f>
        <v>0</v>
      </c>
      <c r="Y135" s="263">
        <f>IF($C135+1&gt;Y$7,0,IF($D135&gt;SUM($G135:X135),$D135/$E135,0))</f>
        <v>0</v>
      </c>
      <c r="Z135" s="263">
        <f>IF($C135+1&gt;Z$7,0,IF($D135&gt;SUM($G135:Y135),$D135/$E135,0))</f>
        <v>0</v>
      </c>
      <c r="AA135" s="263">
        <f>IF($C135+1&gt;AA$7,0,IF($D135&gt;SUM($G135:Z135),$D135/$E135,0))</f>
        <v>0</v>
      </c>
      <c r="AB135" s="263">
        <f>IF($C135+1&gt;AB$7,0,IF($D135&gt;SUM($G135:AA135),$D135/$E135,0))</f>
        <v>0</v>
      </c>
      <c r="AC135" s="263">
        <f>IF($C135+1&gt;AC$7,0,IF($D135&gt;SUM($G135:AB135),$D135/$E135,0))</f>
        <v>0</v>
      </c>
      <c r="AD135" s="263">
        <f>IF($C135+1&gt;AD$7,0,IF($D135&gt;SUM($G135:AC135),$D135/$E135,0))</f>
        <v>0</v>
      </c>
      <c r="AE135" s="263">
        <f>IF($C135+1&gt;AE$7,0,IF($D135&gt;SUM($G135:AD135),$D135/$E135,0))</f>
        <v>0</v>
      </c>
      <c r="AF135" s="263">
        <f>IF($C135+1&gt;AF$7,0,IF($D135&gt;SUM($G135:AE135),$D135/$E135,0))</f>
        <v>0</v>
      </c>
      <c r="AG135" s="263">
        <f>IF($C135+1&gt;AG$7,0,IF($D135&gt;SUM($G135:AF135),$D135/$E135,0))</f>
        <v>0</v>
      </c>
      <c r="AH135" s="263">
        <f>IF($C135+1&gt;AH$7,0,IF($D135&gt;SUM($G135:AG135),$D135/$E135,0))</f>
        <v>0</v>
      </c>
      <c r="AI135" s="263">
        <f>IF($C135+1&gt;AI$7,0,IF($D135&gt;SUM($G135:AH135),$D135/$E135,0))</f>
        <v>0</v>
      </c>
      <c r="AJ135" s="263">
        <f>IF($C135+1&gt;AJ$7,0,IF($D135&gt;SUM($G135:AI135),$D135/$E135,0))</f>
        <v>0</v>
      </c>
      <c r="AK135" s="263">
        <f>IF($C135+1&gt;AK$7,0,IF($D135&gt;SUM($G135:AJ135),$D135/$E135,0))</f>
        <v>0</v>
      </c>
      <c r="AL135" s="263">
        <f>IF($C135+1&gt;AL$7,0,IF($D135&gt;SUM($G135:AK135),$D135/$E135,0))</f>
        <v>0</v>
      </c>
      <c r="AM135" s="263">
        <f>IF($C135+1&gt;AM$7,0,IF($D135&gt;SUM($G135:AL135),$D135/$E135,0))</f>
        <v>0</v>
      </c>
      <c r="AN135" s="263">
        <f>IF($C135+1&gt;AN$7,0,IF($D135&gt;SUM($G135:AM135),$D135/$E135,0))</f>
        <v>0</v>
      </c>
      <c r="AO135" s="263">
        <f>IF($C135+1&gt;AO$7,0,IF($D135&gt;SUM($G135:AN135),$D135/$E135,0))</f>
        <v>0</v>
      </c>
      <c r="AP135" s="263">
        <f>IF($C135+1&gt;AP$7,0,IF($D135&gt;SUM($G135:AO135),$D135/$E135,0))</f>
        <v>0</v>
      </c>
      <c r="AQ135" s="263">
        <f>IF($C135+1&gt;AQ$7,0,IF($D135&gt;SUM($G135:AP135),$D135/$E135,0))</f>
        <v>0</v>
      </c>
      <c r="AR135" s="263">
        <f>IF($C135+1&gt;AR$7,0,IF($D135&gt;SUM($G135:AQ135),$D135/$E135,0))</f>
        <v>0</v>
      </c>
      <c r="AS135" s="263">
        <f>IF($C135+1&gt;AS$7,0,IF($D135&gt;SUM($G135:AR135),$D135/$E135,0))</f>
        <v>0</v>
      </c>
      <c r="AT135" s="263">
        <f>IF($C135+1&gt;AT$7,0,IF($D135&gt;SUM($G135:AS135),$D135/$E135,0))</f>
        <v>0</v>
      </c>
      <c r="AU135" s="263">
        <f>IF($C135+1&gt;AU$7,0,IF($D135&gt;SUM($G135:AT135),$D135/$E135,0))</f>
        <v>0</v>
      </c>
      <c r="AV135" s="263">
        <f>IF($C135+1&gt;AV$7,0,IF($D135&gt;SUM($G135:AU135),$D135/$E135,0))</f>
        <v>0</v>
      </c>
      <c r="AW135" s="263">
        <f>IF($C135+1&gt;AW$7,0,IF($D135&gt;SUM($G135:AV135),$D135/$E135,0))</f>
        <v>0</v>
      </c>
      <c r="AX135" s="263">
        <f>IF($C135+1&gt;AX$7,0,IF($D135&gt;SUM($G135:AW135),$D135/$E135,0))</f>
        <v>0</v>
      </c>
      <c r="AY135" s="263">
        <f>IF($C135+1&gt;AY$7,0,IF($D135&gt;SUM($G135:AX135),$D135/$E135,0))</f>
        <v>0</v>
      </c>
      <c r="AZ135" s="263">
        <f>IF($C135+1&gt;AZ$7,0,IF($D135&gt;SUM($G135:AY135),$D135/$E135,0))</f>
        <v>0</v>
      </c>
      <c r="BA135" s="263">
        <f>IF($C135+1&gt;BA$7,0,IF($D135&gt;SUM($G135:AZ135),$D135/$E135,0))</f>
        <v>0</v>
      </c>
      <c r="BB135" s="263">
        <f>IF($C135+1&gt;BB$7,0,IF($D135&gt;SUM($G135:BA135),$D135/$E135,0))</f>
        <v>0</v>
      </c>
      <c r="BC135" s="263">
        <f>IF($C135+1&gt;BC$7,0,IF($D135&gt;SUM($G135:BB135),$D135/$E135,0))</f>
        <v>0</v>
      </c>
      <c r="BD135" s="263">
        <f>IF($C135+1&gt;BD$7,0,IF($D135&gt;SUM($G135:BC135),$D135/$E135,0))</f>
        <v>0</v>
      </c>
      <c r="BE135" s="263">
        <f>IF($C135+1&gt;BE$7,0,IF($D135&gt;SUM($G135:BD135),$D135/$E135,0))</f>
        <v>0</v>
      </c>
      <c r="BF135" s="263">
        <f>IF($C135+1&gt;BF$7,0,IF($D135&gt;SUM($G135:BE135),$D135/$E135,0))</f>
        <v>0</v>
      </c>
      <c r="BG135" s="263">
        <f>IF($C135+1&gt;BG$7,0,IF($D135&gt;SUM($G135:BF135),$D135/$E135,0))</f>
        <v>0</v>
      </c>
      <c r="BH135" s="263">
        <f>IF($C135+1&gt;BH$7,0,IF($D135&gt;SUM($G135:BG135),$D135/$E135,0))</f>
        <v>0</v>
      </c>
      <c r="BI135" s="263">
        <f>IF($C135+1&gt;BI$7,0,IF($D135&gt;SUM($G135:BH135),$D135/$E135,0))</f>
        <v>0</v>
      </c>
      <c r="BJ135" s="263">
        <f>IF($C135+1&gt;BJ$7,0,IF($D135&gt;SUM($G135:BI135),$D135/$E135,0))</f>
        <v>0</v>
      </c>
      <c r="BK135" s="263">
        <f>IF($C135+1&gt;BK$7,0,IF($D135&gt;SUM($G135:BJ135),$D135/$E135,0))</f>
        <v>0</v>
      </c>
      <c r="BL135" s="263">
        <f>IF($C135+1&gt;BL$7,0,IF($D135&gt;SUM($G135:BK135),$D135/$E135,0))</f>
        <v>0</v>
      </c>
      <c r="BM135" s="263">
        <f>IF($C135+1&gt;BM$7,0,IF($D135&gt;SUM($G135:BL135),$D135/$E135,0))</f>
        <v>0</v>
      </c>
      <c r="BN135" s="263">
        <f>IF($C135+1&gt;BN$7,0,IF($D135&gt;SUM($G135:BM135),$D135/$E135,0))</f>
        <v>0</v>
      </c>
      <c r="BO135" s="263"/>
      <c r="BP135" s="263"/>
      <c r="BQ135" s="263"/>
      <c r="BR135" s="263"/>
      <c r="BS135" s="263"/>
      <c r="BT135" s="263"/>
      <c r="BU135" s="263"/>
      <c r="BV135" s="263"/>
      <c r="BW135" s="263"/>
      <c r="BX135" s="263"/>
      <c r="BY135" s="263"/>
      <c r="BZ135" s="263"/>
      <c r="CA135" s="254"/>
      <c r="CB135" s="254"/>
      <c r="CC135" s="254"/>
      <c r="CD135" s="254"/>
      <c r="CE135" s="254"/>
      <c r="CF135" s="254"/>
      <c r="CG135" s="254"/>
      <c r="CH135" s="254"/>
      <c r="CI135" s="254"/>
      <c r="CJ135" s="254"/>
      <c r="CK135" s="254"/>
      <c r="CL135" s="254"/>
    </row>
    <row r="136" spans="1:90" outlineLevel="1" x14ac:dyDescent="0.15">
      <c r="A136" s="50"/>
      <c r="B136" s="23"/>
      <c r="C136" s="26">
        <v>28</v>
      </c>
      <c r="D136" s="281">
        <v>0</v>
      </c>
      <c r="E136" s="26">
        <f>SAP_Leadsheet!$E$61</f>
        <v>7</v>
      </c>
      <c r="G136" s="263">
        <f>IF($C136+1&gt;G$7,0,IF($D136&gt;SUM(#REF!),$D136/$E136,0))</f>
        <v>0</v>
      </c>
      <c r="H136" s="263">
        <f>IF($C136+1&gt;H$7,0,IF($D136&gt;SUM($G136:G136),$D136/$E136,0))</f>
        <v>0</v>
      </c>
      <c r="I136" s="263">
        <f>IF($C136+1&gt;I$7,0,IF($D136&gt;SUM($G136:H136),$D136/$E136,0))</f>
        <v>0</v>
      </c>
      <c r="J136" s="263">
        <f>IF($C136+1&gt;J$7,0,IF($D136&gt;SUM($G136:I136),$D136/$E136,0))</f>
        <v>0</v>
      </c>
      <c r="K136" s="263">
        <f>IF($C136+1&gt;K$7,0,IF($D136&gt;SUM($G136:J136),$D136/$E136,0))</f>
        <v>0</v>
      </c>
      <c r="L136" s="263">
        <f>IF($C136+1&gt;L$7,0,IF($D136&gt;SUM($G136:K136),$D136/$E136,0))</f>
        <v>0</v>
      </c>
      <c r="M136" s="263">
        <f>IF($C136+1&gt;M$7,0,IF($D136&gt;SUM($G136:L136),$D136/$E136,0))</f>
        <v>0</v>
      </c>
      <c r="N136" s="263">
        <f>IF($C136+1&gt;N$7,0,IF($D136&gt;SUM($G136:M136),$D136/$E136,0))</f>
        <v>0</v>
      </c>
      <c r="O136" s="263">
        <f>IF($C136+1&gt;O$7,0,IF($D136&gt;SUM($G136:N136),$D136/$E136,0))</f>
        <v>0</v>
      </c>
      <c r="P136" s="263">
        <f>IF($C136+1&gt;P$7,0,IF($D136&gt;SUM($G136:O136),$D136/$E136,0))</f>
        <v>0</v>
      </c>
      <c r="Q136" s="263">
        <f>IF($C136+1&gt;Q$7,0,IF($D136&gt;SUM($G136:P136),$D136/$E136,0))</f>
        <v>0</v>
      </c>
      <c r="R136" s="263">
        <f>IF($C136+1&gt;R$7,0,IF($D136&gt;SUM($G136:Q136),$D136/$E136,0))</f>
        <v>0</v>
      </c>
      <c r="S136" s="263">
        <f>IF($C136+1&gt;S$7,0,IF($D136&gt;SUM($G136:R136),$D136/$E136,0))</f>
        <v>0</v>
      </c>
      <c r="T136" s="263">
        <f>IF($C136+1&gt;T$7,0,IF($D136&gt;SUM($G136:S136),$D136/$E136,0))</f>
        <v>0</v>
      </c>
      <c r="U136" s="263">
        <f>IF($C136+1&gt;U$7,0,IF($D136&gt;SUM($G136:T136),$D136/$E136,0))</f>
        <v>0</v>
      </c>
      <c r="V136" s="263">
        <f>IF($C136+1&gt;V$7,0,IF($D136&gt;SUM($G136:U136),$D136/$E136,0))</f>
        <v>0</v>
      </c>
      <c r="W136" s="263">
        <f>IF($C136+1&gt;W$7,0,IF($D136&gt;SUM($G136:V136),$D136/$E136,0))</f>
        <v>0</v>
      </c>
      <c r="X136" s="263">
        <f>IF($C136+1&gt;X$7,0,IF($D136&gt;SUM($G136:W136),$D136/$E136,0))</f>
        <v>0</v>
      </c>
      <c r="Y136" s="263">
        <f>IF($C136+1&gt;Y$7,0,IF($D136&gt;SUM($G136:X136),$D136/$E136,0))</f>
        <v>0</v>
      </c>
      <c r="Z136" s="263">
        <f>IF($C136+1&gt;Z$7,0,IF($D136&gt;SUM($G136:Y136),$D136/$E136,0))</f>
        <v>0</v>
      </c>
      <c r="AA136" s="263">
        <f>IF($C136+1&gt;AA$7,0,IF($D136&gt;SUM($G136:Z136),$D136/$E136,0))</f>
        <v>0</v>
      </c>
      <c r="AB136" s="263">
        <f>IF($C136+1&gt;AB$7,0,IF($D136&gt;SUM($G136:AA136),$D136/$E136,0))</f>
        <v>0</v>
      </c>
      <c r="AC136" s="263">
        <f>IF($C136+1&gt;AC$7,0,IF($D136&gt;SUM($G136:AB136),$D136/$E136,0))</f>
        <v>0</v>
      </c>
      <c r="AD136" s="263">
        <f>IF($C136+1&gt;AD$7,0,IF($D136&gt;SUM($G136:AC136),$D136/$E136,0))</f>
        <v>0</v>
      </c>
      <c r="AE136" s="263">
        <f>IF($C136+1&gt;AE$7,0,IF($D136&gt;SUM($G136:AD136),$D136/$E136,0))</f>
        <v>0</v>
      </c>
      <c r="AF136" s="263">
        <f>IF($C136+1&gt;AF$7,0,IF($D136&gt;SUM($G136:AE136),$D136/$E136,0))</f>
        <v>0</v>
      </c>
      <c r="AG136" s="263">
        <f>IF($C136+1&gt;AG$7,0,IF($D136&gt;SUM($G136:AF136),$D136/$E136,0))</f>
        <v>0</v>
      </c>
      <c r="AH136" s="263">
        <f>IF($C136+1&gt;AH$7,0,IF($D136&gt;SUM($G136:AG136),$D136/$E136,0))</f>
        <v>0</v>
      </c>
      <c r="AI136" s="263">
        <f>IF($C136+1&gt;AI$7,0,IF($D136&gt;SUM($G136:AH136),$D136/$E136,0))</f>
        <v>0</v>
      </c>
      <c r="AJ136" s="263">
        <f>IF($C136+1&gt;AJ$7,0,IF($D136&gt;SUM($G136:AI136),$D136/$E136,0))</f>
        <v>0</v>
      </c>
      <c r="AK136" s="263">
        <f>IF($C136+1&gt;AK$7,0,IF($D136&gt;SUM($G136:AJ136),$D136/$E136,0))</f>
        <v>0</v>
      </c>
      <c r="AL136" s="263">
        <f>IF($C136+1&gt;AL$7,0,IF($D136&gt;SUM($G136:AK136),$D136/$E136,0))</f>
        <v>0</v>
      </c>
      <c r="AM136" s="263">
        <f>IF($C136+1&gt;AM$7,0,IF($D136&gt;SUM($G136:AL136),$D136/$E136,0))</f>
        <v>0</v>
      </c>
      <c r="AN136" s="263">
        <f>IF($C136+1&gt;AN$7,0,IF($D136&gt;SUM($G136:AM136),$D136/$E136,0))</f>
        <v>0</v>
      </c>
      <c r="AO136" s="263">
        <f>IF($C136+1&gt;AO$7,0,IF($D136&gt;SUM($G136:AN136),$D136/$E136,0))</f>
        <v>0</v>
      </c>
      <c r="AP136" s="263">
        <f>IF($C136+1&gt;AP$7,0,IF($D136&gt;SUM($G136:AO136),$D136/$E136,0))</f>
        <v>0</v>
      </c>
      <c r="AQ136" s="263">
        <f>IF($C136+1&gt;AQ$7,0,IF($D136&gt;SUM($G136:AP136),$D136/$E136,0))</f>
        <v>0</v>
      </c>
      <c r="AR136" s="263">
        <f>IF($C136+1&gt;AR$7,0,IF($D136&gt;SUM($G136:AQ136),$D136/$E136,0))</f>
        <v>0</v>
      </c>
      <c r="AS136" s="263">
        <f>IF($C136+1&gt;AS$7,0,IF($D136&gt;SUM($G136:AR136),$D136/$E136,0))</f>
        <v>0</v>
      </c>
      <c r="AT136" s="263">
        <f>IF($C136+1&gt;AT$7,0,IF($D136&gt;SUM($G136:AS136),$D136/$E136,0))</f>
        <v>0</v>
      </c>
      <c r="AU136" s="263">
        <f>IF($C136+1&gt;AU$7,0,IF($D136&gt;SUM($G136:AT136),$D136/$E136,0))</f>
        <v>0</v>
      </c>
      <c r="AV136" s="263">
        <f>IF($C136+1&gt;AV$7,0,IF($D136&gt;SUM($G136:AU136),$D136/$E136,0))</f>
        <v>0</v>
      </c>
      <c r="AW136" s="263">
        <f>IF($C136+1&gt;AW$7,0,IF($D136&gt;SUM($G136:AV136),$D136/$E136,0))</f>
        <v>0</v>
      </c>
      <c r="AX136" s="263">
        <f>IF($C136+1&gt;AX$7,0,IF($D136&gt;SUM($G136:AW136),$D136/$E136,0))</f>
        <v>0</v>
      </c>
      <c r="AY136" s="263">
        <f>IF($C136+1&gt;AY$7,0,IF($D136&gt;SUM($G136:AX136),$D136/$E136,0))</f>
        <v>0</v>
      </c>
      <c r="AZ136" s="263">
        <f>IF($C136+1&gt;AZ$7,0,IF($D136&gt;SUM($G136:AY136),$D136/$E136,0))</f>
        <v>0</v>
      </c>
      <c r="BA136" s="263">
        <f>IF($C136+1&gt;BA$7,0,IF($D136&gt;SUM($G136:AZ136),$D136/$E136,0))</f>
        <v>0</v>
      </c>
      <c r="BB136" s="263">
        <f>IF($C136+1&gt;BB$7,0,IF($D136&gt;SUM($G136:BA136),$D136/$E136,0))</f>
        <v>0</v>
      </c>
      <c r="BC136" s="263">
        <f>IF($C136+1&gt;BC$7,0,IF($D136&gt;SUM($G136:BB136),$D136/$E136,0))</f>
        <v>0</v>
      </c>
      <c r="BD136" s="263">
        <f>IF($C136+1&gt;BD$7,0,IF($D136&gt;SUM($G136:BC136),$D136/$E136,0))</f>
        <v>0</v>
      </c>
      <c r="BE136" s="263">
        <f>IF($C136+1&gt;BE$7,0,IF($D136&gt;SUM($G136:BD136),$D136/$E136,0))</f>
        <v>0</v>
      </c>
      <c r="BF136" s="263">
        <f>IF($C136+1&gt;BF$7,0,IF($D136&gt;SUM($G136:BE136),$D136/$E136,0))</f>
        <v>0</v>
      </c>
      <c r="BG136" s="263">
        <f>IF($C136+1&gt;BG$7,0,IF($D136&gt;SUM($G136:BF136),$D136/$E136,0))</f>
        <v>0</v>
      </c>
      <c r="BH136" s="263">
        <f>IF($C136+1&gt;BH$7,0,IF($D136&gt;SUM($G136:BG136),$D136/$E136,0))</f>
        <v>0</v>
      </c>
      <c r="BI136" s="263">
        <f>IF($C136+1&gt;BI$7,0,IF($D136&gt;SUM($G136:BH136),$D136/$E136,0))</f>
        <v>0</v>
      </c>
      <c r="BJ136" s="263">
        <f>IF($C136+1&gt;BJ$7,0,IF($D136&gt;SUM($G136:BI136),$D136/$E136,0))</f>
        <v>0</v>
      </c>
      <c r="BK136" s="263">
        <f>IF($C136+1&gt;BK$7,0,IF($D136&gt;SUM($G136:BJ136),$D136/$E136,0))</f>
        <v>0</v>
      </c>
      <c r="BL136" s="263">
        <f>IF($C136+1&gt;BL$7,0,IF($D136&gt;SUM($G136:BK136),$D136/$E136,0))</f>
        <v>0</v>
      </c>
      <c r="BM136" s="263">
        <f>IF($C136+1&gt;BM$7,0,IF($D136&gt;SUM($G136:BL136),$D136/$E136,0))</f>
        <v>0</v>
      </c>
      <c r="BN136" s="263">
        <f>IF($C136+1&gt;BN$7,0,IF($D136&gt;SUM($G136:BM136),$D136/$E136,0))</f>
        <v>0</v>
      </c>
      <c r="BO136" s="263"/>
      <c r="BP136" s="263"/>
      <c r="BQ136" s="263"/>
      <c r="BR136" s="263"/>
      <c r="BS136" s="263"/>
      <c r="BT136" s="263"/>
      <c r="BU136" s="263"/>
      <c r="BV136" s="263"/>
      <c r="BW136" s="263"/>
      <c r="BX136" s="263"/>
      <c r="BY136" s="263"/>
      <c r="BZ136" s="263"/>
      <c r="CA136" s="254"/>
      <c r="CB136" s="254"/>
      <c r="CC136" s="254"/>
      <c r="CD136" s="254"/>
      <c r="CE136" s="254"/>
      <c r="CF136" s="254"/>
      <c r="CG136" s="254"/>
      <c r="CH136" s="254"/>
      <c r="CI136" s="254"/>
      <c r="CJ136" s="254"/>
      <c r="CK136" s="254"/>
      <c r="CL136" s="254"/>
    </row>
    <row r="137" spans="1:90" outlineLevel="1" x14ac:dyDescent="0.15">
      <c r="A137" s="50"/>
      <c r="B137" s="23"/>
      <c r="C137" s="26">
        <v>29</v>
      </c>
      <c r="D137" s="281">
        <v>0</v>
      </c>
      <c r="E137" s="26">
        <f>SAP_Leadsheet!$E$61</f>
        <v>7</v>
      </c>
      <c r="G137" s="263">
        <f>IF($C137+1&gt;G$7,0,IF($D137&gt;SUM(#REF!),$D137/$E137,0))</f>
        <v>0</v>
      </c>
      <c r="H137" s="263">
        <f>IF($C137+1&gt;H$7,0,IF($D137&gt;SUM($G137:G137),$D137/$E137,0))</f>
        <v>0</v>
      </c>
      <c r="I137" s="263">
        <f>IF($C137+1&gt;I$7,0,IF($D137&gt;SUM($G137:H137),$D137/$E137,0))</f>
        <v>0</v>
      </c>
      <c r="J137" s="263">
        <f>IF($C137+1&gt;J$7,0,IF($D137&gt;SUM($G137:I137),$D137/$E137,0))</f>
        <v>0</v>
      </c>
      <c r="K137" s="263">
        <f>IF($C137+1&gt;K$7,0,IF($D137&gt;SUM($G137:J137),$D137/$E137,0))</f>
        <v>0</v>
      </c>
      <c r="L137" s="263">
        <f>IF($C137+1&gt;L$7,0,IF($D137&gt;SUM($G137:K137),$D137/$E137,0))</f>
        <v>0</v>
      </c>
      <c r="M137" s="263">
        <f>IF($C137+1&gt;M$7,0,IF($D137&gt;SUM($G137:L137),$D137/$E137,0))</f>
        <v>0</v>
      </c>
      <c r="N137" s="263">
        <f>IF($C137+1&gt;N$7,0,IF($D137&gt;SUM($G137:M137),$D137/$E137,0))</f>
        <v>0</v>
      </c>
      <c r="O137" s="263">
        <f>IF($C137+1&gt;O$7,0,IF($D137&gt;SUM($G137:N137),$D137/$E137,0))</f>
        <v>0</v>
      </c>
      <c r="P137" s="263">
        <f>IF($C137+1&gt;P$7,0,IF($D137&gt;SUM($G137:O137),$D137/$E137,0))</f>
        <v>0</v>
      </c>
      <c r="Q137" s="263">
        <f>IF($C137+1&gt;Q$7,0,IF($D137&gt;SUM($G137:P137),$D137/$E137,0))</f>
        <v>0</v>
      </c>
      <c r="R137" s="263">
        <f>IF($C137+1&gt;R$7,0,IF($D137&gt;SUM($G137:Q137),$D137/$E137,0))</f>
        <v>0</v>
      </c>
      <c r="S137" s="263">
        <f>IF($C137+1&gt;S$7,0,IF($D137&gt;SUM($G137:R137),$D137/$E137,0))</f>
        <v>0</v>
      </c>
      <c r="T137" s="263">
        <f>IF($C137+1&gt;T$7,0,IF($D137&gt;SUM($G137:S137),$D137/$E137,0))</f>
        <v>0</v>
      </c>
      <c r="U137" s="263">
        <f>IF($C137+1&gt;U$7,0,IF($D137&gt;SUM($G137:T137),$D137/$E137,0))</f>
        <v>0</v>
      </c>
      <c r="V137" s="263">
        <f>IF($C137+1&gt;V$7,0,IF($D137&gt;SUM($G137:U137),$D137/$E137,0))</f>
        <v>0</v>
      </c>
      <c r="W137" s="263">
        <f>IF($C137+1&gt;W$7,0,IF($D137&gt;SUM($G137:V137),$D137/$E137,0))</f>
        <v>0</v>
      </c>
      <c r="X137" s="263">
        <f>IF($C137+1&gt;X$7,0,IF($D137&gt;SUM($G137:W137),$D137/$E137,0))</f>
        <v>0</v>
      </c>
      <c r="Y137" s="263">
        <f>IF($C137+1&gt;Y$7,0,IF($D137&gt;SUM($G137:X137),$D137/$E137,0))</f>
        <v>0</v>
      </c>
      <c r="Z137" s="263">
        <f>IF($C137+1&gt;Z$7,0,IF($D137&gt;SUM($G137:Y137),$D137/$E137,0))</f>
        <v>0</v>
      </c>
      <c r="AA137" s="263">
        <f>IF($C137+1&gt;AA$7,0,IF($D137&gt;SUM($G137:Z137),$D137/$E137,0))</f>
        <v>0</v>
      </c>
      <c r="AB137" s="263">
        <f>IF($C137+1&gt;AB$7,0,IF($D137&gt;SUM($G137:AA137),$D137/$E137,0))</f>
        <v>0</v>
      </c>
      <c r="AC137" s="263">
        <f>IF($C137+1&gt;AC$7,0,IF($D137&gt;SUM($G137:AB137),$D137/$E137,0))</f>
        <v>0</v>
      </c>
      <c r="AD137" s="263">
        <f>IF($C137+1&gt;AD$7,0,IF($D137&gt;SUM($G137:AC137),$D137/$E137,0))</f>
        <v>0</v>
      </c>
      <c r="AE137" s="263">
        <f>IF($C137+1&gt;AE$7,0,IF($D137&gt;SUM($G137:AD137),$D137/$E137,0))</f>
        <v>0</v>
      </c>
      <c r="AF137" s="263">
        <f>IF($C137+1&gt;AF$7,0,IF($D137&gt;SUM($G137:AE137),$D137/$E137,0))</f>
        <v>0</v>
      </c>
      <c r="AG137" s="263">
        <f>IF($C137+1&gt;AG$7,0,IF($D137&gt;SUM($G137:AF137),$D137/$E137,0))</f>
        <v>0</v>
      </c>
      <c r="AH137" s="263">
        <f>IF($C137+1&gt;AH$7,0,IF($D137&gt;SUM($G137:AG137),$D137/$E137,0))</f>
        <v>0</v>
      </c>
      <c r="AI137" s="263">
        <f>IF($C137+1&gt;AI$7,0,IF($D137&gt;SUM($G137:AH137),$D137/$E137,0))</f>
        <v>0</v>
      </c>
      <c r="AJ137" s="263">
        <f>IF($C137+1&gt;AJ$7,0,IF($D137&gt;SUM($G137:AI137),$D137/$E137,0))</f>
        <v>0</v>
      </c>
      <c r="AK137" s="263">
        <f>IF($C137+1&gt;AK$7,0,IF($D137&gt;SUM($G137:AJ137),$D137/$E137,0))</f>
        <v>0</v>
      </c>
      <c r="AL137" s="263">
        <f>IF($C137+1&gt;AL$7,0,IF($D137&gt;SUM($G137:AK137),$D137/$E137,0))</f>
        <v>0</v>
      </c>
      <c r="AM137" s="263">
        <f>IF($C137+1&gt;AM$7,0,IF($D137&gt;SUM($G137:AL137),$D137/$E137,0))</f>
        <v>0</v>
      </c>
      <c r="AN137" s="263">
        <f>IF($C137+1&gt;AN$7,0,IF($D137&gt;SUM($G137:AM137),$D137/$E137,0))</f>
        <v>0</v>
      </c>
      <c r="AO137" s="263">
        <f>IF($C137+1&gt;AO$7,0,IF($D137&gt;SUM($G137:AN137),$D137/$E137,0))</f>
        <v>0</v>
      </c>
      <c r="AP137" s="263">
        <f>IF($C137+1&gt;AP$7,0,IF($D137&gt;SUM($G137:AO137),$D137/$E137,0))</f>
        <v>0</v>
      </c>
      <c r="AQ137" s="263">
        <f>IF($C137+1&gt;AQ$7,0,IF($D137&gt;SUM($G137:AP137),$D137/$E137,0))</f>
        <v>0</v>
      </c>
      <c r="AR137" s="263">
        <f>IF($C137+1&gt;AR$7,0,IF($D137&gt;SUM($G137:AQ137),$D137/$E137,0))</f>
        <v>0</v>
      </c>
      <c r="AS137" s="263">
        <f>IF($C137+1&gt;AS$7,0,IF($D137&gt;SUM($G137:AR137),$D137/$E137,0))</f>
        <v>0</v>
      </c>
      <c r="AT137" s="263">
        <f>IF($C137+1&gt;AT$7,0,IF($D137&gt;SUM($G137:AS137),$D137/$E137,0))</f>
        <v>0</v>
      </c>
      <c r="AU137" s="263">
        <f>IF($C137+1&gt;AU$7,0,IF($D137&gt;SUM($G137:AT137),$D137/$E137,0))</f>
        <v>0</v>
      </c>
      <c r="AV137" s="263">
        <f>IF($C137+1&gt;AV$7,0,IF($D137&gt;SUM($G137:AU137),$D137/$E137,0))</f>
        <v>0</v>
      </c>
      <c r="AW137" s="263">
        <f>IF($C137+1&gt;AW$7,0,IF($D137&gt;SUM($G137:AV137),$D137/$E137,0))</f>
        <v>0</v>
      </c>
      <c r="AX137" s="263">
        <f>IF($C137+1&gt;AX$7,0,IF($D137&gt;SUM($G137:AW137),$D137/$E137,0))</f>
        <v>0</v>
      </c>
      <c r="AY137" s="263">
        <f>IF($C137+1&gt;AY$7,0,IF($D137&gt;SUM($G137:AX137),$D137/$E137,0))</f>
        <v>0</v>
      </c>
      <c r="AZ137" s="263">
        <f>IF($C137+1&gt;AZ$7,0,IF($D137&gt;SUM($G137:AY137),$D137/$E137,0))</f>
        <v>0</v>
      </c>
      <c r="BA137" s="263">
        <f>IF($C137+1&gt;BA$7,0,IF($D137&gt;SUM($G137:AZ137),$D137/$E137,0))</f>
        <v>0</v>
      </c>
      <c r="BB137" s="263">
        <f>IF($C137+1&gt;BB$7,0,IF($D137&gt;SUM($G137:BA137),$D137/$E137,0))</f>
        <v>0</v>
      </c>
      <c r="BC137" s="263">
        <f>IF($C137+1&gt;BC$7,0,IF($D137&gt;SUM($G137:BB137),$D137/$E137,0))</f>
        <v>0</v>
      </c>
      <c r="BD137" s="263">
        <f>IF($C137+1&gt;BD$7,0,IF($D137&gt;SUM($G137:BC137),$D137/$E137,0))</f>
        <v>0</v>
      </c>
      <c r="BE137" s="263">
        <f>IF($C137+1&gt;BE$7,0,IF($D137&gt;SUM($G137:BD137),$D137/$E137,0))</f>
        <v>0</v>
      </c>
      <c r="BF137" s="263">
        <f>IF($C137+1&gt;BF$7,0,IF($D137&gt;SUM($G137:BE137),$D137/$E137,0))</f>
        <v>0</v>
      </c>
      <c r="BG137" s="263">
        <f>IF($C137+1&gt;BG$7,0,IF($D137&gt;SUM($G137:BF137),$D137/$E137,0))</f>
        <v>0</v>
      </c>
      <c r="BH137" s="263">
        <f>IF($C137+1&gt;BH$7,0,IF($D137&gt;SUM($G137:BG137),$D137/$E137,0))</f>
        <v>0</v>
      </c>
      <c r="BI137" s="263">
        <f>IF($C137+1&gt;BI$7,0,IF($D137&gt;SUM($G137:BH137),$D137/$E137,0))</f>
        <v>0</v>
      </c>
      <c r="BJ137" s="263">
        <f>IF($C137+1&gt;BJ$7,0,IF($D137&gt;SUM($G137:BI137),$D137/$E137,0))</f>
        <v>0</v>
      </c>
      <c r="BK137" s="263">
        <f>IF($C137+1&gt;BK$7,0,IF($D137&gt;SUM($G137:BJ137),$D137/$E137,0))</f>
        <v>0</v>
      </c>
      <c r="BL137" s="263">
        <f>IF($C137+1&gt;BL$7,0,IF($D137&gt;SUM($G137:BK137),$D137/$E137,0))</f>
        <v>0</v>
      </c>
      <c r="BM137" s="263">
        <f>IF($C137+1&gt;BM$7,0,IF($D137&gt;SUM($G137:BL137),$D137/$E137,0))</f>
        <v>0</v>
      </c>
      <c r="BN137" s="263">
        <f>IF($C137+1&gt;BN$7,0,IF($D137&gt;SUM($G137:BM137),$D137/$E137,0))</f>
        <v>0</v>
      </c>
      <c r="BO137" s="263"/>
      <c r="BP137" s="263"/>
      <c r="BQ137" s="263"/>
      <c r="BR137" s="263"/>
      <c r="BS137" s="263"/>
      <c r="BT137" s="263"/>
      <c r="BU137" s="263"/>
      <c r="BV137" s="263"/>
      <c r="BW137" s="263"/>
      <c r="BX137" s="263"/>
      <c r="BY137" s="263"/>
      <c r="BZ137" s="263"/>
      <c r="CA137" s="254"/>
      <c r="CB137" s="254"/>
      <c r="CC137" s="254"/>
      <c r="CD137" s="254"/>
      <c r="CE137" s="254"/>
      <c r="CF137" s="254"/>
      <c r="CG137" s="254"/>
      <c r="CH137" s="254"/>
      <c r="CI137" s="254"/>
      <c r="CJ137" s="254"/>
      <c r="CK137" s="254"/>
      <c r="CL137" s="254"/>
    </row>
    <row r="138" spans="1:90" outlineLevel="1" x14ac:dyDescent="0.15">
      <c r="A138" s="50"/>
      <c r="B138" s="23"/>
      <c r="C138" s="26">
        <v>30</v>
      </c>
      <c r="D138" s="281">
        <v>0</v>
      </c>
      <c r="E138" s="26">
        <f>SAP_Leadsheet!$E$61</f>
        <v>7</v>
      </c>
      <c r="G138" s="263">
        <f>IF($C138+1&gt;G$7,0,IF($D138&gt;SUM(#REF!),$D138/$E138,0))</f>
        <v>0</v>
      </c>
      <c r="H138" s="263">
        <f>IF($C138+1&gt;H$7,0,IF($D138&gt;SUM($G138:G138),$D138/$E138,0))</f>
        <v>0</v>
      </c>
      <c r="I138" s="263">
        <f>IF($C138+1&gt;I$7,0,IF($D138&gt;SUM($G138:H138),$D138/$E138,0))</f>
        <v>0</v>
      </c>
      <c r="J138" s="263">
        <f>IF($C138+1&gt;J$7,0,IF($D138&gt;SUM($G138:I138),$D138/$E138,0))</f>
        <v>0</v>
      </c>
      <c r="K138" s="263">
        <f>IF($C138+1&gt;K$7,0,IF($D138&gt;SUM($G138:J138),$D138/$E138,0))</f>
        <v>0</v>
      </c>
      <c r="L138" s="263">
        <f>IF($C138+1&gt;L$7,0,IF($D138&gt;SUM($G138:K138),$D138/$E138,0))</f>
        <v>0</v>
      </c>
      <c r="M138" s="263">
        <f>IF($C138+1&gt;M$7,0,IF($D138&gt;SUM($G138:L138),$D138/$E138,0))</f>
        <v>0</v>
      </c>
      <c r="N138" s="263">
        <f>IF($C138+1&gt;N$7,0,IF($D138&gt;SUM($G138:M138),$D138/$E138,0))</f>
        <v>0</v>
      </c>
      <c r="O138" s="263">
        <f>IF($C138+1&gt;O$7,0,IF($D138&gt;SUM($G138:N138),$D138/$E138,0))</f>
        <v>0</v>
      </c>
      <c r="P138" s="263">
        <f>IF($C138+1&gt;P$7,0,IF($D138&gt;SUM($G138:O138),$D138/$E138,0))</f>
        <v>0</v>
      </c>
      <c r="Q138" s="263">
        <f>IF($C138+1&gt;Q$7,0,IF($D138&gt;SUM($G138:P138),$D138/$E138,0))</f>
        <v>0</v>
      </c>
      <c r="R138" s="263">
        <f>IF($C138+1&gt;R$7,0,IF($D138&gt;SUM($G138:Q138),$D138/$E138,0))</f>
        <v>0</v>
      </c>
      <c r="S138" s="263">
        <f>IF($C138+1&gt;S$7,0,IF($D138&gt;SUM($G138:R138),$D138/$E138,0))</f>
        <v>0</v>
      </c>
      <c r="T138" s="263">
        <f>IF($C138+1&gt;T$7,0,IF($D138&gt;SUM($G138:S138),$D138/$E138,0))</f>
        <v>0</v>
      </c>
      <c r="U138" s="263">
        <f>IF($C138+1&gt;U$7,0,IF($D138&gt;SUM($G138:T138),$D138/$E138,0))</f>
        <v>0</v>
      </c>
      <c r="V138" s="263">
        <f>IF($C138+1&gt;V$7,0,IF($D138&gt;SUM($G138:U138),$D138/$E138,0))</f>
        <v>0</v>
      </c>
      <c r="W138" s="263">
        <f>IF($C138+1&gt;W$7,0,IF($D138&gt;SUM($G138:V138),$D138/$E138,0))</f>
        <v>0</v>
      </c>
      <c r="X138" s="263">
        <f>IF($C138+1&gt;X$7,0,IF($D138&gt;SUM($G138:W138),$D138/$E138,0))</f>
        <v>0</v>
      </c>
      <c r="Y138" s="263">
        <f>IF($C138+1&gt;Y$7,0,IF($D138&gt;SUM($G138:X138),$D138/$E138,0))</f>
        <v>0</v>
      </c>
      <c r="Z138" s="263">
        <f>IF($C138+1&gt;Z$7,0,IF($D138&gt;SUM($G138:Y138),$D138/$E138,0))</f>
        <v>0</v>
      </c>
      <c r="AA138" s="263">
        <f>IF($C138+1&gt;AA$7,0,IF($D138&gt;SUM($G138:Z138),$D138/$E138,0))</f>
        <v>0</v>
      </c>
      <c r="AB138" s="263">
        <f>IF($C138+1&gt;AB$7,0,IF($D138&gt;SUM($G138:AA138),$D138/$E138,0))</f>
        <v>0</v>
      </c>
      <c r="AC138" s="263">
        <f>IF($C138+1&gt;AC$7,0,IF($D138&gt;SUM($G138:AB138),$D138/$E138,0))</f>
        <v>0</v>
      </c>
      <c r="AD138" s="263">
        <f>IF($C138+1&gt;AD$7,0,IF($D138&gt;SUM($G138:AC138),$D138/$E138,0))</f>
        <v>0</v>
      </c>
      <c r="AE138" s="263">
        <f>IF($C138+1&gt;AE$7,0,IF($D138&gt;SUM($G138:AD138),$D138/$E138,0))</f>
        <v>0</v>
      </c>
      <c r="AF138" s="263">
        <f>IF($C138+1&gt;AF$7,0,IF($D138&gt;SUM($G138:AE138),$D138/$E138,0))</f>
        <v>0</v>
      </c>
      <c r="AG138" s="263">
        <f>IF($C138+1&gt;AG$7,0,IF($D138&gt;SUM($G138:AF138),$D138/$E138,0))</f>
        <v>0</v>
      </c>
      <c r="AH138" s="263">
        <f>IF($C138+1&gt;AH$7,0,IF($D138&gt;SUM($G138:AG138),$D138/$E138,0))</f>
        <v>0</v>
      </c>
      <c r="AI138" s="263">
        <f>IF($C138+1&gt;AI$7,0,IF($D138&gt;SUM($G138:AH138),$D138/$E138,0))</f>
        <v>0</v>
      </c>
      <c r="AJ138" s="263">
        <f>IF($C138+1&gt;AJ$7,0,IF($D138&gt;SUM($G138:AI138),$D138/$E138,0))</f>
        <v>0</v>
      </c>
      <c r="AK138" s="263">
        <f>IF($C138+1&gt;AK$7,0,IF($D138&gt;SUM($G138:AJ138),$D138/$E138,0))</f>
        <v>0</v>
      </c>
      <c r="AL138" s="263">
        <f>IF($C138+1&gt;AL$7,0,IF($D138&gt;SUM($G138:AK138),$D138/$E138,0))</f>
        <v>0</v>
      </c>
      <c r="AM138" s="263">
        <f>IF($C138+1&gt;AM$7,0,IF($D138&gt;SUM($G138:AL138),$D138/$E138,0))</f>
        <v>0</v>
      </c>
      <c r="AN138" s="263">
        <f>IF($C138+1&gt;AN$7,0,IF($D138&gt;SUM($G138:AM138),$D138/$E138,0))</f>
        <v>0</v>
      </c>
      <c r="AO138" s="263">
        <f>IF($C138+1&gt;AO$7,0,IF($D138&gt;SUM($G138:AN138),$D138/$E138,0))</f>
        <v>0</v>
      </c>
      <c r="AP138" s="263">
        <f>IF($C138+1&gt;AP$7,0,IF($D138&gt;SUM($G138:AO138),$D138/$E138,0))</f>
        <v>0</v>
      </c>
      <c r="AQ138" s="263">
        <f>IF($C138+1&gt;AQ$7,0,IF($D138&gt;SUM($G138:AP138),$D138/$E138,0))</f>
        <v>0</v>
      </c>
      <c r="AR138" s="263">
        <f>IF($C138+1&gt;AR$7,0,IF($D138&gt;SUM($G138:AQ138),$D138/$E138,0))</f>
        <v>0</v>
      </c>
      <c r="AS138" s="263">
        <f>IF($C138+1&gt;AS$7,0,IF($D138&gt;SUM($G138:AR138),$D138/$E138,0))</f>
        <v>0</v>
      </c>
      <c r="AT138" s="263">
        <f>IF($C138+1&gt;AT$7,0,IF($D138&gt;SUM($G138:AS138),$D138/$E138,0))</f>
        <v>0</v>
      </c>
      <c r="AU138" s="263">
        <f>IF($C138+1&gt;AU$7,0,IF($D138&gt;SUM($G138:AT138),$D138/$E138,0))</f>
        <v>0</v>
      </c>
      <c r="AV138" s="263">
        <f>IF($C138+1&gt;AV$7,0,IF($D138&gt;SUM($G138:AU138),$D138/$E138,0))</f>
        <v>0</v>
      </c>
      <c r="AW138" s="263">
        <f>IF($C138+1&gt;AW$7,0,IF($D138&gt;SUM($G138:AV138),$D138/$E138,0))</f>
        <v>0</v>
      </c>
      <c r="AX138" s="263">
        <f>IF($C138+1&gt;AX$7,0,IF($D138&gt;SUM($G138:AW138),$D138/$E138,0))</f>
        <v>0</v>
      </c>
      <c r="AY138" s="263">
        <f>IF($C138+1&gt;AY$7,0,IF($D138&gt;SUM($G138:AX138),$D138/$E138,0))</f>
        <v>0</v>
      </c>
      <c r="AZ138" s="263">
        <f>IF($C138+1&gt;AZ$7,0,IF($D138&gt;SUM($G138:AY138),$D138/$E138,0))</f>
        <v>0</v>
      </c>
      <c r="BA138" s="263">
        <f>IF($C138+1&gt;BA$7,0,IF($D138&gt;SUM($G138:AZ138),$D138/$E138,0))</f>
        <v>0</v>
      </c>
      <c r="BB138" s="263">
        <f>IF($C138+1&gt;BB$7,0,IF($D138&gt;SUM($G138:BA138),$D138/$E138,0))</f>
        <v>0</v>
      </c>
      <c r="BC138" s="263">
        <f>IF($C138+1&gt;BC$7,0,IF($D138&gt;SUM($G138:BB138),$D138/$E138,0))</f>
        <v>0</v>
      </c>
      <c r="BD138" s="263">
        <f>IF($C138+1&gt;BD$7,0,IF($D138&gt;SUM($G138:BC138),$D138/$E138,0))</f>
        <v>0</v>
      </c>
      <c r="BE138" s="263">
        <f>IF($C138+1&gt;BE$7,0,IF($D138&gt;SUM($G138:BD138),$D138/$E138,0))</f>
        <v>0</v>
      </c>
      <c r="BF138" s="263">
        <f>IF($C138+1&gt;BF$7,0,IF($D138&gt;SUM($G138:BE138),$D138/$E138,0))</f>
        <v>0</v>
      </c>
      <c r="BG138" s="263">
        <f>IF($C138+1&gt;BG$7,0,IF($D138&gt;SUM($G138:BF138),$D138/$E138,0))</f>
        <v>0</v>
      </c>
      <c r="BH138" s="263">
        <f>IF($C138+1&gt;BH$7,0,IF($D138&gt;SUM($G138:BG138),$D138/$E138,0))</f>
        <v>0</v>
      </c>
      <c r="BI138" s="263">
        <f>IF($C138+1&gt;BI$7,0,IF($D138&gt;SUM($G138:BH138),$D138/$E138,0))</f>
        <v>0</v>
      </c>
      <c r="BJ138" s="263">
        <f>IF($C138+1&gt;BJ$7,0,IF($D138&gt;SUM($G138:BI138),$D138/$E138,0))</f>
        <v>0</v>
      </c>
      <c r="BK138" s="263">
        <f>IF($C138+1&gt;BK$7,0,IF($D138&gt;SUM($G138:BJ138),$D138/$E138,0))</f>
        <v>0</v>
      </c>
      <c r="BL138" s="263">
        <f>IF($C138+1&gt;BL$7,0,IF($D138&gt;SUM($G138:BK138),$D138/$E138,0))</f>
        <v>0</v>
      </c>
      <c r="BM138" s="263">
        <f>IF($C138+1&gt;BM$7,0,IF($D138&gt;SUM($G138:BL138),$D138/$E138,0))</f>
        <v>0</v>
      </c>
      <c r="BN138" s="263">
        <f>IF($C138+1&gt;BN$7,0,IF($D138&gt;SUM($G138:BM138),$D138/$E138,0))</f>
        <v>0</v>
      </c>
      <c r="BO138" s="263"/>
      <c r="BP138" s="263"/>
      <c r="BQ138" s="263"/>
      <c r="BR138" s="263"/>
      <c r="BS138" s="263"/>
      <c r="BT138" s="263"/>
      <c r="BU138" s="263"/>
      <c r="BV138" s="263"/>
      <c r="BW138" s="263"/>
      <c r="BX138" s="263"/>
      <c r="BY138" s="263"/>
      <c r="BZ138" s="263"/>
      <c r="CA138" s="254"/>
      <c r="CB138" s="254"/>
      <c r="CC138" s="254"/>
      <c r="CD138" s="254"/>
      <c r="CE138" s="254"/>
      <c r="CF138" s="254"/>
      <c r="CG138" s="254"/>
      <c r="CH138" s="254"/>
      <c r="CI138" s="254"/>
      <c r="CJ138" s="254"/>
      <c r="CK138" s="254"/>
      <c r="CL138" s="254"/>
    </row>
    <row r="139" spans="1:90" outlineLevel="1" x14ac:dyDescent="0.15">
      <c r="A139" s="50"/>
      <c r="B139" s="23"/>
      <c r="C139" s="26">
        <v>31</v>
      </c>
      <c r="D139" s="281">
        <v>0</v>
      </c>
      <c r="E139" s="26">
        <f>SAP_Leadsheet!$E$61</f>
        <v>7</v>
      </c>
      <c r="G139" s="263">
        <f>IF($C139+1&gt;G$7,0,IF($D139&gt;SUM(#REF!),$D139/$E139,0))</f>
        <v>0</v>
      </c>
      <c r="H139" s="263">
        <f>IF($C139+1&gt;H$7,0,IF($D139&gt;SUM($G139:G139),$D139/$E139,0))</f>
        <v>0</v>
      </c>
      <c r="I139" s="263">
        <f>IF($C139+1&gt;I$7,0,IF($D139&gt;SUM($G139:H139),$D139/$E139,0))</f>
        <v>0</v>
      </c>
      <c r="J139" s="263">
        <f>IF($C139+1&gt;J$7,0,IF($D139&gt;SUM($G139:I139),$D139/$E139,0))</f>
        <v>0</v>
      </c>
      <c r="K139" s="263">
        <f>IF($C139+1&gt;K$7,0,IF($D139&gt;SUM($G139:J139),$D139/$E139,0))</f>
        <v>0</v>
      </c>
      <c r="L139" s="263">
        <f>IF($C139+1&gt;L$7,0,IF($D139&gt;SUM($G139:K139),$D139/$E139,0))</f>
        <v>0</v>
      </c>
      <c r="M139" s="263">
        <f>IF($C139+1&gt;M$7,0,IF($D139&gt;SUM($G139:L139),$D139/$E139,0))</f>
        <v>0</v>
      </c>
      <c r="N139" s="263">
        <f>IF($C139+1&gt;N$7,0,IF($D139&gt;SUM($G139:M139),$D139/$E139,0))</f>
        <v>0</v>
      </c>
      <c r="O139" s="263">
        <f>IF($C139+1&gt;O$7,0,IF($D139&gt;SUM($G139:N139),$D139/$E139,0))</f>
        <v>0</v>
      </c>
      <c r="P139" s="263">
        <f>IF($C139+1&gt;P$7,0,IF($D139&gt;SUM($G139:O139),$D139/$E139,0))</f>
        <v>0</v>
      </c>
      <c r="Q139" s="263">
        <f>IF($C139+1&gt;Q$7,0,IF($D139&gt;SUM($G139:P139),$D139/$E139,0))</f>
        <v>0</v>
      </c>
      <c r="R139" s="263">
        <f>IF($C139+1&gt;R$7,0,IF($D139&gt;SUM($G139:Q139),$D139/$E139,0))</f>
        <v>0</v>
      </c>
      <c r="S139" s="263">
        <f>IF($C139+1&gt;S$7,0,IF($D139&gt;SUM($G139:R139),$D139/$E139,0))</f>
        <v>0</v>
      </c>
      <c r="T139" s="263">
        <f>IF($C139+1&gt;T$7,0,IF($D139&gt;SUM($G139:S139),$D139/$E139,0))</f>
        <v>0</v>
      </c>
      <c r="U139" s="263">
        <f>IF($C139+1&gt;U$7,0,IF($D139&gt;SUM($G139:T139),$D139/$E139,0))</f>
        <v>0</v>
      </c>
      <c r="V139" s="263">
        <f>IF($C139+1&gt;V$7,0,IF($D139&gt;SUM($G139:U139),$D139/$E139,0))</f>
        <v>0</v>
      </c>
      <c r="W139" s="263">
        <f>IF($C139+1&gt;W$7,0,IF($D139&gt;SUM($G139:V139),$D139/$E139,0))</f>
        <v>0</v>
      </c>
      <c r="X139" s="263">
        <f>IF($C139+1&gt;X$7,0,IF($D139&gt;SUM($G139:W139),$D139/$E139,0))</f>
        <v>0</v>
      </c>
      <c r="Y139" s="263">
        <f>IF($C139+1&gt;Y$7,0,IF($D139&gt;SUM($G139:X139),$D139/$E139,0))</f>
        <v>0</v>
      </c>
      <c r="Z139" s="263">
        <f>IF($C139+1&gt;Z$7,0,IF($D139&gt;SUM($G139:Y139),$D139/$E139,0))</f>
        <v>0</v>
      </c>
      <c r="AA139" s="263">
        <f>IF($C139+1&gt;AA$7,0,IF($D139&gt;SUM($G139:Z139),$D139/$E139,0))</f>
        <v>0</v>
      </c>
      <c r="AB139" s="263">
        <f>IF($C139+1&gt;AB$7,0,IF($D139&gt;SUM($G139:AA139),$D139/$E139,0))</f>
        <v>0</v>
      </c>
      <c r="AC139" s="263">
        <f>IF($C139+1&gt;AC$7,0,IF($D139&gt;SUM($G139:AB139),$D139/$E139,0))</f>
        <v>0</v>
      </c>
      <c r="AD139" s="263">
        <f>IF($C139+1&gt;AD$7,0,IF($D139&gt;SUM($G139:AC139),$D139/$E139,0))</f>
        <v>0</v>
      </c>
      <c r="AE139" s="263">
        <f>IF($C139+1&gt;AE$7,0,IF($D139&gt;SUM($G139:AD139),$D139/$E139,0))</f>
        <v>0</v>
      </c>
      <c r="AF139" s="263">
        <f>IF($C139+1&gt;AF$7,0,IF($D139&gt;SUM($G139:AE139),$D139/$E139,0))</f>
        <v>0</v>
      </c>
      <c r="AG139" s="263">
        <f>IF($C139+1&gt;AG$7,0,IF($D139&gt;SUM($G139:AF139),$D139/$E139,0))</f>
        <v>0</v>
      </c>
      <c r="AH139" s="263">
        <f>IF($C139+1&gt;AH$7,0,IF($D139&gt;SUM($G139:AG139),$D139/$E139,0))</f>
        <v>0</v>
      </c>
      <c r="AI139" s="263">
        <f>IF($C139+1&gt;AI$7,0,IF($D139&gt;SUM($G139:AH139),$D139/$E139,0))</f>
        <v>0</v>
      </c>
      <c r="AJ139" s="263">
        <f>IF($C139+1&gt;AJ$7,0,IF($D139&gt;SUM($G139:AI139),$D139/$E139,0))</f>
        <v>0</v>
      </c>
      <c r="AK139" s="263">
        <f>IF($C139+1&gt;AK$7,0,IF($D139&gt;SUM($G139:AJ139),$D139/$E139,0))</f>
        <v>0</v>
      </c>
      <c r="AL139" s="263">
        <f>IF($C139+1&gt;AL$7,0,IF($D139&gt;SUM($G139:AK139),$D139/$E139,0))</f>
        <v>0</v>
      </c>
      <c r="AM139" s="263">
        <f>IF($C139+1&gt;AM$7,0,IF($D139&gt;SUM($G139:AL139),$D139/$E139,0))</f>
        <v>0</v>
      </c>
      <c r="AN139" s="263">
        <f>IF($C139+1&gt;AN$7,0,IF($D139&gt;SUM($G139:AM139),$D139/$E139,0))</f>
        <v>0</v>
      </c>
      <c r="AO139" s="263">
        <f>IF($C139+1&gt;AO$7,0,IF($D139&gt;SUM($G139:AN139),$D139/$E139,0))</f>
        <v>0</v>
      </c>
      <c r="AP139" s="263">
        <f>IF($C139+1&gt;AP$7,0,IF($D139&gt;SUM($G139:AO139),$D139/$E139,0))</f>
        <v>0</v>
      </c>
      <c r="AQ139" s="263">
        <f>IF($C139+1&gt;AQ$7,0,IF($D139&gt;SUM($G139:AP139),$D139/$E139,0))</f>
        <v>0</v>
      </c>
      <c r="AR139" s="263">
        <f>IF($C139+1&gt;AR$7,0,IF($D139&gt;SUM($G139:AQ139),$D139/$E139,0))</f>
        <v>0</v>
      </c>
      <c r="AS139" s="263">
        <f>IF($C139+1&gt;AS$7,0,IF($D139&gt;SUM($G139:AR139),$D139/$E139,0))</f>
        <v>0</v>
      </c>
      <c r="AT139" s="263">
        <f>IF($C139+1&gt;AT$7,0,IF($D139&gt;SUM($G139:AS139),$D139/$E139,0))</f>
        <v>0</v>
      </c>
      <c r="AU139" s="263">
        <f>IF($C139+1&gt;AU$7,0,IF($D139&gt;SUM($G139:AT139),$D139/$E139,0))</f>
        <v>0</v>
      </c>
      <c r="AV139" s="263">
        <f>IF($C139+1&gt;AV$7,0,IF($D139&gt;SUM($G139:AU139),$D139/$E139,0))</f>
        <v>0</v>
      </c>
      <c r="AW139" s="263">
        <f>IF($C139+1&gt;AW$7,0,IF($D139&gt;SUM($G139:AV139),$D139/$E139,0))</f>
        <v>0</v>
      </c>
      <c r="AX139" s="263">
        <f>IF($C139+1&gt;AX$7,0,IF($D139&gt;SUM($G139:AW139),$D139/$E139,0))</f>
        <v>0</v>
      </c>
      <c r="AY139" s="263">
        <f>IF($C139+1&gt;AY$7,0,IF($D139&gt;SUM($G139:AX139),$D139/$E139,0))</f>
        <v>0</v>
      </c>
      <c r="AZ139" s="263">
        <f>IF($C139+1&gt;AZ$7,0,IF($D139&gt;SUM($G139:AY139),$D139/$E139,0))</f>
        <v>0</v>
      </c>
      <c r="BA139" s="263">
        <f>IF($C139+1&gt;BA$7,0,IF($D139&gt;SUM($G139:AZ139),$D139/$E139,0))</f>
        <v>0</v>
      </c>
      <c r="BB139" s="263">
        <f>IF($C139+1&gt;BB$7,0,IF($D139&gt;SUM($G139:BA139),$D139/$E139,0))</f>
        <v>0</v>
      </c>
      <c r="BC139" s="263">
        <f>IF($C139+1&gt;BC$7,0,IF($D139&gt;SUM($G139:BB139),$D139/$E139,0))</f>
        <v>0</v>
      </c>
      <c r="BD139" s="263">
        <f>IF($C139+1&gt;BD$7,0,IF($D139&gt;SUM($G139:BC139),$D139/$E139,0))</f>
        <v>0</v>
      </c>
      <c r="BE139" s="263">
        <f>IF($C139+1&gt;BE$7,0,IF($D139&gt;SUM($G139:BD139),$D139/$E139,0))</f>
        <v>0</v>
      </c>
      <c r="BF139" s="263">
        <f>IF($C139+1&gt;BF$7,0,IF($D139&gt;SUM($G139:BE139),$D139/$E139,0))</f>
        <v>0</v>
      </c>
      <c r="BG139" s="263">
        <f>IF($C139+1&gt;BG$7,0,IF($D139&gt;SUM($G139:BF139),$D139/$E139,0))</f>
        <v>0</v>
      </c>
      <c r="BH139" s="263">
        <f>IF($C139+1&gt;BH$7,0,IF($D139&gt;SUM($G139:BG139),$D139/$E139,0))</f>
        <v>0</v>
      </c>
      <c r="BI139" s="263">
        <f>IF($C139+1&gt;BI$7,0,IF($D139&gt;SUM($G139:BH139),$D139/$E139,0))</f>
        <v>0</v>
      </c>
      <c r="BJ139" s="263">
        <f>IF($C139+1&gt;BJ$7,0,IF($D139&gt;SUM($G139:BI139),$D139/$E139,0))</f>
        <v>0</v>
      </c>
      <c r="BK139" s="263">
        <f>IF($C139+1&gt;BK$7,0,IF($D139&gt;SUM($G139:BJ139),$D139/$E139,0))</f>
        <v>0</v>
      </c>
      <c r="BL139" s="263">
        <f>IF($C139+1&gt;BL$7,0,IF($D139&gt;SUM($G139:BK139),$D139/$E139,0))</f>
        <v>0</v>
      </c>
      <c r="BM139" s="263">
        <f>IF($C139+1&gt;BM$7,0,IF($D139&gt;SUM($G139:BL139),$D139/$E139,0))</f>
        <v>0</v>
      </c>
      <c r="BN139" s="263">
        <f>IF($C139+1&gt;BN$7,0,IF($D139&gt;SUM($G139:BM139),$D139/$E139,0))</f>
        <v>0</v>
      </c>
      <c r="BO139" s="263"/>
      <c r="BP139" s="263"/>
      <c r="BQ139" s="263"/>
      <c r="BR139" s="263"/>
      <c r="BS139" s="263"/>
      <c r="BT139" s="263"/>
      <c r="BU139" s="263"/>
      <c r="BV139" s="263"/>
      <c r="BW139" s="263"/>
      <c r="BX139" s="263"/>
      <c r="BY139" s="263"/>
      <c r="BZ139" s="263"/>
      <c r="CA139" s="254"/>
      <c r="CB139" s="254"/>
      <c r="CC139" s="254"/>
      <c r="CD139" s="254"/>
      <c r="CE139" s="254"/>
      <c r="CF139" s="254"/>
      <c r="CG139" s="254"/>
      <c r="CH139" s="254"/>
      <c r="CI139" s="254"/>
      <c r="CJ139" s="254"/>
      <c r="CK139" s="254"/>
      <c r="CL139" s="254"/>
    </row>
    <row r="140" spans="1:90" outlineLevel="1" x14ac:dyDescent="0.15">
      <c r="A140" s="50"/>
      <c r="B140" s="23"/>
      <c r="C140" s="26">
        <v>32</v>
      </c>
      <c r="D140" s="281">
        <v>0</v>
      </c>
      <c r="E140" s="26">
        <f>SAP_Leadsheet!$E$61</f>
        <v>7</v>
      </c>
      <c r="G140" s="263">
        <f>IF($C140+1&gt;G$7,0,IF($D140&gt;SUM(#REF!),$D140/$E140,0))</f>
        <v>0</v>
      </c>
      <c r="H140" s="263">
        <f>IF($C140+1&gt;H$7,0,IF($D140&gt;SUM($G140:G140),$D140/$E140,0))</f>
        <v>0</v>
      </c>
      <c r="I140" s="263">
        <f>IF($C140+1&gt;I$7,0,IF($D140&gt;SUM($G140:H140),$D140/$E140,0))</f>
        <v>0</v>
      </c>
      <c r="J140" s="263">
        <f>IF($C140+1&gt;J$7,0,IF($D140&gt;SUM($G140:I140),$D140/$E140,0))</f>
        <v>0</v>
      </c>
      <c r="K140" s="263">
        <f>IF($C140+1&gt;K$7,0,IF($D140&gt;SUM($G140:J140),$D140/$E140,0))</f>
        <v>0</v>
      </c>
      <c r="L140" s="263">
        <f>IF($C140+1&gt;L$7,0,IF($D140&gt;SUM($G140:K140),$D140/$E140,0))</f>
        <v>0</v>
      </c>
      <c r="M140" s="263">
        <f>IF($C140+1&gt;M$7,0,IF($D140&gt;SUM($G140:L140),$D140/$E140,0))</f>
        <v>0</v>
      </c>
      <c r="N140" s="263">
        <f>IF($C140+1&gt;N$7,0,IF($D140&gt;SUM($G140:M140),$D140/$E140,0))</f>
        <v>0</v>
      </c>
      <c r="O140" s="263">
        <f>IF($C140+1&gt;O$7,0,IF($D140&gt;SUM($G140:N140),$D140/$E140,0))</f>
        <v>0</v>
      </c>
      <c r="P140" s="263">
        <f>IF($C140+1&gt;P$7,0,IF($D140&gt;SUM($G140:O140),$D140/$E140,0))</f>
        <v>0</v>
      </c>
      <c r="Q140" s="263">
        <f>IF($C140+1&gt;Q$7,0,IF($D140&gt;SUM($G140:P140),$D140/$E140,0))</f>
        <v>0</v>
      </c>
      <c r="R140" s="263">
        <f>IF($C140+1&gt;R$7,0,IF($D140&gt;SUM($G140:Q140),$D140/$E140,0))</f>
        <v>0</v>
      </c>
      <c r="S140" s="263">
        <f>IF($C140+1&gt;S$7,0,IF($D140&gt;SUM($G140:R140),$D140/$E140,0))</f>
        <v>0</v>
      </c>
      <c r="T140" s="263">
        <f>IF($C140+1&gt;T$7,0,IF($D140&gt;SUM($G140:S140),$D140/$E140,0))</f>
        <v>0</v>
      </c>
      <c r="U140" s="263">
        <f>IF($C140+1&gt;U$7,0,IF($D140&gt;SUM($G140:T140),$D140/$E140,0))</f>
        <v>0</v>
      </c>
      <c r="V140" s="263">
        <f>IF($C140+1&gt;V$7,0,IF($D140&gt;SUM($G140:U140),$D140/$E140,0))</f>
        <v>0</v>
      </c>
      <c r="W140" s="263">
        <f>IF($C140+1&gt;W$7,0,IF($D140&gt;SUM($G140:V140),$D140/$E140,0))</f>
        <v>0</v>
      </c>
      <c r="X140" s="263">
        <f>IF($C140+1&gt;X$7,0,IF($D140&gt;SUM($G140:W140),$D140/$E140,0))</f>
        <v>0</v>
      </c>
      <c r="Y140" s="263">
        <f>IF($C140+1&gt;Y$7,0,IF($D140&gt;SUM($G140:X140),$D140/$E140,0))</f>
        <v>0</v>
      </c>
      <c r="Z140" s="263">
        <f>IF($C140+1&gt;Z$7,0,IF($D140&gt;SUM($G140:Y140),$D140/$E140,0))</f>
        <v>0</v>
      </c>
      <c r="AA140" s="263">
        <f>IF($C140+1&gt;AA$7,0,IF($D140&gt;SUM($G140:Z140),$D140/$E140,0))</f>
        <v>0</v>
      </c>
      <c r="AB140" s="263">
        <f>IF($C140+1&gt;AB$7,0,IF($D140&gt;SUM($G140:AA140),$D140/$E140,0))</f>
        <v>0</v>
      </c>
      <c r="AC140" s="263">
        <f>IF($C140+1&gt;AC$7,0,IF($D140&gt;SUM($G140:AB140),$D140/$E140,0))</f>
        <v>0</v>
      </c>
      <c r="AD140" s="263">
        <f>IF($C140+1&gt;AD$7,0,IF($D140&gt;SUM($G140:AC140),$D140/$E140,0))</f>
        <v>0</v>
      </c>
      <c r="AE140" s="263">
        <f>IF($C140+1&gt;AE$7,0,IF($D140&gt;SUM($G140:AD140),$D140/$E140,0))</f>
        <v>0</v>
      </c>
      <c r="AF140" s="263">
        <f>IF($C140+1&gt;AF$7,0,IF($D140&gt;SUM($G140:AE140),$D140/$E140,0))</f>
        <v>0</v>
      </c>
      <c r="AG140" s="263">
        <f>IF($C140+1&gt;AG$7,0,IF($D140&gt;SUM($G140:AF140),$D140/$E140,0))</f>
        <v>0</v>
      </c>
      <c r="AH140" s="263">
        <f>IF($C140+1&gt;AH$7,0,IF($D140&gt;SUM($G140:AG140),$D140/$E140,0))</f>
        <v>0</v>
      </c>
      <c r="AI140" s="263">
        <f>IF($C140+1&gt;AI$7,0,IF($D140&gt;SUM($G140:AH140),$D140/$E140,0))</f>
        <v>0</v>
      </c>
      <c r="AJ140" s="263">
        <f>IF($C140+1&gt;AJ$7,0,IF($D140&gt;SUM($G140:AI140),$D140/$E140,0))</f>
        <v>0</v>
      </c>
      <c r="AK140" s="263">
        <f>IF($C140+1&gt;AK$7,0,IF($D140&gt;SUM($G140:AJ140),$D140/$E140,0))</f>
        <v>0</v>
      </c>
      <c r="AL140" s="263">
        <f>IF($C140+1&gt;AL$7,0,IF($D140&gt;SUM($G140:AK140),$D140/$E140,0))</f>
        <v>0</v>
      </c>
      <c r="AM140" s="263">
        <f>IF($C140+1&gt;AM$7,0,IF($D140&gt;SUM($G140:AL140),$D140/$E140,0))</f>
        <v>0</v>
      </c>
      <c r="AN140" s="263">
        <f>IF($C140+1&gt;AN$7,0,IF($D140&gt;SUM($G140:AM140),$D140/$E140,0))</f>
        <v>0</v>
      </c>
      <c r="AO140" s="263">
        <f>IF($C140+1&gt;AO$7,0,IF($D140&gt;SUM($G140:AN140),$D140/$E140,0))</f>
        <v>0</v>
      </c>
      <c r="AP140" s="263">
        <f>IF($C140+1&gt;AP$7,0,IF($D140&gt;SUM($G140:AO140),$D140/$E140,0))</f>
        <v>0</v>
      </c>
      <c r="AQ140" s="263">
        <f>IF($C140+1&gt;AQ$7,0,IF($D140&gt;SUM($G140:AP140),$D140/$E140,0))</f>
        <v>0</v>
      </c>
      <c r="AR140" s="263">
        <f>IF($C140+1&gt;AR$7,0,IF($D140&gt;SUM($G140:AQ140),$D140/$E140,0))</f>
        <v>0</v>
      </c>
      <c r="AS140" s="263">
        <f>IF($C140+1&gt;AS$7,0,IF($D140&gt;SUM($G140:AR140),$D140/$E140,0))</f>
        <v>0</v>
      </c>
      <c r="AT140" s="263">
        <f>IF($C140+1&gt;AT$7,0,IF($D140&gt;SUM($G140:AS140),$D140/$E140,0))</f>
        <v>0</v>
      </c>
      <c r="AU140" s="263">
        <f>IF($C140+1&gt;AU$7,0,IF($D140&gt;SUM($G140:AT140),$D140/$E140,0))</f>
        <v>0</v>
      </c>
      <c r="AV140" s="263">
        <f>IF($C140+1&gt;AV$7,0,IF($D140&gt;SUM($G140:AU140),$D140/$E140,0))</f>
        <v>0</v>
      </c>
      <c r="AW140" s="263">
        <f>IF($C140+1&gt;AW$7,0,IF($D140&gt;SUM($G140:AV140),$D140/$E140,0))</f>
        <v>0</v>
      </c>
      <c r="AX140" s="263">
        <f>IF($C140+1&gt;AX$7,0,IF($D140&gt;SUM($G140:AW140),$D140/$E140,0))</f>
        <v>0</v>
      </c>
      <c r="AY140" s="263">
        <f>IF($C140+1&gt;AY$7,0,IF($D140&gt;SUM($G140:AX140),$D140/$E140,0))</f>
        <v>0</v>
      </c>
      <c r="AZ140" s="263">
        <f>IF($C140+1&gt;AZ$7,0,IF($D140&gt;SUM($G140:AY140),$D140/$E140,0))</f>
        <v>0</v>
      </c>
      <c r="BA140" s="263">
        <f>IF($C140+1&gt;BA$7,0,IF($D140&gt;SUM($G140:AZ140),$D140/$E140,0))</f>
        <v>0</v>
      </c>
      <c r="BB140" s="263">
        <f>IF($C140+1&gt;BB$7,0,IF($D140&gt;SUM($G140:BA140),$D140/$E140,0))</f>
        <v>0</v>
      </c>
      <c r="BC140" s="263">
        <f>IF($C140+1&gt;BC$7,0,IF($D140&gt;SUM($G140:BB140),$D140/$E140,0))</f>
        <v>0</v>
      </c>
      <c r="BD140" s="263">
        <f>IF($C140+1&gt;BD$7,0,IF($D140&gt;SUM($G140:BC140),$D140/$E140,0))</f>
        <v>0</v>
      </c>
      <c r="BE140" s="263">
        <f>IF($C140+1&gt;BE$7,0,IF($D140&gt;SUM($G140:BD140),$D140/$E140,0))</f>
        <v>0</v>
      </c>
      <c r="BF140" s="263">
        <f>IF($C140+1&gt;BF$7,0,IF($D140&gt;SUM($G140:BE140),$D140/$E140,0))</f>
        <v>0</v>
      </c>
      <c r="BG140" s="263">
        <f>IF($C140+1&gt;BG$7,0,IF($D140&gt;SUM($G140:BF140),$D140/$E140,0))</f>
        <v>0</v>
      </c>
      <c r="BH140" s="263">
        <f>IF($C140+1&gt;BH$7,0,IF($D140&gt;SUM($G140:BG140),$D140/$E140,0))</f>
        <v>0</v>
      </c>
      <c r="BI140" s="263">
        <f>IF($C140+1&gt;BI$7,0,IF($D140&gt;SUM($G140:BH140),$D140/$E140,0))</f>
        <v>0</v>
      </c>
      <c r="BJ140" s="263">
        <f>IF($C140+1&gt;BJ$7,0,IF($D140&gt;SUM($G140:BI140),$D140/$E140,0))</f>
        <v>0</v>
      </c>
      <c r="BK140" s="263">
        <f>IF($C140+1&gt;BK$7,0,IF($D140&gt;SUM($G140:BJ140),$D140/$E140,0))</f>
        <v>0</v>
      </c>
      <c r="BL140" s="263">
        <f>IF($C140+1&gt;BL$7,0,IF($D140&gt;SUM($G140:BK140),$D140/$E140,0))</f>
        <v>0</v>
      </c>
      <c r="BM140" s="263">
        <f>IF($C140+1&gt;BM$7,0,IF($D140&gt;SUM($G140:BL140),$D140/$E140,0))</f>
        <v>0</v>
      </c>
      <c r="BN140" s="263">
        <f>IF($C140+1&gt;BN$7,0,IF($D140&gt;SUM($G140:BM140),$D140/$E140,0))</f>
        <v>0</v>
      </c>
      <c r="BO140" s="263"/>
      <c r="BP140" s="263"/>
      <c r="BQ140" s="263"/>
      <c r="BR140" s="263"/>
      <c r="BS140" s="263"/>
      <c r="BT140" s="263"/>
      <c r="BU140" s="263"/>
      <c r="BV140" s="263"/>
      <c r="BW140" s="263"/>
      <c r="BX140" s="263"/>
      <c r="BY140" s="263"/>
      <c r="BZ140" s="263"/>
      <c r="CA140" s="254"/>
      <c r="CB140" s="254"/>
      <c r="CC140" s="254"/>
      <c r="CD140" s="254"/>
      <c r="CE140" s="254"/>
      <c r="CF140" s="254"/>
      <c r="CG140" s="254"/>
      <c r="CH140" s="254"/>
      <c r="CI140" s="254"/>
      <c r="CJ140" s="254"/>
      <c r="CK140" s="254"/>
      <c r="CL140" s="254"/>
    </row>
    <row r="141" spans="1:90" outlineLevel="1" x14ac:dyDescent="0.15">
      <c r="A141" s="50"/>
      <c r="B141" s="23"/>
      <c r="C141" s="26">
        <v>33</v>
      </c>
      <c r="D141" s="281">
        <v>0</v>
      </c>
      <c r="E141" s="26">
        <f>SAP_Leadsheet!$E$61</f>
        <v>7</v>
      </c>
      <c r="G141" s="263">
        <f>IF($C141+1&gt;G$7,0,IF($D141&gt;SUM(#REF!),$D141/$E141,0))</f>
        <v>0</v>
      </c>
      <c r="H141" s="263">
        <f>IF($C141+1&gt;H$7,0,IF($D141&gt;SUM($G141:G141),$D141/$E141,0))</f>
        <v>0</v>
      </c>
      <c r="I141" s="263">
        <f>IF($C141+1&gt;I$7,0,IF($D141&gt;SUM($G141:H141),$D141/$E141,0))</f>
        <v>0</v>
      </c>
      <c r="J141" s="263">
        <f>IF($C141+1&gt;J$7,0,IF($D141&gt;SUM($G141:I141),$D141/$E141,0))</f>
        <v>0</v>
      </c>
      <c r="K141" s="263">
        <f>IF($C141+1&gt;K$7,0,IF($D141&gt;SUM($G141:J141),$D141/$E141,0))</f>
        <v>0</v>
      </c>
      <c r="L141" s="263">
        <f>IF($C141+1&gt;L$7,0,IF($D141&gt;SUM($G141:K141),$D141/$E141,0))</f>
        <v>0</v>
      </c>
      <c r="M141" s="263">
        <f>IF($C141+1&gt;M$7,0,IF($D141&gt;SUM($G141:L141),$D141/$E141,0))</f>
        <v>0</v>
      </c>
      <c r="N141" s="263">
        <f>IF($C141+1&gt;N$7,0,IF($D141&gt;SUM($G141:M141),$D141/$E141,0))</f>
        <v>0</v>
      </c>
      <c r="O141" s="263">
        <f>IF($C141+1&gt;O$7,0,IF($D141&gt;SUM($G141:N141),$D141/$E141,0))</f>
        <v>0</v>
      </c>
      <c r="P141" s="263">
        <f>IF($C141+1&gt;P$7,0,IF($D141&gt;SUM($G141:O141),$D141/$E141,0))</f>
        <v>0</v>
      </c>
      <c r="Q141" s="263">
        <f>IF($C141+1&gt;Q$7,0,IF($D141&gt;SUM($G141:P141),$D141/$E141,0))</f>
        <v>0</v>
      </c>
      <c r="R141" s="263">
        <f>IF($C141+1&gt;R$7,0,IF($D141&gt;SUM($G141:Q141),$D141/$E141,0))</f>
        <v>0</v>
      </c>
      <c r="S141" s="263">
        <f>IF($C141+1&gt;S$7,0,IF($D141&gt;SUM($G141:R141),$D141/$E141,0))</f>
        <v>0</v>
      </c>
      <c r="T141" s="263">
        <f>IF($C141+1&gt;T$7,0,IF($D141&gt;SUM($G141:S141),$D141/$E141,0))</f>
        <v>0</v>
      </c>
      <c r="U141" s="263">
        <f>IF($C141+1&gt;U$7,0,IF($D141&gt;SUM($G141:T141),$D141/$E141,0))</f>
        <v>0</v>
      </c>
      <c r="V141" s="263">
        <f>IF($C141+1&gt;V$7,0,IF($D141&gt;SUM($G141:U141),$D141/$E141,0))</f>
        <v>0</v>
      </c>
      <c r="W141" s="263">
        <f>IF($C141+1&gt;W$7,0,IF($D141&gt;SUM($G141:V141),$D141/$E141,0))</f>
        <v>0</v>
      </c>
      <c r="X141" s="263">
        <f>IF($C141+1&gt;X$7,0,IF($D141&gt;SUM($G141:W141),$D141/$E141,0))</f>
        <v>0</v>
      </c>
      <c r="Y141" s="263">
        <f>IF($C141+1&gt;Y$7,0,IF($D141&gt;SUM($G141:X141),$D141/$E141,0))</f>
        <v>0</v>
      </c>
      <c r="Z141" s="263">
        <f>IF($C141+1&gt;Z$7,0,IF($D141&gt;SUM($G141:Y141),$D141/$E141,0))</f>
        <v>0</v>
      </c>
      <c r="AA141" s="263">
        <f>IF($C141+1&gt;AA$7,0,IF($D141&gt;SUM($G141:Z141),$D141/$E141,0))</f>
        <v>0</v>
      </c>
      <c r="AB141" s="263">
        <f>IF($C141+1&gt;AB$7,0,IF($D141&gt;SUM($G141:AA141),$D141/$E141,0))</f>
        <v>0</v>
      </c>
      <c r="AC141" s="263">
        <f>IF($C141+1&gt;AC$7,0,IF($D141&gt;SUM($G141:AB141),$D141/$E141,0))</f>
        <v>0</v>
      </c>
      <c r="AD141" s="263">
        <f>IF($C141+1&gt;AD$7,0,IF($D141&gt;SUM($G141:AC141),$D141/$E141,0))</f>
        <v>0</v>
      </c>
      <c r="AE141" s="263">
        <f>IF($C141+1&gt;AE$7,0,IF($D141&gt;SUM($G141:AD141),$D141/$E141,0))</f>
        <v>0</v>
      </c>
      <c r="AF141" s="263">
        <f>IF($C141+1&gt;AF$7,0,IF($D141&gt;SUM($G141:AE141),$D141/$E141,0))</f>
        <v>0</v>
      </c>
      <c r="AG141" s="263">
        <f>IF($C141+1&gt;AG$7,0,IF($D141&gt;SUM($G141:AF141),$D141/$E141,0))</f>
        <v>0</v>
      </c>
      <c r="AH141" s="263">
        <f>IF($C141+1&gt;AH$7,0,IF($D141&gt;SUM($G141:AG141),$D141/$E141,0))</f>
        <v>0</v>
      </c>
      <c r="AI141" s="263">
        <f>IF($C141+1&gt;AI$7,0,IF($D141&gt;SUM($G141:AH141),$D141/$E141,0))</f>
        <v>0</v>
      </c>
      <c r="AJ141" s="263">
        <f>IF($C141+1&gt;AJ$7,0,IF($D141&gt;SUM($G141:AI141),$D141/$E141,0))</f>
        <v>0</v>
      </c>
      <c r="AK141" s="263">
        <f>IF($C141+1&gt;AK$7,0,IF($D141&gt;SUM($G141:AJ141),$D141/$E141,0))</f>
        <v>0</v>
      </c>
      <c r="AL141" s="263">
        <f>IF($C141+1&gt;AL$7,0,IF($D141&gt;SUM($G141:AK141),$D141/$E141,0))</f>
        <v>0</v>
      </c>
      <c r="AM141" s="263">
        <f>IF($C141+1&gt;AM$7,0,IF($D141&gt;SUM($G141:AL141),$D141/$E141,0))</f>
        <v>0</v>
      </c>
      <c r="AN141" s="263">
        <f>IF($C141+1&gt;AN$7,0,IF($D141&gt;SUM($G141:AM141),$D141/$E141,0))</f>
        <v>0</v>
      </c>
      <c r="AO141" s="263">
        <f>IF($C141+1&gt;AO$7,0,IF($D141&gt;SUM($G141:AN141),$D141/$E141,0))</f>
        <v>0</v>
      </c>
      <c r="AP141" s="263">
        <f>IF($C141+1&gt;AP$7,0,IF($D141&gt;SUM($G141:AO141),$D141/$E141,0))</f>
        <v>0</v>
      </c>
      <c r="AQ141" s="263">
        <f>IF($C141+1&gt;AQ$7,0,IF($D141&gt;SUM($G141:AP141),$D141/$E141,0))</f>
        <v>0</v>
      </c>
      <c r="AR141" s="263">
        <f>IF($C141+1&gt;AR$7,0,IF($D141&gt;SUM($G141:AQ141),$D141/$E141,0))</f>
        <v>0</v>
      </c>
      <c r="AS141" s="263">
        <f>IF($C141+1&gt;AS$7,0,IF($D141&gt;SUM($G141:AR141),$D141/$E141,0))</f>
        <v>0</v>
      </c>
      <c r="AT141" s="263">
        <f>IF($C141+1&gt;AT$7,0,IF($D141&gt;SUM($G141:AS141),$D141/$E141,0))</f>
        <v>0</v>
      </c>
      <c r="AU141" s="263">
        <f>IF($C141+1&gt;AU$7,0,IF($D141&gt;SUM($G141:AT141),$D141/$E141,0))</f>
        <v>0</v>
      </c>
      <c r="AV141" s="263">
        <f>IF($C141+1&gt;AV$7,0,IF($D141&gt;SUM($G141:AU141),$D141/$E141,0))</f>
        <v>0</v>
      </c>
      <c r="AW141" s="263">
        <f>IF($C141+1&gt;AW$7,0,IF($D141&gt;SUM($G141:AV141),$D141/$E141,0))</f>
        <v>0</v>
      </c>
      <c r="AX141" s="263">
        <f>IF($C141+1&gt;AX$7,0,IF($D141&gt;SUM($G141:AW141),$D141/$E141,0))</f>
        <v>0</v>
      </c>
      <c r="AY141" s="263">
        <f>IF($C141+1&gt;AY$7,0,IF($D141&gt;SUM($G141:AX141),$D141/$E141,0))</f>
        <v>0</v>
      </c>
      <c r="AZ141" s="263">
        <f>IF($C141+1&gt;AZ$7,0,IF($D141&gt;SUM($G141:AY141),$D141/$E141,0))</f>
        <v>0</v>
      </c>
      <c r="BA141" s="263">
        <f>IF($C141+1&gt;BA$7,0,IF($D141&gt;SUM($G141:AZ141),$D141/$E141,0))</f>
        <v>0</v>
      </c>
      <c r="BB141" s="263">
        <f>IF($C141+1&gt;BB$7,0,IF($D141&gt;SUM($G141:BA141),$D141/$E141,0))</f>
        <v>0</v>
      </c>
      <c r="BC141" s="263">
        <f>IF($C141+1&gt;BC$7,0,IF($D141&gt;SUM($G141:BB141),$D141/$E141,0))</f>
        <v>0</v>
      </c>
      <c r="BD141" s="263">
        <f>IF($C141+1&gt;BD$7,0,IF($D141&gt;SUM($G141:BC141),$D141/$E141,0))</f>
        <v>0</v>
      </c>
      <c r="BE141" s="263">
        <f>IF($C141+1&gt;BE$7,0,IF($D141&gt;SUM($G141:BD141),$D141/$E141,0))</f>
        <v>0</v>
      </c>
      <c r="BF141" s="263">
        <f>IF($C141+1&gt;BF$7,0,IF($D141&gt;SUM($G141:BE141),$D141/$E141,0))</f>
        <v>0</v>
      </c>
      <c r="BG141" s="263">
        <f>IF($C141+1&gt;BG$7,0,IF($D141&gt;SUM($G141:BF141),$D141/$E141,0))</f>
        <v>0</v>
      </c>
      <c r="BH141" s="263">
        <f>IF($C141+1&gt;BH$7,0,IF($D141&gt;SUM($G141:BG141),$D141/$E141,0))</f>
        <v>0</v>
      </c>
      <c r="BI141" s="263">
        <f>IF($C141+1&gt;BI$7,0,IF($D141&gt;SUM($G141:BH141),$D141/$E141,0))</f>
        <v>0</v>
      </c>
      <c r="BJ141" s="263">
        <f>IF($C141+1&gt;BJ$7,0,IF($D141&gt;SUM($G141:BI141),$D141/$E141,0))</f>
        <v>0</v>
      </c>
      <c r="BK141" s="263">
        <f>IF($C141+1&gt;BK$7,0,IF($D141&gt;SUM($G141:BJ141),$D141/$E141,0))</f>
        <v>0</v>
      </c>
      <c r="BL141" s="263">
        <f>IF($C141+1&gt;BL$7,0,IF($D141&gt;SUM($G141:BK141),$D141/$E141,0))</f>
        <v>0</v>
      </c>
      <c r="BM141" s="263">
        <f>IF($C141+1&gt;BM$7,0,IF($D141&gt;SUM($G141:BL141),$D141/$E141,0))</f>
        <v>0</v>
      </c>
      <c r="BN141" s="263">
        <f>IF($C141+1&gt;BN$7,0,IF($D141&gt;SUM($G141:BM141),$D141/$E141,0))</f>
        <v>0</v>
      </c>
      <c r="BO141" s="263"/>
      <c r="BP141" s="263"/>
      <c r="BQ141" s="263"/>
      <c r="BR141" s="263"/>
      <c r="BS141" s="263"/>
      <c r="BT141" s="263"/>
      <c r="BU141" s="263"/>
      <c r="BV141" s="263"/>
      <c r="BW141" s="263"/>
      <c r="BX141" s="263"/>
      <c r="BY141" s="263"/>
      <c r="BZ141" s="263"/>
      <c r="CA141" s="254"/>
      <c r="CB141" s="254"/>
      <c r="CC141" s="254"/>
      <c r="CD141" s="254"/>
      <c r="CE141" s="254"/>
      <c r="CF141" s="254"/>
      <c r="CG141" s="254"/>
      <c r="CH141" s="254"/>
      <c r="CI141" s="254"/>
      <c r="CJ141" s="254"/>
      <c r="CK141" s="254"/>
      <c r="CL141" s="254"/>
    </row>
    <row r="142" spans="1:90" outlineLevel="1" x14ac:dyDescent="0.15">
      <c r="A142" s="50"/>
      <c r="B142" s="23"/>
      <c r="C142" s="26">
        <v>34</v>
      </c>
      <c r="D142" s="281">
        <v>0</v>
      </c>
      <c r="E142" s="26">
        <f>SAP_Leadsheet!$E$61</f>
        <v>7</v>
      </c>
      <c r="G142" s="263">
        <f>IF($C142+1&gt;G$7,0,IF($D142&gt;SUM(#REF!),$D142/$E142,0))</f>
        <v>0</v>
      </c>
      <c r="H142" s="263">
        <f>IF($C142+1&gt;H$7,0,IF($D142&gt;SUM($G142:G142),$D142/$E142,0))</f>
        <v>0</v>
      </c>
      <c r="I142" s="263">
        <f>IF($C142+1&gt;I$7,0,IF($D142&gt;SUM($G142:H142),$D142/$E142,0))</f>
        <v>0</v>
      </c>
      <c r="J142" s="263">
        <f>IF($C142+1&gt;J$7,0,IF($D142&gt;SUM($G142:I142),$D142/$E142,0))</f>
        <v>0</v>
      </c>
      <c r="K142" s="263">
        <f>IF($C142+1&gt;K$7,0,IF($D142&gt;SUM($G142:J142),$D142/$E142,0))</f>
        <v>0</v>
      </c>
      <c r="L142" s="263">
        <f>IF($C142+1&gt;L$7,0,IF($D142&gt;SUM($G142:K142),$D142/$E142,0))</f>
        <v>0</v>
      </c>
      <c r="M142" s="263">
        <f>IF($C142+1&gt;M$7,0,IF($D142&gt;SUM($G142:L142),$D142/$E142,0))</f>
        <v>0</v>
      </c>
      <c r="N142" s="263">
        <f>IF($C142+1&gt;N$7,0,IF($D142&gt;SUM($G142:M142),$D142/$E142,0))</f>
        <v>0</v>
      </c>
      <c r="O142" s="263">
        <f>IF($C142+1&gt;O$7,0,IF($D142&gt;SUM($G142:N142),$D142/$E142,0))</f>
        <v>0</v>
      </c>
      <c r="P142" s="263">
        <f>IF($C142+1&gt;P$7,0,IF($D142&gt;SUM($G142:O142),$D142/$E142,0))</f>
        <v>0</v>
      </c>
      <c r="Q142" s="263">
        <f>IF($C142+1&gt;Q$7,0,IF($D142&gt;SUM($G142:P142),$D142/$E142,0))</f>
        <v>0</v>
      </c>
      <c r="R142" s="263">
        <f>IF($C142+1&gt;R$7,0,IF($D142&gt;SUM($G142:Q142),$D142/$E142,0))</f>
        <v>0</v>
      </c>
      <c r="S142" s="263">
        <f>IF($C142+1&gt;S$7,0,IF($D142&gt;SUM($G142:R142),$D142/$E142,0))</f>
        <v>0</v>
      </c>
      <c r="T142" s="263">
        <f>IF($C142+1&gt;T$7,0,IF($D142&gt;SUM($G142:S142),$D142/$E142,0))</f>
        <v>0</v>
      </c>
      <c r="U142" s="263">
        <f>IF($C142+1&gt;U$7,0,IF($D142&gt;SUM($G142:T142),$D142/$E142,0))</f>
        <v>0</v>
      </c>
      <c r="V142" s="263">
        <f>IF($C142+1&gt;V$7,0,IF($D142&gt;SUM($G142:U142),$D142/$E142,0))</f>
        <v>0</v>
      </c>
      <c r="W142" s="263">
        <f>IF($C142+1&gt;W$7,0,IF($D142&gt;SUM($G142:V142),$D142/$E142,0))</f>
        <v>0</v>
      </c>
      <c r="X142" s="263">
        <f>IF($C142+1&gt;X$7,0,IF($D142&gt;SUM($G142:W142),$D142/$E142,0))</f>
        <v>0</v>
      </c>
      <c r="Y142" s="263">
        <f>IF($C142+1&gt;Y$7,0,IF($D142&gt;SUM($G142:X142),$D142/$E142,0))</f>
        <v>0</v>
      </c>
      <c r="Z142" s="263">
        <f>IF($C142+1&gt;Z$7,0,IF($D142&gt;SUM($G142:Y142),$D142/$E142,0))</f>
        <v>0</v>
      </c>
      <c r="AA142" s="263">
        <f>IF($C142+1&gt;AA$7,0,IF($D142&gt;SUM($G142:Z142),$D142/$E142,0))</f>
        <v>0</v>
      </c>
      <c r="AB142" s="263">
        <f>IF($C142+1&gt;AB$7,0,IF($D142&gt;SUM($G142:AA142),$D142/$E142,0))</f>
        <v>0</v>
      </c>
      <c r="AC142" s="263">
        <f>IF($C142+1&gt;AC$7,0,IF($D142&gt;SUM($G142:AB142),$D142/$E142,0))</f>
        <v>0</v>
      </c>
      <c r="AD142" s="263">
        <f>IF($C142+1&gt;AD$7,0,IF($D142&gt;SUM($G142:AC142),$D142/$E142,0))</f>
        <v>0</v>
      </c>
      <c r="AE142" s="263">
        <f>IF($C142+1&gt;AE$7,0,IF($D142&gt;SUM($G142:AD142),$D142/$E142,0))</f>
        <v>0</v>
      </c>
      <c r="AF142" s="263">
        <f>IF($C142+1&gt;AF$7,0,IF($D142&gt;SUM($G142:AE142),$D142/$E142,0))</f>
        <v>0</v>
      </c>
      <c r="AG142" s="263">
        <f>IF($C142+1&gt;AG$7,0,IF($D142&gt;SUM($G142:AF142),$D142/$E142,0))</f>
        <v>0</v>
      </c>
      <c r="AH142" s="263">
        <f>IF($C142+1&gt;AH$7,0,IF($D142&gt;SUM($G142:AG142),$D142/$E142,0))</f>
        <v>0</v>
      </c>
      <c r="AI142" s="263">
        <f>IF($C142+1&gt;AI$7,0,IF($D142&gt;SUM($G142:AH142),$D142/$E142,0))</f>
        <v>0</v>
      </c>
      <c r="AJ142" s="263">
        <f>IF($C142+1&gt;AJ$7,0,IF($D142&gt;SUM($G142:AI142),$D142/$E142,0))</f>
        <v>0</v>
      </c>
      <c r="AK142" s="263">
        <f>IF($C142+1&gt;AK$7,0,IF($D142&gt;SUM($G142:AJ142),$D142/$E142,0))</f>
        <v>0</v>
      </c>
      <c r="AL142" s="263">
        <f>IF($C142+1&gt;AL$7,0,IF($D142&gt;SUM($G142:AK142),$D142/$E142,0))</f>
        <v>0</v>
      </c>
      <c r="AM142" s="263">
        <f>IF($C142+1&gt;AM$7,0,IF($D142&gt;SUM($G142:AL142),$D142/$E142,0))</f>
        <v>0</v>
      </c>
      <c r="AN142" s="263">
        <f>IF($C142+1&gt;AN$7,0,IF($D142&gt;SUM($G142:AM142),$D142/$E142,0))</f>
        <v>0</v>
      </c>
      <c r="AO142" s="263">
        <f>IF($C142+1&gt;AO$7,0,IF($D142&gt;SUM($G142:AN142),$D142/$E142,0))</f>
        <v>0</v>
      </c>
      <c r="AP142" s="263">
        <f>IF($C142+1&gt;AP$7,0,IF($D142&gt;SUM($G142:AO142),$D142/$E142,0))</f>
        <v>0</v>
      </c>
      <c r="AQ142" s="263">
        <f>IF($C142+1&gt;AQ$7,0,IF($D142&gt;SUM($G142:AP142),$D142/$E142,0))</f>
        <v>0</v>
      </c>
      <c r="AR142" s="263">
        <f>IF($C142+1&gt;AR$7,0,IF($D142&gt;SUM($G142:AQ142),$D142/$E142,0))</f>
        <v>0</v>
      </c>
      <c r="AS142" s="263">
        <f>IF($C142+1&gt;AS$7,0,IF($D142&gt;SUM($G142:AR142),$D142/$E142,0))</f>
        <v>0</v>
      </c>
      <c r="AT142" s="263">
        <f>IF($C142+1&gt;AT$7,0,IF($D142&gt;SUM($G142:AS142),$D142/$E142,0))</f>
        <v>0</v>
      </c>
      <c r="AU142" s="263">
        <f>IF($C142+1&gt;AU$7,0,IF($D142&gt;SUM($G142:AT142),$D142/$E142,0))</f>
        <v>0</v>
      </c>
      <c r="AV142" s="263">
        <f>IF($C142+1&gt;AV$7,0,IF($D142&gt;SUM($G142:AU142),$D142/$E142,0))</f>
        <v>0</v>
      </c>
      <c r="AW142" s="263">
        <f>IF($C142+1&gt;AW$7,0,IF($D142&gt;SUM($G142:AV142),$D142/$E142,0))</f>
        <v>0</v>
      </c>
      <c r="AX142" s="263">
        <f>IF($C142+1&gt;AX$7,0,IF($D142&gt;SUM($G142:AW142),$D142/$E142,0))</f>
        <v>0</v>
      </c>
      <c r="AY142" s="263">
        <f>IF($C142+1&gt;AY$7,0,IF($D142&gt;SUM($G142:AX142),$D142/$E142,0))</f>
        <v>0</v>
      </c>
      <c r="AZ142" s="263">
        <f>IF($C142+1&gt;AZ$7,0,IF($D142&gt;SUM($G142:AY142),$D142/$E142,0))</f>
        <v>0</v>
      </c>
      <c r="BA142" s="263">
        <f>IF($C142+1&gt;BA$7,0,IF($D142&gt;SUM($G142:AZ142),$D142/$E142,0))</f>
        <v>0</v>
      </c>
      <c r="BB142" s="263">
        <f>IF($C142+1&gt;BB$7,0,IF($D142&gt;SUM($G142:BA142),$D142/$E142,0))</f>
        <v>0</v>
      </c>
      <c r="BC142" s="263">
        <f>IF($C142+1&gt;BC$7,0,IF($D142&gt;SUM($G142:BB142),$D142/$E142,0))</f>
        <v>0</v>
      </c>
      <c r="BD142" s="263">
        <f>IF($C142+1&gt;BD$7,0,IF($D142&gt;SUM($G142:BC142),$D142/$E142,0))</f>
        <v>0</v>
      </c>
      <c r="BE142" s="263">
        <f>IF($C142+1&gt;BE$7,0,IF($D142&gt;SUM($G142:BD142),$D142/$E142,0))</f>
        <v>0</v>
      </c>
      <c r="BF142" s="263">
        <f>IF($C142+1&gt;BF$7,0,IF($D142&gt;SUM($G142:BE142),$D142/$E142,0))</f>
        <v>0</v>
      </c>
      <c r="BG142" s="263">
        <f>IF($C142+1&gt;BG$7,0,IF($D142&gt;SUM($G142:BF142),$D142/$E142,0))</f>
        <v>0</v>
      </c>
      <c r="BH142" s="263">
        <f>IF($C142+1&gt;BH$7,0,IF($D142&gt;SUM($G142:BG142),$D142/$E142,0))</f>
        <v>0</v>
      </c>
      <c r="BI142" s="263">
        <f>IF($C142+1&gt;BI$7,0,IF($D142&gt;SUM($G142:BH142),$D142/$E142,0))</f>
        <v>0</v>
      </c>
      <c r="BJ142" s="263">
        <f>IF($C142+1&gt;BJ$7,0,IF($D142&gt;SUM($G142:BI142),$D142/$E142,0))</f>
        <v>0</v>
      </c>
      <c r="BK142" s="263">
        <f>IF($C142+1&gt;BK$7,0,IF($D142&gt;SUM($G142:BJ142),$D142/$E142,0))</f>
        <v>0</v>
      </c>
      <c r="BL142" s="263">
        <f>IF($C142+1&gt;BL$7,0,IF($D142&gt;SUM($G142:BK142),$D142/$E142,0))</f>
        <v>0</v>
      </c>
      <c r="BM142" s="263">
        <f>IF($C142+1&gt;BM$7,0,IF($D142&gt;SUM($G142:BL142),$D142/$E142,0))</f>
        <v>0</v>
      </c>
      <c r="BN142" s="263">
        <f>IF($C142+1&gt;BN$7,0,IF($D142&gt;SUM($G142:BM142),$D142/$E142,0))</f>
        <v>0</v>
      </c>
      <c r="BO142" s="263"/>
      <c r="BP142" s="263"/>
      <c r="BQ142" s="263"/>
      <c r="BR142" s="263"/>
      <c r="BS142" s="263"/>
      <c r="BT142" s="263"/>
      <c r="BU142" s="263"/>
      <c r="BV142" s="263"/>
      <c r="BW142" s="263"/>
      <c r="BX142" s="263"/>
      <c r="BY142" s="263"/>
      <c r="BZ142" s="263"/>
      <c r="CA142" s="254"/>
      <c r="CB142" s="254"/>
      <c r="CC142" s="254"/>
      <c r="CD142" s="254"/>
      <c r="CE142" s="254"/>
      <c r="CF142" s="254"/>
      <c r="CG142" s="254"/>
      <c r="CH142" s="254"/>
      <c r="CI142" s="254"/>
      <c r="CJ142" s="254"/>
      <c r="CK142" s="254"/>
      <c r="CL142" s="254"/>
    </row>
    <row r="143" spans="1:90" outlineLevel="1" x14ac:dyDescent="0.15">
      <c r="A143" s="50"/>
      <c r="B143" s="23"/>
      <c r="C143" s="26">
        <v>35</v>
      </c>
      <c r="D143" s="281">
        <v>0</v>
      </c>
      <c r="E143" s="26">
        <f>SAP_Leadsheet!$E$61</f>
        <v>7</v>
      </c>
      <c r="G143" s="263">
        <f>IF($C143+1&gt;G$7,0,IF($D143&gt;SUM(#REF!),$D143/$E143,0))</f>
        <v>0</v>
      </c>
      <c r="H143" s="263">
        <f>IF($C143+1&gt;H$7,0,IF($D143&gt;SUM($G143:G143),$D143/$E143,0))</f>
        <v>0</v>
      </c>
      <c r="I143" s="263">
        <f>IF($C143+1&gt;I$7,0,IF($D143&gt;SUM($G143:H143),$D143/$E143,0))</f>
        <v>0</v>
      </c>
      <c r="J143" s="263">
        <f>IF($C143+1&gt;J$7,0,IF($D143&gt;SUM($G143:I143),$D143/$E143,0))</f>
        <v>0</v>
      </c>
      <c r="K143" s="263">
        <f>IF($C143+1&gt;K$7,0,IF($D143&gt;SUM($G143:J143),$D143/$E143,0))</f>
        <v>0</v>
      </c>
      <c r="L143" s="263">
        <f>IF($C143+1&gt;L$7,0,IF($D143&gt;SUM($G143:K143),$D143/$E143,0))</f>
        <v>0</v>
      </c>
      <c r="M143" s="263">
        <f>IF($C143+1&gt;M$7,0,IF($D143&gt;SUM($G143:L143),$D143/$E143,0))</f>
        <v>0</v>
      </c>
      <c r="N143" s="263">
        <f>IF($C143+1&gt;N$7,0,IF($D143&gt;SUM($G143:M143),$D143/$E143,0))</f>
        <v>0</v>
      </c>
      <c r="O143" s="263">
        <f>IF($C143+1&gt;O$7,0,IF($D143&gt;SUM($G143:N143),$D143/$E143,0))</f>
        <v>0</v>
      </c>
      <c r="P143" s="263">
        <f>IF($C143+1&gt;P$7,0,IF($D143&gt;SUM($G143:O143),$D143/$E143,0))</f>
        <v>0</v>
      </c>
      <c r="Q143" s="263">
        <f>IF($C143+1&gt;Q$7,0,IF($D143&gt;SUM($G143:P143),$D143/$E143,0))</f>
        <v>0</v>
      </c>
      <c r="R143" s="263">
        <f>IF($C143+1&gt;R$7,0,IF($D143&gt;SUM($G143:Q143),$D143/$E143,0))</f>
        <v>0</v>
      </c>
      <c r="S143" s="263">
        <f>IF($C143+1&gt;S$7,0,IF($D143&gt;SUM($G143:R143),$D143/$E143,0))</f>
        <v>0</v>
      </c>
      <c r="T143" s="263">
        <f>IF($C143+1&gt;T$7,0,IF($D143&gt;SUM($G143:S143),$D143/$E143,0))</f>
        <v>0</v>
      </c>
      <c r="U143" s="263">
        <f>IF($C143+1&gt;U$7,0,IF($D143&gt;SUM($G143:T143),$D143/$E143,0))</f>
        <v>0</v>
      </c>
      <c r="V143" s="263">
        <f>IF($C143+1&gt;V$7,0,IF($D143&gt;SUM($G143:U143),$D143/$E143,0))</f>
        <v>0</v>
      </c>
      <c r="W143" s="263">
        <f>IF($C143+1&gt;W$7,0,IF($D143&gt;SUM($G143:V143),$D143/$E143,0))</f>
        <v>0</v>
      </c>
      <c r="X143" s="263">
        <f>IF($C143+1&gt;X$7,0,IF($D143&gt;SUM($G143:W143),$D143/$E143,0))</f>
        <v>0</v>
      </c>
      <c r="Y143" s="263">
        <f>IF($C143+1&gt;Y$7,0,IF($D143&gt;SUM($G143:X143),$D143/$E143,0))</f>
        <v>0</v>
      </c>
      <c r="Z143" s="263">
        <f>IF($C143+1&gt;Z$7,0,IF($D143&gt;SUM($G143:Y143),$D143/$E143,0))</f>
        <v>0</v>
      </c>
      <c r="AA143" s="263">
        <f>IF($C143+1&gt;AA$7,0,IF($D143&gt;SUM($G143:Z143),$D143/$E143,0))</f>
        <v>0</v>
      </c>
      <c r="AB143" s="263">
        <f>IF($C143+1&gt;AB$7,0,IF($D143&gt;SUM($G143:AA143),$D143/$E143,0))</f>
        <v>0</v>
      </c>
      <c r="AC143" s="263">
        <f>IF($C143+1&gt;AC$7,0,IF($D143&gt;SUM($G143:AB143),$D143/$E143,0))</f>
        <v>0</v>
      </c>
      <c r="AD143" s="263">
        <f>IF($C143+1&gt;AD$7,0,IF($D143&gt;SUM($G143:AC143),$D143/$E143,0))</f>
        <v>0</v>
      </c>
      <c r="AE143" s="263">
        <f>IF($C143+1&gt;AE$7,0,IF($D143&gt;SUM($G143:AD143),$D143/$E143,0))</f>
        <v>0</v>
      </c>
      <c r="AF143" s="263">
        <f>IF($C143+1&gt;AF$7,0,IF($D143&gt;SUM($G143:AE143),$D143/$E143,0))</f>
        <v>0</v>
      </c>
      <c r="AG143" s="263">
        <f>IF($C143+1&gt;AG$7,0,IF($D143&gt;SUM($G143:AF143),$D143/$E143,0))</f>
        <v>0</v>
      </c>
      <c r="AH143" s="263">
        <f>IF($C143+1&gt;AH$7,0,IF($D143&gt;SUM($G143:AG143),$D143/$E143,0))</f>
        <v>0</v>
      </c>
      <c r="AI143" s="263">
        <f>IF($C143+1&gt;AI$7,0,IF($D143&gt;SUM($G143:AH143),$D143/$E143,0))</f>
        <v>0</v>
      </c>
      <c r="AJ143" s="263">
        <f>IF($C143+1&gt;AJ$7,0,IF($D143&gt;SUM($G143:AI143),$D143/$E143,0))</f>
        <v>0</v>
      </c>
      <c r="AK143" s="263">
        <f>IF($C143+1&gt;AK$7,0,IF($D143&gt;SUM($G143:AJ143),$D143/$E143,0))</f>
        <v>0</v>
      </c>
      <c r="AL143" s="263">
        <f>IF($C143+1&gt;AL$7,0,IF($D143&gt;SUM($G143:AK143),$D143/$E143,0))</f>
        <v>0</v>
      </c>
      <c r="AM143" s="263">
        <f>IF($C143+1&gt;AM$7,0,IF($D143&gt;SUM($G143:AL143),$D143/$E143,0))</f>
        <v>0</v>
      </c>
      <c r="AN143" s="263">
        <f>IF($C143+1&gt;AN$7,0,IF($D143&gt;SUM($G143:AM143),$D143/$E143,0))</f>
        <v>0</v>
      </c>
      <c r="AO143" s="263">
        <f>IF($C143+1&gt;AO$7,0,IF($D143&gt;SUM($G143:AN143),$D143/$E143,0))</f>
        <v>0</v>
      </c>
      <c r="AP143" s="263">
        <f>IF($C143+1&gt;AP$7,0,IF($D143&gt;SUM($G143:AO143),$D143/$E143,0))</f>
        <v>0</v>
      </c>
      <c r="AQ143" s="263">
        <f>IF($C143+1&gt;AQ$7,0,IF($D143&gt;SUM($G143:AP143),$D143/$E143,0))</f>
        <v>0</v>
      </c>
      <c r="AR143" s="263">
        <f>IF($C143+1&gt;AR$7,0,IF($D143&gt;SUM($G143:AQ143),$D143/$E143,0))</f>
        <v>0</v>
      </c>
      <c r="AS143" s="263">
        <f>IF($C143+1&gt;AS$7,0,IF($D143&gt;SUM($G143:AR143),$D143/$E143,0))</f>
        <v>0</v>
      </c>
      <c r="AT143" s="263">
        <f>IF($C143+1&gt;AT$7,0,IF($D143&gt;SUM($G143:AS143),$D143/$E143,0))</f>
        <v>0</v>
      </c>
      <c r="AU143" s="263">
        <f>IF($C143+1&gt;AU$7,0,IF($D143&gt;SUM($G143:AT143),$D143/$E143,0))</f>
        <v>0</v>
      </c>
      <c r="AV143" s="263">
        <f>IF($C143+1&gt;AV$7,0,IF($D143&gt;SUM($G143:AU143),$D143/$E143,0))</f>
        <v>0</v>
      </c>
      <c r="AW143" s="263">
        <f>IF($C143+1&gt;AW$7,0,IF($D143&gt;SUM($G143:AV143),$D143/$E143,0))</f>
        <v>0</v>
      </c>
      <c r="AX143" s="263">
        <f>IF($C143+1&gt;AX$7,0,IF($D143&gt;SUM($G143:AW143),$D143/$E143,0))</f>
        <v>0</v>
      </c>
      <c r="AY143" s="263">
        <f>IF($C143+1&gt;AY$7,0,IF($D143&gt;SUM($G143:AX143),$D143/$E143,0))</f>
        <v>0</v>
      </c>
      <c r="AZ143" s="263">
        <f>IF($C143+1&gt;AZ$7,0,IF($D143&gt;SUM($G143:AY143),$D143/$E143,0))</f>
        <v>0</v>
      </c>
      <c r="BA143" s="263">
        <f>IF($C143+1&gt;BA$7,0,IF($D143&gt;SUM($G143:AZ143),$D143/$E143,0))</f>
        <v>0</v>
      </c>
      <c r="BB143" s="263">
        <f>IF($C143+1&gt;BB$7,0,IF($D143&gt;SUM($G143:BA143),$D143/$E143,0))</f>
        <v>0</v>
      </c>
      <c r="BC143" s="263">
        <f>IF($C143+1&gt;BC$7,0,IF($D143&gt;SUM($G143:BB143),$D143/$E143,0))</f>
        <v>0</v>
      </c>
      <c r="BD143" s="263">
        <f>IF($C143+1&gt;BD$7,0,IF($D143&gt;SUM($G143:BC143),$D143/$E143,0))</f>
        <v>0</v>
      </c>
      <c r="BE143" s="263">
        <f>IF($C143+1&gt;BE$7,0,IF($D143&gt;SUM($G143:BD143),$D143/$E143,0))</f>
        <v>0</v>
      </c>
      <c r="BF143" s="263">
        <f>IF($C143+1&gt;BF$7,0,IF($D143&gt;SUM($G143:BE143),$D143/$E143,0))</f>
        <v>0</v>
      </c>
      <c r="BG143" s="263">
        <f>IF($C143+1&gt;BG$7,0,IF($D143&gt;SUM($G143:BF143),$D143/$E143,0))</f>
        <v>0</v>
      </c>
      <c r="BH143" s="263">
        <f>IF($C143+1&gt;BH$7,0,IF($D143&gt;SUM($G143:BG143),$D143/$E143,0))</f>
        <v>0</v>
      </c>
      <c r="BI143" s="263">
        <f>IF($C143+1&gt;BI$7,0,IF($D143&gt;SUM($G143:BH143),$D143/$E143,0))</f>
        <v>0</v>
      </c>
      <c r="BJ143" s="263">
        <f>IF($C143+1&gt;BJ$7,0,IF($D143&gt;SUM($G143:BI143),$D143/$E143,0))</f>
        <v>0</v>
      </c>
      <c r="BK143" s="263">
        <f>IF($C143+1&gt;BK$7,0,IF($D143&gt;SUM($G143:BJ143),$D143/$E143,0))</f>
        <v>0</v>
      </c>
      <c r="BL143" s="263">
        <f>IF($C143+1&gt;BL$7,0,IF($D143&gt;SUM($G143:BK143),$D143/$E143,0))</f>
        <v>0</v>
      </c>
      <c r="BM143" s="263">
        <f>IF($C143+1&gt;BM$7,0,IF($D143&gt;SUM($G143:BL143),$D143/$E143,0))</f>
        <v>0</v>
      </c>
      <c r="BN143" s="263">
        <f>IF($C143+1&gt;BN$7,0,IF($D143&gt;SUM($G143:BM143),$D143/$E143,0))</f>
        <v>0</v>
      </c>
      <c r="BO143" s="263"/>
      <c r="BP143" s="263"/>
      <c r="BQ143" s="263"/>
      <c r="BR143" s="263"/>
      <c r="BS143" s="263"/>
      <c r="BT143" s="263"/>
      <c r="BU143" s="263"/>
      <c r="BV143" s="263"/>
      <c r="BW143" s="263"/>
      <c r="BX143" s="263"/>
      <c r="BY143" s="263"/>
      <c r="BZ143" s="263"/>
      <c r="CA143" s="254"/>
      <c r="CB143" s="254"/>
      <c r="CC143" s="254"/>
      <c r="CD143" s="254"/>
      <c r="CE143" s="254"/>
      <c r="CF143" s="254"/>
      <c r="CG143" s="254"/>
      <c r="CH143" s="254"/>
      <c r="CI143" s="254"/>
      <c r="CJ143" s="254"/>
      <c r="CK143" s="254"/>
      <c r="CL143" s="254"/>
    </row>
    <row r="144" spans="1:90" outlineLevel="1" x14ac:dyDescent="0.15">
      <c r="A144" s="50"/>
      <c r="B144" s="23"/>
      <c r="C144" s="26">
        <v>36</v>
      </c>
      <c r="D144" s="281">
        <v>0</v>
      </c>
      <c r="E144" s="26">
        <f>SAP_Leadsheet!$E$61</f>
        <v>7</v>
      </c>
      <c r="G144" s="263">
        <f>IF($C144+1&gt;G$7,0,IF($D144&gt;SUM(#REF!),$D144/$E144,0))</f>
        <v>0</v>
      </c>
      <c r="H144" s="263">
        <f>IF($C144+1&gt;H$7,0,IF($D144&gt;SUM($G144:G144),$D144/$E144,0))</f>
        <v>0</v>
      </c>
      <c r="I144" s="263">
        <f>IF($C144+1&gt;I$7,0,IF($D144&gt;SUM($G144:H144),$D144/$E144,0))</f>
        <v>0</v>
      </c>
      <c r="J144" s="263">
        <f>IF($C144+1&gt;J$7,0,IF($D144&gt;SUM($G144:I144),$D144/$E144,0))</f>
        <v>0</v>
      </c>
      <c r="K144" s="263">
        <f>IF($C144+1&gt;K$7,0,IF($D144&gt;SUM($G144:J144),$D144/$E144,0))</f>
        <v>0</v>
      </c>
      <c r="L144" s="263">
        <f>IF($C144+1&gt;L$7,0,IF($D144&gt;SUM($G144:K144),$D144/$E144,0))</f>
        <v>0</v>
      </c>
      <c r="M144" s="263">
        <f>IF($C144+1&gt;M$7,0,IF($D144&gt;SUM($G144:L144),$D144/$E144,0))</f>
        <v>0</v>
      </c>
      <c r="N144" s="263">
        <f>IF($C144+1&gt;N$7,0,IF($D144&gt;SUM($G144:M144),$D144/$E144,0))</f>
        <v>0</v>
      </c>
      <c r="O144" s="263">
        <f>IF($C144+1&gt;O$7,0,IF($D144&gt;SUM($G144:N144),$D144/$E144,0))</f>
        <v>0</v>
      </c>
      <c r="P144" s="263">
        <f>IF($C144+1&gt;P$7,0,IF($D144&gt;SUM($G144:O144),$D144/$E144,0))</f>
        <v>0</v>
      </c>
      <c r="Q144" s="263">
        <f>IF($C144+1&gt;Q$7,0,IF($D144&gt;SUM($G144:P144),$D144/$E144,0))</f>
        <v>0</v>
      </c>
      <c r="R144" s="263">
        <f>IF($C144+1&gt;R$7,0,IF($D144&gt;SUM($G144:Q144),$D144/$E144,0))</f>
        <v>0</v>
      </c>
      <c r="S144" s="263">
        <f>IF($C144+1&gt;S$7,0,IF($D144&gt;SUM($G144:R144),$D144/$E144,0))</f>
        <v>0</v>
      </c>
      <c r="T144" s="263">
        <f>IF($C144+1&gt;T$7,0,IF($D144&gt;SUM($G144:S144),$D144/$E144,0))</f>
        <v>0</v>
      </c>
      <c r="U144" s="263">
        <f>IF($C144+1&gt;U$7,0,IF($D144&gt;SUM($G144:T144),$D144/$E144,0))</f>
        <v>0</v>
      </c>
      <c r="V144" s="263">
        <f>IF($C144+1&gt;V$7,0,IF($D144&gt;SUM($G144:U144),$D144/$E144,0))</f>
        <v>0</v>
      </c>
      <c r="W144" s="263">
        <f>IF($C144+1&gt;W$7,0,IF($D144&gt;SUM($G144:V144),$D144/$E144,0))</f>
        <v>0</v>
      </c>
      <c r="X144" s="263">
        <f>IF($C144+1&gt;X$7,0,IF($D144&gt;SUM($G144:W144),$D144/$E144,0))</f>
        <v>0</v>
      </c>
      <c r="Y144" s="263">
        <f>IF($C144+1&gt;Y$7,0,IF($D144&gt;SUM($G144:X144),$D144/$E144,0))</f>
        <v>0</v>
      </c>
      <c r="Z144" s="263">
        <f>IF($C144+1&gt;Z$7,0,IF($D144&gt;SUM($G144:Y144),$D144/$E144,0))</f>
        <v>0</v>
      </c>
      <c r="AA144" s="263">
        <f>IF($C144+1&gt;AA$7,0,IF($D144&gt;SUM($G144:Z144),$D144/$E144,0))</f>
        <v>0</v>
      </c>
      <c r="AB144" s="263">
        <f>IF($C144+1&gt;AB$7,0,IF($D144&gt;SUM($G144:AA144),$D144/$E144,0))</f>
        <v>0</v>
      </c>
      <c r="AC144" s="263">
        <f>IF($C144+1&gt;AC$7,0,IF($D144&gt;SUM($G144:AB144),$D144/$E144,0))</f>
        <v>0</v>
      </c>
      <c r="AD144" s="263">
        <f>IF($C144+1&gt;AD$7,0,IF($D144&gt;SUM($G144:AC144),$D144/$E144,0))</f>
        <v>0</v>
      </c>
      <c r="AE144" s="263">
        <f>IF($C144+1&gt;AE$7,0,IF($D144&gt;SUM($G144:AD144),$D144/$E144,0))</f>
        <v>0</v>
      </c>
      <c r="AF144" s="263">
        <f>IF($C144+1&gt;AF$7,0,IF($D144&gt;SUM($G144:AE144),$D144/$E144,0))</f>
        <v>0</v>
      </c>
      <c r="AG144" s="263">
        <f>IF($C144+1&gt;AG$7,0,IF($D144&gt;SUM($G144:AF144),$D144/$E144,0))</f>
        <v>0</v>
      </c>
      <c r="AH144" s="263">
        <f>IF($C144+1&gt;AH$7,0,IF($D144&gt;SUM($G144:AG144),$D144/$E144,0))</f>
        <v>0</v>
      </c>
      <c r="AI144" s="263">
        <f>IF($C144+1&gt;AI$7,0,IF($D144&gt;SUM($G144:AH144),$D144/$E144,0))</f>
        <v>0</v>
      </c>
      <c r="AJ144" s="263">
        <f>IF($C144+1&gt;AJ$7,0,IF($D144&gt;SUM($G144:AI144),$D144/$E144,0))</f>
        <v>0</v>
      </c>
      <c r="AK144" s="263">
        <f>IF($C144+1&gt;AK$7,0,IF($D144&gt;SUM($G144:AJ144),$D144/$E144,0))</f>
        <v>0</v>
      </c>
      <c r="AL144" s="263">
        <f>IF($C144+1&gt;AL$7,0,IF($D144&gt;SUM($G144:AK144),$D144/$E144,0))</f>
        <v>0</v>
      </c>
      <c r="AM144" s="263">
        <f>IF($C144+1&gt;AM$7,0,IF($D144&gt;SUM($G144:AL144),$D144/$E144,0))</f>
        <v>0</v>
      </c>
      <c r="AN144" s="263">
        <f>IF($C144+1&gt;AN$7,0,IF($D144&gt;SUM($G144:AM144),$D144/$E144,0))</f>
        <v>0</v>
      </c>
      <c r="AO144" s="263">
        <f>IF($C144+1&gt;AO$7,0,IF($D144&gt;SUM($G144:AN144),$D144/$E144,0))</f>
        <v>0</v>
      </c>
      <c r="AP144" s="263">
        <f>IF($C144+1&gt;AP$7,0,IF($D144&gt;SUM($G144:AO144),$D144/$E144,0))</f>
        <v>0</v>
      </c>
      <c r="AQ144" s="263">
        <f>IF($C144+1&gt;AQ$7,0,IF($D144&gt;SUM($G144:AP144),$D144/$E144,0))</f>
        <v>0</v>
      </c>
      <c r="AR144" s="263">
        <f>IF($C144+1&gt;AR$7,0,IF($D144&gt;SUM($G144:AQ144),$D144/$E144,0))</f>
        <v>0</v>
      </c>
      <c r="AS144" s="263">
        <f>IF($C144+1&gt;AS$7,0,IF($D144&gt;SUM($G144:AR144),$D144/$E144,0))</f>
        <v>0</v>
      </c>
      <c r="AT144" s="263">
        <f>IF($C144+1&gt;AT$7,0,IF($D144&gt;SUM($G144:AS144),$D144/$E144,0))</f>
        <v>0</v>
      </c>
      <c r="AU144" s="263">
        <f>IF($C144+1&gt;AU$7,0,IF($D144&gt;SUM($G144:AT144),$D144/$E144,0))</f>
        <v>0</v>
      </c>
      <c r="AV144" s="263">
        <f>IF($C144+1&gt;AV$7,0,IF($D144&gt;SUM($G144:AU144),$D144/$E144,0))</f>
        <v>0</v>
      </c>
      <c r="AW144" s="263">
        <f>IF($C144+1&gt;AW$7,0,IF($D144&gt;SUM($G144:AV144),$D144/$E144,0))</f>
        <v>0</v>
      </c>
      <c r="AX144" s="263">
        <f>IF($C144+1&gt;AX$7,0,IF($D144&gt;SUM($G144:AW144),$D144/$E144,0))</f>
        <v>0</v>
      </c>
      <c r="AY144" s="263">
        <f>IF($C144+1&gt;AY$7,0,IF($D144&gt;SUM($G144:AX144),$D144/$E144,0))</f>
        <v>0</v>
      </c>
      <c r="AZ144" s="263">
        <f>IF($C144+1&gt;AZ$7,0,IF($D144&gt;SUM($G144:AY144),$D144/$E144,0))</f>
        <v>0</v>
      </c>
      <c r="BA144" s="263">
        <f>IF($C144+1&gt;BA$7,0,IF($D144&gt;SUM($G144:AZ144),$D144/$E144,0))</f>
        <v>0</v>
      </c>
      <c r="BB144" s="263">
        <f>IF($C144+1&gt;BB$7,0,IF($D144&gt;SUM($G144:BA144),$D144/$E144,0))</f>
        <v>0</v>
      </c>
      <c r="BC144" s="263">
        <f>IF($C144+1&gt;BC$7,0,IF($D144&gt;SUM($G144:BB144),$D144/$E144,0))</f>
        <v>0</v>
      </c>
      <c r="BD144" s="263">
        <f>IF($C144+1&gt;BD$7,0,IF($D144&gt;SUM($G144:BC144),$D144/$E144,0))</f>
        <v>0</v>
      </c>
      <c r="BE144" s="263">
        <f>IF($C144+1&gt;BE$7,0,IF($D144&gt;SUM($G144:BD144),$D144/$E144,0))</f>
        <v>0</v>
      </c>
      <c r="BF144" s="263">
        <f>IF($C144+1&gt;BF$7,0,IF($D144&gt;SUM($G144:BE144),$D144/$E144,0))</f>
        <v>0</v>
      </c>
      <c r="BG144" s="263">
        <f>IF($C144+1&gt;BG$7,0,IF($D144&gt;SUM($G144:BF144),$D144/$E144,0))</f>
        <v>0</v>
      </c>
      <c r="BH144" s="263">
        <f>IF($C144+1&gt;BH$7,0,IF($D144&gt;SUM($G144:BG144),$D144/$E144,0))</f>
        <v>0</v>
      </c>
      <c r="BI144" s="263">
        <f>IF($C144+1&gt;BI$7,0,IF($D144&gt;SUM($G144:BH144),$D144/$E144,0))</f>
        <v>0</v>
      </c>
      <c r="BJ144" s="263">
        <f>IF($C144+1&gt;BJ$7,0,IF($D144&gt;SUM($G144:BI144),$D144/$E144,0))</f>
        <v>0</v>
      </c>
      <c r="BK144" s="263">
        <f>IF($C144+1&gt;BK$7,0,IF($D144&gt;SUM($G144:BJ144),$D144/$E144,0))</f>
        <v>0</v>
      </c>
      <c r="BL144" s="263">
        <f>IF($C144+1&gt;BL$7,0,IF($D144&gt;SUM($G144:BK144),$D144/$E144,0))</f>
        <v>0</v>
      </c>
      <c r="BM144" s="263">
        <f>IF($C144+1&gt;BM$7,0,IF($D144&gt;SUM($G144:BL144),$D144/$E144,0))</f>
        <v>0</v>
      </c>
      <c r="BN144" s="263">
        <f>IF($C144+1&gt;BN$7,0,IF($D144&gt;SUM($G144:BM144),$D144/$E144,0))</f>
        <v>0</v>
      </c>
      <c r="BO144" s="263"/>
      <c r="BP144" s="263"/>
      <c r="BQ144" s="263"/>
      <c r="BR144" s="263"/>
      <c r="BS144" s="263"/>
      <c r="BT144" s="263"/>
      <c r="BU144" s="263"/>
      <c r="BV144" s="263"/>
      <c r="BW144" s="263"/>
      <c r="BX144" s="263"/>
      <c r="BY144" s="263"/>
      <c r="BZ144" s="263"/>
      <c r="CA144" s="254"/>
      <c r="CB144" s="254"/>
      <c r="CC144" s="254"/>
      <c r="CD144" s="254"/>
      <c r="CE144" s="254"/>
      <c r="CF144" s="254"/>
      <c r="CG144" s="254"/>
      <c r="CH144" s="254"/>
      <c r="CI144" s="254"/>
      <c r="CJ144" s="254"/>
      <c r="CK144" s="254"/>
      <c r="CL144" s="254"/>
    </row>
    <row r="145" spans="1:90" outlineLevel="1" x14ac:dyDescent="0.15">
      <c r="A145" s="50"/>
      <c r="B145" s="23"/>
      <c r="C145" s="26">
        <v>37</v>
      </c>
      <c r="D145" s="281">
        <v>0</v>
      </c>
      <c r="E145" s="26">
        <f>SAP_Leadsheet!$E$61</f>
        <v>7</v>
      </c>
      <c r="G145" s="263">
        <f>IF($C145+1&gt;G$7,0,IF($D145&gt;SUM(#REF!),$D145/$E145,0))</f>
        <v>0</v>
      </c>
      <c r="H145" s="263">
        <f>IF($C145+1&gt;H$7,0,IF($D145&gt;SUM($G145:G145),$D145/$E145,0))</f>
        <v>0</v>
      </c>
      <c r="I145" s="263">
        <f>IF($C145+1&gt;I$7,0,IF($D145&gt;SUM($G145:H145),$D145/$E145,0))</f>
        <v>0</v>
      </c>
      <c r="J145" s="263">
        <f>IF($C145+1&gt;J$7,0,IF($D145&gt;SUM($G145:I145),$D145/$E145,0))</f>
        <v>0</v>
      </c>
      <c r="K145" s="263">
        <f>IF($C145+1&gt;K$7,0,IF($D145&gt;SUM($G145:J145),$D145/$E145,0))</f>
        <v>0</v>
      </c>
      <c r="L145" s="263">
        <f>IF($C145+1&gt;L$7,0,IF($D145&gt;SUM($G145:K145),$D145/$E145,0))</f>
        <v>0</v>
      </c>
      <c r="M145" s="263">
        <f>IF($C145+1&gt;M$7,0,IF($D145&gt;SUM($G145:L145),$D145/$E145,0))</f>
        <v>0</v>
      </c>
      <c r="N145" s="263">
        <f>IF($C145+1&gt;N$7,0,IF($D145&gt;SUM($G145:M145),$D145/$E145,0))</f>
        <v>0</v>
      </c>
      <c r="O145" s="263">
        <f>IF($C145+1&gt;O$7,0,IF($D145&gt;SUM($G145:N145),$D145/$E145,0))</f>
        <v>0</v>
      </c>
      <c r="P145" s="263">
        <f>IF($C145+1&gt;P$7,0,IF($D145&gt;SUM($G145:O145),$D145/$E145,0))</f>
        <v>0</v>
      </c>
      <c r="Q145" s="263">
        <f>IF($C145+1&gt;Q$7,0,IF($D145&gt;SUM($G145:P145),$D145/$E145,0))</f>
        <v>0</v>
      </c>
      <c r="R145" s="263">
        <f>IF($C145+1&gt;R$7,0,IF($D145&gt;SUM($G145:Q145),$D145/$E145,0))</f>
        <v>0</v>
      </c>
      <c r="S145" s="263">
        <f>IF($C145+1&gt;S$7,0,IF($D145&gt;SUM($G145:R145),$D145/$E145,0))</f>
        <v>0</v>
      </c>
      <c r="T145" s="263">
        <f>IF($C145+1&gt;T$7,0,IF($D145&gt;SUM($G145:S145),$D145/$E145,0))</f>
        <v>0</v>
      </c>
      <c r="U145" s="263">
        <f>IF($C145+1&gt;U$7,0,IF($D145&gt;SUM($G145:T145),$D145/$E145,0))</f>
        <v>0</v>
      </c>
      <c r="V145" s="263">
        <f>IF($C145+1&gt;V$7,0,IF($D145&gt;SUM($G145:U145),$D145/$E145,0))</f>
        <v>0</v>
      </c>
      <c r="W145" s="263">
        <f>IF($C145+1&gt;W$7,0,IF($D145&gt;SUM($G145:V145),$D145/$E145,0))</f>
        <v>0</v>
      </c>
      <c r="X145" s="263">
        <f>IF($C145+1&gt;X$7,0,IF($D145&gt;SUM($G145:W145),$D145/$E145,0))</f>
        <v>0</v>
      </c>
      <c r="Y145" s="263">
        <f>IF($C145+1&gt;Y$7,0,IF($D145&gt;SUM($G145:X145),$D145/$E145,0))</f>
        <v>0</v>
      </c>
      <c r="Z145" s="263">
        <f>IF($C145+1&gt;Z$7,0,IF($D145&gt;SUM($G145:Y145),$D145/$E145,0))</f>
        <v>0</v>
      </c>
      <c r="AA145" s="263">
        <f>IF($C145+1&gt;AA$7,0,IF($D145&gt;SUM($G145:Z145),$D145/$E145,0))</f>
        <v>0</v>
      </c>
      <c r="AB145" s="263">
        <f>IF($C145+1&gt;AB$7,0,IF($D145&gt;SUM($G145:AA145),$D145/$E145,0))</f>
        <v>0</v>
      </c>
      <c r="AC145" s="263">
        <f>IF($C145+1&gt;AC$7,0,IF($D145&gt;SUM($G145:AB145),$D145/$E145,0))</f>
        <v>0</v>
      </c>
      <c r="AD145" s="263">
        <f>IF($C145+1&gt;AD$7,0,IF($D145&gt;SUM($G145:AC145),$D145/$E145,0))</f>
        <v>0</v>
      </c>
      <c r="AE145" s="263">
        <f>IF($C145+1&gt;AE$7,0,IF($D145&gt;SUM($G145:AD145),$D145/$E145,0))</f>
        <v>0</v>
      </c>
      <c r="AF145" s="263">
        <f>IF($C145+1&gt;AF$7,0,IF($D145&gt;SUM($G145:AE145),$D145/$E145,0))</f>
        <v>0</v>
      </c>
      <c r="AG145" s="263">
        <f>IF($C145+1&gt;AG$7,0,IF($D145&gt;SUM($G145:AF145),$D145/$E145,0))</f>
        <v>0</v>
      </c>
      <c r="AH145" s="263">
        <f>IF($C145+1&gt;AH$7,0,IF($D145&gt;SUM($G145:AG145),$D145/$E145,0))</f>
        <v>0</v>
      </c>
      <c r="AI145" s="263">
        <f>IF($C145+1&gt;AI$7,0,IF($D145&gt;SUM($G145:AH145),$D145/$E145,0))</f>
        <v>0</v>
      </c>
      <c r="AJ145" s="263">
        <f>IF($C145+1&gt;AJ$7,0,IF($D145&gt;SUM($G145:AI145),$D145/$E145,0))</f>
        <v>0</v>
      </c>
      <c r="AK145" s="263">
        <f>IF($C145+1&gt;AK$7,0,IF($D145&gt;SUM($G145:AJ145),$D145/$E145,0))</f>
        <v>0</v>
      </c>
      <c r="AL145" s="263">
        <f>IF($C145+1&gt;AL$7,0,IF($D145&gt;SUM($G145:AK145),$D145/$E145,0))</f>
        <v>0</v>
      </c>
      <c r="AM145" s="263">
        <f>IF($C145+1&gt;AM$7,0,IF($D145&gt;SUM($G145:AL145),$D145/$E145,0))</f>
        <v>0</v>
      </c>
      <c r="AN145" s="263">
        <f>IF($C145+1&gt;AN$7,0,IF($D145&gt;SUM($G145:AM145),$D145/$E145,0))</f>
        <v>0</v>
      </c>
      <c r="AO145" s="263">
        <f>IF($C145+1&gt;AO$7,0,IF($D145&gt;SUM($G145:AN145),$D145/$E145,0))</f>
        <v>0</v>
      </c>
      <c r="AP145" s="263">
        <f>IF($C145+1&gt;AP$7,0,IF($D145&gt;SUM($G145:AO145),$D145/$E145,0))</f>
        <v>0</v>
      </c>
      <c r="AQ145" s="263">
        <f>IF($C145+1&gt;AQ$7,0,IF($D145&gt;SUM($G145:AP145),$D145/$E145,0))</f>
        <v>0</v>
      </c>
      <c r="AR145" s="263">
        <f>IF($C145+1&gt;AR$7,0,IF($D145&gt;SUM($G145:AQ145),$D145/$E145,0))</f>
        <v>0</v>
      </c>
      <c r="AS145" s="263">
        <f>IF($C145+1&gt;AS$7,0,IF($D145&gt;SUM($G145:AR145),$D145/$E145,0))</f>
        <v>0</v>
      </c>
      <c r="AT145" s="263">
        <f>IF($C145+1&gt;AT$7,0,IF($D145&gt;SUM($G145:AS145),$D145/$E145,0))</f>
        <v>0</v>
      </c>
      <c r="AU145" s="263">
        <f>IF($C145+1&gt;AU$7,0,IF($D145&gt;SUM($G145:AT145),$D145/$E145,0))</f>
        <v>0</v>
      </c>
      <c r="AV145" s="263">
        <f>IF($C145+1&gt;AV$7,0,IF($D145&gt;SUM($G145:AU145),$D145/$E145,0))</f>
        <v>0</v>
      </c>
      <c r="AW145" s="263">
        <f>IF($C145+1&gt;AW$7,0,IF($D145&gt;SUM($G145:AV145),$D145/$E145,0))</f>
        <v>0</v>
      </c>
      <c r="AX145" s="263">
        <f>IF($C145+1&gt;AX$7,0,IF($D145&gt;SUM($G145:AW145),$D145/$E145,0))</f>
        <v>0</v>
      </c>
      <c r="AY145" s="263">
        <f>IF($C145+1&gt;AY$7,0,IF($D145&gt;SUM($G145:AX145),$D145/$E145,0))</f>
        <v>0</v>
      </c>
      <c r="AZ145" s="263">
        <f>IF($C145+1&gt;AZ$7,0,IF($D145&gt;SUM($G145:AY145),$D145/$E145,0))</f>
        <v>0</v>
      </c>
      <c r="BA145" s="263">
        <f>IF($C145+1&gt;BA$7,0,IF($D145&gt;SUM($G145:AZ145),$D145/$E145,0))</f>
        <v>0</v>
      </c>
      <c r="BB145" s="263">
        <f>IF($C145+1&gt;BB$7,0,IF($D145&gt;SUM($G145:BA145),$D145/$E145,0))</f>
        <v>0</v>
      </c>
      <c r="BC145" s="263">
        <f>IF($C145+1&gt;BC$7,0,IF($D145&gt;SUM($G145:BB145),$D145/$E145,0))</f>
        <v>0</v>
      </c>
      <c r="BD145" s="263">
        <f>IF($C145+1&gt;BD$7,0,IF($D145&gt;SUM($G145:BC145),$D145/$E145,0))</f>
        <v>0</v>
      </c>
      <c r="BE145" s="263">
        <f>IF($C145+1&gt;BE$7,0,IF($D145&gt;SUM($G145:BD145),$D145/$E145,0))</f>
        <v>0</v>
      </c>
      <c r="BF145" s="263">
        <f>IF($C145+1&gt;BF$7,0,IF($D145&gt;SUM($G145:BE145),$D145/$E145,0))</f>
        <v>0</v>
      </c>
      <c r="BG145" s="263">
        <f>IF($C145+1&gt;BG$7,0,IF($D145&gt;SUM($G145:BF145),$D145/$E145,0))</f>
        <v>0</v>
      </c>
      <c r="BH145" s="263">
        <f>IF($C145+1&gt;BH$7,0,IF($D145&gt;SUM($G145:BG145),$D145/$E145,0))</f>
        <v>0</v>
      </c>
      <c r="BI145" s="263">
        <f>IF($C145+1&gt;BI$7,0,IF($D145&gt;SUM($G145:BH145),$D145/$E145,0))</f>
        <v>0</v>
      </c>
      <c r="BJ145" s="263">
        <f>IF($C145+1&gt;BJ$7,0,IF($D145&gt;SUM($G145:BI145),$D145/$E145,0))</f>
        <v>0</v>
      </c>
      <c r="BK145" s="263">
        <f>IF($C145+1&gt;BK$7,0,IF($D145&gt;SUM($G145:BJ145),$D145/$E145,0))</f>
        <v>0</v>
      </c>
      <c r="BL145" s="263">
        <f>IF($C145+1&gt;BL$7,0,IF($D145&gt;SUM($G145:BK145),$D145/$E145,0))</f>
        <v>0</v>
      </c>
      <c r="BM145" s="263">
        <f>IF($C145+1&gt;BM$7,0,IF($D145&gt;SUM($G145:BL145),$D145/$E145,0))</f>
        <v>0</v>
      </c>
      <c r="BN145" s="263">
        <f>IF($C145+1&gt;BN$7,0,IF($D145&gt;SUM($G145:BM145),$D145/$E145,0))</f>
        <v>0</v>
      </c>
      <c r="BO145" s="263"/>
      <c r="BP145" s="263"/>
      <c r="BQ145" s="263"/>
      <c r="BR145" s="263"/>
      <c r="BS145" s="263"/>
      <c r="BT145" s="263"/>
      <c r="BU145" s="263"/>
      <c r="BV145" s="263"/>
      <c r="BW145" s="263"/>
      <c r="BX145" s="263"/>
      <c r="BY145" s="263"/>
      <c r="BZ145" s="263"/>
      <c r="CA145" s="254"/>
      <c r="CB145" s="254"/>
      <c r="CC145" s="254"/>
      <c r="CD145" s="254"/>
      <c r="CE145" s="254"/>
      <c r="CF145" s="254"/>
      <c r="CG145" s="254"/>
      <c r="CH145" s="254"/>
      <c r="CI145" s="254"/>
      <c r="CJ145" s="254"/>
      <c r="CK145" s="254"/>
      <c r="CL145" s="254"/>
    </row>
    <row r="146" spans="1:90" outlineLevel="1" x14ac:dyDescent="0.15">
      <c r="A146" s="50"/>
      <c r="B146" s="23"/>
      <c r="C146" s="26">
        <v>38</v>
      </c>
      <c r="D146" s="281">
        <v>0</v>
      </c>
      <c r="E146" s="26">
        <f>SAP_Leadsheet!$E$61</f>
        <v>7</v>
      </c>
      <c r="G146" s="263">
        <f>IF($C146+1&gt;G$7,0,IF($D146&gt;SUM(#REF!),$D146/$E146,0))</f>
        <v>0</v>
      </c>
      <c r="H146" s="263">
        <f>IF($C146+1&gt;H$7,0,IF($D146&gt;SUM($G146:G146),$D146/$E146,0))</f>
        <v>0</v>
      </c>
      <c r="I146" s="263">
        <f>IF($C146+1&gt;I$7,0,IF($D146&gt;SUM($G146:H146),$D146/$E146,0))</f>
        <v>0</v>
      </c>
      <c r="J146" s="263">
        <f>IF($C146+1&gt;J$7,0,IF($D146&gt;SUM($G146:I146),$D146/$E146,0))</f>
        <v>0</v>
      </c>
      <c r="K146" s="263">
        <f>IF($C146+1&gt;K$7,0,IF($D146&gt;SUM($G146:J146),$D146/$E146,0))</f>
        <v>0</v>
      </c>
      <c r="L146" s="263">
        <f>IF($C146+1&gt;L$7,0,IF($D146&gt;SUM($G146:K146),$D146/$E146,0))</f>
        <v>0</v>
      </c>
      <c r="M146" s="263">
        <f>IF($C146+1&gt;M$7,0,IF($D146&gt;SUM($G146:L146),$D146/$E146,0))</f>
        <v>0</v>
      </c>
      <c r="N146" s="263">
        <f>IF($C146+1&gt;N$7,0,IF($D146&gt;SUM($G146:M146),$D146/$E146,0))</f>
        <v>0</v>
      </c>
      <c r="O146" s="263">
        <f>IF($C146+1&gt;O$7,0,IF($D146&gt;SUM($G146:N146),$D146/$E146,0))</f>
        <v>0</v>
      </c>
      <c r="P146" s="263">
        <f>IF($C146+1&gt;P$7,0,IF($D146&gt;SUM($G146:O146),$D146/$E146,0))</f>
        <v>0</v>
      </c>
      <c r="Q146" s="263">
        <f>IF($C146+1&gt;Q$7,0,IF($D146&gt;SUM($G146:P146),$D146/$E146,0))</f>
        <v>0</v>
      </c>
      <c r="R146" s="263">
        <f>IF($C146+1&gt;R$7,0,IF($D146&gt;SUM($G146:Q146),$D146/$E146,0))</f>
        <v>0</v>
      </c>
      <c r="S146" s="263">
        <f>IF($C146+1&gt;S$7,0,IF($D146&gt;SUM($G146:R146),$D146/$E146,0))</f>
        <v>0</v>
      </c>
      <c r="T146" s="263">
        <f>IF($C146+1&gt;T$7,0,IF($D146&gt;SUM($G146:S146),$D146/$E146,0))</f>
        <v>0</v>
      </c>
      <c r="U146" s="263">
        <f>IF($C146+1&gt;U$7,0,IF($D146&gt;SUM($G146:T146),$D146/$E146,0))</f>
        <v>0</v>
      </c>
      <c r="V146" s="263">
        <f>IF($C146+1&gt;V$7,0,IF($D146&gt;SUM($G146:U146),$D146/$E146,0))</f>
        <v>0</v>
      </c>
      <c r="W146" s="263">
        <f>IF($C146+1&gt;W$7,0,IF($D146&gt;SUM($G146:V146),$D146/$E146,0))</f>
        <v>0</v>
      </c>
      <c r="X146" s="263">
        <f>IF($C146+1&gt;X$7,0,IF($D146&gt;SUM($G146:W146),$D146/$E146,0))</f>
        <v>0</v>
      </c>
      <c r="Y146" s="263">
        <f>IF($C146+1&gt;Y$7,0,IF($D146&gt;SUM($G146:X146),$D146/$E146,0))</f>
        <v>0</v>
      </c>
      <c r="Z146" s="263">
        <f>IF($C146+1&gt;Z$7,0,IF($D146&gt;SUM($G146:Y146),$D146/$E146,0))</f>
        <v>0</v>
      </c>
      <c r="AA146" s="263">
        <f>IF($C146+1&gt;AA$7,0,IF($D146&gt;SUM($G146:Z146),$D146/$E146,0))</f>
        <v>0</v>
      </c>
      <c r="AB146" s="263">
        <f>IF($C146+1&gt;AB$7,0,IF($D146&gt;SUM($G146:AA146),$D146/$E146,0))</f>
        <v>0</v>
      </c>
      <c r="AC146" s="263">
        <f>IF($C146+1&gt;AC$7,0,IF($D146&gt;SUM($G146:AB146),$D146/$E146,0))</f>
        <v>0</v>
      </c>
      <c r="AD146" s="263">
        <f>IF($C146+1&gt;AD$7,0,IF($D146&gt;SUM($G146:AC146),$D146/$E146,0))</f>
        <v>0</v>
      </c>
      <c r="AE146" s="263">
        <f>IF($C146+1&gt;AE$7,0,IF($D146&gt;SUM($G146:AD146),$D146/$E146,0))</f>
        <v>0</v>
      </c>
      <c r="AF146" s="263">
        <f>IF($C146+1&gt;AF$7,0,IF($D146&gt;SUM($G146:AE146),$D146/$E146,0))</f>
        <v>0</v>
      </c>
      <c r="AG146" s="263">
        <f>IF($C146+1&gt;AG$7,0,IF($D146&gt;SUM($G146:AF146),$D146/$E146,0))</f>
        <v>0</v>
      </c>
      <c r="AH146" s="263">
        <f>IF($C146+1&gt;AH$7,0,IF($D146&gt;SUM($G146:AG146),$D146/$E146,0))</f>
        <v>0</v>
      </c>
      <c r="AI146" s="263">
        <f>IF($C146+1&gt;AI$7,0,IF($D146&gt;SUM($G146:AH146),$D146/$E146,0))</f>
        <v>0</v>
      </c>
      <c r="AJ146" s="263">
        <f>IF($C146+1&gt;AJ$7,0,IF($D146&gt;SUM($G146:AI146),$D146/$E146,0))</f>
        <v>0</v>
      </c>
      <c r="AK146" s="263">
        <f>IF($C146+1&gt;AK$7,0,IF($D146&gt;SUM($G146:AJ146),$D146/$E146,0))</f>
        <v>0</v>
      </c>
      <c r="AL146" s="263">
        <f>IF($C146+1&gt;AL$7,0,IF($D146&gt;SUM($G146:AK146),$D146/$E146,0))</f>
        <v>0</v>
      </c>
      <c r="AM146" s="263">
        <f>IF($C146+1&gt;AM$7,0,IF($D146&gt;SUM($G146:AL146),$D146/$E146,0))</f>
        <v>0</v>
      </c>
      <c r="AN146" s="263">
        <f>IF($C146+1&gt;AN$7,0,IF($D146&gt;SUM($G146:AM146),$D146/$E146,0))</f>
        <v>0</v>
      </c>
      <c r="AO146" s="263">
        <f>IF($C146+1&gt;AO$7,0,IF($D146&gt;SUM($G146:AN146),$D146/$E146,0))</f>
        <v>0</v>
      </c>
      <c r="AP146" s="263">
        <f>IF($C146+1&gt;AP$7,0,IF($D146&gt;SUM($G146:AO146),$D146/$E146,0))</f>
        <v>0</v>
      </c>
      <c r="AQ146" s="263">
        <f>IF($C146+1&gt;AQ$7,0,IF($D146&gt;SUM($G146:AP146),$D146/$E146,0))</f>
        <v>0</v>
      </c>
      <c r="AR146" s="263">
        <f>IF($C146+1&gt;AR$7,0,IF($D146&gt;SUM($G146:AQ146),$D146/$E146,0))</f>
        <v>0</v>
      </c>
      <c r="AS146" s="263">
        <f>IF($C146+1&gt;AS$7,0,IF($D146&gt;SUM($G146:AR146),$D146/$E146,0))</f>
        <v>0</v>
      </c>
      <c r="AT146" s="263">
        <f>IF($C146+1&gt;AT$7,0,IF($D146&gt;SUM($G146:AS146),$D146/$E146,0))</f>
        <v>0</v>
      </c>
      <c r="AU146" s="263">
        <f>IF($C146+1&gt;AU$7,0,IF($D146&gt;SUM($G146:AT146),$D146/$E146,0))</f>
        <v>0</v>
      </c>
      <c r="AV146" s="263">
        <f>IF($C146+1&gt;AV$7,0,IF($D146&gt;SUM($G146:AU146),$D146/$E146,0))</f>
        <v>0</v>
      </c>
      <c r="AW146" s="263">
        <f>IF($C146+1&gt;AW$7,0,IF($D146&gt;SUM($G146:AV146),$D146/$E146,0))</f>
        <v>0</v>
      </c>
      <c r="AX146" s="263">
        <f>IF($C146+1&gt;AX$7,0,IF($D146&gt;SUM($G146:AW146),$D146/$E146,0))</f>
        <v>0</v>
      </c>
      <c r="AY146" s="263">
        <f>IF($C146+1&gt;AY$7,0,IF($D146&gt;SUM($G146:AX146),$D146/$E146,0))</f>
        <v>0</v>
      </c>
      <c r="AZ146" s="263">
        <f>IF($C146+1&gt;AZ$7,0,IF($D146&gt;SUM($G146:AY146),$D146/$E146,0))</f>
        <v>0</v>
      </c>
      <c r="BA146" s="263">
        <f>IF($C146+1&gt;BA$7,0,IF($D146&gt;SUM($G146:AZ146),$D146/$E146,0))</f>
        <v>0</v>
      </c>
      <c r="BB146" s="263">
        <f>IF($C146+1&gt;BB$7,0,IF($D146&gt;SUM($G146:BA146),$D146/$E146,0))</f>
        <v>0</v>
      </c>
      <c r="BC146" s="263">
        <f>IF($C146+1&gt;BC$7,0,IF($D146&gt;SUM($G146:BB146),$D146/$E146,0))</f>
        <v>0</v>
      </c>
      <c r="BD146" s="263">
        <f>IF($C146+1&gt;BD$7,0,IF($D146&gt;SUM($G146:BC146),$D146/$E146,0))</f>
        <v>0</v>
      </c>
      <c r="BE146" s="263">
        <f>IF($C146+1&gt;BE$7,0,IF($D146&gt;SUM($G146:BD146),$D146/$E146,0))</f>
        <v>0</v>
      </c>
      <c r="BF146" s="263">
        <f>IF($C146+1&gt;BF$7,0,IF($D146&gt;SUM($G146:BE146),$D146/$E146,0))</f>
        <v>0</v>
      </c>
      <c r="BG146" s="263">
        <f>IF($C146+1&gt;BG$7,0,IF($D146&gt;SUM($G146:BF146),$D146/$E146,0))</f>
        <v>0</v>
      </c>
      <c r="BH146" s="263">
        <f>IF($C146+1&gt;BH$7,0,IF($D146&gt;SUM($G146:BG146),$D146/$E146,0))</f>
        <v>0</v>
      </c>
      <c r="BI146" s="263">
        <f>IF($C146+1&gt;BI$7,0,IF($D146&gt;SUM($G146:BH146),$D146/$E146,0))</f>
        <v>0</v>
      </c>
      <c r="BJ146" s="263">
        <f>IF($C146+1&gt;BJ$7,0,IF($D146&gt;SUM($G146:BI146),$D146/$E146,0))</f>
        <v>0</v>
      </c>
      <c r="BK146" s="263">
        <f>IF($C146+1&gt;BK$7,0,IF($D146&gt;SUM($G146:BJ146),$D146/$E146,0))</f>
        <v>0</v>
      </c>
      <c r="BL146" s="263">
        <f>IF($C146+1&gt;BL$7,0,IF($D146&gt;SUM($G146:BK146),$D146/$E146,0))</f>
        <v>0</v>
      </c>
      <c r="BM146" s="263">
        <f>IF($C146+1&gt;BM$7,0,IF($D146&gt;SUM($G146:BL146),$D146/$E146,0))</f>
        <v>0</v>
      </c>
      <c r="BN146" s="263">
        <f>IF($C146+1&gt;BN$7,0,IF($D146&gt;SUM($G146:BM146),$D146/$E146,0))</f>
        <v>0</v>
      </c>
      <c r="BO146" s="263"/>
      <c r="BP146" s="263"/>
      <c r="BQ146" s="263"/>
      <c r="BR146" s="263"/>
      <c r="BS146" s="263"/>
      <c r="BT146" s="263"/>
      <c r="BU146" s="263"/>
      <c r="BV146" s="263"/>
      <c r="BW146" s="263"/>
      <c r="BX146" s="263"/>
      <c r="BY146" s="263"/>
      <c r="BZ146" s="263"/>
      <c r="CA146" s="254"/>
      <c r="CB146" s="254"/>
      <c r="CC146" s="254"/>
      <c r="CD146" s="254"/>
      <c r="CE146" s="254"/>
      <c r="CF146" s="254"/>
      <c r="CG146" s="254"/>
      <c r="CH146" s="254"/>
      <c r="CI146" s="254"/>
      <c r="CJ146" s="254"/>
      <c r="CK146" s="254"/>
      <c r="CL146" s="254"/>
    </row>
    <row r="147" spans="1:90" outlineLevel="1" x14ac:dyDescent="0.15">
      <c r="A147" s="50"/>
      <c r="B147" s="23"/>
      <c r="C147" s="26">
        <v>39</v>
      </c>
      <c r="D147" s="281">
        <v>0</v>
      </c>
      <c r="E147" s="26">
        <f>SAP_Leadsheet!$E$61</f>
        <v>7</v>
      </c>
      <c r="G147" s="263">
        <f>IF($C147+1&gt;G$7,0,IF($D147&gt;SUM(#REF!),$D147/$E147,0))</f>
        <v>0</v>
      </c>
      <c r="H147" s="263">
        <f>IF($C147+1&gt;H$7,0,IF($D147&gt;SUM($G147:G147),$D147/$E147,0))</f>
        <v>0</v>
      </c>
      <c r="I147" s="263">
        <f>IF($C147+1&gt;I$7,0,IF($D147&gt;SUM($G147:H147),$D147/$E147,0))</f>
        <v>0</v>
      </c>
      <c r="J147" s="263">
        <f>IF($C147+1&gt;J$7,0,IF($D147&gt;SUM($G147:I147),$D147/$E147,0))</f>
        <v>0</v>
      </c>
      <c r="K147" s="263">
        <f>IF($C147+1&gt;K$7,0,IF($D147&gt;SUM($G147:J147),$D147/$E147,0))</f>
        <v>0</v>
      </c>
      <c r="L147" s="263">
        <f>IF($C147+1&gt;L$7,0,IF($D147&gt;SUM($G147:K147),$D147/$E147,0))</f>
        <v>0</v>
      </c>
      <c r="M147" s="263">
        <f>IF($C147+1&gt;M$7,0,IF($D147&gt;SUM($G147:L147),$D147/$E147,0))</f>
        <v>0</v>
      </c>
      <c r="N147" s="263">
        <f>IF($C147+1&gt;N$7,0,IF($D147&gt;SUM($G147:M147),$D147/$E147,0))</f>
        <v>0</v>
      </c>
      <c r="O147" s="263">
        <f>IF($C147+1&gt;O$7,0,IF($D147&gt;SUM($G147:N147),$D147/$E147,0))</f>
        <v>0</v>
      </c>
      <c r="P147" s="263">
        <f>IF($C147+1&gt;P$7,0,IF($D147&gt;SUM($G147:O147),$D147/$E147,0))</f>
        <v>0</v>
      </c>
      <c r="Q147" s="263">
        <f>IF($C147+1&gt;Q$7,0,IF($D147&gt;SUM($G147:P147),$D147/$E147,0))</f>
        <v>0</v>
      </c>
      <c r="R147" s="263">
        <f>IF($C147+1&gt;R$7,0,IF($D147&gt;SUM($G147:Q147),$D147/$E147,0))</f>
        <v>0</v>
      </c>
      <c r="S147" s="263">
        <f>IF($C147+1&gt;S$7,0,IF($D147&gt;SUM($G147:R147),$D147/$E147,0))</f>
        <v>0</v>
      </c>
      <c r="T147" s="263">
        <f>IF($C147+1&gt;T$7,0,IF($D147&gt;SUM($G147:S147),$D147/$E147,0))</f>
        <v>0</v>
      </c>
      <c r="U147" s="263">
        <f>IF($C147+1&gt;U$7,0,IF($D147&gt;SUM($G147:T147),$D147/$E147,0))</f>
        <v>0</v>
      </c>
      <c r="V147" s="263">
        <f>IF($C147+1&gt;V$7,0,IF($D147&gt;SUM($G147:U147),$D147/$E147,0))</f>
        <v>0</v>
      </c>
      <c r="W147" s="263">
        <f>IF($C147+1&gt;W$7,0,IF($D147&gt;SUM($G147:V147),$D147/$E147,0))</f>
        <v>0</v>
      </c>
      <c r="X147" s="263">
        <f>IF($C147+1&gt;X$7,0,IF($D147&gt;SUM($G147:W147),$D147/$E147,0))</f>
        <v>0</v>
      </c>
      <c r="Y147" s="263">
        <f>IF($C147+1&gt;Y$7,0,IF($D147&gt;SUM($G147:X147),$D147/$E147,0))</f>
        <v>0</v>
      </c>
      <c r="Z147" s="263">
        <f>IF($C147+1&gt;Z$7,0,IF($D147&gt;SUM($G147:Y147),$D147/$E147,0))</f>
        <v>0</v>
      </c>
      <c r="AA147" s="263">
        <f>IF($C147+1&gt;AA$7,0,IF($D147&gt;SUM($G147:Z147),$D147/$E147,0))</f>
        <v>0</v>
      </c>
      <c r="AB147" s="263">
        <f>IF($C147+1&gt;AB$7,0,IF($D147&gt;SUM($G147:AA147),$D147/$E147,0))</f>
        <v>0</v>
      </c>
      <c r="AC147" s="263">
        <f>IF($C147+1&gt;AC$7,0,IF($D147&gt;SUM($G147:AB147),$D147/$E147,0))</f>
        <v>0</v>
      </c>
      <c r="AD147" s="263">
        <f>IF($C147+1&gt;AD$7,0,IF($D147&gt;SUM($G147:AC147),$D147/$E147,0))</f>
        <v>0</v>
      </c>
      <c r="AE147" s="263">
        <f>IF($C147+1&gt;AE$7,0,IF($D147&gt;SUM($G147:AD147),$D147/$E147,0))</f>
        <v>0</v>
      </c>
      <c r="AF147" s="263">
        <f>IF($C147+1&gt;AF$7,0,IF($D147&gt;SUM($G147:AE147),$D147/$E147,0))</f>
        <v>0</v>
      </c>
      <c r="AG147" s="263">
        <f>IF($C147+1&gt;AG$7,0,IF($D147&gt;SUM($G147:AF147),$D147/$E147,0))</f>
        <v>0</v>
      </c>
      <c r="AH147" s="263">
        <f>IF($C147+1&gt;AH$7,0,IF($D147&gt;SUM($G147:AG147),$D147/$E147,0))</f>
        <v>0</v>
      </c>
      <c r="AI147" s="263">
        <f>IF($C147+1&gt;AI$7,0,IF($D147&gt;SUM($G147:AH147),$D147/$E147,0))</f>
        <v>0</v>
      </c>
      <c r="AJ147" s="263">
        <f>IF($C147+1&gt;AJ$7,0,IF($D147&gt;SUM($G147:AI147),$D147/$E147,0))</f>
        <v>0</v>
      </c>
      <c r="AK147" s="263">
        <f>IF($C147+1&gt;AK$7,0,IF($D147&gt;SUM($G147:AJ147),$D147/$E147,0))</f>
        <v>0</v>
      </c>
      <c r="AL147" s="263">
        <f>IF($C147+1&gt;AL$7,0,IF($D147&gt;SUM($G147:AK147),$D147/$E147,0))</f>
        <v>0</v>
      </c>
      <c r="AM147" s="263">
        <f>IF($C147+1&gt;AM$7,0,IF($D147&gt;SUM($G147:AL147),$D147/$E147,0))</f>
        <v>0</v>
      </c>
      <c r="AN147" s="263">
        <f>IF($C147+1&gt;AN$7,0,IF($D147&gt;SUM($G147:AM147),$D147/$E147,0))</f>
        <v>0</v>
      </c>
      <c r="AO147" s="263">
        <f>IF($C147+1&gt;AO$7,0,IF($D147&gt;SUM($G147:AN147),$D147/$E147,0))</f>
        <v>0</v>
      </c>
      <c r="AP147" s="263">
        <f>IF($C147+1&gt;AP$7,0,IF($D147&gt;SUM($G147:AO147),$D147/$E147,0))</f>
        <v>0</v>
      </c>
      <c r="AQ147" s="263">
        <f>IF($C147+1&gt;AQ$7,0,IF($D147&gt;SUM($G147:AP147),$D147/$E147,0))</f>
        <v>0</v>
      </c>
      <c r="AR147" s="263">
        <f>IF($C147+1&gt;AR$7,0,IF($D147&gt;SUM($G147:AQ147),$D147/$E147,0))</f>
        <v>0</v>
      </c>
      <c r="AS147" s="263">
        <f>IF($C147+1&gt;AS$7,0,IF($D147&gt;SUM($G147:AR147),$D147/$E147,0))</f>
        <v>0</v>
      </c>
      <c r="AT147" s="263">
        <f>IF($C147+1&gt;AT$7,0,IF($D147&gt;SUM($G147:AS147),$D147/$E147,0))</f>
        <v>0</v>
      </c>
      <c r="AU147" s="263">
        <f>IF($C147+1&gt;AU$7,0,IF($D147&gt;SUM($G147:AT147),$D147/$E147,0))</f>
        <v>0</v>
      </c>
      <c r="AV147" s="263">
        <f>IF($C147+1&gt;AV$7,0,IF($D147&gt;SUM($G147:AU147),$D147/$E147,0))</f>
        <v>0</v>
      </c>
      <c r="AW147" s="263">
        <f>IF($C147+1&gt;AW$7,0,IF($D147&gt;SUM($G147:AV147),$D147/$E147,0))</f>
        <v>0</v>
      </c>
      <c r="AX147" s="263">
        <f>IF($C147+1&gt;AX$7,0,IF($D147&gt;SUM($G147:AW147),$D147/$E147,0))</f>
        <v>0</v>
      </c>
      <c r="AY147" s="263">
        <f>IF($C147+1&gt;AY$7,0,IF($D147&gt;SUM($G147:AX147),$D147/$E147,0))</f>
        <v>0</v>
      </c>
      <c r="AZ147" s="263">
        <f>IF($C147+1&gt;AZ$7,0,IF($D147&gt;SUM($G147:AY147),$D147/$E147,0))</f>
        <v>0</v>
      </c>
      <c r="BA147" s="263">
        <f>IF($C147+1&gt;BA$7,0,IF($D147&gt;SUM($G147:AZ147),$D147/$E147,0))</f>
        <v>0</v>
      </c>
      <c r="BB147" s="263">
        <f>IF($C147+1&gt;BB$7,0,IF($D147&gt;SUM($G147:BA147),$D147/$E147,0))</f>
        <v>0</v>
      </c>
      <c r="BC147" s="263">
        <f>IF($C147+1&gt;BC$7,0,IF($D147&gt;SUM($G147:BB147),$D147/$E147,0))</f>
        <v>0</v>
      </c>
      <c r="BD147" s="263">
        <f>IF($C147+1&gt;BD$7,0,IF($D147&gt;SUM($G147:BC147),$D147/$E147,0))</f>
        <v>0</v>
      </c>
      <c r="BE147" s="263">
        <f>IF($C147+1&gt;BE$7,0,IF($D147&gt;SUM($G147:BD147),$D147/$E147,0))</f>
        <v>0</v>
      </c>
      <c r="BF147" s="263">
        <f>IF($C147+1&gt;BF$7,0,IF($D147&gt;SUM($G147:BE147),$D147/$E147,0))</f>
        <v>0</v>
      </c>
      <c r="BG147" s="263">
        <f>IF($C147+1&gt;BG$7,0,IF($D147&gt;SUM($G147:BF147),$D147/$E147,0))</f>
        <v>0</v>
      </c>
      <c r="BH147" s="263">
        <f>IF($C147+1&gt;BH$7,0,IF($D147&gt;SUM($G147:BG147),$D147/$E147,0))</f>
        <v>0</v>
      </c>
      <c r="BI147" s="263">
        <f>IF($C147+1&gt;BI$7,0,IF($D147&gt;SUM($G147:BH147),$D147/$E147,0))</f>
        <v>0</v>
      </c>
      <c r="BJ147" s="263">
        <f>IF($C147+1&gt;BJ$7,0,IF($D147&gt;SUM($G147:BI147),$D147/$E147,0))</f>
        <v>0</v>
      </c>
      <c r="BK147" s="263">
        <f>IF($C147+1&gt;BK$7,0,IF($D147&gt;SUM($G147:BJ147),$D147/$E147,0))</f>
        <v>0</v>
      </c>
      <c r="BL147" s="263">
        <f>IF($C147+1&gt;BL$7,0,IF($D147&gt;SUM($G147:BK147),$D147/$E147,0))</f>
        <v>0</v>
      </c>
      <c r="BM147" s="263">
        <f>IF($C147+1&gt;BM$7,0,IF($D147&gt;SUM($G147:BL147),$D147/$E147,0))</f>
        <v>0</v>
      </c>
      <c r="BN147" s="263">
        <f>IF($C147+1&gt;BN$7,0,IF($D147&gt;SUM($G147:BM147),$D147/$E147,0))</f>
        <v>0</v>
      </c>
      <c r="BO147" s="263"/>
      <c r="BP147" s="263"/>
      <c r="BQ147" s="263"/>
      <c r="BR147" s="263"/>
      <c r="BS147" s="263"/>
      <c r="BT147" s="263"/>
      <c r="BU147" s="263"/>
      <c r="BV147" s="263"/>
      <c r="BW147" s="263"/>
      <c r="BX147" s="263"/>
      <c r="BY147" s="263"/>
      <c r="BZ147" s="263"/>
      <c r="CA147" s="254"/>
      <c r="CB147" s="254"/>
      <c r="CC147" s="254"/>
      <c r="CD147" s="254"/>
      <c r="CE147" s="254"/>
      <c r="CF147" s="254"/>
      <c r="CG147" s="254"/>
      <c r="CH147" s="254"/>
      <c r="CI147" s="254"/>
      <c r="CJ147" s="254"/>
      <c r="CK147" s="254"/>
      <c r="CL147" s="254"/>
    </row>
    <row r="148" spans="1:90" outlineLevel="1" x14ac:dyDescent="0.15">
      <c r="A148" s="50"/>
      <c r="B148" s="23"/>
      <c r="C148" s="26">
        <v>40</v>
      </c>
      <c r="D148" s="281">
        <v>0</v>
      </c>
      <c r="E148" s="26">
        <f>SAP_Leadsheet!$E$61</f>
        <v>7</v>
      </c>
      <c r="G148" s="263">
        <f>IF($C148+1&gt;G$7,0,IF($D148&gt;SUM(#REF!),$D148/$E148,0))</f>
        <v>0</v>
      </c>
      <c r="H148" s="263">
        <f>IF($C148+1&gt;H$7,0,IF($D148&gt;SUM($G148:G148),$D148/$E148,0))</f>
        <v>0</v>
      </c>
      <c r="I148" s="263">
        <f>IF($C148+1&gt;I$7,0,IF($D148&gt;SUM($G148:H148),$D148/$E148,0))</f>
        <v>0</v>
      </c>
      <c r="J148" s="263">
        <f>IF($C148+1&gt;J$7,0,IF($D148&gt;SUM($G148:I148),$D148/$E148,0))</f>
        <v>0</v>
      </c>
      <c r="K148" s="263">
        <f>IF($C148+1&gt;K$7,0,IF($D148&gt;SUM($G148:J148),$D148/$E148,0))</f>
        <v>0</v>
      </c>
      <c r="L148" s="263">
        <f>IF($C148+1&gt;L$7,0,IF($D148&gt;SUM($G148:K148),$D148/$E148,0))</f>
        <v>0</v>
      </c>
      <c r="M148" s="263">
        <f>IF($C148+1&gt;M$7,0,IF($D148&gt;SUM($G148:L148),$D148/$E148,0))</f>
        <v>0</v>
      </c>
      <c r="N148" s="263">
        <f>IF($C148+1&gt;N$7,0,IF($D148&gt;SUM($G148:M148),$D148/$E148,0))</f>
        <v>0</v>
      </c>
      <c r="O148" s="263">
        <f>IF($C148+1&gt;O$7,0,IF($D148&gt;SUM($G148:N148),$D148/$E148,0))</f>
        <v>0</v>
      </c>
      <c r="P148" s="263">
        <f>IF($C148+1&gt;P$7,0,IF($D148&gt;SUM($G148:O148),$D148/$E148,0))</f>
        <v>0</v>
      </c>
      <c r="Q148" s="263">
        <f>IF($C148+1&gt;Q$7,0,IF($D148&gt;SUM($G148:P148),$D148/$E148,0))</f>
        <v>0</v>
      </c>
      <c r="R148" s="263">
        <f>IF($C148+1&gt;R$7,0,IF($D148&gt;SUM($G148:Q148),$D148/$E148,0))</f>
        <v>0</v>
      </c>
      <c r="S148" s="263">
        <f>IF($C148+1&gt;S$7,0,IF($D148&gt;SUM($G148:R148),$D148/$E148,0))</f>
        <v>0</v>
      </c>
      <c r="T148" s="263">
        <f>IF($C148+1&gt;T$7,0,IF($D148&gt;SUM($G148:S148),$D148/$E148,0))</f>
        <v>0</v>
      </c>
      <c r="U148" s="263">
        <f>IF($C148+1&gt;U$7,0,IF($D148&gt;SUM($G148:T148),$D148/$E148,0))</f>
        <v>0</v>
      </c>
      <c r="V148" s="263">
        <f>IF($C148+1&gt;V$7,0,IF($D148&gt;SUM($G148:U148),$D148/$E148,0))</f>
        <v>0</v>
      </c>
      <c r="W148" s="263">
        <f>IF($C148+1&gt;W$7,0,IF($D148&gt;SUM($G148:V148),$D148/$E148,0))</f>
        <v>0</v>
      </c>
      <c r="X148" s="263">
        <f>IF($C148+1&gt;X$7,0,IF($D148&gt;SUM($G148:W148),$D148/$E148,0))</f>
        <v>0</v>
      </c>
      <c r="Y148" s="263">
        <f>IF($C148+1&gt;Y$7,0,IF($D148&gt;SUM($G148:X148),$D148/$E148,0))</f>
        <v>0</v>
      </c>
      <c r="Z148" s="263">
        <f>IF($C148+1&gt;Z$7,0,IF($D148&gt;SUM($G148:Y148),$D148/$E148,0))</f>
        <v>0</v>
      </c>
      <c r="AA148" s="263">
        <f>IF($C148+1&gt;AA$7,0,IF($D148&gt;SUM($G148:Z148),$D148/$E148,0))</f>
        <v>0</v>
      </c>
      <c r="AB148" s="263">
        <f>IF($C148+1&gt;AB$7,0,IF($D148&gt;SUM($G148:AA148),$D148/$E148,0))</f>
        <v>0</v>
      </c>
      <c r="AC148" s="263">
        <f>IF($C148+1&gt;AC$7,0,IF($D148&gt;SUM($G148:AB148),$D148/$E148,0))</f>
        <v>0</v>
      </c>
      <c r="AD148" s="263">
        <f>IF($C148+1&gt;AD$7,0,IF($D148&gt;SUM($G148:AC148),$D148/$E148,0))</f>
        <v>0</v>
      </c>
      <c r="AE148" s="263">
        <f>IF($C148+1&gt;AE$7,0,IF($D148&gt;SUM($G148:AD148),$D148/$E148,0))</f>
        <v>0</v>
      </c>
      <c r="AF148" s="263">
        <f>IF($C148+1&gt;AF$7,0,IF($D148&gt;SUM($G148:AE148),$D148/$E148,0))</f>
        <v>0</v>
      </c>
      <c r="AG148" s="263">
        <f>IF($C148+1&gt;AG$7,0,IF($D148&gt;SUM($G148:AF148),$D148/$E148,0))</f>
        <v>0</v>
      </c>
      <c r="AH148" s="263">
        <f>IF($C148+1&gt;AH$7,0,IF($D148&gt;SUM($G148:AG148),$D148/$E148,0))</f>
        <v>0</v>
      </c>
      <c r="AI148" s="263">
        <f>IF($C148+1&gt;AI$7,0,IF($D148&gt;SUM($G148:AH148),$D148/$E148,0))</f>
        <v>0</v>
      </c>
      <c r="AJ148" s="263">
        <f>IF($C148+1&gt;AJ$7,0,IF($D148&gt;SUM($G148:AI148),$D148/$E148,0))</f>
        <v>0</v>
      </c>
      <c r="AK148" s="263">
        <f>IF($C148+1&gt;AK$7,0,IF($D148&gt;SUM($G148:AJ148),$D148/$E148,0))</f>
        <v>0</v>
      </c>
      <c r="AL148" s="263">
        <f>IF($C148+1&gt;AL$7,0,IF($D148&gt;SUM($G148:AK148),$D148/$E148,0))</f>
        <v>0</v>
      </c>
      <c r="AM148" s="263">
        <f>IF($C148+1&gt;AM$7,0,IF($D148&gt;SUM($G148:AL148),$D148/$E148,0))</f>
        <v>0</v>
      </c>
      <c r="AN148" s="263">
        <f>IF($C148+1&gt;AN$7,0,IF($D148&gt;SUM($G148:AM148),$D148/$E148,0))</f>
        <v>0</v>
      </c>
      <c r="AO148" s="263">
        <f>IF($C148+1&gt;AO$7,0,IF($D148&gt;SUM($G148:AN148),$D148/$E148,0))</f>
        <v>0</v>
      </c>
      <c r="AP148" s="263">
        <f>IF($C148+1&gt;AP$7,0,IF($D148&gt;SUM($G148:AO148),$D148/$E148,0))</f>
        <v>0</v>
      </c>
      <c r="AQ148" s="263">
        <f>IF($C148+1&gt;AQ$7,0,IF($D148&gt;SUM($G148:AP148),$D148/$E148,0))</f>
        <v>0</v>
      </c>
      <c r="AR148" s="263">
        <f>IF($C148+1&gt;AR$7,0,IF($D148&gt;SUM($G148:AQ148),$D148/$E148,0))</f>
        <v>0</v>
      </c>
      <c r="AS148" s="263">
        <f>IF($C148+1&gt;AS$7,0,IF($D148&gt;SUM($G148:AR148),$D148/$E148,0))</f>
        <v>0</v>
      </c>
      <c r="AT148" s="263">
        <f>IF($C148+1&gt;AT$7,0,IF($D148&gt;SUM($G148:AS148),$D148/$E148,0))</f>
        <v>0</v>
      </c>
      <c r="AU148" s="263">
        <f>IF($C148+1&gt;AU$7,0,IF($D148&gt;SUM($G148:AT148),$D148/$E148,0))</f>
        <v>0</v>
      </c>
      <c r="AV148" s="263">
        <f>IF($C148+1&gt;AV$7,0,IF($D148&gt;SUM($G148:AU148),$D148/$E148,0))</f>
        <v>0</v>
      </c>
      <c r="AW148" s="263">
        <f>IF($C148+1&gt;AW$7,0,IF($D148&gt;SUM($G148:AV148),$D148/$E148,0))</f>
        <v>0</v>
      </c>
      <c r="AX148" s="263">
        <f>IF($C148+1&gt;AX$7,0,IF($D148&gt;SUM($G148:AW148),$D148/$E148,0))</f>
        <v>0</v>
      </c>
      <c r="AY148" s="263">
        <f>IF($C148+1&gt;AY$7,0,IF($D148&gt;SUM($G148:AX148),$D148/$E148,0))</f>
        <v>0</v>
      </c>
      <c r="AZ148" s="263">
        <f>IF($C148+1&gt;AZ$7,0,IF($D148&gt;SUM($G148:AY148),$D148/$E148,0))</f>
        <v>0</v>
      </c>
      <c r="BA148" s="263">
        <f>IF($C148+1&gt;BA$7,0,IF($D148&gt;SUM($G148:AZ148),$D148/$E148,0))</f>
        <v>0</v>
      </c>
      <c r="BB148" s="263">
        <f>IF($C148+1&gt;BB$7,0,IF($D148&gt;SUM($G148:BA148),$D148/$E148,0))</f>
        <v>0</v>
      </c>
      <c r="BC148" s="263">
        <f>IF($C148+1&gt;BC$7,0,IF($D148&gt;SUM($G148:BB148),$D148/$E148,0))</f>
        <v>0</v>
      </c>
      <c r="BD148" s="263">
        <f>IF($C148+1&gt;BD$7,0,IF($D148&gt;SUM($G148:BC148),$D148/$E148,0))</f>
        <v>0</v>
      </c>
      <c r="BE148" s="263">
        <f>IF($C148+1&gt;BE$7,0,IF($D148&gt;SUM($G148:BD148),$D148/$E148,0))</f>
        <v>0</v>
      </c>
      <c r="BF148" s="263">
        <f>IF($C148+1&gt;BF$7,0,IF($D148&gt;SUM($G148:BE148),$D148/$E148,0))</f>
        <v>0</v>
      </c>
      <c r="BG148" s="263">
        <f>IF($C148+1&gt;BG$7,0,IF($D148&gt;SUM($G148:BF148),$D148/$E148,0))</f>
        <v>0</v>
      </c>
      <c r="BH148" s="263">
        <f>IF($C148+1&gt;BH$7,0,IF($D148&gt;SUM($G148:BG148),$D148/$E148,0))</f>
        <v>0</v>
      </c>
      <c r="BI148" s="263">
        <f>IF($C148+1&gt;BI$7,0,IF($D148&gt;SUM($G148:BH148),$D148/$E148,0))</f>
        <v>0</v>
      </c>
      <c r="BJ148" s="263">
        <f>IF($C148+1&gt;BJ$7,0,IF($D148&gt;SUM($G148:BI148),$D148/$E148,0))</f>
        <v>0</v>
      </c>
      <c r="BK148" s="263">
        <f>IF($C148+1&gt;BK$7,0,IF($D148&gt;SUM($G148:BJ148),$D148/$E148,0))</f>
        <v>0</v>
      </c>
      <c r="BL148" s="263">
        <f>IF($C148+1&gt;BL$7,0,IF($D148&gt;SUM($G148:BK148),$D148/$E148,0))</f>
        <v>0</v>
      </c>
      <c r="BM148" s="263">
        <f>IF($C148+1&gt;BM$7,0,IF($D148&gt;SUM($G148:BL148),$D148/$E148,0))</f>
        <v>0</v>
      </c>
      <c r="BN148" s="263">
        <f>IF($C148+1&gt;BN$7,0,IF($D148&gt;SUM($G148:BM148),$D148/$E148,0))</f>
        <v>0</v>
      </c>
      <c r="BO148" s="263"/>
      <c r="BP148" s="263"/>
      <c r="BQ148" s="263"/>
      <c r="BR148" s="263"/>
      <c r="BS148" s="263"/>
      <c r="BT148" s="263"/>
      <c r="BU148" s="263"/>
      <c r="BV148" s="263"/>
      <c r="BW148" s="263"/>
      <c r="BX148" s="263"/>
      <c r="BY148" s="263"/>
      <c r="BZ148" s="263"/>
      <c r="CA148" s="254"/>
      <c r="CB148" s="254"/>
      <c r="CC148" s="254"/>
      <c r="CD148" s="254"/>
      <c r="CE148" s="254"/>
      <c r="CF148" s="254"/>
      <c r="CG148" s="254"/>
      <c r="CH148" s="254"/>
      <c r="CI148" s="254"/>
      <c r="CJ148" s="254"/>
      <c r="CK148" s="254"/>
      <c r="CL148" s="254"/>
    </row>
    <row r="149" spans="1:90" outlineLevel="1" x14ac:dyDescent="0.15">
      <c r="A149" s="50"/>
      <c r="B149" s="23"/>
      <c r="C149" s="26">
        <v>41</v>
      </c>
      <c r="D149" s="281">
        <v>0</v>
      </c>
      <c r="E149" s="26">
        <f>SAP_Leadsheet!$E$61</f>
        <v>7</v>
      </c>
      <c r="G149" s="263">
        <f>IF($C149+1&gt;G$7,0,IF($D149&gt;SUM(#REF!),$D149/$E149,0))</f>
        <v>0</v>
      </c>
      <c r="H149" s="263">
        <f>IF($C149+1&gt;H$7,0,IF($D149&gt;SUM($G149:G149),$D149/$E149,0))</f>
        <v>0</v>
      </c>
      <c r="I149" s="263">
        <f>IF($C149+1&gt;I$7,0,IF($D149&gt;SUM($G149:H149),$D149/$E149,0))</f>
        <v>0</v>
      </c>
      <c r="J149" s="263">
        <f>IF($C149+1&gt;J$7,0,IF($D149&gt;SUM($G149:I149),$D149/$E149,0))</f>
        <v>0</v>
      </c>
      <c r="K149" s="263">
        <f>IF($C149+1&gt;K$7,0,IF($D149&gt;SUM($G149:J149),$D149/$E149,0))</f>
        <v>0</v>
      </c>
      <c r="L149" s="263">
        <f>IF($C149+1&gt;L$7,0,IF($D149&gt;SUM($G149:K149),$D149/$E149,0))</f>
        <v>0</v>
      </c>
      <c r="M149" s="263">
        <f>IF($C149+1&gt;M$7,0,IF($D149&gt;SUM($G149:L149),$D149/$E149,0))</f>
        <v>0</v>
      </c>
      <c r="N149" s="263">
        <f>IF($C149+1&gt;N$7,0,IF($D149&gt;SUM($G149:M149),$D149/$E149,0))</f>
        <v>0</v>
      </c>
      <c r="O149" s="263">
        <f>IF($C149+1&gt;O$7,0,IF($D149&gt;SUM($G149:N149),$D149/$E149,0))</f>
        <v>0</v>
      </c>
      <c r="P149" s="263">
        <f>IF($C149+1&gt;P$7,0,IF($D149&gt;SUM($G149:O149),$D149/$E149,0))</f>
        <v>0</v>
      </c>
      <c r="Q149" s="263">
        <f>IF($C149+1&gt;Q$7,0,IF($D149&gt;SUM($G149:P149),$D149/$E149,0))</f>
        <v>0</v>
      </c>
      <c r="R149" s="263">
        <f>IF($C149+1&gt;R$7,0,IF($D149&gt;SUM($G149:Q149),$D149/$E149,0))</f>
        <v>0</v>
      </c>
      <c r="S149" s="263">
        <f>IF($C149+1&gt;S$7,0,IF($D149&gt;SUM($G149:R149),$D149/$E149,0))</f>
        <v>0</v>
      </c>
      <c r="T149" s="263">
        <f>IF($C149+1&gt;T$7,0,IF($D149&gt;SUM($G149:S149),$D149/$E149,0))</f>
        <v>0</v>
      </c>
      <c r="U149" s="263">
        <f>IF($C149+1&gt;U$7,0,IF($D149&gt;SUM($G149:T149),$D149/$E149,0))</f>
        <v>0</v>
      </c>
      <c r="V149" s="263">
        <f>IF($C149+1&gt;V$7,0,IF($D149&gt;SUM($G149:U149),$D149/$E149,0))</f>
        <v>0</v>
      </c>
      <c r="W149" s="263">
        <f>IF($C149+1&gt;W$7,0,IF($D149&gt;SUM($G149:V149),$D149/$E149,0))</f>
        <v>0</v>
      </c>
      <c r="X149" s="263">
        <f>IF($C149+1&gt;X$7,0,IF($D149&gt;SUM($G149:W149),$D149/$E149,0))</f>
        <v>0</v>
      </c>
      <c r="Y149" s="263">
        <f>IF($C149+1&gt;Y$7,0,IF($D149&gt;SUM($G149:X149),$D149/$E149,0))</f>
        <v>0</v>
      </c>
      <c r="Z149" s="263">
        <f>IF($C149+1&gt;Z$7,0,IF($D149&gt;SUM($G149:Y149),$D149/$E149,0))</f>
        <v>0</v>
      </c>
      <c r="AA149" s="263">
        <f>IF($C149+1&gt;AA$7,0,IF($D149&gt;SUM($G149:Z149),$D149/$E149,0))</f>
        <v>0</v>
      </c>
      <c r="AB149" s="263">
        <f>IF($C149+1&gt;AB$7,0,IF($D149&gt;SUM($G149:AA149),$D149/$E149,0))</f>
        <v>0</v>
      </c>
      <c r="AC149" s="263">
        <f>IF($C149+1&gt;AC$7,0,IF($D149&gt;SUM($G149:AB149),$D149/$E149,0))</f>
        <v>0</v>
      </c>
      <c r="AD149" s="263">
        <f>IF($C149+1&gt;AD$7,0,IF($D149&gt;SUM($G149:AC149),$D149/$E149,0))</f>
        <v>0</v>
      </c>
      <c r="AE149" s="263">
        <f>IF($C149+1&gt;AE$7,0,IF($D149&gt;SUM($G149:AD149),$D149/$E149,0))</f>
        <v>0</v>
      </c>
      <c r="AF149" s="263">
        <f>IF($C149+1&gt;AF$7,0,IF($D149&gt;SUM($G149:AE149),$D149/$E149,0))</f>
        <v>0</v>
      </c>
      <c r="AG149" s="263">
        <f>IF($C149+1&gt;AG$7,0,IF($D149&gt;SUM($G149:AF149),$D149/$E149,0))</f>
        <v>0</v>
      </c>
      <c r="AH149" s="263">
        <f>IF($C149+1&gt;AH$7,0,IF($D149&gt;SUM($G149:AG149),$D149/$E149,0))</f>
        <v>0</v>
      </c>
      <c r="AI149" s="263">
        <f>IF($C149+1&gt;AI$7,0,IF($D149&gt;SUM($G149:AH149),$D149/$E149,0))</f>
        <v>0</v>
      </c>
      <c r="AJ149" s="263">
        <f>IF($C149+1&gt;AJ$7,0,IF($D149&gt;SUM($G149:AI149),$D149/$E149,0))</f>
        <v>0</v>
      </c>
      <c r="AK149" s="263">
        <f>IF($C149+1&gt;AK$7,0,IF($D149&gt;SUM($G149:AJ149),$D149/$E149,0))</f>
        <v>0</v>
      </c>
      <c r="AL149" s="263">
        <f>IF($C149+1&gt;AL$7,0,IF($D149&gt;SUM($G149:AK149),$D149/$E149,0))</f>
        <v>0</v>
      </c>
      <c r="AM149" s="263">
        <f>IF($C149+1&gt;AM$7,0,IF($D149&gt;SUM($G149:AL149),$D149/$E149,0))</f>
        <v>0</v>
      </c>
      <c r="AN149" s="263">
        <f>IF($C149+1&gt;AN$7,0,IF($D149&gt;SUM($G149:AM149),$D149/$E149,0))</f>
        <v>0</v>
      </c>
      <c r="AO149" s="263">
        <f>IF($C149+1&gt;AO$7,0,IF($D149&gt;SUM($G149:AN149),$D149/$E149,0))</f>
        <v>0</v>
      </c>
      <c r="AP149" s="263">
        <f>IF($C149+1&gt;AP$7,0,IF($D149&gt;SUM($G149:AO149),$D149/$E149,0))</f>
        <v>0</v>
      </c>
      <c r="AQ149" s="263">
        <f>IF($C149+1&gt;AQ$7,0,IF($D149&gt;SUM($G149:AP149),$D149/$E149,0))</f>
        <v>0</v>
      </c>
      <c r="AR149" s="263">
        <f>IF($C149+1&gt;AR$7,0,IF($D149&gt;SUM($G149:AQ149),$D149/$E149,0))</f>
        <v>0</v>
      </c>
      <c r="AS149" s="263">
        <f>IF($C149+1&gt;AS$7,0,IF($D149&gt;SUM($G149:AR149),$D149/$E149,0))</f>
        <v>0</v>
      </c>
      <c r="AT149" s="263">
        <f>IF($C149+1&gt;AT$7,0,IF($D149&gt;SUM($G149:AS149),$D149/$E149,0))</f>
        <v>0</v>
      </c>
      <c r="AU149" s="263">
        <f>IF($C149+1&gt;AU$7,0,IF($D149&gt;SUM($G149:AT149),$D149/$E149,0))</f>
        <v>0</v>
      </c>
      <c r="AV149" s="263">
        <f>IF($C149+1&gt;AV$7,0,IF($D149&gt;SUM($G149:AU149),$D149/$E149,0))</f>
        <v>0</v>
      </c>
      <c r="AW149" s="263">
        <f>IF($C149+1&gt;AW$7,0,IF($D149&gt;SUM($G149:AV149),$D149/$E149,0))</f>
        <v>0</v>
      </c>
      <c r="AX149" s="263">
        <f>IF($C149+1&gt;AX$7,0,IF($D149&gt;SUM($G149:AW149),$D149/$E149,0))</f>
        <v>0</v>
      </c>
      <c r="AY149" s="263">
        <f>IF($C149+1&gt;AY$7,0,IF($D149&gt;SUM($G149:AX149),$D149/$E149,0))</f>
        <v>0</v>
      </c>
      <c r="AZ149" s="263">
        <f>IF($C149+1&gt;AZ$7,0,IF($D149&gt;SUM($G149:AY149),$D149/$E149,0))</f>
        <v>0</v>
      </c>
      <c r="BA149" s="263">
        <f>IF($C149+1&gt;BA$7,0,IF($D149&gt;SUM($G149:AZ149),$D149/$E149,0))</f>
        <v>0</v>
      </c>
      <c r="BB149" s="263">
        <f>IF($C149+1&gt;BB$7,0,IF($D149&gt;SUM($G149:BA149),$D149/$E149,0))</f>
        <v>0</v>
      </c>
      <c r="BC149" s="263">
        <f>IF($C149+1&gt;BC$7,0,IF($D149&gt;SUM($G149:BB149),$D149/$E149,0))</f>
        <v>0</v>
      </c>
      <c r="BD149" s="263">
        <f>IF($C149+1&gt;BD$7,0,IF($D149&gt;SUM($G149:BC149),$D149/$E149,0))</f>
        <v>0</v>
      </c>
      <c r="BE149" s="263">
        <f>IF($C149+1&gt;BE$7,0,IF($D149&gt;SUM($G149:BD149),$D149/$E149,0))</f>
        <v>0</v>
      </c>
      <c r="BF149" s="263">
        <f>IF($C149+1&gt;BF$7,0,IF($D149&gt;SUM($G149:BE149),$D149/$E149,0))</f>
        <v>0</v>
      </c>
      <c r="BG149" s="263">
        <f>IF($C149+1&gt;BG$7,0,IF($D149&gt;SUM($G149:BF149),$D149/$E149,0))</f>
        <v>0</v>
      </c>
      <c r="BH149" s="263">
        <f>IF($C149+1&gt;BH$7,0,IF($D149&gt;SUM($G149:BG149),$D149/$E149,0))</f>
        <v>0</v>
      </c>
      <c r="BI149" s="263">
        <f>IF($C149+1&gt;BI$7,0,IF($D149&gt;SUM($G149:BH149),$D149/$E149,0))</f>
        <v>0</v>
      </c>
      <c r="BJ149" s="263">
        <f>IF($C149+1&gt;BJ$7,0,IF($D149&gt;SUM($G149:BI149),$D149/$E149,0))</f>
        <v>0</v>
      </c>
      <c r="BK149" s="263">
        <f>IF($C149+1&gt;BK$7,0,IF($D149&gt;SUM($G149:BJ149),$D149/$E149,0))</f>
        <v>0</v>
      </c>
      <c r="BL149" s="263">
        <f>IF($C149+1&gt;BL$7,0,IF($D149&gt;SUM($G149:BK149),$D149/$E149,0))</f>
        <v>0</v>
      </c>
      <c r="BM149" s="263">
        <f>IF($C149+1&gt;BM$7,0,IF($D149&gt;SUM($G149:BL149),$D149/$E149,0))</f>
        <v>0</v>
      </c>
      <c r="BN149" s="263">
        <f>IF($C149+1&gt;BN$7,0,IF($D149&gt;SUM($G149:BM149),$D149/$E149,0))</f>
        <v>0</v>
      </c>
      <c r="BO149" s="263"/>
      <c r="BP149" s="263"/>
      <c r="BQ149" s="263"/>
      <c r="BR149" s="263"/>
      <c r="BS149" s="263"/>
      <c r="BT149" s="263"/>
      <c r="BU149" s="263"/>
      <c r="BV149" s="263"/>
      <c r="BW149" s="263"/>
      <c r="BX149" s="263"/>
      <c r="BY149" s="263"/>
      <c r="BZ149" s="263"/>
      <c r="CA149" s="254"/>
      <c r="CB149" s="254"/>
      <c r="CC149" s="254"/>
      <c r="CD149" s="254"/>
      <c r="CE149" s="254"/>
      <c r="CF149" s="254"/>
      <c r="CG149" s="254"/>
      <c r="CH149" s="254"/>
      <c r="CI149" s="254"/>
      <c r="CJ149" s="254"/>
      <c r="CK149" s="254"/>
      <c r="CL149" s="254"/>
    </row>
    <row r="150" spans="1:90" outlineLevel="1" x14ac:dyDescent="0.15">
      <c r="A150" s="50"/>
      <c r="B150" s="23"/>
      <c r="C150" s="26">
        <v>42</v>
      </c>
      <c r="D150" s="281">
        <v>0</v>
      </c>
      <c r="E150" s="26">
        <f>SAP_Leadsheet!$E$61</f>
        <v>7</v>
      </c>
      <c r="G150" s="263">
        <f>IF($C150+1&gt;G$7,0,IF($D150&gt;SUM(#REF!),$D150/$E150,0))</f>
        <v>0</v>
      </c>
      <c r="H150" s="263">
        <f>IF($C150+1&gt;H$7,0,IF($D150&gt;SUM($G150:G150),$D150/$E150,0))</f>
        <v>0</v>
      </c>
      <c r="I150" s="263">
        <f>IF($C150+1&gt;I$7,0,IF($D150&gt;SUM($G150:H150),$D150/$E150,0))</f>
        <v>0</v>
      </c>
      <c r="J150" s="263">
        <f>IF($C150+1&gt;J$7,0,IF($D150&gt;SUM($G150:I150),$D150/$E150,0))</f>
        <v>0</v>
      </c>
      <c r="K150" s="263">
        <f>IF($C150+1&gt;K$7,0,IF($D150&gt;SUM($G150:J150),$D150/$E150,0))</f>
        <v>0</v>
      </c>
      <c r="L150" s="263">
        <f>IF($C150+1&gt;L$7,0,IF($D150&gt;SUM($G150:K150),$D150/$E150,0))</f>
        <v>0</v>
      </c>
      <c r="M150" s="263">
        <f>IF($C150+1&gt;M$7,0,IF($D150&gt;SUM($G150:L150),$D150/$E150,0))</f>
        <v>0</v>
      </c>
      <c r="N150" s="263">
        <f>IF($C150+1&gt;N$7,0,IF($D150&gt;SUM($G150:M150),$D150/$E150,0))</f>
        <v>0</v>
      </c>
      <c r="O150" s="263">
        <f>IF($C150+1&gt;O$7,0,IF($D150&gt;SUM($G150:N150),$D150/$E150,0))</f>
        <v>0</v>
      </c>
      <c r="P150" s="263">
        <f>IF($C150+1&gt;P$7,0,IF($D150&gt;SUM($G150:O150),$D150/$E150,0))</f>
        <v>0</v>
      </c>
      <c r="Q150" s="263">
        <f>IF($C150+1&gt;Q$7,0,IF($D150&gt;SUM($G150:P150),$D150/$E150,0))</f>
        <v>0</v>
      </c>
      <c r="R150" s="263">
        <f>IF($C150+1&gt;R$7,0,IF($D150&gt;SUM($G150:Q150),$D150/$E150,0))</f>
        <v>0</v>
      </c>
      <c r="S150" s="263">
        <f>IF($C150+1&gt;S$7,0,IF($D150&gt;SUM($G150:R150),$D150/$E150,0))</f>
        <v>0</v>
      </c>
      <c r="T150" s="263">
        <f>IF($C150+1&gt;T$7,0,IF($D150&gt;SUM($G150:S150),$D150/$E150,0))</f>
        <v>0</v>
      </c>
      <c r="U150" s="263">
        <f>IF($C150+1&gt;U$7,0,IF($D150&gt;SUM($G150:T150),$D150/$E150,0))</f>
        <v>0</v>
      </c>
      <c r="V150" s="263">
        <f>IF($C150+1&gt;V$7,0,IF($D150&gt;SUM($G150:U150),$D150/$E150,0))</f>
        <v>0</v>
      </c>
      <c r="W150" s="263">
        <f>IF($C150+1&gt;W$7,0,IF($D150&gt;SUM($G150:V150),$D150/$E150,0))</f>
        <v>0</v>
      </c>
      <c r="X150" s="263">
        <f>IF($C150+1&gt;X$7,0,IF($D150&gt;SUM($G150:W150),$D150/$E150,0))</f>
        <v>0</v>
      </c>
      <c r="Y150" s="263">
        <f>IF($C150+1&gt;Y$7,0,IF($D150&gt;SUM($G150:X150),$D150/$E150,0))</f>
        <v>0</v>
      </c>
      <c r="Z150" s="263">
        <f>IF($C150+1&gt;Z$7,0,IF($D150&gt;SUM($G150:Y150),$D150/$E150,0))</f>
        <v>0</v>
      </c>
      <c r="AA150" s="263">
        <f>IF($C150+1&gt;AA$7,0,IF($D150&gt;SUM($G150:Z150),$D150/$E150,0))</f>
        <v>0</v>
      </c>
      <c r="AB150" s="263">
        <f>IF($C150+1&gt;AB$7,0,IF($D150&gt;SUM($G150:AA150),$D150/$E150,0))</f>
        <v>0</v>
      </c>
      <c r="AC150" s="263">
        <f>IF($C150+1&gt;AC$7,0,IF($D150&gt;SUM($G150:AB150),$D150/$E150,0))</f>
        <v>0</v>
      </c>
      <c r="AD150" s="263">
        <f>IF($C150+1&gt;AD$7,0,IF($D150&gt;SUM($G150:AC150),$D150/$E150,0))</f>
        <v>0</v>
      </c>
      <c r="AE150" s="263">
        <f>IF($C150+1&gt;AE$7,0,IF($D150&gt;SUM($G150:AD150),$D150/$E150,0))</f>
        <v>0</v>
      </c>
      <c r="AF150" s="263">
        <f>IF($C150+1&gt;AF$7,0,IF($D150&gt;SUM($G150:AE150),$D150/$E150,0))</f>
        <v>0</v>
      </c>
      <c r="AG150" s="263">
        <f>IF($C150+1&gt;AG$7,0,IF($D150&gt;SUM($G150:AF150),$D150/$E150,0))</f>
        <v>0</v>
      </c>
      <c r="AH150" s="263">
        <f>IF($C150+1&gt;AH$7,0,IF($D150&gt;SUM($G150:AG150),$D150/$E150,0))</f>
        <v>0</v>
      </c>
      <c r="AI150" s="263">
        <f>IF($C150+1&gt;AI$7,0,IF($D150&gt;SUM($G150:AH150),$D150/$E150,0))</f>
        <v>0</v>
      </c>
      <c r="AJ150" s="263">
        <f>IF($C150+1&gt;AJ$7,0,IF($D150&gt;SUM($G150:AI150),$D150/$E150,0))</f>
        <v>0</v>
      </c>
      <c r="AK150" s="263">
        <f>IF($C150+1&gt;AK$7,0,IF($D150&gt;SUM($G150:AJ150),$D150/$E150,0))</f>
        <v>0</v>
      </c>
      <c r="AL150" s="263">
        <f>IF($C150+1&gt;AL$7,0,IF($D150&gt;SUM($G150:AK150),$D150/$E150,0))</f>
        <v>0</v>
      </c>
      <c r="AM150" s="263">
        <f>IF($C150+1&gt;AM$7,0,IF($D150&gt;SUM($G150:AL150),$D150/$E150,0))</f>
        <v>0</v>
      </c>
      <c r="AN150" s="263">
        <f>IF($C150+1&gt;AN$7,0,IF($D150&gt;SUM($G150:AM150),$D150/$E150,0))</f>
        <v>0</v>
      </c>
      <c r="AO150" s="263">
        <f>IF($C150+1&gt;AO$7,0,IF($D150&gt;SUM($G150:AN150),$D150/$E150,0))</f>
        <v>0</v>
      </c>
      <c r="AP150" s="263">
        <f>IF($C150+1&gt;AP$7,0,IF($D150&gt;SUM($G150:AO150),$D150/$E150,0))</f>
        <v>0</v>
      </c>
      <c r="AQ150" s="263">
        <f>IF($C150+1&gt;AQ$7,0,IF($D150&gt;SUM($G150:AP150),$D150/$E150,0))</f>
        <v>0</v>
      </c>
      <c r="AR150" s="263">
        <f>IF($C150+1&gt;AR$7,0,IF($D150&gt;SUM($G150:AQ150),$D150/$E150,0))</f>
        <v>0</v>
      </c>
      <c r="AS150" s="263">
        <f>IF($C150+1&gt;AS$7,0,IF($D150&gt;SUM($G150:AR150),$D150/$E150,0))</f>
        <v>0</v>
      </c>
      <c r="AT150" s="263">
        <f>IF($C150+1&gt;AT$7,0,IF($D150&gt;SUM($G150:AS150),$D150/$E150,0))</f>
        <v>0</v>
      </c>
      <c r="AU150" s="263">
        <f>IF($C150+1&gt;AU$7,0,IF($D150&gt;SUM($G150:AT150),$D150/$E150,0))</f>
        <v>0</v>
      </c>
      <c r="AV150" s="263">
        <f>IF($C150+1&gt;AV$7,0,IF($D150&gt;SUM($G150:AU150),$D150/$E150,0))</f>
        <v>0</v>
      </c>
      <c r="AW150" s="263">
        <f>IF($C150+1&gt;AW$7,0,IF($D150&gt;SUM($G150:AV150),$D150/$E150,0))</f>
        <v>0</v>
      </c>
      <c r="AX150" s="263">
        <f>IF($C150+1&gt;AX$7,0,IF($D150&gt;SUM($G150:AW150),$D150/$E150,0))</f>
        <v>0</v>
      </c>
      <c r="AY150" s="263">
        <f>IF($C150+1&gt;AY$7,0,IF($D150&gt;SUM($G150:AX150),$D150/$E150,0))</f>
        <v>0</v>
      </c>
      <c r="AZ150" s="263">
        <f>IF($C150+1&gt;AZ$7,0,IF($D150&gt;SUM($G150:AY150),$D150/$E150,0))</f>
        <v>0</v>
      </c>
      <c r="BA150" s="263">
        <f>IF($C150+1&gt;BA$7,0,IF($D150&gt;SUM($G150:AZ150),$D150/$E150,0))</f>
        <v>0</v>
      </c>
      <c r="BB150" s="263">
        <f>IF($C150+1&gt;BB$7,0,IF($D150&gt;SUM($G150:BA150),$D150/$E150,0))</f>
        <v>0</v>
      </c>
      <c r="BC150" s="263">
        <f>IF($C150+1&gt;BC$7,0,IF($D150&gt;SUM($G150:BB150),$D150/$E150,0))</f>
        <v>0</v>
      </c>
      <c r="BD150" s="263">
        <f>IF($C150+1&gt;BD$7,0,IF($D150&gt;SUM($G150:BC150),$D150/$E150,0))</f>
        <v>0</v>
      </c>
      <c r="BE150" s="263">
        <f>IF($C150+1&gt;BE$7,0,IF($D150&gt;SUM($G150:BD150),$D150/$E150,0))</f>
        <v>0</v>
      </c>
      <c r="BF150" s="263">
        <f>IF($C150+1&gt;BF$7,0,IF($D150&gt;SUM($G150:BE150),$D150/$E150,0))</f>
        <v>0</v>
      </c>
      <c r="BG150" s="263">
        <f>IF($C150+1&gt;BG$7,0,IF($D150&gt;SUM($G150:BF150),$D150/$E150,0))</f>
        <v>0</v>
      </c>
      <c r="BH150" s="263">
        <f>IF($C150+1&gt;BH$7,0,IF($D150&gt;SUM($G150:BG150),$D150/$E150,0))</f>
        <v>0</v>
      </c>
      <c r="BI150" s="263">
        <f>IF($C150+1&gt;BI$7,0,IF($D150&gt;SUM($G150:BH150),$D150/$E150,0))</f>
        <v>0</v>
      </c>
      <c r="BJ150" s="263">
        <f>IF($C150+1&gt;BJ$7,0,IF($D150&gt;SUM($G150:BI150),$D150/$E150,0))</f>
        <v>0</v>
      </c>
      <c r="BK150" s="263">
        <f>IF($C150+1&gt;BK$7,0,IF($D150&gt;SUM($G150:BJ150),$D150/$E150,0))</f>
        <v>0</v>
      </c>
      <c r="BL150" s="263">
        <f>IF($C150+1&gt;BL$7,0,IF($D150&gt;SUM($G150:BK150),$D150/$E150,0))</f>
        <v>0</v>
      </c>
      <c r="BM150" s="263">
        <f>IF($C150+1&gt;BM$7,0,IF($D150&gt;SUM($G150:BL150),$D150/$E150,0))</f>
        <v>0</v>
      </c>
      <c r="BN150" s="263">
        <f>IF($C150+1&gt;BN$7,0,IF($D150&gt;SUM($G150:BM150),$D150/$E150,0))</f>
        <v>0</v>
      </c>
      <c r="BO150" s="263"/>
      <c r="BP150" s="263"/>
      <c r="BQ150" s="263"/>
      <c r="BR150" s="263"/>
      <c r="BS150" s="263"/>
      <c r="BT150" s="263"/>
      <c r="BU150" s="263"/>
      <c r="BV150" s="263"/>
      <c r="BW150" s="263"/>
      <c r="BX150" s="263"/>
      <c r="BY150" s="263"/>
      <c r="BZ150" s="263"/>
      <c r="CA150" s="254"/>
      <c r="CB150" s="254"/>
      <c r="CC150" s="254"/>
      <c r="CD150" s="254"/>
      <c r="CE150" s="254"/>
      <c r="CF150" s="254"/>
      <c r="CG150" s="254"/>
      <c r="CH150" s="254"/>
      <c r="CI150" s="254"/>
      <c r="CJ150" s="254"/>
      <c r="CK150" s="254"/>
      <c r="CL150" s="254"/>
    </row>
    <row r="151" spans="1:90" outlineLevel="1" x14ac:dyDescent="0.15">
      <c r="A151" s="50"/>
      <c r="B151" s="23"/>
      <c r="C151" s="26">
        <v>43</v>
      </c>
      <c r="D151" s="281">
        <v>0</v>
      </c>
      <c r="E151" s="26">
        <f>SAP_Leadsheet!$E$61</f>
        <v>7</v>
      </c>
      <c r="G151" s="263">
        <f>IF($C151+1&gt;G$7,0,IF($D151&gt;SUM(#REF!),$D151/$E151,0))</f>
        <v>0</v>
      </c>
      <c r="H151" s="263">
        <f>IF($C151+1&gt;H$7,0,IF($D151&gt;SUM($G151:G151),$D151/$E151,0))</f>
        <v>0</v>
      </c>
      <c r="I151" s="263">
        <f>IF($C151+1&gt;I$7,0,IF($D151&gt;SUM($G151:H151),$D151/$E151,0))</f>
        <v>0</v>
      </c>
      <c r="J151" s="263">
        <f>IF($C151+1&gt;J$7,0,IF($D151&gt;SUM($G151:I151),$D151/$E151,0))</f>
        <v>0</v>
      </c>
      <c r="K151" s="263">
        <f>IF($C151+1&gt;K$7,0,IF($D151&gt;SUM($G151:J151),$D151/$E151,0))</f>
        <v>0</v>
      </c>
      <c r="L151" s="263">
        <f>IF($C151+1&gt;L$7,0,IF($D151&gt;SUM($G151:K151),$D151/$E151,0))</f>
        <v>0</v>
      </c>
      <c r="M151" s="263">
        <f>IF($C151+1&gt;M$7,0,IF($D151&gt;SUM($G151:L151),$D151/$E151,0))</f>
        <v>0</v>
      </c>
      <c r="N151" s="263">
        <f>IF($C151+1&gt;N$7,0,IF($D151&gt;SUM($G151:M151),$D151/$E151,0))</f>
        <v>0</v>
      </c>
      <c r="O151" s="263">
        <f>IF($C151+1&gt;O$7,0,IF($D151&gt;SUM($G151:N151),$D151/$E151,0))</f>
        <v>0</v>
      </c>
      <c r="P151" s="263">
        <f>IF($C151+1&gt;P$7,0,IF($D151&gt;SUM($G151:O151),$D151/$E151,0))</f>
        <v>0</v>
      </c>
      <c r="Q151" s="263">
        <f>IF($C151+1&gt;Q$7,0,IF($D151&gt;SUM($G151:P151),$D151/$E151,0))</f>
        <v>0</v>
      </c>
      <c r="R151" s="263">
        <f>IF($C151+1&gt;R$7,0,IF($D151&gt;SUM($G151:Q151),$D151/$E151,0))</f>
        <v>0</v>
      </c>
      <c r="S151" s="263">
        <f>IF($C151+1&gt;S$7,0,IF($D151&gt;SUM($G151:R151),$D151/$E151,0))</f>
        <v>0</v>
      </c>
      <c r="T151" s="263">
        <f>IF($C151+1&gt;T$7,0,IF($D151&gt;SUM($G151:S151),$D151/$E151,0))</f>
        <v>0</v>
      </c>
      <c r="U151" s="263">
        <f>IF($C151+1&gt;U$7,0,IF($D151&gt;SUM($G151:T151),$D151/$E151,0))</f>
        <v>0</v>
      </c>
      <c r="V151" s="263">
        <f>IF($C151+1&gt;V$7,0,IF($D151&gt;SUM($G151:U151),$D151/$E151,0))</f>
        <v>0</v>
      </c>
      <c r="W151" s="263">
        <f>IF($C151+1&gt;W$7,0,IF($D151&gt;SUM($G151:V151),$D151/$E151,0))</f>
        <v>0</v>
      </c>
      <c r="X151" s="263">
        <f>IF($C151+1&gt;X$7,0,IF($D151&gt;SUM($G151:W151),$D151/$E151,0))</f>
        <v>0</v>
      </c>
      <c r="Y151" s="263">
        <f>IF($C151+1&gt;Y$7,0,IF($D151&gt;SUM($G151:X151),$D151/$E151,0))</f>
        <v>0</v>
      </c>
      <c r="Z151" s="263">
        <f>IF($C151+1&gt;Z$7,0,IF($D151&gt;SUM($G151:Y151),$D151/$E151,0))</f>
        <v>0</v>
      </c>
      <c r="AA151" s="263">
        <f>IF($C151+1&gt;AA$7,0,IF($D151&gt;SUM($G151:Z151),$D151/$E151,0))</f>
        <v>0</v>
      </c>
      <c r="AB151" s="263">
        <f>IF($C151+1&gt;AB$7,0,IF($D151&gt;SUM($G151:AA151),$D151/$E151,0))</f>
        <v>0</v>
      </c>
      <c r="AC151" s="263">
        <f>IF($C151+1&gt;AC$7,0,IF($D151&gt;SUM($G151:AB151),$D151/$E151,0))</f>
        <v>0</v>
      </c>
      <c r="AD151" s="263">
        <f>IF($C151+1&gt;AD$7,0,IF($D151&gt;SUM($G151:AC151),$D151/$E151,0))</f>
        <v>0</v>
      </c>
      <c r="AE151" s="263">
        <f>IF($C151+1&gt;AE$7,0,IF($D151&gt;SUM($G151:AD151),$D151/$E151,0))</f>
        <v>0</v>
      </c>
      <c r="AF151" s="263">
        <f>IF($C151+1&gt;AF$7,0,IF($D151&gt;SUM($G151:AE151),$D151/$E151,0))</f>
        <v>0</v>
      </c>
      <c r="AG151" s="263">
        <f>IF($C151+1&gt;AG$7,0,IF($D151&gt;SUM($G151:AF151),$D151/$E151,0))</f>
        <v>0</v>
      </c>
      <c r="AH151" s="263">
        <f>IF($C151+1&gt;AH$7,0,IF($D151&gt;SUM($G151:AG151),$D151/$E151,0))</f>
        <v>0</v>
      </c>
      <c r="AI151" s="263">
        <f>IF($C151+1&gt;AI$7,0,IF($D151&gt;SUM($G151:AH151),$D151/$E151,0))</f>
        <v>0</v>
      </c>
      <c r="AJ151" s="263">
        <f>IF($C151+1&gt;AJ$7,0,IF($D151&gt;SUM($G151:AI151),$D151/$E151,0))</f>
        <v>0</v>
      </c>
      <c r="AK151" s="263">
        <f>IF($C151+1&gt;AK$7,0,IF($D151&gt;SUM($G151:AJ151),$D151/$E151,0))</f>
        <v>0</v>
      </c>
      <c r="AL151" s="263">
        <f>IF($C151+1&gt;AL$7,0,IF($D151&gt;SUM($G151:AK151),$D151/$E151,0))</f>
        <v>0</v>
      </c>
      <c r="AM151" s="263">
        <f>IF($C151+1&gt;AM$7,0,IF($D151&gt;SUM($G151:AL151),$D151/$E151,0))</f>
        <v>0</v>
      </c>
      <c r="AN151" s="263">
        <f>IF($C151+1&gt;AN$7,0,IF($D151&gt;SUM($G151:AM151),$D151/$E151,0))</f>
        <v>0</v>
      </c>
      <c r="AO151" s="263">
        <f>IF($C151+1&gt;AO$7,0,IF($D151&gt;SUM($G151:AN151),$D151/$E151,0))</f>
        <v>0</v>
      </c>
      <c r="AP151" s="263">
        <f>IF($C151+1&gt;AP$7,0,IF($D151&gt;SUM($G151:AO151),$D151/$E151,0))</f>
        <v>0</v>
      </c>
      <c r="AQ151" s="263">
        <f>IF($C151+1&gt;AQ$7,0,IF($D151&gt;SUM($G151:AP151),$D151/$E151,0))</f>
        <v>0</v>
      </c>
      <c r="AR151" s="263">
        <f>IF($C151+1&gt;AR$7,0,IF($D151&gt;SUM($G151:AQ151),$D151/$E151,0))</f>
        <v>0</v>
      </c>
      <c r="AS151" s="263">
        <f>IF($C151+1&gt;AS$7,0,IF($D151&gt;SUM($G151:AR151),$D151/$E151,0))</f>
        <v>0</v>
      </c>
      <c r="AT151" s="263">
        <f>IF($C151+1&gt;AT$7,0,IF($D151&gt;SUM($G151:AS151),$D151/$E151,0))</f>
        <v>0</v>
      </c>
      <c r="AU151" s="263">
        <f>IF($C151+1&gt;AU$7,0,IF($D151&gt;SUM($G151:AT151),$D151/$E151,0))</f>
        <v>0</v>
      </c>
      <c r="AV151" s="263">
        <f>IF($C151+1&gt;AV$7,0,IF($D151&gt;SUM($G151:AU151),$D151/$E151,0))</f>
        <v>0</v>
      </c>
      <c r="AW151" s="263">
        <f>IF($C151+1&gt;AW$7,0,IF($D151&gt;SUM($G151:AV151),$D151/$E151,0))</f>
        <v>0</v>
      </c>
      <c r="AX151" s="263">
        <f>IF($C151+1&gt;AX$7,0,IF($D151&gt;SUM($G151:AW151),$D151/$E151,0))</f>
        <v>0</v>
      </c>
      <c r="AY151" s="263">
        <f>IF($C151+1&gt;AY$7,0,IF($D151&gt;SUM($G151:AX151),$D151/$E151,0))</f>
        <v>0</v>
      </c>
      <c r="AZ151" s="263">
        <f>IF($C151+1&gt;AZ$7,0,IF($D151&gt;SUM($G151:AY151),$D151/$E151,0))</f>
        <v>0</v>
      </c>
      <c r="BA151" s="263">
        <f>IF($C151+1&gt;BA$7,0,IF($D151&gt;SUM($G151:AZ151),$D151/$E151,0))</f>
        <v>0</v>
      </c>
      <c r="BB151" s="263">
        <f>IF($C151+1&gt;BB$7,0,IF($D151&gt;SUM($G151:BA151),$D151/$E151,0))</f>
        <v>0</v>
      </c>
      <c r="BC151" s="263">
        <f>IF($C151+1&gt;BC$7,0,IF($D151&gt;SUM($G151:BB151),$D151/$E151,0))</f>
        <v>0</v>
      </c>
      <c r="BD151" s="263">
        <f>IF($C151+1&gt;BD$7,0,IF($D151&gt;SUM($G151:BC151),$D151/$E151,0))</f>
        <v>0</v>
      </c>
      <c r="BE151" s="263">
        <f>IF($C151+1&gt;BE$7,0,IF($D151&gt;SUM($G151:BD151),$D151/$E151,0))</f>
        <v>0</v>
      </c>
      <c r="BF151" s="263">
        <f>IF($C151+1&gt;BF$7,0,IF($D151&gt;SUM($G151:BE151),$D151/$E151,0))</f>
        <v>0</v>
      </c>
      <c r="BG151" s="263">
        <f>IF($C151+1&gt;BG$7,0,IF($D151&gt;SUM($G151:BF151),$D151/$E151,0))</f>
        <v>0</v>
      </c>
      <c r="BH151" s="263">
        <f>IF($C151+1&gt;BH$7,0,IF($D151&gt;SUM($G151:BG151),$D151/$E151,0))</f>
        <v>0</v>
      </c>
      <c r="BI151" s="263">
        <f>IF($C151+1&gt;BI$7,0,IF($D151&gt;SUM($G151:BH151),$D151/$E151,0))</f>
        <v>0</v>
      </c>
      <c r="BJ151" s="263">
        <f>IF($C151+1&gt;BJ$7,0,IF($D151&gt;SUM($G151:BI151),$D151/$E151,0))</f>
        <v>0</v>
      </c>
      <c r="BK151" s="263">
        <f>IF($C151+1&gt;BK$7,0,IF($D151&gt;SUM($G151:BJ151),$D151/$E151,0))</f>
        <v>0</v>
      </c>
      <c r="BL151" s="263">
        <f>IF($C151+1&gt;BL$7,0,IF($D151&gt;SUM($G151:BK151),$D151/$E151,0))</f>
        <v>0</v>
      </c>
      <c r="BM151" s="263">
        <f>IF($C151+1&gt;BM$7,0,IF($D151&gt;SUM($G151:BL151),$D151/$E151,0))</f>
        <v>0</v>
      </c>
      <c r="BN151" s="263">
        <f>IF($C151+1&gt;BN$7,0,IF($D151&gt;SUM($G151:BM151),$D151/$E151,0))</f>
        <v>0</v>
      </c>
      <c r="BO151" s="263"/>
      <c r="BP151" s="263"/>
      <c r="BQ151" s="263"/>
      <c r="BR151" s="263"/>
      <c r="BS151" s="263"/>
      <c r="BT151" s="263"/>
      <c r="BU151" s="263"/>
      <c r="BV151" s="263"/>
      <c r="BW151" s="263"/>
      <c r="BX151" s="263"/>
      <c r="BY151" s="263"/>
      <c r="BZ151" s="263"/>
      <c r="CA151" s="254"/>
      <c r="CB151" s="254"/>
      <c r="CC151" s="254"/>
      <c r="CD151" s="254"/>
      <c r="CE151" s="254"/>
      <c r="CF151" s="254"/>
      <c r="CG151" s="254"/>
      <c r="CH151" s="254"/>
      <c r="CI151" s="254"/>
      <c r="CJ151" s="254"/>
      <c r="CK151" s="254"/>
      <c r="CL151" s="254"/>
    </row>
    <row r="152" spans="1:90" outlineLevel="1" x14ac:dyDescent="0.15">
      <c r="A152" s="50"/>
      <c r="B152" s="23"/>
      <c r="C152" s="26">
        <v>44</v>
      </c>
      <c r="D152" s="281">
        <v>0</v>
      </c>
      <c r="E152" s="26">
        <f>SAP_Leadsheet!$E$61</f>
        <v>7</v>
      </c>
      <c r="G152" s="263">
        <f>IF($C152+1&gt;G$7,0,IF($D152&gt;SUM(#REF!),$D152/$E152,0))</f>
        <v>0</v>
      </c>
      <c r="H152" s="263">
        <f>IF($C152+1&gt;H$7,0,IF($D152&gt;SUM($G152:G152),$D152/$E152,0))</f>
        <v>0</v>
      </c>
      <c r="I152" s="263">
        <f>IF($C152+1&gt;I$7,0,IF($D152&gt;SUM($G152:H152),$D152/$E152,0))</f>
        <v>0</v>
      </c>
      <c r="J152" s="263">
        <f>IF($C152+1&gt;J$7,0,IF($D152&gt;SUM($G152:I152),$D152/$E152,0))</f>
        <v>0</v>
      </c>
      <c r="K152" s="263">
        <f>IF($C152+1&gt;K$7,0,IF($D152&gt;SUM($G152:J152),$D152/$E152,0))</f>
        <v>0</v>
      </c>
      <c r="L152" s="263">
        <f>IF($C152+1&gt;L$7,0,IF($D152&gt;SUM($G152:K152),$D152/$E152,0))</f>
        <v>0</v>
      </c>
      <c r="M152" s="263">
        <f>IF($C152+1&gt;M$7,0,IF($D152&gt;SUM($G152:L152),$D152/$E152,0))</f>
        <v>0</v>
      </c>
      <c r="N152" s="263">
        <f>IF($C152+1&gt;N$7,0,IF($D152&gt;SUM($G152:M152),$D152/$E152,0))</f>
        <v>0</v>
      </c>
      <c r="O152" s="263">
        <f>IF($C152+1&gt;O$7,0,IF($D152&gt;SUM($G152:N152),$D152/$E152,0))</f>
        <v>0</v>
      </c>
      <c r="P152" s="263">
        <f>IF($C152+1&gt;P$7,0,IF($D152&gt;SUM($G152:O152),$D152/$E152,0))</f>
        <v>0</v>
      </c>
      <c r="Q152" s="263">
        <f>IF($C152+1&gt;Q$7,0,IF($D152&gt;SUM($G152:P152),$D152/$E152,0))</f>
        <v>0</v>
      </c>
      <c r="R152" s="263">
        <f>IF($C152+1&gt;R$7,0,IF($D152&gt;SUM($G152:Q152),$D152/$E152,0))</f>
        <v>0</v>
      </c>
      <c r="S152" s="263">
        <f>IF($C152+1&gt;S$7,0,IF($D152&gt;SUM($G152:R152),$D152/$E152,0))</f>
        <v>0</v>
      </c>
      <c r="T152" s="263">
        <f>IF($C152+1&gt;T$7,0,IF($D152&gt;SUM($G152:S152),$D152/$E152,0))</f>
        <v>0</v>
      </c>
      <c r="U152" s="263">
        <f>IF($C152+1&gt;U$7,0,IF($D152&gt;SUM($G152:T152),$D152/$E152,0))</f>
        <v>0</v>
      </c>
      <c r="V152" s="263">
        <f>IF($C152+1&gt;V$7,0,IF($D152&gt;SUM($G152:U152),$D152/$E152,0))</f>
        <v>0</v>
      </c>
      <c r="W152" s="263">
        <f>IF($C152+1&gt;W$7,0,IF($D152&gt;SUM($G152:V152),$D152/$E152,0))</f>
        <v>0</v>
      </c>
      <c r="X152" s="263">
        <f>IF($C152+1&gt;X$7,0,IF($D152&gt;SUM($G152:W152),$D152/$E152,0))</f>
        <v>0</v>
      </c>
      <c r="Y152" s="263">
        <f>IF($C152+1&gt;Y$7,0,IF($D152&gt;SUM($G152:X152),$D152/$E152,0))</f>
        <v>0</v>
      </c>
      <c r="Z152" s="263">
        <f>IF($C152+1&gt;Z$7,0,IF($D152&gt;SUM($G152:Y152),$D152/$E152,0))</f>
        <v>0</v>
      </c>
      <c r="AA152" s="263">
        <f>IF($C152+1&gt;AA$7,0,IF($D152&gt;SUM($G152:Z152),$D152/$E152,0))</f>
        <v>0</v>
      </c>
      <c r="AB152" s="263">
        <f>IF($C152+1&gt;AB$7,0,IF($D152&gt;SUM($G152:AA152),$D152/$E152,0))</f>
        <v>0</v>
      </c>
      <c r="AC152" s="263">
        <f>IF($C152+1&gt;AC$7,0,IF($D152&gt;SUM($G152:AB152),$D152/$E152,0))</f>
        <v>0</v>
      </c>
      <c r="AD152" s="263">
        <f>IF($C152+1&gt;AD$7,0,IF($D152&gt;SUM($G152:AC152),$D152/$E152,0))</f>
        <v>0</v>
      </c>
      <c r="AE152" s="263">
        <f>IF($C152+1&gt;AE$7,0,IF($D152&gt;SUM($G152:AD152),$D152/$E152,0))</f>
        <v>0</v>
      </c>
      <c r="AF152" s="263">
        <f>IF($C152+1&gt;AF$7,0,IF($D152&gt;SUM($G152:AE152),$D152/$E152,0))</f>
        <v>0</v>
      </c>
      <c r="AG152" s="263">
        <f>IF($C152+1&gt;AG$7,0,IF($D152&gt;SUM($G152:AF152),$D152/$E152,0))</f>
        <v>0</v>
      </c>
      <c r="AH152" s="263">
        <f>IF($C152+1&gt;AH$7,0,IF($D152&gt;SUM($G152:AG152),$D152/$E152,0))</f>
        <v>0</v>
      </c>
      <c r="AI152" s="263">
        <f>IF($C152+1&gt;AI$7,0,IF($D152&gt;SUM($G152:AH152),$D152/$E152,0))</f>
        <v>0</v>
      </c>
      <c r="AJ152" s="263">
        <f>IF($C152+1&gt;AJ$7,0,IF($D152&gt;SUM($G152:AI152),$D152/$E152,0))</f>
        <v>0</v>
      </c>
      <c r="AK152" s="263">
        <f>IF($C152+1&gt;AK$7,0,IF($D152&gt;SUM($G152:AJ152),$D152/$E152,0))</f>
        <v>0</v>
      </c>
      <c r="AL152" s="263">
        <f>IF($C152+1&gt;AL$7,0,IF($D152&gt;SUM($G152:AK152),$D152/$E152,0))</f>
        <v>0</v>
      </c>
      <c r="AM152" s="263">
        <f>IF($C152+1&gt;AM$7,0,IF($D152&gt;SUM($G152:AL152),$D152/$E152,0))</f>
        <v>0</v>
      </c>
      <c r="AN152" s="263">
        <f>IF($C152+1&gt;AN$7,0,IF($D152&gt;SUM($G152:AM152),$D152/$E152,0))</f>
        <v>0</v>
      </c>
      <c r="AO152" s="263">
        <f>IF($C152+1&gt;AO$7,0,IF($D152&gt;SUM($G152:AN152),$D152/$E152,0))</f>
        <v>0</v>
      </c>
      <c r="AP152" s="263">
        <f>IF($C152+1&gt;AP$7,0,IF($D152&gt;SUM($G152:AO152),$D152/$E152,0))</f>
        <v>0</v>
      </c>
      <c r="AQ152" s="263">
        <f>IF($C152+1&gt;AQ$7,0,IF($D152&gt;SUM($G152:AP152),$D152/$E152,0))</f>
        <v>0</v>
      </c>
      <c r="AR152" s="263">
        <f>IF($C152+1&gt;AR$7,0,IF($D152&gt;SUM($G152:AQ152),$D152/$E152,0))</f>
        <v>0</v>
      </c>
      <c r="AS152" s="263">
        <f>IF($C152+1&gt;AS$7,0,IF($D152&gt;SUM($G152:AR152),$D152/$E152,0))</f>
        <v>0</v>
      </c>
      <c r="AT152" s="263">
        <f>IF($C152+1&gt;AT$7,0,IF($D152&gt;SUM($G152:AS152),$D152/$E152,0))</f>
        <v>0</v>
      </c>
      <c r="AU152" s="263">
        <f>IF($C152+1&gt;AU$7,0,IF($D152&gt;SUM($G152:AT152),$D152/$E152,0))</f>
        <v>0</v>
      </c>
      <c r="AV152" s="263">
        <f>IF($C152+1&gt;AV$7,0,IF($D152&gt;SUM($G152:AU152),$D152/$E152,0))</f>
        <v>0</v>
      </c>
      <c r="AW152" s="263">
        <f>IF($C152+1&gt;AW$7,0,IF($D152&gt;SUM($G152:AV152),$D152/$E152,0))</f>
        <v>0</v>
      </c>
      <c r="AX152" s="263">
        <f>IF($C152+1&gt;AX$7,0,IF($D152&gt;SUM($G152:AW152),$D152/$E152,0))</f>
        <v>0</v>
      </c>
      <c r="AY152" s="263">
        <f>IF($C152+1&gt;AY$7,0,IF($D152&gt;SUM($G152:AX152),$D152/$E152,0))</f>
        <v>0</v>
      </c>
      <c r="AZ152" s="263">
        <f>IF($C152+1&gt;AZ$7,0,IF($D152&gt;SUM($G152:AY152),$D152/$E152,0))</f>
        <v>0</v>
      </c>
      <c r="BA152" s="263">
        <f>IF($C152+1&gt;BA$7,0,IF($D152&gt;SUM($G152:AZ152),$D152/$E152,0))</f>
        <v>0</v>
      </c>
      <c r="BB152" s="263">
        <f>IF($C152+1&gt;BB$7,0,IF($D152&gt;SUM($G152:BA152),$D152/$E152,0))</f>
        <v>0</v>
      </c>
      <c r="BC152" s="263">
        <f>IF($C152+1&gt;BC$7,0,IF($D152&gt;SUM($G152:BB152),$D152/$E152,0))</f>
        <v>0</v>
      </c>
      <c r="BD152" s="263">
        <f>IF($C152+1&gt;BD$7,0,IF($D152&gt;SUM($G152:BC152),$D152/$E152,0))</f>
        <v>0</v>
      </c>
      <c r="BE152" s="263">
        <f>IF($C152+1&gt;BE$7,0,IF($D152&gt;SUM($G152:BD152),$D152/$E152,0))</f>
        <v>0</v>
      </c>
      <c r="BF152" s="263">
        <f>IF($C152+1&gt;BF$7,0,IF($D152&gt;SUM($G152:BE152),$D152/$E152,0))</f>
        <v>0</v>
      </c>
      <c r="BG152" s="263">
        <f>IF($C152+1&gt;BG$7,0,IF($D152&gt;SUM($G152:BF152),$D152/$E152,0))</f>
        <v>0</v>
      </c>
      <c r="BH152" s="263">
        <f>IF($C152+1&gt;BH$7,0,IF($D152&gt;SUM($G152:BG152),$D152/$E152,0))</f>
        <v>0</v>
      </c>
      <c r="BI152" s="263">
        <f>IF($C152+1&gt;BI$7,0,IF($D152&gt;SUM($G152:BH152),$D152/$E152,0))</f>
        <v>0</v>
      </c>
      <c r="BJ152" s="263">
        <f>IF($C152+1&gt;BJ$7,0,IF($D152&gt;SUM($G152:BI152),$D152/$E152,0))</f>
        <v>0</v>
      </c>
      <c r="BK152" s="263">
        <f>IF($C152+1&gt;BK$7,0,IF($D152&gt;SUM($G152:BJ152),$D152/$E152,0))</f>
        <v>0</v>
      </c>
      <c r="BL152" s="263">
        <f>IF($C152+1&gt;BL$7,0,IF($D152&gt;SUM($G152:BK152),$D152/$E152,0))</f>
        <v>0</v>
      </c>
      <c r="BM152" s="263">
        <f>IF($C152+1&gt;BM$7,0,IF($D152&gt;SUM($G152:BL152),$D152/$E152,0))</f>
        <v>0</v>
      </c>
      <c r="BN152" s="263">
        <f>IF($C152+1&gt;BN$7,0,IF($D152&gt;SUM($G152:BM152),$D152/$E152,0))</f>
        <v>0</v>
      </c>
      <c r="BO152" s="263"/>
      <c r="BP152" s="263"/>
      <c r="BQ152" s="263"/>
      <c r="BR152" s="263"/>
      <c r="BS152" s="263"/>
      <c r="BT152" s="263"/>
      <c r="BU152" s="263"/>
      <c r="BV152" s="263"/>
      <c r="BW152" s="263"/>
      <c r="BX152" s="263"/>
      <c r="BY152" s="263"/>
      <c r="BZ152" s="263"/>
      <c r="CA152" s="254"/>
      <c r="CB152" s="254"/>
      <c r="CC152" s="254"/>
      <c r="CD152" s="254"/>
      <c r="CE152" s="254"/>
      <c r="CF152" s="254"/>
      <c r="CG152" s="254"/>
      <c r="CH152" s="254"/>
      <c r="CI152" s="254"/>
      <c r="CJ152" s="254"/>
      <c r="CK152" s="254"/>
      <c r="CL152" s="254"/>
    </row>
    <row r="153" spans="1:90" outlineLevel="1" x14ac:dyDescent="0.15">
      <c r="A153" s="50"/>
      <c r="B153" s="23"/>
      <c r="C153" s="26">
        <v>45</v>
      </c>
      <c r="D153" s="281">
        <v>0</v>
      </c>
      <c r="E153" s="26">
        <f>SAP_Leadsheet!$E$61</f>
        <v>7</v>
      </c>
      <c r="G153" s="263">
        <f>IF($C153+1&gt;G$7,0,IF($D153&gt;SUM(#REF!),$D153/$E153,0))</f>
        <v>0</v>
      </c>
      <c r="H153" s="263">
        <f>IF($C153+1&gt;H$7,0,IF($D153&gt;SUM($G153:G153),$D153/$E153,0))</f>
        <v>0</v>
      </c>
      <c r="I153" s="263">
        <f>IF($C153+1&gt;I$7,0,IF($D153&gt;SUM($G153:H153),$D153/$E153,0))</f>
        <v>0</v>
      </c>
      <c r="J153" s="263">
        <f>IF($C153+1&gt;J$7,0,IF($D153&gt;SUM($G153:I153),$D153/$E153,0))</f>
        <v>0</v>
      </c>
      <c r="K153" s="263">
        <f>IF($C153+1&gt;K$7,0,IF($D153&gt;SUM($G153:J153),$D153/$E153,0))</f>
        <v>0</v>
      </c>
      <c r="L153" s="263">
        <f>IF($C153+1&gt;L$7,0,IF($D153&gt;SUM($G153:K153),$D153/$E153,0))</f>
        <v>0</v>
      </c>
      <c r="M153" s="263">
        <f>IF($C153+1&gt;M$7,0,IF($D153&gt;SUM($G153:L153),$D153/$E153,0))</f>
        <v>0</v>
      </c>
      <c r="N153" s="263">
        <f>IF($C153+1&gt;N$7,0,IF($D153&gt;SUM($G153:M153),$D153/$E153,0))</f>
        <v>0</v>
      </c>
      <c r="O153" s="263">
        <f>IF($C153+1&gt;O$7,0,IF($D153&gt;SUM($G153:N153),$D153/$E153,0))</f>
        <v>0</v>
      </c>
      <c r="P153" s="263">
        <f>IF($C153+1&gt;P$7,0,IF($D153&gt;SUM($G153:O153),$D153/$E153,0))</f>
        <v>0</v>
      </c>
      <c r="Q153" s="263">
        <f>IF($C153+1&gt;Q$7,0,IF($D153&gt;SUM($G153:P153),$D153/$E153,0))</f>
        <v>0</v>
      </c>
      <c r="R153" s="263">
        <f>IF($C153+1&gt;R$7,0,IF($D153&gt;SUM($G153:Q153),$D153/$E153,0))</f>
        <v>0</v>
      </c>
      <c r="S153" s="263">
        <f>IF($C153+1&gt;S$7,0,IF($D153&gt;SUM($G153:R153),$D153/$E153,0))</f>
        <v>0</v>
      </c>
      <c r="T153" s="263">
        <f>IF($C153+1&gt;T$7,0,IF($D153&gt;SUM($G153:S153),$D153/$E153,0))</f>
        <v>0</v>
      </c>
      <c r="U153" s="263">
        <f>IF($C153+1&gt;U$7,0,IF($D153&gt;SUM($G153:T153),$D153/$E153,0))</f>
        <v>0</v>
      </c>
      <c r="V153" s="263">
        <f>IF($C153+1&gt;V$7,0,IF($D153&gt;SUM($G153:U153),$D153/$E153,0))</f>
        <v>0</v>
      </c>
      <c r="W153" s="263">
        <f>IF($C153+1&gt;W$7,0,IF($D153&gt;SUM($G153:V153),$D153/$E153,0))</f>
        <v>0</v>
      </c>
      <c r="X153" s="263">
        <f>IF($C153+1&gt;X$7,0,IF($D153&gt;SUM($G153:W153),$D153/$E153,0))</f>
        <v>0</v>
      </c>
      <c r="Y153" s="263">
        <f>IF($C153+1&gt;Y$7,0,IF($D153&gt;SUM($G153:X153),$D153/$E153,0))</f>
        <v>0</v>
      </c>
      <c r="Z153" s="263">
        <f>IF($C153+1&gt;Z$7,0,IF($D153&gt;SUM($G153:Y153),$D153/$E153,0))</f>
        <v>0</v>
      </c>
      <c r="AA153" s="263">
        <f>IF($C153+1&gt;AA$7,0,IF($D153&gt;SUM($G153:Z153),$D153/$E153,0))</f>
        <v>0</v>
      </c>
      <c r="AB153" s="263">
        <f>IF($C153+1&gt;AB$7,0,IF($D153&gt;SUM($G153:AA153),$D153/$E153,0))</f>
        <v>0</v>
      </c>
      <c r="AC153" s="263">
        <f>IF($C153+1&gt;AC$7,0,IF($D153&gt;SUM($G153:AB153),$D153/$E153,0))</f>
        <v>0</v>
      </c>
      <c r="AD153" s="263">
        <f>IF($C153+1&gt;AD$7,0,IF($D153&gt;SUM($G153:AC153),$D153/$E153,0))</f>
        <v>0</v>
      </c>
      <c r="AE153" s="263">
        <f>IF($C153+1&gt;AE$7,0,IF($D153&gt;SUM($G153:AD153),$D153/$E153,0))</f>
        <v>0</v>
      </c>
      <c r="AF153" s="263">
        <f>IF($C153+1&gt;AF$7,0,IF($D153&gt;SUM($G153:AE153),$D153/$E153,0))</f>
        <v>0</v>
      </c>
      <c r="AG153" s="263">
        <f>IF($C153+1&gt;AG$7,0,IF($D153&gt;SUM($G153:AF153),$D153/$E153,0))</f>
        <v>0</v>
      </c>
      <c r="AH153" s="263">
        <f>IF($C153+1&gt;AH$7,0,IF($D153&gt;SUM($G153:AG153),$D153/$E153,0))</f>
        <v>0</v>
      </c>
      <c r="AI153" s="263">
        <f>IF($C153+1&gt;AI$7,0,IF($D153&gt;SUM($G153:AH153),$D153/$E153,0))</f>
        <v>0</v>
      </c>
      <c r="AJ153" s="263">
        <f>IF($C153+1&gt;AJ$7,0,IF($D153&gt;SUM($G153:AI153),$D153/$E153,0))</f>
        <v>0</v>
      </c>
      <c r="AK153" s="263">
        <f>IF($C153+1&gt;AK$7,0,IF($D153&gt;SUM($G153:AJ153),$D153/$E153,0))</f>
        <v>0</v>
      </c>
      <c r="AL153" s="263">
        <f>IF($C153+1&gt;AL$7,0,IF($D153&gt;SUM($G153:AK153),$D153/$E153,0))</f>
        <v>0</v>
      </c>
      <c r="AM153" s="263">
        <f>IF($C153+1&gt;AM$7,0,IF($D153&gt;SUM($G153:AL153),$D153/$E153,0))</f>
        <v>0</v>
      </c>
      <c r="AN153" s="263">
        <f>IF($C153+1&gt;AN$7,0,IF($D153&gt;SUM($G153:AM153),$D153/$E153,0))</f>
        <v>0</v>
      </c>
      <c r="AO153" s="263">
        <f>IF($C153+1&gt;AO$7,0,IF($D153&gt;SUM($G153:AN153),$D153/$E153,0))</f>
        <v>0</v>
      </c>
      <c r="AP153" s="263">
        <f>IF($C153+1&gt;AP$7,0,IF($D153&gt;SUM($G153:AO153),$D153/$E153,0))</f>
        <v>0</v>
      </c>
      <c r="AQ153" s="263">
        <f>IF($C153+1&gt;AQ$7,0,IF($D153&gt;SUM($G153:AP153),$D153/$E153,0))</f>
        <v>0</v>
      </c>
      <c r="AR153" s="263">
        <f>IF($C153+1&gt;AR$7,0,IF($D153&gt;SUM($G153:AQ153),$D153/$E153,0))</f>
        <v>0</v>
      </c>
      <c r="AS153" s="263">
        <f>IF($C153+1&gt;AS$7,0,IF($D153&gt;SUM($G153:AR153),$D153/$E153,0))</f>
        <v>0</v>
      </c>
      <c r="AT153" s="263">
        <f>IF($C153+1&gt;AT$7,0,IF($D153&gt;SUM($G153:AS153),$D153/$E153,0))</f>
        <v>0</v>
      </c>
      <c r="AU153" s="263">
        <f>IF($C153+1&gt;AU$7,0,IF($D153&gt;SUM($G153:AT153),$D153/$E153,0))</f>
        <v>0</v>
      </c>
      <c r="AV153" s="263">
        <f>IF($C153+1&gt;AV$7,0,IF($D153&gt;SUM($G153:AU153),$D153/$E153,0))</f>
        <v>0</v>
      </c>
      <c r="AW153" s="263">
        <f>IF($C153+1&gt;AW$7,0,IF($D153&gt;SUM($G153:AV153),$D153/$E153,0))</f>
        <v>0</v>
      </c>
      <c r="AX153" s="263">
        <f>IF($C153+1&gt;AX$7,0,IF($D153&gt;SUM($G153:AW153),$D153/$E153,0))</f>
        <v>0</v>
      </c>
      <c r="AY153" s="263">
        <f>IF($C153+1&gt;AY$7,0,IF($D153&gt;SUM($G153:AX153),$D153/$E153,0))</f>
        <v>0</v>
      </c>
      <c r="AZ153" s="263">
        <f>IF($C153+1&gt;AZ$7,0,IF($D153&gt;SUM($G153:AY153),$D153/$E153,0))</f>
        <v>0</v>
      </c>
      <c r="BA153" s="263">
        <f>IF($C153+1&gt;BA$7,0,IF($D153&gt;SUM($G153:AZ153),$D153/$E153,0))</f>
        <v>0</v>
      </c>
      <c r="BB153" s="263">
        <f>IF($C153+1&gt;BB$7,0,IF($D153&gt;SUM($G153:BA153),$D153/$E153,0))</f>
        <v>0</v>
      </c>
      <c r="BC153" s="263">
        <f>IF($C153+1&gt;BC$7,0,IF($D153&gt;SUM($G153:BB153),$D153/$E153,0))</f>
        <v>0</v>
      </c>
      <c r="BD153" s="263">
        <f>IF($C153+1&gt;BD$7,0,IF($D153&gt;SUM($G153:BC153),$D153/$E153,0))</f>
        <v>0</v>
      </c>
      <c r="BE153" s="263">
        <f>IF($C153+1&gt;BE$7,0,IF($D153&gt;SUM($G153:BD153),$D153/$E153,0))</f>
        <v>0</v>
      </c>
      <c r="BF153" s="263">
        <f>IF($C153+1&gt;BF$7,0,IF($D153&gt;SUM($G153:BE153),$D153/$E153,0))</f>
        <v>0</v>
      </c>
      <c r="BG153" s="263">
        <f>IF($C153+1&gt;BG$7,0,IF($D153&gt;SUM($G153:BF153),$D153/$E153,0))</f>
        <v>0</v>
      </c>
      <c r="BH153" s="263">
        <f>IF($C153+1&gt;BH$7,0,IF($D153&gt;SUM($G153:BG153),$D153/$E153,0))</f>
        <v>0</v>
      </c>
      <c r="BI153" s="263">
        <f>IF($C153+1&gt;BI$7,0,IF($D153&gt;SUM($G153:BH153),$D153/$E153,0))</f>
        <v>0</v>
      </c>
      <c r="BJ153" s="263">
        <f>IF($C153+1&gt;BJ$7,0,IF($D153&gt;SUM($G153:BI153),$D153/$E153,0))</f>
        <v>0</v>
      </c>
      <c r="BK153" s="263">
        <f>IF($C153+1&gt;BK$7,0,IF($D153&gt;SUM($G153:BJ153),$D153/$E153,0))</f>
        <v>0</v>
      </c>
      <c r="BL153" s="263">
        <f>IF($C153+1&gt;BL$7,0,IF($D153&gt;SUM($G153:BK153),$D153/$E153,0))</f>
        <v>0</v>
      </c>
      <c r="BM153" s="263">
        <f>IF($C153+1&gt;BM$7,0,IF($D153&gt;SUM($G153:BL153),$D153/$E153,0))</f>
        <v>0</v>
      </c>
      <c r="BN153" s="263">
        <f>IF($C153+1&gt;BN$7,0,IF($D153&gt;SUM($G153:BM153),$D153/$E153,0))</f>
        <v>0</v>
      </c>
      <c r="BO153" s="263"/>
      <c r="BP153" s="263"/>
      <c r="BQ153" s="263"/>
      <c r="BR153" s="263"/>
      <c r="BS153" s="263"/>
      <c r="BT153" s="263"/>
      <c r="BU153" s="263"/>
      <c r="BV153" s="263"/>
      <c r="BW153" s="263"/>
      <c r="BX153" s="263"/>
      <c r="BY153" s="263"/>
      <c r="BZ153" s="263"/>
      <c r="CA153" s="254"/>
      <c r="CB153" s="254"/>
      <c r="CC153" s="254"/>
      <c r="CD153" s="254"/>
      <c r="CE153" s="254"/>
      <c r="CF153" s="254"/>
      <c r="CG153" s="254"/>
      <c r="CH153" s="254"/>
      <c r="CI153" s="254"/>
      <c r="CJ153" s="254"/>
      <c r="CK153" s="254"/>
      <c r="CL153" s="254"/>
    </row>
    <row r="154" spans="1:90" outlineLevel="1" x14ac:dyDescent="0.15">
      <c r="A154" s="50"/>
      <c r="B154" s="23"/>
      <c r="C154" s="26">
        <v>46</v>
      </c>
      <c r="D154" s="281">
        <v>0</v>
      </c>
      <c r="E154" s="26">
        <f>SAP_Leadsheet!$E$61</f>
        <v>7</v>
      </c>
      <c r="G154" s="263">
        <f>IF($C154+1&gt;G$7,0,IF($D154&gt;SUM(#REF!),$D154/$E154,0))</f>
        <v>0</v>
      </c>
      <c r="H154" s="263">
        <f>IF($C154+1&gt;H$7,0,IF($D154&gt;SUM($G154:G154),$D154/$E154,0))</f>
        <v>0</v>
      </c>
      <c r="I154" s="263">
        <f>IF($C154+1&gt;I$7,0,IF($D154&gt;SUM($G154:H154),$D154/$E154,0))</f>
        <v>0</v>
      </c>
      <c r="J154" s="263">
        <f>IF($C154+1&gt;J$7,0,IF($D154&gt;SUM($G154:I154),$D154/$E154,0))</f>
        <v>0</v>
      </c>
      <c r="K154" s="263">
        <f>IF($C154+1&gt;K$7,0,IF($D154&gt;SUM($G154:J154),$D154/$E154,0))</f>
        <v>0</v>
      </c>
      <c r="L154" s="263">
        <f>IF($C154+1&gt;L$7,0,IF($D154&gt;SUM($G154:K154),$D154/$E154,0))</f>
        <v>0</v>
      </c>
      <c r="M154" s="263">
        <f>IF($C154+1&gt;M$7,0,IF($D154&gt;SUM($G154:L154),$D154/$E154,0))</f>
        <v>0</v>
      </c>
      <c r="N154" s="263">
        <f>IF($C154+1&gt;N$7,0,IF($D154&gt;SUM($G154:M154),$D154/$E154,0))</f>
        <v>0</v>
      </c>
      <c r="O154" s="263">
        <f>IF($C154+1&gt;O$7,0,IF($D154&gt;SUM($G154:N154),$D154/$E154,0))</f>
        <v>0</v>
      </c>
      <c r="P154" s="263">
        <f>IF($C154+1&gt;P$7,0,IF($D154&gt;SUM($G154:O154),$D154/$E154,0))</f>
        <v>0</v>
      </c>
      <c r="Q154" s="263">
        <f>IF($C154+1&gt;Q$7,0,IF($D154&gt;SUM($G154:P154),$D154/$E154,0))</f>
        <v>0</v>
      </c>
      <c r="R154" s="263">
        <f>IF($C154+1&gt;R$7,0,IF($D154&gt;SUM($G154:Q154),$D154/$E154,0))</f>
        <v>0</v>
      </c>
      <c r="S154" s="263">
        <f>IF($C154+1&gt;S$7,0,IF($D154&gt;SUM($G154:R154),$D154/$E154,0))</f>
        <v>0</v>
      </c>
      <c r="T154" s="263">
        <f>IF($C154+1&gt;T$7,0,IF($D154&gt;SUM($G154:S154),$D154/$E154,0))</f>
        <v>0</v>
      </c>
      <c r="U154" s="263">
        <f>IF($C154+1&gt;U$7,0,IF($D154&gt;SUM($G154:T154),$D154/$E154,0))</f>
        <v>0</v>
      </c>
      <c r="V154" s="263">
        <f>IF($C154+1&gt;V$7,0,IF($D154&gt;SUM($G154:U154),$D154/$E154,0))</f>
        <v>0</v>
      </c>
      <c r="W154" s="263">
        <f>IF($C154+1&gt;W$7,0,IF($D154&gt;SUM($G154:V154),$D154/$E154,0))</f>
        <v>0</v>
      </c>
      <c r="X154" s="263">
        <f>IF($C154+1&gt;X$7,0,IF($D154&gt;SUM($G154:W154),$D154/$E154,0))</f>
        <v>0</v>
      </c>
      <c r="Y154" s="263">
        <f>IF($C154+1&gt;Y$7,0,IF($D154&gt;SUM($G154:X154),$D154/$E154,0))</f>
        <v>0</v>
      </c>
      <c r="Z154" s="263">
        <f>IF($C154+1&gt;Z$7,0,IF($D154&gt;SUM($G154:Y154),$D154/$E154,0))</f>
        <v>0</v>
      </c>
      <c r="AA154" s="263">
        <f>IF($C154+1&gt;AA$7,0,IF($D154&gt;SUM($G154:Z154),$D154/$E154,0))</f>
        <v>0</v>
      </c>
      <c r="AB154" s="263">
        <f>IF($C154+1&gt;AB$7,0,IF($D154&gt;SUM($G154:AA154),$D154/$E154,0))</f>
        <v>0</v>
      </c>
      <c r="AC154" s="263">
        <f>IF($C154+1&gt;AC$7,0,IF($D154&gt;SUM($G154:AB154),$D154/$E154,0))</f>
        <v>0</v>
      </c>
      <c r="AD154" s="263">
        <f>IF($C154+1&gt;AD$7,0,IF($D154&gt;SUM($G154:AC154),$D154/$E154,0))</f>
        <v>0</v>
      </c>
      <c r="AE154" s="263">
        <f>IF($C154+1&gt;AE$7,0,IF($D154&gt;SUM($G154:AD154),$D154/$E154,0))</f>
        <v>0</v>
      </c>
      <c r="AF154" s="263">
        <f>IF($C154+1&gt;AF$7,0,IF($D154&gt;SUM($G154:AE154),$D154/$E154,0))</f>
        <v>0</v>
      </c>
      <c r="AG154" s="263">
        <f>IF($C154+1&gt;AG$7,0,IF($D154&gt;SUM($G154:AF154),$D154/$E154,0))</f>
        <v>0</v>
      </c>
      <c r="AH154" s="263">
        <f>IF($C154+1&gt;AH$7,0,IF($D154&gt;SUM($G154:AG154),$D154/$E154,0))</f>
        <v>0</v>
      </c>
      <c r="AI154" s="263">
        <f>IF($C154+1&gt;AI$7,0,IF($D154&gt;SUM($G154:AH154),$D154/$E154,0))</f>
        <v>0</v>
      </c>
      <c r="AJ154" s="263">
        <f>IF($C154+1&gt;AJ$7,0,IF($D154&gt;SUM($G154:AI154),$D154/$E154,0))</f>
        <v>0</v>
      </c>
      <c r="AK154" s="263">
        <f>IF($C154+1&gt;AK$7,0,IF($D154&gt;SUM($G154:AJ154),$D154/$E154,0))</f>
        <v>0</v>
      </c>
      <c r="AL154" s="263">
        <f>IF($C154+1&gt;AL$7,0,IF($D154&gt;SUM($G154:AK154),$D154/$E154,0))</f>
        <v>0</v>
      </c>
      <c r="AM154" s="263">
        <f>IF($C154+1&gt;AM$7,0,IF($D154&gt;SUM($G154:AL154),$D154/$E154,0))</f>
        <v>0</v>
      </c>
      <c r="AN154" s="263">
        <f>IF($C154+1&gt;AN$7,0,IF($D154&gt;SUM($G154:AM154),$D154/$E154,0))</f>
        <v>0</v>
      </c>
      <c r="AO154" s="263">
        <f>IF($C154+1&gt;AO$7,0,IF($D154&gt;SUM($G154:AN154),$D154/$E154,0))</f>
        <v>0</v>
      </c>
      <c r="AP154" s="263">
        <f>IF($C154+1&gt;AP$7,0,IF($D154&gt;SUM($G154:AO154),$D154/$E154,0))</f>
        <v>0</v>
      </c>
      <c r="AQ154" s="263">
        <f>IF($C154+1&gt;AQ$7,0,IF($D154&gt;SUM($G154:AP154),$D154/$E154,0))</f>
        <v>0</v>
      </c>
      <c r="AR154" s="263">
        <f>IF($C154+1&gt;AR$7,0,IF($D154&gt;SUM($G154:AQ154),$D154/$E154,0))</f>
        <v>0</v>
      </c>
      <c r="AS154" s="263">
        <f>IF($C154+1&gt;AS$7,0,IF($D154&gt;SUM($G154:AR154),$D154/$E154,0))</f>
        <v>0</v>
      </c>
      <c r="AT154" s="263">
        <f>IF($C154+1&gt;AT$7,0,IF($D154&gt;SUM($G154:AS154),$D154/$E154,0))</f>
        <v>0</v>
      </c>
      <c r="AU154" s="263">
        <f>IF($C154+1&gt;AU$7,0,IF($D154&gt;SUM($G154:AT154),$D154/$E154,0))</f>
        <v>0</v>
      </c>
      <c r="AV154" s="263">
        <f>IF($C154+1&gt;AV$7,0,IF($D154&gt;SUM($G154:AU154),$D154/$E154,0))</f>
        <v>0</v>
      </c>
      <c r="AW154" s="263">
        <f>IF($C154+1&gt;AW$7,0,IF($D154&gt;SUM($G154:AV154),$D154/$E154,0))</f>
        <v>0</v>
      </c>
      <c r="AX154" s="263">
        <f>IF($C154+1&gt;AX$7,0,IF($D154&gt;SUM($G154:AW154),$D154/$E154,0))</f>
        <v>0</v>
      </c>
      <c r="AY154" s="263">
        <f>IF($C154+1&gt;AY$7,0,IF($D154&gt;SUM($G154:AX154),$D154/$E154,0))</f>
        <v>0</v>
      </c>
      <c r="AZ154" s="263">
        <f>IF($C154+1&gt;AZ$7,0,IF($D154&gt;SUM($G154:AY154),$D154/$E154,0))</f>
        <v>0</v>
      </c>
      <c r="BA154" s="263">
        <f>IF($C154+1&gt;BA$7,0,IF($D154&gt;SUM($G154:AZ154),$D154/$E154,0))</f>
        <v>0</v>
      </c>
      <c r="BB154" s="263">
        <f>IF($C154+1&gt;BB$7,0,IF($D154&gt;SUM($G154:BA154),$D154/$E154,0))</f>
        <v>0</v>
      </c>
      <c r="BC154" s="263">
        <f>IF($C154+1&gt;BC$7,0,IF($D154&gt;SUM($G154:BB154),$D154/$E154,0))</f>
        <v>0</v>
      </c>
      <c r="BD154" s="263">
        <f>IF($C154+1&gt;BD$7,0,IF($D154&gt;SUM($G154:BC154),$D154/$E154,0))</f>
        <v>0</v>
      </c>
      <c r="BE154" s="263">
        <f>IF($C154+1&gt;BE$7,0,IF($D154&gt;SUM($G154:BD154),$D154/$E154,0))</f>
        <v>0</v>
      </c>
      <c r="BF154" s="263">
        <f>IF($C154+1&gt;BF$7,0,IF($D154&gt;SUM($G154:BE154),$D154/$E154,0))</f>
        <v>0</v>
      </c>
      <c r="BG154" s="263">
        <f>IF($C154+1&gt;BG$7,0,IF($D154&gt;SUM($G154:BF154),$D154/$E154,0))</f>
        <v>0</v>
      </c>
      <c r="BH154" s="263">
        <f>IF($C154+1&gt;BH$7,0,IF($D154&gt;SUM($G154:BG154),$D154/$E154,0))</f>
        <v>0</v>
      </c>
      <c r="BI154" s="263">
        <f>IF($C154+1&gt;BI$7,0,IF($D154&gt;SUM($G154:BH154),$D154/$E154,0))</f>
        <v>0</v>
      </c>
      <c r="BJ154" s="263">
        <f>IF($C154+1&gt;BJ$7,0,IF($D154&gt;SUM($G154:BI154),$D154/$E154,0))</f>
        <v>0</v>
      </c>
      <c r="BK154" s="263">
        <f>IF($C154+1&gt;BK$7,0,IF($D154&gt;SUM($G154:BJ154),$D154/$E154,0))</f>
        <v>0</v>
      </c>
      <c r="BL154" s="263">
        <f>IF($C154+1&gt;BL$7,0,IF($D154&gt;SUM($G154:BK154),$D154/$E154,0))</f>
        <v>0</v>
      </c>
      <c r="BM154" s="263">
        <f>IF($C154+1&gt;BM$7,0,IF($D154&gt;SUM($G154:BL154),$D154/$E154,0))</f>
        <v>0</v>
      </c>
      <c r="BN154" s="263">
        <f>IF($C154+1&gt;BN$7,0,IF($D154&gt;SUM($G154:BM154),$D154/$E154,0))</f>
        <v>0</v>
      </c>
      <c r="BO154" s="263"/>
      <c r="BP154" s="263"/>
      <c r="BQ154" s="263"/>
      <c r="BR154" s="263"/>
      <c r="BS154" s="263"/>
      <c r="BT154" s="263"/>
      <c r="BU154" s="263"/>
      <c r="BV154" s="263"/>
      <c r="BW154" s="263"/>
      <c r="BX154" s="263"/>
      <c r="BY154" s="263"/>
      <c r="BZ154" s="263"/>
      <c r="CA154" s="254"/>
      <c r="CB154" s="254"/>
      <c r="CC154" s="254"/>
      <c r="CD154" s="254"/>
      <c r="CE154" s="254"/>
      <c r="CF154" s="254"/>
      <c r="CG154" s="254"/>
      <c r="CH154" s="254"/>
      <c r="CI154" s="254"/>
      <c r="CJ154" s="254"/>
      <c r="CK154" s="254"/>
      <c r="CL154" s="254"/>
    </row>
    <row r="155" spans="1:90" outlineLevel="1" x14ac:dyDescent="0.15">
      <c r="A155" s="50"/>
      <c r="B155" s="23"/>
      <c r="C155" s="26">
        <v>47</v>
      </c>
      <c r="D155" s="281">
        <v>0</v>
      </c>
      <c r="E155" s="26">
        <f>SAP_Leadsheet!$E$61</f>
        <v>7</v>
      </c>
      <c r="G155" s="263">
        <f>IF($C155+1&gt;G$7,0,IF($D155&gt;SUM(#REF!),$D155/$E155,0))</f>
        <v>0</v>
      </c>
      <c r="H155" s="263">
        <f>IF($C155+1&gt;H$7,0,IF($D155&gt;SUM($G155:G155),$D155/$E155,0))</f>
        <v>0</v>
      </c>
      <c r="I155" s="263">
        <f>IF($C155+1&gt;I$7,0,IF($D155&gt;SUM($G155:H155),$D155/$E155,0))</f>
        <v>0</v>
      </c>
      <c r="J155" s="263">
        <f>IF($C155+1&gt;J$7,0,IF($D155&gt;SUM($G155:I155),$D155/$E155,0))</f>
        <v>0</v>
      </c>
      <c r="K155" s="263">
        <f>IF($C155+1&gt;K$7,0,IF($D155&gt;SUM($G155:J155),$D155/$E155,0))</f>
        <v>0</v>
      </c>
      <c r="L155" s="263">
        <f>IF($C155+1&gt;L$7,0,IF($D155&gt;SUM($G155:K155),$D155/$E155,0))</f>
        <v>0</v>
      </c>
      <c r="M155" s="263">
        <f>IF($C155+1&gt;M$7,0,IF($D155&gt;SUM($G155:L155),$D155/$E155,0))</f>
        <v>0</v>
      </c>
      <c r="N155" s="263">
        <f>IF($C155+1&gt;N$7,0,IF($D155&gt;SUM($G155:M155),$D155/$E155,0))</f>
        <v>0</v>
      </c>
      <c r="O155" s="263">
        <f>IF($C155+1&gt;O$7,0,IF($D155&gt;SUM($G155:N155),$D155/$E155,0))</f>
        <v>0</v>
      </c>
      <c r="P155" s="263">
        <f>IF($C155+1&gt;P$7,0,IF($D155&gt;SUM($G155:O155),$D155/$E155,0))</f>
        <v>0</v>
      </c>
      <c r="Q155" s="263">
        <f>IF($C155+1&gt;Q$7,0,IF($D155&gt;SUM($G155:P155),$D155/$E155,0))</f>
        <v>0</v>
      </c>
      <c r="R155" s="263">
        <f>IF($C155+1&gt;R$7,0,IF($D155&gt;SUM($G155:Q155),$D155/$E155,0))</f>
        <v>0</v>
      </c>
      <c r="S155" s="263">
        <f>IF($C155+1&gt;S$7,0,IF($D155&gt;SUM($G155:R155),$D155/$E155,0))</f>
        <v>0</v>
      </c>
      <c r="T155" s="263">
        <f>IF($C155+1&gt;T$7,0,IF($D155&gt;SUM($G155:S155),$D155/$E155,0))</f>
        <v>0</v>
      </c>
      <c r="U155" s="263">
        <f>IF($C155+1&gt;U$7,0,IF($D155&gt;SUM($G155:T155),$D155/$E155,0))</f>
        <v>0</v>
      </c>
      <c r="V155" s="263">
        <f>IF($C155+1&gt;V$7,0,IF($D155&gt;SUM($G155:U155),$D155/$E155,0))</f>
        <v>0</v>
      </c>
      <c r="W155" s="263">
        <f>IF($C155+1&gt;W$7,0,IF($D155&gt;SUM($G155:V155),$D155/$E155,0))</f>
        <v>0</v>
      </c>
      <c r="X155" s="263">
        <f>IF($C155+1&gt;X$7,0,IF($D155&gt;SUM($G155:W155),$D155/$E155,0))</f>
        <v>0</v>
      </c>
      <c r="Y155" s="263">
        <f>IF($C155+1&gt;Y$7,0,IF($D155&gt;SUM($G155:X155),$D155/$E155,0))</f>
        <v>0</v>
      </c>
      <c r="Z155" s="263">
        <f>IF($C155+1&gt;Z$7,0,IF($D155&gt;SUM($G155:Y155),$D155/$E155,0))</f>
        <v>0</v>
      </c>
      <c r="AA155" s="263">
        <f>IF($C155+1&gt;AA$7,0,IF($D155&gt;SUM($G155:Z155),$D155/$E155,0))</f>
        <v>0</v>
      </c>
      <c r="AB155" s="263">
        <f>IF($C155+1&gt;AB$7,0,IF($D155&gt;SUM($G155:AA155),$D155/$E155,0))</f>
        <v>0</v>
      </c>
      <c r="AC155" s="263">
        <f>IF($C155+1&gt;AC$7,0,IF($D155&gt;SUM($G155:AB155),$D155/$E155,0))</f>
        <v>0</v>
      </c>
      <c r="AD155" s="263">
        <f>IF($C155+1&gt;AD$7,0,IF($D155&gt;SUM($G155:AC155),$D155/$E155,0))</f>
        <v>0</v>
      </c>
      <c r="AE155" s="263">
        <f>IF($C155+1&gt;AE$7,0,IF($D155&gt;SUM($G155:AD155),$D155/$E155,0))</f>
        <v>0</v>
      </c>
      <c r="AF155" s="263">
        <f>IF($C155+1&gt;AF$7,0,IF($D155&gt;SUM($G155:AE155),$D155/$E155,0))</f>
        <v>0</v>
      </c>
      <c r="AG155" s="263">
        <f>IF($C155+1&gt;AG$7,0,IF($D155&gt;SUM($G155:AF155),$D155/$E155,0))</f>
        <v>0</v>
      </c>
      <c r="AH155" s="263">
        <f>IF($C155+1&gt;AH$7,0,IF($D155&gt;SUM($G155:AG155),$D155/$E155,0))</f>
        <v>0</v>
      </c>
      <c r="AI155" s="263">
        <f>IF($C155+1&gt;AI$7,0,IF($D155&gt;SUM($G155:AH155),$D155/$E155,0))</f>
        <v>0</v>
      </c>
      <c r="AJ155" s="263">
        <f>IF($C155+1&gt;AJ$7,0,IF($D155&gt;SUM($G155:AI155),$D155/$E155,0))</f>
        <v>0</v>
      </c>
      <c r="AK155" s="263">
        <f>IF($C155+1&gt;AK$7,0,IF($D155&gt;SUM($G155:AJ155),$D155/$E155,0))</f>
        <v>0</v>
      </c>
      <c r="AL155" s="263">
        <f>IF($C155+1&gt;AL$7,0,IF($D155&gt;SUM($G155:AK155),$D155/$E155,0))</f>
        <v>0</v>
      </c>
      <c r="AM155" s="263">
        <f>IF($C155+1&gt;AM$7,0,IF($D155&gt;SUM($G155:AL155),$D155/$E155,0))</f>
        <v>0</v>
      </c>
      <c r="AN155" s="263">
        <f>IF($C155+1&gt;AN$7,0,IF($D155&gt;SUM($G155:AM155),$D155/$E155,0))</f>
        <v>0</v>
      </c>
      <c r="AO155" s="263">
        <f>IF($C155+1&gt;AO$7,0,IF($D155&gt;SUM($G155:AN155),$D155/$E155,0))</f>
        <v>0</v>
      </c>
      <c r="AP155" s="263">
        <f>IF($C155+1&gt;AP$7,0,IF($D155&gt;SUM($G155:AO155),$D155/$E155,0))</f>
        <v>0</v>
      </c>
      <c r="AQ155" s="263">
        <f>IF($C155+1&gt;AQ$7,0,IF($D155&gt;SUM($G155:AP155),$D155/$E155,0))</f>
        <v>0</v>
      </c>
      <c r="AR155" s="263">
        <f>IF($C155+1&gt;AR$7,0,IF($D155&gt;SUM($G155:AQ155),$D155/$E155,0))</f>
        <v>0</v>
      </c>
      <c r="AS155" s="263">
        <f>IF($C155+1&gt;AS$7,0,IF($D155&gt;SUM($G155:AR155),$D155/$E155,0))</f>
        <v>0</v>
      </c>
      <c r="AT155" s="263">
        <f>IF($C155+1&gt;AT$7,0,IF($D155&gt;SUM($G155:AS155),$D155/$E155,0))</f>
        <v>0</v>
      </c>
      <c r="AU155" s="263">
        <f>IF($C155+1&gt;AU$7,0,IF($D155&gt;SUM($G155:AT155),$D155/$E155,0))</f>
        <v>0</v>
      </c>
      <c r="AV155" s="263">
        <f>IF($C155+1&gt;AV$7,0,IF($D155&gt;SUM($G155:AU155),$D155/$E155,0))</f>
        <v>0</v>
      </c>
      <c r="AW155" s="263">
        <f>IF($C155+1&gt;AW$7,0,IF($D155&gt;SUM($G155:AV155),$D155/$E155,0))</f>
        <v>0</v>
      </c>
      <c r="AX155" s="263">
        <f>IF($C155+1&gt;AX$7,0,IF($D155&gt;SUM($G155:AW155),$D155/$E155,0))</f>
        <v>0</v>
      </c>
      <c r="AY155" s="263">
        <f>IF($C155+1&gt;AY$7,0,IF($D155&gt;SUM($G155:AX155),$D155/$E155,0))</f>
        <v>0</v>
      </c>
      <c r="AZ155" s="263">
        <f>IF($C155+1&gt;AZ$7,0,IF($D155&gt;SUM($G155:AY155),$D155/$E155,0))</f>
        <v>0</v>
      </c>
      <c r="BA155" s="263">
        <f>IF($C155+1&gt;BA$7,0,IF($D155&gt;SUM($G155:AZ155),$D155/$E155,0))</f>
        <v>0</v>
      </c>
      <c r="BB155" s="263">
        <f>IF($C155+1&gt;BB$7,0,IF($D155&gt;SUM($G155:BA155),$D155/$E155,0))</f>
        <v>0</v>
      </c>
      <c r="BC155" s="263">
        <f>IF($C155+1&gt;BC$7,0,IF($D155&gt;SUM($G155:BB155),$D155/$E155,0))</f>
        <v>0</v>
      </c>
      <c r="BD155" s="263">
        <f>IF($C155+1&gt;BD$7,0,IF($D155&gt;SUM($G155:BC155),$D155/$E155,0))</f>
        <v>0</v>
      </c>
      <c r="BE155" s="263">
        <f>IF($C155+1&gt;BE$7,0,IF($D155&gt;SUM($G155:BD155),$D155/$E155,0))</f>
        <v>0</v>
      </c>
      <c r="BF155" s="263">
        <f>IF($C155+1&gt;BF$7,0,IF($D155&gt;SUM($G155:BE155),$D155/$E155,0))</f>
        <v>0</v>
      </c>
      <c r="BG155" s="263">
        <f>IF($C155+1&gt;BG$7,0,IF($D155&gt;SUM($G155:BF155),$D155/$E155,0))</f>
        <v>0</v>
      </c>
      <c r="BH155" s="263">
        <f>IF($C155+1&gt;BH$7,0,IF($D155&gt;SUM($G155:BG155),$D155/$E155,0))</f>
        <v>0</v>
      </c>
      <c r="BI155" s="263">
        <f>IF($C155+1&gt;BI$7,0,IF($D155&gt;SUM($G155:BH155),$D155/$E155,0))</f>
        <v>0</v>
      </c>
      <c r="BJ155" s="263">
        <f>IF($C155+1&gt;BJ$7,0,IF($D155&gt;SUM($G155:BI155),$D155/$E155,0))</f>
        <v>0</v>
      </c>
      <c r="BK155" s="263">
        <f>IF($C155+1&gt;BK$7,0,IF($D155&gt;SUM($G155:BJ155),$D155/$E155,0))</f>
        <v>0</v>
      </c>
      <c r="BL155" s="263">
        <f>IF($C155+1&gt;BL$7,0,IF($D155&gt;SUM($G155:BK155),$D155/$E155,0))</f>
        <v>0</v>
      </c>
      <c r="BM155" s="263">
        <f>IF($C155+1&gt;BM$7,0,IF($D155&gt;SUM($G155:BL155),$D155/$E155,0))</f>
        <v>0</v>
      </c>
      <c r="BN155" s="263">
        <f>IF($C155+1&gt;BN$7,0,IF($D155&gt;SUM($G155:BM155),$D155/$E155,0))</f>
        <v>0</v>
      </c>
      <c r="BO155" s="263"/>
      <c r="BP155" s="263"/>
      <c r="BQ155" s="263"/>
      <c r="BR155" s="263"/>
      <c r="BS155" s="263"/>
      <c r="BT155" s="263"/>
      <c r="BU155" s="263"/>
      <c r="BV155" s="263"/>
      <c r="BW155" s="263"/>
      <c r="BX155" s="263"/>
      <c r="BY155" s="263"/>
      <c r="BZ155" s="263"/>
      <c r="CA155" s="254"/>
      <c r="CB155" s="254"/>
      <c r="CC155" s="254"/>
      <c r="CD155" s="254"/>
      <c r="CE155" s="254"/>
      <c r="CF155" s="254"/>
      <c r="CG155" s="254"/>
      <c r="CH155" s="254"/>
      <c r="CI155" s="254"/>
      <c r="CJ155" s="254"/>
      <c r="CK155" s="254"/>
      <c r="CL155" s="254"/>
    </row>
    <row r="156" spans="1:90" outlineLevel="1" x14ac:dyDescent="0.15">
      <c r="A156" s="50"/>
      <c r="B156" s="23"/>
      <c r="C156" s="26">
        <v>48</v>
      </c>
      <c r="D156" s="281">
        <v>0</v>
      </c>
      <c r="E156" s="26">
        <f>SAP_Leadsheet!$E$61</f>
        <v>7</v>
      </c>
      <c r="G156" s="263">
        <f>IF($C156+1&gt;G$7,0,IF($D156&gt;SUM(#REF!),$D156/$E156,0))</f>
        <v>0</v>
      </c>
      <c r="H156" s="263">
        <f>IF($C156+1&gt;H$7,0,IF($D156&gt;SUM($G156:G156),$D156/$E156,0))</f>
        <v>0</v>
      </c>
      <c r="I156" s="263">
        <f>IF($C156+1&gt;I$7,0,IF($D156&gt;SUM($G156:H156),$D156/$E156,0))</f>
        <v>0</v>
      </c>
      <c r="J156" s="263">
        <f>IF($C156+1&gt;J$7,0,IF($D156&gt;SUM($G156:I156),$D156/$E156,0))</f>
        <v>0</v>
      </c>
      <c r="K156" s="263">
        <f>IF($C156+1&gt;K$7,0,IF($D156&gt;SUM($G156:J156),$D156/$E156,0))</f>
        <v>0</v>
      </c>
      <c r="L156" s="263">
        <f>IF($C156+1&gt;L$7,0,IF($D156&gt;SUM($G156:K156),$D156/$E156,0))</f>
        <v>0</v>
      </c>
      <c r="M156" s="263">
        <f>IF($C156+1&gt;M$7,0,IF($D156&gt;SUM($G156:L156),$D156/$E156,0))</f>
        <v>0</v>
      </c>
      <c r="N156" s="263">
        <f>IF($C156+1&gt;N$7,0,IF($D156&gt;SUM($G156:M156),$D156/$E156,0))</f>
        <v>0</v>
      </c>
      <c r="O156" s="263">
        <f>IF($C156+1&gt;O$7,0,IF($D156&gt;SUM($G156:N156),$D156/$E156,0))</f>
        <v>0</v>
      </c>
      <c r="P156" s="263">
        <f>IF($C156+1&gt;P$7,0,IF($D156&gt;SUM($G156:O156),$D156/$E156,0))</f>
        <v>0</v>
      </c>
      <c r="Q156" s="263">
        <f>IF($C156+1&gt;Q$7,0,IF($D156&gt;SUM($G156:P156),$D156/$E156,0))</f>
        <v>0</v>
      </c>
      <c r="R156" s="263">
        <f>IF($C156+1&gt;R$7,0,IF($D156&gt;SUM($G156:Q156),$D156/$E156,0))</f>
        <v>0</v>
      </c>
      <c r="S156" s="263">
        <f>IF($C156+1&gt;S$7,0,IF($D156&gt;SUM($G156:R156),$D156/$E156,0))</f>
        <v>0</v>
      </c>
      <c r="T156" s="263">
        <f>IF($C156+1&gt;T$7,0,IF($D156&gt;SUM($G156:S156),$D156/$E156,0))</f>
        <v>0</v>
      </c>
      <c r="U156" s="263">
        <f>IF($C156+1&gt;U$7,0,IF($D156&gt;SUM($G156:T156),$D156/$E156,0))</f>
        <v>0</v>
      </c>
      <c r="V156" s="263">
        <f>IF($C156+1&gt;V$7,0,IF($D156&gt;SUM($G156:U156),$D156/$E156,0))</f>
        <v>0</v>
      </c>
      <c r="W156" s="263">
        <f>IF($C156+1&gt;W$7,0,IF($D156&gt;SUM($G156:V156),$D156/$E156,0))</f>
        <v>0</v>
      </c>
      <c r="X156" s="263">
        <f>IF($C156+1&gt;X$7,0,IF($D156&gt;SUM($G156:W156),$D156/$E156,0))</f>
        <v>0</v>
      </c>
      <c r="Y156" s="263">
        <f>IF($C156+1&gt;Y$7,0,IF($D156&gt;SUM($G156:X156),$D156/$E156,0))</f>
        <v>0</v>
      </c>
      <c r="Z156" s="263">
        <f>IF($C156+1&gt;Z$7,0,IF($D156&gt;SUM($G156:Y156),$D156/$E156,0))</f>
        <v>0</v>
      </c>
      <c r="AA156" s="263">
        <f>IF($C156+1&gt;AA$7,0,IF($D156&gt;SUM($G156:Z156),$D156/$E156,0))</f>
        <v>0</v>
      </c>
      <c r="AB156" s="263">
        <f>IF($C156+1&gt;AB$7,0,IF($D156&gt;SUM($G156:AA156),$D156/$E156,0))</f>
        <v>0</v>
      </c>
      <c r="AC156" s="263">
        <f>IF($C156+1&gt;AC$7,0,IF($D156&gt;SUM($G156:AB156),$D156/$E156,0))</f>
        <v>0</v>
      </c>
      <c r="AD156" s="263">
        <f>IF($C156+1&gt;AD$7,0,IF($D156&gt;SUM($G156:AC156),$D156/$E156,0))</f>
        <v>0</v>
      </c>
      <c r="AE156" s="263">
        <f>IF($C156+1&gt;AE$7,0,IF($D156&gt;SUM($G156:AD156),$D156/$E156,0))</f>
        <v>0</v>
      </c>
      <c r="AF156" s="263">
        <f>IF($C156+1&gt;AF$7,0,IF($D156&gt;SUM($G156:AE156),$D156/$E156,0))</f>
        <v>0</v>
      </c>
      <c r="AG156" s="263">
        <f>IF($C156+1&gt;AG$7,0,IF($D156&gt;SUM($G156:AF156),$D156/$E156,0))</f>
        <v>0</v>
      </c>
      <c r="AH156" s="263">
        <f>IF($C156+1&gt;AH$7,0,IF($D156&gt;SUM($G156:AG156),$D156/$E156,0))</f>
        <v>0</v>
      </c>
      <c r="AI156" s="263">
        <f>IF($C156+1&gt;AI$7,0,IF($D156&gt;SUM($G156:AH156),$D156/$E156,0))</f>
        <v>0</v>
      </c>
      <c r="AJ156" s="263">
        <f>IF($C156+1&gt;AJ$7,0,IF($D156&gt;SUM($G156:AI156),$D156/$E156,0))</f>
        <v>0</v>
      </c>
      <c r="AK156" s="263">
        <f>IF($C156+1&gt;AK$7,0,IF($D156&gt;SUM($G156:AJ156),$D156/$E156,0))</f>
        <v>0</v>
      </c>
      <c r="AL156" s="263">
        <f>IF($C156+1&gt;AL$7,0,IF($D156&gt;SUM($G156:AK156),$D156/$E156,0))</f>
        <v>0</v>
      </c>
      <c r="AM156" s="263">
        <f>IF($C156+1&gt;AM$7,0,IF($D156&gt;SUM($G156:AL156),$D156/$E156,0))</f>
        <v>0</v>
      </c>
      <c r="AN156" s="263">
        <f>IF($C156+1&gt;AN$7,0,IF($D156&gt;SUM($G156:AM156),$D156/$E156,0))</f>
        <v>0</v>
      </c>
      <c r="AO156" s="263">
        <f>IF($C156+1&gt;AO$7,0,IF($D156&gt;SUM($G156:AN156),$D156/$E156,0))</f>
        <v>0</v>
      </c>
      <c r="AP156" s="263">
        <f>IF($C156+1&gt;AP$7,0,IF($D156&gt;SUM($G156:AO156),$D156/$E156,0))</f>
        <v>0</v>
      </c>
      <c r="AQ156" s="263">
        <f>IF($C156+1&gt;AQ$7,0,IF($D156&gt;SUM($G156:AP156),$D156/$E156,0))</f>
        <v>0</v>
      </c>
      <c r="AR156" s="263">
        <f>IF($C156+1&gt;AR$7,0,IF($D156&gt;SUM($G156:AQ156),$D156/$E156,0))</f>
        <v>0</v>
      </c>
      <c r="AS156" s="263">
        <f>IF($C156+1&gt;AS$7,0,IF($D156&gt;SUM($G156:AR156),$D156/$E156,0))</f>
        <v>0</v>
      </c>
      <c r="AT156" s="263">
        <f>IF($C156+1&gt;AT$7,0,IF($D156&gt;SUM($G156:AS156),$D156/$E156,0))</f>
        <v>0</v>
      </c>
      <c r="AU156" s="263">
        <f>IF($C156+1&gt;AU$7,0,IF($D156&gt;SUM($G156:AT156),$D156/$E156,0))</f>
        <v>0</v>
      </c>
      <c r="AV156" s="263">
        <f>IF($C156+1&gt;AV$7,0,IF($D156&gt;SUM($G156:AU156),$D156/$E156,0))</f>
        <v>0</v>
      </c>
      <c r="AW156" s="263">
        <f>IF($C156+1&gt;AW$7,0,IF($D156&gt;SUM($G156:AV156),$D156/$E156,0))</f>
        <v>0</v>
      </c>
      <c r="AX156" s="263">
        <f>IF($C156+1&gt;AX$7,0,IF($D156&gt;SUM($G156:AW156),$D156/$E156,0))</f>
        <v>0</v>
      </c>
      <c r="AY156" s="263">
        <f>IF($C156+1&gt;AY$7,0,IF($D156&gt;SUM($G156:AX156),$D156/$E156,0))</f>
        <v>0</v>
      </c>
      <c r="AZ156" s="263">
        <f>IF($C156+1&gt;AZ$7,0,IF($D156&gt;SUM($G156:AY156),$D156/$E156,0))</f>
        <v>0</v>
      </c>
      <c r="BA156" s="263">
        <f>IF($C156+1&gt;BA$7,0,IF($D156&gt;SUM($G156:AZ156),$D156/$E156,0))</f>
        <v>0</v>
      </c>
      <c r="BB156" s="263">
        <f>IF($C156+1&gt;BB$7,0,IF($D156&gt;SUM($G156:BA156),$D156/$E156,0))</f>
        <v>0</v>
      </c>
      <c r="BC156" s="263">
        <f>IF($C156+1&gt;BC$7,0,IF($D156&gt;SUM($G156:BB156),$D156/$E156,0))</f>
        <v>0</v>
      </c>
      <c r="BD156" s="263">
        <f>IF($C156+1&gt;BD$7,0,IF($D156&gt;SUM($G156:BC156),$D156/$E156,0))</f>
        <v>0</v>
      </c>
      <c r="BE156" s="263">
        <f>IF($C156+1&gt;BE$7,0,IF($D156&gt;SUM($G156:BD156),$D156/$E156,0))</f>
        <v>0</v>
      </c>
      <c r="BF156" s="263">
        <f>IF($C156+1&gt;BF$7,0,IF($D156&gt;SUM($G156:BE156),$D156/$E156,0))</f>
        <v>0</v>
      </c>
      <c r="BG156" s="263">
        <f>IF($C156+1&gt;BG$7,0,IF($D156&gt;SUM($G156:BF156),$D156/$E156,0))</f>
        <v>0</v>
      </c>
      <c r="BH156" s="263">
        <f>IF($C156+1&gt;BH$7,0,IF($D156&gt;SUM($G156:BG156),$D156/$E156,0))</f>
        <v>0</v>
      </c>
      <c r="BI156" s="263">
        <f>IF($C156+1&gt;BI$7,0,IF($D156&gt;SUM($G156:BH156),$D156/$E156,0))</f>
        <v>0</v>
      </c>
      <c r="BJ156" s="263">
        <f>IF($C156+1&gt;BJ$7,0,IF($D156&gt;SUM($G156:BI156),$D156/$E156,0))</f>
        <v>0</v>
      </c>
      <c r="BK156" s="263">
        <f>IF($C156+1&gt;BK$7,0,IF($D156&gt;SUM($G156:BJ156),$D156/$E156,0))</f>
        <v>0</v>
      </c>
      <c r="BL156" s="263">
        <f>IF($C156+1&gt;BL$7,0,IF($D156&gt;SUM($G156:BK156),$D156/$E156,0))</f>
        <v>0</v>
      </c>
      <c r="BM156" s="263">
        <f>IF($C156+1&gt;BM$7,0,IF($D156&gt;SUM($G156:BL156),$D156/$E156,0))</f>
        <v>0</v>
      </c>
      <c r="BN156" s="263">
        <f>IF($C156+1&gt;BN$7,0,IF($D156&gt;SUM($G156:BM156),$D156/$E156,0))</f>
        <v>0</v>
      </c>
      <c r="BO156" s="263"/>
      <c r="BP156" s="263"/>
      <c r="BQ156" s="263"/>
      <c r="BR156" s="263"/>
      <c r="BS156" s="263"/>
      <c r="BT156" s="263"/>
      <c r="BU156" s="263"/>
      <c r="BV156" s="263"/>
      <c r="BW156" s="263"/>
      <c r="BX156" s="263"/>
      <c r="BY156" s="263"/>
      <c r="BZ156" s="263"/>
      <c r="CA156" s="254"/>
      <c r="CB156" s="254"/>
      <c r="CC156" s="254"/>
      <c r="CD156" s="254"/>
      <c r="CE156" s="254"/>
      <c r="CF156" s="254"/>
      <c r="CG156" s="254"/>
      <c r="CH156" s="254"/>
      <c r="CI156" s="254"/>
      <c r="CJ156" s="254"/>
      <c r="CK156" s="254"/>
      <c r="CL156" s="254"/>
    </row>
    <row r="157" spans="1:90" outlineLevel="1" x14ac:dyDescent="0.15">
      <c r="A157" s="50"/>
      <c r="B157" s="23"/>
      <c r="C157" s="26">
        <v>49</v>
      </c>
      <c r="D157" s="281">
        <v>0</v>
      </c>
      <c r="E157" s="26">
        <f>SAP_Leadsheet!$E$61</f>
        <v>7</v>
      </c>
      <c r="G157" s="263">
        <f>IF($C157+1&gt;G$7,0,IF($D157&gt;SUM(#REF!),$D157/$E157,0))</f>
        <v>0</v>
      </c>
      <c r="H157" s="263">
        <f>IF($C157+1&gt;H$7,0,IF($D157&gt;SUM($G157:G157),$D157/$E157,0))</f>
        <v>0</v>
      </c>
      <c r="I157" s="263">
        <f>IF($C157+1&gt;I$7,0,IF($D157&gt;SUM($G157:H157),$D157/$E157,0))</f>
        <v>0</v>
      </c>
      <c r="J157" s="263">
        <f>IF($C157+1&gt;J$7,0,IF($D157&gt;SUM($G157:I157),$D157/$E157,0))</f>
        <v>0</v>
      </c>
      <c r="K157" s="263">
        <f>IF($C157+1&gt;K$7,0,IF($D157&gt;SUM($G157:J157),$D157/$E157,0))</f>
        <v>0</v>
      </c>
      <c r="L157" s="263">
        <f>IF($C157+1&gt;L$7,0,IF($D157&gt;SUM($G157:K157),$D157/$E157,0))</f>
        <v>0</v>
      </c>
      <c r="M157" s="263">
        <f>IF($C157+1&gt;M$7,0,IF($D157&gt;SUM($G157:L157),$D157/$E157,0))</f>
        <v>0</v>
      </c>
      <c r="N157" s="263">
        <f>IF($C157+1&gt;N$7,0,IF($D157&gt;SUM($G157:M157),$D157/$E157,0))</f>
        <v>0</v>
      </c>
      <c r="O157" s="263">
        <f>IF($C157+1&gt;O$7,0,IF($D157&gt;SUM($G157:N157),$D157/$E157,0))</f>
        <v>0</v>
      </c>
      <c r="P157" s="263">
        <f>IF($C157+1&gt;P$7,0,IF($D157&gt;SUM($G157:O157),$D157/$E157,0))</f>
        <v>0</v>
      </c>
      <c r="Q157" s="263">
        <f>IF($C157+1&gt;Q$7,0,IF($D157&gt;SUM($G157:P157),$D157/$E157,0))</f>
        <v>0</v>
      </c>
      <c r="R157" s="263">
        <f>IF($C157+1&gt;R$7,0,IF($D157&gt;SUM($G157:Q157),$D157/$E157,0))</f>
        <v>0</v>
      </c>
      <c r="S157" s="263">
        <f>IF($C157+1&gt;S$7,0,IF($D157&gt;SUM($G157:R157),$D157/$E157,0))</f>
        <v>0</v>
      </c>
      <c r="T157" s="263">
        <f>IF($C157+1&gt;T$7,0,IF($D157&gt;SUM($G157:S157),$D157/$E157,0))</f>
        <v>0</v>
      </c>
      <c r="U157" s="263">
        <f>IF($C157+1&gt;U$7,0,IF($D157&gt;SUM($G157:T157),$D157/$E157,0))</f>
        <v>0</v>
      </c>
      <c r="V157" s="263">
        <f>IF($C157+1&gt;V$7,0,IF($D157&gt;SUM($G157:U157),$D157/$E157,0))</f>
        <v>0</v>
      </c>
      <c r="W157" s="263">
        <f>IF($C157+1&gt;W$7,0,IF($D157&gt;SUM($G157:V157),$D157/$E157,0))</f>
        <v>0</v>
      </c>
      <c r="X157" s="263">
        <f>IF($C157+1&gt;X$7,0,IF($D157&gt;SUM($G157:W157),$D157/$E157,0))</f>
        <v>0</v>
      </c>
      <c r="Y157" s="263">
        <f>IF($C157+1&gt;Y$7,0,IF($D157&gt;SUM($G157:X157),$D157/$E157,0))</f>
        <v>0</v>
      </c>
      <c r="Z157" s="263">
        <f>IF($C157+1&gt;Z$7,0,IF($D157&gt;SUM($G157:Y157),$D157/$E157,0))</f>
        <v>0</v>
      </c>
      <c r="AA157" s="263">
        <f>IF($C157+1&gt;AA$7,0,IF($D157&gt;SUM($G157:Z157),$D157/$E157,0))</f>
        <v>0</v>
      </c>
      <c r="AB157" s="263">
        <f>IF($C157+1&gt;AB$7,0,IF($D157&gt;SUM($G157:AA157),$D157/$E157,0))</f>
        <v>0</v>
      </c>
      <c r="AC157" s="263">
        <f>IF($C157+1&gt;AC$7,0,IF($D157&gt;SUM($G157:AB157),$D157/$E157,0))</f>
        <v>0</v>
      </c>
      <c r="AD157" s="263">
        <f>IF($C157+1&gt;AD$7,0,IF($D157&gt;SUM($G157:AC157),$D157/$E157,0))</f>
        <v>0</v>
      </c>
      <c r="AE157" s="263">
        <f>IF($C157+1&gt;AE$7,0,IF($D157&gt;SUM($G157:AD157),$D157/$E157,0))</f>
        <v>0</v>
      </c>
      <c r="AF157" s="263">
        <f>IF($C157+1&gt;AF$7,0,IF($D157&gt;SUM($G157:AE157),$D157/$E157,0))</f>
        <v>0</v>
      </c>
      <c r="AG157" s="263">
        <f>IF($C157+1&gt;AG$7,0,IF($D157&gt;SUM($G157:AF157),$D157/$E157,0))</f>
        <v>0</v>
      </c>
      <c r="AH157" s="263">
        <f>IF($C157+1&gt;AH$7,0,IF($D157&gt;SUM($G157:AG157),$D157/$E157,0))</f>
        <v>0</v>
      </c>
      <c r="AI157" s="263">
        <f>IF($C157+1&gt;AI$7,0,IF($D157&gt;SUM($G157:AH157),$D157/$E157,0))</f>
        <v>0</v>
      </c>
      <c r="AJ157" s="263">
        <f>IF($C157+1&gt;AJ$7,0,IF($D157&gt;SUM($G157:AI157),$D157/$E157,0))</f>
        <v>0</v>
      </c>
      <c r="AK157" s="263">
        <f>IF($C157+1&gt;AK$7,0,IF($D157&gt;SUM($G157:AJ157),$D157/$E157,0))</f>
        <v>0</v>
      </c>
      <c r="AL157" s="263">
        <f>IF($C157+1&gt;AL$7,0,IF($D157&gt;SUM($G157:AK157),$D157/$E157,0))</f>
        <v>0</v>
      </c>
      <c r="AM157" s="263">
        <f>IF($C157+1&gt;AM$7,0,IF($D157&gt;SUM($G157:AL157),$D157/$E157,0))</f>
        <v>0</v>
      </c>
      <c r="AN157" s="263">
        <f>IF($C157+1&gt;AN$7,0,IF($D157&gt;SUM($G157:AM157),$D157/$E157,0))</f>
        <v>0</v>
      </c>
      <c r="AO157" s="263">
        <f>IF($C157+1&gt;AO$7,0,IF($D157&gt;SUM($G157:AN157),$D157/$E157,0))</f>
        <v>0</v>
      </c>
      <c r="AP157" s="263">
        <f>IF($C157+1&gt;AP$7,0,IF($D157&gt;SUM($G157:AO157),$D157/$E157,0))</f>
        <v>0</v>
      </c>
      <c r="AQ157" s="263">
        <f>IF($C157+1&gt;AQ$7,0,IF($D157&gt;SUM($G157:AP157),$D157/$E157,0))</f>
        <v>0</v>
      </c>
      <c r="AR157" s="263">
        <f>IF($C157+1&gt;AR$7,0,IF($D157&gt;SUM($G157:AQ157),$D157/$E157,0))</f>
        <v>0</v>
      </c>
      <c r="AS157" s="263">
        <f>IF($C157+1&gt;AS$7,0,IF($D157&gt;SUM($G157:AR157),$D157/$E157,0))</f>
        <v>0</v>
      </c>
      <c r="AT157" s="263">
        <f>IF($C157+1&gt;AT$7,0,IF($D157&gt;SUM($G157:AS157),$D157/$E157,0))</f>
        <v>0</v>
      </c>
      <c r="AU157" s="263">
        <f>IF($C157+1&gt;AU$7,0,IF($D157&gt;SUM($G157:AT157),$D157/$E157,0))</f>
        <v>0</v>
      </c>
      <c r="AV157" s="263">
        <f>IF($C157+1&gt;AV$7,0,IF($D157&gt;SUM($G157:AU157),$D157/$E157,0))</f>
        <v>0</v>
      </c>
      <c r="AW157" s="263">
        <f>IF($C157+1&gt;AW$7,0,IF($D157&gt;SUM($G157:AV157),$D157/$E157,0))</f>
        <v>0</v>
      </c>
      <c r="AX157" s="263">
        <f>IF($C157+1&gt;AX$7,0,IF($D157&gt;SUM($G157:AW157),$D157/$E157,0))</f>
        <v>0</v>
      </c>
      <c r="AY157" s="263">
        <f>IF($C157+1&gt;AY$7,0,IF($D157&gt;SUM($G157:AX157),$D157/$E157,0))</f>
        <v>0</v>
      </c>
      <c r="AZ157" s="263">
        <f>IF($C157+1&gt;AZ$7,0,IF($D157&gt;SUM($G157:AY157),$D157/$E157,0))</f>
        <v>0</v>
      </c>
      <c r="BA157" s="263">
        <f>IF($C157+1&gt;BA$7,0,IF($D157&gt;SUM($G157:AZ157),$D157/$E157,0))</f>
        <v>0</v>
      </c>
      <c r="BB157" s="263">
        <f>IF($C157+1&gt;BB$7,0,IF($D157&gt;SUM($G157:BA157),$D157/$E157,0))</f>
        <v>0</v>
      </c>
      <c r="BC157" s="263">
        <f>IF($C157+1&gt;BC$7,0,IF($D157&gt;SUM($G157:BB157),$D157/$E157,0))</f>
        <v>0</v>
      </c>
      <c r="BD157" s="263">
        <f>IF($C157+1&gt;BD$7,0,IF($D157&gt;SUM($G157:BC157),$D157/$E157,0))</f>
        <v>0</v>
      </c>
      <c r="BE157" s="263">
        <f>IF($C157+1&gt;BE$7,0,IF($D157&gt;SUM($G157:BD157),$D157/$E157,0))</f>
        <v>0</v>
      </c>
      <c r="BF157" s="263">
        <f>IF($C157+1&gt;BF$7,0,IF($D157&gt;SUM($G157:BE157),$D157/$E157,0))</f>
        <v>0</v>
      </c>
      <c r="BG157" s="263">
        <f>IF($C157+1&gt;BG$7,0,IF($D157&gt;SUM($G157:BF157),$D157/$E157,0))</f>
        <v>0</v>
      </c>
      <c r="BH157" s="263">
        <f>IF($C157+1&gt;BH$7,0,IF($D157&gt;SUM($G157:BG157),$D157/$E157,0))</f>
        <v>0</v>
      </c>
      <c r="BI157" s="263">
        <f>IF($C157+1&gt;BI$7,0,IF($D157&gt;SUM($G157:BH157),$D157/$E157,0))</f>
        <v>0</v>
      </c>
      <c r="BJ157" s="263">
        <f>IF($C157+1&gt;BJ$7,0,IF($D157&gt;SUM($G157:BI157),$D157/$E157,0))</f>
        <v>0</v>
      </c>
      <c r="BK157" s="263">
        <f>IF($C157+1&gt;BK$7,0,IF($D157&gt;SUM($G157:BJ157),$D157/$E157,0))</f>
        <v>0</v>
      </c>
      <c r="BL157" s="263">
        <f>IF($C157+1&gt;BL$7,0,IF($D157&gt;SUM($G157:BK157),$D157/$E157,0))</f>
        <v>0</v>
      </c>
      <c r="BM157" s="263">
        <f>IF($C157+1&gt;BM$7,0,IF($D157&gt;SUM($G157:BL157),$D157/$E157,0))</f>
        <v>0</v>
      </c>
      <c r="BN157" s="263">
        <f>IF($C157+1&gt;BN$7,0,IF($D157&gt;SUM($G157:BM157),$D157/$E157,0))</f>
        <v>0</v>
      </c>
      <c r="BO157" s="263"/>
      <c r="BP157" s="263"/>
      <c r="BQ157" s="263"/>
      <c r="BR157" s="263"/>
      <c r="BS157" s="263"/>
      <c r="BT157" s="263"/>
      <c r="BU157" s="263"/>
      <c r="BV157" s="263"/>
      <c r="BW157" s="263"/>
      <c r="BX157" s="263"/>
      <c r="BY157" s="263"/>
      <c r="BZ157" s="263"/>
      <c r="CA157" s="254"/>
      <c r="CB157" s="254"/>
      <c r="CC157" s="254"/>
      <c r="CD157" s="254"/>
      <c r="CE157" s="254"/>
      <c r="CF157" s="254"/>
      <c r="CG157" s="254"/>
      <c r="CH157" s="254"/>
      <c r="CI157" s="254"/>
      <c r="CJ157" s="254"/>
      <c r="CK157" s="254"/>
      <c r="CL157" s="254"/>
    </row>
    <row r="158" spans="1:90" outlineLevel="1" x14ac:dyDescent="0.15">
      <c r="A158" s="50"/>
      <c r="B158" s="23"/>
      <c r="C158" s="26">
        <v>50</v>
      </c>
      <c r="D158" s="281">
        <v>0</v>
      </c>
      <c r="E158" s="26">
        <f>SAP_Leadsheet!$E$61</f>
        <v>7</v>
      </c>
      <c r="G158" s="263">
        <f>IF($C158+1&gt;G$7,0,IF($D158&gt;SUM(#REF!),$D158/$E158,0))</f>
        <v>0</v>
      </c>
      <c r="H158" s="263">
        <f>IF($C158+1&gt;H$7,0,IF($D158&gt;SUM($G158:G158),$D158/$E158,0))</f>
        <v>0</v>
      </c>
      <c r="I158" s="263">
        <f>IF($C158+1&gt;I$7,0,IF($D158&gt;SUM($G158:H158),$D158/$E158,0))</f>
        <v>0</v>
      </c>
      <c r="J158" s="263">
        <f>IF($C158+1&gt;J$7,0,IF($D158&gt;SUM($G158:I158),$D158/$E158,0))</f>
        <v>0</v>
      </c>
      <c r="K158" s="263">
        <f>IF($C158+1&gt;K$7,0,IF($D158&gt;SUM($G158:J158),$D158/$E158,0))</f>
        <v>0</v>
      </c>
      <c r="L158" s="263">
        <f>IF($C158+1&gt;L$7,0,IF($D158&gt;SUM($G158:K158),$D158/$E158,0))</f>
        <v>0</v>
      </c>
      <c r="M158" s="263">
        <f>IF($C158+1&gt;M$7,0,IF($D158&gt;SUM($G158:L158),$D158/$E158,0))</f>
        <v>0</v>
      </c>
      <c r="N158" s="263">
        <f>IF($C158+1&gt;N$7,0,IF($D158&gt;SUM($G158:M158),$D158/$E158,0))</f>
        <v>0</v>
      </c>
      <c r="O158" s="263">
        <f>IF($C158+1&gt;O$7,0,IF($D158&gt;SUM($G158:N158),$D158/$E158,0))</f>
        <v>0</v>
      </c>
      <c r="P158" s="263">
        <f>IF($C158+1&gt;P$7,0,IF($D158&gt;SUM($G158:O158),$D158/$E158,0))</f>
        <v>0</v>
      </c>
      <c r="Q158" s="263">
        <f>IF($C158+1&gt;Q$7,0,IF($D158&gt;SUM($G158:P158),$D158/$E158,0))</f>
        <v>0</v>
      </c>
      <c r="R158" s="263">
        <f>IF($C158+1&gt;R$7,0,IF($D158&gt;SUM($G158:Q158),$D158/$E158,0))</f>
        <v>0</v>
      </c>
      <c r="S158" s="263">
        <f>IF($C158+1&gt;S$7,0,IF($D158&gt;SUM($G158:R158),$D158/$E158,0))</f>
        <v>0</v>
      </c>
      <c r="T158" s="263">
        <f>IF($C158+1&gt;T$7,0,IF($D158&gt;SUM($G158:S158),$D158/$E158,0))</f>
        <v>0</v>
      </c>
      <c r="U158" s="263">
        <f>IF($C158+1&gt;U$7,0,IF($D158&gt;SUM($G158:T158),$D158/$E158,0))</f>
        <v>0</v>
      </c>
      <c r="V158" s="263">
        <f>IF($C158+1&gt;V$7,0,IF($D158&gt;SUM($G158:U158),$D158/$E158,0))</f>
        <v>0</v>
      </c>
      <c r="W158" s="263">
        <f>IF($C158+1&gt;W$7,0,IF($D158&gt;SUM($G158:V158),$D158/$E158,0))</f>
        <v>0</v>
      </c>
      <c r="X158" s="263">
        <f>IF($C158+1&gt;X$7,0,IF($D158&gt;SUM($G158:W158),$D158/$E158,0))</f>
        <v>0</v>
      </c>
      <c r="Y158" s="263">
        <f>IF($C158+1&gt;Y$7,0,IF($D158&gt;SUM($G158:X158),$D158/$E158,0))</f>
        <v>0</v>
      </c>
      <c r="Z158" s="263">
        <f>IF($C158+1&gt;Z$7,0,IF($D158&gt;SUM($G158:Y158),$D158/$E158,0))</f>
        <v>0</v>
      </c>
      <c r="AA158" s="263">
        <f>IF($C158+1&gt;AA$7,0,IF($D158&gt;SUM($G158:Z158),$D158/$E158,0))</f>
        <v>0</v>
      </c>
      <c r="AB158" s="263">
        <f>IF($C158+1&gt;AB$7,0,IF($D158&gt;SUM($G158:AA158),$D158/$E158,0))</f>
        <v>0</v>
      </c>
      <c r="AC158" s="263">
        <f>IF($C158+1&gt;AC$7,0,IF($D158&gt;SUM($G158:AB158),$D158/$E158,0))</f>
        <v>0</v>
      </c>
      <c r="AD158" s="263">
        <f>IF($C158+1&gt;AD$7,0,IF($D158&gt;SUM($G158:AC158),$D158/$E158,0))</f>
        <v>0</v>
      </c>
      <c r="AE158" s="263">
        <f>IF($C158+1&gt;AE$7,0,IF($D158&gt;SUM($G158:AD158),$D158/$E158,0))</f>
        <v>0</v>
      </c>
      <c r="AF158" s="263">
        <f>IF($C158+1&gt;AF$7,0,IF($D158&gt;SUM($G158:AE158),$D158/$E158,0))</f>
        <v>0</v>
      </c>
      <c r="AG158" s="263">
        <f>IF($C158+1&gt;AG$7,0,IF($D158&gt;SUM($G158:AF158),$D158/$E158,0))</f>
        <v>0</v>
      </c>
      <c r="AH158" s="263">
        <f>IF($C158+1&gt;AH$7,0,IF($D158&gt;SUM($G158:AG158),$D158/$E158,0))</f>
        <v>0</v>
      </c>
      <c r="AI158" s="263">
        <f>IF($C158+1&gt;AI$7,0,IF($D158&gt;SUM($G158:AH158),$D158/$E158,0))</f>
        <v>0</v>
      </c>
      <c r="AJ158" s="263">
        <f>IF($C158+1&gt;AJ$7,0,IF($D158&gt;SUM($G158:AI158),$D158/$E158,0))</f>
        <v>0</v>
      </c>
      <c r="AK158" s="263">
        <f>IF($C158+1&gt;AK$7,0,IF($D158&gt;SUM($G158:AJ158),$D158/$E158,0))</f>
        <v>0</v>
      </c>
      <c r="AL158" s="263">
        <f>IF($C158+1&gt;AL$7,0,IF($D158&gt;SUM($G158:AK158),$D158/$E158,0))</f>
        <v>0</v>
      </c>
      <c r="AM158" s="263">
        <f>IF($C158+1&gt;AM$7,0,IF($D158&gt;SUM($G158:AL158),$D158/$E158,0))</f>
        <v>0</v>
      </c>
      <c r="AN158" s="263">
        <f>IF($C158+1&gt;AN$7,0,IF($D158&gt;SUM($G158:AM158),$D158/$E158,0))</f>
        <v>0</v>
      </c>
      <c r="AO158" s="263">
        <f>IF($C158+1&gt;AO$7,0,IF($D158&gt;SUM($G158:AN158),$D158/$E158,0))</f>
        <v>0</v>
      </c>
      <c r="AP158" s="263">
        <f>IF($C158+1&gt;AP$7,0,IF($D158&gt;SUM($G158:AO158),$D158/$E158,0))</f>
        <v>0</v>
      </c>
      <c r="AQ158" s="263">
        <f>IF($C158+1&gt;AQ$7,0,IF($D158&gt;SUM($G158:AP158),$D158/$E158,0))</f>
        <v>0</v>
      </c>
      <c r="AR158" s="263">
        <f>IF($C158+1&gt;AR$7,0,IF($D158&gt;SUM($G158:AQ158),$D158/$E158,0))</f>
        <v>0</v>
      </c>
      <c r="AS158" s="263">
        <f>IF($C158+1&gt;AS$7,0,IF($D158&gt;SUM($G158:AR158),$D158/$E158,0))</f>
        <v>0</v>
      </c>
      <c r="AT158" s="263">
        <f>IF($C158+1&gt;AT$7,0,IF($D158&gt;SUM($G158:AS158),$D158/$E158,0))</f>
        <v>0</v>
      </c>
      <c r="AU158" s="263">
        <f>IF($C158+1&gt;AU$7,0,IF($D158&gt;SUM($G158:AT158),$D158/$E158,0))</f>
        <v>0</v>
      </c>
      <c r="AV158" s="263">
        <f>IF($C158+1&gt;AV$7,0,IF($D158&gt;SUM($G158:AU158),$D158/$E158,0))</f>
        <v>0</v>
      </c>
      <c r="AW158" s="263">
        <f>IF($C158+1&gt;AW$7,0,IF($D158&gt;SUM($G158:AV158),$D158/$E158,0))</f>
        <v>0</v>
      </c>
      <c r="AX158" s="263">
        <f>IF($C158+1&gt;AX$7,0,IF($D158&gt;SUM($G158:AW158),$D158/$E158,0))</f>
        <v>0</v>
      </c>
      <c r="AY158" s="263">
        <f>IF($C158+1&gt;AY$7,0,IF($D158&gt;SUM($G158:AX158),$D158/$E158,0))</f>
        <v>0</v>
      </c>
      <c r="AZ158" s="263">
        <f>IF($C158+1&gt;AZ$7,0,IF($D158&gt;SUM($G158:AY158),$D158/$E158,0))</f>
        <v>0</v>
      </c>
      <c r="BA158" s="263">
        <f>IF($C158+1&gt;BA$7,0,IF($D158&gt;SUM($G158:AZ158),$D158/$E158,0))</f>
        <v>0</v>
      </c>
      <c r="BB158" s="263">
        <f>IF($C158+1&gt;BB$7,0,IF($D158&gt;SUM($G158:BA158),$D158/$E158,0))</f>
        <v>0</v>
      </c>
      <c r="BC158" s="263">
        <f>IF($C158+1&gt;BC$7,0,IF($D158&gt;SUM($G158:BB158),$D158/$E158,0))</f>
        <v>0</v>
      </c>
      <c r="BD158" s="263">
        <f>IF($C158+1&gt;BD$7,0,IF($D158&gt;SUM($G158:BC158),$D158/$E158,0))</f>
        <v>0</v>
      </c>
      <c r="BE158" s="263">
        <f>IF($C158+1&gt;BE$7,0,IF($D158&gt;SUM($G158:BD158),$D158/$E158,0))</f>
        <v>0</v>
      </c>
      <c r="BF158" s="263">
        <f>IF($C158+1&gt;BF$7,0,IF($D158&gt;SUM($G158:BE158),$D158/$E158,0))</f>
        <v>0</v>
      </c>
      <c r="BG158" s="263">
        <f>IF($C158+1&gt;BG$7,0,IF($D158&gt;SUM($G158:BF158),$D158/$E158,0))</f>
        <v>0</v>
      </c>
      <c r="BH158" s="263">
        <f>IF($C158+1&gt;BH$7,0,IF($D158&gt;SUM($G158:BG158),$D158/$E158,0))</f>
        <v>0</v>
      </c>
      <c r="BI158" s="263">
        <f>IF($C158+1&gt;BI$7,0,IF($D158&gt;SUM($G158:BH158),$D158/$E158,0))</f>
        <v>0</v>
      </c>
      <c r="BJ158" s="263">
        <f>IF($C158+1&gt;BJ$7,0,IF($D158&gt;SUM($G158:BI158),$D158/$E158,0))</f>
        <v>0</v>
      </c>
      <c r="BK158" s="263">
        <f>IF($C158+1&gt;BK$7,0,IF($D158&gt;SUM($G158:BJ158),$D158/$E158,0))</f>
        <v>0</v>
      </c>
      <c r="BL158" s="263">
        <f>IF($C158+1&gt;BL$7,0,IF($D158&gt;SUM($G158:BK158),$D158/$E158,0))</f>
        <v>0</v>
      </c>
      <c r="BM158" s="263">
        <f>IF($C158+1&gt;BM$7,0,IF($D158&gt;SUM($G158:BL158),$D158/$E158,0))</f>
        <v>0</v>
      </c>
      <c r="BN158" s="263">
        <f>IF($C158+1&gt;BN$7,0,IF($D158&gt;SUM($G158:BM158),$D158/$E158,0))</f>
        <v>0</v>
      </c>
      <c r="BO158" s="263"/>
      <c r="BP158" s="263"/>
      <c r="BQ158" s="263"/>
      <c r="BR158" s="263"/>
      <c r="BS158" s="263"/>
      <c r="BT158" s="263"/>
      <c r="BU158" s="263"/>
      <c r="BV158" s="263"/>
      <c r="BW158" s="263"/>
      <c r="BX158" s="263"/>
      <c r="BY158" s="263"/>
      <c r="BZ158" s="263"/>
      <c r="CA158" s="254"/>
      <c r="CB158" s="254"/>
      <c r="CC158" s="254"/>
      <c r="CD158" s="254"/>
      <c r="CE158" s="254"/>
      <c r="CF158" s="254"/>
      <c r="CG158" s="254"/>
      <c r="CH158" s="254"/>
      <c r="CI158" s="254"/>
      <c r="CJ158" s="254"/>
      <c r="CK158" s="254"/>
      <c r="CL158" s="254"/>
    </row>
    <row r="159" spans="1:90" outlineLevel="1" x14ac:dyDescent="0.15">
      <c r="A159" s="50"/>
      <c r="B159" s="23"/>
      <c r="C159" s="26">
        <v>51</v>
      </c>
      <c r="D159" s="281">
        <v>0</v>
      </c>
      <c r="E159" s="26">
        <f>SAP_Leadsheet!$E$61</f>
        <v>7</v>
      </c>
      <c r="G159" s="263">
        <f>IF($C159+1&gt;G$7,0,IF($D159&gt;SUM(#REF!),$D159/$E159,0))</f>
        <v>0</v>
      </c>
      <c r="H159" s="263">
        <f>IF($C159+1&gt;H$7,0,IF($D159&gt;SUM($G159:G159),$D159/$E159,0))</f>
        <v>0</v>
      </c>
      <c r="I159" s="263">
        <f>IF($C159+1&gt;I$7,0,IF($D159&gt;SUM($G159:H159),$D159/$E159,0))</f>
        <v>0</v>
      </c>
      <c r="J159" s="263">
        <f>IF($C159+1&gt;J$7,0,IF($D159&gt;SUM($G159:I159),$D159/$E159,0))</f>
        <v>0</v>
      </c>
      <c r="K159" s="263">
        <f>IF($C159+1&gt;K$7,0,IF($D159&gt;SUM($G159:J159),$D159/$E159,0))</f>
        <v>0</v>
      </c>
      <c r="L159" s="263">
        <f>IF($C159+1&gt;L$7,0,IF($D159&gt;SUM($G159:K159),$D159/$E159,0))</f>
        <v>0</v>
      </c>
      <c r="M159" s="263">
        <f>IF($C159+1&gt;M$7,0,IF($D159&gt;SUM($G159:L159),$D159/$E159,0))</f>
        <v>0</v>
      </c>
      <c r="N159" s="263">
        <f>IF($C159+1&gt;N$7,0,IF($D159&gt;SUM($G159:M159),$D159/$E159,0))</f>
        <v>0</v>
      </c>
      <c r="O159" s="263">
        <f>IF($C159+1&gt;O$7,0,IF($D159&gt;SUM($G159:N159),$D159/$E159,0))</f>
        <v>0</v>
      </c>
      <c r="P159" s="263">
        <f>IF($C159+1&gt;P$7,0,IF($D159&gt;SUM($G159:O159),$D159/$E159,0))</f>
        <v>0</v>
      </c>
      <c r="Q159" s="263">
        <f>IF($C159+1&gt;Q$7,0,IF($D159&gt;SUM($G159:P159),$D159/$E159,0))</f>
        <v>0</v>
      </c>
      <c r="R159" s="263">
        <f>IF($C159+1&gt;R$7,0,IF($D159&gt;SUM($G159:Q159),$D159/$E159,0))</f>
        <v>0</v>
      </c>
      <c r="S159" s="263">
        <f>IF($C159+1&gt;S$7,0,IF($D159&gt;SUM($G159:R159),$D159/$E159,0))</f>
        <v>0</v>
      </c>
      <c r="T159" s="263">
        <f>IF($C159+1&gt;T$7,0,IF($D159&gt;SUM($G159:S159),$D159/$E159,0))</f>
        <v>0</v>
      </c>
      <c r="U159" s="263">
        <f>IF($C159+1&gt;U$7,0,IF($D159&gt;SUM($G159:T159),$D159/$E159,0))</f>
        <v>0</v>
      </c>
      <c r="V159" s="263">
        <f>IF($C159+1&gt;V$7,0,IF($D159&gt;SUM($G159:U159),$D159/$E159,0))</f>
        <v>0</v>
      </c>
      <c r="W159" s="263">
        <f>IF($C159+1&gt;W$7,0,IF($D159&gt;SUM($G159:V159),$D159/$E159,0))</f>
        <v>0</v>
      </c>
      <c r="X159" s="263">
        <f>IF($C159+1&gt;X$7,0,IF($D159&gt;SUM($G159:W159),$D159/$E159,0))</f>
        <v>0</v>
      </c>
      <c r="Y159" s="263">
        <f>IF($C159+1&gt;Y$7,0,IF($D159&gt;SUM($G159:X159),$D159/$E159,0))</f>
        <v>0</v>
      </c>
      <c r="Z159" s="263">
        <f>IF($C159+1&gt;Z$7,0,IF($D159&gt;SUM($G159:Y159),$D159/$E159,0))</f>
        <v>0</v>
      </c>
      <c r="AA159" s="263">
        <f>IF($C159+1&gt;AA$7,0,IF($D159&gt;SUM($G159:Z159),$D159/$E159,0))</f>
        <v>0</v>
      </c>
      <c r="AB159" s="263">
        <f>IF($C159+1&gt;AB$7,0,IF($D159&gt;SUM($G159:AA159),$D159/$E159,0))</f>
        <v>0</v>
      </c>
      <c r="AC159" s="263">
        <f>IF($C159+1&gt;AC$7,0,IF($D159&gt;SUM($G159:AB159),$D159/$E159,0))</f>
        <v>0</v>
      </c>
      <c r="AD159" s="263">
        <f>IF($C159+1&gt;AD$7,0,IF($D159&gt;SUM($G159:AC159),$D159/$E159,0))</f>
        <v>0</v>
      </c>
      <c r="AE159" s="263">
        <f>IF($C159+1&gt;AE$7,0,IF($D159&gt;SUM($G159:AD159),$D159/$E159,0))</f>
        <v>0</v>
      </c>
      <c r="AF159" s="263">
        <f>IF($C159+1&gt;AF$7,0,IF($D159&gt;SUM($G159:AE159),$D159/$E159,0))</f>
        <v>0</v>
      </c>
      <c r="AG159" s="263">
        <f>IF($C159+1&gt;AG$7,0,IF($D159&gt;SUM($G159:AF159),$D159/$E159,0))</f>
        <v>0</v>
      </c>
      <c r="AH159" s="263">
        <f>IF($C159+1&gt;AH$7,0,IF($D159&gt;SUM($G159:AG159),$D159/$E159,0))</f>
        <v>0</v>
      </c>
      <c r="AI159" s="263">
        <f>IF($C159+1&gt;AI$7,0,IF($D159&gt;SUM($G159:AH159),$D159/$E159,0))</f>
        <v>0</v>
      </c>
      <c r="AJ159" s="263">
        <f>IF($C159+1&gt;AJ$7,0,IF($D159&gt;SUM($G159:AI159),$D159/$E159,0))</f>
        <v>0</v>
      </c>
      <c r="AK159" s="263">
        <f>IF($C159+1&gt;AK$7,0,IF($D159&gt;SUM($G159:AJ159),$D159/$E159,0))</f>
        <v>0</v>
      </c>
      <c r="AL159" s="263">
        <f>IF($C159+1&gt;AL$7,0,IF($D159&gt;SUM($G159:AK159),$D159/$E159,0))</f>
        <v>0</v>
      </c>
      <c r="AM159" s="263">
        <f>IF($C159+1&gt;AM$7,0,IF($D159&gt;SUM($G159:AL159),$D159/$E159,0))</f>
        <v>0</v>
      </c>
      <c r="AN159" s="263">
        <f>IF($C159+1&gt;AN$7,0,IF($D159&gt;SUM($G159:AM159),$D159/$E159,0))</f>
        <v>0</v>
      </c>
      <c r="AO159" s="263">
        <f>IF($C159+1&gt;AO$7,0,IF($D159&gt;SUM($G159:AN159),$D159/$E159,0))</f>
        <v>0</v>
      </c>
      <c r="AP159" s="263">
        <f>IF($C159+1&gt;AP$7,0,IF($D159&gt;SUM($G159:AO159),$D159/$E159,0))</f>
        <v>0</v>
      </c>
      <c r="AQ159" s="263">
        <f>IF($C159+1&gt;AQ$7,0,IF($D159&gt;SUM($G159:AP159),$D159/$E159,0))</f>
        <v>0</v>
      </c>
      <c r="AR159" s="263">
        <f>IF($C159+1&gt;AR$7,0,IF($D159&gt;SUM($G159:AQ159),$D159/$E159,0))</f>
        <v>0</v>
      </c>
      <c r="AS159" s="263">
        <f>IF($C159+1&gt;AS$7,0,IF($D159&gt;SUM($G159:AR159),$D159/$E159,0))</f>
        <v>0</v>
      </c>
      <c r="AT159" s="263">
        <f>IF($C159+1&gt;AT$7,0,IF($D159&gt;SUM($G159:AS159),$D159/$E159,0))</f>
        <v>0</v>
      </c>
      <c r="AU159" s="263">
        <f>IF($C159+1&gt;AU$7,0,IF($D159&gt;SUM($G159:AT159),$D159/$E159,0))</f>
        <v>0</v>
      </c>
      <c r="AV159" s="263">
        <f>IF($C159+1&gt;AV$7,0,IF($D159&gt;SUM($G159:AU159),$D159/$E159,0))</f>
        <v>0</v>
      </c>
      <c r="AW159" s="263">
        <f>IF($C159+1&gt;AW$7,0,IF($D159&gt;SUM($G159:AV159),$D159/$E159,0))</f>
        <v>0</v>
      </c>
      <c r="AX159" s="263">
        <f>IF($C159+1&gt;AX$7,0,IF($D159&gt;SUM($G159:AW159),$D159/$E159,0))</f>
        <v>0</v>
      </c>
      <c r="AY159" s="263">
        <f>IF($C159+1&gt;AY$7,0,IF($D159&gt;SUM($G159:AX159),$D159/$E159,0))</f>
        <v>0</v>
      </c>
      <c r="AZ159" s="263">
        <f>IF($C159+1&gt;AZ$7,0,IF($D159&gt;SUM($G159:AY159),$D159/$E159,0))</f>
        <v>0</v>
      </c>
      <c r="BA159" s="263">
        <f>IF($C159+1&gt;BA$7,0,IF($D159&gt;SUM($G159:AZ159),$D159/$E159,0))</f>
        <v>0</v>
      </c>
      <c r="BB159" s="263">
        <f>IF($C159+1&gt;BB$7,0,IF($D159&gt;SUM($G159:BA159),$D159/$E159,0))</f>
        <v>0</v>
      </c>
      <c r="BC159" s="263">
        <f>IF($C159+1&gt;BC$7,0,IF($D159&gt;SUM($G159:BB159),$D159/$E159,0))</f>
        <v>0</v>
      </c>
      <c r="BD159" s="263">
        <f>IF($C159+1&gt;BD$7,0,IF($D159&gt;SUM($G159:BC159),$D159/$E159,0))</f>
        <v>0</v>
      </c>
      <c r="BE159" s="263">
        <f>IF($C159+1&gt;BE$7,0,IF($D159&gt;SUM($G159:BD159),$D159/$E159,0))</f>
        <v>0</v>
      </c>
      <c r="BF159" s="263">
        <f>IF($C159+1&gt;BF$7,0,IF($D159&gt;SUM($G159:BE159),$D159/$E159,0))</f>
        <v>0</v>
      </c>
      <c r="BG159" s="263">
        <f>IF($C159+1&gt;BG$7,0,IF($D159&gt;SUM($G159:BF159),$D159/$E159,0))</f>
        <v>0</v>
      </c>
      <c r="BH159" s="263">
        <f>IF($C159+1&gt;BH$7,0,IF($D159&gt;SUM($G159:BG159),$D159/$E159,0))</f>
        <v>0</v>
      </c>
      <c r="BI159" s="263">
        <f>IF($C159+1&gt;BI$7,0,IF($D159&gt;SUM($G159:BH159),$D159/$E159,0))</f>
        <v>0</v>
      </c>
      <c r="BJ159" s="263">
        <f>IF($C159+1&gt;BJ$7,0,IF($D159&gt;SUM($G159:BI159),$D159/$E159,0))</f>
        <v>0</v>
      </c>
      <c r="BK159" s="263">
        <f>IF($C159+1&gt;BK$7,0,IF($D159&gt;SUM($G159:BJ159),$D159/$E159,0))</f>
        <v>0</v>
      </c>
      <c r="BL159" s="263">
        <f>IF($C159+1&gt;BL$7,0,IF($D159&gt;SUM($G159:BK159),$D159/$E159,0))</f>
        <v>0</v>
      </c>
      <c r="BM159" s="263">
        <f>IF($C159+1&gt;BM$7,0,IF($D159&gt;SUM($G159:BL159),$D159/$E159,0))</f>
        <v>0</v>
      </c>
      <c r="BN159" s="263">
        <f>IF($C159+1&gt;BN$7,0,IF($D159&gt;SUM($G159:BM159),$D159/$E159,0))</f>
        <v>0</v>
      </c>
      <c r="BO159" s="263"/>
      <c r="BP159" s="263"/>
      <c r="BQ159" s="263"/>
      <c r="BR159" s="263"/>
      <c r="BS159" s="263"/>
      <c r="BT159" s="263"/>
      <c r="BU159" s="263"/>
      <c r="BV159" s="263"/>
      <c r="BW159" s="263"/>
      <c r="BX159" s="263"/>
      <c r="BY159" s="263"/>
      <c r="BZ159" s="263"/>
      <c r="CA159" s="254"/>
      <c r="CB159" s="254"/>
      <c r="CC159" s="254"/>
      <c r="CD159" s="254"/>
      <c r="CE159" s="254"/>
      <c r="CF159" s="254"/>
      <c r="CG159" s="254"/>
      <c r="CH159" s="254"/>
      <c r="CI159" s="254"/>
      <c r="CJ159" s="254"/>
      <c r="CK159" s="254"/>
      <c r="CL159" s="254"/>
    </row>
    <row r="160" spans="1:90" outlineLevel="1" x14ac:dyDescent="0.15">
      <c r="A160" s="50"/>
      <c r="B160" s="23"/>
      <c r="C160" s="26">
        <v>52</v>
      </c>
      <c r="D160" s="281">
        <v>0</v>
      </c>
      <c r="E160" s="26">
        <f>SAP_Leadsheet!$E$61</f>
        <v>7</v>
      </c>
      <c r="G160" s="263">
        <f>IF($C160+1&gt;G$7,0,IF($D160&gt;SUM(#REF!),$D160/$E160,0))</f>
        <v>0</v>
      </c>
      <c r="H160" s="263">
        <f>IF($C160+1&gt;H$7,0,IF($D160&gt;SUM($G160:G160),$D160/$E160,0))</f>
        <v>0</v>
      </c>
      <c r="I160" s="263">
        <f>IF($C160+1&gt;I$7,0,IF($D160&gt;SUM($G160:H160),$D160/$E160,0))</f>
        <v>0</v>
      </c>
      <c r="J160" s="263">
        <f>IF($C160+1&gt;J$7,0,IF($D160&gt;SUM($G160:I160),$D160/$E160,0))</f>
        <v>0</v>
      </c>
      <c r="K160" s="263">
        <f>IF($C160+1&gt;K$7,0,IF($D160&gt;SUM($G160:J160),$D160/$E160,0))</f>
        <v>0</v>
      </c>
      <c r="L160" s="263">
        <f>IF($C160+1&gt;L$7,0,IF($D160&gt;SUM($G160:K160),$D160/$E160,0))</f>
        <v>0</v>
      </c>
      <c r="M160" s="263">
        <f>IF($C160+1&gt;M$7,0,IF($D160&gt;SUM($G160:L160),$D160/$E160,0))</f>
        <v>0</v>
      </c>
      <c r="N160" s="263">
        <f>IF($C160+1&gt;N$7,0,IF($D160&gt;SUM($G160:M160),$D160/$E160,0))</f>
        <v>0</v>
      </c>
      <c r="O160" s="263">
        <f>IF($C160+1&gt;O$7,0,IF($D160&gt;SUM($G160:N160),$D160/$E160,0))</f>
        <v>0</v>
      </c>
      <c r="P160" s="263">
        <f>IF($C160+1&gt;P$7,0,IF($D160&gt;SUM($G160:O160),$D160/$E160,0))</f>
        <v>0</v>
      </c>
      <c r="Q160" s="263">
        <f>IF($C160+1&gt;Q$7,0,IF($D160&gt;SUM($G160:P160),$D160/$E160,0))</f>
        <v>0</v>
      </c>
      <c r="R160" s="263">
        <f>IF($C160+1&gt;R$7,0,IF($D160&gt;SUM($G160:Q160),$D160/$E160,0))</f>
        <v>0</v>
      </c>
      <c r="S160" s="263">
        <f>IF($C160+1&gt;S$7,0,IF($D160&gt;SUM($G160:R160),$D160/$E160,0))</f>
        <v>0</v>
      </c>
      <c r="T160" s="263">
        <f>IF($C160+1&gt;T$7,0,IF($D160&gt;SUM($G160:S160),$D160/$E160,0))</f>
        <v>0</v>
      </c>
      <c r="U160" s="263">
        <f>IF($C160+1&gt;U$7,0,IF($D160&gt;SUM($G160:T160),$D160/$E160,0))</f>
        <v>0</v>
      </c>
      <c r="V160" s="263">
        <f>IF($C160+1&gt;V$7,0,IF($D160&gt;SUM($G160:U160),$D160/$E160,0))</f>
        <v>0</v>
      </c>
      <c r="W160" s="263">
        <f>IF($C160+1&gt;W$7,0,IF($D160&gt;SUM($G160:V160),$D160/$E160,0))</f>
        <v>0</v>
      </c>
      <c r="X160" s="263">
        <f>IF($C160+1&gt;X$7,0,IF($D160&gt;SUM($G160:W160),$D160/$E160,0))</f>
        <v>0</v>
      </c>
      <c r="Y160" s="263">
        <f>IF($C160+1&gt;Y$7,0,IF($D160&gt;SUM($G160:X160),$D160/$E160,0))</f>
        <v>0</v>
      </c>
      <c r="Z160" s="263">
        <f>IF($C160+1&gt;Z$7,0,IF($D160&gt;SUM($G160:Y160),$D160/$E160,0))</f>
        <v>0</v>
      </c>
      <c r="AA160" s="263">
        <f>IF($C160+1&gt;AA$7,0,IF($D160&gt;SUM($G160:Z160),$D160/$E160,0))</f>
        <v>0</v>
      </c>
      <c r="AB160" s="263">
        <f>IF($C160+1&gt;AB$7,0,IF($D160&gt;SUM($G160:AA160),$D160/$E160,0))</f>
        <v>0</v>
      </c>
      <c r="AC160" s="263">
        <f>IF($C160+1&gt;AC$7,0,IF($D160&gt;SUM($G160:AB160),$D160/$E160,0))</f>
        <v>0</v>
      </c>
      <c r="AD160" s="263">
        <f>IF($C160+1&gt;AD$7,0,IF($D160&gt;SUM($G160:AC160),$D160/$E160,0))</f>
        <v>0</v>
      </c>
      <c r="AE160" s="263">
        <f>IF($C160+1&gt;AE$7,0,IF($D160&gt;SUM($G160:AD160),$D160/$E160,0))</f>
        <v>0</v>
      </c>
      <c r="AF160" s="263">
        <f>IF($C160+1&gt;AF$7,0,IF($D160&gt;SUM($G160:AE160),$D160/$E160,0))</f>
        <v>0</v>
      </c>
      <c r="AG160" s="263">
        <f>IF($C160+1&gt;AG$7,0,IF($D160&gt;SUM($G160:AF160),$D160/$E160,0))</f>
        <v>0</v>
      </c>
      <c r="AH160" s="263">
        <f>IF($C160+1&gt;AH$7,0,IF($D160&gt;SUM($G160:AG160),$D160/$E160,0))</f>
        <v>0</v>
      </c>
      <c r="AI160" s="263">
        <f>IF($C160+1&gt;AI$7,0,IF($D160&gt;SUM($G160:AH160),$D160/$E160,0))</f>
        <v>0</v>
      </c>
      <c r="AJ160" s="263">
        <f>IF($C160+1&gt;AJ$7,0,IF($D160&gt;SUM($G160:AI160),$D160/$E160,0))</f>
        <v>0</v>
      </c>
      <c r="AK160" s="263">
        <f>IF($C160+1&gt;AK$7,0,IF($D160&gt;SUM($G160:AJ160),$D160/$E160,0))</f>
        <v>0</v>
      </c>
      <c r="AL160" s="263">
        <f>IF($C160+1&gt;AL$7,0,IF($D160&gt;SUM($G160:AK160),$D160/$E160,0))</f>
        <v>0</v>
      </c>
      <c r="AM160" s="263">
        <f>IF($C160+1&gt;AM$7,0,IF($D160&gt;SUM($G160:AL160),$D160/$E160,0))</f>
        <v>0</v>
      </c>
      <c r="AN160" s="263">
        <f>IF($C160+1&gt;AN$7,0,IF($D160&gt;SUM($G160:AM160),$D160/$E160,0))</f>
        <v>0</v>
      </c>
      <c r="AO160" s="263">
        <f>IF($C160+1&gt;AO$7,0,IF($D160&gt;SUM($G160:AN160),$D160/$E160,0))</f>
        <v>0</v>
      </c>
      <c r="AP160" s="263">
        <f>IF($C160+1&gt;AP$7,0,IF($D160&gt;SUM($G160:AO160),$D160/$E160,0))</f>
        <v>0</v>
      </c>
      <c r="AQ160" s="263">
        <f>IF($C160+1&gt;AQ$7,0,IF($D160&gt;SUM($G160:AP160),$D160/$E160,0))</f>
        <v>0</v>
      </c>
      <c r="AR160" s="263">
        <f>IF($C160+1&gt;AR$7,0,IF($D160&gt;SUM($G160:AQ160),$D160/$E160,0))</f>
        <v>0</v>
      </c>
      <c r="AS160" s="263">
        <f>IF($C160+1&gt;AS$7,0,IF($D160&gt;SUM($G160:AR160),$D160/$E160,0))</f>
        <v>0</v>
      </c>
      <c r="AT160" s="263">
        <f>IF($C160+1&gt;AT$7,0,IF($D160&gt;SUM($G160:AS160),$D160/$E160,0))</f>
        <v>0</v>
      </c>
      <c r="AU160" s="263">
        <f>IF($C160+1&gt;AU$7,0,IF($D160&gt;SUM($G160:AT160),$D160/$E160,0))</f>
        <v>0</v>
      </c>
      <c r="AV160" s="263">
        <f>IF($C160+1&gt;AV$7,0,IF($D160&gt;SUM($G160:AU160),$D160/$E160,0))</f>
        <v>0</v>
      </c>
      <c r="AW160" s="263">
        <f>IF($C160+1&gt;AW$7,0,IF($D160&gt;SUM($G160:AV160),$D160/$E160,0))</f>
        <v>0</v>
      </c>
      <c r="AX160" s="263">
        <f>IF($C160+1&gt;AX$7,0,IF($D160&gt;SUM($G160:AW160),$D160/$E160,0))</f>
        <v>0</v>
      </c>
      <c r="AY160" s="263">
        <f>IF($C160+1&gt;AY$7,0,IF($D160&gt;SUM($G160:AX160),$D160/$E160,0))</f>
        <v>0</v>
      </c>
      <c r="AZ160" s="263">
        <f>IF($C160+1&gt;AZ$7,0,IF($D160&gt;SUM($G160:AY160),$D160/$E160,0))</f>
        <v>0</v>
      </c>
      <c r="BA160" s="263">
        <f>IF($C160+1&gt;BA$7,0,IF($D160&gt;SUM($G160:AZ160),$D160/$E160,0))</f>
        <v>0</v>
      </c>
      <c r="BB160" s="263">
        <f>IF($C160+1&gt;BB$7,0,IF($D160&gt;SUM($G160:BA160),$D160/$E160,0))</f>
        <v>0</v>
      </c>
      <c r="BC160" s="263">
        <f>IF($C160+1&gt;BC$7,0,IF($D160&gt;SUM($G160:BB160),$D160/$E160,0))</f>
        <v>0</v>
      </c>
      <c r="BD160" s="263">
        <f>IF($C160+1&gt;BD$7,0,IF($D160&gt;SUM($G160:BC160),$D160/$E160,0))</f>
        <v>0</v>
      </c>
      <c r="BE160" s="263">
        <f>IF($C160+1&gt;BE$7,0,IF($D160&gt;SUM($G160:BD160),$D160/$E160,0))</f>
        <v>0</v>
      </c>
      <c r="BF160" s="263">
        <f>IF($C160+1&gt;BF$7,0,IF($D160&gt;SUM($G160:BE160),$D160/$E160,0))</f>
        <v>0</v>
      </c>
      <c r="BG160" s="263">
        <f>IF($C160+1&gt;BG$7,0,IF($D160&gt;SUM($G160:BF160),$D160/$E160,0))</f>
        <v>0</v>
      </c>
      <c r="BH160" s="263">
        <f>IF($C160+1&gt;BH$7,0,IF($D160&gt;SUM($G160:BG160),$D160/$E160,0))</f>
        <v>0</v>
      </c>
      <c r="BI160" s="263">
        <f>IF($C160+1&gt;BI$7,0,IF($D160&gt;SUM($G160:BH160),$D160/$E160,0))</f>
        <v>0</v>
      </c>
      <c r="BJ160" s="263">
        <f>IF($C160+1&gt;BJ$7,0,IF($D160&gt;SUM($G160:BI160),$D160/$E160,0))</f>
        <v>0</v>
      </c>
      <c r="BK160" s="263">
        <f>IF($C160+1&gt;BK$7,0,IF($D160&gt;SUM($G160:BJ160),$D160/$E160,0))</f>
        <v>0</v>
      </c>
      <c r="BL160" s="263">
        <f>IF($C160+1&gt;BL$7,0,IF($D160&gt;SUM($G160:BK160),$D160/$E160,0))</f>
        <v>0</v>
      </c>
      <c r="BM160" s="263">
        <f>IF($C160+1&gt;BM$7,0,IF($D160&gt;SUM($G160:BL160),$D160/$E160,0))</f>
        <v>0</v>
      </c>
      <c r="BN160" s="263">
        <f>IF($C160+1&gt;BN$7,0,IF($D160&gt;SUM($G160:BM160),$D160/$E160,0))</f>
        <v>0</v>
      </c>
      <c r="BO160" s="263"/>
      <c r="BP160" s="263"/>
      <c r="BQ160" s="263"/>
      <c r="BR160" s="263"/>
      <c r="BS160" s="263"/>
      <c r="BT160" s="263"/>
      <c r="BU160" s="263"/>
      <c r="BV160" s="263"/>
      <c r="BW160" s="263"/>
      <c r="BX160" s="263"/>
      <c r="BY160" s="263"/>
      <c r="BZ160" s="263"/>
      <c r="CA160" s="254"/>
      <c r="CB160" s="254"/>
      <c r="CC160" s="254"/>
      <c r="CD160" s="254"/>
      <c r="CE160" s="254"/>
      <c r="CF160" s="254"/>
      <c r="CG160" s="254"/>
      <c r="CH160" s="254"/>
      <c r="CI160" s="254"/>
      <c r="CJ160" s="254"/>
      <c r="CK160" s="254"/>
      <c r="CL160" s="254"/>
    </row>
    <row r="161" spans="1:90" outlineLevel="1" x14ac:dyDescent="0.15">
      <c r="A161" s="50"/>
      <c r="B161" s="23"/>
      <c r="C161" s="26">
        <v>53</v>
      </c>
      <c r="D161" s="281">
        <v>0</v>
      </c>
      <c r="E161" s="26">
        <f>SAP_Leadsheet!$E$61</f>
        <v>7</v>
      </c>
      <c r="G161" s="263">
        <f>IF($C161+1&gt;G$7,0,IF($D161&gt;SUM(#REF!),$D161/$E161,0))</f>
        <v>0</v>
      </c>
      <c r="H161" s="263">
        <f>IF($C161+1&gt;H$7,0,IF($D161&gt;SUM($G161:G161),$D161/$E161,0))</f>
        <v>0</v>
      </c>
      <c r="I161" s="263">
        <f>IF($C161+1&gt;I$7,0,IF($D161&gt;SUM($G161:H161),$D161/$E161,0))</f>
        <v>0</v>
      </c>
      <c r="J161" s="263">
        <f>IF($C161+1&gt;J$7,0,IF($D161&gt;SUM($G161:I161),$D161/$E161,0))</f>
        <v>0</v>
      </c>
      <c r="K161" s="263">
        <f>IF($C161+1&gt;K$7,0,IF($D161&gt;SUM($G161:J161),$D161/$E161,0))</f>
        <v>0</v>
      </c>
      <c r="L161" s="263">
        <f>IF($C161+1&gt;L$7,0,IF($D161&gt;SUM($G161:K161),$D161/$E161,0))</f>
        <v>0</v>
      </c>
      <c r="M161" s="263">
        <f>IF($C161+1&gt;M$7,0,IF($D161&gt;SUM($G161:L161),$D161/$E161,0))</f>
        <v>0</v>
      </c>
      <c r="N161" s="263">
        <f>IF($C161+1&gt;N$7,0,IF($D161&gt;SUM($G161:M161),$D161/$E161,0))</f>
        <v>0</v>
      </c>
      <c r="O161" s="263">
        <f>IF($C161+1&gt;O$7,0,IF($D161&gt;SUM($G161:N161),$D161/$E161,0))</f>
        <v>0</v>
      </c>
      <c r="P161" s="263">
        <f>IF($C161+1&gt;P$7,0,IF($D161&gt;SUM($G161:O161),$D161/$E161,0))</f>
        <v>0</v>
      </c>
      <c r="Q161" s="263">
        <f>IF($C161+1&gt;Q$7,0,IF($D161&gt;SUM($G161:P161),$D161/$E161,0))</f>
        <v>0</v>
      </c>
      <c r="R161" s="263">
        <f>IF($C161+1&gt;R$7,0,IF($D161&gt;SUM($G161:Q161),$D161/$E161,0))</f>
        <v>0</v>
      </c>
      <c r="S161" s="263">
        <f>IF($C161+1&gt;S$7,0,IF($D161&gt;SUM($G161:R161),$D161/$E161,0))</f>
        <v>0</v>
      </c>
      <c r="T161" s="263">
        <f>IF($C161+1&gt;T$7,0,IF($D161&gt;SUM($G161:S161),$D161/$E161,0))</f>
        <v>0</v>
      </c>
      <c r="U161" s="263">
        <f>IF($C161+1&gt;U$7,0,IF($D161&gt;SUM($G161:T161),$D161/$E161,0))</f>
        <v>0</v>
      </c>
      <c r="V161" s="263">
        <f>IF($C161+1&gt;V$7,0,IF($D161&gt;SUM($G161:U161),$D161/$E161,0))</f>
        <v>0</v>
      </c>
      <c r="W161" s="263">
        <f>IF($C161+1&gt;W$7,0,IF($D161&gt;SUM($G161:V161),$D161/$E161,0))</f>
        <v>0</v>
      </c>
      <c r="X161" s="263">
        <f>IF($C161+1&gt;X$7,0,IF($D161&gt;SUM($G161:W161),$D161/$E161,0))</f>
        <v>0</v>
      </c>
      <c r="Y161" s="263">
        <f>IF($C161+1&gt;Y$7,0,IF($D161&gt;SUM($G161:X161),$D161/$E161,0))</f>
        <v>0</v>
      </c>
      <c r="Z161" s="263">
        <f>IF($C161+1&gt;Z$7,0,IF($D161&gt;SUM($G161:Y161),$D161/$E161,0))</f>
        <v>0</v>
      </c>
      <c r="AA161" s="263">
        <f>IF($C161+1&gt;AA$7,0,IF($D161&gt;SUM($G161:Z161),$D161/$E161,0))</f>
        <v>0</v>
      </c>
      <c r="AB161" s="263">
        <f>IF($C161+1&gt;AB$7,0,IF($D161&gt;SUM($G161:AA161),$D161/$E161,0))</f>
        <v>0</v>
      </c>
      <c r="AC161" s="263">
        <f>IF($C161+1&gt;AC$7,0,IF($D161&gt;SUM($G161:AB161),$D161/$E161,0))</f>
        <v>0</v>
      </c>
      <c r="AD161" s="263">
        <f>IF($C161+1&gt;AD$7,0,IF($D161&gt;SUM($G161:AC161),$D161/$E161,0))</f>
        <v>0</v>
      </c>
      <c r="AE161" s="263">
        <f>IF($C161+1&gt;AE$7,0,IF($D161&gt;SUM($G161:AD161),$D161/$E161,0))</f>
        <v>0</v>
      </c>
      <c r="AF161" s="263">
        <f>IF($C161+1&gt;AF$7,0,IF($D161&gt;SUM($G161:AE161),$D161/$E161,0))</f>
        <v>0</v>
      </c>
      <c r="AG161" s="263">
        <f>IF($C161+1&gt;AG$7,0,IF($D161&gt;SUM($G161:AF161),$D161/$E161,0))</f>
        <v>0</v>
      </c>
      <c r="AH161" s="263">
        <f>IF($C161+1&gt;AH$7,0,IF($D161&gt;SUM($G161:AG161),$D161/$E161,0))</f>
        <v>0</v>
      </c>
      <c r="AI161" s="263">
        <f>IF($C161+1&gt;AI$7,0,IF($D161&gt;SUM($G161:AH161),$D161/$E161,0))</f>
        <v>0</v>
      </c>
      <c r="AJ161" s="263">
        <f>IF($C161+1&gt;AJ$7,0,IF($D161&gt;SUM($G161:AI161),$D161/$E161,0))</f>
        <v>0</v>
      </c>
      <c r="AK161" s="263">
        <f>IF($C161+1&gt;AK$7,0,IF($D161&gt;SUM($G161:AJ161),$D161/$E161,0))</f>
        <v>0</v>
      </c>
      <c r="AL161" s="263">
        <f>IF($C161+1&gt;AL$7,0,IF($D161&gt;SUM($G161:AK161),$D161/$E161,0))</f>
        <v>0</v>
      </c>
      <c r="AM161" s="263">
        <f>IF($C161+1&gt;AM$7,0,IF($D161&gt;SUM($G161:AL161),$D161/$E161,0))</f>
        <v>0</v>
      </c>
      <c r="AN161" s="263">
        <f>IF($C161+1&gt;AN$7,0,IF($D161&gt;SUM($G161:AM161),$D161/$E161,0))</f>
        <v>0</v>
      </c>
      <c r="AO161" s="263">
        <f>IF($C161+1&gt;AO$7,0,IF($D161&gt;SUM($G161:AN161),$D161/$E161,0))</f>
        <v>0</v>
      </c>
      <c r="AP161" s="263">
        <f>IF($C161+1&gt;AP$7,0,IF($D161&gt;SUM($G161:AO161),$D161/$E161,0))</f>
        <v>0</v>
      </c>
      <c r="AQ161" s="263">
        <f>IF($C161+1&gt;AQ$7,0,IF($D161&gt;SUM($G161:AP161),$D161/$E161,0))</f>
        <v>0</v>
      </c>
      <c r="AR161" s="263">
        <f>IF($C161+1&gt;AR$7,0,IF($D161&gt;SUM($G161:AQ161),$D161/$E161,0))</f>
        <v>0</v>
      </c>
      <c r="AS161" s="263">
        <f>IF($C161+1&gt;AS$7,0,IF($D161&gt;SUM($G161:AR161),$D161/$E161,0))</f>
        <v>0</v>
      </c>
      <c r="AT161" s="263">
        <f>IF($C161+1&gt;AT$7,0,IF($D161&gt;SUM($G161:AS161),$D161/$E161,0))</f>
        <v>0</v>
      </c>
      <c r="AU161" s="263">
        <f>IF($C161+1&gt;AU$7,0,IF($D161&gt;SUM($G161:AT161),$D161/$E161,0))</f>
        <v>0</v>
      </c>
      <c r="AV161" s="263">
        <f>IF($C161+1&gt;AV$7,0,IF($D161&gt;SUM($G161:AU161),$D161/$E161,0))</f>
        <v>0</v>
      </c>
      <c r="AW161" s="263">
        <f>IF($C161+1&gt;AW$7,0,IF($D161&gt;SUM($G161:AV161),$D161/$E161,0))</f>
        <v>0</v>
      </c>
      <c r="AX161" s="263">
        <f>IF($C161+1&gt;AX$7,0,IF($D161&gt;SUM($G161:AW161),$D161/$E161,0))</f>
        <v>0</v>
      </c>
      <c r="AY161" s="263">
        <f>IF($C161+1&gt;AY$7,0,IF($D161&gt;SUM($G161:AX161),$D161/$E161,0))</f>
        <v>0</v>
      </c>
      <c r="AZ161" s="263">
        <f>IF($C161+1&gt;AZ$7,0,IF($D161&gt;SUM($G161:AY161),$D161/$E161,0))</f>
        <v>0</v>
      </c>
      <c r="BA161" s="263">
        <f>IF($C161+1&gt;BA$7,0,IF($D161&gt;SUM($G161:AZ161),$D161/$E161,0))</f>
        <v>0</v>
      </c>
      <c r="BB161" s="263">
        <f>IF($C161+1&gt;BB$7,0,IF($D161&gt;SUM($G161:BA161),$D161/$E161,0))</f>
        <v>0</v>
      </c>
      <c r="BC161" s="263">
        <f>IF($C161+1&gt;BC$7,0,IF($D161&gt;SUM($G161:BB161),$D161/$E161,0))</f>
        <v>0</v>
      </c>
      <c r="BD161" s="263">
        <f>IF($C161+1&gt;BD$7,0,IF($D161&gt;SUM($G161:BC161),$D161/$E161,0))</f>
        <v>0</v>
      </c>
      <c r="BE161" s="263">
        <f>IF($C161+1&gt;BE$7,0,IF($D161&gt;SUM($G161:BD161),$D161/$E161,0))</f>
        <v>0</v>
      </c>
      <c r="BF161" s="263">
        <f>IF($C161+1&gt;BF$7,0,IF($D161&gt;SUM($G161:BE161),$D161/$E161,0))</f>
        <v>0</v>
      </c>
      <c r="BG161" s="263">
        <f>IF($C161+1&gt;BG$7,0,IF($D161&gt;SUM($G161:BF161),$D161/$E161,0))</f>
        <v>0</v>
      </c>
      <c r="BH161" s="263">
        <f>IF($C161+1&gt;BH$7,0,IF($D161&gt;SUM($G161:BG161),$D161/$E161,0))</f>
        <v>0</v>
      </c>
      <c r="BI161" s="263">
        <f>IF($C161+1&gt;BI$7,0,IF($D161&gt;SUM($G161:BH161),$D161/$E161,0))</f>
        <v>0</v>
      </c>
      <c r="BJ161" s="263">
        <f>IF($C161+1&gt;BJ$7,0,IF($D161&gt;SUM($G161:BI161),$D161/$E161,0))</f>
        <v>0</v>
      </c>
      <c r="BK161" s="263">
        <f>IF($C161+1&gt;BK$7,0,IF($D161&gt;SUM($G161:BJ161),$D161/$E161,0))</f>
        <v>0</v>
      </c>
      <c r="BL161" s="263">
        <f>IF($C161+1&gt;BL$7,0,IF($D161&gt;SUM($G161:BK161),$D161/$E161,0))</f>
        <v>0</v>
      </c>
      <c r="BM161" s="263">
        <f>IF($C161+1&gt;BM$7,0,IF($D161&gt;SUM($G161:BL161),$D161/$E161,0))</f>
        <v>0</v>
      </c>
      <c r="BN161" s="263">
        <f>IF($C161+1&gt;BN$7,0,IF($D161&gt;SUM($G161:BM161),$D161/$E161,0))</f>
        <v>0</v>
      </c>
      <c r="BO161" s="263"/>
      <c r="BP161" s="263"/>
      <c r="BQ161" s="263"/>
      <c r="BR161" s="263"/>
      <c r="BS161" s="263"/>
      <c r="BT161" s="263"/>
      <c r="BU161" s="263"/>
      <c r="BV161" s="263"/>
      <c r="BW161" s="263"/>
      <c r="BX161" s="263"/>
      <c r="BY161" s="263"/>
      <c r="BZ161" s="263"/>
      <c r="CA161" s="254"/>
      <c r="CB161" s="254"/>
      <c r="CC161" s="254"/>
      <c r="CD161" s="254"/>
      <c r="CE161" s="254"/>
      <c r="CF161" s="254"/>
      <c r="CG161" s="254"/>
      <c r="CH161" s="254"/>
      <c r="CI161" s="254"/>
      <c r="CJ161" s="254"/>
      <c r="CK161" s="254"/>
      <c r="CL161" s="254"/>
    </row>
    <row r="162" spans="1:90" outlineLevel="1" x14ac:dyDescent="0.15">
      <c r="A162" s="50"/>
      <c r="B162" s="23"/>
      <c r="C162" s="26">
        <v>54</v>
      </c>
      <c r="D162" s="281">
        <v>0</v>
      </c>
      <c r="E162" s="26">
        <f>SAP_Leadsheet!$E$61</f>
        <v>7</v>
      </c>
      <c r="G162" s="263">
        <f>IF($C162+1&gt;G$7,0,IF($D162&gt;SUM(#REF!),$D162/$E162,0))</f>
        <v>0</v>
      </c>
      <c r="H162" s="263">
        <f>IF($C162+1&gt;H$7,0,IF($D162&gt;SUM($G162:G162),$D162/$E162,0))</f>
        <v>0</v>
      </c>
      <c r="I162" s="263">
        <f>IF($C162+1&gt;I$7,0,IF($D162&gt;SUM($G162:H162),$D162/$E162,0))</f>
        <v>0</v>
      </c>
      <c r="J162" s="263">
        <f>IF($C162+1&gt;J$7,0,IF($D162&gt;SUM($G162:I162),$D162/$E162,0))</f>
        <v>0</v>
      </c>
      <c r="K162" s="263">
        <f>IF($C162+1&gt;K$7,0,IF($D162&gt;SUM($G162:J162),$D162/$E162,0))</f>
        <v>0</v>
      </c>
      <c r="L162" s="263">
        <f>IF($C162+1&gt;L$7,0,IF($D162&gt;SUM($G162:K162),$D162/$E162,0))</f>
        <v>0</v>
      </c>
      <c r="M162" s="263">
        <f>IF($C162+1&gt;M$7,0,IF($D162&gt;SUM($G162:L162),$D162/$E162,0))</f>
        <v>0</v>
      </c>
      <c r="N162" s="263">
        <f>IF($C162+1&gt;N$7,0,IF($D162&gt;SUM($G162:M162),$D162/$E162,0))</f>
        <v>0</v>
      </c>
      <c r="O162" s="263">
        <f>IF($C162+1&gt;O$7,0,IF($D162&gt;SUM($G162:N162),$D162/$E162,0))</f>
        <v>0</v>
      </c>
      <c r="P162" s="263">
        <f>IF($C162+1&gt;P$7,0,IF($D162&gt;SUM($G162:O162),$D162/$E162,0))</f>
        <v>0</v>
      </c>
      <c r="Q162" s="263">
        <f>IF($C162+1&gt;Q$7,0,IF($D162&gt;SUM($G162:P162),$D162/$E162,0))</f>
        <v>0</v>
      </c>
      <c r="R162" s="263">
        <f>IF($C162+1&gt;R$7,0,IF($D162&gt;SUM($G162:Q162),$D162/$E162,0))</f>
        <v>0</v>
      </c>
      <c r="S162" s="263">
        <f>IF($C162+1&gt;S$7,0,IF($D162&gt;SUM($G162:R162),$D162/$E162,0))</f>
        <v>0</v>
      </c>
      <c r="T162" s="263">
        <f>IF($C162+1&gt;T$7,0,IF($D162&gt;SUM($G162:S162),$D162/$E162,0))</f>
        <v>0</v>
      </c>
      <c r="U162" s="263">
        <f>IF($C162+1&gt;U$7,0,IF($D162&gt;SUM($G162:T162),$D162/$E162,0))</f>
        <v>0</v>
      </c>
      <c r="V162" s="263">
        <f>IF($C162+1&gt;V$7,0,IF($D162&gt;SUM($G162:U162),$D162/$E162,0))</f>
        <v>0</v>
      </c>
      <c r="W162" s="263">
        <f>IF($C162+1&gt;W$7,0,IF($D162&gt;SUM($G162:V162),$D162/$E162,0))</f>
        <v>0</v>
      </c>
      <c r="X162" s="263">
        <f>IF($C162+1&gt;X$7,0,IF($D162&gt;SUM($G162:W162),$D162/$E162,0))</f>
        <v>0</v>
      </c>
      <c r="Y162" s="263">
        <f>IF($C162+1&gt;Y$7,0,IF($D162&gt;SUM($G162:X162),$D162/$E162,0))</f>
        <v>0</v>
      </c>
      <c r="Z162" s="263">
        <f>IF($C162+1&gt;Z$7,0,IF($D162&gt;SUM($G162:Y162),$D162/$E162,0))</f>
        <v>0</v>
      </c>
      <c r="AA162" s="263">
        <f>IF($C162+1&gt;AA$7,0,IF($D162&gt;SUM($G162:Z162),$D162/$E162,0))</f>
        <v>0</v>
      </c>
      <c r="AB162" s="263">
        <f>IF($C162+1&gt;AB$7,0,IF($D162&gt;SUM($G162:AA162),$D162/$E162,0))</f>
        <v>0</v>
      </c>
      <c r="AC162" s="263">
        <f>IF($C162+1&gt;AC$7,0,IF($D162&gt;SUM($G162:AB162),$D162/$E162,0))</f>
        <v>0</v>
      </c>
      <c r="AD162" s="263">
        <f>IF($C162+1&gt;AD$7,0,IF($D162&gt;SUM($G162:AC162),$D162/$E162,0))</f>
        <v>0</v>
      </c>
      <c r="AE162" s="263">
        <f>IF($C162+1&gt;AE$7,0,IF($D162&gt;SUM($G162:AD162),$D162/$E162,0))</f>
        <v>0</v>
      </c>
      <c r="AF162" s="263">
        <f>IF($C162+1&gt;AF$7,0,IF($D162&gt;SUM($G162:AE162),$D162/$E162,0))</f>
        <v>0</v>
      </c>
      <c r="AG162" s="263">
        <f>IF($C162+1&gt;AG$7,0,IF($D162&gt;SUM($G162:AF162),$D162/$E162,0))</f>
        <v>0</v>
      </c>
      <c r="AH162" s="263">
        <f>IF($C162+1&gt;AH$7,0,IF($D162&gt;SUM($G162:AG162),$D162/$E162,0))</f>
        <v>0</v>
      </c>
      <c r="AI162" s="263">
        <f>IF($C162+1&gt;AI$7,0,IF($D162&gt;SUM($G162:AH162),$D162/$E162,0))</f>
        <v>0</v>
      </c>
      <c r="AJ162" s="263">
        <f>IF($C162+1&gt;AJ$7,0,IF($D162&gt;SUM($G162:AI162),$D162/$E162,0))</f>
        <v>0</v>
      </c>
      <c r="AK162" s="263">
        <f>IF($C162+1&gt;AK$7,0,IF($D162&gt;SUM($G162:AJ162),$D162/$E162,0))</f>
        <v>0</v>
      </c>
      <c r="AL162" s="263">
        <f>IF($C162+1&gt;AL$7,0,IF($D162&gt;SUM($G162:AK162),$D162/$E162,0))</f>
        <v>0</v>
      </c>
      <c r="AM162" s="263">
        <f>IF($C162+1&gt;AM$7,0,IF($D162&gt;SUM($G162:AL162),$D162/$E162,0))</f>
        <v>0</v>
      </c>
      <c r="AN162" s="263">
        <f>IF($C162+1&gt;AN$7,0,IF($D162&gt;SUM($G162:AM162),$D162/$E162,0))</f>
        <v>0</v>
      </c>
      <c r="AO162" s="263">
        <f>IF($C162+1&gt;AO$7,0,IF($D162&gt;SUM($G162:AN162),$D162/$E162,0))</f>
        <v>0</v>
      </c>
      <c r="AP162" s="263">
        <f>IF($C162+1&gt;AP$7,0,IF($D162&gt;SUM($G162:AO162),$D162/$E162,0))</f>
        <v>0</v>
      </c>
      <c r="AQ162" s="263">
        <f>IF($C162+1&gt;AQ$7,0,IF($D162&gt;SUM($G162:AP162),$D162/$E162,0))</f>
        <v>0</v>
      </c>
      <c r="AR162" s="263">
        <f>IF($C162+1&gt;AR$7,0,IF($D162&gt;SUM($G162:AQ162),$D162/$E162,0))</f>
        <v>0</v>
      </c>
      <c r="AS162" s="263">
        <f>IF($C162+1&gt;AS$7,0,IF($D162&gt;SUM($G162:AR162),$D162/$E162,0))</f>
        <v>0</v>
      </c>
      <c r="AT162" s="263">
        <f>IF($C162+1&gt;AT$7,0,IF($D162&gt;SUM($G162:AS162),$D162/$E162,0))</f>
        <v>0</v>
      </c>
      <c r="AU162" s="263">
        <f>IF($C162+1&gt;AU$7,0,IF($D162&gt;SUM($G162:AT162),$D162/$E162,0))</f>
        <v>0</v>
      </c>
      <c r="AV162" s="263">
        <f>IF($C162+1&gt;AV$7,0,IF($D162&gt;SUM($G162:AU162),$D162/$E162,0))</f>
        <v>0</v>
      </c>
      <c r="AW162" s="263">
        <f>IF($C162+1&gt;AW$7,0,IF($D162&gt;SUM($G162:AV162),$D162/$E162,0))</f>
        <v>0</v>
      </c>
      <c r="AX162" s="263">
        <f>IF($C162+1&gt;AX$7,0,IF($D162&gt;SUM($G162:AW162),$D162/$E162,0))</f>
        <v>0</v>
      </c>
      <c r="AY162" s="263">
        <f>IF($C162+1&gt;AY$7,0,IF($D162&gt;SUM($G162:AX162),$D162/$E162,0))</f>
        <v>0</v>
      </c>
      <c r="AZ162" s="263">
        <f>IF($C162+1&gt;AZ$7,0,IF($D162&gt;SUM($G162:AY162),$D162/$E162,0))</f>
        <v>0</v>
      </c>
      <c r="BA162" s="263">
        <f>IF($C162+1&gt;BA$7,0,IF($D162&gt;SUM($G162:AZ162),$D162/$E162,0))</f>
        <v>0</v>
      </c>
      <c r="BB162" s="263">
        <f>IF($C162+1&gt;BB$7,0,IF($D162&gt;SUM($G162:BA162),$D162/$E162,0))</f>
        <v>0</v>
      </c>
      <c r="BC162" s="263">
        <f>IF($C162+1&gt;BC$7,0,IF($D162&gt;SUM($G162:BB162),$D162/$E162,0))</f>
        <v>0</v>
      </c>
      <c r="BD162" s="263">
        <f>IF($C162+1&gt;BD$7,0,IF($D162&gt;SUM($G162:BC162),$D162/$E162,0))</f>
        <v>0</v>
      </c>
      <c r="BE162" s="263">
        <f>IF($C162+1&gt;BE$7,0,IF($D162&gt;SUM($G162:BD162),$D162/$E162,0))</f>
        <v>0</v>
      </c>
      <c r="BF162" s="263">
        <f>IF($C162+1&gt;BF$7,0,IF($D162&gt;SUM($G162:BE162),$D162/$E162,0))</f>
        <v>0</v>
      </c>
      <c r="BG162" s="263">
        <f>IF($C162+1&gt;BG$7,0,IF($D162&gt;SUM($G162:BF162),$D162/$E162,0))</f>
        <v>0</v>
      </c>
      <c r="BH162" s="263">
        <f>IF($C162+1&gt;BH$7,0,IF($D162&gt;SUM($G162:BG162),$D162/$E162,0))</f>
        <v>0</v>
      </c>
      <c r="BI162" s="263">
        <f>IF($C162+1&gt;BI$7,0,IF($D162&gt;SUM($G162:BH162),$D162/$E162,0))</f>
        <v>0</v>
      </c>
      <c r="BJ162" s="263">
        <f>IF($C162+1&gt;BJ$7,0,IF($D162&gt;SUM($G162:BI162),$D162/$E162,0))</f>
        <v>0</v>
      </c>
      <c r="BK162" s="263">
        <f>IF($C162+1&gt;BK$7,0,IF($D162&gt;SUM($G162:BJ162),$D162/$E162,0))</f>
        <v>0</v>
      </c>
      <c r="BL162" s="263">
        <f>IF($C162+1&gt;BL$7,0,IF($D162&gt;SUM($G162:BK162),$D162/$E162,0))</f>
        <v>0</v>
      </c>
      <c r="BM162" s="263">
        <f>IF($C162+1&gt;BM$7,0,IF($D162&gt;SUM($G162:BL162),$D162/$E162,0))</f>
        <v>0</v>
      </c>
      <c r="BN162" s="263">
        <f>IF($C162+1&gt;BN$7,0,IF($D162&gt;SUM($G162:BM162),$D162/$E162,0))</f>
        <v>0</v>
      </c>
      <c r="BO162" s="263"/>
      <c r="BP162" s="263"/>
      <c r="BQ162" s="263"/>
      <c r="BR162" s="263"/>
      <c r="BS162" s="263"/>
      <c r="BT162" s="263"/>
      <c r="BU162" s="263"/>
      <c r="BV162" s="263"/>
      <c r="BW162" s="263"/>
      <c r="BX162" s="263"/>
      <c r="BY162" s="263"/>
      <c r="BZ162" s="263"/>
      <c r="CA162" s="254"/>
      <c r="CB162" s="254"/>
      <c r="CC162" s="254"/>
      <c r="CD162" s="254"/>
      <c r="CE162" s="254"/>
      <c r="CF162" s="254"/>
      <c r="CG162" s="254"/>
      <c r="CH162" s="254"/>
      <c r="CI162" s="254"/>
      <c r="CJ162" s="254"/>
      <c r="CK162" s="254"/>
      <c r="CL162" s="254"/>
    </row>
    <row r="163" spans="1:90" outlineLevel="1" x14ac:dyDescent="0.15">
      <c r="A163" s="50"/>
      <c r="B163" s="23"/>
      <c r="C163" s="26">
        <v>55</v>
      </c>
      <c r="D163" s="281">
        <v>0</v>
      </c>
      <c r="E163" s="26">
        <f>SAP_Leadsheet!$E$61</f>
        <v>7</v>
      </c>
      <c r="G163" s="263">
        <f>IF($C163+1&gt;G$7,0,IF($D163&gt;SUM(#REF!),$D163/$E163,0))</f>
        <v>0</v>
      </c>
      <c r="H163" s="263">
        <f>IF($C163+1&gt;H$7,0,IF($D163&gt;SUM($G163:G163),$D163/$E163,0))</f>
        <v>0</v>
      </c>
      <c r="I163" s="263">
        <f>IF($C163+1&gt;I$7,0,IF($D163&gt;SUM($G163:H163),$D163/$E163,0))</f>
        <v>0</v>
      </c>
      <c r="J163" s="263">
        <f>IF($C163+1&gt;J$7,0,IF($D163&gt;SUM($G163:I163),$D163/$E163,0))</f>
        <v>0</v>
      </c>
      <c r="K163" s="263">
        <f>IF($C163+1&gt;K$7,0,IF($D163&gt;SUM($G163:J163),$D163/$E163,0))</f>
        <v>0</v>
      </c>
      <c r="L163" s="263">
        <f>IF($C163+1&gt;L$7,0,IF($D163&gt;SUM($G163:K163),$D163/$E163,0))</f>
        <v>0</v>
      </c>
      <c r="M163" s="263">
        <f>IF($C163+1&gt;M$7,0,IF($D163&gt;SUM($G163:L163),$D163/$E163,0))</f>
        <v>0</v>
      </c>
      <c r="N163" s="263">
        <f>IF($C163+1&gt;N$7,0,IF($D163&gt;SUM($G163:M163),$D163/$E163,0))</f>
        <v>0</v>
      </c>
      <c r="O163" s="263">
        <f>IF($C163+1&gt;O$7,0,IF($D163&gt;SUM($G163:N163),$D163/$E163,0))</f>
        <v>0</v>
      </c>
      <c r="P163" s="263">
        <f>IF($C163+1&gt;P$7,0,IF($D163&gt;SUM($G163:O163),$D163/$E163,0))</f>
        <v>0</v>
      </c>
      <c r="Q163" s="263">
        <f>IF($C163+1&gt;Q$7,0,IF($D163&gt;SUM($G163:P163),$D163/$E163,0))</f>
        <v>0</v>
      </c>
      <c r="R163" s="263">
        <f>IF($C163+1&gt;R$7,0,IF($D163&gt;SUM($G163:Q163),$D163/$E163,0))</f>
        <v>0</v>
      </c>
      <c r="S163" s="263">
        <f>IF($C163+1&gt;S$7,0,IF($D163&gt;SUM($G163:R163),$D163/$E163,0))</f>
        <v>0</v>
      </c>
      <c r="T163" s="263">
        <f>IF($C163+1&gt;T$7,0,IF($D163&gt;SUM($G163:S163),$D163/$E163,0))</f>
        <v>0</v>
      </c>
      <c r="U163" s="263">
        <f>IF($C163+1&gt;U$7,0,IF($D163&gt;SUM($G163:T163),$D163/$E163,0))</f>
        <v>0</v>
      </c>
      <c r="V163" s="263">
        <f>IF($C163+1&gt;V$7,0,IF($D163&gt;SUM($G163:U163),$D163/$E163,0))</f>
        <v>0</v>
      </c>
      <c r="W163" s="263">
        <f>IF($C163+1&gt;W$7,0,IF($D163&gt;SUM($G163:V163),$D163/$E163,0))</f>
        <v>0</v>
      </c>
      <c r="X163" s="263">
        <f>IF($C163+1&gt;X$7,0,IF($D163&gt;SUM($G163:W163),$D163/$E163,0))</f>
        <v>0</v>
      </c>
      <c r="Y163" s="263">
        <f>IF($C163+1&gt;Y$7,0,IF($D163&gt;SUM($G163:X163),$D163/$E163,0))</f>
        <v>0</v>
      </c>
      <c r="Z163" s="263">
        <f>IF($C163+1&gt;Z$7,0,IF($D163&gt;SUM($G163:Y163),$D163/$E163,0))</f>
        <v>0</v>
      </c>
      <c r="AA163" s="263">
        <f>IF($C163+1&gt;AA$7,0,IF($D163&gt;SUM($G163:Z163),$D163/$E163,0))</f>
        <v>0</v>
      </c>
      <c r="AB163" s="263">
        <f>IF($C163+1&gt;AB$7,0,IF($D163&gt;SUM($G163:AA163),$D163/$E163,0))</f>
        <v>0</v>
      </c>
      <c r="AC163" s="263">
        <f>IF($C163+1&gt;AC$7,0,IF($D163&gt;SUM($G163:AB163),$D163/$E163,0))</f>
        <v>0</v>
      </c>
      <c r="AD163" s="263">
        <f>IF($C163+1&gt;AD$7,0,IF($D163&gt;SUM($G163:AC163),$D163/$E163,0))</f>
        <v>0</v>
      </c>
      <c r="AE163" s="263">
        <f>IF($C163+1&gt;AE$7,0,IF($D163&gt;SUM($G163:AD163),$D163/$E163,0))</f>
        <v>0</v>
      </c>
      <c r="AF163" s="263">
        <f>IF($C163+1&gt;AF$7,0,IF($D163&gt;SUM($G163:AE163),$D163/$E163,0))</f>
        <v>0</v>
      </c>
      <c r="AG163" s="263">
        <f>IF($C163+1&gt;AG$7,0,IF($D163&gt;SUM($G163:AF163),$D163/$E163,0))</f>
        <v>0</v>
      </c>
      <c r="AH163" s="263">
        <f>IF($C163+1&gt;AH$7,0,IF($D163&gt;SUM($G163:AG163),$D163/$E163,0))</f>
        <v>0</v>
      </c>
      <c r="AI163" s="263">
        <f>IF($C163+1&gt;AI$7,0,IF($D163&gt;SUM($G163:AH163),$D163/$E163,0))</f>
        <v>0</v>
      </c>
      <c r="AJ163" s="263">
        <f>IF($C163+1&gt;AJ$7,0,IF($D163&gt;SUM($G163:AI163),$D163/$E163,0))</f>
        <v>0</v>
      </c>
      <c r="AK163" s="263">
        <f>IF($C163+1&gt;AK$7,0,IF($D163&gt;SUM($G163:AJ163),$D163/$E163,0))</f>
        <v>0</v>
      </c>
      <c r="AL163" s="263">
        <f>IF($C163+1&gt;AL$7,0,IF($D163&gt;SUM($G163:AK163),$D163/$E163,0))</f>
        <v>0</v>
      </c>
      <c r="AM163" s="263">
        <f>IF($C163+1&gt;AM$7,0,IF($D163&gt;SUM($G163:AL163),$D163/$E163,0))</f>
        <v>0</v>
      </c>
      <c r="AN163" s="263">
        <f>IF($C163+1&gt;AN$7,0,IF($D163&gt;SUM($G163:AM163),$D163/$E163,0))</f>
        <v>0</v>
      </c>
      <c r="AO163" s="263">
        <f>IF($C163+1&gt;AO$7,0,IF($D163&gt;SUM($G163:AN163),$D163/$E163,0))</f>
        <v>0</v>
      </c>
      <c r="AP163" s="263">
        <f>IF($C163+1&gt;AP$7,0,IF($D163&gt;SUM($G163:AO163),$D163/$E163,0))</f>
        <v>0</v>
      </c>
      <c r="AQ163" s="263">
        <f>IF($C163+1&gt;AQ$7,0,IF($D163&gt;SUM($G163:AP163),$D163/$E163,0))</f>
        <v>0</v>
      </c>
      <c r="AR163" s="263">
        <f>IF($C163+1&gt;AR$7,0,IF($D163&gt;SUM($G163:AQ163),$D163/$E163,0))</f>
        <v>0</v>
      </c>
      <c r="AS163" s="263">
        <f>IF($C163+1&gt;AS$7,0,IF($D163&gt;SUM($G163:AR163),$D163/$E163,0))</f>
        <v>0</v>
      </c>
      <c r="AT163" s="263">
        <f>IF($C163+1&gt;AT$7,0,IF($D163&gt;SUM($G163:AS163),$D163/$E163,0))</f>
        <v>0</v>
      </c>
      <c r="AU163" s="263">
        <f>IF($C163+1&gt;AU$7,0,IF($D163&gt;SUM($G163:AT163),$D163/$E163,0))</f>
        <v>0</v>
      </c>
      <c r="AV163" s="263">
        <f>IF($C163+1&gt;AV$7,0,IF($D163&gt;SUM($G163:AU163),$D163/$E163,0))</f>
        <v>0</v>
      </c>
      <c r="AW163" s="263">
        <f>IF($C163+1&gt;AW$7,0,IF($D163&gt;SUM($G163:AV163),$D163/$E163,0))</f>
        <v>0</v>
      </c>
      <c r="AX163" s="263">
        <f>IF($C163+1&gt;AX$7,0,IF($D163&gt;SUM($G163:AW163),$D163/$E163,0))</f>
        <v>0</v>
      </c>
      <c r="AY163" s="263">
        <f>IF($C163+1&gt;AY$7,0,IF($D163&gt;SUM($G163:AX163),$D163/$E163,0))</f>
        <v>0</v>
      </c>
      <c r="AZ163" s="263">
        <f>IF($C163+1&gt;AZ$7,0,IF($D163&gt;SUM($G163:AY163),$D163/$E163,0))</f>
        <v>0</v>
      </c>
      <c r="BA163" s="263">
        <f>IF($C163+1&gt;BA$7,0,IF($D163&gt;SUM($G163:AZ163),$D163/$E163,0))</f>
        <v>0</v>
      </c>
      <c r="BB163" s="263">
        <f>IF($C163+1&gt;BB$7,0,IF($D163&gt;SUM($G163:BA163),$D163/$E163,0))</f>
        <v>0</v>
      </c>
      <c r="BC163" s="263">
        <f>IF($C163+1&gt;BC$7,0,IF($D163&gt;SUM($G163:BB163),$D163/$E163,0))</f>
        <v>0</v>
      </c>
      <c r="BD163" s="263">
        <f>IF($C163+1&gt;BD$7,0,IF($D163&gt;SUM($G163:BC163),$D163/$E163,0))</f>
        <v>0</v>
      </c>
      <c r="BE163" s="263">
        <f>IF($C163+1&gt;BE$7,0,IF($D163&gt;SUM($G163:BD163),$D163/$E163,0))</f>
        <v>0</v>
      </c>
      <c r="BF163" s="263">
        <f>IF($C163+1&gt;BF$7,0,IF($D163&gt;SUM($G163:BE163),$D163/$E163,0))</f>
        <v>0</v>
      </c>
      <c r="BG163" s="263">
        <f>IF($C163+1&gt;BG$7,0,IF($D163&gt;SUM($G163:BF163),$D163/$E163,0))</f>
        <v>0</v>
      </c>
      <c r="BH163" s="263">
        <f>IF($C163+1&gt;BH$7,0,IF($D163&gt;SUM($G163:BG163),$D163/$E163,0))</f>
        <v>0</v>
      </c>
      <c r="BI163" s="263">
        <f>IF($C163+1&gt;BI$7,0,IF($D163&gt;SUM($G163:BH163),$D163/$E163,0))</f>
        <v>0</v>
      </c>
      <c r="BJ163" s="263">
        <f>IF($C163+1&gt;BJ$7,0,IF($D163&gt;SUM($G163:BI163),$D163/$E163,0))</f>
        <v>0</v>
      </c>
      <c r="BK163" s="263">
        <f>IF($C163+1&gt;BK$7,0,IF($D163&gt;SUM($G163:BJ163),$D163/$E163,0))</f>
        <v>0</v>
      </c>
      <c r="BL163" s="263">
        <f>IF($C163+1&gt;BL$7,0,IF($D163&gt;SUM($G163:BK163),$D163/$E163,0))</f>
        <v>0</v>
      </c>
      <c r="BM163" s="263">
        <f>IF($C163+1&gt;BM$7,0,IF($D163&gt;SUM($G163:BL163),$D163/$E163,0))</f>
        <v>0</v>
      </c>
      <c r="BN163" s="263">
        <f>IF($C163+1&gt;BN$7,0,IF($D163&gt;SUM($G163:BM163),$D163/$E163,0))</f>
        <v>0</v>
      </c>
      <c r="BO163" s="263"/>
      <c r="BP163" s="263"/>
      <c r="BQ163" s="263"/>
      <c r="BR163" s="263"/>
      <c r="BS163" s="263"/>
      <c r="BT163" s="263"/>
      <c r="BU163" s="263"/>
      <c r="BV163" s="263"/>
      <c r="BW163" s="263"/>
      <c r="BX163" s="263"/>
      <c r="BY163" s="263"/>
      <c r="BZ163" s="263"/>
      <c r="CA163" s="254"/>
      <c r="CB163" s="254"/>
      <c r="CC163" s="254"/>
      <c r="CD163" s="254"/>
      <c r="CE163" s="254"/>
      <c r="CF163" s="254"/>
      <c r="CG163" s="254"/>
      <c r="CH163" s="254"/>
      <c r="CI163" s="254"/>
      <c r="CJ163" s="254"/>
      <c r="CK163" s="254"/>
      <c r="CL163" s="254"/>
    </row>
    <row r="164" spans="1:90" outlineLevel="1" x14ac:dyDescent="0.15">
      <c r="A164" s="50"/>
      <c r="B164" s="23"/>
      <c r="C164" s="26">
        <v>56</v>
      </c>
      <c r="D164" s="281">
        <v>0</v>
      </c>
      <c r="E164" s="26">
        <f>SAP_Leadsheet!$E$61</f>
        <v>7</v>
      </c>
      <c r="G164" s="263">
        <f>IF($C164+1&gt;G$7,0,IF($D164&gt;SUM(#REF!),$D164/$E164,0))</f>
        <v>0</v>
      </c>
      <c r="H164" s="263">
        <f>IF($C164+1&gt;H$7,0,IF($D164&gt;SUM($G164:G164),$D164/$E164,0))</f>
        <v>0</v>
      </c>
      <c r="I164" s="263">
        <f>IF($C164+1&gt;I$7,0,IF($D164&gt;SUM($G164:H164),$D164/$E164,0))</f>
        <v>0</v>
      </c>
      <c r="J164" s="263">
        <f>IF($C164+1&gt;J$7,0,IF($D164&gt;SUM($G164:I164),$D164/$E164,0))</f>
        <v>0</v>
      </c>
      <c r="K164" s="263">
        <f>IF($C164+1&gt;K$7,0,IF($D164&gt;SUM($G164:J164),$D164/$E164,0))</f>
        <v>0</v>
      </c>
      <c r="L164" s="263">
        <f>IF($C164+1&gt;L$7,0,IF($D164&gt;SUM($G164:K164),$D164/$E164,0))</f>
        <v>0</v>
      </c>
      <c r="M164" s="263">
        <f>IF($C164+1&gt;M$7,0,IF($D164&gt;SUM($G164:L164),$D164/$E164,0))</f>
        <v>0</v>
      </c>
      <c r="N164" s="263">
        <f>IF($C164+1&gt;N$7,0,IF($D164&gt;SUM($G164:M164),$D164/$E164,0))</f>
        <v>0</v>
      </c>
      <c r="O164" s="263">
        <f>IF($C164+1&gt;O$7,0,IF($D164&gt;SUM($G164:N164),$D164/$E164,0))</f>
        <v>0</v>
      </c>
      <c r="P164" s="263">
        <f>IF($C164+1&gt;P$7,0,IF($D164&gt;SUM($G164:O164),$D164/$E164,0))</f>
        <v>0</v>
      </c>
      <c r="Q164" s="263">
        <f>IF($C164+1&gt;Q$7,0,IF($D164&gt;SUM($G164:P164),$D164/$E164,0))</f>
        <v>0</v>
      </c>
      <c r="R164" s="263">
        <f>IF($C164+1&gt;R$7,0,IF($D164&gt;SUM($G164:Q164),$D164/$E164,0))</f>
        <v>0</v>
      </c>
      <c r="S164" s="263">
        <f>IF($C164+1&gt;S$7,0,IF($D164&gt;SUM($G164:R164),$D164/$E164,0))</f>
        <v>0</v>
      </c>
      <c r="T164" s="263">
        <f>IF($C164+1&gt;T$7,0,IF($D164&gt;SUM($G164:S164),$D164/$E164,0))</f>
        <v>0</v>
      </c>
      <c r="U164" s="263">
        <f>IF($C164+1&gt;U$7,0,IF($D164&gt;SUM($G164:T164),$D164/$E164,0))</f>
        <v>0</v>
      </c>
      <c r="V164" s="263">
        <f>IF($C164+1&gt;V$7,0,IF($D164&gt;SUM($G164:U164),$D164/$E164,0))</f>
        <v>0</v>
      </c>
      <c r="W164" s="263">
        <f>IF($C164+1&gt;W$7,0,IF($D164&gt;SUM($G164:V164),$D164/$E164,0))</f>
        <v>0</v>
      </c>
      <c r="X164" s="263">
        <f>IF($C164+1&gt;X$7,0,IF($D164&gt;SUM($G164:W164),$D164/$E164,0))</f>
        <v>0</v>
      </c>
      <c r="Y164" s="263">
        <f>IF($C164+1&gt;Y$7,0,IF($D164&gt;SUM($G164:X164),$D164/$E164,0))</f>
        <v>0</v>
      </c>
      <c r="Z164" s="263">
        <f>IF($C164+1&gt;Z$7,0,IF($D164&gt;SUM($G164:Y164),$D164/$E164,0))</f>
        <v>0</v>
      </c>
      <c r="AA164" s="263">
        <f>IF($C164+1&gt;AA$7,0,IF($D164&gt;SUM($G164:Z164),$D164/$E164,0))</f>
        <v>0</v>
      </c>
      <c r="AB164" s="263">
        <f>IF($C164+1&gt;AB$7,0,IF($D164&gt;SUM($G164:AA164),$D164/$E164,0))</f>
        <v>0</v>
      </c>
      <c r="AC164" s="263">
        <f>IF($C164+1&gt;AC$7,0,IF($D164&gt;SUM($G164:AB164),$D164/$E164,0))</f>
        <v>0</v>
      </c>
      <c r="AD164" s="263">
        <f>IF($C164+1&gt;AD$7,0,IF($D164&gt;SUM($G164:AC164),$D164/$E164,0))</f>
        <v>0</v>
      </c>
      <c r="AE164" s="263">
        <f>IF($C164+1&gt;AE$7,0,IF($D164&gt;SUM($G164:AD164),$D164/$E164,0))</f>
        <v>0</v>
      </c>
      <c r="AF164" s="263">
        <f>IF($C164+1&gt;AF$7,0,IF($D164&gt;SUM($G164:AE164),$D164/$E164,0))</f>
        <v>0</v>
      </c>
      <c r="AG164" s="263">
        <f>IF($C164+1&gt;AG$7,0,IF($D164&gt;SUM($G164:AF164),$D164/$E164,0))</f>
        <v>0</v>
      </c>
      <c r="AH164" s="263">
        <f>IF($C164+1&gt;AH$7,0,IF($D164&gt;SUM($G164:AG164),$D164/$E164,0))</f>
        <v>0</v>
      </c>
      <c r="AI164" s="263">
        <f>IF($C164+1&gt;AI$7,0,IF($D164&gt;SUM($G164:AH164),$D164/$E164,0))</f>
        <v>0</v>
      </c>
      <c r="AJ164" s="263">
        <f>IF($C164+1&gt;AJ$7,0,IF($D164&gt;SUM($G164:AI164),$D164/$E164,0))</f>
        <v>0</v>
      </c>
      <c r="AK164" s="263">
        <f>IF($C164+1&gt;AK$7,0,IF($D164&gt;SUM($G164:AJ164),$D164/$E164,0))</f>
        <v>0</v>
      </c>
      <c r="AL164" s="263">
        <f>IF($C164+1&gt;AL$7,0,IF($D164&gt;SUM($G164:AK164),$D164/$E164,0))</f>
        <v>0</v>
      </c>
      <c r="AM164" s="263">
        <f>IF($C164+1&gt;AM$7,0,IF($D164&gt;SUM($G164:AL164),$D164/$E164,0))</f>
        <v>0</v>
      </c>
      <c r="AN164" s="263">
        <f>IF($C164+1&gt;AN$7,0,IF($D164&gt;SUM($G164:AM164),$D164/$E164,0))</f>
        <v>0</v>
      </c>
      <c r="AO164" s="263">
        <f>IF($C164+1&gt;AO$7,0,IF($D164&gt;SUM($G164:AN164),$D164/$E164,0))</f>
        <v>0</v>
      </c>
      <c r="AP164" s="263">
        <f>IF($C164+1&gt;AP$7,0,IF($D164&gt;SUM($G164:AO164),$D164/$E164,0))</f>
        <v>0</v>
      </c>
      <c r="AQ164" s="263">
        <f>IF($C164+1&gt;AQ$7,0,IF($D164&gt;SUM($G164:AP164),$D164/$E164,0))</f>
        <v>0</v>
      </c>
      <c r="AR164" s="263">
        <f>IF($C164+1&gt;AR$7,0,IF($D164&gt;SUM($G164:AQ164),$D164/$E164,0))</f>
        <v>0</v>
      </c>
      <c r="AS164" s="263">
        <f>IF($C164+1&gt;AS$7,0,IF($D164&gt;SUM($G164:AR164),$D164/$E164,0))</f>
        <v>0</v>
      </c>
      <c r="AT164" s="263">
        <f>IF($C164+1&gt;AT$7,0,IF($D164&gt;SUM($G164:AS164),$D164/$E164,0))</f>
        <v>0</v>
      </c>
      <c r="AU164" s="263">
        <f>IF($C164+1&gt;AU$7,0,IF($D164&gt;SUM($G164:AT164),$D164/$E164,0))</f>
        <v>0</v>
      </c>
      <c r="AV164" s="263">
        <f>IF($C164+1&gt;AV$7,0,IF($D164&gt;SUM($G164:AU164),$D164/$E164,0))</f>
        <v>0</v>
      </c>
      <c r="AW164" s="263">
        <f>IF($C164+1&gt;AW$7,0,IF($D164&gt;SUM($G164:AV164),$D164/$E164,0))</f>
        <v>0</v>
      </c>
      <c r="AX164" s="263">
        <f>IF($C164+1&gt;AX$7,0,IF($D164&gt;SUM($G164:AW164),$D164/$E164,0))</f>
        <v>0</v>
      </c>
      <c r="AY164" s="263">
        <f>IF($C164+1&gt;AY$7,0,IF($D164&gt;SUM($G164:AX164),$D164/$E164,0))</f>
        <v>0</v>
      </c>
      <c r="AZ164" s="263">
        <f>IF($C164+1&gt;AZ$7,0,IF($D164&gt;SUM($G164:AY164),$D164/$E164,0))</f>
        <v>0</v>
      </c>
      <c r="BA164" s="263">
        <f>IF($C164+1&gt;BA$7,0,IF($D164&gt;SUM($G164:AZ164),$D164/$E164,0))</f>
        <v>0</v>
      </c>
      <c r="BB164" s="263">
        <f>IF($C164+1&gt;BB$7,0,IF($D164&gt;SUM($G164:BA164),$D164/$E164,0))</f>
        <v>0</v>
      </c>
      <c r="BC164" s="263">
        <f>IF($C164+1&gt;BC$7,0,IF($D164&gt;SUM($G164:BB164),$D164/$E164,0))</f>
        <v>0</v>
      </c>
      <c r="BD164" s="263">
        <f>IF($C164+1&gt;BD$7,0,IF($D164&gt;SUM($G164:BC164),$D164/$E164,0))</f>
        <v>0</v>
      </c>
      <c r="BE164" s="263">
        <f>IF($C164+1&gt;BE$7,0,IF($D164&gt;SUM($G164:BD164),$D164/$E164,0))</f>
        <v>0</v>
      </c>
      <c r="BF164" s="263">
        <f>IF($C164+1&gt;BF$7,0,IF($D164&gt;SUM($G164:BE164),$D164/$E164,0))</f>
        <v>0</v>
      </c>
      <c r="BG164" s="263">
        <f>IF($C164+1&gt;BG$7,0,IF($D164&gt;SUM($G164:BF164),$D164/$E164,0))</f>
        <v>0</v>
      </c>
      <c r="BH164" s="263">
        <f>IF($C164+1&gt;BH$7,0,IF($D164&gt;SUM($G164:BG164),$D164/$E164,0))</f>
        <v>0</v>
      </c>
      <c r="BI164" s="263">
        <f>IF($C164+1&gt;BI$7,0,IF($D164&gt;SUM($G164:BH164),$D164/$E164,0))</f>
        <v>0</v>
      </c>
      <c r="BJ164" s="263">
        <f>IF($C164+1&gt;BJ$7,0,IF($D164&gt;SUM($G164:BI164),$D164/$E164,0))</f>
        <v>0</v>
      </c>
      <c r="BK164" s="263">
        <f>IF($C164+1&gt;BK$7,0,IF($D164&gt;SUM($G164:BJ164),$D164/$E164,0))</f>
        <v>0</v>
      </c>
      <c r="BL164" s="263">
        <f>IF($C164+1&gt;BL$7,0,IF($D164&gt;SUM($G164:BK164),$D164/$E164,0))</f>
        <v>0</v>
      </c>
      <c r="BM164" s="263">
        <f>IF($C164+1&gt;BM$7,0,IF($D164&gt;SUM($G164:BL164),$D164/$E164,0))</f>
        <v>0</v>
      </c>
      <c r="BN164" s="263">
        <f>IF($C164+1&gt;BN$7,0,IF($D164&gt;SUM($G164:BM164),$D164/$E164,0))</f>
        <v>0</v>
      </c>
      <c r="BO164" s="263"/>
      <c r="BP164" s="263"/>
      <c r="BQ164" s="263"/>
      <c r="BR164" s="263"/>
      <c r="BS164" s="263"/>
      <c r="BT164" s="263"/>
      <c r="BU164" s="263"/>
      <c r="BV164" s="263"/>
      <c r="BW164" s="263"/>
      <c r="BX164" s="263"/>
      <c r="BY164" s="263"/>
      <c r="BZ164" s="263"/>
      <c r="CA164" s="254"/>
      <c r="CB164" s="254"/>
      <c r="CC164" s="254"/>
      <c r="CD164" s="254"/>
      <c r="CE164" s="254"/>
      <c r="CF164" s="254"/>
      <c r="CG164" s="254"/>
      <c r="CH164" s="254"/>
      <c r="CI164" s="254"/>
      <c r="CJ164" s="254"/>
      <c r="CK164" s="254"/>
      <c r="CL164" s="254"/>
    </row>
    <row r="165" spans="1:90" outlineLevel="1" x14ac:dyDescent="0.15">
      <c r="A165" s="50"/>
      <c r="B165" s="23"/>
      <c r="C165" s="26">
        <v>57</v>
      </c>
      <c r="D165" s="281">
        <v>0</v>
      </c>
      <c r="E165" s="26">
        <f>SAP_Leadsheet!$E$61</f>
        <v>7</v>
      </c>
      <c r="G165" s="263">
        <f>IF($C165+1&gt;G$7,0,IF($D165&gt;SUM(#REF!),$D165/$E165,0))</f>
        <v>0</v>
      </c>
      <c r="H165" s="263">
        <f>IF($C165+1&gt;H$7,0,IF($D165&gt;SUM($G165:G165),$D165/$E165,0))</f>
        <v>0</v>
      </c>
      <c r="I165" s="263">
        <f>IF($C165+1&gt;I$7,0,IF($D165&gt;SUM($G165:H165),$D165/$E165,0))</f>
        <v>0</v>
      </c>
      <c r="J165" s="263">
        <f>IF($C165+1&gt;J$7,0,IF($D165&gt;SUM($G165:I165),$D165/$E165,0))</f>
        <v>0</v>
      </c>
      <c r="K165" s="263">
        <f>IF($C165+1&gt;K$7,0,IF($D165&gt;SUM($G165:J165),$D165/$E165,0))</f>
        <v>0</v>
      </c>
      <c r="L165" s="263">
        <f>IF($C165+1&gt;L$7,0,IF($D165&gt;SUM($G165:K165),$D165/$E165,0))</f>
        <v>0</v>
      </c>
      <c r="M165" s="263">
        <f>IF($C165+1&gt;M$7,0,IF($D165&gt;SUM($G165:L165),$D165/$E165,0))</f>
        <v>0</v>
      </c>
      <c r="N165" s="263">
        <f>IF($C165+1&gt;N$7,0,IF($D165&gt;SUM($G165:M165),$D165/$E165,0))</f>
        <v>0</v>
      </c>
      <c r="O165" s="263">
        <f>IF($C165+1&gt;O$7,0,IF($D165&gt;SUM($G165:N165),$D165/$E165,0))</f>
        <v>0</v>
      </c>
      <c r="P165" s="263">
        <f>IF($C165+1&gt;P$7,0,IF($D165&gt;SUM($G165:O165),$D165/$E165,0))</f>
        <v>0</v>
      </c>
      <c r="Q165" s="263">
        <f>IF($C165+1&gt;Q$7,0,IF($D165&gt;SUM($G165:P165),$D165/$E165,0))</f>
        <v>0</v>
      </c>
      <c r="R165" s="263">
        <f>IF($C165+1&gt;R$7,0,IF($D165&gt;SUM($G165:Q165),$D165/$E165,0))</f>
        <v>0</v>
      </c>
      <c r="S165" s="263">
        <f>IF($C165+1&gt;S$7,0,IF($D165&gt;SUM($G165:R165),$D165/$E165,0))</f>
        <v>0</v>
      </c>
      <c r="T165" s="263">
        <f>IF($C165+1&gt;T$7,0,IF($D165&gt;SUM($G165:S165),$D165/$E165,0))</f>
        <v>0</v>
      </c>
      <c r="U165" s="263">
        <f>IF($C165+1&gt;U$7,0,IF($D165&gt;SUM($G165:T165),$D165/$E165,0))</f>
        <v>0</v>
      </c>
      <c r="V165" s="263">
        <f>IF($C165+1&gt;V$7,0,IF($D165&gt;SUM($G165:U165),$D165/$E165,0))</f>
        <v>0</v>
      </c>
      <c r="W165" s="263">
        <f>IF($C165+1&gt;W$7,0,IF($D165&gt;SUM($G165:V165),$D165/$E165,0))</f>
        <v>0</v>
      </c>
      <c r="X165" s="263">
        <f>IF($C165+1&gt;X$7,0,IF($D165&gt;SUM($G165:W165),$D165/$E165,0))</f>
        <v>0</v>
      </c>
      <c r="Y165" s="263">
        <f>IF($C165+1&gt;Y$7,0,IF($D165&gt;SUM($G165:X165),$D165/$E165,0))</f>
        <v>0</v>
      </c>
      <c r="Z165" s="263">
        <f>IF($C165+1&gt;Z$7,0,IF($D165&gt;SUM($G165:Y165),$D165/$E165,0))</f>
        <v>0</v>
      </c>
      <c r="AA165" s="263">
        <f>IF($C165+1&gt;AA$7,0,IF($D165&gt;SUM($G165:Z165),$D165/$E165,0))</f>
        <v>0</v>
      </c>
      <c r="AB165" s="263">
        <f>IF($C165+1&gt;AB$7,0,IF($D165&gt;SUM($G165:AA165),$D165/$E165,0))</f>
        <v>0</v>
      </c>
      <c r="AC165" s="263">
        <f>IF($C165+1&gt;AC$7,0,IF($D165&gt;SUM($G165:AB165),$D165/$E165,0))</f>
        <v>0</v>
      </c>
      <c r="AD165" s="263">
        <f>IF($C165+1&gt;AD$7,0,IF($D165&gt;SUM($G165:AC165),$D165/$E165,0))</f>
        <v>0</v>
      </c>
      <c r="AE165" s="263">
        <f>IF($C165+1&gt;AE$7,0,IF($D165&gt;SUM($G165:AD165),$D165/$E165,0))</f>
        <v>0</v>
      </c>
      <c r="AF165" s="263">
        <f>IF($C165+1&gt;AF$7,0,IF($D165&gt;SUM($G165:AE165),$D165/$E165,0))</f>
        <v>0</v>
      </c>
      <c r="AG165" s="263">
        <f>IF($C165+1&gt;AG$7,0,IF($D165&gt;SUM($G165:AF165),$D165/$E165,0))</f>
        <v>0</v>
      </c>
      <c r="AH165" s="263">
        <f>IF($C165+1&gt;AH$7,0,IF($D165&gt;SUM($G165:AG165),$D165/$E165,0))</f>
        <v>0</v>
      </c>
      <c r="AI165" s="263">
        <f>IF($C165+1&gt;AI$7,0,IF($D165&gt;SUM($G165:AH165),$D165/$E165,0))</f>
        <v>0</v>
      </c>
      <c r="AJ165" s="263">
        <f>IF($C165+1&gt;AJ$7,0,IF($D165&gt;SUM($G165:AI165),$D165/$E165,0))</f>
        <v>0</v>
      </c>
      <c r="AK165" s="263">
        <f>IF($C165+1&gt;AK$7,0,IF($D165&gt;SUM($G165:AJ165),$D165/$E165,0))</f>
        <v>0</v>
      </c>
      <c r="AL165" s="263">
        <f>IF($C165+1&gt;AL$7,0,IF($D165&gt;SUM($G165:AK165),$D165/$E165,0))</f>
        <v>0</v>
      </c>
      <c r="AM165" s="263">
        <f>IF($C165+1&gt;AM$7,0,IF($D165&gt;SUM($G165:AL165),$D165/$E165,0))</f>
        <v>0</v>
      </c>
      <c r="AN165" s="263">
        <f>IF($C165+1&gt;AN$7,0,IF($D165&gt;SUM($G165:AM165),$D165/$E165,0))</f>
        <v>0</v>
      </c>
      <c r="AO165" s="263">
        <f>IF($C165+1&gt;AO$7,0,IF($D165&gt;SUM($G165:AN165),$D165/$E165,0))</f>
        <v>0</v>
      </c>
      <c r="AP165" s="263">
        <f>IF($C165+1&gt;AP$7,0,IF($D165&gt;SUM($G165:AO165),$D165/$E165,0))</f>
        <v>0</v>
      </c>
      <c r="AQ165" s="263">
        <f>IF($C165+1&gt;AQ$7,0,IF($D165&gt;SUM($G165:AP165),$D165/$E165,0))</f>
        <v>0</v>
      </c>
      <c r="AR165" s="263">
        <f>IF($C165+1&gt;AR$7,0,IF($D165&gt;SUM($G165:AQ165),$D165/$E165,0))</f>
        <v>0</v>
      </c>
      <c r="AS165" s="263">
        <f>IF($C165+1&gt;AS$7,0,IF($D165&gt;SUM($G165:AR165),$D165/$E165,0))</f>
        <v>0</v>
      </c>
      <c r="AT165" s="263">
        <f>IF($C165+1&gt;AT$7,0,IF($D165&gt;SUM($G165:AS165),$D165/$E165,0))</f>
        <v>0</v>
      </c>
      <c r="AU165" s="263">
        <f>IF($C165+1&gt;AU$7,0,IF($D165&gt;SUM($G165:AT165),$D165/$E165,0))</f>
        <v>0</v>
      </c>
      <c r="AV165" s="263">
        <f>IF($C165+1&gt;AV$7,0,IF($D165&gt;SUM($G165:AU165),$D165/$E165,0))</f>
        <v>0</v>
      </c>
      <c r="AW165" s="263">
        <f>IF($C165+1&gt;AW$7,0,IF($D165&gt;SUM($G165:AV165),$D165/$E165,0))</f>
        <v>0</v>
      </c>
      <c r="AX165" s="263">
        <f>IF($C165+1&gt;AX$7,0,IF($D165&gt;SUM($G165:AW165),$D165/$E165,0))</f>
        <v>0</v>
      </c>
      <c r="AY165" s="263">
        <f>IF($C165+1&gt;AY$7,0,IF($D165&gt;SUM($G165:AX165),$D165/$E165,0))</f>
        <v>0</v>
      </c>
      <c r="AZ165" s="263">
        <f>IF($C165+1&gt;AZ$7,0,IF($D165&gt;SUM($G165:AY165),$D165/$E165,0))</f>
        <v>0</v>
      </c>
      <c r="BA165" s="263">
        <f>IF($C165+1&gt;BA$7,0,IF($D165&gt;SUM($G165:AZ165),$D165/$E165,0))</f>
        <v>0</v>
      </c>
      <c r="BB165" s="263">
        <f>IF($C165+1&gt;BB$7,0,IF($D165&gt;SUM($G165:BA165),$D165/$E165,0))</f>
        <v>0</v>
      </c>
      <c r="BC165" s="263">
        <f>IF($C165+1&gt;BC$7,0,IF($D165&gt;SUM($G165:BB165),$D165/$E165,0))</f>
        <v>0</v>
      </c>
      <c r="BD165" s="263">
        <f>IF($C165+1&gt;BD$7,0,IF($D165&gt;SUM($G165:BC165),$D165/$E165,0))</f>
        <v>0</v>
      </c>
      <c r="BE165" s="263">
        <f>IF($C165+1&gt;BE$7,0,IF($D165&gt;SUM($G165:BD165),$D165/$E165,0))</f>
        <v>0</v>
      </c>
      <c r="BF165" s="263">
        <f>IF($C165+1&gt;BF$7,0,IF($D165&gt;SUM($G165:BE165),$D165/$E165,0))</f>
        <v>0</v>
      </c>
      <c r="BG165" s="263">
        <f>IF($C165+1&gt;BG$7,0,IF($D165&gt;SUM($G165:BF165),$D165/$E165,0))</f>
        <v>0</v>
      </c>
      <c r="BH165" s="263">
        <f>IF($C165+1&gt;BH$7,0,IF($D165&gt;SUM($G165:BG165),$D165/$E165,0))</f>
        <v>0</v>
      </c>
      <c r="BI165" s="263">
        <f>IF($C165+1&gt;BI$7,0,IF($D165&gt;SUM($G165:BH165),$D165/$E165,0))</f>
        <v>0</v>
      </c>
      <c r="BJ165" s="263">
        <f>IF($C165+1&gt;BJ$7,0,IF($D165&gt;SUM($G165:BI165),$D165/$E165,0))</f>
        <v>0</v>
      </c>
      <c r="BK165" s="263">
        <f>IF($C165+1&gt;BK$7,0,IF($D165&gt;SUM($G165:BJ165),$D165/$E165,0))</f>
        <v>0</v>
      </c>
      <c r="BL165" s="263">
        <f>IF($C165+1&gt;BL$7,0,IF($D165&gt;SUM($G165:BK165),$D165/$E165,0))</f>
        <v>0</v>
      </c>
      <c r="BM165" s="263">
        <f>IF($C165+1&gt;BM$7,0,IF($D165&gt;SUM($G165:BL165),$D165/$E165,0))</f>
        <v>0</v>
      </c>
      <c r="BN165" s="263">
        <f>IF($C165+1&gt;BN$7,0,IF($D165&gt;SUM($G165:BM165),$D165/$E165,0))</f>
        <v>0</v>
      </c>
      <c r="BO165" s="263"/>
      <c r="BP165" s="263"/>
      <c r="BQ165" s="263"/>
      <c r="BR165" s="263"/>
      <c r="BS165" s="263"/>
      <c r="BT165" s="263"/>
      <c r="BU165" s="263"/>
      <c r="BV165" s="263"/>
      <c r="BW165" s="263"/>
      <c r="BX165" s="263"/>
      <c r="BY165" s="263"/>
      <c r="BZ165" s="263"/>
      <c r="CA165" s="254"/>
      <c r="CB165" s="254"/>
      <c r="CC165" s="254"/>
      <c r="CD165" s="254"/>
      <c r="CE165" s="254"/>
      <c r="CF165" s="254"/>
      <c r="CG165" s="254"/>
      <c r="CH165" s="254"/>
      <c r="CI165" s="254"/>
      <c r="CJ165" s="254"/>
      <c r="CK165" s="254"/>
      <c r="CL165" s="254"/>
    </row>
    <row r="166" spans="1:90" outlineLevel="1" x14ac:dyDescent="0.15">
      <c r="A166" s="50"/>
      <c r="B166" s="23"/>
      <c r="C166" s="26">
        <v>58</v>
      </c>
      <c r="D166" s="281">
        <v>0</v>
      </c>
      <c r="E166" s="26">
        <f>SAP_Leadsheet!$E$61</f>
        <v>7</v>
      </c>
      <c r="G166" s="263">
        <f>IF($C166+1&gt;G$7,0,IF($D166&gt;SUM(#REF!),$D166/$E166,0))</f>
        <v>0</v>
      </c>
      <c r="H166" s="263">
        <f>IF($C166+1&gt;H$7,0,IF($D166&gt;SUM($G166:G166),$D166/$E166,0))</f>
        <v>0</v>
      </c>
      <c r="I166" s="263">
        <f>IF($C166+1&gt;I$7,0,IF($D166&gt;SUM($G166:H166),$D166/$E166,0))</f>
        <v>0</v>
      </c>
      <c r="J166" s="263">
        <f>IF($C166+1&gt;J$7,0,IF($D166&gt;SUM($G166:I166),$D166/$E166,0))</f>
        <v>0</v>
      </c>
      <c r="K166" s="263">
        <f>IF($C166+1&gt;K$7,0,IF($D166&gt;SUM($G166:J166),$D166/$E166,0))</f>
        <v>0</v>
      </c>
      <c r="L166" s="263">
        <f>IF($C166+1&gt;L$7,0,IF($D166&gt;SUM($G166:K166),$D166/$E166,0))</f>
        <v>0</v>
      </c>
      <c r="M166" s="263">
        <f>IF($C166+1&gt;M$7,0,IF($D166&gt;SUM($G166:L166),$D166/$E166,0))</f>
        <v>0</v>
      </c>
      <c r="N166" s="263">
        <f>IF($C166+1&gt;N$7,0,IF($D166&gt;SUM($G166:M166),$D166/$E166,0))</f>
        <v>0</v>
      </c>
      <c r="O166" s="263">
        <f>IF($C166+1&gt;O$7,0,IF($D166&gt;SUM($G166:N166),$D166/$E166,0))</f>
        <v>0</v>
      </c>
      <c r="P166" s="263">
        <f>IF($C166+1&gt;P$7,0,IF($D166&gt;SUM($G166:O166),$D166/$E166,0))</f>
        <v>0</v>
      </c>
      <c r="Q166" s="263">
        <f>IF($C166+1&gt;Q$7,0,IF($D166&gt;SUM($G166:P166),$D166/$E166,0))</f>
        <v>0</v>
      </c>
      <c r="R166" s="263">
        <f>IF($C166+1&gt;R$7,0,IF($D166&gt;SUM($G166:Q166),$D166/$E166,0))</f>
        <v>0</v>
      </c>
      <c r="S166" s="263">
        <f>IF($C166+1&gt;S$7,0,IF($D166&gt;SUM($G166:R166),$D166/$E166,0))</f>
        <v>0</v>
      </c>
      <c r="T166" s="263">
        <f>IF($C166+1&gt;T$7,0,IF($D166&gt;SUM($G166:S166),$D166/$E166,0))</f>
        <v>0</v>
      </c>
      <c r="U166" s="263">
        <f>IF($C166+1&gt;U$7,0,IF($D166&gt;SUM($G166:T166),$D166/$E166,0))</f>
        <v>0</v>
      </c>
      <c r="V166" s="263">
        <f>IF($C166+1&gt;V$7,0,IF($D166&gt;SUM($G166:U166),$D166/$E166,0))</f>
        <v>0</v>
      </c>
      <c r="W166" s="263">
        <f>IF($C166+1&gt;W$7,0,IF($D166&gt;SUM($G166:V166),$D166/$E166,0))</f>
        <v>0</v>
      </c>
      <c r="X166" s="263">
        <f>IF($C166+1&gt;X$7,0,IF($D166&gt;SUM($G166:W166),$D166/$E166,0))</f>
        <v>0</v>
      </c>
      <c r="Y166" s="263">
        <f>IF($C166+1&gt;Y$7,0,IF($D166&gt;SUM($G166:X166),$D166/$E166,0))</f>
        <v>0</v>
      </c>
      <c r="Z166" s="263">
        <f>IF($C166+1&gt;Z$7,0,IF($D166&gt;SUM($G166:Y166),$D166/$E166,0))</f>
        <v>0</v>
      </c>
      <c r="AA166" s="263">
        <f>IF($C166+1&gt;AA$7,0,IF($D166&gt;SUM($G166:Z166),$D166/$E166,0))</f>
        <v>0</v>
      </c>
      <c r="AB166" s="263">
        <f>IF($C166+1&gt;AB$7,0,IF($D166&gt;SUM($G166:AA166),$D166/$E166,0))</f>
        <v>0</v>
      </c>
      <c r="AC166" s="263">
        <f>IF($C166+1&gt;AC$7,0,IF($D166&gt;SUM($G166:AB166),$D166/$E166,0))</f>
        <v>0</v>
      </c>
      <c r="AD166" s="263">
        <f>IF($C166+1&gt;AD$7,0,IF($D166&gt;SUM($G166:AC166),$D166/$E166,0))</f>
        <v>0</v>
      </c>
      <c r="AE166" s="263">
        <f>IF($C166+1&gt;AE$7,0,IF($D166&gt;SUM($G166:AD166),$D166/$E166,0))</f>
        <v>0</v>
      </c>
      <c r="AF166" s="263">
        <f>IF($C166+1&gt;AF$7,0,IF($D166&gt;SUM($G166:AE166),$D166/$E166,0))</f>
        <v>0</v>
      </c>
      <c r="AG166" s="263">
        <f>IF($C166+1&gt;AG$7,0,IF($D166&gt;SUM($G166:AF166),$D166/$E166,0))</f>
        <v>0</v>
      </c>
      <c r="AH166" s="263">
        <f>IF($C166+1&gt;AH$7,0,IF($D166&gt;SUM($G166:AG166),$D166/$E166,0))</f>
        <v>0</v>
      </c>
      <c r="AI166" s="263">
        <f>IF($C166+1&gt;AI$7,0,IF($D166&gt;SUM($G166:AH166),$D166/$E166,0))</f>
        <v>0</v>
      </c>
      <c r="AJ166" s="263">
        <f>IF($C166+1&gt;AJ$7,0,IF($D166&gt;SUM($G166:AI166),$D166/$E166,0))</f>
        <v>0</v>
      </c>
      <c r="AK166" s="263">
        <f>IF($C166+1&gt;AK$7,0,IF($D166&gt;SUM($G166:AJ166),$D166/$E166,0))</f>
        <v>0</v>
      </c>
      <c r="AL166" s="263">
        <f>IF($C166+1&gt;AL$7,0,IF($D166&gt;SUM($G166:AK166),$D166/$E166,0))</f>
        <v>0</v>
      </c>
      <c r="AM166" s="263">
        <f>IF($C166+1&gt;AM$7,0,IF($D166&gt;SUM($G166:AL166),$D166/$E166,0))</f>
        <v>0</v>
      </c>
      <c r="AN166" s="263">
        <f>IF($C166+1&gt;AN$7,0,IF($D166&gt;SUM($G166:AM166),$D166/$E166,0))</f>
        <v>0</v>
      </c>
      <c r="AO166" s="263">
        <f>IF($C166+1&gt;AO$7,0,IF($D166&gt;SUM($G166:AN166),$D166/$E166,0))</f>
        <v>0</v>
      </c>
      <c r="AP166" s="263">
        <f>IF($C166+1&gt;AP$7,0,IF($D166&gt;SUM($G166:AO166),$D166/$E166,0))</f>
        <v>0</v>
      </c>
      <c r="AQ166" s="263">
        <f>IF($C166+1&gt;AQ$7,0,IF($D166&gt;SUM($G166:AP166),$D166/$E166,0))</f>
        <v>0</v>
      </c>
      <c r="AR166" s="263">
        <f>IF($C166+1&gt;AR$7,0,IF($D166&gt;SUM($G166:AQ166),$D166/$E166,0))</f>
        <v>0</v>
      </c>
      <c r="AS166" s="263">
        <f>IF($C166+1&gt;AS$7,0,IF($D166&gt;SUM($G166:AR166),$D166/$E166,0))</f>
        <v>0</v>
      </c>
      <c r="AT166" s="263">
        <f>IF($C166+1&gt;AT$7,0,IF($D166&gt;SUM($G166:AS166),$D166/$E166,0))</f>
        <v>0</v>
      </c>
      <c r="AU166" s="263">
        <f>IF($C166+1&gt;AU$7,0,IF($D166&gt;SUM($G166:AT166),$D166/$E166,0))</f>
        <v>0</v>
      </c>
      <c r="AV166" s="263">
        <f>IF($C166+1&gt;AV$7,0,IF($D166&gt;SUM($G166:AU166),$D166/$E166,0))</f>
        <v>0</v>
      </c>
      <c r="AW166" s="263">
        <f>IF($C166+1&gt;AW$7,0,IF($D166&gt;SUM($G166:AV166),$D166/$E166,0))</f>
        <v>0</v>
      </c>
      <c r="AX166" s="263">
        <f>IF($C166+1&gt;AX$7,0,IF($D166&gt;SUM($G166:AW166),$D166/$E166,0))</f>
        <v>0</v>
      </c>
      <c r="AY166" s="263">
        <f>IF($C166+1&gt;AY$7,0,IF($D166&gt;SUM($G166:AX166),$D166/$E166,0))</f>
        <v>0</v>
      </c>
      <c r="AZ166" s="263">
        <f>IF($C166+1&gt;AZ$7,0,IF($D166&gt;SUM($G166:AY166),$D166/$E166,0))</f>
        <v>0</v>
      </c>
      <c r="BA166" s="263">
        <f>IF($C166+1&gt;BA$7,0,IF($D166&gt;SUM($G166:AZ166),$D166/$E166,0))</f>
        <v>0</v>
      </c>
      <c r="BB166" s="263">
        <f>IF($C166+1&gt;BB$7,0,IF($D166&gt;SUM($G166:BA166),$D166/$E166,0))</f>
        <v>0</v>
      </c>
      <c r="BC166" s="263">
        <f>IF($C166+1&gt;BC$7,0,IF($D166&gt;SUM($G166:BB166),$D166/$E166,0))</f>
        <v>0</v>
      </c>
      <c r="BD166" s="263">
        <f>IF($C166+1&gt;BD$7,0,IF($D166&gt;SUM($G166:BC166),$D166/$E166,0))</f>
        <v>0</v>
      </c>
      <c r="BE166" s="263">
        <f>IF($C166+1&gt;BE$7,0,IF($D166&gt;SUM($G166:BD166),$D166/$E166,0))</f>
        <v>0</v>
      </c>
      <c r="BF166" s="263">
        <f>IF($C166+1&gt;BF$7,0,IF($D166&gt;SUM($G166:BE166),$D166/$E166,0))</f>
        <v>0</v>
      </c>
      <c r="BG166" s="263">
        <f>IF($C166+1&gt;BG$7,0,IF($D166&gt;SUM($G166:BF166),$D166/$E166,0))</f>
        <v>0</v>
      </c>
      <c r="BH166" s="263">
        <f>IF($C166+1&gt;BH$7,0,IF($D166&gt;SUM($G166:BG166),$D166/$E166,0))</f>
        <v>0</v>
      </c>
      <c r="BI166" s="263">
        <f>IF($C166+1&gt;BI$7,0,IF($D166&gt;SUM($G166:BH166),$D166/$E166,0))</f>
        <v>0</v>
      </c>
      <c r="BJ166" s="263">
        <f>IF($C166+1&gt;BJ$7,0,IF($D166&gt;SUM($G166:BI166),$D166/$E166,0))</f>
        <v>0</v>
      </c>
      <c r="BK166" s="263">
        <f>IF($C166+1&gt;BK$7,0,IF($D166&gt;SUM($G166:BJ166),$D166/$E166,0))</f>
        <v>0</v>
      </c>
      <c r="BL166" s="263">
        <f>IF($C166+1&gt;BL$7,0,IF($D166&gt;SUM($G166:BK166),$D166/$E166,0))</f>
        <v>0</v>
      </c>
      <c r="BM166" s="263">
        <f>IF($C166+1&gt;BM$7,0,IF($D166&gt;SUM($G166:BL166),$D166/$E166,0))</f>
        <v>0</v>
      </c>
      <c r="BN166" s="263">
        <f>IF($C166+1&gt;BN$7,0,IF($D166&gt;SUM($G166:BM166),$D166/$E166,0))</f>
        <v>0</v>
      </c>
      <c r="BO166" s="263"/>
      <c r="BP166" s="263"/>
      <c r="BQ166" s="263"/>
      <c r="BR166" s="263"/>
      <c r="BS166" s="263"/>
      <c r="BT166" s="263"/>
      <c r="BU166" s="263"/>
      <c r="BV166" s="263"/>
      <c r="BW166" s="263"/>
      <c r="BX166" s="263"/>
      <c r="BY166" s="263"/>
      <c r="BZ166" s="263"/>
      <c r="CA166" s="254"/>
      <c r="CB166" s="254"/>
      <c r="CC166" s="254"/>
      <c r="CD166" s="254"/>
      <c r="CE166" s="254"/>
      <c r="CF166" s="254"/>
      <c r="CG166" s="254"/>
      <c r="CH166" s="254"/>
      <c r="CI166" s="254"/>
      <c r="CJ166" s="254"/>
      <c r="CK166" s="254"/>
      <c r="CL166" s="254"/>
    </row>
    <row r="167" spans="1:90" outlineLevel="1" x14ac:dyDescent="0.15">
      <c r="A167" s="50"/>
      <c r="B167" s="23"/>
      <c r="C167" s="26">
        <v>59</v>
      </c>
      <c r="D167" s="281">
        <v>0</v>
      </c>
      <c r="E167" s="26">
        <f>SAP_Leadsheet!$E$61</f>
        <v>7</v>
      </c>
      <c r="G167" s="263">
        <f>IF($C167+1&gt;G$7,0,IF($D167&gt;SUM(#REF!),$D167/$E167,0))</f>
        <v>0</v>
      </c>
      <c r="H167" s="263">
        <f>IF($C167+1&gt;H$7,0,IF($D167&gt;SUM($G167:G167),$D167/$E167,0))</f>
        <v>0</v>
      </c>
      <c r="I167" s="263">
        <f>IF($C167+1&gt;I$7,0,IF($D167&gt;SUM($G167:H167),$D167/$E167,0))</f>
        <v>0</v>
      </c>
      <c r="J167" s="263">
        <f>IF($C167+1&gt;J$7,0,IF($D167&gt;SUM($G167:I167),$D167/$E167,0))</f>
        <v>0</v>
      </c>
      <c r="K167" s="263">
        <f>IF($C167+1&gt;K$7,0,IF($D167&gt;SUM($G167:J167),$D167/$E167,0))</f>
        <v>0</v>
      </c>
      <c r="L167" s="263">
        <f>IF($C167+1&gt;L$7,0,IF($D167&gt;SUM($G167:K167),$D167/$E167,0))</f>
        <v>0</v>
      </c>
      <c r="M167" s="263">
        <f>IF($C167+1&gt;M$7,0,IF($D167&gt;SUM($G167:L167),$D167/$E167,0))</f>
        <v>0</v>
      </c>
      <c r="N167" s="263">
        <f>IF($C167+1&gt;N$7,0,IF($D167&gt;SUM($G167:M167),$D167/$E167,0))</f>
        <v>0</v>
      </c>
      <c r="O167" s="263">
        <f>IF($C167+1&gt;O$7,0,IF($D167&gt;SUM($G167:N167),$D167/$E167,0))</f>
        <v>0</v>
      </c>
      <c r="P167" s="263">
        <f>IF($C167+1&gt;P$7,0,IF($D167&gt;SUM($G167:O167),$D167/$E167,0))</f>
        <v>0</v>
      </c>
      <c r="Q167" s="263">
        <f>IF($C167+1&gt;Q$7,0,IF($D167&gt;SUM($G167:P167),$D167/$E167,0))</f>
        <v>0</v>
      </c>
      <c r="R167" s="263">
        <f>IF($C167+1&gt;R$7,0,IF($D167&gt;SUM($G167:Q167),$D167/$E167,0))</f>
        <v>0</v>
      </c>
      <c r="S167" s="263">
        <f>IF($C167+1&gt;S$7,0,IF($D167&gt;SUM($G167:R167),$D167/$E167,0))</f>
        <v>0</v>
      </c>
      <c r="T167" s="263">
        <f>IF($C167+1&gt;T$7,0,IF($D167&gt;SUM($G167:S167),$D167/$E167,0))</f>
        <v>0</v>
      </c>
      <c r="U167" s="263">
        <f>IF($C167+1&gt;U$7,0,IF($D167&gt;SUM($G167:T167),$D167/$E167,0))</f>
        <v>0</v>
      </c>
      <c r="V167" s="263">
        <f>IF($C167+1&gt;V$7,0,IF($D167&gt;SUM($G167:U167),$D167/$E167,0))</f>
        <v>0</v>
      </c>
      <c r="W167" s="263">
        <f>IF($C167+1&gt;W$7,0,IF($D167&gt;SUM($G167:V167),$D167/$E167,0))</f>
        <v>0</v>
      </c>
      <c r="X167" s="263">
        <f>IF($C167+1&gt;X$7,0,IF($D167&gt;SUM($G167:W167),$D167/$E167,0))</f>
        <v>0</v>
      </c>
      <c r="Y167" s="263">
        <f>IF($C167+1&gt;Y$7,0,IF($D167&gt;SUM($G167:X167),$D167/$E167,0))</f>
        <v>0</v>
      </c>
      <c r="Z167" s="263">
        <f>IF($C167+1&gt;Z$7,0,IF($D167&gt;SUM($G167:Y167),$D167/$E167,0))</f>
        <v>0</v>
      </c>
      <c r="AA167" s="263">
        <f>IF($C167+1&gt;AA$7,0,IF($D167&gt;SUM($G167:Z167),$D167/$E167,0))</f>
        <v>0</v>
      </c>
      <c r="AB167" s="263">
        <f>IF($C167+1&gt;AB$7,0,IF($D167&gt;SUM($G167:AA167),$D167/$E167,0))</f>
        <v>0</v>
      </c>
      <c r="AC167" s="263">
        <f>IF($C167+1&gt;AC$7,0,IF($D167&gt;SUM($G167:AB167),$D167/$E167,0))</f>
        <v>0</v>
      </c>
      <c r="AD167" s="263">
        <f>IF($C167+1&gt;AD$7,0,IF($D167&gt;SUM($G167:AC167),$D167/$E167,0))</f>
        <v>0</v>
      </c>
      <c r="AE167" s="263">
        <f>IF($C167+1&gt;AE$7,0,IF($D167&gt;SUM($G167:AD167),$D167/$E167,0))</f>
        <v>0</v>
      </c>
      <c r="AF167" s="263">
        <f>IF($C167+1&gt;AF$7,0,IF($D167&gt;SUM($G167:AE167),$D167/$E167,0))</f>
        <v>0</v>
      </c>
      <c r="AG167" s="263">
        <f>IF($C167+1&gt;AG$7,0,IF($D167&gt;SUM($G167:AF167),$D167/$E167,0))</f>
        <v>0</v>
      </c>
      <c r="AH167" s="263">
        <f>IF($C167+1&gt;AH$7,0,IF($D167&gt;SUM($G167:AG167),$D167/$E167,0))</f>
        <v>0</v>
      </c>
      <c r="AI167" s="263">
        <f>IF($C167+1&gt;AI$7,0,IF($D167&gt;SUM($G167:AH167),$D167/$E167,0))</f>
        <v>0</v>
      </c>
      <c r="AJ167" s="263">
        <f>IF($C167+1&gt;AJ$7,0,IF($D167&gt;SUM($G167:AI167),$D167/$E167,0))</f>
        <v>0</v>
      </c>
      <c r="AK167" s="263">
        <f>IF($C167+1&gt;AK$7,0,IF($D167&gt;SUM($G167:AJ167),$D167/$E167,0))</f>
        <v>0</v>
      </c>
      <c r="AL167" s="263">
        <f>IF($C167+1&gt;AL$7,0,IF($D167&gt;SUM($G167:AK167),$D167/$E167,0))</f>
        <v>0</v>
      </c>
      <c r="AM167" s="263">
        <f>IF($C167+1&gt;AM$7,0,IF($D167&gt;SUM($G167:AL167),$D167/$E167,0))</f>
        <v>0</v>
      </c>
      <c r="AN167" s="263">
        <f>IF($C167+1&gt;AN$7,0,IF($D167&gt;SUM($G167:AM167),$D167/$E167,0))</f>
        <v>0</v>
      </c>
      <c r="AO167" s="263">
        <f>IF($C167+1&gt;AO$7,0,IF($D167&gt;SUM($G167:AN167),$D167/$E167,0))</f>
        <v>0</v>
      </c>
      <c r="AP167" s="263">
        <f>IF($C167+1&gt;AP$7,0,IF($D167&gt;SUM($G167:AO167),$D167/$E167,0))</f>
        <v>0</v>
      </c>
      <c r="AQ167" s="263">
        <f>IF($C167+1&gt;AQ$7,0,IF($D167&gt;SUM($G167:AP167),$D167/$E167,0))</f>
        <v>0</v>
      </c>
      <c r="AR167" s="263">
        <f>IF($C167+1&gt;AR$7,0,IF($D167&gt;SUM($G167:AQ167),$D167/$E167,0))</f>
        <v>0</v>
      </c>
      <c r="AS167" s="263">
        <f>IF($C167+1&gt;AS$7,0,IF($D167&gt;SUM($G167:AR167),$D167/$E167,0))</f>
        <v>0</v>
      </c>
      <c r="AT167" s="263">
        <f>IF($C167+1&gt;AT$7,0,IF($D167&gt;SUM($G167:AS167),$D167/$E167,0))</f>
        <v>0</v>
      </c>
      <c r="AU167" s="263">
        <f>IF($C167+1&gt;AU$7,0,IF($D167&gt;SUM($G167:AT167),$D167/$E167,0))</f>
        <v>0</v>
      </c>
      <c r="AV167" s="263">
        <f>IF($C167+1&gt;AV$7,0,IF($D167&gt;SUM($G167:AU167),$D167/$E167,0))</f>
        <v>0</v>
      </c>
      <c r="AW167" s="263">
        <f>IF($C167+1&gt;AW$7,0,IF($D167&gt;SUM($G167:AV167),$D167/$E167,0))</f>
        <v>0</v>
      </c>
      <c r="AX167" s="263">
        <f>IF($C167+1&gt;AX$7,0,IF($D167&gt;SUM($G167:AW167),$D167/$E167,0))</f>
        <v>0</v>
      </c>
      <c r="AY167" s="263">
        <f>IF($C167+1&gt;AY$7,0,IF($D167&gt;SUM($G167:AX167),$D167/$E167,0))</f>
        <v>0</v>
      </c>
      <c r="AZ167" s="263">
        <f>IF($C167+1&gt;AZ$7,0,IF($D167&gt;SUM($G167:AY167),$D167/$E167,0))</f>
        <v>0</v>
      </c>
      <c r="BA167" s="263">
        <f>IF($C167+1&gt;BA$7,0,IF($D167&gt;SUM($G167:AZ167),$D167/$E167,0))</f>
        <v>0</v>
      </c>
      <c r="BB167" s="263">
        <f>IF($C167+1&gt;BB$7,0,IF($D167&gt;SUM($G167:BA167),$D167/$E167,0))</f>
        <v>0</v>
      </c>
      <c r="BC167" s="263">
        <f>IF($C167+1&gt;BC$7,0,IF($D167&gt;SUM($G167:BB167),$D167/$E167,0))</f>
        <v>0</v>
      </c>
      <c r="BD167" s="263">
        <f>IF($C167+1&gt;BD$7,0,IF($D167&gt;SUM($G167:BC167),$D167/$E167,0))</f>
        <v>0</v>
      </c>
      <c r="BE167" s="263">
        <f>IF($C167+1&gt;BE$7,0,IF($D167&gt;SUM($G167:BD167),$D167/$E167,0))</f>
        <v>0</v>
      </c>
      <c r="BF167" s="263">
        <f>IF($C167+1&gt;BF$7,0,IF($D167&gt;SUM($G167:BE167),$D167/$E167,0))</f>
        <v>0</v>
      </c>
      <c r="BG167" s="263">
        <f>IF($C167+1&gt;BG$7,0,IF($D167&gt;SUM($G167:BF167),$D167/$E167,0))</f>
        <v>0</v>
      </c>
      <c r="BH167" s="263">
        <f>IF($C167+1&gt;BH$7,0,IF($D167&gt;SUM($G167:BG167),$D167/$E167,0))</f>
        <v>0</v>
      </c>
      <c r="BI167" s="263">
        <f>IF($C167+1&gt;BI$7,0,IF($D167&gt;SUM($G167:BH167),$D167/$E167,0))</f>
        <v>0</v>
      </c>
      <c r="BJ167" s="263">
        <f>IF($C167+1&gt;BJ$7,0,IF($D167&gt;SUM($G167:BI167),$D167/$E167,0))</f>
        <v>0</v>
      </c>
      <c r="BK167" s="263">
        <f>IF($C167+1&gt;BK$7,0,IF($D167&gt;SUM($G167:BJ167),$D167/$E167,0))</f>
        <v>0</v>
      </c>
      <c r="BL167" s="263">
        <f>IF($C167+1&gt;BL$7,0,IF($D167&gt;SUM($G167:BK167),$D167/$E167,0))</f>
        <v>0</v>
      </c>
      <c r="BM167" s="263">
        <f>IF($C167+1&gt;BM$7,0,IF($D167&gt;SUM($G167:BL167),$D167/$E167,0))</f>
        <v>0</v>
      </c>
      <c r="BN167" s="263">
        <f>IF($C167+1&gt;BN$7,0,IF($D167&gt;SUM($G167:BM167),$D167/$E167,0))</f>
        <v>0</v>
      </c>
      <c r="BO167" s="263"/>
      <c r="BP167" s="263"/>
      <c r="BQ167" s="263"/>
      <c r="BR167" s="263"/>
      <c r="BS167" s="263"/>
      <c r="BT167" s="263"/>
      <c r="BU167" s="263"/>
      <c r="BV167" s="263"/>
      <c r="BW167" s="263"/>
      <c r="BX167" s="263"/>
      <c r="BY167" s="263"/>
      <c r="BZ167" s="263"/>
      <c r="CA167" s="254"/>
      <c r="CB167" s="254"/>
      <c r="CC167" s="254"/>
      <c r="CD167" s="254"/>
      <c r="CE167" s="254"/>
      <c r="CF167" s="254"/>
      <c r="CG167" s="254"/>
      <c r="CH167" s="254"/>
      <c r="CI167" s="254"/>
      <c r="CJ167" s="254"/>
      <c r="CK167" s="254"/>
      <c r="CL167" s="254"/>
    </row>
    <row r="168" spans="1:90" outlineLevel="1" x14ac:dyDescent="0.15">
      <c r="A168" s="50"/>
      <c r="B168" s="23"/>
      <c r="C168" s="26">
        <v>60</v>
      </c>
      <c r="D168" s="281">
        <v>0</v>
      </c>
      <c r="E168" s="26">
        <f>SAP_Leadsheet!$E$61</f>
        <v>7</v>
      </c>
      <c r="G168" s="263">
        <f>IF($C168+1&gt;G$7,0,IF($D168&gt;SUM(#REF!),$D168/$E168,0))</f>
        <v>0</v>
      </c>
      <c r="H168" s="263">
        <f>IF($C168+1&gt;H$7,0,IF($D168&gt;SUM($G168:G168),$D168/$E168,0))</f>
        <v>0</v>
      </c>
      <c r="I168" s="263">
        <f>IF($C168+1&gt;I$7,0,IF($D168&gt;SUM($G168:H168),$D168/$E168,0))</f>
        <v>0</v>
      </c>
      <c r="J168" s="263">
        <f>IF($C168+1&gt;J$7,0,IF($D168&gt;SUM($G168:I168),$D168/$E168,0))</f>
        <v>0</v>
      </c>
      <c r="K168" s="263">
        <f>IF($C168+1&gt;K$7,0,IF($D168&gt;SUM($G168:J168),$D168/$E168,0))</f>
        <v>0</v>
      </c>
      <c r="L168" s="263">
        <f>IF($C168+1&gt;L$7,0,IF($D168&gt;SUM($G168:K168),$D168/$E168,0))</f>
        <v>0</v>
      </c>
      <c r="M168" s="263">
        <f>IF($C168+1&gt;M$7,0,IF($D168&gt;SUM($G168:L168),$D168/$E168,0))</f>
        <v>0</v>
      </c>
      <c r="N168" s="263">
        <f>IF($C168+1&gt;N$7,0,IF($D168&gt;SUM($G168:M168),$D168/$E168,0))</f>
        <v>0</v>
      </c>
      <c r="O168" s="263">
        <f>IF($C168+1&gt;O$7,0,IF($D168&gt;SUM($G168:N168),$D168/$E168,0))</f>
        <v>0</v>
      </c>
      <c r="P168" s="263">
        <f>IF($C168+1&gt;P$7,0,IF($D168&gt;SUM($G168:O168),$D168/$E168,0))</f>
        <v>0</v>
      </c>
      <c r="Q168" s="263">
        <f>IF($C168+1&gt;Q$7,0,IF($D168&gt;SUM($G168:P168),$D168/$E168,0))</f>
        <v>0</v>
      </c>
      <c r="R168" s="263">
        <f>IF($C168+1&gt;R$7,0,IF($D168&gt;SUM($G168:Q168),$D168/$E168,0))</f>
        <v>0</v>
      </c>
      <c r="S168" s="263">
        <f>IF($C168+1&gt;S$7,0,IF($D168&gt;SUM($G168:R168),$D168/$E168,0))</f>
        <v>0</v>
      </c>
      <c r="T168" s="263">
        <f>IF($C168+1&gt;T$7,0,IF($D168&gt;SUM($G168:S168),$D168/$E168,0))</f>
        <v>0</v>
      </c>
      <c r="U168" s="263">
        <f>IF($C168+1&gt;U$7,0,IF($D168&gt;SUM($G168:T168),$D168/$E168,0))</f>
        <v>0</v>
      </c>
      <c r="V168" s="263">
        <f>IF($C168+1&gt;V$7,0,IF($D168&gt;SUM($G168:U168),$D168/$E168,0))</f>
        <v>0</v>
      </c>
      <c r="W168" s="263">
        <f>IF($C168+1&gt;W$7,0,IF($D168&gt;SUM($G168:V168),$D168/$E168,0))</f>
        <v>0</v>
      </c>
      <c r="X168" s="263">
        <f>IF($C168+1&gt;X$7,0,IF($D168&gt;SUM($G168:W168),$D168/$E168,0))</f>
        <v>0</v>
      </c>
      <c r="Y168" s="263">
        <f>IF($C168+1&gt;Y$7,0,IF($D168&gt;SUM($G168:X168),$D168/$E168,0))</f>
        <v>0</v>
      </c>
      <c r="Z168" s="263">
        <f>IF($C168+1&gt;Z$7,0,IF($D168&gt;SUM($G168:Y168),$D168/$E168,0))</f>
        <v>0</v>
      </c>
      <c r="AA168" s="263">
        <f>IF($C168+1&gt;AA$7,0,IF($D168&gt;SUM($G168:Z168),$D168/$E168,0))</f>
        <v>0</v>
      </c>
      <c r="AB168" s="263">
        <f>IF($C168+1&gt;AB$7,0,IF($D168&gt;SUM($G168:AA168),$D168/$E168,0))</f>
        <v>0</v>
      </c>
      <c r="AC168" s="263">
        <f>IF($C168+1&gt;AC$7,0,IF($D168&gt;SUM($G168:AB168),$D168/$E168,0))</f>
        <v>0</v>
      </c>
      <c r="AD168" s="263">
        <f>IF($C168+1&gt;AD$7,0,IF($D168&gt;SUM($G168:AC168),$D168/$E168,0))</f>
        <v>0</v>
      </c>
      <c r="AE168" s="263">
        <f>IF($C168+1&gt;AE$7,0,IF($D168&gt;SUM($G168:AD168),$D168/$E168,0))</f>
        <v>0</v>
      </c>
      <c r="AF168" s="263">
        <f>IF($C168+1&gt;AF$7,0,IF($D168&gt;SUM($G168:AE168),$D168/$E168,0))</f>
        <v>0</v>
      </c>
      <c r="AG168" s="263">
        <f>IF($C168+1&gt;AG$7,0,IF($D168&gt;SUM($G168:AF168),$D168/$E168,0))</f>
        <v>0</v>
      </c>
      <c r="AH168" s="263">
        <f>IF($C168+1&gt;AH$7,0,IF($D168&gt;SUM($G168:AG168),$D168/$E168,0))</f>
        <v>0</v>
      </c>
      <c r="AI168" s="263">
        <f>IF($C168+1&gt;AI$7,0,IF($D168&gt;SUM($G168:AH168),$D168/$E168,0))</f>
        <v>0</v>
      </c>
      <c r="AJ168" s="263">
        <f>IF($C168+1&gt;AJ$7,0,IF($D168&gt;SUM($G168:AI168),$D168/$E168,0))</f>
        <v>0</v>
      </c>
      <c r="AK168" s="263">
        <f>IF($C168+1&gt;AK$7,0,IF($D168&gt;SUM($G168:AJ168),$D168/$E168,0))</f>
        <v>0</v>
      </c>
      <c r="AL168" s="263">
        <f>IF($C168+1&gt;AL$7,0,IF($D168&gt;SUM($G168:AK168),$D168/$E168,0))</f>
        <v>0</v>
      </c>
      <c r="AM168" s="263">
        <f>IF($C168+1&gt;AM$7,0,IF($D168&gt;SUM($G168:AL168),$D168/$E168,0))</f>
        <v>0</v>
      </c>
      <c r="AN168" s="263">
        <f>IF($C168+1&gt;AN$7,0,IF($D168&gt;SUM($G168:AM168),$D168/$E168,0))</f>
        <v>0</v>
      </c>
      <c r="AO168" s="263">
        <f>IF($C168+1&gt;AO$7,0,IF($D168&gt;SUM($G168:AN168),$D168/$E168,0))</f>
        <v>0</v>
      </c>
      <c r="AP168" s="263">
        <f>IF($C168+1&gt;AP$7,0,IF($D168&gt;SUM($G168:AO168),$D168/$E168,0))</f>
        <v>0</v>
      </c>
      <c r="AQ168" s="263">
        <f>IF($C168+1&gt;AQ$7,0,IF($D168&gt;SUM($G168:AP168),$D168/$E168,0))</f>
        <v>0</v>
      </c>
      <c r="AR168" s="263">
        <f>IF($C168+1&gt;AR$7,0,IF($D168&gt;SUM($G168:AQ168),$D168/$E168,0))</f>
        <v>0</v>
      </c>
      <c r="AS168" s="263">
        <f>IF($C168+1&gt;AS$7,0,IF($D168&gt;SUM($G168:AR168),$D168/$E168,0))</f>
        <v>0</v>
      </c>
      <c r="AT168" s="263">
        <f>IF($C168+1&gt;AT$7,0,IF($D168&gt;SUM($G168:AS168),$D168/$E168,0))</f>
        <v>0</v>
      </c>
      <c r="AU168" s="263">
        <f>IF($C168+1&gt;AU$7,0,IF($D168&gt;SUM($G168:AT168),$D168/$E168,0))</f>
        <v>0</v>
      </c>
      <c r="AV168" s="263">
        <f>IF($C168+1&gt;AV$7,0,IF($D168&gt;SUM($G168:AU168),$D168/$E168,0))</f>
        <v>0</v>
      </c>
      <c r="AW168" s="263">
        <f>IF($C168+1&gt;AW$7,0,IF($D168&gt;SUM($G168:AV168),$D168/$E168,0))</f>
        <v>0</v>
      </c>
      <c r="AX168" s="263">
        <f>IF($C168+1&gt;AX$7,0,IF($D168&gt;SUM($G168:AW168),$D168/$E168,0))</f>
        <v>0</v>
      </c>
      <c r="AY168" s="263">
        <f>IF($C168+1&gt;AY$7,0,IF($D168&gt;SUM($G168:AX168),$D168/$E168,0))</f>
        <v>0</v>
      </c>
      <c r="AZ168" s="263">
        <f>IF($C168+1&gt;AZ$7,0,IF($D168&gt;SUM($G168:AY168),$D168/$E168,0))</f>
        <v>0</v>
      </c>
      <c r="BA168" s="263">
        <f>IF($C168+1&gt;BA$7,0,IF($D168&gt;SUM($G168:AZ168),$D168/$E168,0))</f>
        <v>0</v>
      </c>
      <c r="BB168" s="263">
        <f>IF($C168+1&gt;BB$7,0,IF($D168&gt;SUM($G168:BA168),$D168/$E168,0))</f>
        <v>0</v>
      </c>
      <c r="BC168" s="263">
        <f>IF($C168+1&gt;BC$7,0,IF($D168&gt;SUM($G168:BB168),$D168/$E168,0))</f>
        <v>0</v>
      </c>
      <c r="BD168" s="263">
        <f>IF($C168+1&gt;BD$7,0,IF($D168&gt;SUM($G168:BC168),$D168/$E168,0))</f>
        <v>0</v>
      </c>
      <c r="BE168" s="263">
        <f>IF($C168+1&gt;BE$7,0,IF($D168&gt;SUM($G168:BD168),$D168/$E168,0))</f>
        <v>0</v>
      </c>
      <c r="BF168" s="263">
        <f>IF($C168+1&gt;BF$7,0,IF($D168&gt;SUM($G168:BE168),$D168/$E168,0))</f>
        <v>0</v>
      </c>
      <c r="BG168" s="263">
        <f>IF($C168+1&gt;BG$7,0,IF($D168&gt;SUM($G168:BF168),$D168/$E168,0))</f>
        <v>0</v>
      </c>
      <c r="BH168" s="263">
        <f>IF($C168+1&gt;BH$7,0,IF($D168&gt;SUM($G168:BG168),$D168/$E168,0))</f>
        <v>0</v>
      </c>
      <c r="BI168" s="263">
        <f>IF($C168+1&gt;BI$7,0,IF($D168&gt;SUM($G168:BH168),$D168/$E168,0))</f>
        <v>0</v>
      </c>
      <c r="BJ168" s="263">
        <f>IF($C168+1&gt;BJ$7,0,IF($D168&gt;SUM($G168:BI168),$D168/$E168,0))</f>
        <v>0</v>
      </c>
      <c r="BK168" s="263">
        <f>IF($C168+1&gt;BK$7,0,IF($D168&gt;SUM($G168:BJ168),$D168/$E168,0))</f>
        <v>0</v>
      </c>
      <c r="BL168" s="263">
        <f>IF($C168+1&gt;BL$7,0,IF($D168&gt;SUM($G168:BK168),$D168/$E168,0))</f>
        <v>0</v>
      </c>
      <c r="BM168" s="263">
        <f>IF($C168+1&gt;BM$7,0,IF($D168&gt;SUM($G168:BL168),$D168/$E168,0))</f>
        <v>0</v>
      </c>
      <c r="BN168" s="263">
        <f>IF($C168+1&gt;BN$7,0,IF($D168&gt;SUM($G168:BM168),$D168/$E168,0))</f>
        <v>0</v>
      </c>
      <c r="BO168" s="263"/>
      <c r="BP168" s="263"/>
      <c r="BQ168" s="263"/>
      <c r="BR168" s="263"/>
      <c r="BS168" s="263"/>
      <c r="BT168" s="263"/>
      <c r="BU168" s="263"/>
      <c r="BV168" s="263"/>
      <c r="BW168" s="263"/>
      <c r="BX168" s="263"/>
      <c r="BY168" s="263"/>
      <c r="BZ168" s="263"/>
      <c r="CA168" s="254"/>
      <c r="CB168" s="254"/>
      <c r="CC168" s="254"/>
      <c r="CD168" s="254"/>
      <c r="CE168" s="254"/>
      <c r="CF168" s="254"/>
      <c r="CG168" s="254"/>
      <c r="CH168" s="254"/>
      <c r="CI168" s="254"/>
      <c r="CJ168" s="254"/>
      <c r="CK168" s="254"/>
      <c r="CL168" s="254"/>
    </row>
    <row r="169" spans="1:90" s="23" customFormat="1" x14ac:dyDescent="0.15">
      <c r="A169" s="50"/>
      <c r="C169" s="269"/>
      <c r="D169" s="23" t="s">
        <v>353</v>
      </c>
      <c r="G169" s="262">
        <f t="shared" ref="G169:BN169" si="17">G106+G107+G108</f>
        <v>0</v>
      </c>
      <c r="H169" s="262">
        <f t="shared" si="17"/>
        <v>0</v>
      </c>
      <c r="I169" s="262">
        <f t="shared" si="17"/>
        <v>0</v>
      </c>
      <c r="J169" s="262">
        <f t="shared" si="17"/>
        <v>0</v>
      </c>
      <c r="K169" s="262">
        <f t="shared" si="17"/>
        <v>0</v>
      </c>
      <c r="L169" s="262">
        <f t="shared" si="17"/>
        <v>0.70000000000000007</v>
      </c>
      <c r="M169" s="262">
        <f t="shared" si="17"/>
        <v>0.60000000000000009</v>
      </c>
      <c r="N169" s="262">
        <f t="shared" si="17"/>
        <v>0.50000000000000011</v>
      </c>
      <c r="O169" s="262">
        <f t="shared" si="17"/>
        <v>0.40000000000000013</v>
      </c>
      <c r="P169" s="262">
        <f t="shared" si="17"/>
        <v>0.30000000000000016</v>
      </c>
      <c r="Q169" s="262">
        <f t="shared" si="17"/>
        <v>0.20000000000000015</v>
      </c>
      <c r="R169" s="262">
        <f t="shared" si="17"/>
        <v>0.10000000000000014</v>
      </c>
      <c r="S169" s="262">
        <f t="shared" si="17"/>
        <v>1.3877787807814457E-16</v>
      </c>
      <c r="T169" s="262">
        <f t="shared" si="17"/>
        <v>1.3877787807814457E-16</v>
      </c>
      <c r="U169" s="262">
        <f t="shared" si="17"/>
        <v>0.70000000000000018</v>
      </c>
      <c r="V169" s="262">
        <f t="shared" si="17"/>
        <v>0.6000000000000002</v>
      </c>
      <c r="W169" s="262">
        <f t="shared" si="17"/>
        <v>0.50000000000000022</v>
      </c>
      <c r="X169" s="262">
        <f t="shared" si="17"/>
        <v>0.40000000000000024</v>
      </c>
      <c r="Y169" s="262">
        <f t="shared" si="17"/>
        <v>0.30000000000000027</v>
      </c>
      <c r="Z169" s="262">
        <f t="shared" si="17"/>
        <v>0.20000000000000026</v>
      </c>
      <c r="AA169" s="262">
        <f t="shared" si="17"/>
        <v>0.10000000000000026</v>
      </c>
      <c r="AB169" s="262">
        <f t="shared" si="17"/>
        <v>2.4980018054066022E-16</v>
      </c>
      <c r="AC169" s="262">
        <f t="shared" si="17"/>
        <v>2.4980018054066022E-16</v>
      </c>
      <c r="AD169" s="262">
        <f t="shared" si="17"/>
        <v>0.70000000000000029</v>
      </c>
      <c r="AE169" s="262">
        <f t="shared" si="17"/>
        <v>0.60000000000000031</v>
      </c>
      <c r="AF169" s="262">
        <f t="shared" si="17"/>
        <v>0.50000000000000033</v>
      </c>
      <c r="AG169" s="262">
        <f t="shared" si="17"/>
        <v>0.40000000000000036</v>
      </c>
      <c r="AH169" s="262">
        <f t="shared" si="17"/>
        <v>0.30000000000000038</v>
      </c>
      <c r="AI169" s="262">
        <f t="shared" si="17"/>
        <v>0.20000000000000037</v>
      </c>
      <c r="AJ169" s="262">
        <f t="shared" si="17"/>
        <v>0.10000000000000037</v>
      </c>
      <c r="AK169" s="262">
        <f t="shared" si="17"/>
        <v>3.6082248300317588E-16</v>
      </c>
      <c r="AL169" s="262">
        <f t="shared" si="17"/>
        <v>3.6082248300317588E-16</v>
      </c>
      <c r="AM169" s="262">
        <f t="shared" si="17"/>
        <v>3.6082248300317588E-16</v>
      </c>
      <c r="AN169" s="262">
        <f t="shared" si="17"/>
        <v>3.6082248300317588E-16</v>
      </c>
      <c r="AO169" s="262">
        <f t="shared" si="17"/>
        <v>3.6082248300317588E-16</v>
      </c>
      <c r="AP169" s="262">
        <f t="shared" si="17"/>
        <v>3.6082248300317588E-16</v>
      </c>
      <c r="AQ169" s="262">
        <f t="shared" si="17"/>
        <v>3.6082248300317588E-16</v>
      </c>
      <c r="AR169" s="262">
        <f t="shared" si="17"/>
        <v>3.6082248300317588E-16</v>
      </c>
      <c r="AS169" s="262">
        <f t="shared" si="17"/>
        <v>3.6082248300317588E-16</v>
      </c>
      <c r="AT169" s="262">
        <f t="shared" si="17"/>
        <v>3.6082248300317588E-16</v>
      </c>
      <c r="AU169" s="262">
        <f t="shared" si="17"/>
        <v>3.6082248300317588E-16</v>
      </c>
      <c r="AV169" s="262">
        <f t="shared" si="17"/>
        <v>3.6082248300317588E-16</v>
      </c>
      <c r="AW169" s="262">
        <f t="shared" si="17"/>
        <v>3.6082248300317588E-16</v>
      </c>
      <c r="AX169" s="262">
        <f t="shared" si="17"/>
        <v>3.6082248300317588E-16</v>
      </c>
      <c r="AY169" s="262">
        <f t="shared" si="17"/>
        <v>3.6082248300317588E-16</v>
      </c>
      <c r="AZ169" s="262">
        <f t="shared" si="17"/>
        <v>3.6082248300317588E-16</v>
      </c>
      <c r="BA169" s="262">
        <f t="shared" si="17"/>
        <v>3.6082248300317588E-16</v>
      </c>
      <c r="BB169" s="262">
        <f t="shared" si="17"/>
        <v>3.6082248300317588E-16</v>
      </c>
      <c r="BC169" s="262">
        <f t="shared" si="17"/>
        <v>3.6082248300317588E-16</v>
      </c>
      <c r="BD169" s="262">
        <f t="shared" si="17"/>
        <v>3.6082248300317588E-16</v>
      </c>
      <c r="BE169" s="262">
        <f t="shared" si="17"/>
        <v>3.6082248300317588E-16</v>
      </c>
      <c r="BF169" s="262">
        <f t="shared" si="17"/>
        <v>3.6082248300317588E-16</v>
      </c>
      <c r="BG169" s="262">
        <f t="shared" si="17"/>
        <v>3.6082248300317588E-16</v>
      </c>
      <c r="BH169" s="262">
        <f t="shared" si="17"/>
        <v>3.6082248300317588E-16</v>
      </c>
      <c r="BI169" s="262">
        <f t="shared" si="17"/>
        <v>3.6082248300317588E-16</v>
      </c>
      <c r="BJ169" s="262">
        <f t="shared" si="17"/>
        <v>3.6082248300317588E-16</v>
      </c>
      <c r="BK169" s="262">
        <f t="shared" si="17"/>
        <v>3.6082248300317588E-16</v>
      </c>
      <c r="BL169" s="262">
        <f t="shared" si="17"/>
        <v>3.6082248300317588E-16</v>
      </c>
      <c r="BM169" s="262">
        <f t="shared" si="17"/>
        <v>3.6082248300317588E-16</v>
      </c>
      <c r="BN169" s="262">
        <f t="shared" si="17"/>
        <v>3.6082248300317588E-16</v>
      </c>
      <c r="BO169" s="263"/>
      <c r="BP169" s="263"/>
      <c r="BQ169" s="263"/>
      <c r="BR169" s="263"/>
      <c r="BS169" s="263"/>
      <c r="BT169" s="263"/>
      <c r="BU169" s="263"/>
      <c r="BV169" s="263"/>
      <c r="BW169" s="263"/>
      <c r="BX169" s="263"/>
      <c r="BY169" s="263"/>
      <c r="BZ169" s="263"/>
      <c r="CA169" s="264"/>
      <c r="CB169" s="264"/>
      <c r="CC169" s="264"/>
      <c r="CD169" s="264"/>
      <c r="CE169" s="264"/>
      <c r="CF169" s="264"/>
      <c r="CG169" s="264"/>
      <c r="CH169" s="264"/>
      <c r="CI169" s="264"/>
      <c r="CJ169" s="264"/>
      <c r="CK169" s="264"/>
      <c r="CL169" s="264"/>
    </row>
    <row r="170" spans="1:90" s="23" customFormat="1" x14ac:dyDescent="0.15">
      <c r="A170" s="50"/>
      <c r="C170" s="269"/>
      <c r="G170" s="263"/>
      <c r="H170" s="263"/>
      <c r="I170" s="263"/>
      <c r="J170" s="263"/>
      <c r="K170" s="263"/>
      <c r="L170" s="263"/>
      <c r="M170" s="263"/>
      <c r="N170" s="263"/>
      <c r="O170" s="263"/>
      <c r="P170" s="263"/>
      <c r="Q170" s="263"/>
      <c r="R170" s="263"/>
      <c r="S170" s="263"/>
      <c r="T170" s="263"/>
      <c r="U170" s="263"/>
      <c r="V170" s="263"/>
      <c r="W170" s="263"/>
      <c r="X170" s="263"/>
      <c r="Y170" s="263"/>
      <c r="Z170" s="263"/>
      <c r="AA170" s="263"/>
      <c r="AB170" s="263"/>
      <c r="AC170" s="263"/>
      <c r="AD170" s="263"/>
      <c r="AE170" s="263"/>
      <c r="AF170" s="263"/>
      <c r="AG170" s="263"/>
      <c r="AH170" s="263"/>
      <c r="AI170" s="263"/>
      <c r="AJ170" s="263"/>
      <c r="AK170" s="263"/>
      <c r="AL170" s="263"/>
      <c r="AM170" s="263"/>
      <c r="AN170" s="263"/>
      <c r="AO170" s="263"/>
      <c r="AP170" s="263"/>
      <c r="AQ170" s="263"/>
      <c r="AR170" s="263"/>
      <c r="AS170" s="263"/>
      <c r="AT170" s="263"/>
      <c r="AU170" s="263"/>
      <c r="AV170" s="263"/>
      <c r="AW170" s="263"/>
      <c r="AX170" s="263"/>
      <c r="AY170" s="263"/>
      <c r="AZ170" s="263"/>
      <c r="BA170" s="263"/>
      <c r="BB170" s="263"/>
      <c r="BC170" s="263"/>
      <c r="BD170" s="263"/>
      <c r="BE170" s="263"/>
      <c r="BF170" s="263"/>
      <c r="BG170" s="263"/>
      <c r="BH170" s="263"/>
      <c r="BI170" s="263"/>
      <c r="BJ170" s="263"/>
      <c r="BK170" s="263"/>
      <c r="BL170" s="263"/>
      <c r="BM170" s="263"/>
      <c r="BN170" s="263"/>
      <c r="BO170" s="263"/>
      <c r="BP170" s="263"/>
      <c r="BQ170" s="263"/>
      <c r="BR170" s="263"/>
      <c r="BS170" s="263"/>
      <c r="BT170" s="263"/>
      <c r="BU170" s="263"/>
      <c r="BV170" s="263"/>
      <c r="BW170" s="263"/>
      <c r="BX170" s="263"/>
      <c r="BY170" s="263"/>
      <c r="BZ170" s="263"/>
      <c r="CA170" s="264"/>
      <c r="CB170" s="264"/>
      <c r="CC170" s="264"/>
      <c r="CD170" s="264"/>
      <c r="CE170" s="264"/>
      <c r="CF170" s="264"/>
      <c r="CG170" s="264"/>
      <c r="CH170" s="264"/>
      <c r="CI170" s="264"/>
      <c r="CJ170" s="264"/>
      <c r="CK170" s="264"/>
      <c r="CL170" s="264"/>
    </row>
    <row r="171" spans="1:90" s="23" customFormat="1" x14ac:dyDescent="0.15">
      <c r="A171" s="50"/>
      <c r="B171" s="269" t="s">
        <v>321</v>
      </c>
      <c r="C171" s="269"/>
      <c r="D171" s="35" t="s">
        <v>366</v>
      </c>
      <c r="F171" s="26" t="s">
        <v>341</v>
      </c>
      <c r="G171" s="262">
        <f t="shared" ref="G171:BN171" ca="1" si="18">G28+G35</f>
        <v>0.45732039052310158</v>
      </c>
      <c r="H171" s="262">
        <f t="shared" ca="1" si="18"/>
        <v>0.83586421013723056</v>
      </c>
      <c r="I171" s="262">
        <f t="shared" ca="1" si="18"/>
        <v>1.0274184842474121</v>
      </c>
      <c r="J171" s="262">
        <f t="shared" ca="1" si="18"/>
        <v>1.0777770302674909</v>
      </c>
      <c r="K171" s="262">
        <f t="shared" ca="1" si="18"/>
        <v>1.0546631995361941</v>
      </c>
      <c r="L171" s="262">
        <f t="shared" ca="1" si="18"/>
        <v>1.0047274942912869</v>
      </c>
      <c r="M171" s="262">
        <f t="shared" ca="1" si="18"/>
        <v>0.92739840059242984</v>
      </c>
      <c r="N171" s="262">
        <f t="shared" ca="1" si="18"/>
        <v>0.87367685590967392</v>
      </c>
      <c r="O171" s="262">
        <f t="shared" ca="1" si="18"/>
        <v>0.83117237193302285</v>
      </c>
      <c r="P171" s="262">
        <f t="shared" ca="1" si="18"/>
        <v>0.79702105966969095</v>
      </c>
      <c r="Q171" s="262">
        <f t="shared" ca="1" si="18"/>
        <v>0.77563831497913172</v>
      </c>
      <c r="R171" s="262">
        <f t="shared" ca="1" si="18"/>
        <v>0.76868738032795414</v>
      </c>
      <c r="S171" s="262">
        <f t="shared" ca="1" si="18"/>
        <v>0.78277729305750987</v>
      </c>
      <c r="T171" s="262">
        <f t="shared" ca="1" si="18"/>
        <v>0.84694397151407841</v>
      </c>
      <c r="U171" s="262">
        <f t="shared" ca="1" si="18"/>
        <v>0.87084774905963447</v>
      </c>
      <c r="V171" s="262">
        <f t="shared" ca="1" si="18"/>
        <v>0.86046620461305112</v>
      </c>
      <c r="W171" s="262">
        <f t="shared" ca="1" si="18"/>
        <v>0.87632600857067522</v>
      </c>
      <c r="X171" s="262">
        <f t="shared" ca="1" si="18"/>
        <v>0.89795573388328398</v>
      </c>
      <c r="Y171" s="262">
        <f t="shared" ca="1" si="18"/>
        <v>0.91504739510277422</v>
      </c>
      <c r="Z171" s="262">
        <f t="shared" ca="1" si="18"/>
        <v>0.92499287476393366</v>
      </c>
      <c r="AA171" s="262">
        <f t="shared" ca="1" si="18"/>
        <v>0.92690337597465744</v>
      </c>
      <c r="AB171" s="262">
        <f t="shared" ca="1" si="18"/>
        <v>0.92287142911286191</v>
      </c>
      <c r="AC171" s="262">
        <f t="shared" ca="1" si="18"/>
        <v>0.93328074317749854</v>
      </c>
      <c r="AD171" s="262">
        <f t="shared" ca="1" si="18"/>
        <v>0.92462129822247152</v>
      </c>
      <c r="AE171" s="262">
        <f t="shared" ca="1" si="18"/>
        <v>0.94023391741230089</v>
      </c>
      <c r="AF171" s="262">
        <f t="shared" ca="1" si="18"/>
        <v>0.97369791605211597</v>
      </c>
      <c r="AG171" s="262">
        <f t="shared" ca="1" si="18"/>
        <v>0.99844896150112905</v>
      </c>
      <c r="AH171" s="262">
        <f t="shared" ca="1" si="18"/>
        <v>1.0102230680142217</v>
      </c>
      <c r="AI171" s="262">
        <f t="shared" ca="1" si="18"/>
        <v>1.0131673151984346</v>
      </c>
      <c r="AJ171" s="262">
        <f t="shared" ca="1" si="18"/>
        <v>1.0119781933518466</v>
      </c>
      <c r="AK171" s="262">
        <f t="shared" ca="1" si="18"/>
        <v>1.0094227007296119</v>
      </c>
      <c r="AL171" s="262">
        <f t="shared" ca="1" si="18"/>
        <v>1.0208333972542294</v>
      </c>
      <c r="AM171" s="262">
        <f t="shared" ca="1" si="18"/>
        <v>1.0161986653465525</v>
      </c>
      <c r="AN171" s="262">
        <f t="shared" ca="1" si="18"/>
        <v>1.0076390311488497</v>
      </c>
      <c r="AO171" s="262">
        <f t="shared" ca="1" si="18"/>
        <v>0.99997187601643345</v>
      </c>
      <c r="AP171" s="262">
        <f t="shared" ca="1" si="18"/>
        <v>0.99427630429232605</v>
      </c>
      <c r="AQ171" s="262">
        <f t="shared" ca="1" si="18"/>
        <v>0.99130637829544321</v>
      </c>
      <c r="AR171" s="262">
        <f t="shared" ca="1" si="18"/>
        <v>0.99017421677305573</v>
      </c>
      <c r="AS171" s="262">
        <f t="shared" ca="1" si="18"/>
        <v>0.98985817350343031</v>
      </c>
      <c r="AT171" s="262">
        <f t="shared" ca="1" si="18"/>
        <v>0.98968188874694496</v>
      </c>
      <c r="AU171" s="262">
        <f t="shared" ca="1" si="18"/>
        <v>0.98936023761524772</v>
      </c>
      <c r="AV171" s="262">
        <f t="shared" ca="1" si="18"/>
        <v>0.98885372039825359</v>
      </c>
      <c r="AW171" s="262">
        <f t="shared" ca="1" si="18"/>
        <v>0.98810533881670015</v>
      </c>
      <c r="AX171" s="262">
        <f t="shared" ca="1" si="18"/>
        <v>0.98702203560969481</v>
      </c>
      <c r="AY171" s="262">
        <f t="shared" ca="1" si="18"/>
        <v>0.9853514498265713</v>
      </c>
      <c r="AZ171" s="262">
        <f t="shared" ca="1" si="18"/>
        <v>0.98285381306841235</v>
      </c>
      <c r="BA171" s="262">
        <f t="shared" ca="1" si="18"/>
        <v>0.97974345434729104</v>
      </c>
      <c r="BB171" s="262">
        <f t="shared" ca="1" si="18"/>
        <v>0.97627608632476293</v>
      </c>
      <c r="BC171" s="262">
        <f t="shared" ca="1" si="18"/>
        <v>0.97286062567513254</v>
      </c>
      <c r="BD171" s="262">
        <f t="shared" ca="1" si="18"/>
        <v>0.96954452107327205</v>
      </c>
      <c r="BE171" s="262">
        <f t="shared" ca="1" si="18"/>
        <v>0.9662619337225028</v>
      </c>
      <c r="BF171" s="262">
        <f t="shared" ca="1" si="18"/>
        <v>0.96294279122203941</v>
      </c>
      <c r="BG171" s="262">
        <f t="shared" ca="1" si="18"/>
        <v>0.95954242994101691</v>
      </c>
      <c r="BH171" s="262">
        <f t="shared" ca="1" si="18"/>
        <v>0.95603837387111756</v>
      </c>
      <c r="BI171" s="262">
        <f t="shared" ca="1" si="18"/>
        <v>0.95241914450241072</v>
      </c>
      <c r="BJ171" s="262">
        <f t="shared" ca="1" si="18"/>
        <v>0.94867653010786912</v>
      </c>
      <c r="BK171" s="262">
        <f t="shared" ca="1" si="18"/>
        <v>0.94472629461709989</v>
      </c>
      <c r="BL171" s="262">
        <f t="shared" ca="1" si="18"/>
        <v>0.94042976513094112</v>
      </c>
      <c r="BM171" s="262">
        <f t="shared" ca="1" si="18"/>
        <v>0.9358461994873285</v>
      </c>
      <c r="BN171" s="262">
        <f t="shared" ca="1" si="18"/>
        <v>0.93106307362667529</v>
      </c>
      <c r="BO171" s="263"/>
      <c r="BP171" s="263"/>
      <c r="BQ171" s="263"/>
      <c r="BR171" s="263"/>
      <c r="BS171" s="263"/>
      <c r="BT171" s="263"/>
      <c r="BU171" s="263"/>
      <c r="BV171" s="263"/>
      <c r="BW171" s="263"/>
      <c r="BX171" s="263"/>
      <c r="BY171" s="263"/>
      <c r="BZ171" s="263"/>
      <c r="CA171" s="264"/>
      <c r="CB171" s="264"/>
      <c r="CC171" s="264"/>
      <c r="CD171" s="264"/>
      <c r="CE171" s="264"/>
      <c r="CF171" s="264"/>
      <c r="CG171" s="264"/>
      <c r="CH171" s="264"/>
      <c r="CI171" s="264"/>
      <c r="CJ171" s="264"/>
      <c r="CK171" s="264"/>
      <c r="CL171" s="264"/>
    </row>
    <row r="172" spans="1:90" s="23" customFormat="1" x14ac:dyDescent="0.15">
      <c r="A172" s="50"/>
      <c r="C172" s="269"/>
      <c r="D172" s="26" t="s">
        <v>367</v>
      </c>
      <c r="E172" s="26"/>
      <c r="F172" s="26" t="s">
        <v>341</v>
      </c>
      <c r="G172" s="263" cm="1">
        <f t="array" aca="1" ref="G172" ca="1">IF(G7&gt;SAP_Leadsheet!$E$21,0,_xlfn.IFS(SAP_Leadsheet!$C$6="DPD360+",SUM(SAP_Spreadsheet!G181:G194),SAP_Leadsheet!$C$6="DPD180+",SUM(SAP_Spreadsheet!G181:G188)))</f>
        <v>0.45732039052310158</v>
      </c>
      <c r="H172" s="263" cm="1">
        <f t="array" aca="1" ref="H172" ca="1">IF(H7&gt;SAP_Leadsheet!$E$21,0,_xlfn.IFS(SAP_Leadsheet!$C$6="DPD360+",SUM(SAP_Spreadsheet!H181:H194),SAP_Leadsheet!$C$6="DPD180+",SUM(SAP_Spreadsheet!H181:H188)))</f>
        <v>0.83586421013723056</v>
      </c>
      <c r="I172" s="263" cm="1">
        <f t="array" aca="1" ref="I172" ca="1">IF(I7&gt;SAP_Leadsheet!$E$21,0,_xlfn.IFS(SAP_Leadsheet!$C$6="DPD360+",SUM(SAP_Spreadsheet!I181:I194),SAP_Leadsheet!$C$6="DPD180+",SUM(SAP_Spreadsheet!I181:I188)))</f>
        <v>1.0274184842474121</v>
      </c>
      <c r="J172" s="263" cm="1">
        <f t="array" aca="1" ref="J172" ca="1">IF(J7&gt;SAP_Leadsheet!$E$21,0,_xlfn.IFS(SAP_Leadsheet!$C$6="DPD360+",SUM(SAP_Spreadsheet!J181:J194),SAP_Leadsheet!$C$6="DPD180+",SUM(SAP_Spreadsheet!J181:J188)))</f>
        <v>1.0777770302674909</v>
      </c>
      <c r="K172" s="263" cm="1">
        <f t="array" aca="1" ref="K172" ca="1">IF(K7&gt;SAP_Leadsheet!$E$21,0,_xlfn.IFS(SAP_Leadsheet!$C$6="DPD360+",SUM(SAP_Spreadsheet!K181:K194),SAP_Leadsheet!$C$6="DPD180+",SUM(SAP_Spreadsheet!K181:K188)))</f>
        <v>1.0546631995361941</v>
      </c>
      <c r="L172" s="263" cm="1">
        <f t="array" aca="1" ref="L172" ca="1">IF(L7&gt;SAP_Leadsheet!$E$21,0,_xlfn.IFS(SAP_Leadsheet!$C$6="DPD360+",SUM(SAP_Spreadsheet!L181:L194),SAP_Leadsheet!$C$6="DPD180+",SUM(SAP_Spreadsheet!L181:L188)))</f>
        <v>1.0047274942912869</v>
      </c>
      <c r="M172" s="263" cm="1">
        <f t="array" aca="1" ref="M172" ca="1">IF(M7&gt;SAP_Leadsheet!$E$21,0,_xlfn.IFS(SAP_Leadsheet!$C$6="DPD360+",SUM(SAP_Spreadsheet!M181:M194),SAP_Leadsheet!$C$6="DPD180+",SUM(SAP_Spreadsheet!M181:M188)))</f>
        <v>0.92739840059242984</v>
      </c>
      <c r="N172" s="263" cm="1">
        <f t="array" aca="1" ref="N172" ca="1">IF(N7&gt;SAP_Leadsheet!$E$21,0,_xlfn.IFS(SAP_Leadsheet!$C$6="DPD360+",SUM(SAP_Spreadsheet!N181:N194),SAP_Leadsheet!$C$6="DPD180+",SUM(SAP_Spreadsheet!N181:N188)))</f>
        <v>0.87367685590967403</v>
      </c>
      <c r="O172" s="263" cm="1">
        <f t="array" aca="1" ref="O172" ca="1">IF(O7&gt;SAP_Leadsheet!$E$21,0,_xlfn.IFS(SAP_Leadsheet!$C$6="DPD360+",SUM(SAP_Spreadsheet!O181:O194),SAP_Leadsheet!$C$6="DPD180+",SUM(SAP_Spreadsheet!O181:O188)))</f>
        <v>0.8068612918885758</v>
      </c>
      <c r="P172" s="263" cm="1">
        <f t="array" aca="1" ref="P172" ca="1">IF(P7&gt;SAP_Leadsheet!$E$21,0,_xlfn.IFS(SAP_Leadsheet!$C$6="DPD360+",SUM(SAP_Spreadsheet!P181:P194),SAP_Leadsheet!$C$6="DPD180+",SUM(SAP_Spreadsheet!P181:P188)))</f>
        <v>0.72985578986077715</v>
      </c>
      <c r="Q172" s="263" cm="1">
        <f t="array" aca="1" ref="Q172" ca="1">IF(Q7&gt;SAP_Leadsheet!$E$21,0,_xlfn.IFS(SAP_Leadsheet!$C$6="DPD360+",SUM(SAP_Spreadsheet!Q181:Q194),SAP_Leadsheet!$C$6="DPD180+",SUM(SAP_Spreadsheet!Q181:Q188)))</f>
        <v>0.65806336063125681</v>
      </c>
      <c r="R172" s="263" cm="1">
        <f t="array" aca="1" ref="R172" ca="1">IF(R7&gt;SAP_Leadsheet!$E$21,0,_xlfn.IFS(SAP_Leadsheet!$C$6="DPD360+",SUM(SAP_Spreadsheet!R181:R194),SAP_Leadsheet!$C$6="DPD180+",SUM(SAP_Spreadsheet!R181:R188)))</f>
        <v>0.60096687838806617</v>
      </c>
      <c r="S172" s="263" cm="1">
        <f t="array" aca="1" ref="S172" ca="1">IF(S7&gt;SAP_Leadsheet!$E$21,0,_xlfn.IFS(SAP_Leadsheet!$C$6="DPD360+",SUM(SAP_Spreadsheet!S181:S194),SAP_Leadsheet!$C$6="DPD180+",SUM(SAP_Spreadsheet!S181:S188)))</f>
        <v>0.5689469415677666</v>
      </c>
      <c r="T172" s="263" cm="1">
        <f t="array" aca="1" ref="T172" ca="1">IF(T7&gt;SAP_Leadsheet!$E$21,0,_xlfn.IFS(SAP_Leadsheet!$C$6="DPD360+",SUM(SAP_Spreadsheet!T181:T194),SAP_Leadsheet!$C$6="DPD180+",SUM(SAP_Spreadsheet!T181:T188)))</f>
        <v>0.59241903928332429</v>
      </c>
      <c r="U172" s="263" cm="1">
        <f t="array" aca="1" ref="U172" ca="1">IF(U7&gt;SAP_Leadsheet!$E$21,0,_xlfn.IFS(SAP_Leadsheet!$C$6="DPD360+",SUM(SAP_Spreadsheet!U181:U194),SAP_Leadsheet!$C$6="DPD180+",SUM(SAP_Spreadsheet!U181:U188)))</f>
        <v>0.58190193976309879</v>
      </c>
      <c r="V172" s="263" cm="1">
        <f t="array" aca="1" ref="V172" ca="1">IF(V7&gt;SAP_Leadsheet!$E$21,0,_xlfn.IFS(SAP_Leadsheet!$C$6="DPD360+",SUM(SAP_Spreadsheet!V181:V194),SAP_Leadsheet!$C$6="DPD180+",SUM(SAP_Spreadsheet!V181:V188)))</f>
        <v>0.54194412534958636</v>
      </c>
      <c r="W172" s="263" cm="1">
        <f t="array" aca="1" ref="W172" ca="1">IF(W7&gt;SAP_Leadsheet!$E$21,0,_xlfn.IFS(SAP_Leadsheet!$C$6="DPD360+",SUM(SAP_Spreadsheet!W181:W194),SAP_Leadsheet!$C$6="DPD180+",SUM(SAP_Spreadsheet!W181:W188)))</f>
        <v>0.53240096166275952</v>
      </c>
      <c r="X172" s="263" cm="1">
        <f t="array" aca="1" ref="X172" ca="1">IF(X7&gt;SAP_Leadsheet!$E$21,0,_xlfn.IFS(SAP_Leadsheet!$C$6="DPD360+",SUM(SAP_Spreadsheet!X181:X194),SAP_Leadsheet!$C$6="DPD180+",SUM(SAP_Spreadsheet!X181:X188)))</f>
        <v>0.53239921745419483</v>
      </c>
      <c r="Y172" s="263" cm="1">
        <f t="array" aca="1" ref="Y172" ca="1">IF(Y7&gt;SAP_Leadsheet!$E$21,0,_xlfn.IFS(SAP_Leadsheet!$C$6="DPD360+",SUM(SAP_Spreadsheet!Y181:Y194),SAP_Leadsheet!$C$6="DPD180+",SUM(SAP_Spreadsheet!Y181:Y188)))</f>
        <v>0.53100834181296308</v>
      </c>
      <c r="Z172" s="263" cm="1">
        <f t="array" aca="1" ref="Z172" ca="1">IF(Z7&gt;SAP_Leadsheet!$E$21,0,_xlfn.IFS(SAP_Leadsheet!$C$6="DPD360+",SUM(SAP_Spreadsheet!Z181:Z194),SAP_Leadsheet!$C$6="DPD180+",SUM(SAP_Spreadsheet!Z181:Z188)))</f>
        <v>0.53167140400947865</v>
      </c>
      <c r="AA172" s="263" cm="1">
        <f t="array" aca="1" ref="AA172" ca="1">IF(AA7&gt;SAP_Leadsheet!$E$21,0,_xlfn.IFS(SAP_Leadsheet!$C$6="DPD360+",SUM(SAP_Spreadsheet!AA181:AA194),SAP_Leadsheet!$C$6="DPD180+",SUM(SAP_Spreadsheet!AA181:AA188)))</f>
        <v>0.52405285517856093</v>
      </c>
      <c r="AB172" s="263" cm="1">
        <f t="array" aca="1" ref="AB172" ca="1">IF(AB7&gt;SAP_Leadsheet!$E$21,0,_xlfn.IFS(SAP_Leadsheet!$C$6="DPD360+",SUM(SAP_Spreadsheet!AB181:AB194),SAP_Leadsheet!$C$6="DPD180+",SUM(SAP_Spreadsheet!AB181:AB188)))</f>
        <v>0.50905519093918883</v>
      </c>
      <c r="AC172" s="263" cm="1">
        <f t="array" aca="1" ref="AC172" ca="1">IF(AC7&gt;SAP_Leadsheet!$E$21,0,_xlfn.IFS(SAP_Leadsheet!$C$6="DPD360+",SUM(SAP_Spreadsheet!AC181:AC194),SAP_Leadsheet!$C$6="DPD180+",SUM(SAP_Spreadsheet!AC181:AC188)))</f>
        <v>0.50815630205250562</v>
      </c>
      <c r="AD172" s="263" cm="1">
        <f t="array" aca="1" ref="AD172" ca="1">IF(AD7&gt;SAP_Leadsheet!$E$21,0,_xlfn.IFS(SAP_Leadsheet!$C$6="DPD360+",SUM(SAP_Spreadsheet!AD181:AD194),SAP_Leadsheet!$C$6="DPD180+",SUM(SAP_Spreadsheet!AD181:AD188)))</f>
        <v>0.4887297923171951</v>
      </c>
      <c r="AE172" s="263" cm="1">
        <f t="array" aca="1" ref="AE172" ca="1">IF(AE7&gt;SAP_Leadsheet!$E$21,0,_xlfn.IFS(SAP_Leadsheet!$C$6="DPD360+",SUM(SAP_Spreadsheet!AE181:AE194),SAP_Leadsheet!$C$6="DPD180+",SUM(SAP_Spreadsheet!AE181:AE188)))</f>
        <v>0.49343878850308692</v>
      </c>
      <c r="AF172" s="263" cm="1">
        <f t="array" aca="1" ref="AF172" ca="1">IF(AF7&gt;SAP_Leadsheet!$E$21,0,_xlfn.IFS(SAP_Leadsheet!$C$6="DPD360+",SUM(SAP_Spreadsheet!AF181:AF194),SAP_Leadsheet!$C$6="DPD180+",SUM(SAP_Spreadsheet!AF181:AF188)))</f>
        <v>0.51568937327460496</v>
      </c>
      <c r="AG172" s="263" cm="1">
        <f t="array" aca="1" ref="AG172" ca="1">IF(AG7&gt;SAP_Leadsheet!$E$21,0,_xlfn.IFS(SAP_Leadsheet!$C$6="DPD360+",SUM(SAP_Spreadsheet!AG181:AG194),SAP_Leadsheet!$C$6="DPD180+",SUM(SAP_Spreadsheet!AG181:AG188)))</f>
        <v>0.52900514575546309</v>
      </c>
      <c r="AH172" s="263" cm="1">
        <f t="array" aca="1" ref="AH172" ca="1">IF(AH7&gt;SAP_Leadsheet!$E$21,0,_xlfn.IFS(SAP_Leadsheet!$C$6="DPD360+",SUM(SAP_Spreadsheet!AH181:AH194),SAP_Leadsheet!$C$6="DPD180+",SUM(SAP_Spreadsheet!AH181:AH188)))</f>
        <v>0.52921519680573548</v>
      </c>
      <c r="AI172" s="263" cm="1">
        <f t="array" aca="1" ref="AI172" ca="1">IF(AI7&gt;SAP_Leadsheet!$E$21,0,_xlfn.IFS(SAP_Leadsheet!$C$6="DPD360+",SUM(SAP_Spreadsheet!AI181:AI194),SAP_Leadsheet!$C$6="DPD180+",SUM(SAP_Spreadsheet!AI181:AI188)))</f>
        <v>0.52099712666040399</v>
      </c>
      <c r="AJ172" s="263" cm="1">
        <f t="array" aca="1" ref="AJ172" ca="1">IF(AJ7&gt;SAP_Leadsheet!$E$21,0,_xlfn.IFS(SAP_Leadsheet!$C$6="DPD360+",SUM(SAP_Spreadsheet!AJ181:AJ194),SAP_Leadsheet!$C$6="DPD180+",SUM(SAP_Spreadsheet!AJ181:AJ188)))</f>
        <v>0.50934205259733334</v>
      </c>
      <c r="AK172" s="263" cm="1">
        <f t="array" aca="1" ref="AK172" ca="1">IF(AK7&gt;SAP_Leadsheet!$E$21,0,_xlfn.IFS(SAP_Leadsheet!$C$6="DPD360+",SUM(SAP_Spreadsheet!AK181:AK194),SAP_Leadsheet!$C$6="DPD180+",SUM(SAP_Spreadsheet!AK181:AK188)))</f>
        <v>0.49660104498161084</v>
      </c>
      <c r="AL172" s="263" cm="1">
        <f t="array" aca="1" ref="AL172" ca="1">IF(AL7&gt;SAP_Leadsheet!$E$21,0,_xlfn.IFS(SAP_Leadsheet!$C$6="DPD360+",SUM(SAP_Spreadsheet!AL181:AL194),SAP_Leadsheet!$C$6="DPD180+",SUM(SAP_Spreadsheet!AL181:AL188)))</f>
        <v>0.49967870221959065</v>
      </c>
      <c r="AM172" s="263" cm="1">
        <f t="array" aca="1" ref="AM172" ca="1">IF(AM7&gt;SAP_Leadsheet!$E$21,0,_xlfn.IFS(SAP_Leadsheet!$C$6="DPD360+",SUM(SAP_Spreadsheet!AM181:AM194),SAP_Leadsheet!$C$6="DPD180+",SUM(SAP_Spreadsheet!AM181:AM188)))</f>
        <v>0.48654068391641453</v>
      </c>
      <c r="AN172" s="263" cm="1">
        <f t="array" aca="1" ref="AN172" ca="1">IF(AN7&gt;SAP_Leadsheet!$E$21,0,_xlfn.IFS(SAP_Leadsheet!$C$6="DPD360+",SUM(SAP_Spreadsheet!AN181:AN194),SAP_Leadsheet!$C$6="DPD180+",SUM(SAP_Spreadsheet!AN181:AN188)))</f>
        <v>0.46895480274326373</v>
      </c>
      <c r="AO172" s="263" cm="1">
        <f t="array" aca="1" ref="AO172" ca="1">IF(AO7&gt;SAP_Leadsheet!$E$21,0,_xlfn.IFS(SAP_Leadsheet!$C$6="DPD360+",SUM(SAP_Spreadsheet!AO181:AO194),SAP_Leadsheet!$C$6="DPD180+",SUM(SAP_Spreadsheet!AO181:AO188)))</f>
        <v>0.45193837860815195</v>
      </c>
      <c r="AP172" s="263" cm="1">
        <f t="array" aca="1" ref="AP172" ca="1">IF(AP7&gt;SAP_Leadsheet!$E$21,0,_xlfn.IFS(SAP_Leadsheet!$C$6="DPD360+",SUM(SAP_Spreadsheet!AP181:AP194),SAP_Leadsheet!$C$6="DPD180+",SUM(SAP_Spreadsheet!AP181:AP188)))</f>
        <v>0.43684754847025015</v>
      </c>
      <c r="AQ172" s="263" cm="1">
        <f t="array" aca="1" ref="AQ172" ca="1">IF(AQ7&gt;SAP_Leadsheet!$E$21,0,_xlfn.IFS(SAP_Leadsheet!$C$6="DPD360+",SUM(SAP_Spreadsheet!AQ181:AQ194),SAP_Leadsheet!$C$6="DPD180+",SUM(SAP_Spreadsheet!AQ181:AQ188)))</f>
        <v>0.42461761277510368</v>
      </c>
      <c r="AR172" s="263" cm="1">
        <f t="array" aca="1" ref="AR172" ca="1">IF(AR7&gt;SAP_Leadsheet!$E$21,0,_xlfn.IFS(SAP_Leadsheet!$C$6="DPD360+",SUM(SAP_Spreadsheet!AR181:AR194),SAP_Leadsheet!$C$6="DPD180+",SUM(SAP_Spreadsheet!AR181:AR188)))</f>
        <v>0.4144408044205441</v>
      </c>
      <c r="AS172" s="263" cm="1">
        <f t="array" aca="1" ref="AS172" ca="1">IF(AS7&gt;SAP_Leadsheet!$E$21,0,_xlfn.IFS(SAP_Leadsheet!$C$6="DPD360+",SUM(SAP_Spreadsheet!AS181:AS194),SAP_Leadsheet!$C$6="DPD180+",SUM(SAP_Spreadsheet!AS181:AS188)))</f>
        <v>0.40531769429190856</v>
      </c>
      <c r="AT172" s="263" cm="1">
        <f t="array" aca="1" ref="AT172" ca="1">IF(AT7&gt;SAP_Leadsheet!$E$21,0,_xlfn.IFS(SAP_Leadsheet!$C$6="DPD360+",SUM(SAP_Spreadsheet!AT181:AT194),SAP_Leadsheet!$C$6="DPD180+",SUM(SAP_Spreadsheet!AT181:AT188)))</f>
        <v>0.39627746223261734</v>
      </c>
      <c r="AU172" s="263" cm="1">
        <f t="array" aca="1" ref="AU172" ca="1">IF(AU7&gt;SAP_Leadsheet!$E$21,0,_xlfn.IFS(SAP_Leadsheet!$C$6="DPD360+",SUM(SAP_Spreadsheet!AU181:AU194),SAP_Leadsheet!$C$6="DPD180+",SUM(SAP_Spreadsheet!AU181:AU188)))</f>
        <v>0.38736985554440972</v>
      </c>
      <c r="AV172" s="263" cm="1">
        <f t="array" aca="1" ref="AV172" ca="1">IF(AV7&gt;SAP_Leadsheet!$E$21,0,_xlfn.IFS(SAP_Leadsheet!$C$6="DPD360+",SUM(SAP_Spreadsheet!AV181:AV194),SAP_Leadsheet!$C$6="DPD180+",SUM(SAP_Spreadsheet!AV181:AV188)))</f>
        <v>0.37862860667757309</v>
      </c>
      <c r="AW172" s="263" cm="1">
        <f t="array" aca="1" ref="AW172" ca="1">IF(AW7&gt;SAP_Leadsheet!$E$21,0,_xlfn.IFS(SAP_Leadsheet!$C$6="DPD360+",SUM(SAP_Spreadsheet!AW181:AW194),SAP_Leadsheet!$C$6="DPD180+",SUM(SAP_Spreadsheet!AW181:AW188)))</f>
        <v>0.37025528681344322</v>
      </c>
      <c r="AX172" s="263" cm="1">
        <f t="array" aca="1" ref="AX172" ca="1">IF(AX7&gt;SAP_Leadsheet!$E$21,0,_xlfn.IFS(SAP_Leadsheet!$C$6="DPD360+",SUM(SAP_Spreadsheet!AX181:AX194),SAP_Leadsheet!$C$6="DPD180+",SUM(SAP_Spreadsheet!AX181:AX188)))</f>
        <v>0.36303952217027219</v>
      </c>
      <c r="AY172" s="263" cm="1">
        <f t="array" aca="1" ref="AY172" ca="1">IF(AY7&gt;SAP_Leadsheet!$E$21,0,_xlfn.IFS(SAP_Leadsheet!$C$6="DPD360+",SUM(SAP_Spreadsheet!AY181:AY194),SAP_Leadsheet!$C$6="DPD180+",SUM(SAP_Spreadsheet!AY181:AY188)))</f>
        <v>0.35537221977970163</v>
      </c>
      <c r="AZ172" s="263" cm="1">
        <f t="array" aca="1" ref="AZ172" ca="1">IF(AZ7&gt;SAP_Leadsheet!$E$21,0,_xlfn.IFS(SAP_Leadsheet!$C$6="DPD360+",SUM(SAP_Spreadsheet!AZ181:AZ194),SAP_Leadsheet!$C$6="DPD180+",SUM(SAP_Spreadsheet!AZ181:AZ188)))</f>
        <v>0.34698880102394725</v>
      </c>
      <c r="BA172" s="263" cm="1">
        <f t="array" aca="1" ref="BA172" ca="1">IF(BA7&gt;SAP_Leadsheet!$E$21,0,_xlfn.IFS(SAP_Leadsheet!$C$6="DPD360+",SUM(SAP_Spreadsheet!BA181:BA194),SAP_Leadsheet!$C$6="DPD180+",SUM(SAP_Spreadsheet!BA181:BA188)))</f>
        <v>0.3380915905030269</v>
      </c>
      <c r="BB172" s="263" cm="1">
        <f t="array" aca="1" ref="BB172" ca="1">IF(BB7&gt;SAP_Leadsheet!$E$21,0,_xlfn.IFS(SAP_Leadsheet!$C$6="DPD360+",SUM(SAP_Spreadsheet!BB181:BB194),SAP_Leadsheet!$C$6="DPD180+",SUM(SAP_Spreadsheet!BB181:BB188)))</f>
        <v>0.32893388845036181</v>
      </c>
      <c r="BC172" s="263" cm="1">
        <f t="array" aca="1" ref="BC172" ca="1">IF(BC7&gt;SAP_Leadsheet!$E$21,0,_xlfn.IFS(SAP_Leadsheet!$C$6="DPD360+",SUM(SAP_Spreadsheet!BC181:BC194),SAP_Leadsheet!$C$6="DPD180+",SUM(SAP_Spreadsheet!BC181:BC188)))</f>
        <v>0.31992586653144744</v>
      </c>
      <c r="BD172" s="263" cm="1">
        <f t="array" aca="1" ref="BD172" ca="1">IF(BD7&gt;SAP_Leadsheet!$E$21,0,_xlfn.IFS(SAP_Leadsheet!$C$6="DPD360+",SUM(SAP_Spreadsheet!BD181:BD194),SAP_Leadsheet!$C$6="DPD180+",SUM(SAP_Spreadsheet!BD181:BD188)))</f>
        <v>0.31111675478485712</v>
      </c>
      <c r="BE172" s="263" cm="1">
        <f t="array" aca="1" ref="BE172" ca="1">IF(BE7&gt;SAP_Leadsheet!$E$21,0,_xlfn.IFS(SAP_Leadsheet!$C$6="DPD360+",SUM(SAP_Spreadsheet!BE181:BE194),SAP_Leadsheet!$C$6="DPD180+",SUM(SAP_Spreadsheet!BE181:BE188)))</f>
        <v>0.30244330162301425</v>
      </c>
      <c r="BF172" s="263" cm="1">
        <f t="array" aca="1" ref="BF172" ca="1">IF(BF7&gt;SAP_Leadsheet!$E$21,0,_xlfn.IFS(SAP_Leadsheet!$C$6="DPD360+",SUM(SAP_Spreadsheet!BF181:BF194),SAP_Leadsheet!$C$6="DPD180+",SUM(SAP_Spreadsheet!BF181:BF188)))</f>
        <v>0.29383927679897553</v>
      </c>
      <c r="BG172" s="263" cm="1">
        <f t="array" aca="1" ref="BG172" ca="1">IF(BG7&gt;SAP_Leadsheet!$E$21,0,_xlfn.IFS(SAP_Leadsheet!$C$6="DPD360+",SUM(SAP_Spreadsheet!BG181:BG194),SAP_Leadsheet!$C$6="DPD180+",SUM(SAP_Spreadsheet!BG181:BG188)))</f>
        <v>0.28526796100864804</v>
      </c>
      <c r="BH172" s="263" cm="1">
        <f t="array" aca="1" ref="BH172" ca="1">IF(BH7&gt;SAP_Leadsheet!$E$21,0,_xlfn.IFS(SAP_Leadsheet!$C$6="DPD360+",SUM(SAP_Spreadsheet!BH181:BH194),SAP_Leadsheet!$C$6="DPD180+",SUM(SAP_Spreadsheet!BH181:BH188)))</f>
        <v>0.27671862600937575</v>
      </c>
      <c r="BI172" s="263" cm="1">
        <f t="array" aca="1" ref="BI172" ca="1">IF(BI7&gt;SAP_Leadsheet!$E$21,0,_xlfn.IFS(SAP_Leadsheet!$C$6="DPD360+",SUM(SAP_Spreadsheet!BI181:BI194),SAP_Leadsheet!$C$6="DPD180+",SUM(SAP_Spreadsheet!BI181:BI188)))</f>
        <v>0.26818774103876664</v>
      </c>
      <c r="BJ172" s="263" cm="1">
        <f t="array" aca="1" ref="BJ172" ca="1">IF(BJ7&gt;SAP_Leadsheet!$E$21,0,_xlfn.IFS(SAP_Leadsheet!$C$6="DPD360+",SUM(SAP_Spreadsheet!BJ181:BJ194),SAP_Leadsheet!$C$6="DPD180+",SUM(SAP_Spreadsheet!BJ181:BJ188)))</f>
        <v>0.2602436132893296</v>
      </c>
      <c r="BK172" s="263" cm="1">
        <f t="array" aca="1" ref="BK172" ca="1">IF(BK7&gt;SAP_Leadsheet!$E$21,0,_xlfn.IFS(SAP_Leadsheet!$C$6="DPD360+",SUM(SAP_Spreadsheet!BK181:BK194),SAP_Leadsheet!$C$6="DPD180+",SUM(SAP_Spreadsheet!BK181:BK188)))</f>
        <v>0.25219717219657289</v>
      </c>
      <c r="BL172" s="263" cm="1">
        <f t="array" aca="1" ref="BL172" ca="1">IF(BL7&gt;SAP_Leadsheet!$E$21,0,_xlfn.IFS(SAP_Leadsheet!$C$6="DPD360+",SUM(SAP_Spreadsheet!BL181:BL194),SAP_Leadsheet!$C$6="DPD180+",SUM(SAP_Spreadsheet!BL181:BL188)))</f>
        <v>0.24390948472235169</v>
      </c>
      <c r="BM172" s="263" cm="1">
        <f t="array" aca="1" ref="BM172" ca="1">IF(BM7&gt;SAP_Leadsheet!$E$21,0,_xlfn.IFS(SAP_Leadsheet!$C$6="DPD360+",SUM(SAP_Spreadsheet!BM181:BM194),SAP_Leadsheet!$C$6="DPD180+",SUM(SAP_Spreadsheet!BM181:BM188)))</f>
        <v>0.23543887881896791</v>
      </c>
      <c r="BN172" s="263" cm="1">
        <f t="array" aca="1" ref="BN172" ca="1">IF(BN7&gt;SAP_Leadsheet!$E$21,0,_xlfn.IFS(SAP_Leadsheet!$C$6="DPD360+",SUM(SAP_Spreadsheet!BN181:BN194),SAP_Leadsheet!$C$6="DPD180+",SUM(SAP_Spreadsheet!BN181:BN188)))</f>
        <v>0.22687233919740654</v>
      </c>
      <c r="BO172" s="263"/>
      <c r="BP172" s="263"/>
      <c r="BQ172" s="263"/>
      <c r="BR172" s="263"/>
      <c r="BS172" s="263"/>
      <c r="BT172" s="263"/>
      <c r="BU172" s="263"/>
      <c r="BV172" s="263"/>
      <c r="BW172" s="263"/>
      <c r="BX172" s="263"/>
      <c r="BY172" s="263"/>
      <c r="BZ172" s="263"/>
      <c r="CA172" s="264"/>
      <c r="CB172" s="264"/>
      <c r="CC172" s="264"/>
      <c r="CD172" s="264"/>
      <c r="CE172" s="264"/>
      <c r="CF172" s="264"/>
      <c r="CG172" s="264"/>
      <c r="CH172" s="264"/>
      <c r="CI172" s="264"/>
      <c r="CJ172" s="264"/>
      <c r="CK172" s="264"/>
      <c r="CL172" s="264"/>
    </row>
    <row r="173" spans="1:90" s="23" customFormat="1" x14ac:dyDescent="0.15">
      <c r="A173" s="50"/>
      <c r="C173" s="269"/>
      <c r="D173" s="26" t="s">
        <v>368</v>
      </c>
      <c r="E173" s="26"/>
      <c r="F173" s="26" t="s">
        <v>341</v>
      </c>
      <c r="G173" s="263">
        <f ca="1">G171-G172</f>
        <v>0</v>
      </c>
      <c r="H173" s="263">
        <f t="shared" ref="H173:BN173" ca="1" si="19">H171-H172</f>
        <v>0</v>
      </c>
      <c r="I173" s="263">
        <f t="shared" ca="1" si="19"/>
        <v>0</v>
      </c>
      <c r="J173" s="263">
        <f t="shared" ca="1" si="19"/>
        <v>0</v>
      </c>
      <c r="K173" s="263">
        <f t="shared" ca="1" si="19"/>
        <v>0</v>
      </c>
      <c r="L173" s="263">
        <f t="shared" ca="1" si="19"/>
        <v>0</v>
      </c>
      <c r="M173" s="263">
        <f t="shared" ca="1" si="19"/>
        <v>0</v>
      </c>
      <c r="N173" s="263">
        <f t="shared" ca="1" si="19"/>
        <v>0</v>
      </c>
      <c r="O173" s="263">
        <f t="shared" ca="1" si="19"/>
        <v>2.4311080044447042E-2</v>
      </c>
      <c r="P173" s="263">
        <f t="shared" ca="1" si="19"/>
        <v>6.7165269808913797E-2</v>
      </c>
      <c r="Q173" s="263">
        <f t="shared" ca="1" si="19"/>
        <v>0.1175749543478749</v>
      </c>
      <c r="R173" s="263">
        <f t="shared" ca="1" si="19"/>
        <v>0.16772050193988797</v>
      </c>
      <c r="S173" s="263">
        <f t="shared" ca="1" si="19"/>
        <v>0.21383035148974328</v>
      </c>
      <c r="T173" s="263">
        <f t="shared" ca="1" si="19"/>
        <v>0.25452493223075412</v>
      </c>
      <c r="U173" s="263">
        <f t="shared" ca="1" si="19"/>
        <v>0.28894580929653568</v>
      </c>
      <c r="V173" s="263">
        <f t="shared" ca="1" si="19"/>
        <v>0.31852207926346476</v>
      </c>
      <c r="W173" s="263">
        <f t="shared" ca="1" si="19"/>
        <v>0.3439250469079157</v>
      </c>
      <c r="X173" s="263">
        <f t="shared" ca="1" si="19"/>
        <v>0.36555651642908915</v>
      </c>
      <c r="Y173" s="263">
        <f t="shared" ca="1" si="19"/>
        <v>0.38403905328981114</v>
      </c>
      <c r="Z173" s="263">
        <f t="shared" ca="1" si="19"/>
        <v>0.393321470754455</v>
      </c>
      <c r="AA173" s="263">
        <f t="shared" ca="1" si="19"/>
        <v>0.40285052079609651</v>
      </c>
      <c r="AB173" s="263">
        <f t="shared" ca="1" si="19"/>
        <v>0.41381623817367308</v>
      </c>
      <c r="AC173" s="263">
        <f t="shared" ca="1" si="19"/>
        <v>0.42512444112499292</v>
      </c>
      <c r="AD173" s="263">
        <f t="shared" ca="1" si="19"/>
        <v>0.43589150590527642</v>
      </c>
      <c r="AE173" s="263">
        <f t="shared" ca="1" si="19"/>
        <v>0.44679512890921397</v>
      </c>
      <c r="AF173" s="263">
        <f t="shared" ca="1" si="19"/>
        <v>0.45800854277751102</v>
      </c>
      <c r="AG173" s="263">
        <f t="shared" ca="1" si="19"/>
        <v>0.46944381574566596</v>
      </c>
      <c r="AH173" s="263">
        <f t="shared" ca="1" si="19"/>
        <v>0.4810078712084862</v>
      </c>
      <c r="AI173" s="263">
        <f t="shared" ca="1" si="19"/>
        <v>0.49217018853803063</v>
      </c>
      <c r="AJ173" s="263">
        <f t="shared" ca="1" si="19"/>
        <v>0.50263614075451324</v>
      </c>
      <c r="AK173" s="263">
        <f t="shared" ca="1" si="19"/>
        <v>0.51282165574800109</v>
      </c>
      <c r="AL173" s="263">
        <f t="shared" ca="1" si="19"/>
        <v>0.52115469503463874</v>
      </c>
      <c r="AM173" s="263">
        <f t="shared" ca="1" si="19"/>
        <v>0.52965798143013787</v>
      </c>
      <c r="AN173" s="263">
        <f t="shared" ca="1" si="19"/>
        <v>0.53868422840558594</v>
      </c>
      <c r="AO173" s="263">
        <f t="shared" ca="1" si="19"/>
        <v>0.54803349740828144</v>
      </c>
      <c r="AP173" s="263">
        <f t="shared" ca="1" si="19"/>
        <v>0.55742875582207585</v>
      </c>
      <c r="AQ173" s="263">
        <f t="shared" ca="1" si="19"/>
        <v>0.56668876552033953</v>
      </c>
      <c r="AR173" s="263">
        <f t="shared" ca="1" si="19"/>
        <v>0.57573341235251163</v>
      </c>
      <c r="AS173" s="263">
        <f t="shared" ca="1" si="19"/>
        <v>0.58454047921152175</v>
      </c>
      <c r="AT173" s="263">
        <f t="shared" ca="1" si="19"/>
        <v>0.59340442651432768</v>
      </c>
      <c r="AU173" s="263">
        <f t="shared" ca="1" si="19"/>
        <v>0.60199038207083799</v>
      </c>
      <c r="AV173" s="263">
        <f t="shared" ca="1" si="19"/>
        <v>0.61022511372068045</v>
      </c>
      <c r="AW173" s="263">
        <f t="shared" ca="1" si="19"/>
        <v>0.61785005200325693</v>
      </c>
      <c r="AX173" s="263">
        <f t="shared" ca="1" si="19"/>
        <v>0.62398251343942257</v>
      </c>
      <c r="AY173" s="263">
        <f t="shared" ca="1" si="19"/>
        <v>0.62997923004686962</v>
      </c>
      <c r="AZ173" s="263">
        <f t="shared" ca="1" si="19"/>
        <v>0.63586501204446511</v>
      </c>
      <c r="BA173" s="263">
        <f t="shared" ca="1" si="19"/>
        <v>0.64165186384426409</v>
      </c>
      <c r="BB173" s="263">
        <f t="shared" ca="1" si="19"/>
        <v>0.64734219787440117</v>
      </c>
      <c r="BC173" s="263">
        <f t="shared" ca="1" si="19"/>
        <v>0.65293475914368515</v>
      </c>
      <c r="BD173" s="263">
        <f t="shared" ca="1" si="19"/>
        <v>0.65842776628841493</v>
      </c>
      <c r="BE173" s="263">
        <f t="shared" ca="1" si="19"/>
        <v>0.66381863209948855</v>
      </c>
      <c r="BF173" s="263">
        <f t="shared" ca="1" si="19"/>
        <v>0.66910351442306393</v>
      </c>
      <c r="BG173" s="263">
        <f t="shared" ca="1" si="19"/>
        <v>0.67427446893236886</v>
      </c>
      <c r="BH173" s="263">
        <f t="shared" ca="1" si="19"/>
        <v>0.67931974786174187</v>
      </c>
      <c r="BI173" s="263">
        <f t="shared" ca="1" si="19"/>
        <v>0.68423140346364408</v>
      </c>
      <c r="BJ173" s="263">
        <f t="shared" ca="1" si="19"/>
        <v>0.68843291681853946</v>
      </c>
      <c r="BK173" s="263">
        <f t="shared" ca="1" si="19"/>
        <v>0.692529122420527</v>
      </c>
      <c r="BL173" s="263">
        <f t="shared" ca="1" si="19"/>
        <v>0.69652028040858949</v>
      </c>
      <c r="BM173" s="263">
        <f t="shared" ca="1" si="19"/>
        <v>0.70040732066836053</v>
      </c>
      <c r="BN173" s="263">
        <f t="shared" ca="1" si="19"/>
        <v>0.70419073442926872</v>
      </c>
      <c r="BO173" s="263"/>
      <c r="BP173" s="263"/>
      <c r="BQ173" s="263"/>
      <c r="BR173" s="263"/>
      <c r="BS173" s="263"/>
      <c r="BT173" s="263"/>
      <c r="BU173" s="263"/>
      <c r="BV173" s="263"/>
      <c r="BW173" s="263"/>
      <c r="BX173" s="263"/>
      <c r="BY173" s="263"/>
      <c r="BZ173" s="263"/>
      <c r="CA173" s="264"/>
      <c r="CB173" s="264"/>
      <c r="CC173" s="264"/>
      <c r="CD173" s="264"/>
      <c r="CE173" s="264"/>
      <c r="CF173" s="264"/>
      <c r="CG173" s="264"/>
      <c r="CH173" s="264"/>
      <c r="CI173" s="264"/>
      <c r="CJ173" s="264"/>
      <c r="CK173" s="264"/>
      <c r="CL173" s="264"/>
    </row>
    <row r="174" spans="1:90" s="23" customFormat="1" x14ac:dyDescent="0.15">
      <c r="A174" s="50"/>
      <c r="C174" s="269"/>
      <c r="D174" s="26" t="s">
        <v>369</v>
      </c>
      <c r="E174" s="26"/>
      <c r="F174" s="26" t="s">
        <v>341</v>
      </c>
      <c r="G174" s="260">
        <f ca="1">IFERROR(G172/G171,0)</f>
        <v>1</v>
      </c>
      <c r="H174" s="260">
        <f t="shared" ref="H174:BN174" ca="1" si="20">IFERROR(H172/H171,0)</f>
        <v>1</v>
      </c>
      <c r="I174" s="260">
        <f t="shared" ca="1" si="20"/>
        <v>1</v>
      </c>
      <c r="J174" s="260">
        <f t="shared" ca="1" si="20"/>
        <v>1</v>
      </c>
      <c r="K174" s="260">
        <f t="shared" ca="1" si="20"/>
        <v>1</v>
      </c>
      <c r="L174" s="260">
        <f t="shared" ca="1" si="20"/>
        <v>1</v>
      </c>
      <c r="M174" s="260">
        <f t="shared" ca="1" si="20"/>
        <v>1</v>
      </c>
      <c r="N174" s="260">
        <f t="shared" ca="1" si="20"/>
        <v>1.0000000000000002</v>
      </c>
      <c r="O174" s="260">
        <f t="shared" ca="1" si="20"/>
        <v>0.97075085642234737</v>
      </c>
      <c r="P174" s="260">
        <f t="shared" ca="1" si="20"/>
        <v>0.91572961718634005</v>
      </c>
      <c r="Q174" s="260">
        <f t="shared" ca="1" si="20"/>
        <v>0.84841523158762699</v>
      </c>
      <c r="R174" s="260">
        <f t="shared" ca="1" si="20"/>
        <v>0.7818092162924134</v>
      </c>
      <c r="S174" s="260">
        <f t="shared" ca="1" si="20"/>
        <v>0.72683117741634162</v>
      </c>
      <c r="T174" s="260">
        <f t="shared" ca="1" si="20"/>
        <v>0.69947842975286678</v>
      </c>
      <c r="U174" s="260">
        <f t="shared" ca="1" si="20"/>
        <v>0.66820169242149685</v>
      </c>
      <c r="V174" s="260">
        <f t="shared" ca="1" si="20"/>
        <v>0.62982615987027279</v>
      </c>
      <c r="W174" s="260">
        <f t="shared" ca="1" si="20"/>
        <v>0.60753755617858241</v>
      </c>
      <c r="X174" s="260">
        <f t="shared" ca="1" si="20"/>
        <v>0.59290140634415278</v>
      </c>
      <c r="Y174" s="260">
        <f t="shared" ca="1" si="20"/>
        <v>0.58030692689237429</v>
      </c>
      <c r="Z174" s="260">
        <f t="shared" ca="1" si="20"/>
        <v>0.57478432376591648</v>
      </c>
      <c r="AA174" s="260">
        <f t="shared" ca="1" si="20"/>
        <v>0.56538024217196192</v>
      </c>
      <c r="AB174" s="260">
        <f t="shared" ca="1" si="20"/>
        <v>0.55159925302762225</v>
      </c>
      <c r="AC174" s="260">
        <f t="shared" ca="1" si="20"/>
        <v>0.54448386058241049</v>
      </c>
      <c r="AD174" s="260">
        <f t="shared" ca="1" si="20"/>
        <v>0.52857293386681503</v>
      </c>
      <c r="AE174" s="260">
        <f t="shared" ca="1" si="20"/>
        <v>0.52480428472642482</v>
      </c>
      <c r="AF174" s="260">
        <f t="shared" ca="1" si="20"/>
        <v>0.5296194690089111</v>
      </c>
      <c r="AG174" s="260">
        <f t="shared" ca="1" si="20"/>
        <v>0.52982692771809237</v>
      </c>
      <c r="AH174" s="260">
        <f t="shared" ca="1" si="20"/>
        <v>0.52385974302289973</v>
      </c>
      <c r="AI174" s="260">
        <f t="shared" ca="1" si="20"/>
        <v>0.51422614887489115</v>
      </c>
      <c r="AJ174" s="260">
        <f t="shared" ca="1" si="20"/>
        <v>0.50331326894535589</v>
      </c>
      <c r="AK174" s="260">
        <f t="shared" ca="1" si="20"/>
        <v>0.49196540222710172</v>
      </c>
      <c r="AL174" s="260">
        <f t="shared" ca="1" si="20"/>
        <v>0.48948114703495554</v>
      </c>
      <c r="AM174" s="260">
        <f t="shared" ca="1" si="20"/>
        <v>0.478785005833963</v>
      </c>
      <c r="AN174" s="260">
        <f t="shared" ca="1" si="20"/>
        <v>0.46539960069687808</v>
      </c>
      <c r="AO174" s="260">
        <f t="shared" ca="1" si="20"/>
        <v>0.45195108927315958</v>
      </c>
      <c r="AP174" s="260">
        <f t="shared" ca="1" si="20"/>
        <v>0.43936232472237724</v>
      </c>
      <c r="AQ174" s="260">
        <f t="shared" ca="1" si="20"/>
        <v>0.4283414513132015</v>
      </c>
      <c r="AR174" s="260">
        <f t="shared" ca="1" si="20"/>
        <v>0.41855341959033499</v>
      </c>
      <c r="AS174" s="260">
        <f t="shared" ca="1" si="20"/>
        <v>0.40947047278233539</v>
      </c>
      <c r="AT174" s="260">
        <f t="shared" ca="1" si="20"/>
        <v>0.40040892607861278</v>
      </c>
      <c r="AU174" s="260">
        <f t="shared" ca="1" si="20"/>
        <v>0.39153570238291097</v>
      </c>
      <c r="AV174" s="260">
        <f t="shared" ca="1" si="20"/>
        <v>0.38289647787853109</v>
      </c>
      <c r="AW174" s="260">
        <f t="shared" ca="1" si="20"/>
        <v>0.37471236341748776</v>
      </c>
      <c r="AX174" s="260">
        <f t="shared" ca="1" si="20"/>
        <v>0.36781298600493606</v>
      </c>
      <c r="AY174" s="260">
        <f t="shared" ca="1" si="20"/>
        <v>0.36065529699301668</v>
      </c>
      <c r="AZ174" s="260">
        <f t="shared" ca="1" si="20"/>
        <v>0.35304212733394036</v>
      </c>
      <c r="BA174" s="260">
        <f t="shared" ca="1" si="20"/>
        <v>0.3450817548235266</v>
      </c>
      <c r="BB174" s="260">
        <f t="shared" ca="1" si="20"/>
        <v>0.33692711832023753</v>
      </c>
      <c r="BC174" s="260">
        <f t="shared" ca="1" si="20"/>
        <v>0.32885066790469564</v>
      </c>
      <c r="BD174" s="260">
        <f t="shared" ca="1" si="20"/>
        <v>0.32088960127427185</v>
      </c>
      <c r="BE174" s="260">
        <f t="shared" ca="1" si="20"/>
        <v>0.31300343216239318</v>
      </c>
      <c r="BF174" s="260">
        <f t="shared" ca="1" si="20"/>
        <v>0.30514717953916415</v>
      </c>
      <c r="BG174" s="260">
        <f t="shared" ca="1" si="20"/>
        <v>0.29729582778969293</v>
      </c>
      <c r="BH174" s="260">
        <f t="shared" ca="1" si="20"/>
        <v>0.28944301146501872</v>
      </c>
      <c r="BI174" s="260">
        <f t="shared" ca="1" si="20"/>
        <v>0.28158583601223253</v>
      </c>
      <c r="BJ174" s="260">
        <f t="shared" ca="1" si="20"/>
        <v>0.27432281186479718</v>
      </c>
      <c r="BK174" s="260">
        <f t="shared" ca="1" si="20"/>
        <v>0.26695263340668324</v>
      </c>
      <c r="BL174" s="260">
        <f t="shared" ca="1" si="20"/>
        <v>0.25935959682049287</v>
      </c>
      <c r="BM174" s="260">
        <f t="shared" ca="1" si="20"/>
        <v>0.25157860228309425</v>
      </c>
      <c r="BN174" s="260">
        <f t="shared" ca="1" si="20"/>
        <v>0.24367021485847762</v>
      </c>
      <c r="BO174" s="263"/>
      <c r="BP174" s="263"/>
      <c r="BQ174" s="263"/>
      <c r="BR174" s="263"/>
      <c r="BS174" s="263"/>
      <c r="BT174" s="263"/>
      <c r="BU174" s="263"/>
      <c r="BV174" s="263"/>
      <c r="BW174" s="263"/>
      <c r="BX174" s="263"/>
      <c r="BY174" s="263"/>
      <c r="BZ174" s="263"/>
      <c r="CA174" s="264"/>
      <c r="CB174" s="264"/>
      <c r="CC174" s="264"/>
      <c r="CD174" s="264"/>
      <c r="CE174" s="264"/>
      <c r="CF174" s="264"/>
      <c r="CG174" s="264"/>
      <c r="CH174" s="264"/>
      <c r="CI174" s="264"/>
      <c r="CJ174" s="264"/>
      <c r="CK174" s="264"/>
      <c r="CL174" s="264"/>
    </row>
    <row r="175" spans="1:90" s="23" customFormat="1" x14ac:dyDescent="0.15">
      <c r="A175" s="50"/>
      <c r="C175" s="269"/>
      <c r="G175" s="263"/>
      <c r="H175" s="263"/>
      <c r="I175" s="263"/>
      <c r="J175" s="263"/>
      <c r="K175" s="263"/>
      <c r="L175" s="263"/>
      <c r="M175" s="263"/>
      <c r="N175" s="263"/>
      <c r="O175" s="263"/>
      <c r="P175" s="263"/>
      <c r="Q175" s="263"/>
      <c r="R175" s="263"/>
      <c r="S175" s="263"/>
      <c r="T175" s="263"/>
      <c r="U175" s="263"/>
      <c r="V175" s="263"/>
      <c r="W175" s="263"/>
      <c r="X175" s="263"/>
      <c r="Y175" s="263"/>
      <c r="Z175" s="263"/>
      <c r="AA175" s="263"/>
      <c r="AB175" s="263"/>
      <c r="AC175" s="263"/>
      <c r="AD175" s="263"/>
      <c r="AE175" s="263"/>
      <c r="AF175" s="263"/>
      <c r="AG175" s="263"/>
      <c r="AH175" s="263"/>
      <c r="AI175" s="263"/>
      <c r="AJ175" s="263"/>
      <c r="AK175" s="263"/>
      <c r="AL175" s="263"/>
      <c r="AM175" s="263"/>
      <c r="AN175" s="263"/>
      <c r="AO175" s="263"/>
      <c r="AP175" s="263"/>
      <c r="AQ175" s="263"/>
      <c r="AR175" s="263"/>
      <c r="AS175" s="263"/>
      <c r="AT175" s="263"/>
      <c r="AU175" s="263"/>
      <c r="AV175" s="263"/>
      <c r="AW175" s="263"/>
      <c r="AX175" s="263"/>
      <c r="AY175" s="263"/>
      <c r="AZ175" s="263"/>
      <c r="BA175" s="263"/>
      <c r="BB175" s="263"/>
      <c r="BC175" s="263"/>
      <c r="BD175" s="263"/>
      <c r="BE175" s="263"/>
      <c r="BF175" s="263"/>
      <c r="BG175" s="263"/>
      <c r="BH175" s="263"/>
      <c r="BI175" s="263"/>
      <c r="BJ175" s="263"/>
      <c r="BK175" s="263"/>
      <c r="BL175" s="263"/>
      <c r="BM175" s="263"/>
      <c r="BN175" s="263"/>
      <c r="BO175" s="263"/>
      <c r="BP175" s="263"/>
      <c r="BQ175" s="263"/>
      <c r="BR175" s="263"/>
      <c r="BS175" s="263"/>
      <c r="BT175" s="263"/>
      <c r="BU175" s="263"/>
      <c r="BV175" s="263"/>
      <c r="BW175" s="263"/>
      <c r="BX175" s="263"/>
      <c r="BY175" s="263"/>
      <c r="BZ175" s="263"/>
      <c r="CA175" s="264"/>
      <c r="CB175" s="264"/>
      <c r="CC175" s="264"/>
      <c r="CD175" s="264"/>
      <c r="CE175" s="264"/>
      <c r="CF175" s="264"/>
      <c r="CG175" s="264"/>
      <c r="CH175" s="264"/>
      <c r="CI175" s="264"/>
      <c r="CJ175" s="264"/>
      <c r="CK175" s="264"/>
      <c r="CL175" s="264"/>
    </row>
    <row r="176" spans="1:90" s="23" customFormat="1" x14ac:dyDescent="0.15">
      <c r="A176" s="50"/>
      <c r="C176" s="101"/>
      <c r="D176" s="35" t="s">
        <v>370</v>
      </c>
      <c r="E176" s="26"/>
      <c r="F176" s="23" t="s">
        <v>341</v>
      </c>
      <c r="G176" s="262">
        <f ca="1">G171</f>
        <v>0.45732039052310158</v>
      </c>
      <c r="H176" s="262">
        <f t="shared" ref="H176:BN176" ca="1" si="21">H171</f>
        <v>0.83586421013723056</v>
      </c>
      <c r="I176" s="262">
        <f t="shared" ca="1" si="21"/>
        <v>1.0274184842474121</v>
      </c>
      <c r="J176" s="262">
        <f t="shared" ca="1" si="21"/>
        <v>1.0777770302674909</v>
      </c>
      <c r="K176" s="262">
        <f t="shared" ca="1" si="21"/>
        <v>1.0546631995361941</v>
      </c>
      <c r="L176" s="262">
        <f t="shared" ca="1" si="21"/>
        <v>1.0047274942912869</v>
      </c>
      <c r="M176" s="262">
        <f t="shared" ca="1" si="21"/>
        <v>0.92739840059242984</v>
      </c>
      <c r="N176" s="262">
        <f t="shared" ca="1" si="21"/>
        <v>0.87367685590967392</v>
      </c>
      <c r="O176" s="262">
        <f t="shared" ca="1" si="21"/>
        <v>0.83117237193302285</v>
      </c>
      <c r="P176" s="262">
        <f t="shared" ca="1" si="21"/>
        <v>0.79702105966969095</v>
      </c>
      <c r="Q176" s="262">
        <f t="shared" ca="1" si="21"/>
        <v>0.77563831497913172</v>
      </c>
      <c r="R176" s="262">
        <f t="shared" ca="1" si="21"/>
        <v>0.76868738032795414</v>
      </c>
      <c r="S176" s="262">
        <f t="shared" ca="1" si="21"/>
        <v>0.78277729305750987</v>
      </c>
      <c r="T176" s="262">
        <f t="shared" ca="1" si="21"/>
        <v>0.84694397151407841</v>
      </c>
      <c r="U176" s="262">
        <f t="shared" ca="1" si="21"/>
        <v>0.87084774905963447</v>
      </c>
      <c r="V176" s="262">
        <f t="shared" ca="1" si="21"/>
        <v>0.86046620461305112</v>
      </c>
      <c r="W176" s="262">
        <f t="shared" ca="1" si="21"/>
        <v>0.87632600857067522</v>
      </c>
      <c r="X176" s="262">
        <f t="shared" ca="1" si="21"/>
        <v>0.89795573388328398</v>
      </c>
      <c r="Y176" s="262">
        <f t="shared" ca="1" si="21"/>
        <v>0.91504739510277422</v>
      </c>
      <c r="Z176" s="262">
        <f t="shared" ca="1" si="21"/>
        <v>0.92499287476393366</v>
      </c>
      <c r="AA176" s="262">
        <f t="shared" ca="1" si="21"/>
        <v>0.92690337597465744</v>
      </c>
      <c r="AB176" s="262">
        <f t="shared" ca="1" si="21"/>
        <v>0.92287142911286191</v>
      </c>
      <c r="AC176" s="262">
        <f t="shared" ca="1" si="21"/>
        <v>0.93328074317749854</v>
      </c>
      <c r="AD176" s="262">
        <f t="shared" ca="1" si="21"/>
        <v>0.92462129822247152</v>
      </c>
      <c r="AE176" s="262">
        <f t="shared" ca="1" si="21"/>
        <v>0.94023391741230089</v>
      </c>
      <c r="AF176" s="262">
        <f t="shared" ca="1" si="21"/>
        <v>0.97369791605211597</v>
      </c>
      <c r="AG176" s="262">
        <f t="shared" ca="1" si="21"/>
        <v>0.99844896150112905</v>
      </c>
      <c r="AH176" s="262">
        <f t="shared" ca="1" si="21"/>
        <v>1.0102230680142217</v>
      </c>
      <c r="AI176" s="262">
        <f t="shared" ca="1" si="21"/>
        <v>1.0131673151984346</v>
      </c>
      <c r="AJ176" s="262">
        <f t="shared" ca="1" si="21"/>
        <v>1.0119781933518466</v>
      </c>
      <c r="AK176" s="262">
        <f t="shared" ca="1" si="21"/>
        <v>1.0094227007296119</v>
      </c>
      <c r="AL176" s="262">
        <f t="shared" ca="1" si="21"/>
        <v>1.0208333972542294</v>
      </c>
      <c r="AM176" s="262">
        <f t="shared" ca="1" si="21"/>
        <v>1.0161986653465525</v>
      </c>
      <c r="AN176" s="262">
        <f t="shared" ca="1" si="21"/>
        <v>1.0076390311488497</v>
      </c>
      <c r="AO176" s="262">
        <f t="shared" ca="1" si="21"/>
        <v>0.99997187601643345</v>
      </c>
      <c r="AP176" s="262">
        <f ca="1">AP171</f>
        <v>0.99427630429232605</v>
      </c>
      <c r="AQ176" s="262">
        <f t="shared" ca="1" si="21"/>
        <v>0.99130637829544321</v>
      </c>
      <c r="AR176" s="262">
        <f t="shared" ca="1" si="21"/>
        <v>0.99017421677305573</v>
      </c>
      <c r="AS176" s="262">
        <f t="shared" ca="1" si="21"/>
        <v>0.98985817350343031</v>
      </c>
      <c r="AT176" s="262">
        <f t="shared" ca="1" si="21"/>
        <v>0.98968188874694496</v>
      </c>
      <c r="AU176" s="262">
        <f t="shared" ca="1" si="21"/>
        <v>0.98936023761524772</v>
      </c>
      <c r="AV176" s="262">
        <f t="shared" ca="1" si="21"/>
        <v>0.98885372039825359</v>
      </c>
      <c r="AW176" s="262">
        <f t="shared" ca="1" si="21"/>
        <v>0.98810533881670015</v>
      </c>
      <c r="AX176" s="262">
        <f t="shared" ca="1" si="21"/>
        <v>0.98702203560969481</v>
      </c>
      <c r="AY176" s="262">
        <f t="shared" ca="1" si="21"/>
        <v>0.9853514498265713</v>
      </c>
      <c r="AZ176" s="262">
        <f t="shared" ca="1" si="21"/>
        <v>0.98285381306841235</v>
      </c>
      <c r="BA176" s="262">
        <f t="shared" ca="1" si="21"/>
        <v>0.97974345434729104</v>
      </c>
      <c r="BB176" s="262">
        <f t="shared" ca="1" si="21"/>
        <v>0.97627608632476293</v>
      </c>
      <c r="BC176" s="262">
        <f t="shared" ca="1" si="21"/>
        <v>0.97286062567513254</v>
      </c>
      <c r="BD176" s="262">
        <f t="shared" ca="1" si="21"/>
        <v>0.96954452107327205</v>
      </c>
      <c r="BE176" s="262">
        <f t="shared" ca="1" si="21"/>
        <v>0.9662619337225028</v>
      </c>
      <c r="BF176" s="262">
        <f t="shared" ca="1" si="21"/>
        <v>0.96294279122203941</v>
      </c>
      <c r="BG176" s="262">
        <f t="shared" ca="1" si="21"/>
        <v>0.95954242994101691</v>
      </c>
      <c r="BH176" s="262">
        <f t="shared" ca="1" si="21"/>
        <v>0.95603837387111756</v>
      </c>
      <c r="BI176" s="262">
        <f t="shared" ca="1" si="21"/>
        <v>0.95241914450241072</v>
      </c>
      <c r="BJ176" s="262">
        <f t="shared" ca="1" si="21"/>
        <v>0.94867653010786912</v>
      </c>
      <c r="BK176" s="262">
        <f t="shared" ca="1" si="21"/>
        <v>0.94472629461709989</v>
      </c>
      <c r="BL176" s="262">
        <f t="shared" ca="1" si="21"/>
        <v>0.94042976513094112</v>
      </c>
      <c r="BM176" s="262">
        <f t="shared" ca="1" si="21"/>
        <v>0.9358461994873285</v>
      </c>
      <c r="BN176" s="262">
        <f t="shared" ca="1" si="21"/>
        <v>0.93106307362667529</v>
      </c>
      <c r="BO176" s="263"/>
      <c r="BP176" s="263"/>
      <c r="BQ176" s="263"/>
      <c r="BR176" s="263"/>
      <c r="BS176" s="263"/>
      <c r="BT176" s="263"/>
      <c r="BU176" s="263"/>
      <c r="BV176" s="263"/>
      <c r="BW176" s="263"/>
      <c r="BX176" s="263"/>
      <c r="BY176" s="263"/>
      <c r="BZ176" s="263"/>
      <c r="CA176" s="264"/>
      <c r="CB176" s="264"/>
      <c r="CC176" s="264"/>
      <c r="CD176" s="264"/>
      <c r="CE176" s="264"/>
      <c r="CF176" s="264"/>
      <c r="CG176" s="264"/>
      <c r="CH176" s="264"/>
      <c r="CI176" s="264"/>
      <c r="CJ176" s="264"/>
      <c r="CK176" s="264"/>
      <c r="CL176" s="264"/>
    </row>
    <row r="177" spans="1:90" s="23" customFormat="1" x14ac:dyDescent="0.15">
      <c r="A177" s="50"/>
      <c r="C177" s="40"/>
      <c r="D177" s="259" t="s">
        <v>371</v>
      </c>
      <c r="E177" s="26"/>
      <c r="F177" s="26" t="s">
        <v>341</v>
      </c>
      <c r="G177" s="263">
        <f ca="1">IF(G7&gt;SAP_Leadsheet!$E$21,0,SUM(G181:G184))</f>
        <v>0.45732039052310158</v>
      </c>
      <c r="H177" s="263">
        <f ca="1">IF(H7&gt;SAP_Leadsheet!$E$21,0,SUM(H181:H184))</f>
        <v>0.83586421013723056</v>
      </c>
      <c r="I177" s="263">
        <f ca="1">IF(I7&gt;SAP_Leadsheet!$E$21,0,SUM(I181:I184))</f>
        <v>1.0274184842474121</v>
      </c>
      <c r="J177" s="263">
        <f ca="1">IF(J7&gt;SAP_Leadsheet!$E$21,0,SUM(J181:J184))</f>
        <v>1.0777770302674909</v>
      </c>
      <c r="K177" s="263">
        <f ca="1">IF(K7&gt;SAP_Leadsheet!$E$21,0,SUM(K181:K184))</f>
        <v>1.0294418711543585</v>
      </c>
      <c r="L177" s="263">
        <f ca="1">IF(L7&gt;SAP_Leadsheet!$E$21,0,SUM(L181:L184))</f>
        <v>0.93542622779217355</v>
      </c>
      <c r="M177" s="263">
        <f ca="1">IF(M7&gt;SAP_Leadsheet!$E$21,0,SUM(M181:M184))</f>
        <v>0.80683331945830394</v>
      </c>
      <c r="N177" s="263">
        <f ca="1">IF(N7&gt;SAP_Leadsheet!$E$21,0,SUM(N181:N184))</f>
        <v>0.70268443064728403</v>
      </c>
      <c r="O177" s="263">
        <f ca="1">IF(O7&gt;SAP_Leadsheet!$E$21,0,SUM(O181:O184))</f>
        <v>0.61417542509107625</v>
      </c>
      <c r="P177" s="263">
        <f ca="1">IF(P7&gt;SAP_Leadsheet!$E$21,0,SUM(P181:P184))</f>
        <v>0.53934130569786609</v>
      </c>
      <c r="Q177" s="263">
        <f ca="1">IF(Q7&gt;SAP_Leadsheet!$E$21,0,SUM(Q181:Q184))</f>
        <v>0.48361781487515665</v>
      </c>
      <c r="R177" s="263">
        <f ca="1">IF(R7&gt;SAP_Leadsheet!$E$21,0,SUM(R181:R184))</f>
        <v>0.44689883074996267</v>
      </c>
      <c r="S177" s="263">
        <f ca="1">IF(S7&gt;SAP_Leadsheet!$E$21,0,SUM(S181:S184))</f>
        <v>0.43605349826628709</v>
      </c>
      <c r="T177" s="263">
        <f ca="1">IF(T7&gt;SAP_Leadsheet!$E$21,0,SUM(T181:T184))</f>
        <v>0.47899397290193063</v>
      </c>
      <c r="U177" s="263">
        <f ca="1">IF(U7&gt;SAP_Leadsheet!$E$21,0,SUM(U181:U184))</f>
        <v>0.48476409901405126</v>
      </c>
      <c r="V177" s="263">
        <f ca="1">IF(V7&gt;SAP_Leadsheet!$E$21,0,SUM(V181:V184))</f>
        <v>0.46576485210014762</v>
      </c>
      <c r="W177" s="263">
        <f ca="1">IF(W7&gt;SAP_Leadsheet!$E$21,0,SUM(W181:W184))</f>
        <v>0.47240571834875827</v>
      </c>
      <c r="X177" s="263">
        <f ca="1">IF(X7&gt;SAP_Leadsheet!$E$21,0,SUM(X181:X184))</f>
        <v>0.48310581329592411</v>
      </c>
      <c r="Y177" s="263">
        <f ca="1">IF(Y7&gt;SAP_Leadsheet!$E$21,0,SUM(Y181:Y184))</f>
        <v>0.4888227334241057</v>
      </c>
      <c r="Z177" s="263">
        <f ca="1">IF(Z7&gt;SAP_Leadsheet!$E$21,0,SUM(Z181:Z184))</f>
        <v>0.4880016754778676</v>
      </c>
      <c r="AA177" s="263">
        <f ca="1">IF(AA7&gt;SAP_Leadsheet!$E$21,0,SUM(AA181:AA184))</f>
        <v>0.479012793327589</v>
      </c>
      <c r="AB177" s="263">
        <f ca="1">IF(AB7&gt;SAP_Leadsheet!$E$21,0,SUM(AB181:AB184))</f>
        <v>0.46379315740233079</v>
      </c>
      <c r="AC177" s="263">
        <f ca="1">IF(AC7&gt;SAP_Leadsheet!$E$21,0,SUM(AC181:AC184))</f>
        <v>0.46286293178053861</v>
      </c>
      <c r="AD177" s="263">
        <f ca="1">IF(AD7&gt;SAP_Leadsheet!$E$21,0,SUM(AD181:AD184))</f>
        <v>0.44291400034924572</v>
      </c>
      <c r="AE177" s="263">
        <f ca="1">IF(AE7&gt;SAP_Leadsheet!$E$21,0,SUM(AE181:AE184))</f>
        <v>0.44737174366760862</v>
      </c>
      <c r="AF177" s="263">
        <f ca="1">IF(AF7&gt;SAP_Leadsheet!$E$21,0,SUM(AF181:AF184))</f>
        <v>0.47039796201109807</v>
      </c>
      <c r="AG177" s="263">
        <f ca="1">IF(AG7&gt;SAP_Leadsheet!$E$21,0,SUM(AG181:AG184))</f>
        <v>0.48499027368612035</v>
      </c>
      <c r="AH177" s="263">
        <f ca="1">IF(AH7&gt;SAP_Leadsheet!$E$21,0,SUM(AH181:AH184))</f>
        <v>0.488500773478385</v>
      </c>
      <c r="AI177" s="263">
        <f ca="1">IF(AI7&gt;SAP_Leadsheet!$E$21,0,SUM(AI181:AI184))</f>
        <v>0.48297696843691945</v>
      </c>
      <c r="AJ177" s="263">
        <f ca="1">IF(AJ7&gt;SAP_Leadsheet!$E$21,0,SUM(AJ181:AJ184))</f>
        <v>0.47276084688188669</v>
      </c>
      <c r="AK177" s="263">
        <f ca="1">IF(AK7&gt;SAP_Leadsheet!$E$21,0,SUM(AK181:AK184))</f>
        <v>0.46083385961771461</v>
      </c>
      <c r="AL177" s="263">
        <f ca="1">IF(AL7&gt;SAP_Leadsheet!$E$21,0,SUM(AL181:AL184))</f>
        <v>0.46283604889997887</v>
      </c>
      <c r="AM177" s="263">
        <f ca="1">IF(AM7&gt;SAP_Leadsheet!$E$21,0,SUM(AM181:AM184))</f>
        <v>0.44894125065770546</v>
      </c>
      <c r="AN177" s="263">
        <f ca="1">IF(AN7&gt;SAP_Leadsheet!$E$21,0,SUM(AN181:AN184))</f>
        <v>0.43134584347518296</v>
      </c>
      <c r="AO177" s="263">
        <f ca="1">IF(AO7&gt;SAP_Leadsheet!$E$21,0,SUM(AO181:AO184))</f>
        <v>0.41488463273005149</v>
      </c>
      <c r="AP177" s="263">
        <f ca="1">IF(AP7&gt;SAP_Leadsheet!$E$21,0,SUM(AP181:AP184))</f>
        <v>0.40033037180238451</v>
      </c>
      <c r="AQ177" s="263">
        <f ca="1">IF(AQ7&gt;SAP_Leadsheet!$E$21,0,SUM(AQ181:AQ184))</f>
        <v>0.3887842445129352</v>
      </c>
      <c r="AR177" s="263">
        <f ca="1">IF(AR7&gt;SAP_Leadsheet!$E$21,0,SUM(AR181:AR184))</f>
        <v>0.37943317216646738</v>
      </c>
      <c r="AS177" s="263">
        <f ca="1">IF(AS7&gt;SAP_Leadsheet!$E$21,0,SUM(AS181:AS184))</f>
        <v>0.37152079574741714</v>
      </c>
      <c r="AT177" s="263">
        <f ca="1">IF(AT7&gt;SAP_Leadsheet!$E$21,0,SUM(AT181:AT184))</f>
        <v>0.36527366348970042</v>
      </c>
      <c r="AU177" s="263">
        <f ca="1">IF(AU7&gt;SAP_Leadsheet!$E$21,0,SUM(AU181:AU184))</f>
        <v>0.35899591377479567</v>
      </c>
      <c r="AV177" s="263">
        <f ca="1">IF(AV7&gt;SAP_Leadsheet!$E$21,0,SUM(AV181:AV184))</f>
        <v>0.35262484197906308</v>
      </c>
      <c r="AW177" s="263">
        <f ca="1">IF(AW7&gt;SAP_Leadsheet!$E$21,0,SUM(AW181:AW184))</f>
        <v>0.34609626044793379</v>
      </c>
      <c r="AX177" s="263">
        <f ca="1">IF(AX7&gt;SAP_Leadsheet!$E$21,0,SUM(AX181:AX184))</f>
        <v>0.33932870686976135</v>
      </c>
      <c r="AY177" s="263">
        <f ca="1">IF(AY7&gt;SAP_Leadsheet!$E$21,0,SUM(AY181:AY184))</f>
        <v>0.33207151165304449</v>
      </c>
      <c r="AZ177" s="263">
        <f ca="1">IF(AZ7&gt;SAP_Leadsheet!$E$21,0,SUM(AZ181:AZ184))</f>
        <v>0.32408687522710367</v>
      </c>
      <c r="BA177" s="263">
        <f ca="1">IF(BA7&gt;SAP_Leadsheet!$E$21,0,SUM(BA181:BA184))</f>
        <v>0.31559178621229877</v>
      </c>
      <c r="BB177" s="263">
        <f ca="1">IF(BB7&gt;SAP_Leadsheet!$E$21,0,SUM(BB181:BB184))</f>
        <v>0.30684585951689575</v>
      </c>
      <c r="BC177" s="263">
        <f ca="1">IF(BC7&gt;SAP_Leadsheet!$E$21,0,SUM(BC181:BC184))</f>
        <v>0.29826611533042352</v>
      </c>
      <c r="BD177" s="263">
        <f ca="1">IF(BD7&gt;SAP_Leadsheet!$E$21,0,SUM(BD181:BD184))</f>
        <v>0.28991196248419515</v>
      </c>
      <c r="BE177" s="263">
        <f ca="1">IF(BE7&gt;SAP_Leadsheet!$E$21,0,SUM(BE181:BE184))</f>
        <v>0.28172551227124304</v>
      </c>
      <c r="BF177" s="263">
        <f ca="1">IF(BF7&gt;SAP_Leadsheet!$E$21,0,SUM(BF181:BF184))</f>
        <v>0.2742305765232036</v>
      </c>
      <c r="BG177" s="263">
        <f ca="1">IF(BG7&gt;SAP_Leadsheet!$E$21,0,SUM(BG181:BG184))</f>
        <v>0.26675300162123233</v>
      </c>
      <c r="BH177" s="263">
        <f ca="1">IF(BH7&gt;SAP_Leadsheet!$E$21,0,SUM(BH181:BH184))</f>
        <v>0.25927031441466797</v>
      </c>
      <c r="BI177" s="263">
        <f ca="1">IF(BI7&gt;SAP_Leadsheet!$E$21,0,SUM(BI181:BI184))</f>
        <v>0.25177042845243736</v>
      </c>
      <c r="BJ177" s="263">
        <f ca="1">IF(BJ7&gt;SAP_Leadsheet!$E$21,0,SUM(BJ181:BJ184))</f>
        <v>0.2442507474185161</v>
      </c>
      <c r="BK177" s="263">
        <f ca="1">IF(BK7&gt;SAP_Leadsheet!$E$21,0,SUM(BK181:BK184))</f>
        <v>0.23662682342602617</v>
      </c>
      <c r="BL177" s="263">
        <f ca="1">IF(BL7&gt;SAP_Leadsheet!$E$21,0,SUM(BL181:BL184))</f>
        <v>0.22876010632894589</v>
      </c>
      <c r="BM177" s="263">
        <f ca="1">IF(BM7&gt;SAP_Leadsheet!$E$21,0,SUM(BM181:BM184))</f>
        <v>0.22071012865673337</v>
      </c>
      <c r="BN177" s="263">
        <f ca="1">IF(BN7&gt;SAP_Leadsheet!$E$21,0,SUM(BN181:BN184))</f>
        <v>0.21256465858834195</v>
      </c>
      <c r="BO177" s="263"/>
      <c r="BP177" s="263"/>
      <c r="BQ177" s="263"/>
      <c r="BR177" s="263"/>
      <c r="BS177" s="263"/>
      <c r="BT177" s="263"/>
      <c r="BU177" s="263"/>
      <c r="BV177" s="263"/>
      <c r="BW177" s="263"/>
      <c r="BX177" s="263"/>
      <c r="BY177" s="263"/>
      <c r="BZ177" s="263"/>
      <c r="CA177" s="264"/>
      <c r="CB177" s="264"/>
      <c r="CC177" s="264"/>
      <c r="CD177" s="264"/>
      <c r="CE177" s="264"/>
      <c r="CF177" s="264"/>
      <c r="CG177" s="264"/>
      <c r="CH177" s="264"/>
      <c r="CI177" s="264"/>
      <c r="CJ177" s="264"/>
      <c r="CK177" s="264"/>
      <c r="CL177" s="264"/>
    </row>
    <row r="178" spans="1:90" s="23" customFormat="1" x14ac:dyDescent="0.15">
      <c r="A178" s="50"/>
      <c r="C178" s="40"/>
      <c r="D178" s="259" t="s">
        <v>372</v>
      </c>
      <c r="E178" s="26"/>
      <c r="F178" s="26" t="s">
        <v>341</v>
      </c>
      <c r="G178" s="263">
        <f ca="1">IF(G7&gt;SAP_Leadsheet!$E$21,0,G176-G177)</f>
        <v>0</v>
      </c>
      <c r="H178" s="263">
        <f ca="1">IF(H7&gt;SAP_Leadsheet!$E$21,0,H176-H177)</f>
        <v>0</v>
      </c>
      <c r="I178" s="263">
        <f ca="1">IF(I7&gt;SAP_Leadsheet!$E$21,0,I176-I177)</f>
        <v>0</v>
      </c>
      <c r="J178" s="263">
        <f ca="1">IF(J7&gt;SAP_Leadsheet!$E$21,0,J176-J177)</f>
        <v>0</v>
      </c>
      <c r="K178" s="263">
        <f ca="1">IF(K7&gt;SAP_Leadsheet!$E$21,0,K176-K177)</f>
        <v>2.5221328381835662E-2</v>
      </c>
      <c r="L178" s="263">
        <f ca="1">IF(L7&gt;SAP_Leadsheet!$E$21,0,L176-L177)</f>
        <v>6.930126649911339E-2</v>
      </c>
      <c r="M178" s="263">
        <f ca="1">IF(M7&gt;SAP_Leadsheet!$E$21,0,M176-M177)</f>
        <v>0.1205650811341259</v>
      </c>
      <c r="N178" s="263">
        <f ca="1">IF(N7&gt;SAP_Leadsheet!$E$21,0,N176-N177)</f>
        <v>0.17099242526238989</v>
      </c>
      <c r="O178" s="263">
        <f ca="1">IF(O7&gt;SAP_Leadsheet!$E$21,0,O176-O177)</f>
        <v>0.21699694684194659</v>
      </c>
      <c r="P178" s="263">
        <f ca="1">IF(P7&gt;SAP_Leadsheet!$E$21,0,P176-P177)</f>
        <v>0.25767975397182485</v>
      </c>
      <c r="Q178" s="263">
        <f ca="1">IF(Q7&gt;SAP_Leadsheet!$E$21,0,Q176-Q177)</f>
        <v>0.29202050010397507</v>
      </c>
      <c r="R178" s="263">
        <f ca="1">IF(R7&gt;SAP_Leadsheet!$E$21,0,R176-R177)</f>
        <v>0.32178854957799147</v>
      </c>
      <c r="S178" s="263">
        <f ca="1">IF(S7&gt;SAP_Leadsheet!$E$21,0,S176-S177)</f>
        <v>0.34672379479122278</v>
      </c>
      <c r="T178" s="263">
        <f ca="1">IF(T7&gt;SAP_Leadsheet!$E$21,0,T176-T177)</f>
        <v>0.36794999861214778</v>
      </c>
      <c r="U178" s="263">
        <f ca="1">IF(U7&gt;SAP_Leadsheet!$E$21,0,U176-U177)</f>
        <v>0.3860836500455832</v>
      </c>
      <c r="V178" s="263">
        <f ca="1">IF(V7&gt;SAP_Leadsheet!$E$21,0,V176-V177)</f>
        <v>0.3947013525129035</v>
      </c>
      <c r="W178" s="263">
        <f ca="1">IF(W7&gt;SAP_Leadsheet!$E$21,0,W176-W177)</f>
        <v>0.40392029022191694</v>
      </c>
      <c r="X178" s="263">
        <f ca="1">IF(X7&gt;SAP_Leadsheet!$E$21,0,X176-X177)</f>
        <v>0.41484992058735987</v>
      </c>
      <c r="Y178" s="263">
        <f ca="1">IF(Y7&gt;SAP_Leadsheet!$E$21,0,Y176-Y177)</f>
        <v>0.42622466167866851</v>
      </c>
      <c r="Z178" s="263">
        <f ca="1">IF(Z7&gt;SAP_Leadsheet!$E$21,0,Z176-Z177)</f>
        <v>0.43699119928606606</v>
      </c>
      <c r="AA178" s="263">
        <f ca="1">IF(AA7&gt;SAP_Leadsheet!$E$21,0,AA176-AA177)</f>
        <v>0.44789058264706844</v>
      </c>
      <c r="AB178" s="263">
        <f ca="1">IF(AB7&gt;SAP_Leadsheet!$E$21,0,AB176-AB177)</f>
        <v>0.45907827171053112</v>
      </c>
      <c r="AC178" s="263">
        <f ca="1">IF(AC7&gt;SAP_Leadsheet!$E$21,0,AC176-AC177)</f>
        <v>0.47041781139695993</v>
      </c>
      <c r="AD178" s="263">
        <f ca="1">IF(AD7&gt;SAP_Leadsheet!$E$21,0,AD176-AD177)</f>
        <v>0.4817072978732258</v>
      </c>
      <c r="AE178" s="263">
        <f ca="1">IF(AE7&gt;SAP_Leadsheet!$E$21,0,AE176-AE177)</f>
        <v>0.49286217374469227</v>
      </c>
      <c r="AF178" s="263">
        <f ca="1">IF(AF7&gt;SAP_Leadsheet!$E$21,0,AF176-AF177)</f>
        <v>0.50329995404101791</v>
      </c>
      <c r="AG178" s="263">
        <f ca="1">IF(AG7&gt;SAP_Leadsheet!$E$21,0,AG176-AG177)</f>
        <v>0.5134586878150087</v>
      </c>
      <c r="AH178" s="263">
        <f ca="1">IF(AH7&gt;SAP_Leadsheet!$E$21,0,AH176-AH177)</f>
        <v>0.52172229453583663</v>
      </c>
      <c r="AI178" s="263">
        <f ca="1">IF(AI7&gt;SAP_Leadsheet!$E$21,0,AI176-AI177)</f>
        <v>0.53019034676151522</v>
      </c>
      <c r="AJ178" s="263">
        <f ca="1">IF(AJ7&gt;SAP_Leadsheet!$E$21,0,AJ176-AJ177)</f>
        <v>0.53921734646995989</v>
      </c>
      <c r="AK178" s="263">
        <f ca="1">IF(AK7&gt;SAP_Leadsheet!$E$21,0,AK176-AK177)</f>
        <v>0.54858884111189732</v>
      </c>
      <c r="AL178" s="263">
        <f ca="1">IF(AL7&gt;SAP_Leadsheet!$E$21,0,AL176-AL177)</f>
        <v>0.55799734835425052</v>
      </c>
      <c r="AM178" s="263">
        <f ca="1">IF(AM7&gt;SAP_Leadsheet!$E$21,0,AM176-AM177)</f>
        <v>0.56725741468884694</v>
      </c>
      <c r="AN178" s="263">
        <f ca="1">IF(AN7&gt;SAP_Leadsheet!$E$21,0,AN176-AN177)</f>
        <v>0.57629318767366677</v>
      </c>
      <c r="AO178" s="263">
        <f ca="1">IF(AO7&gt;SAP_Leadsheet!$E$21,0,AO176-AO177)</f>
        <v>0.58508724328638195</v>
      </c>
      <c r="AP178" s="263">
        <f ca="1">IF(AP7&gt;SAP_Leadsheet!$E$21,0,AP176-AP177)</f>
        <v>0.59394593248994154</v>
      </c>
      <c r="AQ178" s="263">
        <f ca="1">IF(AQ7&gt;SAP_Leadsheet!$E$21,0,AQ176-AQ177)</f>
        <v>0.60252213378250796</v>
      </c>
      <c r="AR178" s="263">
        <f ca="1">IF(AR7&gt;SAP_Leadsheet!$E$21,0,AR176-AR177)</f>
        <v>0.6107410446065884</v>
      </c>
      <c r="AS178" s="263">
        <f ca="1">IF(AS7&gt;SAP_Leadsheet!$E$21,0,AS176-AS177)</f>
        <v>0.61833737775601316</v>
      </c>
      <c r="AT178" s="263">
        <f ca="1">IF(AT7&gt;SAP_Leadsheet!$E$21,0,AT176-AT177)</f>
        <v>0.62440822525724449</v>
      </c>
      <c r="AU178" s="263">
        <f ca="1">IF(AU7&gt;SAP_Leadsheet!$E$21,0,AU176-AU177)</f>
        <v>0.63036432384045205</v>
      </c>
      <c r="AV178" s="263">
        <f ca="1">IF(AV7&gt;SAP_Leadsheet!$E$21,0,AV176-AV177)</f>
        <v>0.63622887841919051</v>
      </c>
      <c r="AW178" s="263">
        <f ca="1">IF(AW7&gt;SAP_Leadsheet!$E$21,0,AW176-AW177)</f>
        <v>0.64200907836876642</v>
      </c>
      <c r="AX178" s="263">
        <f ca="1">IF(AX7&gt;SAP_Leadsheet!$E$21,0,AX176-AX177)</f>
        <v>0.64769332873993346</v>
      </c>
      <c r="AY178" s="263">
        <f ca="1">IF(AY7&gt;SAP_Leadsheet!$E$21,0,AY176-AY177)</f>
        <v>0.65327993817352681</v>
      </c>
      <c r="AZ178" s="263">
        <f ca="1">IF(AZ7&gt;SAP_Leadsheet!$E$21,0,AZ176-AZ177)</f>
        <v>0.65876693784130869</v>
      </c>
      <c r="BA178" s="263">
        <f ca="1">IF(BA7&gt;SAP_Leadsheet!$E$21,0,BA176-BA177)</f>
        <v>0.66415166813499227</v>
      </c>
      <c r="BB178" s="263">
        <f ca="1">IF(BB7&gt;SAP_Leadsheet!$E$21,0,BB176-BB177)</f>
        <v>0.66943022680786712</v>
      </c>
      <c r="BC178" s="263">
        <f ca="1">IF(BC7&gt;SAP_Leadsheet!$E$21,0,BC176-BC177)</f>
        <v>0.67459451034470908</v>
      </c>
      <c r="BD178" s="263">
        <f ca="1">IF(BD7&gt;SAP_Leadsheet!$E$21,0,BD176-BD177)</f>
        <v>0.6796325585890769</v>
      </c>
      <c r="BE178" s="263">
        <f ca="1">IF(BE7&gt;SAP_Leadsheet!$E$21,0,BE176-BE177)</f>
        <v>0.6845364214512597</v>
      </c>
      <c r="BF178" s="263">
        <f ca="1">IF(BF7&gt;SAP_Leadsheet!$E$21,0,BF176-BF177)</f>
        <v>0.68871221469883581</v>
      </c>
      <c r="BG178" s="263">
        <f ca="1">IF(BG7&gt;SAP_Leadsheet!$E$21,0,BG176-BG177)</f>
        <v>0.69278942831978463</v>
      </c>
      <c r="BH178" s="263">
        <f ca="1">IF(BH7&gt;SAP_Leadsheet!$E$21,0,BH176-BH177)</f>
        <v>0.6967680594564496</v>
      </c>
      <c r="BI178" s="263">
        <f ca="1">IF(BI7&gt;SAP_Leadsheet!$E$21,0,BI176-BI177)</f>
        <v>0.70064871604997336</v>
      </c>
      <c r="BJ178" s="263">
        <f ca="1">IF(BJ7&gt;SAP_Leadsheet!$E$21,0,BJ176-BJ177)</f>
        <v>0.70442578268935296</v>
      </c>
      <c r="BK178" s="263">
        <f ca="1">IF(BK7&gt;SAP_Leadsheet!$E$21,0,BK176-BK177)</f>
        <v>0.70809947119107375</v>
      </c>
      <c r="BL178" s="263">
        <f ca="1">IF(BL7&gt;SAP_Leadsheet!$E$21,0,BL176-BL177)</f>
        <v>0.71166965880199529</v>
      </c>
      <c r="BM178" s="263">
        <f ca="1">IF(BM7&gt;SAP_Leadsheet!$E$21,0,BM176-BM177)</f>
        <v>0.71513607083059516</v>
      </c>
      <c r="BN178" s="263">
        <f ca="1">IF(BN7&gt;SAP_Leadsheet!$E$21,0,BN176-BN177)</f>
        <v>0.71849841503833334</v>
      </c>
      <c r="BO178" s="263"/>
      <c r="BP178" s="263"/>
      <c r="BQ178" s="263"/>
      <c r="BR178" s="263"/>
      <c r="BS178" s="263"/>
      <c r="BT178" s="263"/>
      <c r="BU178" s="263"/>
      <c r="BV178" s="263"/>
      <c r="BW178" s="263"/>
      <c r="BX178" s="263"/>
      <c r="BY178" s="263"/>
      <c r="BZ178" s="263"/>
      <c r="CA178" s="264"/>
      <c r="CB178" s="264"/>
      <c r="CC178" s="264"/>
      <c r="CD178" s="264"/>
      <c r="CE178" s="264"/>
      <c r="CF178" s="264"/>
      <c r="CG178" s="264"/>
      <c r="CH178" s="264"/>
      <c r="CI178" s="264"/>
      <c r="CJ178" s="264"/>
      <c r="CK178" s="264"/>
      <c r="CL178" s="264"/>
    </row>
    <row r="179" spans="1:90" s="23" customFormat="1" x14ac:dyDescent="0.15">
      <c r="A179" s="50"/>
      <c r="C179" s="269"/>
      <c r="G179" s="263"/>
      <c r="H179" s="263"/>
      <c r="I179" s="263"/>
      <c r="J179" s="263"/>
      <c r="K179" s="263"/>
      <c r="L179" s="263"/>
      <c r="M179" s="263"/>
      <c r="N179" s="263"/>
      <c r="O179" s="263"/>
      <c r="P179" s="263"/>
      <c r="Q179" s="263"/>
      <c r="R179" s="263"/>
      <c r="S179" s="263"/>
      <c r="T179" s="263"/>
      <c r="U179" s="263"/>
      <c r="V179" s="263"/>
      <c r="W179" s="263"/>
      <c r="X179" s="263"/>
      <c r="Y179" s="263"/>
      <c r="Z179" s="263"/>
      <c r="AA179" s="263"/>
      <c r="AB179" s="263"/>
      <c r="AC179" s="263"/>
      <c r="AD179" s="263"/>
      <c r="AE179" s="263"/>
      <c r="AF179" s="263"/>
      <c r="AG179" s="263"/>
      <c r="AH179" s="263"/>
      <c r="AI179" s="263"/>
      <c r="AJ179" s="263"/>
      <c r="AK179" s="263"/>
      <c r="AL179" s="263"/>
      <c r="AM179" s="263"/>
      <c r="AN179" s="263"/>
      <c r="AO179" s="263"/>
      <c r="AP179" s="263"/>
      <c r="AQ179" s="263"/>
      <c r="AR179" s="263"/>
      <c r="AS179" s="263"/>
      <c r="AT179" s="263"/>
      <c r="AU179" s="263"/>
      <c r="AV179" s="263"/>
      <c r="AW179" s="263"/>
      <c r="AX179" s="263"/>
      <c r="AY179" s="263"/>
      <c r="AZ179" s="263"/>
      <c r="BA179" s="263"/>
      <c r="BB179" s="263"/>
      <c r="BC179" s="263"/>
      <c r="BD179" s="263"/>
      <c r="BE179" s="263"/>
      <c r="BF179" s="263"/>
      <c r="BG179" s="263"/>
      <c r="BH179" s="263"/>
      <c r="BI179" s="263"/>
      <c r="BJ179" s="263"/>
      <c r="BK179" s="263"/>
      <c r="BL179" s="263"/>
      <c r="BM179" s="263"/>
      <c r="BN179" s="263"/>
      <c r="BO179" s="263"/>
      <c r="BP179" s="263"/>
      <c r="BQ179" s="263"/>
      <c r="BR179" s="263"/>
      <c r="BS179" s="263"/>
      <c r="BT179" s="263"/>
      <c r="BU179" s="263"/>
      <c r="BV179" s="263"/>
      <c r="BW179" s="263"/>
      <c r="BX179" s="263"/>
      <c r="BY179" s="263"/>
      <c r="BZ179" s="263"/>
      <c r="CA179" s="264"/>
      <c r="CB179" s="264"/>
      <c r="CC179" s="264"/>
      <c r="CD179" s="264"/>
      <c r="CE179" s="264"/>
      <c r="CF179" s="264"/>
      <c r="CG179" s="264"/>
      <c r="CH179" s="264"/>
      <c r="CI179" s="264"/>
      <c r="CJ179" s="264"/>
      <c r="CK179" s="264"/>
      <c r="CL179" s="264"/>
    </row>
    <row r="180" spans="1:90" x14ac:dyDescent="0.15">
      <c r="A180" s="50"/>
      <c r="B180" s="23"/>
      <c r="G180" s="263"/>
      <c r="H180" s="263"/>
      <c r="I180" s="263"/>
      <c r="J180" s="263"/>
      <c r="K180" s="263"/>
      <c r="L180" s="263"/>
      <c r="M180" s="263"/>
      <c r="N180" s="263"/>
      <c r="O180" s="263"/>
      <c r="P180" s="263"/>
      <c r="Q180" s="263"/>
      <c r="R180" s="263"/>
      <c r="S180" s="263"/>
      <c r="T180" s="263"/>
      <c r="U180" s="263"/>
      <c r="V180" s="263"/>
      <c r="W180" s="263"/>
      <c r="X180" s="263"/>
      <c r="Y180" s="263"/>
      <c r="Z180" s="263"/>
      <c r="AA180" s="263"/>
      <c r="AB180" s="263"/>
      <c r="AC180" s="263"/>
      <c r="AD180" s="263"/>
      <c r="AE180" s="263"/>
      <c r="AF180" s="263"/>
      <c r="AG180" s="263"/>
      <c r="AH180" s="263"/>
      <c r="AI180" s="263"/>
      <c r="AJ180" s="263"/>
      <c r="AK180" s="263"/>
      <c r="AL180" s="263"/>
      <c r="AM180" s="263"/>
      <c r="AN180" s="263"/>
      <c r="AO180" s="263"/>
      <c r="AP180" s="263"/>
      <c r="AQ180" s="263"/>
      <c r="AR180" s="263"/>
      <c r="AS180" s="263"/>
      <c r="AT180" s="263"/>
      <c r="AU180" s="263"/>
      <c r="AV180" s="263"/>
      <c r="AW180" s="263"/>
      <c r="AX180" s="263"/>
      <c r="AY180" s="263"/>
      <c r="AZ180" s="263"/>
      <c r="BA180" s="263"/>
      <c r="BB180" s="263"/>
      <c r="BC180" s="263"/>
      <c r="BD180" s="263"/>
      <c r="BE180" s="263"/>
      <c r="BF180" s="263"/>
      <c r="BG180" s="263"/>
      <c r="BH180" s="263"/>
      <c r="BI180" s="263"/>
      <c r="BJ180" s="263"/>
      <c r="BK180" s="263"/>
      <c r="BL180" s="263"/>
      <c r="BM180" s="263"/>
      <c r="BN180" s="263"/>
      <c r="BO180" s="263"/>
      <c r="BP180" s="263"/>
      <c r="BQ180" s="263"/>
      <c r="BR180" s="263"/>
      <c r="BS180" s="263"/>
      <c r="BT180" s="263"/>
      <c r="BU180" s="263"/>
      <c r="BV180" s="263"/>
      <c r="BW180" s="263"/>
      <c r="BX180" s="263"/>
      <c r="BY180" s="263"/>
      <c r="BZ180" s="263"/>
      <c r="CA180" s="80"/>
      <c r="CB180" s="80"/>
      <c r="CC180" s="80"/>
      <c r="CD180" s="80"/>
      <c r="CE180" s="80"/>
      <c r="CF180" s="80"/>
      <c r="CG180" s="80"/>
      <c r="CH180" s="80"/>
      <c r="CI180" s="80"/>
      <c r="CJ180" s="80"/>
      <c r="CK180" s="80"/>
      <c r="CL180" s="80"/>
    </row>
    <row r="181" spans="1:90" x14ac:dyDescent="0.15">
      <c r="B181" s="198"/>
      <c r="C181" s="23" t="s">
        <v>281</v>
      </c>
      <c r="D181" s="282" t="s">
        <v>282</v>
      </c>
      <c r="F181" s="26" t="s">
        <v>341</v>
      </c>
      <c r="G181" s="262">
        <f ca="1">IF(G7&gt;SAP_Leadsheet!$E$21,0,MAX(G171-SUM(G182:G195),0))</f>
        <v>0.45732039052310158</v>
      </c>
      <c r="H181" s="262">
        <f ca="1">IF(H7&gt;SAP_Leadsheet!$E$21,0,MAX(H171-SUM(H182:H195),0))</f>
        <v>0.80613838475322896</v>
      </c>
      <c r="I181" s="262">
        <f ca="1">IF(I7&gt;SAP_Leadsheet!$E$21,0,MAX(I171-SUM(I182:I195),0))</f>
        <v>0.94826624639285084</v>
      </c>
      <c r="J181" s="262">
        <f ca="1">IF(J7&gt;SAP_Leadsheet!$E$21,0,MAX(J171-SUM(J182:J195),0))</f>
        <v>0.94329751561211439</v>
      </c>
      <c r="K181" s="262">
        <f ca="1">IF(K7&gt;SAP_Leadsheet!$E$21,0,MAX(K171-SUM(K182:K195),0))</f>
        <v>0.86738122553784791</v>
      </c>
      <c r="L181" s="262">
        <f ca="1">IF(L7&gt;SAP_Leadsheet!$E$21,0,MAX(L171-SUM(L182:L195),0))</f>
        <v>0.77060891107148233</v>
      </c>
      <c r="M181" s="262">
        <f ca="1">IF(M7&gt;SAP_Leadsheet!$E$21,0,MAX(M171-SUM(M182:M195),0))</f>
        <v>0.65302635006791721</v>
      </c>
      <c r="N181" s="262">
        <f ca="1">IF(N7&gt;SAP_Leadsheet!$E$21,0,MAX(N171-SUM(N182:N195),0))</f>
        <v>0.56644496696898217</v>
      </c>
      <c r="O181" s="262">
        <f ca="1">IF(O7&gt;SAP_Leadsheet!$E$21,0,MAX(O171-SUM(O182:O195),0))</f>
        <v>0.49587706431334483</v>
      </c>
      <c r="P181" s="262">
        <f ca="1">IF(P7&gt;SAP_Leadsheet!$E$21,0,MAX(P171-SUM(P182:P195),0))</f>
        <v>0.43729830612999898</v>
      </c>
      <c r="Q181" s="262">
        <f ca="1">IF(Q7&gt;SAP_Leadsheet!$E$21,0,MAX(Q171-SUM(Q182:Q195),0))</f>
        <v>0.39437306736939803</v>
      </c>
      <c r="R181" s="262">
        <f ca="1">IF(R7&gt;SAP_Leadsheet!$E$21,0,MAX(R171-SUM(R182:R195),0))</f>
        <v>0.36783417453050943</v>
      </c>
      <c r="S181" s="262">
        <f ca="1">IF(S7&gt;SAP_Leadsheet!$E$21,0,MAX(S171-SUM(S182:S195),0))</f>
        <v>0.37760747881441958</v>
      </c>
      <c r="T181" s="262">
        <f ca="1">IF(T7&gt;SAP_Leadsheet!$E$21,0,MAX(T171-SUM(T182:T195),0))</f>
        <v>0.43453826711407262</v>
      </c>
      <c r="U181" s="262">
        <f ca="1">IF(U7&gt;SAP_Leadsheet!$E$21,0,MAX(U171-SUM(U182:U195),0))</f>
        <v>0.44810993621712175</v>
      </c>
      <c r="V181" s="262">
        <f ca="1">IF(V7&gt;SAP_Leadsheet!$E$21,0,MAX(V171-SUM(V182:V195),0))</f>
        <v>0.4266662645434034</v>
      </c>
      <c r="W181" s="262">
        <f ca="1">IF(W7&gt;SAP_Leadsheet!$E$21,0,MAX(W171-SUM(W182:W195),0))</f>
        <v>0.43207765458964376</v>
      </c>
      <c r="X181" s="262">
        <f ca="1">IF(X7&gt;SAP_Leadsheet!$E$21,0,MAX(X171-SUM(X182:X195),0))</f>
        <v>0.44285285935900887</v>
      </c>
      <c r="Y181" s="262">
        <f ca="1">IF(Y7&gt;SAP_Leadsheet!$E$21,0,MAX(Y171-SUM(Y182:Y195),0))</f>
        <v>0.44862438229715096</v>
      </c>
      <c r="Z181" s="262">
        <f ca="1">IF(Z7&gt;SAP_Leadsheet!$E$21,0,MAX(Z171-SUM(Z182:Z195),0))</f>
        <v>0.44713004172766951</v>
      </c>
      <c r="AA181" s="262">
        <f ca="1">IF(AA7&gt;SAP_Leadsheet!$E$21,0,MAX(AA171-SUM(AA182:AA195),0))</f>
        <v>0.43772312369918942</v>
      </c>
      <c r="AB181" s="262">
        <f ca="1">IF(AB7&gt;SAP_Leadsheet!$E$21,0,MAX(AB171-SUM(AB182:AB195),0))</f>
        <v>0.42271765961850505</v>
      </c>
      <c r="AC181" s="262">
        <f ca="1">IF(AC7&gt;SAP_Leadsheet!$E$21,0,MAX(AC171-SUM(AC182:AC195),0))</f>
        <v>0.42263470551657956</v>
      </c>
      <c r="AD181" s="262">
        <f ca="1">IF(AD7&gt;SAP_Leadsheet!$E$21,0,MAX(AD171-SUM(AD182:AD195),0))</f>
        <v>0.4033967395614364</v>
      </c>
      <c r="AE181" s="262">
        <f ca="1">IF(AE7&gt;SAP_Leadsheet!$E$21,0,MAX(AE171-SUM(AE182:AE195),0))</f>
        <v>0.41163828580551165</v>
      </c>
      <c r="AF181" s="262">
        <f ca="1">IF(AF7&gt;SAP_Leadsheet!$E$21,0,MAX(AF171-SUM(AF182:AF195),0))</f>
        <v>0.43695445024612201</v>
      </c>
      <c r="AG181" s="262">
        <f ca="1">IF(AG7&gt;SAP_Leadsheet!$E$21,0,MAX(AG171-SUM(AG182:AG195),0))</f>
        <v>0.45259172592860764</v>
      </c>
      <c r="AH181" s="262">
        <f ca="1">IF(AH7&gt;SAP_Leadsheet!$E$21,0,MAX(AH171-SUM(AH182:AH195),0))</f>
        <v>0.45481804190449682</v>
      </c>
      <c r="AI181" s="262">
        <f ca="1">IF(AI7&gt;SAP_Leadsheet!$E$21,0,MAX(AI171-SUM(AI182:AI195),0))</f>
        <v>0.44827074397414668</v>
      </c>
      <c r="AJ181" s="262">
        <f ca="1">IF(AJ7&gt;SAP_Leadsheet!$E$21,0,MAX(AJ171-SUM(AJ182:AJ195),0))</f>
        <v>0.43784517474118023</v>
      </c>
      <c r="AK181" s="262">
        <f ca="1">IF(AK7&gt;SAP_Leadsheet!$E$21,0,MAX(AK171-SUM(AK182:AK195),0))</f>
        <v>0.42634409053144318</v>
      </c>
      <c r="AL181" s="262">
        <f ca="1">IF(AL7&gt;SAP_Leadsheet!$E$21,0,MAX(AL171-SUM(AL182:AL195),0))</f>
        <v>0.42909763396051959</v>
      </c>
      <c r="AM181" s="262">
        <f ca="1">IF(AM7&gt;SAP_Leadsheet!$E$21,0,MAX(AM171-SUM(AM182:AM195),0))</f>
        <v>0.41564024341870709</v>
      </c>
      <c r="AN181" s="262">
        <f ca="1">IF(AN7&gt;SAP_Leadsheet!$E$21,0,MAX(AN171-SUM(AN182:AN195),0))</f>
        <v>0.39863773401819513</v>
      </c>
      <c r="AO181" s="262">
        <f ca="1">IF(AO7&gt;SAP_Leadsheet!$E$21,0,MAX(AO171-SUM(AO182:AO195),0))</f>
        <v>0.38295998067132453</v>
      </c>
      <c r="AP181" s="262">
        <f ca="1">IF(AP7&gt;SAP_Leadsheet!$E$21,0,MAX(AP171-SUM(AP182:AP195),0))</f>
        <v>0.36960099495017851</v>
      </c>
      <c r="AQ181" s="262">
        <f ca="1">IF(AQ7&gt;SAP_Leadsheet!$E$21,0,MAX(AQ171-SUM(AQ182:AQ195),0))</f>
        <v>0.36141970848372118</v>
      </c>
      <c r="AR181" s="262">
        <f ca="1">IF(AR7&gt;SAP_Leadsheet!$E$21,0,MAX(AR171-SUM(AR182:AR195),0))</f>
        <v>0.35473372397287017</v>
      </c>
      <c r="AS181" s="262">
        <f ca="1">IF(AS7&gt;SAP_Leadsheet!$E$21,0,MAX(AS171-SUM(AS182:AS195),0))</f>
        <v>0.34877124056931774</v>
      </c>
      <c r="AT181" s="262">
        <f ca="1">IF(AT7&gt;SAP_Leadsheet!$E$21,0,MAX(AT171-SUM(AT182:AT195),0))</f>
        <v>0.34295415324330314</v>
      </c>
      <c r="AU181" s="262">
        <f ca="1">IF(AU7&gt;SAP_Leadsheet!$E$21,0,MAX(AU171-SUM(AU182:AU195),0))</f>
        <v>0.33706142810081507</v>
      </c>
      <c r="AV181" s="262">
        <f ca="1">IF(AV7&gt;SAP_Leadsheet!$E$21,0,MAX(AV171-SUM(AV182:AV195),0))</f>
        <v>0.33106134088142891</v>
      </c>
      <c r="AW181" s="262">
        <f ca="1">IF(AW7&gt;SAP_Leadsheet!$E$21,0,MAX(AW171-SUM(AW182:AW195),0))</f>
        <v>0.32490532360550228</v>
      </c>
      <c r="AX181" s="262">
        <f ca="1">IF(AX7&gt;SAP_Leadsheet!$E$21,0,MAX(AX171-SUM(AX182:AX195),0))</f>
        <v>0.3185177412561806</v>
      </c>
      <c r="AY181" s="262">
        <f ca="1">IF(AY7&gt;SAP_Leadsheet!$E$21,0,MAX(AY171-SUM(AY182:AY195),0))</f>
        <v>0.31165135751366424</v>
      </c>
      <c r="AZ181" s="262">
        <f ca="1">IF(AZ7&gt;SAP_Leadsheet!$E$21,0,MAX(AZ171-SUM(AZ182:AZ195),0))</f>
        <v>0.3040769406392394</v>
      </c>
      <c r="BA181" s="262">
        <f ca="1">IF(BA7&gt;SAP_Leadsheet!$E$21,0,MAX(BA171-SUM(BA182:BA195),0))</f>
        <v>0.29602351620343326</v>
      </c>
      <c r="BB181" s="262">
        <f ca="1">IF(BB7&gt;SAP_Leadsheet!$E$21,0,MAX(BB171-SUM(BB182:BB195),0))</f>
        <v>0.28775400836377918</v>
      </c>
      <c r="BC181" s="262">
        <f ca="1">IF(BC7&gt;SAP_Leadsheet!$E$21,0,MAX(BC171-SUM(BC182:BC195),0))</f>
        <v>0.28054167189084545</v>
      </c>
      <c r="BD181" s="262">
        <f ca="1">IF(BD7&gt;SAP_Leadsheet!$E$21,0,MAX(BD171-SUM(BD182:BD195),0))</f>
        <v>0.27334715186373226</v>
      </c>
      <c r="BE181" s="262">
        <f ca="1">IF(BE7&gt;SAP_Leadsheet!$E$21,0,MAX(BE171-SUM(BE182:BE195),0))</f>
        <v>0.2662163180124798</v>
      </c>
      <c r="BF181" s="262">
        <f ca="1">IF(BF7&gt;SAP_Leadsheet!$E$21,0,MAX(BF171-SUM(BF182:BF195),0))</f>
        <v>0.25911912757137634</v>
      </c>
      <c r="BG181" s="262">
        <f ca="1">IF(BG7&gt;SAP_Leadsheet!$E$21,0,MAX(BG171-SUM(BG182:BG195),0))</f>
        <v>0.25203715473212085</v>
      </c>
      <c r="BH181" s="262">
        <f ca="1">IF(BH7&gt;SAP_Leadsheet!$E$21,0,MAX(BH171-SUM(BH182:BH195),0))</f>
        <v>0.24494813388798742</v>
      </c>
      <c r="BI181" s="262">
        <f ca="1">IF(BI7&gt;SAP_Leadsheet!$E$21,0,MAX(BI171-SUM(BI182:BI195),0))</f>
        <v>0.23784126860288568</v>
      </c>
      <c r="BJ181" s="262">
        <f ca="1">IF(BJ7&gt;SAP_Leadsheet!$E$21,0,MAX(BJ171-SUM(BJ182:BJ195),0))</f>
        <v>0.23071488382186722</v>
      </c>
      <c r="BK181" s="262">
        <f ca="1">IF(BK7&gt;SAP_Leadsheet!$E$21,0,MAX(BK171-SUM(BK182:BK195),0))</f>
        <v>0.22348511121374859</v>
      </c>
      <c r="BL181" s="262">
        <f ca="1">IF(BL7&gt;SAP_Leadsheet!$E$21,0,MAX(BL171-SUM(BL182:BL195),0))</f>
        <v>0.21601544623230884</v>
      </c>
      <c r="BM181" s="262">
        <f ca="1">IF(BM7&gt;SAP_Leadsheet!$E$21,0,MAX(BM171-SUM(BM182:BM195),0))</f>
        <v>0.20836992712252222</v>
      </c>
      <c r="BN181" s="262">
        <f ca="1">IF(BN7&gt;SAP_Leadsheet!$E$21,0,MAX(BN171-SUM(BN182:BN195),0))</f>
        <v>0.20063864417633204</v>
      </c>
      <c r="BO181" s="262">
        <f>IF(BO7&gt;SAP_Leadsheet!$E$21,0,MAX(BO171-SUM(BO182:BO195),0))</f>
        <v>0</v>
      </c>
      <c r="BP181" s="262">
        <f>IF(BP7&gt;SAP_Leadsheet!$E$21,0,MAX(BP171-SUM(BP182:BP195),0))</f>
        <v>0</v>
      </c>
      <c r="BQ181" s="262">
        <f>IF(BQ7&gt;SAP_Leadsheet!$E$21,0,MAX(BQ171-SUM(BQ182:BQ195),0))</f>
        <v>0</v>
      </c>
      <c r="BR181" s="262">
        <f>IF(BR7&gt;SAP_Leadsheet!$E$21,0,MAX(BR171-SUM(BR182:BR195),0))</f>
        <v>0</v>
      </c>
      <c r="BS181" s="262">
        <f>IF(BS7&gt;SAP_Leadsheet!$E$21,0,MAX(BS171-SUM(BS182:BS195),0))</f>
        <v>0</v>
      </c>
      <c r="BT181" s="262">
        <f>IF(BT7&gt;SAP_Leadsheet!$E$21,0,MAX(BT171-SUM(BT182:BT195),0))</f>
        <v>0</v>
      </c>
      <c r="BU181" s="262">
        <f>IF(BU7&gt;SAP_Leadsheet!$E$21,0,MAX(BU171-SUM(BU182:BU195),0))</f>
        <v>0</v>
      </c>
      <c r="BV181" s="262">
        <f>IF(BV7&gt;SAP_Leadsheet!$E$21,0,MAX(BV171-SUM(BV182:BV195),0))</f>
        <v>0</v>
      </c>
      <c r="BW181" s="262">
        <f>IF(BW7&gt;SAP_Leadsheet!$E$21,0,MAX(BW171-SUM(BW182:BW195),0))</f>
        <v>0</v>
      </c>
      <c r="BX181" s="262">
        <f>IF(BX7&gt;SAP_Leadsheet!$E$21,0,MAX(BX171-SUM(BX182:BX195),0))</f>
        <v>0</v>
      </c>
      <c r="BY181" s="262">
        <f>IF(BY7&gt;SAP_Leadsheet!$E$21,0,MAX(BY171-SUM(BY182:BY195),0))</f>
        <v>0</v>
      </c>
      <c r="BZ181" s="262">
        <f>IF(BZ7&gt;SAP_Leadsheet!$E$21,0,MAX(BZ171-SUM(BZ182:BZ195),0))</f>
        <v>0</v>
      </c>
      <c r="CA181" s="254"/>
      <c r="CB181" s="254"/>
      <c r="CC181" s="254"/>
      <c r="CD181" s="254"/>
      <c r="CE181" s="254"/>
      <c r="CF181" s="254"/>
      <c r="CG181" s="254"/>
      <c r="CH181" s="254"/>
      <c r="CI181" s="254"/>
      <c r="CJ181" s="254"/>
      <c r="CK181" s="254"/>
      <c r="CL181" s="254"/>
    </row>
    <row r="182" spans="1:90" x14ac:dyDescent="0.15">
      <c r="B182" s="198"/>
      <c r="D182" s="282" t="s">
        <v>283</v>
      </c>
      <c r="E182" s="26">
        <v>1</v>
      </c>
      <c r="F182" s="26" t="s">
        <v>341</v>
      </c>
      <c r="G182" s="263"/>
      <c r="H182" s="263">
        <f ca="1">G181*OFFSET(SAP_Leadsheet!$D$102,SAP_Spreadsheet!$E182,SAP_Spreadsheet!H$6)</f>
        <v>2.9725825384001602E-2</v>
      </c>
      <c r="I182" s="263">
        <f ca="1">H181*OFFSET(SAP_Leadsheet!$D$102,SAP_Spreadsheet!$E182,SAP_Spreadsheet!I$6)</f>
        <v>5.2398995008959885E-2</v>
      </c>
      <c r="J182" s="263">
        <f ca="1">I181*OFFSET(SAP_Leadsheet!$D$102,SAP_Spreadsheet!$E182,SAP_Spreadsheet!J$6)</f>
        <v>6.1637306015535305E-2</v>
      </c>
      <c r="K182" s="263">
        <f ca="1">J181*OFFSET(SAP_Leadsheet!$D$102,SAP_Spreadsheet!$E182,SAP_Spreadsheet!K$6)</f>
        <v>6.1314338514787438E-2</v>
      </c>
      <c r="L182" s="263">
        <f ca="1">K181*OFFSET(SAP_Leadsheet!$D$102,SAP_Spreadsheet!$E182,SAP_Spreadsheet!L$6)</f>
        <v>5.6379779659960119E-2</v>
      </c>
      <c r="M182" s="263">
        <f ca="1">L181*OFFSET(SAP_Leadsheet!$D$102,SAP_Spreadsheet!$E182,SAP_Spreadsheet!M$6)</f>
        <v>5.0089579219646352E-2</v>
      </c>
      <c r="N182" s="263">
        <f ca="1">M181*OFFSET(SAP_Leadsheet!$D$102,SAP_Spreadsheet!$E182,SAP_Spreadsheet!N$6)</f>
        <v>4.2446712754414619E-2</v>
      </c>
      <c r="O182" s="263">
        <f ca="1">N181*OFFSET(SAP_Leadsheet!$D$102,SAP_Spreadsheet!$E182,SAP_Spreadsheet!O$6)</f>
        <v>3.681892285298384E-2</v>
      </c>
      <c r="P182" s="263">
        <f ca="1">O181*OFFSET(SAP_Leadsheet!$D$102,SAP_Spreadsheet!$E182,SAP_Spreadsheet!P$6)</f>
        <v>3.2232009180367414E-2</v>
      </c>
      <c r="Q182" s="263">
        <f ca="1">P181*OFFSET(SAP_Leadsheet!$D$102,SAP_Spreadsheet!$E182,SAP_Spreadsheet!Q$6)</f>
        <v>2.8424389898449934E-2</v>
      </c>
      <c r="R182" s="263">
        <f ca="1">Q181*OFFSET(SAP_Leadsheet!$D$102,SAP_Spreadsheet!$E182,SAP_Spreadsheet!R$6)</f>
        <v>2.5634249379010873E-2</v>
      </c>
      <c r="S182" s="263">
        <f ca="1">R181*OFFSET(SAP_Leadsheet!$D$102,SAP_Spreadsheet!$E182,SAP_Spreadsheet!S$6)</f>
        <v>1.2874196108567831E-2</v>
      </c>
      <c r="T182" s="263">
        <f ca="1">S181*OFFSET(SAP_Leadsheet!$D$102,SAP_Spreadsheet!$E182,SAP_Spreadsheet!T$6)</f>
        <v>1.3216261758504686E-2</v>
      </c>
      <c r="U182" s="263">
        <f ca="1">T181*OFFSET(SAP_Leadsheet!$D$102,SAP_Spreadsheet!$E182,SAP_Spreadsheet!U$6)</f>
        <v>1.5208839348992543E-2</v>
      </c>
      <c r="V182" s="263">
        <f ca="1">U181*OFFSET(SAP_Leadsheet!$D$102,SAP_Spreadsheet!$E182,SAP_Spreadsheet!V$6)</f>
        <v>1.5683847767599263E-2</v>
      </c>
      <c r="W182" s="263">
        <f ca="1">V181*OFFSET(SAP_Leadsheet!$D$102,SAP_Spreadsheet!$E182,SAP_Spreadsheet!W$6)</f>
        <v>1.4933319259019121E-2</v>
      </c>
      <c r="X182" s="263">
        <f ca="1">W181*OFFSET(SAP_Leadsheet!$D$102,SAP_Spreadsheet!$E182,SAP_Spreadsheet!X$6)</f>
        <v>1.5122717910637533E-2</v>
      </c>
      <c r="Y182" s="263">
        <f ca="1">X181*OFFSET(SAP_Leadsheet!$D$102,SAP_Spreadsheet!$E182,SAP_Spreadsheet!Y$6)</f>
        <v>1.5499850077565313E-2</v>
      </c>
      <c r="Z182" s="263">
        <f ca="1">Y181*OFFSET(SAP_Leadsheet!$D$102,SAP_Spreadsheet!$E182,SAP_Spreadsheet!Z$6)</f>
        <v>1.5701853380400286E-2</v>
      </c>
      <c r="AA182" s="263">
        <f ca="1">Z181*OFFSET(SAP_Leadsheet!$D$102,SAP_Spreadsheet!$E182,SAP_Spreadsheet!AA$6)</f>
        <v>1.5649551460468435E-2</v>
      </c>
      <c r="AB182" s="263">
        <f ca="1">AA181*OFFSET(SAP_Leadsheet!$D$102,SAP_Spreadsheet!$E182,SAP_Spreadsheet!AB$6)</f>
        <v>1.5320309329471631E-2</v>
      </c>
      <c r="AC182" s="263">
        <f ca="1">AB181*OFFSET(SAP_Leadsheet!$D$102,SAP_Spreadsheet!$E182,SAP_Spreadsheet!AC$6)</f>
        <v>1.4795118086647678E-2</v>
      </c>
      <c r="AD182" s="263">
        <f ca="1">AC181*OFFSET(SAP_Leadsheet!$D$102,SAP_Spreadsheet!$E182,SAP_Spreadsheet!AD$6)</f>
        <v>1.4792214693080286E-2</v>
      </c>
      <c r="AE182" s="263">
        <f ca="1">AD181*OFFSET(SAP_Leadsheet!$D$102,SAP_Spreadsheet!$E182,SAP_Spreadsheet!AE$6)</f>
        <v>1.2101902186843091E-2</v>
      </c>
      <c r="AF182" s="263">
        <f ca="1">AE181*OFFSET(SAP_Leadsheet!$D$102,SAP_Spreadsheet!$E182,SAP_Spreadsheet!AF$6)</f>
        <v>1.234914857416535E-2</v>
      </c>
      <c r="AG182" s="263">
        <f ca="1">AF181*OFFSET(SAP_Leadsheet!$D$102,SAP_Spreadsheet!$E182,SAP_Spreadsheet!AG$6)</f>
        <v>1.3108633507383659E-2</v>
      </c>
      <c r="AH182" s="263">
        <f ca="1">AG181*OFFSET(SAP_Leadsheet!$D$102,SAP_Spreadsheet!$E182,SAP_Spreadsheet!AH$6)</f>
        <v>1.3577751777858228E-2</v>
      </c>
      <c r="AI182" s="263">
        <f ca="1">AH181*OFFSET(SAP_Leadsheet!$D$102,SAP_Spreadsheet!$E182,SAP_Spreadsheet!AI$6)</f>
        <v>1.3644541257134903E-2</v>
      </c>
      <c r="AJ182" s="263">
        <f ca="1">AI181*OFFSET(SAP_Leadsheet!$D$102,SAP_Spreadsheet!$E182,SAP_Spreadsheet!AJ$6)</f>
        <v>1.34481223192244E-2</v>
      </c>
      <c r="AK182" s="263">
        <f ca="1">AJ181*OFFSET(SAP_Leadsheet!$D$102,SAP_Spreadsheet!$E182,SAP_Spreadsheet!AK$6)</f>
        <v>1.3135355242235407E-2</v>
      </c>
      <c r="AL182" s="263">
        <f ca="1">AK181*OFFSET(SAP_Leadsheet!$D$102,SAP_Spreadsheet!$E182,SAP_Spreadsheet!AL$6)</f>
        <v>1.2790322715943294E-2</v>
      </c>
      <c r="AM182" s="263">
        <f ca="1">AL181*OFFSET(SAP_Leadsheet!$D$102,SAP_Spreadsheet!$E182,SAP_Spreadsheet!AM$6)</f>
        <v>1.2872929018815588E-2</v>
      </c>
      <c r="AN182" s="263">
        <f ca="1">AM181*OFFSET(SAP_Leadsheet!$D$102,SAP_Spreadsheet!$E182,SAP_Spreadsheet!AN$6)</f>
        <v>1.2469207302561212E-2</v>
      </c>
      <c r="AO182" s="263">
        <f ca="1">AN181*OFFSET(SAP_Leadsheet!$D$102,SAP_Spreadsheet!$E182,SAP_Spreadsheet!AO$6)</f>
        <v>1.1959132020545854E-2</v>
      </c>
      <c r="AP182" s="263">
        <f ca="1">AO181*OFFSET(SAP_Leadsheet!$D$102,SAP_Spreadsheet!$E182,SAP_Spreadsheet!AP$6)</f>
        <v>1.1488799420139735E-2</v>
      </c>
      <c r="AQ182" s="263">
        <f ca="1">AP181*OFFSET(SAP_Leadsheet!$D$102,SAP_Spreadsheet!$E182,SAP_Spreadsheet!AQ$6)</f>
        <v>9.2400248737544623E-3</v>
      </c>
      <c r="AR182" s="263">
        <f ca="1">AQ181*OFFSET(SAP_Leadsheet!$D$102,SAP_Spreadsheet!$E182,SAP_Spreadsheet!AR$6)</f>
        <v>9.0354927120930295E-3</v>
      </c>
      <c r="AS182" s="263">
        <f ca="1">AR181*OFFSET(SAP_Leadsheet!$D$102,SAP_Spreadsheet!$E182,SAP_Spreadsheet!AS$6)</f>
        <v>8.8683430993217547E-3</v>
      </c>
      <c r="AT182" s="263">
        <f ca="1">AS181*OFFSET(SAP_Leadsheet!$D$102,SAP_Spreadsheet!$E182,SAP_Spreadsheet!AT$6)</f>
        <v>8.7192810142329435E-3</v>
      </c>
      <c r="AU182" s="263">
        <f ca="1">AT181*OFFSET(SAP_Leadsheet!$D$102,SAP_Spreadsheet!$E182,SAP_Spreadsheet!AU$6)</f>
        <v>8.5738538310825788E-3</v>
      </c>
      <c r="AV182" s="263">
        <f ca="1">AU181*OFFSET(SAP_Leadsheet!$D$102,SAP_Spreadsheet!$E182,SAP_Spreadsheet!AV$6)</f>
        <v>8.4265357025203776E-3</v>
      </c>
      <c r="AW182" s="263">
        <f ca="1">AV181*OFFSET(SAP_Leadsheet!$D$102,SAP_Spreadsheet!$E182,SAP_Spreadsheet!AW$6)</f>
        <v>8.2765335220357228E-3</v>
      </c>
      <c r="AX182" s="263">
        <f ca="1">AW181*OFFSET(SAP_Leadsheet!$D$102,SAP_Spreadsheet!$E182,SAP_Spreadsheet!AX$6)</f>
        <v>8.1226330901375578E-3</v>
      </c>
      <c r="AY182" s="263">
        <f ca="1">AX181*OFFSET(SAP_Leadsheet!$D$102,SAP_Spreadsheet!$E182,SAP_Spreadsheet!AY$6)</f>
        <v>7.962943531404516E-3</v>
      </c>
      <c r="AZ182" s="263">
        <f ca="1">AY181*OFFSET(SAP_Leadsheet!$D$102,SAP_Spreadsheet!$E182,SAP_Spreadsheet!AZ$6)</f>
        <v>7.791283937841606E-3</v>
      </c>
      <c r="BA182" s="263">
        <f ca="1">AZ181*OFFSET(SAP_Leadsheet!$D$102,SAP_Spreadsheet!$E182,SAP_Spreadsheet!BA$6)</f>
        <v>7.6019235159809854E-3</v>
      </c>
      <c r="BB182" s="263">
        <f ca="1">BA181*OFFSET(SAP_Leadsheet!$D$102,SAP_Spreadsheet!$E182,SAP_Spreadsheet!BB$6)</f>
        <v>7.4005879050858319E-3</v>
      </c>
      <c r="BC182" s="263">
        <f ca="1">BB181*OFFSET(SAP_Leadsheet!$D$102,SAP_Spreadsheet!$E182,SAP_Spreadsheet!BC$6)</f>
        <v>6.3305881840031416E-3</v>
      </c>
      <c r="BD182" s="263">
        <f ca="1">BC181*OFFSET(SAP_Leadsheet!$D$102,SAP_Spreadsheet!$E182,SAP_Spreadsheet!BD$6)</f>
        <v>6.1719167815985996E-3</v>
      </c>
      <c r="BE182" s="263">
        <f ca="1">BD181*OFFSET(SAP_Leadsheet!$D$102,SAP_Spreadsheet!$E182,SAP_Spreadsheet!BE$6)</f>
        <v>6.0136373410021099E-3</v>
      </c>
      <c r="BF182" s="263">
        <f ca="1">BE181*OFFSET(SAP_Leadsheet!$D$102,SAP_Spreadsheet!$E182,SAP_Spreadsheet!BF$6)</f>
        <v>5.8567589962745551E-3</v>
      </c>
      <c r="BG182" s="263">
        <f ca="1">BF181*OFFSET(SAP_Leadsheet!$D$102,SAP_Spreadsheet!$E182,SAP_Spreadsheet!BG$6)</f>
        <v>5.7006208065702793E-3</v>
      </c>
      <c r="BH182" s="263">
        <f ca="1">BG181*OFFSET(SAP_Leadsheet!$D$102,SAP_Spreadsheet!$E182,SAP_Spreadsheet!BH$6)</f>
        <v>5.5448174041066584E-3</v>
      </c>
      <c r="BI182" s="263">
        <f ca="1">BH181*OFFSET(SAP_Leadsheet!$D$102,SAP_Spreadsheet!$E182,SAP_Spreadsheet!BI$6)</f>
        <v>5.3888589455357225E-3</v>
      </c>
      <c r="BJ182" s="263">
        <f ca="1">BI181*OFFSET(SAP_Leadsheet!$D$102,SAP_Spreadsheet!$E182,SAP_Spreadsheet!BJ$6)</f>
        <v>5.2325079092634848E-3</v>
      </c>
      <c r="BK182" s="263">
        <f ca="1">BJ181*OFFSET(SAP_Leadsheet!$D$102,SAP_Spreadsheet!$E182,SAP_Spreadsheet!BK$6)</f>
        <v>5.0757274440810787E-3</v>
      </c>
      <c r="BL182" s="263">
        <f ca="1">BK181*OFFSET(SAP_Leadsheet!$D$102,SAP_Spreadsheet!$E182,SAP_Spreadsheet!BL$6)</f>
        <v>4.9166724467024688E-3</v>
      </c>
      <c r="BM182" s="263">
        <f ca="1">BL181*OFFSET(SAP_Leadsheet!$D$102,SAP_Spreadsheet!$E182,SAP_Spreadsheet!BM$6)</f>
        <v>4.7523398171107943E-3</v>
      </c>
      <c r="BN182" s="263">
        <f ca="1">BM181*OFFSET(SAP_Leadsheet!$D$102,SAP_Spreadsheet!$E182,SAP_Spreadsheet!BN$6)</f>
        <v>4.5841383966954887E-3</v>
      </c>
      <c r="BO182" s="263">
        <f ca="1">BN181*OFFSET(SAP_Leadsheet!$D$102,SAP_Spreadsheet!$E182,SAP_Spreadsheet!BC$6)</f>
        <v>4.4140501718793043E-3</v>
      </c>
      <c r="BP182" s="263">
        <f ca="1">BO181*OFFSET(SAP_Leadsheet!$D$102,SAP_Spreadsheet!$E182,SAP_Spreadsheet!BD$6)</f>
        <v>0</v>
      </c>
      <c r="BQ182" s="263">
        <f ca="1">BP181*OFFSET(SAP_Leadsheet!$D$102,SAP_Spreadsheet!$E182,SAP_Spreadsheet!BE$6)</f>
        <v>0</v>
      </c>
      <c r="BR182" s="263">
        <f ca="1">BQ181*OFFSET(SAP_Leadsheet!$D$102,SAP_Spreadsheet!$E182,SAP_Spreadsheet!BF$6)</f>
        <v>0</v>
      </c>
      <c r="BS182" s="263">
        <f ca="1">BR181*OFFSET(SAP_Leadsheet!$D$102,SAP_Spreadsheet!$E182,SAP_Spreadsheet!BG$6)</f>
        <v>0</v>
      </c>
      <c r="BT182" s="263">
        <f ca="1">BS181*OFFSET(SAP_Leadsheet!$D$102,SAP_Spreadsheet!$E182,SAP_Spreadsheet!BH$6)</f>
        <v>0</v>
      </c>
      <c r="BU182" s="263">
        <f ca="1">BT181*OFFSET(SAP_Leadsheet!$D$102,SAP_Spreadsheet!$E182,SAP_Spreadsheet!BI$6)</f>
        <v>0</v>
      </c>
      <c r="BV182" s="263">
        <f ca="1">BU181*OFFSET(SAP_Leadsheet!$D$102,SAP_Spreadsheet!$E182,SAP_Spreadsheet!BJ$6)</f>
        <v>0</v>
      </c>
      <c r="BW182" s="263">
        <f ca="1">BV181*OFFSET(SAP_Leadsheet!$D$102,SAP_Spreadsheet!$E182,SAP_Spreadsheet!BK$6)</f>
        <v>0</v>
      </c>
      <c r="BX182" s="263">
        <f ca="1">BW181*OFFSET(SAP_Leadsheet!$D$102,SAP_Spreadsheet!$E182,SAP_Spreadsheet!BL$6)</f>
        <v>0</v>
      </c>
      <c r="BY182" s="263">
        <f ca="1">BX181*OFFSET(SAP_Leadsheet!$D$102,SAP_Spreadsheet!$E182,SAP_Spreadsheet!BM$6)</f>
        <v>0</v>
      </c>
      <c r="BZ182" s="263">
        <f ca="1">BY181*OFFSET(SAP_Leadsheet!$D$102,SAP_Spreadsheet!$E182,SAP_Spreadsheet!BN$6)</f>
        <v>0</v>
      </c>
      <c r="CA182" s="254"/>
      <c r="CB182" s="254"/>
      <c r="CC182" s="254"/>
      <c r="CD182" s="254"/>
      <c r="CE182" s="254"/>
      <c r="CF182" s="254"/>
      <c r="CG182" s="254"/>
      <c r="CH182" s="254"/>
      <c r="CI182" s="254"/>
      <c r="CJ182" s="254"/>
      <c r="CK182" s="254"/>
      <c r="CL182" s="254"/>
    </row>
    <row r="183" spans="1:90" x14ac:dyDescent="0.15">
      <c r="B183" s="198"/>
      <c r="D183" s="282" t="s">
        <v>284</v>
      </c>
      <c r="E183" s="26">
        <v>2</v>
      </c>
      <c r="F183" s="26" t="s">
        <v>341</v>
      </c>
      <c r="G183" s="263"/>
      <c r="H183" s="263">
        <f ca="1">G182*OFFSET(SAP_Leadsheet!$D$102,SAP_Spreadsheet!$E183,SAP_Spreadsheet!H$6)</f>
        <v>0</v>
      </c>
      <c r="I183" s="263">
        <f ca="1">H182*OFFSET(SAP_Leadsheet!$D$102,SAP_Spreadsheet!$E183,SAP_Spreadsheet!I$6)</f>
        <v>2.6753242845601443E-2</v>
      </c>
      <c r="J183" s="263">
        <f ca="1">I182*OFFSET(SAP_Leadsheet!$D$102,SAP_Spreadsheet!$E183,SAP_Spreadsheet!J$6)</f>
        <v>4.7159095508063895E-2</v>
      </c>
      <c r="K183" s="263">
        <f ca="1">J182*OFFSET(SAP_Leadsheet!$D$102,SAP_Spreadsheet!$E183,SAP_Spreadsheet!K$6)</f>
        <v>5.5473575413981777E-2</v>
      </c>
      <c r="L183" s="263">
        <f ca="1">K182*OFFSET(SAP_Leadsheet!$D$102,SAP_Spreadsheet!$E183,SAP_Spreadsheet!L$6)</f>
        <v>5.5182904663308698E-2</v>
      </c>
      <c r="M183" s="263">
        <f ca="1">L182*OFFSET(SAP_Leadsheet!$D$102,SAP_Spreadsheet!$E183,SAP_Spreadsheet!M$6)</f>
        <v>5.0741801693964111E-2</v>
      </c>
      <c r="N183" s="263">
        <f ca="1">M182*OFFSET(SAP_Leadsheet!$D$102,SAP_Spreadsheet!$E183,SAP_Spreadsheet!N$6)</f>
        <v>4.5080621297681721E-2</v>
      </c>
      <c r="O183" s="263">
        <f ca="1">N182*OFFSET(SAP_Leadsheet!$D$102,SAP_Spreadsheet!$E183,SAP_Spreadsheet!O$6)</f>
        <v>3.8202041478973159E-2</v>
      </c>
      <c r="P183" s="263">
        <f ca="1">O182*OFFSET(SAP_Leadsheet!$D$102,SAP_Spreadsheet!$E183,SAP_Spreadsheet!P$6)</f>
        <v>3.3137030567685459E-2</v>
      </c>
      <c r="Q183" s="263">
        <f ca="1">P182*OFFSET(SAP_Leadsheet!$D$102,SAP_Spreadsheet!$E183,SAP_Spreadsheet!Q$6)</f>
        <v>2.9008808262330675E-2</v>
      </c>
      <c r="R183" s="263">
        <f ca="1">Q182*OFFSET(SAP_Leadsheet!$D$102,SAP_Spreadsheet!$E183,SAP_Spreadsheet!R$6)</f>
        <v>2.558195090860494E-2</v>
      </c>
      <c r="S183" s="263">
        <f ca="1">R182*OFFSET(SAP_Leadsheet!$D$102,SAP_Spreadsheet!$E183,SAP_Spreadsheet!S$6)</f>
        <v>2.1857939432855255E-2</v>
      </c>
      <c r="T183" s="263">
        <f ca="1">S182*OFFSET(SAP_Leadsheet!$D$102,SAP_Spreadsheet!$E183,SAP_Spreadsheet!T$6)</f>
        <v>1.0977633658280138E-2</v>
      </c>
      <c r="U183" s="263">
        <f ca="1">T182*OFFSET(SAP_Leadsheet!$D$102,SAP_Spreadsheet!$E183,SAP_Spreadsheet!U$6)</f>
        <v>1.1269307900339358E-2</v>
      </c>
      <c r="V183" s="263">
        <f ca="1">U182*OFFSET(SAP_Leadsheet!$D$102,SAP_Spreadsheet!$E183,SAP_Spreadsheet!V$6)</f>
        <v>1.2968348884305505E-2</v>
      </c>
      <c r="W183" s="263">
        <f ca="1">V182*OFFSET(SAP_Leadsheet!$D$102,SAP_Spreadsheet!$E183,SAP_Spreadsheet!W$6)</f>
        <v>1.3373381428480694E-2</v>
      </c>
      <c r="X183" s="263">
        <f ca="1">W182*OFFSET(SAP_Leadsheet!$D$102,SAP_Spreadsheet!$E183,SAP_Spreadsheet!X$6)</f>
        <v>1.2733417041748614E-2</v>
      </c>
      <c r="Y183" s="263">
        <f ca="1">X182*OFFSET(SAP_Leadsheet!$D$102,SAP_Spreadsheet!$E183,SAP_Spreadsheet!Y$6)</f>
        <v>1.2894914427317834E-2</v>
      </c>
      <c r="Z183" s="263">
        <f ca="1">Y182*OFFSET(SAP_Leadsheet!$D$102,SAP_Spreadsheet!$E183,SAP_Spreadsheet!Z$6)</f>
        <v>1.3216489361735008E-2</v>
      </c>
      <c r="AA183" s="263">
        <f ca="1">Z182*OFFSET(SAP_Leadsheet!$D$102,SAP_Spreadsheet!$E183,SAP_Spreadsheet!AA$6)</f>
        <v>1.3388734544081514E-2</v>
      </c>
      <c r="AB183" s="263">
        <f ca="1">AA182*OFFSET(SAP_Leadsheet!$D$102,SAP_Spreadsheet!$E183,SAP_Spreadsheet!AB$6)</f>
        <v>1.334413748250231E-2</v>
      </c>
      <c r="AC183" s="263">
        <f ca="1">AB182*OFFSET(SAP_Leadsheet!$D$102,SAP_Spreadsheet!$E183,SAP_Spreadsheet!AC$6)</f>
        <v>1.3063397662440919E-2</v>
      </c>
      <c r="AD183" s="263">
        <f ca="1">AC182*OFFSET(SAP_Leadsheet!$D$102,SAP_Spreadsheet!$E183,SAP_Spreadsheet!AD$6)</f>
        <v>1.2615574977774702E-2</v>
      </c>
      <c r="AE183" s="263">
        <f ca="1">AD182*OFFSET(SAP_Leadsheet!$D$102,SAP_Spreadsheet!$E183,SAP_Spreadsheet!AE$6)</f>
        <v>1.2277538195256637E-2</v>
      </c>
      <c r="AF183" s="263">
        <f ca="1">AE182*OFFSET(SAP_Leadsheet!$D$102,SAP_Spreadsheet!$E183,SAP_Spreadsheet!AF$6)</f>
        <v>1.0044578815079764E-2</v>
      </c>
      <c r="AG183" s="263">
        <f ca="1">AF182*OFFSET(SAP_Leadsheet!$D$102,SAP_Spreadsheet!$E183,SAP_Spreadsheet!AG$6)</f>
        <v>1.0249793316557241E-2</v>
      </c>
      <c r="AH183" s="263">
        <f ca="1">AG182*OFFSET(SAP_Leadsheet!$D$102,SAP_Spreadsheet!$E183,SAP_Spreadsheet!AH$6)</f>
        <v>1.0880165811128436E-2</v>
      </c>
      <c r="AI183" s="263">
        <f ca="1">AH182*OFFSET(SAP_Leadsheet!$D$102,SAP_Spreadsheet!$E183,SAP_Spreadsheet!AI$6)</f>
        <v>1.1269533975622329E-2</v>
      </c>
      <c r="AJ183" s="263">
        <f ca="1">AI182*OFFSET(SAP_Leadsheet!$D$102,SAP_Spreadsheet!$E183,SAP_Spreadsheet!AJ$6)</f>
        <v>1.1324969243421969E-2</v>
      </c>
      <c r="AK183" s="263">
        <f ca="1">AJ182*OFFSET(SAP_Leadsheet!$D$102,SAP_Spreadsheet!$E183,SAP_Spreadsheet!AK$6)</f>
        <v>1.1161941524956252E-2</v>
      </c>
      <c r="AL183" s="263">
        <f ca="1">AK182*OFFSET(SAP_Leadsheet!$D$102,SAP_Spreadsheet!$E183,SAP_Spreadsheet!AL$6)</f>
        <v>1.0902344851055387E-2</v>
      </c>
      <c r="AM183" s="263">
        <f ca="1">AL182*OFFSET(SAP_Leadsheet!$D$102,SAP_Spreadsheet!$E183,SAP_Spreadsheet!AM$6)</f>
        <v>1.0615967854232933E-2</v>
      </c>
      <c r="AN183" s="263">
        <f ca="1">AM182*OFFSET(SAP_Leadsheet!$D$102,SAP_Spreadsheet!$E183,SAP_Spreadsheet!AN$6)</f>
        <v>1.0684531085616938E-2</v>
      </c>
      <c r="AO183" s="263">
        <f ca="1">AN182*OFFSET(SAP_Leadsheet!$D$102,SAP_Spreadsheet!$E183,SAP_Spreadsheet!AO$6)</f>
        <v>1.0349442061125804E-2</v>
      </c>
      <c r="AP183" s="263">
        <f ca="1">AO182*OFFSET(SAP_Leadsheet!$D$102,SAP_Spreadsheet!$E183,SAP_Spreadsheet!AP$6)</f>
        <v>9.926079577053059E-3</v>
      </c>
      <c r="AQ183" s="263">
        <f ca="1">AP182*OFFSET(SAP_Leadsheet!$D$102,SAP_Spreadsheet!$E183,SAP_Spreadsheet!AQ$6)</f>
        <v>9.1910395361117884E-3</v>
      </c>
      <c r="AR183" s="263">
        <f ca="1">AQ182*OFFSET(SAP_Leadsheet!$D$102,SAP_Spreadsheet!$E183,SAP_Spreadsheet!AR$6)</f>
        <v>7.39201989900357E-3</v>
      </c>
      <c r="AS183" s="263">
        <f ca="1">AR182*OFFSET(SAP_Leadsheet!$D$102,SAP_Spreadsheet!$E183,SAP_Spreadsheet!AS$6)</f>
        <v>7.2283941696744238E-3</v>
      </c>
      <c r="AT183" s="263">
        <f ca="1">AS182*OFFSET(SAP_Leadsheet!$D$102,SAP_Spreadsheet!$E183,SAP_Spreadsheet!AT$6)</f>
        <v>7.0946744794574039E-3</v>
      </c>
      <c r="AU183" s="263">
        <f ca="1">AT182*OFFSET(SAP_Leadsheet!$D$102,SAP_Spreadsheet!$E183,SAP_Spreadsheet!AU$6)</f>
        <v>6.9754248113863548E-3</v>
      </c>
      <c r="AV183" s="263">
        <f ca="1">AU182*OFFSET(SAP_Leadsheet!$D$102,SAP_Spreadsheet!$E183,SAP_Spreadsheet!AV$6)</f>
        <v>6.8590830648660632E-3</v>
      </c>
      <c r="AW183" s="263">
        <f ca="1">AV182*OFFSET(SAP_Leadsheet!$D$102,SAP_Spreadsheet!$E183,SAP_Spreadsheet!AW$6)</f>
        <v>6.7412285620163026E-3</v>
      </c>
      <c r="AX183" s="263">
        <f ca="1">AW182*OFFSET(SAP_Leadsheet!$D$102,SAP_Spreadsheet!$E183,SAP_Spreadsheet!AX$6)</f>
        <v>6.6212268176285786E-3</v>
      </c>
      <c r="AY183" s="263">
        <f ca="1">AX182*OFFSET(SAP_Leadsheet!$D$102,SAP_Spreadsheet!$E183,SAP_Spreadsheet!AY$6)</f>
        <v>6.4981064721100464E-3</v>
      </c>
      <c r="AZ183" s="263">
        <f ca="1">AY182*OFFSET(SAP_Leadsheet!$D$102,SAP_Spreadsheet!$E183,SAP_Spreadsheet!AZ$6)</f>
        <v>6.3703548251236135E-3</v>
      </c>
      <c r="BA183" s="263">
        <f ca="1">AZ182*OFFSET(SAP_Leadsheet!$D$102,SAP_Spreadsheet!$E183,SAP_Spreadsheet!BA$6)</f>
        <v>6.2330271502732855E-3</v>
      </c>
      <c r="BB183" s="263">
        <f ca="1">BA182*OFFSET(SAP_Leadsheet!$D$102,SAP_Spreadsheet!$E183,SAP_Spreadsheet!BB$6)</f>
        <v>6.0815388127847883E-3</v>
      </c>
      <c r="BC183" s="263">
        <f ca="1">BB182*OFFSET(SAP_Leadsheet!$D$102,SAP_Spreadsheet!$E183,SAP_Spreadsheet!BC$6)</f>
        <v>5.9204703240686657E-3</v>
      </c>
      <c r="BD183" s="263">
        <f ca="1">BC182*OFFSET(SAP_Leadsheet!$D$102,SAP_Spreadsheet!$E183,SAP_Spreadsheet!BD$6)</f>
        <v>5.0644705472025139E-3</v>
      </c>
      <c r="BE183" s="263">
        <f ca="1">BD182*OFFSET(SAP_Leadsheet!$D$102,SAP_Spreadsheet!$E183,SAP_Spreadsheet!BE$6)</f>
        <v>4.9375334252788798E-3</v>
      </c>
      <c r="BF183" s="263">
        <f ca="1">BE182*OFFSET(SAP_Leadsheet!$D$102,SAP_Spreadsheet!$E183,SAP_Spreadsheet!BF$6)</f>
        <v>4.8109098728016881E-3</v>
      </c>
      <c r="BG183" s="263">
        <f ca="1">BF182*OFFSET(SAP_Leadsheet!$D$102,SAP_Spreadsheet!$E183,SAP_Spreadsheet!BG$6)</f>
        <v>4.6854071970196445E-3</v>
      </c>
      <c r="BH183" s="263">
        <f ca="1">BG182*OFFSET(SAP_Leadsheet!$D$102,SAP_Spreadsheet!$E183,SAP_Spreadsheet!BH$6)</f>
        <v>4.5604966452562233E-3</v>
      </c>
      <c r="BI183" s="263">
        <f ca="1">BH182*OFFSET(SAP_Leadsheet!$D$102,SAP_Spreadsheet!$E183,SAP_Spreadsheet!BI$6)</f>
        <v>4.4358539232853267E-3</v>
      </c>
      <c r="BJ183" s="263">
        <f ca="1">BI182*OFFSET(SAP_Leadsheet!$D$102,SAP_Spreadsheet!$E183,SAP_Spreadsheet!BJ$6)</f>
        <v>4.3110871564285783E-3</v>
      </c>
      <c r="BK183" s="263">
        <f ca="1">BJ182*OFFSET(SAP_Leadsheet!$D$102,SAP_Spreadsheet!$E183,SAP_Spreadsheet!BK$6)</f>
        <v>4.1860063274107876E-3</v>
      </c>
      <c r="BL183" s="263">
        <f ca="1">BK182*OFFSET(SAP_Leadsheet!$D$102,SAP_Spreadsheet!$E183,SAP_Spreadsheet!BL$6)</f>
        <v>4.0605819552648635E-3</v>
      </c>
      <c r="BM183" s="263">
        <f ca="1">BL182*OFFSET(SAP_Leadsheet!$D$102,SAP_Spreadsheet!$E183,SAP_Spreadsheet!BM$6)</f>
        <v>3.9333379573619756E-3</v>
      </c>
      <c r="BN183" s="263">
        <f ca="1">BM182*OFFSET(SAP_Leadsheet!$D$102,SAP_Spreadsheet!$E183,SAP_Spreadsheet!BN$6)</f>
        <v>3.8018718536886355E-3</v>
      </c>
      <c r="BO183" s="263">
        <f ca="1">BN182*OFFSET(SAP_Leadsheet!$D$102,SAP_Spreadsheet!$E183,SAP_Spreadsheet!BC$6)</f>
        <v>3.6673107173563913E-3</v>
      </c>
      <c r="BP183" s="263">
        <f ca="1">BO182*OFFSET(SAP_Leadsheet!$D$102,SAP_Spreadsheet!$E183,SAP_Spreadsheet!BD$6)</f>
        <v>3.5312401375034437E-3</v>
      </c>
      <c r="BQ183" s="263">
        <f ca="1">BP182*OFFSET(SAP_Leadsheet!$D$102,SAP_Spreadsheet!$E183,SAP_Spreadsheet!BE$6)</f>
        <v>0</v>
      </c>
      <c r="BR183" s="263">
        <f ca="1">BQ182*OFFSET(SAP_Leadsheet!$D$102,SAP_Spreadsheet!$E183,SAP_Spreadsheet!BF$6)</f>
        <v>0</v>
      </c>
      <c r="BS183" s="263">
        <f ca="1">BR182*OFFSET(SAP_Leadsheet!$D$102,SAP_Spreadsheet!$E183,SAP_Spreadsheet!BG$6)</f>
        <v>0</v>
      </c>
      <c r="BT183" s="263">
        <f ca="1">BS182*OFFSET(SAP_Leadsheet!$D$102,SAP_Spreadsheet!$E183,SAP_Spreadsheet!BH$6)</f>
        <v>0</v>
      </c>
      <c r="BU183" s="263">
        <f ca="1">BT182*OFFSET(SAP_Leadsheet!$D$102,SAP_Spreadsheet!$E183,SAP_Spreadsheet!BI$6)</f>
        <v>0</v>
      </c>
      <c r="BV183" s="263">
        <f ca="1">BU182*OFFSET(SAP_Leadsheet!$D$102,SAP_Spreadsheet!$E183,SAP_Spreadsheet!BJ$6)</f>
        <v>0</v>
      </c>
      <c r="BW183" s="263">
        <f ca="1">BV182*OFFSET(SAP_Leadsheet!$D$102,SAP_Spreadsheet!$E183,SAP_Spreadsheet!BK$6)</f>
        <v>0</v>
      </c>
      <c r="BX183" s="263">
        <f ca="1">BW182*OFFSET(SAP_Leadsheet!$D$102,SAP_Spreadsheet!$E183,SAP_Spreadsheet!BL$6)</f>
        <v>0</v>
      </c>
      <c r="BY183" s="263">
        <f ca="1">BX182*OFFSET(SAP_Leadsheet!$D$102,SAP_Spreadsheet!$E183,SAP_Spreadsheet!BM$6)</f>
        <v>0</v>
      </c>
      <c r="BZ183" s="263">
        <f ca="1">BY182*OFFSET(SAP_Leadsheet!$D$102,SAP_Spreadsheet!$E183,SAP_Spreadsheet!BN$6)</f>
        <v>0</v>
      </c>
      <c r="CA183" s="254"/>
      <c r="CB183" s="254"/>
      <c r="CC183" s="254"/>
      <c r="CD183" s="254"/>
      <c r="CE183" s="254"/>
      <c r="CF183" s="254"/>
      <c r="CG183" s="254"/>
      <c r="CH183" s="254"/>
      <c r="CI183" s="254"/>
      <c r="CJ183" s="254"/>
      <c r="CK183" s="254"/>
      <c r="CL183" s="254"/>
    </row>
    <row r="184" spans="1:90" x14ac:dyDescent="0.15">
      <c r="B184" s="198"/>
      <c r="D184" s="282" t="s">
        <v>285</v>
      </c>
      <c r="E184" s="26">
        <v>3</v>
      </c>
      <c r="F184" s="26" t="s">
        <v>341</v>
      </c>
      <c r="G184" s="263"/>
      <c r="H184" s="263">
        <f ca="1">G183*OFFSET(SAP_Leadsheet!$D$102,SAP_Spreadsheet!$E184,SAP_Spreadsheet!H$6)</f>
        <v>0</v>
      </c>
      <c r="I184" s="263">
        <f ca="1">H183*OFFSET(SAP_Leadsheet!$D$102,SAP_Spreadsheet!$E184,SAP_Spreadsheet!I$6)</f>
        <v>0</v>
      </c>
      <c r="J184" s="263">
        <f ca="1">I183*OFFSET(SAP_Leadsheet!$D$102,SAP_Spreadsheet!$E184,SAP_Spreadsheet!J$6)</f>
        <v>2.5683113131777385E-2</v>
      </c>
      <c r="K184" s="263">
        <f ca="1">J183*OFFSET(SAP_Leadsheet!$D$102,SAP_Spreadsheet!$E184,SAP_Spreadsheet!K$6)</f>
        <v>4.527273168774134E-2</v>
      </c>
      <c r="L184" s="263">
        <f ca="1">K183*OFFSET(SAP_Leadsheet!$D$102,SAP_Spreadsheet!$E184,SAP_Spreadsheet!L$6)</f>
        <v>5.3254632397422501E-2</v>
      </c>
      <c r="M184" s="263">
        <f ca="1">L183*OFFSET(SAP_Leadsheet!$D$102,SAP_Spreadsheet!$E184,SAP_Spreadsheet!M$6)</f>
        <v>5.2975588476776345E-2</v>
      </c>
      <c r="N184" s="263">
        <f ca="1">M183*OFFSET(SAP_Leadsheet!$D$102,SAP_Spreadsheet!$E184,SAP_Spreadsheet!N$6)</f>
        <v>4.8712129626205546E-2</v>
      </c>
      <c r="O184" s="263">
        <f ca="1">N183*OFFSET(SAP_Leadsheet!$D$102,SAP_Spreadsheet!$E184,SAP_Spreadsheet!O$6)</f>
        <v>4.3277396445774448E-2</v>
      </c>
      <c r="P184" s="263">
        <f ca="1">O183*OFFSET(SAP_Leadsheet!$D$102,SAP_Spreadsheet!$E184,SAP_Spreadsheet!P$6)</f>
        <v>3.6673959819814229E-2</v>
      </c>
      <c r="Q184" s="263">
        <f ca="1">P183*OFFSET(SAP_Leadsheet!$D$102,SAP_Spreadsheet!$E184,SAP_Spreadsheet!Q$6)</f>
        <v>3.1811549344978041E-2</v>
      </c>
      <c r="R184" s="263">
        <f ca="1">Q183*OFFSET(SAP_Leadsheet!$D$102,SAP_Spreadsheet!$E184,SAP_Spreadsheet!R$6)</f>
        <v>2.7848455931837449E-2</v>
      </c>
      <c r="S184" s="263">
        <f ca="1">R183*OFFSET(SAP_Leadsheet!$D$102,SAP_Spreadsheet!$E184,SAP_Spreadsheet!S$6)</f>
        <v>2.3713883910444451E-2</v>
      </c>
      <c r="T184" s="263">
        <f ca="1">S183*OFFSET(SAP_Leadsheet!$D$102,SAP_Spreadsheet!$E184,SAP_Spreadsheet!T$6)</f>
        <v>2.0261810371073139E-2</v>
      </c>
      <c r="U184" s="263">
        <f ca="1">T183*OFFSET(SAP_Leadsheet!$D$102,SAP_Spreadsheet!$E184,SAP_Spreadsheet!U$6)</f>
        <v>1.0176015547597615E-2</v>
      </c>
      <c r="V184" s="263">
        <f ca="1">U183*OFFSET(SAP_Leadsheet!$D$102,SAP_Spreadsheet!$E184,SAP_Spreadsheet!V$6)</f>
        <v>1.0446390904839531E-2</v>
      </c>
      <c r="W184" s="263">
        <f ca="1">V183*OFFSET(SAP_Leadsheet!$D$102,SAP_Spreadsheet!$E184,SAP_Spreadsheet!W$6)</f>
        <v>1.2021363071614661E-2</v>
      </c>
      <c r="X184" s="263">
        <f ca="1">W183*OFFSET(SAP_Leadsheet!$D$102,SAP_Spreadsheet!$E184,SAP_Spreadsheet!X$6)</f>
        <v>1.2396818984529091E-2</v>
      </c>
      <c r="Y184" s="263">
        <f ca="1">X183*OFFSET(SAP_Leadsheet!$D$102,SAP_Spreadsheet!$E184,SAP_Spreadsheet!Y$6)</f>
        <v>1.1803586622071597E-2</v>
      </c>
      <c r="Z184" s="263">
        <f ca="1">Y183*OFFSET(SAP_Leadsheet!$D$102,SAP_Spreadsheet!$E184,SAP_Spreadsheet!Z$6)</f>
        <v>1.195329100806276E-2</v>
      </c>
      <c r="AA184" s="263">
        <f ca="1">Z183*OFFSET(SAP_Leadsheet!$D$102,SAP_Spreadsheet!$E184,SAP_Spreadsheet!AA$6)</f>
        <v>1.2251383623849643E-2</v>
      </c>
      <c r="AB184" s="263">
        <f ca="1">AA183*OFFSET(SAP_Leadsheet!$D$102,SAP_Spreadsheet!$E184,SAP_Spreadsheet!AB$6)</f>
        <v>1.2411050971851802E-2</v>
      </c>
      <c r="AC184" s="263">
        <f ca="1">AB183*OFFSET(SAP_Leadsheet!$D$102,SAP_Spreadsheet!$E184,SAP_Spreadsheet!AC$6)</f>
        <v>1.2369710514870453E-2</v>
      </c>
      <c r="AD184" s="263">
        <f ca="1">AC183*OFFSET(SAP_Leadsheet!$D$102,SAP_Spreadsheet!$E184,SAP_Spreadsheet!AD$6)</f>
        <v>1.210947111695434E-2</v>
      </c>
      <c r="AE184" s="263">
        <f ca="1">AD183*OFFSET(SAP_Leadsheet!$D$102,SAP_Spreadsheet!$E184,SAP_Spreadsheet!AE$6)</f>
        <v>1.1354017479997232E-2</v>
      </c>
      <c r="AF184" s="263">
        <f ca="1">AE183*OFFSET(SAP_Leadsheet!$D$102,SAP_Spreadsheet!$E184,SAP_Spreadsheet!AF$6)</f>
        <v>1.1049784375730972E-2</v>
      </c>
      <c r="AG184" s="263">
        <f ca="1">AF183*OFFSET(SAP_Leadsheet!$D$102,SAP_Spreadsheet!$E184,SAP_Spreadsheet!AG$6)</f>
        <v>9.040120933571788E-3</v>
      </c>
      <c r="AH184" s="263">
        <f ca="1">AG183*OFFSET(SAP_Leadsheet!$D$102,SAP_Spreadsheet!$E184,SAP_Spreadsheet!AH$6)</f>
        <v>9.2248139849015164E-3</v>
      </c>
      <c r="AI184" s="263">
        <f ca="1">AH183*OFFSET(SAP_Leadsheet!$D$102,SAP_Spreadsheet!$E184,SAP_Spreadsheet!AI$6)</f>
        <v>9.7921492300155934E-3</v>
      </c>
      <c r="AJ184" s="263">
        <f ca="1">AI183*OFFSET(SAP_Leadsheet!$D$102,SAP_Spreadsheet!$E184,SAP_Spreadsheet!AJ$6)</f>
        <v>1.0142580578060096E-2</v>
      </c>
      <c r="AK184" s="263">
        <f ca="1">AJ183*OFFSET(SAP_Leadsheet!$D$102,SAP_Spreadsheet!$E184,SAP_Spreadsheet!AK$6)</f>
        <v>1.0192472319079772E-2</v>
      </c>
      <c r="AL184" s="263">
        <f ca="1">AK183*OFFSET(SAP_Leadsheet!$D$102,SAP_Spreadsheet!$E184,SAP_Spreadsheet!AL$6)</f>
        <v>1.0045747372460627E-2</v>
      </c>
      <c r="AM184" s="263">
        <f ca="1">AL183*OFFSET(SAP_Leadsheet!$D$102,SAP_Spreadsheet!$E184,SAP_Spreadsheet!AM$6)</f>
        <v>9.8121103659498492E-3</v>
      </c>
      <c r="AN184" s="263">
        <f ca="1">AM183*OFFSET(SAP_Leadsheet!$D$102,SAP_Spreadsheet!$E184,SAP_Spreadsheet!AN$6)</f>
        <v>9.5543710688096393E-3</v>
      </c>
      <c r="AO184" s="263">
        <f ca="1">AN183*OFFSET(SAP_Leadsheet!$D$102,SAP_Spreadsheet!$E184,SAP_Spreadsheet!AO$6)</f>
        <v>9.6160779770552447E-3</v>
      </c>
      <c r="AP184" s="263">
        <f ca="1">AO183*OFFSET(SAP_Leadsheet!$D$102,SAP_Spreadsheet!$E184,SAP_Spreadsheet!AP$6)</f>
        <v>9.3144978550132249E-3</v>
      </c>
      <c r="AQ184" s="263">
        <f ca="1">AP183*OFFSET(SAP_Leadsheet!$D$102,SAP_Spreadsheet!$E184,SAP_Spreadsheet!AQ$6)</f>
        <v>8.9334716193477538E-3</v>
      </c>
      <c r="AR184" s="263">
        <f ca="1">AQ183*OFFSET(SAP_Leadsheet!$D$102,SAP_Spreadsheet!$E184,SAP_Spreadsheet!AR$6)</f>
        <v>8.2719355825006096E-3</v>
      </c>
      <c r="AS184" s="263">
        <f ca="1">AR183*OFFSET(SAP_Leadsheet!$D$102,SAP_Spreadsheet!$E184,SAP_Spreadsheet!AS$6)</f>
        <v>6.652817909103213E-3</v>
      </c>
      <c r="AT184" s="263">
        <f ca="1">AS183*OFFSET(SAP_Leadsheet!$D$102,SAP_Spreadsheet!$E184,SAP_Spreadsheet!AT$6)</f>
        <v>6.5055547527069811E-3</v>
      </c>
      <c r="AU184" s="263">
        <f ca="1">AT183*OFFSET(SAP_Leadsheet!$D$102,SAP_Spreadsheet!$E184,SAP_Spreadsheet!AU$6)</f>
        <v>6.3852070315116635E-3</v>
      </c>
      <c r="AV184" s="263">
        <f ca="1">AU183*OFFSET(SAP_Leadsheet!$D$102,SAP_Spreadsheet!$E184,SAP_Spreadsheet!AV$6)</f>
        <v>6.2778823302477192E-3</v>
      </c>
      <c r="AW184" s="263">
        <f ca="1">AV183*OFFSET(SAP_Leadsheet!$D$102,SAP_Spreadsheet!$E184,SAP_Spreadsheet!AW$6)</f>
        <v>6.1731747583794573E-3</v>
      </c>
      <c r="AX184" s="263">
        <f ca="1">AW183*OFFSET(SAP_Leadsheet!$D$102,SAP_Spreadsheet!$E184,SAP_Spreadsheet!AX$6)</f>
        <v>6.0671057058146721E-3</v>
      </c>
      <c r="AY184" s="263">
        <f ca="1">AX183*OFFSET(SAP_Leadsheet!$D$102,SAP_Spreadsheet!$E184,SAP_Spreadsheet!AY$6)</f>
        <v>5.9591041358657212E-3</v>
      </c>
      <c r="AZ184" s="263">
        <f ca="1">AY183*OFFSET(SAP_Leadsheet!$D$102,SAP_Spreadsheet!$E184,SAP_Spreadsheet!AZ$6)</f>
        <v>5.8482958248990422E-3</v>
      </c>
      <c r="BA184" s="263">
        <f ca="1">AZ183*OFFSET(SAP_Leadsheet!$D$102,SAP_Spreadsheet!$E184,SAP_Spreadsheet!BA$6)</f>
        <v>5.7333193426112525E-3</v>
      </c>
      <c r="BB184" s="263">
        <f ca="1">BA183*OFFSET(SAP_Leadsheet!$D$102,SAP_Spreadsheet!$E184,SAP_Spreadsheet!BB$6)</f>
        <v>5.6097244352459573E-3</v>
      </c>
      <c r="BC184" s="263">
        <f ca="1">BB183*OFFSET(SAP_Leadsheet!$D$102,SAP_Spreadsheet!$E184,SAP_Spreadsheet!BC$6)</f>
        <v>5.47338493150631E-3</v>
      </c>
      <c r="BD184" s="263">
        <f ca="1">BC183*OFFSET(SAP_Leadsheet!$D$102,SAP_Spreadsheet!$E184,SAP_Spreadsheet!BD$6)</f>
        <v>5.3284232916617994E-3</v>
      </c>
      <c r="BE184" s="263">
        <f ca="1">BD183*OFFSET(SAP_Leadsheet!$D$102,SAP_Spreadsheet!$E184,SAP_Spreadsheet!BE$6)</f>
        <v>4.5580234924822629E-3</v>
      </c>
      <c r="BF184" s="263">
        <f ca="1">BE183*OFFSET(SAP_Leadsheet!$D$102,SAP_Spreadsheet!$E184,SAP_Spreadsheet!BF$6)</f>
        <v>4.4437800827509923E-3</v>
      </c>
      <c r="BG184" s="263">
        <f ca="1">BF183*OFFSET(SAP_Leadsheet!$D$102,SAP_Spreadsheet!$E184,SAP_Spreadsheet!BG$6)</f>
        <v>4.329818885521519E-3</v>
      </c>
      <c r="BH184" s="263">
        <f ca="1">BG183*OFFSET(SAP_Leadsheet!$D$102,SAP_Spreadsheet!$E184,SAP_Spreadsheet!BH$6)</f>
        <v>4.2168664773176798E-3</v>
      </c>
      <c r="BI184" s="263">
        <f ca="1">BH183*OFFSET(SAP_Leadsheet!$D$102,SAP_Spreadsheet!$E184,SAP_Spreadsheet!BI$6)</f>
        <v>4.1044469807306012E-3</v>
      </c>
      <c r="BJ184" s="263">
        <f ca="1">BI183*OFFSET(SAP_Leadsheet!$D$102,SAP_Spreadsheet!$E184,SAP_Spreadsheet!BJ$6)</f>
        <v>3.9922685309567944E-3</v>
      </c>
      <c r="BK184" s="263">
        <f ca="1">BJ183*OFFSET(SAP_Leadsheet!$D$102,SAP_Spreadsheet!$E184,SAP_Spreadsheet!BK$6)</f>
        <v>3.8799784407857205E-3</v>
      </c>
      <c r="BL184" s="263">
        <f ca="1">BK183*OFFSET(SAP_Leadsheet!$D$102,SAP_Spreadsheet!$E184,SAP_Spreadsheet!BL$6)</f>
        <v>3.7674056946697091E-3</v>
      </c>
      <c r="BM184" s="263">
        <f ca="1">BL183*OFFSET(SAP_Leadsheet!$D$102,SAP_Spreadsheet!$E184,SAP_Spreadsheet!BM$6)</f>
        <v>3.654523759738377E-3</v>
      </c>
      <c r="BN184" s="263">
        <f ca="1">BM183*OFFSET(SAP_Leadsheet!$D$102,SAP_Spreadsheet!$E184,SAP_Spreadsheet!BN$6)</f>
        <v>3.5400041616257781E-3</v>
      </c>
      <c r="BO184" s="263">
        <f ca="1">BN183*OFFSET(SAP_Leadsheet!$D$102,SAP_Spreadsheet!$E184,SAP_Spreadsheet!BC$6)</f>
        <v>3.4216846683197718E-3</v>
      </c>
      <c r="BP184" s="263">
        <f ca="1">BO183*OFFSET(SAP_Leadsheet!$D$102,SAP_Spreadsheet!$E184,SAP_Spreadsheet!BD$6)</f>
        <v>3.3005796456207523E-3</v>
      </c>
      <c r="BQ184" s="263">
        <f ca="1">BP183*OFFSET(SAP_Leadsheet!$D$102,SAP_Spreadsheet!$E184,SAP_Spreadsheet!BE$6)</f>
        <v>3.1781161237530993E-3</v>
      </c>
      <c r="BR184" s="263">
        <f ca="1">BQ183*OFFSET(SAP_Leadsheet!$D$102,SAP_Spreadsheet!$E184,SAP_Spreadsheet!BF$6)</f>
        <v>0</v>
      </c>
      <c r="BS184" s="263">
        <f ca="1">BR183*OFFSET(SAP_Leadsheet!$D$102,SAP_Spreadsheet!$E184,SAP_Spreadsheet!BG$6)</f>
        <v>0</v>
      </c>
      <c r="BT184" s="263">
        <f ca="1">BS183*OFFSET(SAP_Leadsheet!$D$102,SAP_Spreadsheet!$E184,SAP_Spreadsheet!BH$6)</f>
        <v>0</v>
      </c>
      <c r="BU184" s="263">
        <f ca="1">BT183*OFFSET(SAP_Leadsheet!$D$102,SAP_Spreadsheet!$E184,SAP_Spreadsheet!BI$6)</f>
        <v>0</v>
      </c>
      <c r="BV184" s="263">
        <f ca="1">BU183*OFFSET(SAP_Leadsheet!$D$102,SAP_Spreadsheet!$E184,SAP_Spreadsheet!BJ$6)</f>
        <v>0</v>
      </c>
      <c r="BW184" s="263">
        <f ca="1">BV183*OFFSET(SAP_Leadsheet!$D$102,SAP_Spreadsheet!$E184,SAP_Spreadsheet!BK$6)</f>
        <v>0</v>
      </c>
      <c r="BX184" s="263">
        <f ca="1">BW183*OFFSET(SAP_Leadsheet!$D$102,SAP_Spreadsheet!$E184,SAP_Spreadsheet!BL$6)</f>
        <v>0</v>
      </c>
      <c r="BY184" s="263">
        <f ca="1">BX183*OFFSET(SAP_Leadsheet!$D$102,SAP_Spreadsheet!$E184,SAP_Spreadsheet!BM$6)</f>
        <v>0</v>
      </c>
      <c r="BZ184" s="263">
        <f ca="1">BY183*OFFSET(SAP_Leadsheet!$D$102,SAP_Spreadsheet!$E184,SAP_Spreadsheet!BN$6)</f>
        <v>0</v>
      </c>
      <c r="CA184" s="254"/>
      <c r="CB184" s="254"/>
      <c r="CC184" s="254"/>
      <c r="CD184" s="254"/>
      <c r="CE184" s="254"/>
      <c r="CF184" s="254"/>
      <c r="CG184" s="254"/>
      <c r="CH184" s="254"/>
      <c r="CI184" s="254"/>
      <c r="CJ184" s="254"/>
      <c r="CK184" s="254"/>
      <c r="CL184" s="254"/>
    </row>
    <row r="185" spans="1:90" x14ac:dyDescent="0.15">
      <c r="B185" s="198"/>
      <c r="D185" s="282" t="s">
        <v>286</v>
      </c>
      <c r="E185" s="26">
        <v>4</v>
      </c>
      <c r="F185" s="26" t="s">
        <v>341</v>
      </c>
      <c r="G185" s="263"/>
      <c r="H185" s="263">
        <f ca="1">G184*OFFSET(SAP_Leadsheet!$D$102,SAP_Spreadsheet!$E185,SAP_Spreadsheet!H$6)</f>
        <v>0</v>
      </c>
      <c r="I185" s="263">
        <f ca="1">H184*OFFSET(SAP_Leadsheet!$D$102,SAP_Spreadsheet!$E185,SAP_Spreadsheet!I$6)</f>
        <v>0</v>
      </c>
      <c r="J185" s="263">
        <f ca="1">I184*OFFSET(SAP_Leadsheet!$D$102,SAP_Spreadsheet!$E185,SAP_Spreadsheet!J$6)</f>
        <v>0</v>
      </c>
      <c r="K185" s="263">
        <f ca="1">J184*OFFSET(SAP_Leadsheet!$D$102,SAP_Spreadsheet!$E185,SAP_Spreadsheet!K$6)</f>
        <v>2.5221328381835655E-2</v>
      </c>
      <c r="L185" s="263">
        <f ca="1">K184*OFFSET(SAP_Leadsheet!$D$102,SAP_Spreadsheet!$E185,SAP_Spreadsheet!L$6)</f>
        <v>4.4458723784013512E-2</v>
      </c>
      <c r="M185" s="263">
        <f ca="1">L184*OFFSET(SAP_Leadsheet!$D$102,SAP_Spreadsheet!$E185,SAP_Spreadsheet!M$6)</f>
        <v>5.2297109180563912E-2</v>
      </c>
      <c r="N185" s="263">
        <f ca="1">M184*OFFSET(SAP_Leadsheet!$D$102,SAP_Spreadsheet!$E185,SAP_Spreadsheet!N$6)</f>
        <v>5.2023082495424103E-2</v>
      </c>
      <c r="O185" s="263">
        <f ca="1">N184*OFFSET(SAP_Leadsheet!$D$102,SAP_Spreadsheet!$E185,SAP_Spreadsheet!O$6)</f>
        <v>4.7836281029380485E-2</v>
      </c>
      <c r="P185" s="263">
        <f ca="1">O184*OFFSET(SAP_Leadsheet!$D$102,SAP_Spreadsheet!$E185,SAP_Spreadsheet!P$6)</f>
        <v>4.2499264854276915E-2</v>
      </c>
      <c r="Q185" s="263">
        <f ca="1">P184*OFFSET(SAP_Leadsheet!$D$102,SAP_Spreadsheet!$E185,SAP_Spreadsheet!Q$6)</f>
        <v>3.6014558629706477E-2</v>
      </c>
      <c r="R185" s="263">
        <f ca="1">Q184*OFFSET(SAP_Leadsheet!$D$102,SAP_Spreadsheet!$E185,SAP_Spreadsheet!R$6)</f>
        <v>3.1239574745008155E-2</v>
      </c>
      <c r="S185" s="263">
        <f ca="1">R184*OFFSET(SAP_Leadsheet!$D$102,SAP_Spreadsheet!$E185,SAP_Spreadsheet!S$6)</f>
        <v>2.6831575021502057E-2</v>
      </c>
      <c r="T185" s="263">
        <f ca="1">S184*OFFSET(SAP_Leadsheet!$D$102,SAP_Spreadsheet!$E185,SAP_Spreadsheet!T$6)</f>
        <v>2.2847976087135933E-2</v>
      </c>
      <c r="U185" s="263">
        <f ca="1">T184*OFFSET(SAP_Leadsheet!$D$102,SAP_Spreadsheet!$E185,SAP_Spreadsheet!U$6)</f>
        <v>1.9521954336483269E-2</v>
      </c>
      <c r="V185" s="263">
        <f ca="1">U184*OFFSET(SAP_Leadsheet!$D$102,SAP_Spreadsheet!$E185,SAP_Spreadsheet!V$6)</f>
        <v>9.8044403342731953E-3</v>
      </c>
      <c r="W185" s="263">
        <f ca="1">V184*OFFSET(SAP_Leadsheet!$D$102,SAP_Spreadsheet!$E185,SAP_Spreadsheet!W$6)</f>
        <v>1.0064942988336259E-2</v>
      </c>
      <c r="X185" s="263">
        <f ca="1">W184*OFFSET(SAP_Leadsheet!$D$102,SAP_Spreadsheet!$E185,SAP_Spreadsheet!X$6)</f>
        <v>1.1582405355120206E-2</v>
      </c>
      <c r="Y185" s="263">
        <f ca="1">X184*OFFSET(SAP_Leadsheet!$D$102,SAP_Spreadsheet!$E185,SAP_Spreadsheet!Y$6)</f>
        <v>1.1944151568960127E-2</v>
      </c>
      <c r="Z185" s="263">
        <f ca="1">Y184*OFFSET(SAP_Leadsheet!$D$102,SAP_Spreadsheet!$E185,SAP_Spreadsheet!Z$6)</f>
        <v>1.1372580969950226E-2</v>
      </c>
      <c r="AA185" s="263">
        <f ca="1">Z184*OFFSET(SAP_Leadsheet!$D$102,SAP_Spreadsheet!$E185,SAP_Spreadsheet!AA$6)</f>
        <v>1.1516818929627469E-2</v>
      </c>
      <c r="AB185" s="263">
        <f ca="1">AA184*OFFSET(SAP_Leadsheet!$D$102,SAP_Spreadsheet!$E185,SAP_Spreadsheet!AB$6)</f>
        <v>1.180402675197203E-2</v>
      </c>
      <c r="AC185" s="263">
        <f ca="1">AB184*OFFSET(SAP_Leadsheet!$D$102,SAP_Spreadsheet!$E185,SAP_Spreadsheet!AC$6)</f>
        <v>1.1957863878055076E-2</v>
      </c>
      <c r="AD185" s="263">
        <f ca="1">AC184*OFFSET(SAP_Leadsheet!$D$102,SAP_Spreadsheet!$E185,SAP_Spreadsheet!AD$6)</f>
        <v>1.1918032959758089E-2</v>
      </c>
      <c r="AE185" s="263">
        <f ca="1">AD184*OFFSET(SAP_Leadsheet!$D$102,SAP_Spreadsheet!$E185,SAP_Spreadsheet!AE$6)</f>
        <v>1.1503997561106623E-2</v>
      </c>
      <c r="AF185" s="263">
        <f ca="1">AE184*OFFSET(SAP_Leadsheet!$D$102,SAP_Spreadsheet!$E185,SAP_Spreadsheet!AF$6)</f>
        <v>1.0786316605997369E-2</v>
      </c>
      <c r="AG185" s="263">
        <f ca="1">AF184*OFFSET(SAP_Leadsheet!$D$102,SAP_Spreadsheet!$E185,SAP_Spreadsheet!AG$6)</f>
        <v>1.0497295156944423E-2</v>
      </c>
      <c r="AH185" s="263">
        <f ca="1">AG184*OFFSET(SAP_Leadsheet!$D$102,SAP_Spreadsheet!$E185,SAP_Spreadsheet!AH$6)</f>
        <v>8.5881148868931986E-3</v>
      </c>
      <c r="AI185" s="263">
        <f ca="1">AH184*OFFSET(SAP_Leadsheet!$D$102,SAP_Spreadsheet!$E185,SAP_Spreadsheet!AI$6)</f>
        <v>8.7635732856564397E-3</v>
      </c>
      <c r="AJ185" s="263">
        <f ca="1">AI184*OFFSET(SAP_Leadsheet!$D$102,SAP_Spreadsheet!$E185,SAP_Spreadsheet!AJ$6)</f>
        <v>9.3025417685148135E-3</v>
      </c>
      <c r="AK185" s="263">
        <f ca="1">AJ184*OFFSET(SAP_Leadsheet!$D$102,SAP_Spreadsheet!$E185,SAP_Spreadsheet!AK$6)</f>
        <v>9.6354515491570911E-3</v>
      </c>
      <c r="AL185" s="263">
        <f ca="1">AK184*OFFSET(SAP_Leadsheet!$D$102,SAP_Spreadsheet!$E185,SAP_Spreadsheet!AL$6)</f>
        <v>9.6828487031257824E-3</v>
      </c>
      <c r="AM185" s="263">
        <f ca="1">AL184*OFFSET(SAP_Leadsheet!$D$102,SAP_Spreadsheet!$E185,SAP_Spreadsheet!AM$6)</f>
        <v>9.5434600038375953E-3</v>
      </c>
      <c r="AN185" s="263">
        <f ca="1">AM184*OFFSET(SAP_Leadsheet!$D$102,SAP_Spreadsheet!$E185,SAP_Spreadsheet!AN$6)</f>
        <v>9.3215048476523558E-3</v>
      </c>
      <c r="AO185" s="263">
        <f ca="1">AN184*OFFSET(SAP_Leadsheet!$D$102,SAP_Spreadsheet!$E185,SAP_Spreadsheet!AO$6)</f>
        <v>9.0766525153691564E-3</v>
      </c>
      <c r="AP185" s="263">
        <f ca="1">AO184*OFFSET(SAP_Leadsheet!$D$102,SAP_Spreadsheet!$E185,SAP_Spreadsheet!AP$6)</f>
        <v>9.1352740782024815E-3</v>
      </c>
      <c r="AQ185" s="263">
        <f ca="1">AP184*OFFSET(SAP_Leadsheet!$D$102,SAP_Spreadsheet!$E185,SAP_Spreadsheet!AQ$6)</f>
        <v>8.8487729622625626E-3</v>
      </c>
      <c r="AR185" s="263">
        <f ca="1">AQ184*OFFSET(SAP_Leadsheet!$D$102,SAP_Spreadsheet!$E185,SAP_Spreadsheet!AR$6)</f>
        <v>8.4867980383803651E-3</v>
      </c>
      <c r="AS185" s="263">
        <f ca="1">AR184*OFFSET(SAP_Leadsheet!$D$102,SAP_Spreadsheet!$E185,SAP_Spreadsheet!AS$6)</f>
        <v>7.858338803375579E-3</v>
      </c>
      <c r="AT185" s="263">
        <f ca="1">AS184*OFFSET(SAP_Leadsheet!$D$102,SAP_Spreadsheet!$E185,SAP_Spreadsheet!AT$6)</f>
        <v>6.320177013648052E-3</v>
      </c>
      <c r="AU185" s="263">
        <f ca="1">AT184*OFFSET(SAP_Leadsheet!$D$102,SAP_Spreadsheet!$E185,SAP_Spreadsheet!AU$6)</f>
        <v>6.180277015071632E-3</v>
      </c>
      <c r="AV185" s="263">
        <f ca="1">AU184*OFFSET(SAP_Leadsheet!$D$102,SAP_Spreadsheet!$E185,SAP_Spreadsheet!AV$6)</f>
        <v>6.0659466799360797E-3</v>
      </c>
      <c r="AW185" s="263">
        <f ca="1">AV184*OFFSET(SAP_Leadsheet!$D$102,SAP_Spreadsheet!$E185,SAP_Spreadsheet!AW$6)</f>
        <v>5.9639882137353332E-3</v>
      </c>
      <c r="AX185" s="263">
        <f ca="1">AW184*OFFSET(SAP_Leadsheet!$D$102,SAP_Spreadsheet!$E185,SAP_Spreadsheet!AX$6)</f>
        <v>5.8645160204604842E-3</v>
      </c>
      <c r="AY185" s="263">
        <f ca="1">AX184*OFFSET(SAP_Leadsheet!$D$102,SAP_Spreadsheet!$E185,SAP_Spreadsheet!AY$6)</f>
        <v>5.7637504205239384E-3</v>
      </c>
      <c r="AZ185" s="263">
        <f ca="1">AY184*OFFSET(SAP_Leadsheet!$D$102,SAP_Spreadsheet!$E185,SAP_Spreadsheet!AZ$6)</f>
        <v>5.6611489290724348E-3</v>
      </c>
      <c r="BA185" s="263">
        <f ca="1">AZ184*OFFSET(SAP_Leadsheet!$D$102,SAP_Spreadsheet!$E185,SAP_Spreadsheet!BA$6)</f>
        <v>5.5558810336540894E-3</v>
      </c>
      <c r="BB185" s="263">
        <f ca="1">BA184*OFFSET(SAP_Leadsheet!$D$102,SAP_Spreadsheet!$E185,SAP_Spreadsheet!BB$6)</f>
        <v>5.44665337548069E-3</v>
      </c>
      <c r="BC185" s="263">
        <f ca="1">BB184*OFFSET(SAP_Leadsheet!$D$102,SAP_Spreadsheet!$E185,SAP_Spreadsheet!BC$6)</f>
        <v>5.3292382134836596E-3</v>
      </c>
      <c r="BD185" s="263">
        <f ca="1">BC184*OFFSET(SAP_Leadsheet!$D$102,SAP_Spreadsheet!$E185,SAP_Spreadsheet!BD$6)</f>
        <v>5.1997156849309945E-3</v>
      </c>
      <c r="BE185" s="263">
        <f ca="1">BD184*OFFSET(SAP_Leadsheet!$D$102,SAP_Spreadsheet!$E185,SAP_Spreadsheet!BE$6)</f>
        <v>5.062002127078709E-3</v>
      </c>
      <c r="BF185" s="263">
        <f ca="1">BE184*OFFSET(SAP_Leadsheet!$D$102,SAP_Spreadsheet!$E185,SAP_Spreadsheet!BF$6)</f>
        <v>4.3301223178581491E-3</v>
      </c>
      <c r="BG185" s="263">
        <f ca="1">BF184*OFFSET(SAP_Leadsheet!$D$102,SAP_Spreadsheet!$E185,SAP_Spreadsheet!BG$6)</f>
        <v>4.2215910786134424E-3</v>
      </c>
      <c r="BH185" s="263">
        <f ca="1">BG184*OFFSET(SAP_Leadsheet!$D$102,SAP_Spreadsheet!$E185,SAP_Spreadsheet!BH$6)</f>
        <v>4.1133279412454427E-3</v>
      </c>
      <c r="BI185" s="263">
        <f ca="1">BH184*OFFSET(SAP_Leadsheet!$D$102,SAP_Spreadsheet!$E185,SAP_Spreadsheet!BI$6)</f>
        <v>4.0060231534517956E-3</v>
      </c>
      <c r="BJ185" s="263">
        <f ca="1">BI184*OFFSET(SAP_Leadsheet!$D$102,SAP_Spreadsheet!$E185,SAP_Spreadsheet!BJ$6)</f>
        <v>3.8992246316940709E-3</v>
      </c>
      <c r="BK185" s="263">
        <f ca="1">BJ184*OFFSET(SAP_Leadsheet!$D$102,SAP_Spreadsheet!$E185,SAP_Spreadsheet!BK$6)</f>
        <v>3.7926551044089544E-3</v>
      </c>
      <c r="BL185" s="263">
        <f ca="1">BK184*OFFSET(SAP_Leadsheet!$D$102,SAP_Spreadsheet!$E185,SAP_Spreadsheet!BL$6)</f>
        <v>3.6859795187464345E-3</v>
      </c>
      <c r="BM185" s="263">
        <f ca="1">BL184*OFFSET(SAP_Leadsheet!$D$102,SAP_Spreadsheet!$E185,SAP_Spreadsheet!BM$6)</f>
        <v>3.5790354099362234E-3</v>
      </c>
      <c r="BN185" s="263">
        <f ca="1">BM184*OFFSET(SAP_Leadsheet!$D$102,SAP_Spreadsheet!$E185,SAP_Spreadsheet!BN$6)</f>
        <v>3.4717975717514582E-3</v>
      </c>
      <c r="BO185" s="263">
        <f ca="1">BN184*OFFSET(SAP_Leadsheet!$D$102,SAP_Spreadsheet!$E185,SAP_Spreadsheet!BC$6)</f>
        <v>3.3630039535444889E-3</v>
      </c>
      <c r="BP185" s="263">
        <f ca="1">BO184*OFFSET(SAP_Leadsheet!$D$102,SAP_Spreadsheet!$E185,SAP_Spreadsheet!BD$6)</f>
        <v>3.2506004349037829E-3</v>
      </c>
      <c r="BQ185" s="263">
        <f ca="1">BP184*OFFSET(SAP_Leadsheet!$D$102,SAP_Spreadsheet!$E185,SAP_Spreadsheet!BE$6)</f>
        <v>3.1355506633397147E-3</v>
      </c>
      <c r="BR185" s="263">
        <f ca="1">BQ184*OFFSET(SAP_Leadsheet!$D$102,SAP_Spreadsheet!$E185,SAP_Spreadsheet!BF$6)</f>
        <v>3.019210317565444E-3</v>
      </c>
      <c r="BS185" s="263">
        <f ca="1">BR184*OFFSET(SAP_Leadsheet!$D$102,SAP_Spreadsheet!$E185,SAP_Spreadsheet!BG$6)</f>
        <v>0</v>
      </c>
      <c r="BT185" s="263">
        <f ca="1">BS184*OFFSET(SAP_Leadsheet!$D$102,SAP_Spreadsheet!$E185,SAP_Spreadsheet!BH$6)</f>
        <v>0</v>
      </c>
      <c r="BU185" s="263">
        <f ca="1">BT184*OFFSET(SAP_Leadsheet!$D$102,SAP_Spreadsheet!$E185,SAP_Spreadsheet!BI$6)</f>
        <v>0</v>
      </c>
      <c r="BV185" s="263">
        <f ca="1">BU184*OFFSET(SAP_Leadsheet!$D$102,SAP_Spreadsheet!$E185,SAP_Spreadsheet!BJ$6)</f>
        <v>0</v>
      </c>
      <c r="BW185" s="263">
        <f ca="1">BV184*OFFSET(SAP_Leadsheet!$D$102,SAP_Spreadsheet!$E185,SAP_Spreadsheet!BK$6)</f>
        <v>0</v>
      </c>
      <c r="BX185" s="263">
        <f ca="1">BW184*OFFSET(SAP_Leadsheet!$D$102,SAP_Spreadsheet!$E185,SAP_Spreadsheet!BL$6)</f>
        <v>0</v>
      </c>
      <c r="BY185" s="263">
        <f ca="1">BX184*OFFSET(SAP_Leadsheet!$D$102,SAP_Spreadsheet!$E185,SAP_Spreadsheet!BM$6)</f>
        <v>0</v>
      </c>
      <c r="BZ185" s="263">
        <f ca="1">BY184*OFFSET(SAP_Leadsheet!$D$102,SAP_Spreadsheet!$E185,SAP_Spreadsheet!BN$6)</f>
        <v>0</v>
      </c>
      <c r="CA185" s="254"/>
      <c r="CB185" s="254"/>
      <c r="CC185" s="254"/>
      <c r="CD185" s="254"/>
      <c r="CE185" s="254"/>
      <c r="CF185" s="254"/>
      <c r="CG185" s="254"/>
      <c r="CH185" s="254"/>
      <c r="CI185" s="254"/>
      <c r="CJ185" s="254"/>
      <c r="CK185" s="254"/>
      <c r="CL185" s="254"/>
    </row>
    <row r="186" spans="1:90" x14ac:dyDescent="0.15">
      <c r="B186" s="198"/>
      <c r="D186" s="282" t="s">
        <v>287</v>
      </c>
      <c r="E186" s="26">
        <v>5</v>
      </c>
      <c r="F186" s="26" t="s">
        <v>341</v>
      </c>
      <c r="G186" s="263"/>
      <c r="H186" s="263">
        <f ca="1">G185*OFFSET(SAP_Leadsheet!$D$102,SAP_Spreadsheet!$E186,SAP_Spreadsheet!H$6)</f>
        <v>0</v>
      </c>
      <c r="I186" s="263">
        <f ca="1">H185*OFFSET(SAP_Leadsheet!$D$102,SAP_Spreadsheet!$E186,SAP_Spreadsheet!I$6)</f>
        <v>0</v>
      </c>
      <c r="J186" s="263">
        <f ca="1">I185*OFFSET(SAP_Leadsheet!$D$102,SAP_Spreadsheet!$E186,SAP_Spreadsheet!J$6)</f>
        <v>0</v>
      </c>
      <c r="K186" s="263">
        <f ca="1">J185*OFFSET(SAP_Leadsheet!$D$102,SAP_Spreadsheet!$E186,SAP_Spreadsheet!K$6)</f>
        <v>0</v>
      </c>
      <c r="L186" s="263">
        <f ca="1">K185*OFFSET(SAP_Leadsheet!$D$102,SAP_Spreadsheet!$E186,SAP_Spreadsheet!L$6)</f>
        <v>2.4842542715099801E-2</v>
      </c>
      <c r="M186" s="263">
        <f ca="1">L185*OFFSET(SAP_Leadsheet!$D$102,SAP_Spreadsheet!$E186,SAP_Spreadsheet!M$6)</f>
        <v>4.3791021945482234E-2</v>
      </c>
      <c r="N186" s="263">
        <f ca="1">M185*OFFSET(SAP_Leadsheet!$D$102,SAP_Spreadsheet!$E186,SAP_Spreadsheet!N$6)</f>
        <v>5.1511686816229432E-2</v>
      </c>
      <c r="O186" s="263">
        <f ca="1">N185*OFFSET(SAP_Leadsheet!$D$102,SAP_Spreadsheet!$E186,SAP_Spreadsheet!O$6)</f>
        <v>5.1241775591586498E-2</v>
      </c>
      <c r="P186" s="263">
        <f ca="1">O185*OFFSET(SAP_Leadsheet!$D$102,SAP_Spreadsheet!$E186,SAP_Spreadsheet!P$6)</f>
        <v>4.7117853461666512E-2</v>
      </c>
      <c r="Q186" s="263">
        <f ca="1">P185*OFFSET(SAP_Leadsheet!$D$102,SAP_Spreadsheet!$E186,SAP_Spreadsheet!Q$6)</f>
        <v>4.1860991083367813E-2</v>
      </c>
      <c r="R186" s="263">
        <f ca="1">Q185*OFFSET(SAP_Leadsheet!$D$102,SAP_Spreadsheet!$E186,SAP_Spreadsheet!R$6)</f>
        <v>3.5473675199768837E-2</v>
      </c>
      <c r="S186" s="263">
        <f ca="1">R185*OFFSET(SAP_Leadsheet!$D$102,SAP_Spreadsheet!$E186,SAP_Spreadsheet!S$6)</f>
        <v>3.0480890780976603E-2</v>
      </c>
      <c r="T186" s="263">
        <f ca="1">S185*OFFSET(SAP_Leadsheet!$D$102,SAP_Spreadsheet!$E186,SAP_Spreadsheet!T$6)</f>
        <v>2.6179943689619858E-2</v>
      </c>
      <c r="U186" s="263">
        <f ca="1">T185*OFFSET(SAP_Leadsheet!$D$102,SAP_Spreadsheet!$E186,SAP_Spreadsheet!U$6)</f>
        <v>2.2293090394568806E-2</v>
      </c>
      <c r="V186" s="263">
        <f ca="1">U185*OFFSET(SAP_Leadsheet!$D$102,SAP_Spreadsheet!$E186,SAP_Spreadsheet!V$6)</f>
        <v>1.9047844371077524E-2</v>
      </c>
      <c r="W186" s="263">
        <f ca="1">V185*OFFSET(SAP_Leadsheet!$D$102,SAP_Spreadsheet!$E186,SAP_Spreadsheet!W$6)</f>
        <v>9.5663298056045606E-3</v>
      </c>
      <c r="X186" s="263">
        <f ca="1">W185*OFFSET(SAP_Leadsheet!$D$102,SAP_Spreadsheet!$E186,SAP_Spreadsheet!X$6)</f>
        <v>9.8205058951148574E-3</v>
      </c>
      <c r="Y186" s="263">
        <f ca="1">X185*OFFSET(SAP_Leadsheet!$D$102,SAP_Spreadsheet!$E186,SAP_Spreadsheet!Y$6)</f>
        <v>1.1301115187774154E-2</v>
      </c>
      <c r="Z186" s="263">
        <f ca="1">Y185*OFFSET(SAP_Leadsheet!$D$102,SAP_Spreadsheet!$E186,SAP_Spreadsheet!Z$6)</f>
        <v>1.1654076037097123E-2</v>
      </c>
      <c r="AA186" s="263">
        <f ca="1">Z185*OFFSET(SAP_Leadsheet!$D$102,SAP_Spreadsheet!$E186,SAP_Spreadsheet!AA$6)</f>
        <v>1.1096386595283511E-2</v>
      </c>
      <c r="AB186" s="263">
        <f ca="1">AA185*OFFSET(SAP_Leadsheet!$D$102,SAP_Spreadsheet!$E186,SAP_Spreadsheet!AB$6)</f>
        <v>1.1237121593479844E-2</v>
      </c>
      <c r="AC186" s="263">
        <f ca="1">AB185*OFFSET(SAP_Leadsheet!$D$102,SAP_Spreadsheet!$E186,SAP_Spreadsheet!AC$6)</f>
        <v>1.1517354289852436E-2</v>
      </c>
      <c r="AD186" s="263">
        <f ca="1">AC185*OFFSET(SAP_Leadsheet!$D$102,SAP_Spreadsheet!$E186,SAP_Spreadsheet!AD$6)</f>
        <v>1.1667455329206241E-2</v>
      </c>
      <c r="AE186" s="263">
        <f ca="1">AD185*OFFSET(SAP_Leadsheet!$D$102,SAP_Spreadsheet!$E186,SAP_Spreadsheet!AE$6)</f>
        <v>1.1798852630160507E-2</v>
      </c>
      <c r="AF186" s="263">
        <f ca="1">AE185*OFFSET(SAP_Leadsheet!$D$102,SAP_Spreadsheet!$E186,SAP_Spreadsheet!AF$6)</f>
        <v>1.1388957585495556E-2</v>
      </c>
      <c r="AG186" s="263">
        <f ca="1">AF185*OFFSET(SAP_Leadsheet!$D$102,SAP_Spreadsheet!$E186,SAP_Spreadsheet!AG$6)</f>
        <v>1.0678453439937395E-2</v>
      </c>
      <c r="AH186" s="263">
        <f ca="1">AG185*OFFSET(SAP_Leadsheet!$D$102,SAP_Spreadsheet!$E186,SAP_Spreadsheet!AH$6)</f>
        <v>1.0392322205374978E-2</v>
      </c>
      <c r="AI186" s="263">
        <f ca="1">AH185*OFFSET(SAP_Leadsheet!$D$102,SAP_Spreadsheet!$E186,SAP_Spreadsheet!AI$6)</f>
        <v>8.5022337380242664E-3</v>
      </c>
      <c r="AJ186" s="263">
        <f ca="1">AI185*OFFSET(SAP_Leadsheet!$D$102,SAP_Spreadsheet!$E186,SAP_Spreadsheet!AJ$6)</f>
        <v>8.6759375527998752E-3</v>
      </c>
      <c r="AK186" s="263">
        <f ca="1">AJ185*OFFSET(SAP_Leadsheet!$D$102,SAP_Spreadsheet!$E186,SAP_Spreadsheet!AK$6)</f>
        <v>9.2095163508296649E-3</v>
      </c>
      <c r="AL186" s="263">
        <f ca="1">AK185*OFFSET(SAP_Leadsheet!$D$102,SAP_Spreadsheet!$E186,SAP_Spreadsheet!AL$6)</f>
        <v>9.5390970336655199E-3</v>
      </c>
      <c r="AM186" s="263">
        <f ca="1">AL185*OFFSET(SAP_Leadsheet!$D$102,SAP_Spreadsheet!$E186,SAP_Spreadsheet!AM$6)</f>
        <v>9.5860202160945249E-3</v>
      </c>
      <c r="AN186" s="263">
        <f ca="1">AM185*OFFSET(SAP_Leadsheet!$D$102,SAP_Spreadsheet!$E186,SAP_Spreadsheet!AN$6)</f>
        <v>9.4480254037992185E-3</v>
      </c>
      <c r="AO186" s="263">
        <f ca="1">AN185*OFFSET(SAP_Leadsheet!$D$102,SAP_Spreadsheet!$E186,SAP_Spreadsheet!AO$6)</f>
        <v>9.228289799175832E-3</v>
      </c>
      <c r="AP186" s="263">
        <f ca="1">AO185*OFFSET(SAP_Leadsheet!$D$102,SAP_Spreadsheet!$E186,SAP_Spreadsheet!AP$6)</f>
        <v>8.9858859902154642E-3</v>
      </c>
      <c r="AQ186" s="263">
        <f ca="1">AP185*OFFSET(SAP_Leadsheet!$D$102,SAP_Spreadsheet!$E186,SAP_Spreadsheet!AQ$6)</f>
        <v>9.0439213374204561E-3</v>
      </c>
      <c r="AR186" s="263">
        <f ca="1">AQ185*OFFSET(SAP_Leadsheet!$D$102,SAP_Spreadsheet!$E186,SAP_Spreadsheet!AR$6)</f>
        <v>8.7602852326399364E-3</v>
      </c>
      <c r="AS186" s="263">
        <f ca="1">AR185*OFFSET(SAP_Leadsheet!$D$102,SAP_Spreadsheet!$E186,SAP_Spreadsheet!AS$6)</f>
        <v>8.4019300579965608E-3</v>
      </c>
      <c r="AT186" s="263">
        <f ca="1">AS185*OFFSET(SAP_Leadsheet!$D$102,SAP_Spreadsheet!$E186,SAP_Spreadsheet!AT$6)</f>
        <v>7.7797554153418227E-3</v>
      </c>
      <c r="AU186" s="263">
        <f ca="1">AT185*OFFSET(SAP_Leadsheet!$D$102,SAP_Spreadsheet!$E186,SAP_Spreadsheet!AU$6)</f>
        <v>6.2569752435115717E-3</v>
      </c>
      <c r="AV186" s="263">
        <f ca="1">AU185*OFFSET(SAP_Leadsheet!$D$102,SAP_Spreadsheet!$E186,SAP_Spreadsheet!AV$6)</f>
        <v>6.1184742449209156E-3</v>
      </c>
      <c r="AW186" s="263">
        <f ca="1">AV185*OFFSET(SAP_Leadsheet!$D$102,SAP_Spreadsheet!$E186,SAP_Spreadsheet!AW$6)</f>
        <v>6.005287213136719E-3</v>
      </c>
      <c r="AX186" s="263">
        <f ca="1">AW185*OFFSET(SAP_Leadsheet!$D$102,SAP_Spreadsheet!$E186,SAP_Spreadsheet!AX$6)</f>
        <v>5.9043483315979802E-3</v>
      </c>
      <c r="AY186" s="263">
        <f ca="1">AX185*OFFSET(SAP_Leadsheet!$D$102,SAP_Spreadsheet!$E186,SAP_Spreadsheet!AY$6)</f>
        <v>5.805870860255879E-3</v>
      </c>
      <c r="AZ186" s="263">
        <f ca="1">AY185*OFFSET(SAP_Leadsheet!$D$102,SAP_Spreadsheet!$E186,SAP_Spreadsheet!AZ$6)</f>
        <v>5.706112916318699E-3</v>
      </c>
      <c r="BA186" s="263">
        <f ca="1">AZ185*OFFSET(SAP_Leadsheet!$D$102,SAP_Spreadsheet!$E186,SAP_Spreadsheet!BA$6)</f>
        <v>5.6045374397817108E-3</v>
      </c>
      <c r="BB186" s="263">
        <f ca="1">BA185*OFFSET(SAP_Leadsheet!$D$102,SAP_Spreadsheet!$E186,SAP_Spreadsheet!BB$6)</f>
        <v>5.5003222233175487E-3</v>
      </c>
      <c r="BC186" s="263">
        <f ca="1">BB185*OFFSET(SAP_Leadsheet!$D$102,SAP_Spreadsheet!$E186,SAP_Spreadsheet!BC$6)</f>
        <v>5.3921868417258828E-3</v>
      </c>
      <c r="BD186" s="263">
        <f ca="1">BC185*OFFSET(SAP_Leadsheet!$D$102,SAP_Spreadsheet!$E186,SAP_Spreadsheet!BD$6)</f>
        <v>5.2759458313488229E-3</v>
      </c>
      <c r="BE186" s="263">
        <f ca="1">BD185*OFFSET(SAP_Leadsheet!$D$102,SAP_Spreadsheet!$E186,SAP_Spreadsheet!BE$6)</f>
        <v>5.1477185280816842E-3</v>
      </c>
      <c r="BF186" s="263">
        <f ca="1">BE185*OFFSET(SAP_Leadsheet!$D$102,SAP_Spreadsheet!$E186,SAP_Spreadsheet!BF$6)</f>
        <v>5.0113821058079214E-3</v>
      </c>
      <c r="BG186" s="263">
        <f ca="1">BF185*OFFSET(SAP_Leadsheet!$D$102,SAP_Spreadsheet!$E186,SAP_Spreadsheet!BG$6)</f>
        <v>4.2868210946795677E-3</v>
      </c>
      <c r="BH186" s="263">
        <f ca="1">BG185*OFFSET(SAP_Leadsheet!$D$102,SAP_Spreadsheet!$E186,SAP_Spreadsheet!BH$6)</f>
        <v>4.1793751678273075E-3</v>
      </c>
      <c r="BI186" s="263">
        <f ca="1">BH185*OFFSET(SAP_Leadsheet!$D$102,SAP_Spreadsheet!$E186,SAP_Spreadsheet!BI$6)</f>
        <v>4.0721946618329881E-3</v>
      </c>
      <c r="BJ186" s="263">
        <f ca="1">BI185*OFFSET(SAP_Leadsheet!$D$102,SAP_Spreadsheet!$E186,SAP_Spreadsheet!BJ$6)</f>
        <v>3.9659629219172777E-3</v>
      </c>
      <c r="BK186" s="263">
        <f ca="1">BJ185*OFFSET(SAP_Leadsheet!$D$102,SAP_Spreadsheet!$E186,SAP_Spreadsheet!BK$6)</f>
        <v>3.8602323853771303E-3</v>
      </c>
      <c r="BL186" s="263">
        <f ca="1">BK185*OFFSET(SAP_Leadsheet!$D$102,SAP_Spreadsheet!$E186,SAP_Spreadsheet!BL$6)</f>
        <v>3.7547285533648649E-3</v>
      </c>
      <c r="BM186" s="263">
        <f ca="1">BL185*OFFSET(SAP_Leadsheet!$D$102,SAP_Spreadsheet!$E186,SAP_Spreadsheet!BM$6)</f>
        <v>3.6491197235589703E-3</v>
      </c>
      <c r="BN186" s="263">
        <f ca="1">BM185*OFFSET(SAP_Leadsheet!$D$102,SAP_Spreadsheet!$E186,SAP_Spreadsheet!BN$6)</f>
        <v>3.5432450558368612E-3</v>
      </c>
      <c r="BO186" s="263">
        <f ca="1">BN185*OFFSET(SAP_Leadsheet!$D$102,SAP_Spreadsheet!$E186,SAP_Spreadsheet!BC$6)</f>
        <v>3.4370795960339436E-3</v>
      </c>
      <c r="BP186" s="263">
        <f ca="1">BO185*OFFSET(SAP_Leadsheet!$D$102,SAP_Spreadsheet!$E186,SAP_Spreadsheet!BD$6)</f>
        <v>3.3293739140090439E-3</v>
      </c>
      <c r="BQ186" s="263">
        <f ca="1">BP185*OFFSET(SAP_Leadsheet!$D$102,SAP_Spreadsheet!$E186,SAP_Spreadsheet!BE$6)</f>
        <v>3.218094430554745E-3</v>
      </c>
      <c r="BR186" s="263">
        <f ca="1">BQ185*OFFSET(SAP_Leadsheet!$D$102,SAP_Spreadsheet!$E186,SAP_Spreadsheet!BF$6)</f>
        <v>3.1041951567063178E-3</v>
      </c>
      <c r="BS186" s="263">
        <f ca="1">BR185*OFFSET(SAP_Leadsheet!$D$102,SAP_Spreadsheet!$E186,SAP_Spreadsheet!BG$6)</f>
        <v>2.9890182143897897E-3</v>
      </c>
      <c r="BT186" s="263">
        <f ca="1">BS185*OFFSET(SAP_Leadsheet!$D$102,SAP_Spreadsheet!$E186,SAP_Spreadsheet!BH$6)</f>
        <v>0</v>
      </c>
      <c r="BU186" s="263">
        <f ca="1">BT185*OFFSET(SAP_Leadsheet!$D$102,SAP_Spreadsheet!$E186,SAP_Spreadsheet!BI$6)</f>
        <v>0</v>
      </c>
      <c r="BV186" s="263">
        <f ca="1">BU185*OFFSET(SAP_Leadsheet!$D$102,SAP_Spreadsheet!$E186,SAP_Spreadsheet!BJ$6)</f>
        <v>0</v>
      </c>
      <c r="BW186" s="263">
        <f ca="1">BV185*OFFSET(SAP_Leadsheet!$D$102,SAP_Spreadsheet!$E186,SAP_Spreadsheet!BK$6)</f>
        <v>0</v>
      </c>
      <c r="BX186" s="263">
        <f ca="1">BW185*OFFSET(SAP_Leadsheet!$D$102,SAP_Spreadsheet!$E186,SAP_Spreadsheet!BL$6)</f>
        <v>0</v>
      </c>
      <c r="BY186" s="263">
        <f ca="1">BX185*OFFSET(SAP_Leadsheet!$D$102,SAP_Spreadsheet!$E186,SAP_Spreadsheet!BM$6)</f>
        <v>0</v>
      </c>
      <c r="BZ186" s="263">
        <f ca="1">BY185*OFFSET(SAP_Leadsheet!$D$102,SAP_Spreadsheet!$E186,SAP_Spreadsheet!BN$6)</f>
        <v>0</v>
      </c>
      <c r="CA186" s="254"/>
      <c r="CB186" s="254"/>
      <c r="CC186" s="254"/>
      <c r="CD186" s="254"/>
      <c r="CE186" s="254"/>
      <c r="CF186" s="254"/>
      <c r="CG186" s="254"/>
      <c r="CH186" s="254"/>
      <c r="CI186" s="254"/>
      <c r="CJ186" s="254"/>
      <c r="CK186" s="254"/>
      <c r="CL186" s="254"/>
    </row>
    <row r="187" spans="1:90" x14ac:dyDescent="0.15">
      <c r="B187" s="198"/>
      <c r="D187" s="282" t="s">
        <v>288</v>
      </c>
      <c r="E187" s="26">
        <v>6</v>
      </c>
      <c r="F187" s="26" t="s">
        <v>341</v>
      </c>
      <c r="G187" s="263"/>
      <c r="H187" s="263">
        <f ca="1">G186*OFFSET(SAP_Leadsheet!$D$102,SAP_Spreadsheet!$E187,SAP_Spreadsheet!H$6)</f>
        <v>0</v>
      </c>
      <c r="I187" s="263">
        <f ca="1">H186*OFFSET(SAP_Leadsheet!$D$102,SAP_Spreadsheet!$E187,SAP_Spreadsheet!I$6)</f>
        <v>0</v>
      </c>
      <c r="J187" s="263">
        <f ca="1">I186*OFFSET(SAP_Leadsheet!$D$102,SAP_Spreadsheet!$E187,SAP_Spreadsheet!J$6)</f>
        <v>0</v>
      </c>
      <c r="K187" s="263">
        <f ca="1">J186*OFFSET(SAP_Leadsheet!$D$102,SAP_Spreadsheet!$E187,SAP_Spreadsheet!K$6)</f>
        <v>0</v>
      </c>
      <c r="L187" s="263">
        <f ca="1">K186*OFFSET(SAP_Leadsheet!$D$102,SAP_Spreadsheet!$E187,SAP_Spreadsheet!L$6)</f>
        <v>0</v>
      </c>
      <c r="M187" s="263">
        <f ca="1">L186*OFFSET(SAP_Leadsheet!$D$102,SAP_Spreadsheet!$E187,SAP_Spreadsheet!M$6)</f>
        <v>2.4476950008079659E-2</v>
      </c>
      <c r="N187" s="263">
        <f ca="1">M186*OFFSET(SAP_Leadsheet!$D$102,SAP_Spreadsheet!$E187,SAP_Spreadsheet!N$6)</f>
        <v>4.31465759062893E-2</v>
      </c>
      <c r="O187" s="263">
        <f ca="1">N186*OFFSET(SAP_Leadsheet!$D$102,SAP_Spreadsheet!$E187,SAP_Spreadsheet!O$6)</f>
        <v>5.0753620412065721E-2</v>
      </c>
      <c r="P187" s="263">
        <f ca="1">O186*OFFSET(SAP_Leadsheet!$D$102,SAP_Spreadsheet!$E187,SAP_Spreadsheet!P$6)</f>
        <v>5.0487681308006578E-2</v>
      </c>
      <c r="Q187" s="263">
        <f ca="1">P186*OFFSET(SAP_Leadsheet!$D$102,SAP_Spreadsheet!$E187,SAP_Spreadsheet!Q$6)</f>
        <v>4.6424448451012797E-2</v>
      </c>
      <c r="R187" s="263">
        <f ca="1">Q186*OFFSET(SAP_Leadsheet!$D$102,SAP_Spreadsheet!$E187,SAP_Spreadsheet!R$6)</f>
        <v>4.1244948143471308E-2</v>
      </c>
      <c r="S187" s="263">
        <f ca="1">R186*OFFSET(SAP_Leadsheet!$D$102,SAP_Spreadsheet!$E187,SAP_Spreadsheet!S$6)</f>
        <v>3.4886396757990046E-2</v>
      </c>
      <c r="T187" s="263">
        <f ca="1">S186*OFFSET(SAP_Leadsheet!$D$102,SAP_Spreadsheet!$E187,SAP_Spreadsheet!T$6)</f>
        <v>2.9976269538856244E-2</v>
      </c>
      <c r="U187" s="263">
        <f ca="1">T186*OFFSET(SAP_Leadsheet!$D$102,SAP_Spreadsheet!$E187,SAP_Spreadsheet!U$6)</f>
        <v>2.5746526051066393E-2</v>
      </c>
      <c r="V187" s="263">
        <f ca="1">U186*OFFSET(SAP_Leadsheet!$D$102,SAP_Spreadsheet!$E187,SAP_Spreadsheet!V$6)</f>
        <v>2.192402089963693E-2</v>
      </c>
      <c r="W187" s="263">
        <f ca="1">V186*OFFSET(SAP_Leadsheet!$D$102,SAP_Spreadsheet!$E187,SAP_Spreadsheet!W$6)</f>
        <v>1.8732500998886861E-2</v>
      </c>
      <c r="X187" s="263">
        <f ca="1">W186*OFFSET(SAP_Leadsheet!$D$102,SAP_Spreadsheet!$E187,SAP_Spreadsheet!X$6)</f>
        <v>9.4079560473136776E-3</v>
      </c>
      <c r="Y187" s="263">
        <f ca="1">X186*OFFSET(SAP_Leadsheet!$D$102,SAP_Spreadsheet!$E187,SAP_Spreadsheet!Y$6)</f>
        <v>9.6579241674792597E-3</v>
      </c>
      <c r="Z187" s="263">
        <f ca="1">Y186*OFFSET(SAP_Leadsheet!$D$102,SAP_Spreadsheet!$E187,SAP_Spreadsheet!Z$6)</f>
        <v>1.1114021482922228E-2</v>
      </c>
      <c r="AA187" s="263">
        <f ca="1">Z186*OFFSET(SAP_Leadsheet!$D$102,SAP_Spreadsheet!$E187,SAP_Spreadsheet!AA$6)</f>
        <v>1.1461138948484367E-2</v>
      </c>
      <c r="AB187" s="263">
        <f ca="1">AA186*OFFSET(SAP_Leadsheet!$D$102,SAP_Spreadsheet!$E187,SAP_Spreadsheet!AB$6)</f>
        <v>1.0912682240086178E-2</v>
      </c>
      <c r="AC187" s="263">
        <f ca="1">AB186*OFFSET(SAP_Leadsheet!$D$102,SAP_Spreadsheet!$E187,SAP_Spreadsheet!AC$6)</f>
        <v>1.1051087323776076E-2</v>
      </c>
      <c r="AD187" s="263">
        <f ca="1">AC186*OFFSET(SAP_Leadsheet!$D$102,SAP_Spreadsheet!$E187,SAP_Spreadsheet!AD$6)</f>
        <v>1.1326680675047425E-2</v>
      </c>
      <c r="AE187" s="263">
        <f ca="1">AD186*OFFSET(SAP_Leadsheet!$D$102,SAP_Spreadsheet!$E187,SAP_Spreadsheet!AE$6)</f>
        <v>1.1550780775914178E-2</v>
      </c>
      <c r="AF187" s="263">
        <f ca="1">AE186*OFFSET(SAP_Leadsheet!$D$102,SAP_Spreadsheet!$E187,SAP_Spreadsheet!AF$6)</f>
        <v>1.1680864103858902E-2</v>
      </c>
      <c r="AG187" s="263">
        <f ca="1">AF186*OFFSET(SAP_Leadsheet!$D$102,SAP_Spreadsheet!$E187,SAP_Spreadsheet!AG$6)</f>
        <v>1.12750680096406E-2</v>
      </c>
      <c r="AH187" s="263">
        <f ca="1">AG186*OFFSET(SAP_Leadsheet!$D$102,SAP_Spreadsheet!$E187,SAP_Spreadsheet!AH$6)</f>
        <v>1.0571668905538021E-2</v>
      </c>
      <c r="AI187" s="263">
        <f ca="1">AH186*OFFSET(SAP_Leadsheet!$D$102,SAP_Spreadsheet!$E187,SAP_Spreadsheet!AI$6)</f>
        <v>1.0288398983321229E-2</v>
      </c>
      <c r="AJ187" s="263">
        <f ca="1">AI186*OFFSET(SAP_Leadsheet!$D$102,SAP_Spreadsheet!$E187,SAP_Spreadsheet!AJ$6)</f>
        <v>8.417211400644024E-3</v>
      </c>
      <c r="AK187" s="263">
        <f ca="1">AJ186*OFFSET(SAP_Leadsheet!$D$102,SAP_Spreadsheet!$E187,SAP_Spreadsheet!AK$6)</f>
        <v>8.5891781772718771E-3</v>
      </c>
      <c r="AL187" s="263">
        <f ca="1">AK186*OFFSET(SAP_Leadsheet!$D$102,SAP_Spreadsheet!$E187,SAP_Spreadsheet!AL$6)</f>
        <v>9.1174211873213673E-3</v>
      </c>
      <c r="AM187" s="263">
        <f ca="1">AL186*OFFSET(SAP_Leadsheet!$D$102,SAP_Spreadsheet!$E187,SAP_Spreadsheet!AM$6)</f>
        <v>9.4437060633288644E-3</v>
      </c>
      <c r="AN187" s="263">
        <f ca="1">AM186*OFFSET(SAP_Leadsheet!$D$102,SAP_Spreadsheet!$E187,SAP_Spreadsheet!AN$6)</f>
        <v>9.4901600139335792E-3</v>
      </c>
      <c r="AO187" s="263">
        <f ca="1">AN186*OFFSET(SAP_Leadsheet!$D$102,SAP_Spreadsheet!$E187,SAP_Spreadsheet!AO$6)</f>
        <v>9.3535451497612256E-3</v>
      </c>
      <c r="AP187" s="263">
        <f ca="1">AO186*OFFSET(SAP_Leadsheet!$D$102,SAP_Spreadsheet!$E187,SAP_Spreadsheet!AP$6)</f>
        <v>9.1360069011840739E-3</v>
      </c>
      <c r="AQ187" s="263">
        <f ca="1">AP186*OFFSET(SAP_Leadsheet!$D$102,SAP_Spreadsheet!$E187,SAP_Spreadsheet!AQ$6)</f>
        <v>8.8960271303133095E-3</v>
      </c>
      <c r="AR187" s="263">
        <f ca="1">AQ186*OFFSET(SAP_Leadsheet!$D$102,SAP_Spreadsheet!$E187,SAP_Spreadsheet!AR$6)</f>
        <v>8.9534821240462512E-3</v>
      </c>
      <c r="AS187" s="263">
        <f ca="1">AR186*OFFSET(SAP_Leadsheet!$D$102,SAP_Spreadsheet!$E187,SAP_Spreadsheet!AS$6)</f>
        <v>8.6726823803135369E-3</v>
      </c>
      <c r="AT187" s="263">
        <f ca="1">AS186*OFFSET(SAP_Leadsheet!$D$102,SAP_Spreadsheet!$E187,SAP_Spreadsheet!AT$6)</f>
        <v>8.317910757416596E-3</v>
      </c>
      <c r="AU187" s="263">
        <f ca="1">AT186*OFFSET(SAP_Leadsheet!$D$102,SAP_Spreadsheet!$E187,SAP_Spreadsheet!AU$6)</f>
        <v>7.7019578611884042E-3</v>
      </c>
      <c r="AV187" s="263">
        <f ca="1">AU186*OFFSET(SAP_Leadsheet!$D$102,SAP_Spreadsheet!$E187,SAP_Spreadsheet!AV$6)</f>
        <v>6.1944054910764556E-3</v>
      </c>
      <c r="AW187" s="263">
        <f ca="1">AV186*OFFSET(SAP_Leadsheet!$D$102,SAP_Spreadsheet!$E187,SAP_Spreadsheet!AW$6)</f>
        <v>6.0572895024717062E-3</v>
      </c>
      <c r="AX187" s="263">
        <f ca="1">AW186*OFFSET(SAP_Leadsheet!$D$102,SAP_Spreadsheet!$E187,SAP_Spreadsheet!AX$6)</f>
        <v>5.9452343410053513E-3</v>
      </c>
      <c r="AY187" s="263">
        <f ca="1">AX186*OFFSET(SAP_Leadsheet!$D$102,SAP_Spreadsheet!$E187,SAP_Spreadsheet!AY$6)</f>
        <v>5.8453048482820001E-3</v>
      </c>
      <c r="AZ187" s="263">
        <f ca="1">AY186*OFFSET(SAP_Leadsheet!$D$102,SAP_Spreadsheet!$E187,SAP_Spreadsheet!AZ$6)</f>
        <v>5.7478121516533198E-3</v>
      </c>
      <c r="BA187" s="263">
        <f ca="1">AZ186*OFFSET(SAP_Leadsheet!$D$102,SAP_Spreadsheet!$E187,SAP_Spreadsheet!BA$6)</f>
        <v>5.6490517871555122E-3</v>
      </c>
      <c r="BB187" s="263">
        <f ca="1">BA186*OFFSET(SAP_Leadsheet!$D$102,SAP_Spreadsheet!$E187,SAP_Spreadsheet!BB$6)</f>
        <v>5.548492065383894E-3</v>
      </c>
      <c r="BC187" s="263">
        <f ca="1">BB186*OFFSET(SAP_Leadsheet!$D$102,SAP_Spreadsheet!$E187,SAP_Spreadsheet!BC$6)</f>
        <v>5.4453190010843727E-3</v>
      </c>
      <c r="BD187" s="263">
        <f ca="1">BC186*OFFSET(SAP_Leadsheet!$D$102,SAP_Spreadsheet!$E187,SAP_Spreadsheet!BD$6)</f>
        <v>5.3382649733086235E-3</v>
      </c>
      <c r="BE187" s="263">
        <f ca="1">BD186*OFFSET(SAP_Leadsheet!$D$102,SAP_Spreadsheet!$E187,SAP_Spreadsheet!BE$6)</f>
        <v>5.2231863730353347E-3</v>
      </c>
      <c r="BF187" s="263">
        <f ca="1">BE186*OFFSET(SAP_Leadsheet!$D$102,SAP_Spreadsheet!$E187,SAP_Spreadsheet!BF$6)</f>
        <v>5.0962413428008672E-3</v>
      </c>
      <c r="BG187" s="263">
        <f ca="1">BF186*OFFSET(SAP_Leadsheet!$D$102,SAP_Spreadsheet!$E187,SAP_Spreadsheet!BG$6)</f>
        <v>4.9612682847498422E-3</v>
      </c>
      <c r="BH187" s="263">
        <f ca="1">BG186*OFFSET(SAP_Leadsheet!$D$102,SAP_Spreadsheet!$E187,SAP_Spreadsheet!BH$6)</f>
        <v>4.2439528837327723E-3</v>
      </c>
      <c r="BI187" s="263">
        <f ca="1">BH186*OFFSET(SAP_Leadsheet!$D$102,SAP_Spreadsheet!$E187,SAP_Spreadsheet!BI$6)</f>
        <v>4.1375814161490341E-3</v>
      </c>
      <c r="BJ187" s="263">
        <f ca="1">BI186*OFFSET(SAP_Leadsheet!$D$102,SAP_Spreadsheet!$E187,SAP_Spreadsheet!BJ$6)</f>
        <v>4.0314727152146578E-3</v>
      </c>
      <c r="BK187" s="263">
        <f ca="1">BJ186*OFFSET(SAP_Leadsheet!$D$102,SAP_Spreadsheet!$E187,SAP_Spreadsheet!BK$6)</f>
        <v>3.9263032926981052E-3</v>
      </c>
      <c r="BL187" s="263">
        <f ca="1">BK186*OFFSET(SAP_Leadsheet!$D$102,SAP_Spreadsheet!$E187,SAP_Spreadsheet!BL$6)</f>
        <v>3.8216300615233588E-3</v>
      </c>
      <c r="BM187" s="263">
        <f ca="1">BL186*OFFSET(SAP_Leadsheet!$D$102,SAP_Spreadsheet!$E187,SAP_Spreadsheet!BM$6)</f>
        <v>3.7171812678312164E-3</v>
      </c>
      <c r="BN187" s="263">
        <f ca="1">BM186*OFFSET(SAP_Leadsheet!$D$102,SAP_Spreadsheet!$E187,SAP_Spreadsheet!BN$6)</f>
        <v>3.6126285263233804E-3</v>
      </c>
      <c r="BO187" s="263">
        <f ca="1">BN186*OFFSET(SAP_Leadsheet!$D$102,SAP_Spreadsheet!$E187,SAP_Spreadsheet!BC$6)</f>
        <v>3.5078126052784926E-3</v>
      </c>
      <c r="BP187" s="263">
        <f ca="1">BO186*OFFSET(SAP_Leadsheet!$D$102,SAP_Spreadsheet!$E187,SAP_Spreadsheet!BD$6)</f>
        <v>3.4027088000736041E-3</v>
      </c>
      <c r="BQ187" s="263">
        <f ca="1">BP186*OFFSET(SAP_Leadsheet!$D$102,SAP_Spreadsheet!$E187,SAP_Spreadsheet!BE$6)</f>
        <v>3.2960801748689534E-3</v>
      </c>
      <c r="BR187" s="263">
        <f ca="1">BQ186*OFFSET(SAP_Leadsheet!$D$102,SAP_Spreadsheet!$E187,SAP_Spreadsheet!BF$6)</f>
        <v>3.1859134862491974E-3</v>
      </c>
      <c r="BS187" s="263">
        <f ca="1">BR186*OFFSET(SAP_Leadsheet!$D$102,SAP_Spreadsheet!$E187,SAP_Spreadsheet!BG$6)</f>
        <v>3.0731532051392545E-3</v>
      </c>
      <c r="BT187" s="263">
        <f ca="1">BS186*OFFSET(SAP_Leadsheet!$D$102,SAP_Spreadsheet!$E187,SAP_Spreadsheet!BH$6)</f>
        <v>2.9591280322458918E-3</v>
      </c>
      <c r="BU187" s="263">
        <f ca="1">BT186*OFFSET(SAP_Leadsheet!$D$102,SAP_Spreadsheet!$E187,SAP_Spreadsheet!BI$6)</f>
        <v>0</v>
      </c>
      <c r="BV187" s="263">
        <f ca="1">BU186*OFFSET(SAP_Leadsheet!$D$102,SAP_Spreadsheet!$E187,SAP_Spreadsheet!BJ$6)</f>
        <v>0</v>
      </c>
      <c r="BW187" s="263">
        <f ca="1">BV186*OFFSET(SAP_Leadsheet!$D$102,SAP_Spreadsheet!$E187,SAP_Spreadsheet!BK$6)</f>
        <v>0</v>
      </c>
      <c r="BX187" s="263">
        <f ca="1">BW186*OFFSET(SAP_Leadsheet!$D$102,SAP_Spreadsheet!$E187,SAP_Spreadsheet!BL$6)</f>
        <v>0</v>
      </c>
      <c r="BY187" s="263">
        <f ca="1">BX186*OFFSET(SAP_Leadsheet!$D$102,SAP_Spreadsheet!$E187,SAP_Spreadsheet!BM$6)</f>
        <v>0</v>
      </c>
      <c r="BZ187" s="263">
        <f ca="1">BY186*OFFSET(SAP_Leadsheet!$D$102,SAP_Spreadsheet!$E187,SAP_Spreadsheet!BN$6)</f>
        <v>0</v>
      </c>
      <c r="CA187" s="254"/>
      <c r="CB187" s="254"/>
      <c r="CC187" s="254"/>
      <c r="CD187" s="254"/>
      <c r="CE187" s="254"/>
      <c r="CF187" s="254"/>
      <c r="CG187" s="254"/>
      <c r="CH187" s="254"/>
      <c r="CI187" s="254"/>
      <c r="CJ187" s="254"/>
      <c r="CK187" s="254"/>
      <c r="CL187" s="254"/>
    </row>
    <row r="188" spans="1:90" x14ac:dyDescent="0.15">
      <c r="B188" s="198"/>
      <c r="D188" s="282" t="s">
        <v>289</v>
      </c>
      <c r="E188" s="26">
        <v>7</v>
      </c>
      <c r="F188" s="26" t="s">
        <v>341</v>
      </c>
      <c r="G188" s="263"/>
      <c r="H188" s="263">
        <f ca="1">G187*OFFSET(SAP_Leadsheet!$D$102,SAP_Spreadsheet!$E188,SAP_Spreadsheet!H$6)</f>
        <v>0</v>
      </c>
      <c r="I188" s="263">
        <f ca="1">H187*OFFSET(SAP_Leadsheet!$D$102,SAP_Spreadsheet!$E188,SAP_Spreadsheet!I$6)</f>
        <v>0</v>
      </c>
      <c r="J188" s="263">
        <f ca="1">I187*OFFSET(SAP_Leadsheet!$D$102,SAP_Spreadsheet!$E188,SAP_Spreadsheet!J$6)</f>
        <v>0</v>
      </c>
      <c r="K188" s="263">
        <f ca="1">J187*OFFSET(SAP_Leadsheet!$D$102,SAP_Spreadsheet!$E188,SAP_Spreadsheet!K$6)</f>
        <v>0</v>
      </c>
      <c r="L188" s="263">
        <f ca="1">K187*OFFSET(SAP_Leadsheet!$D$102,SAP_Spreadsheet!$E188,SAP_Spreadsheet!L$6)</f>
        <v>0</v>
      </c>
      <c r="M188" s="263">
        <f ca="1">L187*OFFSET(SAP_Leadsheet!$D$102,SAP_Spreadsheet!$E188,SAP_Spreadsheet!M$6)</f>
        <v>0</v>
      </c>
      <c r="N188" s="263">
        <f ca="1">M187*OFFSET(SAP_Leadsheet!$D$102,SAP_Spreadsheet!$E188,SAP_Spreadsheet!N$6)</f>
        <v>2.4311080044447108E-2</v>
      </c>
      <c r="O188" s="263">
        <f ca="1">N187*OFFSET(SAP_Leadsheet!$D$102,SAP_Spreadsheet!$E188,SAP_Spreadsheet!O$6)</f>
        <v>4.2854189764466775E-2</v>
      </c>
      <c r="P188" s="263">
        <f ca="1">O187*OFFSET(SAP_Leadsheet!$D$102,SAP_Spreadsheet!$E188,SAP_Spreadsheet!P$6)</f>
        <v>5.0409684538960997E-2</v>
      </c>
      <c r="Q188" s="263">
        <f ca="1">P187*OFFSET(SAP_Leadsheet!$D$102,SAP_Spreadsheet!$E188,SAP_Spreadsheet!Q$6)</f>
        <v>5.0145547592013104E-2</v>
      </c>
      <c r="R188" s="263">
        <f ca="1">Q187*OFFSET(SAP_Leadsheet!$D$102,SAP_Spreadsheet!$E188,SAP_Spreadsheet!R$6)</f>
        <v>4.6109849549855225E-2</v>
      </c>
      <c r="S188" s="263">
        <f ca="1">R187*OFFSET(SAP_Leadsheet!$D$102,SAP_Spreadsheet!$E188,SAP_Spreadsheet!S$6)</f>
        <v>4.06945807410109E-2</v>
      </c>
      <c r="T188" s="263">
        <f ca="1">S187*OFFSET(SAP_Leadsheet!$D$102,SAP_Spreadsheet!$E188,SAP_Spreadsheet!T$6)</f>
        <v>3.4420877065781695E-2</v>
      </c>
      <c r="U188" s="263">
        <f ca="1">T187*OFFSET(SAP_Leadsheet!$D$102,SAP_Spreadsheet!$E188,SAP_Spreadsheet!U$6)</f>
        <v>2.9576269966928918E-2</v>
      </c>
      <c r="V188" s="263">
        <f ca="1">U187*OFFSET(SAP_Leadsheet!$D$102,SAP_Spreadsheet!$E188,SAP_Spreadsheet!V$6)</f>
        <v>2.5402967644451022E-2</v>
      </c>
      <c r="W188" s="263">
        <f ca="1">V187*OFFSET(SAP_Leadsheet!$D$102,SAP_Spreadsheet!$E188,SAP_Spreadsheet!W$6)</f>
        <v>2.1631469521173605E-2</v>
      </c>
      <c r="X188" s="263">
        <f ca="1">W187*OFFSET(SAP_Leadsheet!$D$102,SAP_Spreadsheet!$E188,SAP_Spreadsheet!X$6)</f>
        <v>1.8482536860721828E-2</v>
      </c>
      <c r="Y188" s="263">
        <f ca="1">X187*OFFSET(SAP_Leadsheet!$D$102,SAP_Spreadsheet!$E188,SAP_Spreadsheet!Y$6)</f>
        <v>9.2824174646438558E-3</v>
      </c>
      <c r="Z188" s="263">
        <f ca="1">Y187*OFFSET(SAP_Leadsheet!$D$102,SAP_Spreadsheet!$E188,SAP_Spreadsheet!Z$6)</f>
        <v>9.5290500416414618E-3</v>
      </c>
      <c r="AA188" s="263">
        <f ca="1">Z187*OFFSET(SAP_Leadsheet!$D$102,SAP_Spreadsheet!$E188,SAP_Spreadsheet!AA$6)</f>
        <v>1.0965717377576583E-2</v>
      </c>
      <c r="AB188" s="263">
        <f ca="1">AA187*OFFSET(SAP_Leadsheet!$D$102,SAP_Spreadsheet!$E188,SAP_Spreadsheet!AB$6)</f>
        <v>1.1308202951319981E-2</v>
      </c>
      <c r="AC188" s="263">
        <f ca="1">AB187*OFFSET(SAP_Leadsheet!$D$102,SAP_Spreadsheet!$E188,SAP_Spreadsheet!AC$6)</f>
        <v>1.0767064780283341E-2</v>
      </c>
      <c r="AD188" s="263">
        <f ca="1">AC187*OFFSET(SAP_Leadsheet!$D$102,SAP_Spreadsheet!$E188,SAP_Spreadsheet!AD$6)</f>
        <v>1.0903623003937612E-2</v>
      </c>
      <c r="AE188" s="263">
        <f ca="1">AD187*OFFSET(SAP_Leadsheet!$D$102,SAP_Spreadsheet!$E188,SAP_Spreadsheet!AE$6)</f>
        <v>1.121341386829695E-2</v>
      </c>
      <c r="AF188" s="263">
        <f ca="1">AE187*OFFSET(SAP_Leadsheet!$D$102,SAP_Spreadsheet!$E188,SAP_Spreadsheet!AF$6)</f>
        <v>1.1435272968155037E-2</v>
      </c>
      <c r="AG188" s="263">
        <f ca="1">AF187*OFFSET(SAP_Leadsheet!$D$102,SAP_Spreadsheet!$E188,SAP_Spreadsheet!AG$6)</f>
        <v>1.1564055462820312E-2</v>
      </c>
      <c r="AH188" s="263">
        <f ca="1">AG187*OFFSET(SAP_Leadsheet!$D$102,SAP_Spreadsheet!$E188,SAP_Spreadsheet!AH$6)</f>
        <v>1.1162317329544194E-2</v>
      </c>
      <c r="AI188" s="263">
        <f ca="1">AH187*OFFSET(SAP_Leadsheet!$D$102,SAP_Spreadsheet!$E188,SAP_Spreadsheet!AI$6)</f>
        <v>1.046595221648264E-2</v>
      </c>
      <c r="AJ188" s="263">
        <f ca="1">AI187*OFFSET(SAP_Leadsheet!$D$102,SAP_Spreadsheet!$E188,SAP_Spreadsheet!AJ$6)</f>
        <v>1.0185514993488017E-2</v>
      </c>
      <c r="AK188" s="263">
        <f ca="1">AJ187*OFFSET(SAP_Leadsheet!$D$102,SAP_Spreadsheet!$E188,SAP_Spreadsheet!AK$6)</f>
        <v>8.3330392866375839E-3</v>
      </c>
      <c r="AL188" s="263">
        <f ca="1">AK187*OFFSET(SAP_Leadsheet!$D$102,SAP_Spreadsheet!$E188,SAP_Spreadsheet!AL$6)</f>
        <v>8.5032863954991583E-3</v>
      </c>
      <c r="AM188" s="263">
        <f ca="1">AL187*OFFSET(SAP_Leadsheet!$D$102,SAP_Spreadsheet!$E188,SAP_Spreadsheet!AM$6)</f>
        <v>9.0262469754481527E-3</v>
      </c>
      <c r="AN188" s="263">
        <f ca="1">AM187*OFFSET(SAP_Leadsheet!$D$102,SAP_Spreadsheet!$E188,SAP_Spreadsheet!AN$6)</f>
        <v>9.349269002695575E-3</v>
      </c>
      <c r="AO188" s="263">
        <f ca="1">AN187*OFFSET(SAP_Leadsheet!$D$102,SAP_Spreadsheet!$E188,SAP_Spreadsheet!AO$6)</f>
        <v>9.3952584137942437E-3</v>
      </c>
      <c r="AP188" s="263">
        <f ca="1">AO187*OFFSET(SAP_Leadsheet!$D$102,SAP_Spreadsheet!$E188,SAP_Spreadsheet!AP$6)</f>
        <v>9.2600096982636132E-3</v>
      </c>
      <c r="AQ188" s="263">
        <f ca="1">AP187*OFFSET(SAP_Leadsheet!$D$102,SAP_Spreadsheet!$E188,SAP_Spreadsheet!AQ$6)</f>
        <v>9.0446468321722338E-3</v>
      </c>
      <c r="AR188" s="263">
        <f ca="1">AQ187*OFFSET(SAP_Leadsheet!$D$102,SAP_Spreadsheet!$E188,SAP_Spreadsheet!AR$6)</f>
        <v>8.807066859010176E-3</v>
      </c>
      <c r="AS188" s="263">
        <f ca="1">AR187*OFFSET(SAP_Leadsheet!$D$102,SAP_Spreadsheet!$E188,SAP_Spreadsheet!AS$6)</f>
        <v>8.8639473028057879E-3</v>
      </c>
      <c r="AT188" s="263">
        <f ca="1">AS187*OFFSET(SAP_Leadsheet!$D$102,SAP_Spreadsheet!$E188,SAP_Spreadsheet!AT$6)</f>
        <v>8.5859555565104013E-3</v>
      </c>
      <c r="AU188" s="263">
        <f ca="1">AT187*OFFSET(SAP_Leadsheet!$D$102,SAP_Spreadsheet!$E188,SAP_Spreadsheet!AU$6)</f>
        <v>8.2347316498424302E-3</v>
      </c>
      <c r="AV188" s="263">
        <f ca="1">AU187*OFFSET(SAP_Leadsheet!$D$102,SAP_Spreadsheet!$E188,SAP_Spreadsheet!AV$6)</f>
        <v>7.6249382825765199E-3</v>
      </c>
      <c r="AW188" s="263">
        <f ca="1">AV187*OFFSET(SAP_Leadsheet!$D$102,SAP_Spreadsheet!$E188,SAP_Spreadsheet!AW$6)</f>
        <v>6.1324614361656909E-3</v>
      </c>
      <c r="AX188" s="263">
        <f ca="1">AW187*OFFSET(SAP_Leadsheet!$D$102,SAP_Spreadsheet!$E188,SAP_Spreadsheet!AX$6)</f>
        <v>5.9967166074469894E-3</v>
      </c>
      <c r="AY188" s="263">
        <f ca="1">AX187*OFFSET(SAP_Leadsheet!$D$102,SAP_Spreadsheet!$E188,SAP_Spreadsheet!AY$6)</f>
        <v>5.8857819975952977E-3</v>
      </c>
      <c r="AZ188" s="263">
        <f ca="1">AY187*OFFSET(SAP_Leadsheet!$D$102,SAP_Spreadsheet!$E188,SAP_Spreadsheet!AZ$6)</f>
        <v>5.78685179979918E-3</v>
      </c>
      <c r="BA188" s="263">
        <f ca="1">AZ187*OFFSET(SAP_Leadsheet!$D$102,SAP_Spreadsheet!$E188,SAP_Spreadsheet!BA$6)</f>
        <v>5.6903340301367863E-3</v>
      </c>
      <c r="BB188" s="263">
        <f ca="1">BA187*OFFSET(SAP_Leadsheet!$D$102,SAP_Spreadsheet!$E188,SAP_Spreadsheet!BB$6)</f>
        <v>5.5925612692839573E-3</v>
      </c>
      <c r="BC188" s="263">
        <f ca="1">BB187*OFFSET(SAP_Leadsheet!$D$102,SAP_Spreadsheet!$E188,SAP_Spreadsheet!BC$6)</f>
        <v>5.4930071447300546E-3</v>
      </c>
      <c r="BD188" s="263">
        <f ca="1">BC187*OFFSET(SAP_Leadsheet!$D$102,SAP_Spreadsheet!$E188,SAP_Spreadsheet!BD$6)</f>
        <v>5.3908658110735285E-3</v>
      </c>
      <c r="BE188" s="263">
        <f ca="1">BD187*OFFSET(SAP_Leadsheet!$D$102,SAP_Spreadsheet!$E188,SAP_Spreadsheet!BE$6)</f>
        <v>5.2848823235755373E-3</v>
      </c>
      <c r="BF188" s="263">
        <f ca="1">BE187*OFFSET(SAP_Leadsheet!$D$102,SAP_Spreadsheet!$E188,SAP_Spreadsheet!BF$6)</f>
        <v>5.1709545093049812E-3</v>
      </c>
      <c r="BG188" s="263">
        <f ca="1">BF187*OFFSET(SAP_Leadsheet!$D$102,SAP_Spreadsheet!$E188,SAP_Spreadsheet!BG$6)</f>
        <v>5.0452789293728584E-3</v>
      </c>
      <c r="BH188" s="263">
        <f ca="1">BG187*OFFSET(SAP_Leadsheet!$D$102,SAP_Spreadsheet!$E188,SAP_Spreadsheet!BH$6)</f>
        <v>4.911655601902344E-3</v>
      </c>
      <c r="BI188" s="263">
        <f ca="1">BH187*OFFSET(SAP_Leadsheet!$D$102,SAP_Spreadsheet!$E188,SAP_Spreadsheet!BI$6)</f>
        <v>4.2015133548954442E-3</v>
      </c>
      <c r="BJ188" s="263">
        <f ca="1">BI187*OFFSET(SAP_Leadsheet!$D$102,SAP_Spreadsheet!$E188,SAP_Spreadsheet!BJ$6)</f>
        <v>4.0962056019875435E-3</v>
      </c>
      <c r="BK188" s="263">
        <f ca="1">BJ187*OFFSET(SAP_Leadsheet!$D$102,SAP_Spreadsheet!$E188,SAP_Spreadsheet!BK$6)</f>
        <v>3.9911579880625115E-3</v>
      </c>
      <c r="BL188" s="263">
        <f ca="1">BK187*OFFSET(SAP_Leadsheet!$D$102,SAP_Spreadsheet!$E188,SAP_Spreadsheet!BL$6)</f>
        <v>3.8870402597711243E-3</v>
      </c>
      <c r="BM188" s="263">
        <f ca="1">BL187*OFFSET(SAP_Leadsheet!$D$102,SAP_Spreadsheet!$E188,SAP_Spreadsheet!BM$6)</f>
        <v>3.7834137609081254E-3</v>
      </c>
      <c r="BN188" s="263">
        <f ca="1">BM187*OFFSET(SAP_Leadsheet!$D$102,SAP_Spreadsheet!$E188,SAP_Spreadsheet!BN$6)</f>
        <v>3.6800094551529042E-3</v>
      </c>
      <c r="BO188" s="263">
        <f ca="1">BN187*OFFSET(SAP_Leadsheet!$D$102,SAP_Spreadsheet!$E188,SAP_Spreadsheet!BC$6)</f>
        <v>3.5765022410601467E-3</v>
      </c>
      <c r="BP188" s="263">
        <f ca="1">BO187*OFFSET(SAP_Leadsheet!$D$102,SAP_Spreadsheet!$E188,SAP_Spreadsheet!BD$6)</f>
        <v>3.4727344792257076E-3</v>
      </c>
      <c r="BQ188" s="263">
        <f ca="1">BP187*OFFSET(SAP_Leadsheet!$D$102,SAP_Spreadsheet!$E188,SAP_Spreadsheet!BE$6)</f>
        <v>3.3686817120728682E-3</v>
      </c>
      <c r="BR188" s="263">
        <f ca="1">BQ187*OFFSET(SAP_Leadsheet!$D$102,SAP_Spreadsheet!$E188,SAP_Spreadsheet!BF$6)</f>
        <v>3.2631193731202639E-3</v>
      </c>
      <c r="BS188" s="263">
        <f ca="1">BR187*OFFSET(SAP_Leadsheet!$D$102,SAP_Spreadsheet!$E188,SAP_Spreadsheet!BG$6)</f>
        <v>3.1540543513867056E-3</v>
      </c>
      <c r="BT188" s="263">
        <f ca="1">BS187*OFFSET(SAP_Leadsheet!$D$102,SAP_Spreadsheet!$E188,SAP_Spreadsheet!BH$6)</f>
        <v>3.0424216730878619E-3</v>
      </c>
      <c r="BU188" s="263">
        <f ca="1">BT187*OFFSET(SAP_Leadsheet!$D$102,SAP_Spreadsheet!$E188,SAP_Spreadsheet!BI$6)</f>
        <v>2.9295367519234328E-3</v>
      </c>
      <c r="BV188" s="263">
        <f ca="1">BU187*OFFSET(SAP_Leadsheet!$D$102,SAP_Spreadsheet!$E188,SAP_Spreadsheet!BJ$6)</f>
        <v>0</v>
      </c>
      <c r="BW188" s="263">
        <f ca="1">BV187*OFFSET(SAP_Leadsheet!$D$102,SAP_Spreadsheet!$E188,SAP_Spreadsheet!BK$6)</f>
        <v>0</v>
      </c>
      <c r="BX188" s="263">
        <f ca="1">BW187*OFFSET(SAP_Leadsheet!$D$102,SAP_Spreadsheet!$E188,SAP_Spreadsheet!BL$6)</f>
        <v>0</v>
      </c>
      <c r="BY188" s="263">
        <f ca="1">BX187*OFFSET(SAP_Leadsheet!$D$102,SAP_Spreadsheet!$E188,SAP_Spreadsheet!BM$6)</f>
        <v>0</v>
      </c>
      <c r="BZ188" s="263">
        <f ca="1">BY187*OFFSET(SAP_Leadsheet!$D$102,SAP_Spreadsheet!$E188,SAP_Spreadsheet!BN$6)</f>
        <v>0</v>
      </c>
      <c r="CA188" s="254"/>
      <c r="CB188" s="254"/>
      <c r="CC188" s="254"/>
      <c r="CD188" s="254"/>
      <c r="CE188" s="254"/>
      <c r="CF188" s="254"/>
      <c r="CG188" s="254"/>
      <c r="CH188" s="254"/>
      <c r="CI188" s="254"/>
      <c r="CJ188" s="254"/>
      <c r="CK188" s="254"/>
      <c r="CL188" s="254"/>
    </row>
    <row r="189" spans="1:90" x14ac:dyDescent="0.15">
      <c r="B189" s="198"/>
      <c r="D189" s="282" t="s">
        <v>290</v>
      </c>
      <c r="E189" s="26">
        <v>8</v>
      </c>
      <c r="F189" s="26" t="s">
        <v>341</v>
      </c>
      <c r="G189" s="263"/>
      <c r="H189" s="263">
        <f ca="1">G188*OFFSET(SAP_Leadsheet!$D$102,SAP_Spreadsheet!$E189,SAP_Spreadsheet!H$6)</f>
        <v>0</v>
      </c>
      <c r="I189" s="263">
        <f ca="1">H188*OFFSET(SAP_Leadsheet!$D$102,SAP_Spreadsheet!$E189,SAP_Spreadsheet!I$6)</f>
        <v>0</v>
      </c>
      <c r="J189" s="263">
        <f ca="1">I188*OFFSET(SAP_Leadsheet!$D$102,SAP_Spreadsheet!$E189,SAP_Spreadsheet!J$6)</f>
        <v>0</v>
      </c>
      <c r="K189" s="263">
        <f ca="1">J188*OFFSET(SAP_Leadsheet!$D$102,SAP_Spreadsheet!$E189,SAP_Spreadsheet!K$6)</f>
        <v>0</v>
      </c>
      <c r="L189" s="263">
        <f ca="1">K188*OFFSET(SAP_Leadsheet!$D$102,SAP_Spreadsheet!$E189,SAP_Spreadsheet!L$6)</f>
        <v>0</v>
      </c>
      <c r="M189" s="263">
        <f ca="1">L188*OFFSET(SAP_Leadsheet!$D$102,SAP_Spreadsheet!$E189,SAP_Spreadsheet!M$6)</f>
        <v>0</v>
      </c>
      <c r="N189" s="263">
        <f ca="1">M188*OFFSET(SAP_Leadsheet!$D$102,SAP_Spreadsheet!$E189,SAP_Spreadsheet!N$6)</f>
        <v>0</v>
      </c>
      <c r="O189" s="263">
        <f ca="1">N188*OFFSET(SAP_Leadsheet!$D$102,SAP_Spreadsheet!$E189,SAP_Spreadsheet!O$6)</f>
        <v>2.4311080044447108E-2</v>
      </c>
      <c r="P189" s="263">
        <f ca="1">O188*OFFSET(SAP_Leadsheet!$D$102,SAP_Spreadsheet!$E189,SAP_Spreadsheet!P$6)</f>
        <v>4.2854189764466775E-2</v>
      </c>
      <c r="Q189" s="263">
        <f ca="1">P188*OFFSET(SAP_Leadsheet!$D$102,SAP_Spreadsheet!$E189,SAP_Spreadsheet!Q$6)</f>
        <v>5.0409684538960997E-2</v>
      </c>
      <c r="R189" s="263">
        <f ca="1">Q188*OFFSET(SAP_Leadsheet!$D$102,SAP_Spreadsheet!$E189,SAP_Spreadsheet!R$6)</f>
        <v>5.0145547592013104E-2</v>
      </c>
      <c r="S189" s="263">
        <f ca="1">R188*OFFSET(SAP_Leadsheet!$D$102,SAP_Spreadsheet!$E189,SAP_Spreadsheet!S$6)</f>
        <v>4.6109849549855225E-2</v>
      </c>
      <c r="T189" s="263">
        <f ca="1">S188*OFFSET(SAP_Leadsheet!$D$102,SAP_Spreadsheet!$E189,SAP_Spreadsheet!T$6)</f>
        <v>4.06945807410109E-2</v>
      </c>
      <c r="U189" s="263">
        <f ca="1">T188*OFFSET(SAP_Leadsheet!$D$102,SAP_Spreadsheet!$E189,SAP_Spreadsheet!U$6)</f>
        <v>3.4420877065781695E-2</v>
      </c>
      <c r="V189" s="263">
        <f ca="1">U188*OFFSET(SAP_Leadsheet!$D$102,SAP_Spreadsheet!$E189,SAP_Spreadsheet!V$6)</f>
        <v>2.9576269966928918E-2</v>
      </c>
      <c r="W189" s="263">
        <f ca="1">V188*OFFSET(SAP_Leadsheet!$D$102,SAP_Spreadsheet!$E189,SAP_Spreadsheet!W$6)</f>
        <v>2.5402967644451022E-2</v>
      </c>
      <c r="X189" s="263">
        <f ca="1">W188*OFFSET(SAP_Leadsheet!$D$102,SAP_Spreadsheet!$E189,SAP_Spreadsheet!X$6)</f>
        <v>2.1631469521173605E-2</v>
      </c>
      <c r="Y189" s="263">
        <f ca="1">X188*OFFSET(SAP_Leadsheet!$D$102,SAP_Spreadsheet!$E189,SAP_Spreadsheet!Y$6)</f>
        <v>1.8482536860721828E-2</v>
      </c>
      <c r="Z189" s="263">
        <f ca="1">Y188*OFFSET(SAP_Leadsheet!$D$102,SAP_Spreadsheet!$E189,SAP_Spreadsheet!Z$6)</f>
        <v>9.2824174646438558E-3</v>
      </c>
      <c r="AA189" s="263">
        <f ca="1">Z188*OFFSET(SAP_Leadsheet!$D$102,SAP_Spreadsheet!$E189,SAP_Spreadsheet!AA$6)</f>
        <v>9.5290500416414618E-3</v>
      </c>
      <c r="AB189" s="263">
        <f ca="1">AA188*OFFSET(SAP_Leadsheet!$D$102,SAP_Spreadsheet!$E189,SAP_Spreadsheet!AB$6)</f>
        <v>1.0965717377576583E-2</v>
      </c>
      <c r="AC189" s="263">
        <f ca="1">AB188*OFFSET(SAP_Leadsheet!$D$102,SAP_Spreadsheet!$E189,SAP_Spreadsheet!AC$6)</f>
        <v>1.1308202951319981E-2</v>
      </c>
      <c r="AD189" s="263">
        <f ca="1">AC188*OFFSET(SAP_Leadsheet!$D$102,SAP_Spreadsheet!$E189,SAP_Spreadsheet!AD$6)</f>
        <v>1.0767064780283341E-2</v>
      </c>
      <c r="AE189" s="263">
        <f ca="1">AD188*OFFSET(SAP_Leadsheet!$D$102,SAP_Spreadsheet!$E189,SAP_Spreadsheet!AE$6)</f>
        <v>1.0903623003937612E-2</v>
      </c>
      <c r="AF189" s="263">
        <f ca="1">AE188*OFFSET(SAP_Leadsheet!$D$102,SAP_Spreadsheet!$E189,SAP_Spreadsheet!AF$6)</f>
        <v>1.121341386829695E-2</v>
      </c>
      <c r="AG189" s="263">
        <f ca="1">AF188*OFFSET(SAP_Leadsheet!$D$102,SAP_Spreadsheet!$E189,SAP_Spreadsheet!AG$6)</f>
        <v>1.1435272968155037E-2</v>
      </c>
      <c r="AH189" s="263">
        <f ca="1">AG188*OFFSET(SAP_Leadsheet!$D$102,SAP_Spreadsheet!$E189,SAP_Spreadsheet!AH$6)</f>
        <v>1.1564055462820312E-2</v>
      </c>
      <c r="AI189" s="263">
        <f ca="1">AH188*OFFSET(SAP_Leadsheet!$D$102,SAP_Spreadsheet!$E189,SAP_Spreadsheet!AI$6)</f>
        <v>1.1162317329544194E-2</v>
      </c>
      <c r="AJ189" s="263">
        <f ca="1">AI188*OFFSET(SAP_Leadsheet!$D$102,SAP_Spreadsheet!$E189,SAP_Spreadsheet!AJ$6)</f>
        <v>1.046595221648264E-2</v>
      </c>
      <c r="AK189" s="263">
        <f ca="1">AJ188*OFFSET(SAP_Leadsheet!$D$102,SAP_Spreadsheet!$E189,SAP_Spreadsheet!AK$6)</f>
        <v>1.0185514993488017E-2</v>
      </c>
      <c r="AL189" s="263">
        <f ca="1">AK188*OFFSET(SAP_Leadsheet!$D$102,SAP_Spreadsheet!$E189,SAP_Spreadsheet!AL$6)</f>
        <v>8.3330392866375839E-3</v>
      </c>
      <c r="AM189" s="263">
        <f ca="1">AL188*OFFSET(SAP_Leadsheet!$D$102,SAP_Spreadsheet!$E189,SAP_Spreadsheet!AM$6)</f>
        <v>8.5032863954991583E-3</v>
      </c>
      <c r="AN189" s="263">
        <f ca="1">AM188*OFFSET(SAP_Leadsheet!$D$102,SAP_Spreadsheet!$E189,SAP_Spreadsheet!AN$6)</f>
        <v>9.0262469754481527E-3</v>
      </c>
      <c r="AO189" s="263">
        <f ca="1">AN188*OFFSET(SAP_Leadsheet!$D$102,SAP_Spreadsheet!$E189,SAP_Spreadsheet!AO$6)</f>
        <v>9.349269002695575E-3</v>
      </c>
      <c r="AP189" s="263">
        <f ca="1">AO188*OFFSET(SAP_Leadsheet!$D$102,SAP_Spreadsheet!$E189,SAP_Spreadsheet!AP$6)</f>
        <v>9.3952584137942437E-3</v>
      </c>
      <c r="AQ189" s="263">
        <f ca="1">AP188*OFFSET(SAP_Leadsheet!$D$102,SAP_Spreadsheet!$E189,SAP_Spreadsheet!AQ$6)</f>
        <v>9.2600096982636132E-3</v>
      </c>
      <c r="AR189" s="263">
        <f ca="1">AQ188*OFFSET(SAP_Leadsheet!$D$102,SAP_Spreadsheet!$E189,SAP_Spreadsheet!AR$6)</f>
        <v>9.0446468321722338E-3</v>
      </c>
      <c r="AS189" s="263">
        <f ca="1">AR188*OFFSET(SAP_Leadsheet!$D$102,SAP_Spreadsheet!$E189,SAP_Spreadsheet!AS$6)</f>
        <v>8.807066859010176E-3</v>
      </c>
      <c r="AT189" s="263">
        <f ca="1">AS188*OFFSET(SAP_Leadsheet!$D$102,SAP_Spreadsheet!$E189,SAP_Spreadsheet!AT$6)</f>
        <v>8.8639473028057879E-3</v>
      </c>
      <c r="AU189" s="263">
        <f ca="1">AT188*OFFSET(SAP_Leadsheet!$D$102,SAP_Spreadsheet!$E189,SAP_Spreadsheet!AU$6)</f>
        <v>8.5859555565104013E-3</v>
      </c>
      <c r="AV189" s="263">
        <f ca="1">AU188*OFFSET(SAP_Leadsheet!$D$102,SAP_Spreadsheet!$E189,SAP_Spreadsheet!AV$6)</f>
        <v>8.2347316498424302E-3</v>
      </c>
      <c r="AW189" s="263">
        <f ca="1">AV188*OFFSET(SAP_Leadsheet!$D$102,SAP_Spreadsheet!$E189,SAP_Spreadsheet!AW$6)</f>
        <v>7.6249382825765199E-3</v>
      </c>
      <c r="AX189" s="263">
        <f ca="1">AW188*OFFSET(SAP_Leadsheet!$D$102,SAP_Spreadsheet!$E189,SAP_Spreadsheet!AX$6)</f>
        <v>6.1324614361656909E-3</v>
      </c>
      <c r="AY189" s="263">
        <f ca="1">AX188*OFFSET(SAP_Leadsheet!$D$102,SAP_Spreadsheet!$E189,SAP_Spreadsheet!AY$6)</f>
        <v>5.9967166074469894E-3</v>
      </c>
      <c r="AZ189" s="263">
        <f ca="1">AY188*OFFSET(SAP_Leadsheet!$D$102,SAP_Spreadsheet!$E189,SAP_Spreadsheet!AZ$6)</f>
        <v>5.8857819975952977E-3</v>
      </c>
      <c r="BA189" s="263">
        <f ca="1">AZ188*OFFSET(SAP_Leadsheet!$D$102,SAP_Spreadsheet!$E189,SAP_Spreadsheet!BA$6)</f>
        <v>5.78685179979918E-3</v>
      </c>
      <c r="BB189" s="263">
        <f ca="1">BA188*OFFSET(SAP_Leadsheet!$D$102,SAP_Spreadsheet!$E189,SAP_Spreadsheet!BB$6)</f>
        <v>5.6903340301367863E-3</v>
      </c>
      <c r="BC189" s="263">
        <f ca="1">BB188*OFFSET(SAP_Leadsheet!$D$102,SAP_Spreadsheet!$E189,SAP_Spreadsheet!BC$6)</f>
        <v>5.5925612692839573E-3</v>
      </c>
      <c r="BD189" s="263">
        <f ca="1">BC188*OFFSET(SAP_Leadsheet!$D$102,SAP_Spreadsheet!$E189,SAP_Spreadsheet!BD$6)</f>
        <v>5.4930071447300546E-3</v>
      </c>
      <c r="BE189" s="263">
        <f ca="1">BD188*OFFSET(SAP_Leadsheet!$D$102,SAP_Spreadsheet!$E189,SAP_Spreadsheet!BE$6)</f>
        <v>5.3908658110735285E-3</v>
      </c>
      <c r="BF189" s="263">
        <f ca="1">BE188*OFFSET(SAP_Leadsheet!$D$102,SAP_Spreadsheet!$E189,SAP_Spreadsheet!BF$6)</f>
        <v>5.2848823235755373E-3</v>
      </c>
      <c r="BG189" s="263">
        <f ca="1">BF188*OFFSET(SAP_Leadsheet!$D$102,SAP_Spreadsheet!$E189,SAP_Spreadsheet!BG$6)</f>
        <v>5.1709545093049812E-3</v>
      </c>
      <c r="BH189" s="263">
        <f ca="1">BG188*OFFSET(SAP_Leadsheet!$D$102,SAP_Spreadsheet!$E189,SAP_Spreadsheet!BH$6)</f>
        <v>5.0452789293728584E-3</v>
      </c>
      <c r="BI189" s="263">
        <f ca="1">BH188*OFFSET(SAP_Leadsheet!$D$102,SAP_Spreadsheet!$E189,SAP_Spreadsheet!BI$6)</f>
        <v>4.911655601902344E-3</v>
      </c>
      <c r="BJ189" s="263">
        <f ca="1">BI188*OFFSET(SAP_Leadsheet!$D$102,SAP_Spreadsheet!$E189,SAP_Spreadsheet!BJ$6)</f>
        <v>4.2015133548954442E-3</v>
      </c>
      <c r="BK189" s="263">
        <f ca="1">BJ188*OFFSET(SAP_Leadsheet!$D$102,SAP_Spreadsheet!$E189,SAP_Spreadsheet!BK$6)</f>
        <v>4.0962056019875435E-3</v>
      </c>
      <c r="BL189" s="263">
        <f ca="1">BK188*OFFSET(SAP_Leadsheet!$D$102,SAP_Spreadsheet!$E189,SAP_Spreadsheet!BL$6)</f>
        <v>3.9911579880625115E-3</v>
      </c>
      <c r="BM189" s="263">
        <f ca="1">BL188*OFFSET(SAP_Leadsheet!$D$102,SAP_Spreadsheet!$E189,SAP_Spreadsheet!BM$6)</f>
        <v>3.8870402597711243E-3</v>
      </c>
      <c r="BN189" s="263">
        <f ca="1">BM188*OFFSET(SAP_Leadsheet!$D$102,SAP_Spreadsheet!$E189,SAP_Spreadsheet!BN$6)</f>
        <v>3.7834137609081254E-3</v>
      </c>
      <c r="BO189" s="263">
        <f ca="1">BN188*OFFSET(SAP_Leadsheet!$D$102,SAP_Spreadsheet!$E189,SAP_Spreadsheet!BC$6)</f>
        <v>3.6800094551529042E-3</v>
      </c>
      <c r="BP189" s="263">
        <f ca="1">BO188*OFFSET(SAP_Leadsheet!$D$102,SAP_Spreadsheet!$E189,SAP_Spreadsheet!BD$6)</f>
        <v>3.5765022410601467E-3</v>
      </c>
      <c r="BQ189" s="263">
        <f ca="1">BP188*OFFSET(SAP_Leadsheet!$D$102,SAP_Spreadsheet!$E189,SAP_Spreadsheet!BE$6)</f>
        <v>3.4727344792257076E-3</v>
      </c>
      <c r="BR189" s="263">
        <f ca="1">BQ188*OFFSET(SAP_Leadsheet!$D$102,SAP_Spreadsheet!$E189,SAP_Spreadsheet!BF$6)</f>
        <v>3.3686817120728682E-3</v>
      </c>
      <c r="BS189" s="263">
        <f ca="1">BR188*OFFSET(SAP_Leadsheet!$D$102,SAP_Spreadsheet!$E189,SAP_Spreadsheet!BG$6)</f>
        <v>3.2631193731202639E-3</v>
      </c>
      <c r="BT189" s="263">
        <f ca="1">BS188*OFFSET(SAP_Leadsheet!$D$102,SAP_Spreadsheet!$E189,SAP_Spreadsheet!BH$6)</f>
        <v>3.1540543513867056E-3</v>
      </c>
      <c r="BU189" s="263">
        <f ca="1">BT188*OFFSET(SAP_Leadsheet!$D$102,SAP_Spreadsheet!$E189,SAP_Spreadsheet!BI$6)</f>
        <v>3.0424216730878619E-3</v>
      </c>
      <c r="BV189" s="263">
        <f ca="1">BU188*OFFSET(SAP_Leadsheet!$D$102,SAP_Spreadsheet!$E189,SAP_Spreadsheet!BJ$6)</f>
        <v>2.9295367519234328E-3</v>
      </c>
      <c r="BW189" s="263">
        <f ca="1">BV188*OFFSET(SAP_Leadsheet!$D$102,SAP_Spreadsheet!$E189,SAP_Spreadsheet!BK$6)</f>
        <v>0</v>
      </c>
      <c r="BX189" s="263">
        <f ca="1">BW188*OFFSET(SAP_Leadsheet!$D$102,SAP_Spreadsheet!$E189,SAP_Spreadsheet!BL$6)</f>
        <v>0</v>
      </c>
      <c r="BY189" s="263">
        <f ca="1">BX188*OFFSET(SAP_Leadsheet!$D$102,SAP_Spreadsheet!$E189,SAP_Spreadsheet!BM$6)</f>
        <v>0</v>
      </c>
      <c r="BZ189" s="263">
        <f ca="1">BY188*OFFSET(SAP_Leadsheet!$D$102,SAP_Spreadsheet!$E189,SAP_Spreadsheet!BN$6)</f>
        <v>0</v>
      </c>
      <c r="CA189" s="254"/>
      <c r="CB189" s="254"/>
      <c r="CC189" s="254"/>
      <c r="CD189" s="254"/>
      <c r="CE189" s="254"/>
      <c r="CF189" s="254"/>
      <c r="CG189" s="254"/>
      <c r="CH189" s="254"/>
      <c r="CI189" s="254"/>
      <c r="CJ189" s="254"/>
      <c r="CK189" s="254"/>
      <c r="CL189" s="254"/>
    </row>
    <row r="190" spans="1:90" x14ac:dyDescent="0.15">
      <c r="B190" s="198"/>
      <c r="D190" s="282" t="s">
        <v>291</v>
      </c>
      <c r="E190" s="26">
        <v>9</v>
      </c>
      <c r="F190" s="26" t="s">
        <v>341</v>
      </c>
      <c r="G190" s="263"/>
      <c r="H190" s="263">
        <f ca="1">G189*OFFSET(SAP_Leadsheet!$D$102,SAP_Spreadsheet!$E190,SAP_Spreadsheet!H$6)</f>
        <v>0</v>
      </c>
      <c r="I190" s="263">
        <f ca="1">H189*OFFSET(SAP_Leadsheet!$D$102,SAP_Spreadsheet!$E190,SAP_Spreadsheet!I$6)</f>
        <v>0</v>
      </c>
      <c r="J190" s="263">
        <f ca="1">I189*OFFSET(SAP_Leadsheet!$D$102,SAP_Spreadsheet!$E190,SAP_Spreadsheet!J$6)</f>
        <v>0</v>
      </c>
      <c r="K190" s="263">
        <f ca="1">J189*OFFSET(SAP_Leadsheet!$D$102,SAP_Spreadsheet!$E190,SAP_Spreadsheet!K$6)</f>
        <v>0</v>
      </c>
      <c r="L190" s="263">
        <f ca="1">K189*OFFSET(SAP_Leadsheet!$D$102,SAP_Spreadsheet!$E190,SAP_Spreadsheet!L$6)</f>
        <v>0</v>
      </c>
      <c r="M190" s="263">
        <f ca="1">L189*OFFSET(SAP_Leadsheet!$D$102,SAP_Spreadsheet!$E190,SAP_Spreadsheet!M$6)</f>
        <v>0</v>
      </c>
      <c r="N190" s="263">
        <f ca="1">M189*OFFSET(SAP_Leadsheet!$D$102,SAP_Spreadsheet!$E190,SAP_Spreadsheet!N$6)</f>
        <v>0</v>
      </c>
      <c r="O190" s="263">
        <f ca="1">N189*OFFSET(SAP_Leadsheet!$D$102,SAP_Spreadsheet!$E190,SAP_Spreadsheet!O$6)</f>
        <v>0</v>
      </c>
      <c r="P190" s="263">
        <f ca="1">O189*OFFSET(SAP_Leadsheet!$D$102,SAP_Spreadsheet!$E190,SAP_Spreadsheet!P$6)</f>
        <v>2.4311080044447108E-2</v>
      </c>
      <c r="Q190" s="263">
        <f ca="1">P189*OFFSET(SAP_Leadsheet!$D$102,SAP_Spreadsheet!$E190,SAP_Spreadsheet!Q$6)</f>
        <v>4.2854189764466775E-2</v>
      </c>
      <c r="R190" s="263">
        <f ca="1">Q189*OFFSET(SAP_Leadsheet!$D$102,SAP_Spreadsheet!$E190,SAP_Spreadsheet!R$6)</f>
        <v>5.0409684538960997E-2</v>
      </c>
      <c r="S190" s="263">
        <f ca="1">R189*OFFSET(SAP_Leadsheet!$D$102,SAP_Spreadsheet!$E190,SAP_Spreadsheet!S$6)</f>
        <v>5.0145547592013104E-2</v>
      </c>
      <c r="T190" s="263">
        <f ca="1">S189*OFFSET(SAP_Leadsheet!$D$102,SAP_Spreadsheet!$E190,SAP_Spreadsheet!T$6)</f>
        <v>4.6109849549855225E-2</v>
      </c>
      <c r="U190" s="263">
        <f ca="1">T189*OFFSET(SAP_Leadsheet!$D$102,SAP_Spreadsheet!$E190,SAP_Spreadsheet!U$6)</f>
        <v>4.06945807410109E-2</v>
      </c>
      <c r="V190" s="263">
        <f ca="1">U189*OFFSET(SAP_Leadsheet!$D$102,SAP_Spreadsheet!$E190,SAP_Spreadsheet!V$6)</f>
        <v>3.4420877065781695E-2</v>
      </c>
      <c r="W190" s="263">
        <f ca="1">V189*OFFSET(SAP_Leadsheet!$D$102,SAP_Spreadsheet!$E190,SAP_Spreadsheet!W$6)</f>
        <v>2.9576269966928918E-2</v>
      </c>
      <c r="X190" s="263">
        <f ca="1">W189*OFFSET(SAP_Leadsheet!$D$102,SAP_Spreadsheet!$E190,SAP_Spreadsheet!X$6)</f>
        <v>2.5402967644451022E-2</v>
      </c>
      <c r="Y190" s="263">
        <f ca="1">X189*OFFSET(SAP_Leadsheet!$D$102,SAP_Spreadsheet!$E190,SAP_Spreadsheet!Y$6)</f>
        <v>2.1631469521173605E-2</v>
      </c>
      <c r="Z190" s="263">
        <f ca="1">Y189*OFFSET(SAP_Leadsheet!$D$102,SAP_Spreadsheet!$E190,SAP_Spreadsheet!Z$6)</f>
        <v>1.8482536860721828E-2</v>
      </c>
      <c r="AA190" s="263">
        <f ca="1">Z189*OFFSET(SAP_Leadsheet!$D$102,SAP_Spreadsheet!$E190,SAP_Spreadsheet!AA$6)</f>
        <v>9.2824174646438558E-3</v>
      </c>
      <c r="AB190" s="263">
        <f ca="1">AA189*OFFSET(SAP_Leadsheet!$D$102,SAP_Spreadsheet!$E190,SAP_Spreadsheet!AB$6)</f>
        <v>9.5290500416414618E-3</v>
      </c>
      <c r="AC190" s="263">
        <f ca="1">AB189*OFFSET(SAP_Leadsheet!$D$102,SAP_Spreadsheet!$E190,SAP_Spreadsheet!AC$6)</f>
        <v>1.0965717377576583E-2</v>
      </c>
      <c r="AD190" s="263">
        <f ca="1">AC189*OFFSET(SAP_Leadsheet!$D$102,SAP_Spreadsheet!$E190,SAP_Spreadsheet!AD$6)</f>
        <v>1.1308202951319981E-2</v>
      </c>
      <c r="AE190" s="263">
        <f ca="1">AD189*OFFSET(SAP_Leadsheet!$D$102,SAP_Spreadsheet!$E190,SAP_Spreadsheet!AE$6)</f>
        <v>1.0767064780283341E-2</v>
      </c>
      <c r="AF190" s="263">
        <f ca="1">AE189*OFFSET(SAP_Leadsheet!$D$102,SAP_Spreadsheet!$E190,SAP_Spreadsheet!AF$6)</f>
        <v>1.0903623003937612E-2</v>
      </c>
      <c r="AG190" s="263">
        <f ca="1">AF189*OFFSET(SAP_Leadsheet!$D$102,SAP_Spreadsheet!$E190,SAP_Spreadsheet!AG$6)</f>
        <v>1.121341386829695E-2</v>
      </c>
      <c r="AH190" s="263">
        <f ca="1">AG189*OFFSET(SAP_Leadsheet!$D$102,SAP_Spreadsheet!$E190,SAP_Spreadsheet!AH$6)</f>
        <v>1.1435272968155037E-2</v>
      </c>
      <c r="AI190" s="263">
        <f ca="1">AH189*OFFSET(SAP_Leadsheet!$D$102,SAP_Spreadsheet!$E190,SAP_Spreadsheet!AI$6)</f>
        <v>1.1564055462820312E-2</v>
      </c>
      <c r="AJ190" s="263">
        <f ca="1">AI189*OFFSET(SAP_Leadsheet!$D$102,SAP_Spreadsheet!$E190,SAP_Spreadsheet!AJ$6)</f>
        <v>1.1162317329544194E-2</v>
      </c>
      <c r="AK190" s="263">
        <f ca="1">AJ189*OFFSET(SAP_Leadsheet!$D$102,SAP_Spreadsheet!$E190,SAP_Spreadsheet!AK$6)</f>
        <v>1.046595221648264E-2</v>
      </c>
      <c r="AL190" s="263">
        <f ca="1">AK189*OFFSET(SAP_Leadsheet!$D$102,SAP_Spreadsheet!$E190,SAP_Spreadsheet!AL$6)</f>
        <v>1.0185514993488017E-2</v>
      </c>
      <c r="AM190" s="263">
        <f ca="1">AL189*OFFSET(SAP_Leadsheet!$D$102,SAP_Spreadsheet!$E190,SAP_Spreadsheet!AM$6)</f>
        <v>8.3330392866375839E-3</v>
      </c>
      <c r="AN190" s="263">
        <f ca="1">AM189*OFFSET(SAP_Leadsheet!$D$102,SAP_Spreadsheet!$E190,SAP_Spreadsheet!AN$6)</f>
        <v>8.5032863954991583E-3</v>
      </c>
      <c r="AO190" s="263">
        <f ca="1">AN189*OFFSET(SAP_Leadsheet!$D$102,SAP_Spreadsheet!$E190,SAP_Spreadsheet!AO$6)</f>
        <v>9.0262469754481527E-3</v>
      </c>
      <c r="AP190" s="263">
        <f ca="1">AO189*OFFSET(SAP_Leadsheet!$D$102,SAP_Spreadsheet!$E190,SAP_Spreadsheet!AP$6)</f>
        <v>9.349269002695575E-3</v>
      </c>
      <c r="AQ190" s="263">
        <f ca="1">AP189*OFFSET(SAP_Leadsheet!$D$102,SAP_Spreadsheet!$E190,SAP_Spreadsheet!AQ$6)</f>
        <v>9.3952584137942437E-3</v>
      </c>
      <c r="AR190" s="263">
        <f ca="1">AQ189*OFFSET(SAP_Leadsheet!$D$102,SAP_Spreadsheet!$E190,SAP_Spreadsheet!AR$6)</f>
        <v>9.2600096982636132E-3</v>
      </c>
      <c r="AS190" s="263">
        <f ca="1">AR189*OFFSET(SAP_Leadsheet!$D$102,SAP_Spreadsheet!$E190,SAP_Spreadsheet!AS$6)</f>
        <v>9.0446468321722338E-3</v>
      </c>
      <c r="AT190" s="263">
        <f ca="1">AS189*OFFSET(SAP_Leadsheet!$D$102,SAP_Spreadsheet!$E190,SAP_Spreadsheet!AT$6)</f>
        <v>8.807066859010176E-3</v>
      </c>
      <c r="AU190" s="263">
        <f ca="1">AT189*OFFSET(SAP_Leadsheet!$D$102,SAP_Spreadsheet!$E190,SAP_Spreadsheet!AU$6)</f>
        <v>8.8639473028057879E-3</v>
      </c>
      <c r="AV190" s="263">
        <f ca="1">AU189*OFFSET(SAP_Leadsheet!$D$102,SAP_Spreadsheet!$E190,SAP_Spreadsheet!AV$6)</f>
        <v>8.5859555565104013E-3</v>
      </c>
      <c r="AW190" s="263">
        <f ca="1">AV189*OFFSET(SAP_Leadsheet!$D$102,SAP_Spreadsheet!$E190,SAP_Spreadsheet!AW$6)</f>
        <v>8.2347316498424302E-3</v>
      </c>
      <c r="AX190" s="263">
        <f ca="1">AW189*OFFSET(SAP_Leadsheet!$D$102,SAP_Spreadsheet!$E190,SAP_Spreadsheet!AX$6)</f>
        <v>7.6249382825765199E-3</v>
      </c>
      <c r="AY190" s="263">
        <f ca="1">AX189*OFFSET(SAP_Leadsheet!$D$102,SAP_Spreadsheet!$E190,SAP_Spreadsheet!AY$6)</f>
        <v>6.1324614361656909E-3</v>
      </c>
      <c r="AZ190" s="263">
        <f ca="1">AY189*OFFSET(SAP_Leadsheet!$D$102,SAP_Spreadsheet!$E190,SAP_Spreadsheet!AZ$6)</f>
        <v>5.9967166074469894E-3</v>
      </c>
      <c r="BA190" s="263">
        <f ca="1">AZ189*OFFSET(SAP_Leadsheet!$D$102,SAP_Spreadsheet!$E190,SAP_Spreadsheet!BA$6)</f>
        <v>5.8857819975952977E-3</v>
      </c>
      <c r="BB190" s="263">
        <f ca="1">BA189*OFFSET(SAP_Leadsheet!$D$102,SAP_Spreadsheet!$E190,SAP_Spreadsheet!BB$6)</f>
        <v>5.78685179979918E-3</v>
      </c>
      <c r="BC190" s="263">
        <f ca="1">BB189*OFFSET(SAP_Leadsheet!$D$102,SAP_Spreadsheet!$E190,SAP_Spreadsheet!BC$6)</f>
        <v>5.6903340301367863E-3</v>
      </c>
      <c r="BD190" s="263">
        <f ca="1">BC189*OFFSET(SAP_Leadsheet!$D$102,SAP_Spreadsheet!$E190,SAP_Spreadsheet!BD$6)</f>
        <v>5.5925612692839573E-3</v>
      </c>
      <c r="BE190" s="263">
        <f ca="1">BD189*OFFSET(SAP_Leadsheet!$D$102,SAP_Spreadsheet!$E190,SAP_Spreadsheet!BE$6)</f>
        <v>5.4930071447300546E-3</v>
      </c>
      <c r="BF190" s="263">
        <f ca="1">BE189*OFFSET(SAP_Leadsheet!$D$102,SAP_Spreadsheet!$E190,SAP_Spreadsheet!BF$6)</f>
        <v>5.3908658110735285E-3</v>
      </c>
      <c r="BG190" s="263">
        <f ca="1">BF189*OFFSET(SAP_Leadsheet!$D$102,SAP_Spreadsheet!$E190,SAP_Spreadsheet!BG$6)</f>
        <v>5.2848823235755373E-3</v>
      </c>
      <c r="BH190" s="263">
        <f ca="1">BG189*OFFSET(SAP_Leadsheet!$D$102,SAP_Spreadsheet!$E190,SAP_Spreadsheet!BH$6)</f>
        <v>5.1709545093049812E-3</v>
      </c>
      <c r="BI190" s="263">
        <f ca="1">BH189*OFFSET(SAP_Leadsheet!$D$102,SAP_Spreadsheet!$E190,SAP_Spreadsheet!BI$6)</f>
        <v>5.0452789293728584E-3</v>
      </c>
      <c r="BJ190" s="263">
        <f ca="1">BI189*OFFSET(SAP_Leadsheet!$D$102,SAP_Spreadsheet!$E190,SAP_Spreadsheet!BJ$6)</f>
        <v>4.911655601902344E-3</v>
      </c>
      <c r="BK190" s="263">
        <f ca="1">BJ189*OFFSET(SAP_Leadsheet!$D$102,SAP_Spreadsheet!$E190,SAP_Spreadsheet!BK$6)</f>
        <v>4.2015133548954442E-3</v>
      </c>
      <c r="BL190" s="263">
        <f ca="1">BK189*OFFSET(SAP_Leadsheet!$D$102,SAP_Spreadsheet!$E190,SAP_Spreadsheet!BL$6)</f>
        <v>4.0962056019875435E-3</v>
      </c>
      <c r="BM190" s="263">
        <f ca="1">BL189*OFFSET(SAP_Leadsheet!$D$102,SAP_Spreadsheet!$E190,SAP_Spreadsheet!BM$6)</f>
        <v>3.9911579880625115E-3</v>
      </c>
      <c r="BN190" s="263">
        <f ca="1">BM189*OFFSET(SAP_Leadsheet!$D$102,SAP_Spreadsheet!$E190,SAP_Spreadsheet!BN$6)</f>
        <v>3.8870402597711243E-3</v>
      </c>
      <c r="BO190" s="263">
        <f ca="1">BN189*OFFSET(SAP_Leadsheet!$D$102,SAP_Spreadsheet!$E190,SAP_Spreadsheet!BC$6)</f>
        <v>3.7834137609081254E-3</v>
      </c>
      <c r="BP190" s="263">
        <f ca="1">BO189*OFFSET(SAP_Leadsheet!$D$102,SAP_Spreadsheet!$E190,SAP_Spreadsheet!BD$6)</f>
        <v>3.6800094551529042E-3</v>
      </c>
      <c r="BQ190" s="263">
        <f ca="1">BP189*OFFSET(SAP_Leadsheet!$D$102,SAP_Spreadsheet!$E190,SAP_Spreadsheet!BE$6)</f>
        <v>3.5765022410601467E-3</v>
      </c>
      <c r="BR190" s="263">
        <f ca="1">BQ189*OFFSET(SAP_Leadsheet!$D$102,SAP_Spreadsheet!$E190,SAP_Spreadsheet!BF$6)</f>
        <v>3.4727344792257076E-3</v>
      </c>
      <c r="BS190" s="263">
        <f ca="1">BR189*OFFSET(SAP_Leadsheet!$D$102,SAP_Spreadsheet!$E190,SAP_Spreadsheet!BG$6)</f>
        <v>3.3686817120728682E-3</v>
      </c>
      <c r="BT190" s="263">
        <f ca="1">BS189*OFFSET(SAP_Leadsheet!$D$102,SAP_Spreadsheet!$E190,SAP_Spreadsheet!BH$6)</f>
        <v>3.2631193731202639E-3</v>
      </c>
      <c r="BU190" s="263">
        <f ca="1">BT189*OFFSET(SAP_Leadsheet!$D$102,SAP_Spreadsheet!$E190,SAP_Spreadsheet!BI$6)</f>
        <v>3.1540543513867056E-3</v>
      </c>
      <c r="BV190" s="263">
        <f ca="1">BU189*OFFSET(SAP_Leadsheet!$D$102,SAP_Spreadsheet!$E190,SAP_Spreadsheet!BJ$6)</f>
        <v>3.0424216730878619E-3</v>
      </c>
      <c r="BW190" s="263">
        <f ca="1">BV189*OFFSET(SAP_Leadsheet!$D$102,SAP_Spreadsheet!$E190,SAP_Spreadsheet!BK$6)</f>
        <v>2.9295367519234328E-3</v>
      </c>
      <c r="BX190" s="263">
        <f ca="1">BW189*OFFSET(SAP_Leadsheet!$D$102,SAP_Spreadsheet!$E190,SAP_Spreadsheet!BL$6)</f>
        <v>0</v>
      </c>
      <c r="BY190" s="263">
        <f ca="1">BX189*OFFSET(SAP_Leadsheet!$D$102,SAP_Spreadsheet!$E190,SAP_Spreadsheet!BM$6)</f>
        <v>0</v>
      </c>
      <c r="BZ190" s="263">
        <f ca="1">BY189*OFFSET(SAP_Leadsheet!$D$102,SAP_Spreadsheet!$E190,SAP_Spreadsheet!BN$6)</f>
        <v>0</v>
      </c>
      <c r="CA190" s="254"/>
      <c r="CB190" s="254"/>
      <c r="CC190" s="254"/>
      <c r="CD190" s="254"/>
      <c r="CE190" s="254"/>
      <c r="CF190" s="254"/>
      <c r="CG190" s="254"/>
      <c r="CH190" s="254"/>
      <c r="CI190" s="254"/>
      <c r="CJ190" s="254"/>
      <c r="CK190" s="254"/>
      <c r="CL190" s="254"/>
    </row>
    <row r="191" spans="1:90" x14ac:dyDescent="0.15">
      <c r="B191" s="198"/>
      <c r="D191" s="282" t="s">
        <v>292</v>
      </c>
      <c r="E191" s="26">
        <v>10</v>
      </c>
      <c r="F191" s="26" t="s">
        <v>341</v>
      </c>
      <c r="G191" s="263"/>
      <c r="H191" s="263">
        <f ca="1">G190*OFFSET(SAP_Leadsheet!$D$102,SAP_Spreadsheet!$E191,SAP_Spreadsheet!H$6)</f>
        <v>0</v>
      </c>
      <c r="I191" s="263">
        <f ca="1">H190*OFFSET(SAP_Leadsheet!$D$102,SAP_Spreadsheet!$E191,SAP_Spreadsheet!I$6)</f>
        <v>0</v>
      </c>
      <c r="J191" s="263">
        <f ca="1">I190*OFFSET(SAP_Leadsheet!$D$102,SAP_Spreadsheet!$E191,SAP_Spreadsheet!J$6)</f>
        <v>0</v>
      </c>
      <c r="K191" s="263">
        <f ca="1">J190*OFFSET(SAP_Leadsheet!$D$102,SAP_Spreadsheet!$E191,SAP_Spreadsheet!K$6)</f>
        <v>0</v>
      </c>
      <c r="L191" s="263">
        <f ca="1">K190*OFFSET(SAP_Leadsheet!$D$102,SAP_Spreadsheet!$E191,SAP_Spreadsheet!L$6)</f>
        <v>0</v>
      </c>
      <c r="M191" s="263">
        <f ca="1">L190*OFFSET(SAP_Leadsheet!$D$102,SAP_Spreadsheet!$E191,SAP_Spreadsheet!M$6)</f>
        <v>0</v>
      </c>
      <c r="N191" s="263">
        <f ca="1">M190*OFFSET(SAP_Leadsheet!$D$102,SAP_Spreadsheet!$E191,SAP_Spreadsheet!N$6)</f>
        <v>0</v>
      </c>
      <c r="O191" s="263">
        <f ca="1">N190*OFFSET(SAP_Leadsheet!$D$102,SAP_Spreadsheet!$E191,SAP_Spreadsheet!O$6)</f>
        <v>0</v>
      </c>
      <c r="P191" s="263">
        <f ca="1">O190*OFFSET(SAP_Leadsheet!$D$102,SAP_Spreadsheet!$E191,SAP_Spreadsheet!P$6)</f>
        <v>0</v>
      </c>
      <c r="Q191" s="263">
        <f ca="1">P190*OFFSET(SAP_Leadsheet!$D$102,SAP_Spreadsheet!$E191,SAP_Spreadsheet!Q$6)</f>
        <v>2.4311080044447108E-2</v>
      </c>
      <c r="R191" s="263">
        <f ca="1">Q190*OFFSET(SAP_Leadsheet!$D$102,SAP_Spreadsheet!$E191,SAP_Spreadsheet!R$6)</f>
        <v>4.2854189764466775E-2</v>
      </c>
      <c r="S191" s="263">
        <f ca="1">R190*OFFSET(SAP_Leadsheet!$D$102,SAP_Spreadsheet!$E191,SAP_Spreadsheet!S$6)</f>
        <v>5.0409684538960997E-2</v>
      </c>
      <c r="T191" s="263">
        <f ca="1">S190*OFFSET(SAP_Leadsheet!$D$102,SAP_Spreadsheet!$E191,SAP_Spreadsheet!T$6)</f>
        <v>5.0145547592013104E-2</v>
      </c>
      <c r="U191" s="263">
        <f ca="1">T190*OFFSET(SAP_Leadsheet!$D$102,SAP_Spreadsheet!$E191,SAP_Spreadsheet!U$6)</f>
        <v>4.6109849549855225E-2</v>
      </c>
      <c r="V191" s="263">
        <f ca="1">U190*OFFSET(SAP_Leadsheet!$D$102,SAP_Spreadsheet!$E191,SAP_Spreadsheet!V$6)</f>
        <v>4.06945807410109E-2</v>
      </c>
      <c r="W191" s="263">
        <f ca="1">V190*OFFSET(SAP_Leadsheet!$D$102,SAP_Spreadsheet!$E191,SAP_Spreadsheet!W$6)</f>
        <v>3.4420877065781695E-2</v>
      </c>
      <c r="X191" s="263">
        <f ca="1">W190*OFFSET(SAP_Leadsheet!$D$102,SAP_Spreadsheet!$E191,SAP_Spreadsheet!X$6)</f>
        <v>2.9576269966928918E-2</v>
      </c>
      <c r="Y191" s="263">
        <f ca="1">X190*OFFSET(SAP_Leadsheet!$D$102,SAP_Spreadsheet!$E191,SAP_Spreadsheet!Y$6)</f>
        <v>2.5402967644451022E-2</v>
      </c>
      <c r="Z191" s="263">
        <f ca="1">Y190*OFFSET(SAP_Leadsheet!$D$102,SAP_Spreadsheet!$E191,SAP_Spreadsheet!Z$6)</f>
        <v>2.1631469521173605E-2</v>
      </c>
      <c r="AA191" s="263">
        <f ca="1">Z190*OFFSET(SAP_Leadsheet!$D$102,SAP_Spreadsheet!$E191,SAP_Spreadsheet!AA$6)</f>
        <v>1.8482536860721828E-2</v>
      </c>
      <c r="AB191" s="263">
        <f ca="1">AA190*OFFSET(SAP_Leadsheet!$D$102,SAP_Spreadsheet!$E191,SAP_Spreadsheet!AB$6)</f>
        <v>9.2824174646438558E-3</v>
      </c>
      <c r="AC191" s="263">
        <f ca="1">AB190*OFFSET(SAP_Leadsheet!$D$102,SAP_Spreadsheet!$E191,SAP_Spreadsheet!AC$6)</f>
        <v>9.5290500416414618E-3</v>
      </c>
      <c r="AD191" s="263">
        <f ca="1">AC190*OFFSET(SAP_Leadsheet!$D$102,SAP_Spreadsheet!$E191,SAP_Spreadsheet!AD$6)</f>
        <v>1.0965717377576583E-2</v>
      </c>
      <c r="AE191" s="263">
        <f ca="1">AD190*OFFSET(SAP_Leadsheet!$D$102,SAP_Spreadsheet!$E191,SAP_Spreadsheet!AE$6)</f>
        <v>1.1308202951319981E-2</v>
      </c>
      <c r="AF191" s="263">
        <f ca="1">AE190*OFFSET(SAP_Leadsheet!$D$102,SAP_Spreadsheet!$E191,SAP_Spreadsheet!AF$6)</f>
        <v>1.0767064780283341E-2</v>
      </c>
      <c r="AG191" s="263">
        <f ca="1">AF190*OFFSET(SAP_Leadsheet!$D$102,SAP_Spreadsheet!$E191,SAP_Spreadsheet!AG$6)</f>
        <v>1.0903623003937612E-2</v>
      </c>
      <c r="AH191" s="263">
        <f ca="1">AG190*OFFSET(SAP_Leadsheet!$D$102,SAP_Spreadsheet!$E191,SAP_Spreadsheet!AH$6)</f>
        <v>1.121341386829695E-2</v>
      </c>
      <c r="AI191" s="263">
        <f ca="1">AH190*OFFSET(SAP_Leadsheet!$D$102,SAP_Spreadsheet!$E191,SAP_Spreadsheet!AI$6)</f>
        <v>1.1435272968155037E-2</v>
      </c>
      <c r="AJ191" s="263">
        <f ca="1">AI190*OFFSET(SAP_Leadsheet!$D$102,SAP_Spreadsheet!$E191,SAP_Spreadsheet!AJ$6)</f>
        <v>1.1564055462820312E-2</v>
      </c>
      <c r="AK191" s="263">
        <f ca="1">AJ190*OFFSET(SAP_Leadsheet!$D$102,SAP_Spreadsheet!$E191,SAP_Spreadsheet!AK$6)</f>
        <v>1.1162317329544194E-2</v>
      </c>
      <c r="AL191" s="263">
        <f ca="1">AK190*OFFSET(SAP_Leadsheet!$D$102,SAP_Spreadsheet!$E191,SAP_Spreadsheet!AL$6)</f>
        <v>1.046595221648264E-2</v>
      </c>
      <c r="AM191" s="263">
        <f ca="1">AL190*OFFSET(SAP_Leadsheet!$D$102,SAP_Spreadsheet!$E191,SAP_Spreadsheet!AM$6)</f>
        <v>1.0185514993488017E-2</v>
      </c>
      <c r="AN191" s="263">
        <f ca="1">AM190*OFFSET(SAP_Leadsheet!$D$102,SAP_Spreadsheet!$E191,SAP_Spreadsheet!AN$6)</f>
        <v>8.3330392866375839E-3</v>
      </c>
      <c r="AO191" s="263">
        <f ca="1">AN190*OFFSET(SAP_Leadsheet!$D$102,SAP_Spreadsheet!$E191,SAP_Spreadsheet!AO$6)</f>
        <v>8.5032863954991583E-3</v>
      </c>
      <c r="AP191" s="263">
        <f ca="1">AO190*OFFSET(SAP_Leadsheet!$D$102,SAP_Spreadsheet!$E191,SAP_Spreadsheet!AP$6)</f>
        <v>9.0262469754481527E-3</v>
      </c>
      <c r="AQ191" s="263">
        <f ca="1">AP190*OFFSET(SAP_Leadsheet!$D$102,SAP_Spreadsheet!$E191,SAP_Spreadsheet!AQ$6)</f>
        <v>9.349269002695575E-3</v>
      </c>
      <c r="AR191" s="263">
        <f ca="1">AQ190*OFFSET(SAP_Leadsheet!$D$102,SAP_Spreadsheet!$E191,SAP_Spreadsheet!AR$6)</f>
        <v>9.3952584137942437E-3</v>
      </c>
      <c r="AS191" s="263">
        <f ca="1">AR190*OFFSET(SAP_Leadsheet!$D$102,SAP_Spreadsheet!$E191,SAP_Spreadsheet!AS$6)</f>
        <v>9.2600096982636132E-3</v>
      </c>
      <c r="AT191" s="263">
        <f ca="1">AS190*OFFSET(SAP_Leadsheet!$D$102,SAP_Spreadsheet!$E191,SAP_Spreadsheet!AT$6)</f>
        <v>9.0446468321722338E-3</v>
      </c>
      <c r="AU191" s="263">
        <f ca="1">AT190*OFFSET(SAP_Leadsheet!$D$102,SAP_Spreadsheet!$E191,SAP_Spreadsheet!AU$6)</f>
        <v>8.807066859010176E-3</v>
      </c>
      <c r="AV191" s="263">
        <f ca="1">AU190*OFFSET(SAP_Leadsheet!$D$102,SAP_Spreadsheet!$E191,SAP_Spreadsheet!AV$6)</f>
        <v>8.8639473028057879E-3</v>
      </c>
      <c r="AW191" s="263">
        <f ca="1">AV190*OFFSET(SAP_Leadsheet!$D$102,SAP_Spreadsheet!$E191,SAP_Spreadsheet!AW$6)</f>
        <v>8.5859555565104013E-3</v>
      </c>
      <c r="AX191" s="263">
        <f ca="1">AW190*OFFSET(SAP_Leadsheet!$D$102,SAP_Spreadsheet!$E191,SAP_Spreadsheet!AX$6)</f>
        <v>8.2347316498424302E-3</v>
      </c>
      <c r="AY191" s="263">
        <f ca="1">AX190*OFFSET(SAP_Leadsheet!$D$102,SAP_Spreadsheet!$E191,SAP_Spreadsheet!AY$6)</f>
        <v>7.6249382825765199E-3</v>
      </c>
      <c r="AZ191" s="263">
        <f ca="1">AY190*OFFSET(SAP_Leadsheet!$D$102,SAP_Spreadsheet!$E191,SAP_Spreadsheet!AZ$6)</f>
        <v>6.1324614361656909E-3</v>
      </c>
      <c r="BA191" s="263">
        <f ca="1">AZ190*OFFSET(SAP_Leadsheet!$D$102,SAP_Spreadsheet!$E191,SAP_Spreadsheet!BA$6)</f>
        <v>5.9967166074469894E-3</v>
      </c>
      <c r="BB191" s="263">
        <f ca="1">BA190*OFFSET(SAP_Leadsheet!$D$102,SAP_Spreadsheet!$E191,SAP_Spreadsheet!BB$6)</f>
        <v>5.8857819975952977E-3</v>
      </c>
      <c r="BC191" s="263">
        <f ca="1">BB190*OFFSET(SAP_Leadsheet!$D$102,SAP_Spreadsheet!$E191,SAP_Spreadsheet!BC$6)</f>
        <v>5.78685179979918E-3</v>
      </c>
      <c r="BD191" s="263">
        <f ca="1">BC190*OFFSET(SAP_Leadsheet!$D$102,SAP_Spreadsheet!$E191,SAP_Spreadsheet!BD$6)</f>
        <v>5.6903340301367863E-3</v>
      </c>
      <c r="BE191" s="263">
        <f ca="1">BD190*OFFSET(SAP_Leadsheet!$D$102,SAP_Spreadsheet!$E191,SAP_Spreadsheet!BE$6)</f>
        <v>5.5925612692839573E-3</v>
      </c>
      <c r="BF191" s="263">
        <f ca="1">BE190*OFFSET(SAP_Leadsheet!$D$102,SAP_Spreadsheet!$E191,SAP_Spreadsheet!BF$6)</f>
        <v>5.4930071447300546E-3</v>
      </c>
      <c r="BG191" s="263">
        <f ca="1">BF190*OFFSET(SAP_Leadsheet!$D$102,SAP_Spreadsheet!$E191,SAP_Spreadsheet!BG$6)</f>
        <v>5.3908658110735285E-3</v>
      </c>
      <c r="BH191" s="263">
        <f ca="1">BG190*OFFSET(SAP_Leadsheet!$D$102,SAP_Spreadsheet!$E191,SAP_Spreadsheet!BH$6)</f>
        <v>5.2848823235755373E-3</v>
      </c>
      <c r="BI191" s="263">
        <f ca="1">BH190*OFFSET(SAP_Leadsheet!$D$102,SAP_Spreadsheet!$E191,SAP_Spreadsheet!BI$6)</f>
        <v>5.1709545093049812E-3</v>
      </c>
      <c r="BJ191" s="263">
        <f ca="1">BI190*OFFSET(SAP_Leadsheet!$D$102,SAP_Spreadsheet!$E191,SAP_Spreadsheet!BJ$6)</f>
        <v>5.0452789293728584E-3</v>
      </c>
      <c r="BK191" s="263">
        <f ca="1">BJ190*OFFSET(SAP_Leadsheet!$D$102,SAP_Spreadsheet!$E191,SAP_Spreadsheet!BK$6)</f>
        <v>4.911655601902344E-3</v>
      </c>
      <c r="BL191" s="263">
        <f ca="1">BK190*OFFSET(SAP_Leadsheet!$D$102,SAP_Spreadsheet!$E191,SAP_Spreadsheet!BL$6)</f>
        <v>4.2015133548954442E-3</v>
      </c>
      <c r="BM191" s="263">
        <f ca="1">BL190*OFFSET(SAP_Leadsheet!$D$102,SAP_Spreadsheet!$E191,SAP_Spreadsheet!BM$6)</f>
        <v>4.0962056019875435E-3</v>
      </c>
      <c r="BN191" s="263">
        <f ca="1">BM190*OFFSET(SAP_Leadsheet!$D$102,SAP_Spreadsheet!$E191,SAP_Spreadsheet!BN$6)</f>
        <v>3.9911579880625115E-3</v>
      </c>
      <c r="BO191" s="263">
        <f ca="1">BN190*OFFSET(SAP_Leadsheet!$D$102,SAP_Spreadsheet!$E191,SAP_Spreadsheet!BC$6)</f>
        <v>3.8870402597711243E-3</v>
      </c>
      <c r="BP191" s="263">
        <f ca="1">BO190*OFFSET(SAP_Leadsheet!$D$102,SAP_Spreadsheet!$E191,SAP_Spreadsheet!BD$6)</f>
        <v>3.7834137609081254E-3</v>
      </c>
      <c r="BQ191" s="263">
        <f ca="1">BP190*OFFSET(SAP_Leadsheet!$D$102,SAP_Spreadsheet!$E191,SAP_Spreadsheet!BE$6)</f>
        <v>3.6800094551529042E-3</v>
      </c>
      <c r="BR191" s="263">
        <f ca="1">BQ190*OFFSET(SAP_Leadsheet!$D$102,SAP_Spreadsheet!$E191,SAP_Spreadsheet!BF$6)</f>
        <v>3.5765022410601467E-3</v>
      </c>
      <c r="BS191" s="263">
        <f ca="1">BR190*OFFSET(SAP_Leadsheet!$D$102,SAP_Spreadsheet!$E191,SAP_Spreadsheet!BG$6)</f>
        <v>3.4727344792257076E-3</v>
      </c>
      <c r="BT191" s="263">
        <f ca="1">BS190*OFFSET(SAP_Leadsheet!$D$102,SAP_Spreadsheet!$E191,SAP_Spreadsheet!BH$6)</f>
        <v>3.3686817120728682E-3</v>
      </c>
      <c r="BU191" s="263">
        <f ca="1">BT190*OFFSET(SAP_Leadsheet!$D$102,SAP_Spreadsheet!$E191,SAP_Spreadsheet!BI$6)</f>
        <v>3.2631193731202639E-3</v>
      </c>
      <c r="BV191" s="263">
        <f ca="1">BU190*OFFSET(SAP_Leadsheet!$D$102,SAP_Spreadsheet!$E191,SAP_Spreadsheet!BJ$6)</f>
        <v>3.1540543513867056E-3</v>
      </c>
      <c r="BW191" s="263">
        <f ca="1">BV190*OFFSET(SAP_Leadsheet!$D$102,SAP_Spreadsheet!$E191,SAP_Spreadsheet!BK$6)</f>
        <v>3.0424216730878619E-3</v>
      </c>
      <c r="BX191" s="263">
        <f ca="1">BW190*OFFSET(SAP_Leadsheet!$D$102,SAP_Spreadsheet!$E191,SAP_Spreadsheet!BL$6)</f>
        <v>2.9295367519234328E-3</v>
      </c>
      <c r="BY191" s="263">
        <f ca="1">BX190*OFFSET(SAP_Leadsheet!$D$102,SAP_Spreadsheet!$E191,SAP_Spreadsheet!BM$6)</f>
        <v>0</v>
      </c>
      <c r="BZ191" s="263">
        <f ca="1">BY190*OFFSET(SAP_Leadsheet!$D$102,SAP_Spreadsheet!$E191,SAP_Spreadsheet!BN$6)</f>
        <v>0</v>
      </c>
      <c r="CA191" s="254"/>
      <c r="CB191" s="254"/>
      <c r="CC191" s="254"/>
      <c r="CD191" s="254"/>
      <c r="CE191" s="254"/>
      <c r="CF191" s="254"/>
      <c r="CG191" s="254"/>
      <c r="CH191" s="254"/>
      <c r="CI191" s="254"/>
      <c r="CJ191" s="254"/>
      <c r="CK191" s="254"/>
      <c r="CL191" s="254"/>
    </row>
    <row r="192" spans="1:90" x14ac:dyDescent="0.15">
      <c r="B192" s="198"/>
      <c r="D192" s="282" t="s">
        <v>293</v>
      </c>
      <c r="E192" s="26">
        <v>11</v>
      </c>
      <c r="F192" s="26" t="s">
        <v>341</v>
      </c>
      <c r="G192" s="263"/>
      <c r="H192" s="263">
        <f ca="1">G191*OFFSET(SAP_Leadsheet!$D$102,SAP_Spreadsheet!$E192,SAP_Spreadsheet!H$6)</f>
        <v>0</v>
      </c>
      <c r="I192" s="263">
        <f ca="1">H191*OFFSET(SAP_Leadsheet!$D$102,SAP_Spreadsheet!$E192,SAP_Spreadsheet!I$6)</f>
        <v>0</v>
      </c>
      <c r="J192" s="263">
        <f ca="1">I191*OFFSET(SAP_Leadsheet!$D$102,SAP_Spreadsheet!$E192,SAP_Spreadsheet!J$6)</f>
        <v>0</v>
      </c>
      <c r="K192" s="263">
        <f ca="1">J191*OFFSET(SAP_Leadsheet!$D$102,SAP_Spreadsheet!$E192,SAP_Spreadsheet!K$6)</f>
        <v>0</v>
      </c>
      <c r="L192" s="263">
        <f ca="1">K191*OFFSET(SAP_Leadsheet!$D$102,SAP_Spreadsheet!$E192,SAP_Spreadsheet!L$6)</f>
        <v>0</v>
      </c>
      <c r="M192" s="263">
        <f ca="1">L191*OFFSET(SAP_Leadsheet!$D$102,SAP_Spreadsheet!$E192,SAP_Spreadsheet!M$6)</f>
        <v>0</v>
      </c>
      <c r="N192" s="263">
        <f ca="1">M191*OFFSET(SAP_Leadsheet!$D$102,SAP_Spreadsheet!$E192,SAP_Spreadsheet!N$6)</f>
        <v>0</v>
      </c>
      <c r="O192" s="263">
        <f ca="1">N191*OFFSET(SAP_Leadsheet!$D$102,SAP_Spreadsheet!$E192,SAP_Spreadsheet!O$6)</f>
        <v>0</v>
      </c>
      <c r="P192" s="263">
        <f ca="1">O191*OFFSET(SAP_Leadsheet!$D$102,SAP_Spreadsheet!$E192,SAP_Spreadsheet!P$6)</f>
        <v>0</v>
      </c>
      <c r="Q192" s="263">
        <f ca="1">P191*OFFSET(SAP_Leadsheet!$D$102,SAP_Spreadsheet!$E192,SAP_Spreadsheet!Q$6)</f>
        <v>0</v>
      </c>
      <c r="R192" s="263">
        <f ca="1">Q191*OFFSET(SAP_Leadsheet!$D$102,SAP_Spreadsheet!$E192,SAP_Spreadsheet!R$6)</f>
        <v>2.4311080044447108E-2</v>
      </c>
      <c r="S192" s="263">
        <f ca="1">R191*OFFSET(SAP_Leadsheet!$D$102,SAP_Spreadsheet!$E192,SAP_Spreadsheet!S$6)</f>
        <v>4.2854189764466775E-2</v>
      </c>
      <c r="T192" s="263">
        <f ca="1">S191*OFFSET(SAP_Leadsheet!$D$102,SAP_Spreadsheet!$E192,SAP_Spreadsheet!T$6)</f>
        <v>5.0409684538960997E-2</v>
      </c>
      <c r="U192" s="263">
        <f ca="1">T191*OFFSET(SAP_Leadsheet!$D$102,SAP_Spreadsheet!$E192,SAP_Spreadsheet!U$6)</f>
        <v>5.0145547592013104E-2</v>
      </c>
      <c r="V192" s="263">
        <f ca="1">U191*OFFSET(SAP_Leadsheet!$D$102,SAP_Spreadsheet!$E192,SAP_Spreadsheet!V$6)</f>
        <v>4.6109849549855225E-2</v>
      </c>
      <c r="W192" s="263">
        <f ca="1">V191*OFFSET(SAP_Leadsheet!$D$102,SAP_Spreadsheet!$E192,SAP_Spreadsheet!W$6)</f>
        <v>4.06945807410109E-2</v>
      </c>
      <c r="X192" s="263">
        <f ca="1">W191*OFFSET(SAP_Leadsheet!$D$102,SAP_Spreadsheet!$E192,SAP_Spreadsheet!X$6)</f>
        <v>3.4420877065781695E-2</v>
      </c>
      <c r="Y192" s="263">
        <f ca="1">X191*OFFSET(SAP_Leadsheet!$D$102,SAP_Spreadsheet!$E192,SAP_Spreadsheet!Y$6)</f>
        <v>2.9576269966928918E-2</v>
      </c>
      <c r="Z192" s="263">
        <f ca="1">Y191*OFFSET(SAP_Leadsheet!$D$102,SAP_Spreadsheet!$E192,SAP_Spreadsheet!Z$6)</f>
        <v>2.5402967644451022E-2</v>
      </c>
      <c r="AA192" s="263">
        <f ca="1">Z191*OFFSET(SAP_Leadsheet!$D$102,SAP_Spreadsheet!$E192,SAP_Spreadsheet!AA$6)</f>
        <v>2.1631469521173605E-2</v>
      </c>
      <c r="AB192" s="263">
        <f ca="1">AA191*OFFSET(SAP_Leadsheet!$D$102,SAP_Spreadsheet!$E192,SAP_Spreadsheet!AB$6)</f>
        <v>1.8482536860721828E-2</v>
      </c>
      <c r="AC192" s="263">
        <f ca="1">AB191*OFFSET(SAP_Leadsheet!$D$102,SAP_Spreadsheet!$E192,SAP_Spreadsheet!AC$6)</f>
        <v>9.2824174646438558E-3</v>
      </c>
      <c r="AD192" s="263">
        <f ca="1">AC191*OFFSET(SAP_Leadsheet!$D$102,SAP_Spreadsheet!$E192,SAP_Spreadsheet!AD$6)</f>
        <v>9.5290500416414618E-3</v>
      </c>
      <c r="AE192" s="263">
        <f ca="1">AD191*OFFSET(SAP_Leadsheet!$D$102,SAP_Spreadsheet!$E192,SAP_Spreadsheet!AE$6)</f>
        <v>1.0965717377576583E-2</v>
      </c>
      <c r="AF192" s="263">
        <f ca="1">AE191*OFFSET(SAP_Leadsheet!$D$102,SAP_Spreadsheet!$E192,SAP_Spreadsheet!AF$6)</f>
        <v>1.1308202951319981E-2</v>
      </c>
      <c r="AG192" s="263">
        <f ca="1">AF191*OFFSET(SAP_Leadsheet!$D$102,SAP_Spreadsheet!$E192,SAP_Spreadsheet!AG$6)</f>
        <v>1.0767064780283341E-2</v>
      </c>
      <c r="AH192" s="263">
        <f ca="1">AG191*OFFSET(SAP_Leadsheet!$D$102,SAP_Spreadsheet!$E192,SAP_Spreadsheet!AH$6)</f>
        <v>1.0903623003937612E-2</v>
      </c>
      <c r="AI192" s="263">
        <f ca="1">AH191*OFFSET(SAP_Leadsheet!$D$102,SAP_Spreadsheet!$E192,SAP_Spreadsheet!AI$6)</f>
        <v>1.121341386829695E-2</v>
      </c>
      <c r="AJ192" s="263">
        <f ca="1">AI191*OFFSET(SAP_Leadsheet!$D$102,SAP_Spreadsheet!$E192,SAP_Spreadsheet!AJ$6)</f>
        <v>1.1435272968155037E-2</v>
      </c>
      <c r="AK192" s="263">
        <f ca="1">AJ191*OFFSET(SAP_Leadsheet!$D$102,SAP_Spreadsheet!$E192,SAP_Spreadsheet!AK$6)</f>
        <v>1.1564055462820312E-2</v>
      </c>
      <c r="AL192" s="263">
        <f ca="1">AK191*OFFSET(SAP_Leadsheet!$D$102,SAP_Spreadsheet!$E192,SAP_Spreadsheet!AL$6)</f>
        <v>1.1162317329544194E-2</v>
      </c>
      <c r="AM192" s="263">
        <f ca="1">AL191*OFFSET(SAP_Leadsheet!$D$102,SAP_Spreadsheet!$E192,SAP_Spreadsheet!AM$6)</f>
        <v>1.046595221648264E-2</v>
      </c>
      <c r="AN192" s="263">
        <f ca="1">AM191*OFFSET(SAP_Leadsheet!$D$102,SAP_Spreadsheet!$E192,SAP_Spreadsheet!AN$6)</f>
        <v>1.0185514993488017E-2</v>
      </c>
      <c r="AO192" s="263">
        <f ca="1">AN191*OFFSET(SAP_Leadsheet!$D$102,SAP_Spreadsheet!$E192,SAP_Spreadsheet!AO$6)</f>
        <v>8.3330392866375839E-3</v>
      </c>
      <c r="AP192" s="263">
        <f ca="1">AO191*OFFSET(SAP_Leadsheet!$D$102,SAP_Spreadsheet!$E192,SAP_Spreadsheet!AP$6)</f>
        <v>8.5032863954991583E-3</v>
      </c>
      <c r="AQ192" s="263">
        <f ca="1">AP191*OFFSET(SAP_Leadsheet!$D$102,SAP_Spreadsheet!$E192,SAP_Spreadsheet!AQ$6)</f>
        <v>9.0262469754481527E-3</v>
      </c>
      <c r="AR192" s="263">
        <f ca="1">AQ191*OFFSET(SAP_Leadsheet!$D$102,SAP_Spreadsheet!$E192,SAP_Spreadsheet!AR$6)</f>
        <v>9.349269002695575E-3</v>
      </c>
      <c r="AS192" s="263">
        <f ca="1">AR191*OFFSET(SAP_Leadsheet!$D$102,SAP_Spreadsheet!$E192,SAP_Spreadsheet!AS$6)</f>
        <v>9.3952584137942437E-3</v>
      </c>
      <c r="AT192" s="263">
        <f ca="1">AS191*OFFSET(SAP_Leadsheet!$D$102,SAP_Spreadsheet!$E192,SAP_Spreadsheet!AT$6)</f>
        <v>9.2600096982636132E-3</v>
      </c>
      <c r="AU192" s="263">
        <f ca="1">AT191*OFFSET(SAP_Leadsheet!$D$102,SAP_Spreadsheet!$E192,SAP_Spreadsheet!AU$6)</f>
        <v>9.0446468321722338E-3</v>
      </c>
      <c r="AV192" s="263">
        <f ca="1">AU191*OFFSET(SAP_Leadsheet!$D$102,SAP_Spreadsheet!$E192,SAP_Spreadsheet!AV$6)</f>
        <v>8.807066859010176E-3</v>
      </c>
      <c r="AW192" s="263">
        <f ca="1">AV191*OFFSET(SAP_Leadsheet!$D$102,SAP_Spreadsheet!$E192,SAP_Spreadsheet!AW$6)</f>
        <v>8.8639473028057879E-3</v>
      </c>
      <c r="AX192" s="263">
        <f ca="1">AW191*OFFSET(SAP_Leadsheet!$D$102,SAP_Spreadsheet!$E192,SAP_Spreadsheet!AX$6)</f>
        <v>8.5859555565104013E-3</v>
      </c>
      <c r="AY192" s="263">
        <f ca="1">AX191*OFFSET(SAP_Leadsheet!$D$102,SAP_Spreadsheet!$E192,SAP_Spreadsheet!AY$6)</f>
        <v>8.2347316498424302E-3</v>
      </c>
      <c r="AZ192" s="263">
        <f ca="1">AY191*OFFSET(SAP_Leadsheet!$D$102,SAP_Spreadsheet!$E192,SAP_Spreadsheet!AZ$6)</f>
        <v>7.6249382825765199E-3</v>
      </c>
      <c r="BA192" s="263">
        <f ca="1">AZ191*OFFSET(SAP_Leadsheet!$D$102,SAP_Spreadsheet!$E192,SAP_Spreadsheet!BA$6)</f>
        <v>6.1324614361656909E-3</v>
      </c>
      <c r="BB192" s="263">
        <f ca="1">BA191*OFFSET(SAP_Leadsheet!$D$102,SAP_Spreadsheet!$E192,SAP_Spreadsheet!BB$6)</f>
        <v>5.9967166074469894E-3</v>
      </c>
      <c r="BC192" s="263">
        <f ca="1">BB191*OFFSET(SAP_Leadsheet!$D$102,SAP_Spreadsheet!$E192,SAP_Spreadsheet!BC$6)</f>
        <v>5.8857819975952977E-3</v>
      </c>
      <c r="BD192" s="263">
        <f ca="1">BC191*OFFSET(SAP_Leadsheet!$D$102,SAP_Spreadsheet!$E192,SAP_Spreadsheet!BD$6)</f>
        <v>5.78685179979918E-3</v>
      </c>
      <c r="BE192" s="263">
        <f ca="1">BD191*OFFSET(SAP_Leadsheet!$D$102,SAP_Spreadsheet!$E192,SAP_Spreadsheet!BE$6)</f>
        <v>5.6903340301367863E-3</v>
      </c>
      <c r="BF192" s="263">
        <f ca="1">BE191*OFFSET(SAP_Leadsheet!$D$102,SAP_Spreadsheet!$E192,SAP_Spreadsheet!BF$6)</f>
        <v>5.5925612692839573E-3</v>
      </c>
      <c r="BG192" s="263">
        <f ca="1">BF191*OFFSET(SAP_Leadsheet!$D$102,SAP_Spreadsheet!$E192,SAP_Spreadsheet!BG$6)</f>
        <v>5.4930071447300546E-3</v>
      </c>
      <c r="BH192" s="263">
        <f ca="1">BG191*OFFSET(SAP_Leadsheet!$D$102,SAP_Spreadsheet!$E192,SAP_Spreadsheet!BH$6)</f>
        <v>5.3908658110735285E-3</v>
      </c>
      <c r="BI192" s="263">
        <f ca="1">BH191*OFFSET(SAP_Leadsheet!$D$102,SAP_Spreadsheet!$E192,SAP_Spreadsheet!BI$6)</f>
        <v>5.2848823235755373E-3</v>
      </c>
      <c r="BJ192" s="263">
        <f ca="1">BI191*OFFSET(SAP_Leadsheet!$D$102,SAP_Spreadsheet!$E192,SAP_Spreadsheet!BJ$6)</f>
        <v>5.1709545093049812E-3</v>
      </c>
      <c r="BK192" s="263">
        <f ca="1">BJ191*OFFSET(SAP_Leadsheet!$D$102,SAP_Spreadsheet!$E192,SAP_Spreadsheet!BK$6)</f>
        <v>5.0452789293728584E-3</v>
      </c>
      <c r="BL192" s="263">
        <f ca="1">BK191*OFFSET(SAP_Leadsheet!$D$102,SAP_Spreadsheet!$E192,SAP_Spreadsheet!BL$6)</f>
        <v>4.911655601902344E-3</v>
      </c>
      <c r="BM192" s="263">
        <f ca="1">BL191*OFFSET(SAP_Leadsheet!$D$102,SAP_Spreadsheet!$E192,SAP_Spreadsheet!BM$6)</f>
        <v>4.2015133548954442E-3</v>
      </c>
      <c r="BN192" s="263">
        <f ca="1">BM191*OFFSET(SAP_Leadsheet!$D$102,SAP_Spreadsheet!$E192,SAP_Spreadsheet!BN$6)</f>
        <v>4.0962056019875435E-3</v>
      </c>
      <c r="BO192" s="263">
        <f ca="1">BN191*OFFSET(SAP_Leadsheet!$D$102,SAP_Spreadsheet!$E192,SAP_Spreadsheet!BC$6)</f>
        <v>3.9911579880625115E-3</v>
      </c>
      <c r="BP192" s="263">
        <f ca="1">BO191*OFFSET(SAP_Leadsheet!$D$102,SAP_Spreadsheet!$E192,SAP_Spreadsheet!BD$6)</f>
        <v>3.8870402597711243E-3</v>
      </c>
      <c r="BQ192" s="263">
        <f ca="1">BP191*OFFSET(SAP_Leadsheet!$D$102,SAP_Spreadsheet!$E192,SAP_Spreadsheet!BE$6)</f>
        <v>3.7834137609081254E-3</v>
      </c>
      <c r="BR192" s="263">
        <f ca="1">BQ191*OFFSET(SAP_Leadsheet!$D$102,SAP_Spreadsheet!$E192,SAP_Spreadsheet!BF$6)</f>
        <v>3.6800094551529042E-3</v>
      </c>
      <c r="BS192" s="263">
        <f ca="1">BR191*OFFSET(SAP_Leadsheet!$D$102,SAP_Spreadsheet!$E192,SAP_Spreadsheet!BG$6)</f>
        <v>3.5765022410601467E-3</v>
      </c>
      <c r="BT192" s="263">
        <f ca="1">BS191*OFFSET(SAP_Leadsheet!$D$102,SAP_Spreadsheet!$E192,SAP_Spreadsheet!BH$6)</f>
        <v>3.4727344792257076E-3</v>
      </c>
      <c r="BU192" s="263">
        <f ca="1">BT191*OFFSET(SAP_Leadsheet!$D$102,SAP_Spreadsheet!$E192,SAP_Spreadsheet!BI$6)</f>
        <v>3.3686817120728682E-3</v>
      </c>
      <c r="BV192" s="263">
        <f ca="1">BU191*OFFSET(SAP_Leadsheet!$D$102,SAP_Spreadsheet!$E192,SAP_Spreadsheet!BJ$6)</f>
        <v>3.2631193731202639E-3</v>
      </c>
      <c r="BW192" s="263">
        <f ca="1">BV191*OFFSET(SAP_Leadsheet!$D$102,SAP_Spreadsheet!$E192,SAP_Spreadsheet!BK$6)</f>
        <v>3.1540543513867056E-3</v>
      </c>
      <c r="BX192" s="263">
        <f ca="1">BW191*OFFSET(SAP_Leadsheet!$D$102,SAP_Spreadsheet!$E192,SAP_Spreadsheet!BL$6)</f>
        <v>3.0424216730878619E-3</v>
      </c>
      <c r="BY192" s="263">
        <f ca="1">BX191*OFFSET(SAP_Leadsheet!$D$102,SAP_Spreadsheet!$E192,SAP_Spreadsheet!BM$6)</f>
        <v>2.9295367519234328E-3</v>
      </c>
      <c r="BZ192" s="263">
        <f ca="1">BY191*OFFSET(SAP_Leadsheet!$D$102,SAP_Spreadsheet!$E192,SAP_Spreadsheet!BN$6)</f>
        <v>0</v>
      </c>
      <c r="CA192" s="254"/>
      <c r="CB192" s="254"/>
      <c r="CC192" s="254"/>
      <c r="CD192" s="254"/>
      <c r="CE192" s="254"/>
      <c r="CF192" s="254"/>
      <c r="CG192" s="254"/>
      <c r="CH192" s="254"/>
      <c r="CI192" s="254"/>
      <c r="CJ192" s="254"/>
      <c r="CK192" s="254"/>
      <c r="CL192" s="254"/>
    </row>
    <row r="193" spans="2:90" x14ac:dyDescent="0.15">
      <c r="B193" s="198"/>
      <c r="D193" s="282" t="s">
        <v>294</v>
      </c>
      <c r="E193" s="26">
        <v>12</v>
      </c>
      <c r="F193" s="26" t="s">
        <v>341</v>
      </c>
      <c r="G193" s="263"/>
      <c r="H193" s="263">
        <f ca="1">G192*OFFSET(SAP_Leadsheet!$D$102,SAP_Spreadsheet!$E193,SAP_Spreadsheet!H$6)</f>
        <v>0</v>
      </c>
      <c r="I193" s="263">
        <f ca="1">H192*OFFSET(SAP_Leadsheet!$D$102,SAP_Spreadsheet!$E193,SAP_Spreadsheet!I$6)</f>
        <v>0</v>
      </c>
      <c r="J193" s="263">
        <f ca="1">I192*OFFSET(SAP_Leadsheet!$D$102,SAP_Spreadsheet!$E193,SAP_Spreadsheet!J$6)</f>
        <v>0</v>
      </c>
      <c r="K193" s="263">
        <f ca="1">J192*OFFSET(SAP_Leadsheet!$D$102,SAP_Spreadsheet!$E193,SAP_Spreadsheet!K$6)</f>
        <v>0</v>
      </c>
      <c r="L193" s="263">
        <f ca="1">K192*OFFSET(SAP_Leadsheet!$D$102,SAP_Spreadsheet!$E193,SAP_Spreadsheet!L$6)</f>
        <v>0</v>
      </c>
      <c r="M193" s="263">
        <f ca="1">L192*OFFSET(SAP_Leadsheet!$D$102,SAP_Spreadsheet!$E193,SAP_Spreadsheet!M$6)</f>
        <v>0</v>
      </c>
      <c r="N193" s="263">
        <f ca="1">M192*OFFSET(SAP_Leadsheet!$D$102,SAP_Spreadsheet!$E193,SAP_Spreadsheet!N$6)</f>
        <v>0</v>
      </c>
      <c r="O193" s="263">
        <f ca="1">N192*OFFSET(SAP_Leadsheet!$D$102,SAP_Spreadsheet!$E193,SAP_Spreadsheet!O$6)</f>
        <v>0</v>
      </c>
      <c r="P193" s="263">
        <f ca="1">O192*OFFSET(SAP_Leadsheet!$D$102,SAP_Spreadsheet!$E193,SAP_Spreadsheet!P$6)</f>
        <v>0</v>
      </c>
      <c r="Q193" s="263">
        <f ca="1">P192*OFFSET(SAP_Leadsheet!$D$102,SAP_Spreadsheet!$E193,SAP_Spreadsheet!Q$6)</f>
        <v>0</v>
      </c>
      <c r="R193" s="263">
        <f ca="1">Q192*OFFSET(SAP_Leadsheet!$D$102,SAP_Spreadsheet!$E193,SAP_Spreadsheet!R$6)</f>
        <v>0</v>
      </c>
      <c r="S193" s="263">
        <f ca="1">R192*OFFSET(SAP_Leadsheet!$D$102,SAP_Spreadsheet!$E193,SAP_Spreadsheet!S$6)</f>
        <v>2.4311080044447108E-2</v>
      </c>
      <c r="T193" s="263">
        <f ca="1">S192*OFFSET(SAP_Leadsheet!$D$102,SAP_Spreadsheet!$E193,SAP_Spreadsheet!T$6)</f>
        <v>4.2854189764466775E-2</v>
      </c>
      <c r="U193" s="263">
        <f ca="1">T192*OFFSET(SAP_Leadsheet!$D$102,SAP_Spreadsheet!$E193,SAP_Spreadsheet!U$6)</f>
        <v>5.0409684538960997E-2</v>
      </c>
      <c r="V193" s="263">
        <f ca="1">U192*OFFSET(SAP_Leadsheet!$D$102,SAP_Spreadsheet!$E193,SAP_Spreadsheet!V$6)</f>
        <v>5.0145547592013104E-2</v>
      </c>
      <c r="W193" s="263">
        <f ca="1">V192*OFFSET(SAP_Leadsheet!$D$102,SAP_Spreadsheet!$E193,SAP_Spreadsheet!W$6)</f>
        <v>4.6109849549855225E-2</v>
      </c>
      <c r="X193" s="263">
        <f ca="1">W192*OFFSET(SAP_Leadsheet!$D$102,SAP_Spreadsheet!$E193,SAP_Spreadsheet!X$6)</f>
        <v>4.06945807410109E-2</v>
      </c>
      <c r="Y193" s="263">
        <f ca="1">X192*OFFSET(SAP_Leadsheet!$D$102,SAP_Spreadsheet!$E193,SAP_Spreadsheet!Y$6)</f>
        <v>3.4420877065781695E-2</v>
      </c>
      <c r="Z193" s="263">
        <f ca="1">Y192*OFFSET(SAP_Leadsheet!$D$102,SAP_Spreadsheet!$E193,SAP_Spreadsheet!Z$6)</f>
        <v>2.9576269966928918E-2</v>
      </c>
      <c r="AA193" s="263">
        <f ca="1">Z192*OFFSET(SAP_Leadsheet!$D$102,SAP_Spreadsheet!$E193,SAP_Spreadsheet!AA$6)</f>
        <v>2.5402967644451022E-2</v>
      </c>
      <c r="AB193" s="263">
        <f ca="1">AA192*OFFSET(SAP_Leadsheet!$D$102,SAP_Spreadsheet!$E193,SAP_Spreadsheet!AB$6)</f>
        <v>2.1631469521173605E-2</v>
      </c>
      <c r="AC193" s="263">
        <f ca="1">AB192*OFFSET(SAP_Leadsheet!$D$102,SAP_Spreadsheet!$E193,SAP_Spreadsheet!AC$6)</f>
        <v>1.8482536860721828E-2</v>
      </c>
      <c r="AD193" s="263">
        <f ca="1">AC192*OFFSET(SAP_Leadsheet!$D$102,SAP_Spreadsheet!$E193,SAP_Spreadsheet!AD$6)</f>
        <v>9.2824174646438558E-3</v>
      </c>
      <c r="AE193" s="263">
        <f ca="1">AD192*OFFSET(SAP_Leadsheet!$D$102,SAP_Spreadsheet!$E193,SAP_Spreadsheet!AE$6)</f>
        <v>9.5290500416414618E-3</v>
      </c>
      <c r="AF193" s="263">
        <f ca="1">AE192*OFFSET(SAP_Leadsheet!$D$102,SAP_Spreadsheet!$E193,SAP_Spreadsheet!AF$6)</f>
        <v>1.0965717377576583E-2</v>
      </c>
      <c r="AG193" s="263">
        <f ca="1">AF192*OFFSET(SAP_Leadsheet!$D$102,SAP_Spreadsheet!$E193,SAP_Spreadsheet!AG$6)</f>
        <v>1.1308202951319981E-2</v>
      </c>
      <c r="AH193" s="263">
        <f ca="1">AG192*OFFSET(SAP_Leadsheet!$D$102,SAP_Spreadsheet!$E193,SAP_Spreadsheet!AH$6)</f>
        <v>1.0767064780283341E-2</v>
      </c>
      <c r="AI193" s="263">
        <f ca="1">AH192*OFFSET(SAP_Leadsheet!$D$102,SAP_Spreadsheet!$E193,SAP_Spreadsheet!AI$6)</f>
        <v>1.0903623003937612E-2</v>
      </c>
      <c r="AJ193" s="263">
        <f ca="1">AI192*OFFSET(SAP_Leadsheet!$D$102,SAP_Spreadsheet!$E193,SAP_Spreadsheet!AJ$6)</f>
        <v>1.121341386829695E-2</v>
      </c>
      <c r="AK193" s="263">
        <f ca="1">AJ192*OFFSET(SAP_Leadsheet!$D$102,SAP_Spreadsheet!$E193,SAP_Spreadsheet!AK$6)</f>
        <v>1.1435272968155037E-2</v>
      </c>
      <c r="AL193" s="263">
        <f ca="1">AK192*OFFSET(SAP_Leadsheet!$D$102,SAP_Spreadsheet!$E193,SAP_Spreadsheet!AL$6)</f>
        <v>1.1564055462820312E-2</v>
      </c>
      <c r="AM193" s="263">
        <f ca="1">AL192*OFFSET(SAP_Leadsheet!$D$102,SAP_Spreadsheet!$E193,SAP_Spreadsheet!AM$6)</f>
        <v>1.1162317329544194E-2</v>
      </c>
      <c r="AN193" s="263">
        <f ca="1">AM192*OFFSET(SAP_Leadsheet!$D$102,SAP_Spreadsheet!$E193,SAP_Spreadsheet!AN$6)</f>
        <v>1.046595221648264E-2</v>
      </c>
      <c r="AO193" s="263">
        <f ca="1">AN192*OFFSET(SAP_Leadsheet!$D$102,SAP_Spreadsheet!$E193,SAP_Spreadsheet!AO$6)</f>
        <v>1.0185514993488017E-2</v>
      </c>
      <c r="AP193" s="263">
        <f ca="1">AO192*OFFSET(SAP_Leadsheet!$D$102,SAP_Spreadsheet!$E193,SAP_Spreadsheet!AP$6)</f>
        <v>8.3330392866375839E-3</v>
      </c>
      <c r="AQ193" s="263">
        <f ca="1">AP192*OFFSET(SAP_Leadsheet!$D$102,SAP_Spreadsheet!$E193,SAP_Spreadsheet!AQ$6)</f>
        <v>8.5032863954991583E-3</v>
      </c>
      <c r="AR193" s="263">
        <f ca="1">AQ192*OFFSET(SAP_Leadsheet!$D$102,SAP_Spreadsheet!$E193,SAP_Spreadsheet!AR$6)</f>
        <v>9.0262469754481527E-3</v>
      </c>
      <c r="AS193" s="263">
        <f ca="1">AR192*OFFSET(SAP_Leadsheet!$D$102,SAP_Spreadsheet!$E193,SAP_Spreadsheet!AS$6)</f>
        <v>9.349269002695575E-3</v>
      </c>
      <c r="AT193" s="263">
        <f ca="1">AS192*OFFSET(SAP_Leadsheet!$D$102,SAP_Spreadsheet!$E193,SAP_Spreadsheet!AT$6)</f>
        <v>9.3952584137942437E-3</v>
      </c>
      <c r="AU193" s="263">
        <f ca="1">AT192*OFFSET(SAP_Leadsheet!$D$102,SAP_Spreadsheet!$E193,SAP_Spreadsheet!AU$6)</f>
        <v>9.2600096982636132E-3</v>
      </c>
      <c r="AV193" s="263">
        <f ca="1">AU192*OFFSET(SAP_Leadsheet!$D$102,SAP_Spreadsheet!$E193,SAP_Spreadsheet!AV$6)</f>
        <v>9.0446468321722338E-3</v>
      </c>
      <c r="AW193" s="263">
        <f ca="1">AV192*OFFSET(SAP_Leadsheet!$D$102,SAP_Spreadsheet!$E193,SAP_Spreadsheet!AW$6)</f>
        <v>8.807066859010176E-3</v>
      </c>
      <c r="AX193" s="263">
        <f ca="1">AW192*OFFSET(SAP_Leadsheet!$D$102,SAP_Spreadsheet!$E193,SAP_Spreadsheet!AX$6)</f>
        <v>8.8639473028057879E-3</v>
      </c>
      <c r="AY193" s="263">
        <f ca="1">AX192*OFFSET(SAP_Leadsheet!$D$102,SAP_Spreadsheet!$E193,SAP_Spreadsheet!AY$6)</f>
        <v>8.5859555565104013E-3</v>
      </c>
      <c r="AZ193" s="263">
        <f ca="1">AY192*OFFSET(SAP_Leadsheet!$D$102,SAP_Spreadsheet!$E193,SAP_Spreadsheet!AZ$6)</f>
        <v>8.2347316498424302E-3</v>
      </c>
      <c r="BA193" s="263">
        <f ca="1">AZ192*OFFSET(SAP_Leadsheet!$D$102,SAP_Spreadsheet!$E193,SAP_Spreadsheet!BA$6)</f>
        <v>7.6249382825765199E-3</v>
      </c>
      <c r="BB193" s="263">
        <f ca="1">BA192*OFFSET(SAP_Leadsheet!$D$102,SAP_Spreadsheet!$E193,SAP_Spreadsheet!BB$6)</f>
        <v>6.1324614361656909E-3</v>
      </c>
      <c r="BC193" s="263">
        <f ca="1">BB192*OFFSET(SAP_Leadsheet!$D$102,SAP_Spreadsheet!$E193,SAP_Spreadsheet!BC$6)</f>
        <v>5.9967166074469894E-3</v>
      </c>
      <c r="BD193" s="263">
        <f ca="1">BC192*OFFSET(SAP_Leadsheet!$D$102,SAP_Spreadsheet!$E193,SAP_Spreadsheet!BD$6)</f>
        <v>5.8857819975952977E-3</v>
      </c>
      <c r="BE193" s="263">
        <f ca="1">BD192*OFFSET(SAP_Leadsheet!$D$102,SAP_Spreadsheet!$E193,SAP_Spreadsheet!BE$6)</f>
        <v>5.78685179979918E-3</v>
      </c>
      <c r="BF193" s="263">
        <f ca="1">BE192*OFFSET(SAP_Leadsheet!$D$102,SAP_Spreadsheet!$E193,SAP_Spreadsheet!BF$6)</f>
        <v>5.6903340301367863E-3</v>
      </c>
      <c r="BG193" s="263">
        <f ca="1">BF192*OFFSET(SAP_Leadsheet!$D$102,SAP_Spreadsheet!$E193,SAP_Spreadsheet!BG$6)</f>
        <v>5.5925612692839573E-3</v>
      </c>
      <c r="BH193" s="263">
        <f ca="1">BG192*OFFSET(SAP_Leadsheet!$D$102,SAP_Spreadsheet!$E193,SAP_Spreadsheet!BH$6)</f>
        <v>5.4930071447300546E-3</v>
      </c>
      <c r="BI193" s="263">
        <f ca="1">BH192*OFFSET(SAP_Leadsheet!$D$102,SAP_Spreadsheet!$E193,SAP_Spreadsheet!BI$6)</f>
        <v>5.3908658110735285E-3</v>
      </c>
      <c r="BJ193" s="263">
        <f ca="1">BI192*OFFSET(SAP_Leadsheet!$D$102,SAP_Spreadsheet!$E193,SAP_Spreadsheet!BJ$6)</f>
        <v>5.2848823235755373E-3</v>
      </c>
      <c r="BK193" s="263">
        <f ca="1">BJ192*OFFSET(SAP_Leadsheet!$D$102,SAP_Spreadsheet!$E193,SAP_Spreadsheet!BK$6)</f>
        <v>5.1709545093049812E-3</v>
      </c>
      <c r="BL193" s="263">
        <f ca="1">BK192*OFFSET(SAP_Leadsheet!$D$102,SAP_Spreadsheet!$E193,SAP_Spreadsheet!BL$6)</f>
        <v>5.0452789293728584E-3</v>
      </c>
      <c r="BM193" s="263">
        <f ca="1">BL192*OFFSET(SAP_Leadsheet!$D$102,SAP_Spreadsheet!$E193,SAP_Spreadsheet!BM$6)</f>
        <v>4.911655601902344E-3</v>
      </c>
      <c r="BN193" s="263">
        <f ca="1">BM192*OFFSET(SAP_Leadsheet!$D$102,SAP_Spreadsheet!$E193,SAP_Spreadsheet!BN$6)</f>
        <v>4.2015133548954442E-3</v>
      </c>
      <c r="BO193" s="263">
        <f ca="1">BN192*OFFSET(SAP_Leadsheet!$D$102,SAP_Spreadsheet!$E193,SAP_Spreadsheet!BC$6)</f>
        <v>4.0962056019875435E-3</v>
      </c>
      <c r="BP193" s="263">
        <f ca="1">BO192*OFFSET(SAP_Leadsheet!$D$102,SAP_Spreadsheet!$E193,SAP_Spreadsheet!BD$6)</f>
        <v>3.9911579880625115E-3</v>
      </c>
      <c r="BQ193" s="263">
        <f ca="1">BP192*OFFSET(SAP_Leadsheet!$D$102,SAP_Spreadsheet!$E193,SAP_Spreadsheet!BE$6)</f>
        <v>3.8870402597711243E-3</v>
      </c>
      <c r="BR193" s="263">
        <f ca="1">BQ192*OFFSET(SAP_Leadsheet!$D$102,SAP_Spreadsheet!$E193,SAP_Spreadsheet!BF$6)</f>
        <v>3.7834137609081254E-3</v>
      </c>
      <c r="BS193" s="263">
        <f ca="1">BR192*OFFSET(SAP_Leadsheet!$D$102,SAP_Spreadsheet!$E193,SAP_Spreadsheet!BG$6)</f>
        <v>3.6800094551529042E-3</v>
      </c>
      <c r="BT193" s="263">
        <f ca="1">BS192*OFFSET(SAP_Leadsheet!$D$102,SAP_Spreadsheet!$E193,SAP_Spreadsheet!BH$6)</f>
        <v>3.5765022410601467E-3</v>
      </c>
      <c r="BU193" s="263">
        <f ca="1">BT192*OFFSET(SAP_Leadsheet!$D$102,SAP_Spreadsheet!$E193,SAP_Spreadsheet!BI$6)</f>
        <v>3.4727344792257076E-3</v>
      </c>
      <c r="BV193" s="263">
        <f ca="1">BU192*OFFSET(SAP_Leadsheet!$D$102,SAP_Spreadsheet!$E193,SAP_Spreadsheet!BJ$6)</f>
        <v>3.3686817120728682E-3</v>
      </c>
      <c r="BW193" s="263">
        <f ca="1">BV192*OFFSET(SAP_Leadsheet!$D$102,SAP_Spreadsheet!$E193,SAP_Spreadsheet!BK$6)</f>
        <v>3.2631193731202639E-3</v>
      </c>
      <c r="BX193" s="263">
        <f ca="1">BW192*OFFSET(SAP_Leadsheet!$D$102,SAP_Spreadsheet!$E193,SAP_Spreadsheet!BL$6)</f>
        <v>3.1540543513867056E-3</v>
      </c>
      <c r="BY193" s="263">
        <f ca="1">BX192*OFFSET(SAP_Leadsheet!$D$102,SAP_Spreadsheet!$E193,SAP_Spreadsheet!BM$6)</f>
        <v>3.0424216730878619E-3</v>
      </c>
      <c r="BZ193" s="263">
        <f ca="1">BY192*OFFSET(SAP_Leadsheet!$D$102,SAP_Spreadsheet!$E193,SAP_Spreadsheet!BN$6)</f>
        <v>2.9295367519234328E-3</v>
      </c>
      <c r="CA193" s="254"/>
      <c r="CB193" s="254"/>
      <c r="CC193" s="254"/>
      <c r="CD193" s="254"/>
      <c r="CE193" s="254"/>
      <c r="CF193" s="254"/>
      <c r="CG193" s="254"/>
      <c r="CH193" s="254"/>
      <c r="CI193" s="254"/>
      <c r="CJ193" s="254"/>
      <c r="CK193" s="254"/>
      <c r="CL193" s="254"/>
    </row>
    <row r="194" spans="2:90" x14ac:dyDescent="0.15">
      <c r="D194" s="282" t="s">
        <v>373</v>
      </c>
      <c r="E194" s="26">
        <v>13</v>
      </c>
      <c r="F194" s="26" t="s">
        <v>341</v>
      </c>
      <c r="G194" s="263"/>
      <c r="H194" s="263">
        <f ca="1">G193*OFFSET(SAP_Leadsheet!$D$102,SAP_Spreadsheet!$E194,SAP_Spreadsheet!H$6)</f>
        <v>0</v>
      </c>
      <c r="I194" s="263">
        <f ca="1">H193*OFFSET(SAP_Leadsheet!$D$102,SAP_Spreadsheet!$E194,SAP_Spreadsheet!I$6)</f>
        <v>0</v>
      </c>
      <c r="J194" s="263">
        <f ca="1">I193*OFFSET(SAP_Leadsheet!$D$102,SAP_Spreadsheet!$E194,SAP_Spreadsheet!J$6)</f>
        <v>0</v>
      </c>
      <c r="K194" s="263">
        <f ca="1">J193*OFFSET(SAP_Leadsheet!$D$102,SAP_Spreadsheet!$E194,SAP_Spreadsheet!K$6)</f>
        <v>0</v>
      </c>
      <c r="L194" s="263">
        <f ca="1">K193*OFFSET(SAP_Leadsheet!$D$102,SAP_Spreadsheet!$E194,SAP_Spreadsheet!L$6)</f>
        <v>0</v>
      </c>
      <c r="M194" s="263">
        <f ca="1">L193*OFFSET(SAP_Leadsheet!$D$102,SAP_Spreadsheet!$E194,SAP_Spreadsheet!M$6)</f>
        <v>0</v>
      </c>
      <c r="N194" s="263">
        <f ca="1">M193*OFFSET(SAP_Leadsheet!$D$102,SAP_Spreadsheet!$E194,SAP_Spreadsheet!N$6)</f>
        <v>0</v>
      </c>
      <c r="O194" s="263">
        <f ca="1">N193*OFFSET(SAP_Leadsheet!$D$102,SAP_Spreadsheet!$E194,SAP_Spreadsheet!O$6)</f>
        <v>0</v>
      </c>
      <c r="P194" s="263">
        <f ca="1">O193*OFFSET(SAP_Leadsheet!$D$102,SAP_Spreadsheet!$E194,SAP_Spreadsheet!P$6)</f>
        <v>0</v>
      </c>
      <c r="Q194" s="263">
        <f ca="1">P193*OFFSET(SAP_Leadsheet!$D$102,SAP_Spreadsheet!$E194,SAP_Spreadsheet!Q$6)</f>
        <v>0</v>
      </c>
      <c r="R194" s="263">
        <f ca="1">Q193*OFFSET(SAP_Leadsheet!$D$102,SAP_Spreadsheet!$E194,SAP_Spreadsheet!R$6)</f>
        <v>0</v>
      </c>
      <c r="S194" s="263">
        <f ca="1">R193*OFFSET(SAP_Leadsheet!$D$102,SAP_Spreadsheet!$E194,SAP_Spreadsheet!S$6)</f>
        <v>0</v>
      </c>
      <c r="T194" s="263">
        <f ca="1">S193*OFFSET(SAP_Leadsheet!$D$102,SAP_Spreadsheet!$E194,SAP_Spreadsheet!T$6)</f>
        <v>2.4311080044447108E-2</v>
      </c>
      <c r="U194" s="263">
        <f ca="1">T193*OFFSET(SAP_Leadsheet!$D$102,SAP_Spreadsheet!$E194,SAP_Spreadsheet!U$6)</f>
        <v>4.2854189764466775E-2</v>
      </c>
      <c r="V194" s="263">
        <f ca="1">U193*OFFSET(SAP_Leadsheet!$D$102,SAP_Spreadsheet!$E194,SAP_Spreadsheet!V$6)</f>
        <v>5.0409684538960997E-2</v>
      </c>
      <c r="W194" s="263">
        <f ca="1">V193*OFFSET(SAP_Leadsheet!$D$102,SAP_Spreadsheet!$E194,SAP_Spreadsheet!W$6)</f>
        <v>5.0145547592013104E-2</v>
      </c>
      <c r="X194" s="263">
        <f ca="1">W193*OFFSET(SAP_Leadsheet!$D$102,SAP_Spreadsheet!$E194,SAP_Spreadsheet!X$6)</f>
        <v>4.6109849549855225E-2</v>
      </c>
      <c r="Y194" s="263">
        <f ca="1">X193*OFFSET(SAP_Leadsheet!$D$102,SAP_Spreadsheet!$E194,SAP_Spreadsheet!Y$6)</f>
        <v>4.06945807410109E-2</v>
      </c>
      <c r="Z194" s="263">
        <f ca="1">Y193*OFFSET(SAP_Leadsheet!$D$102,SAP_Spreadsheet!$E194,SAP_Spreadsheet!Z$6)</f>
        <v>3.4420877065781695E-2</v>
      </c>
      <c r="AA194" s="263">
        <f ca="1">Z193*OFFSET(SAP_Leadsheet!$D$102,SAP_Spreadsheet!$E194,SAP_Spreadsheet!AA$6)</f>
        <v>2.9576269966928918E-2</v>
      </c>
      <c r="AB194" s="263">
        <f ca="1">AA193*OFFSET(SAP_Leadsheet!$D$102,SAP_Spreadsheet!$E194,SAP_Spreadsheet!AB$6)</f>
        <v>2.5402967644451022E-2</v>
      </c>
      <c r="AC194" s="263">
        <f ca="1">AB193*OFFSET(SAP_Leadsheet!$D$102,SAP_Spreadsheet!$E194,SAP_Spreadsheet!AC$6)</f>
        <v>2.1631469521173605E-2</v>
      </c>
      <c r="AD194" s="263">
        <f ca="1">AC193*OFFSET(SAP_Leadsheet!$D$102,SAP_Spreadsheet!$E194,SAP_Spreadsheet!AD$6)</f>
        <v>1.8482536860721828E-2</v>
      </c>
      <c r="AE194" s="263">
        <f ca="1">AD193*OFFSET(SAP_Leadsheet!$D$102,SAP_Spreadsheet!$E194,SAP_Spreadsheet!AE$6)</f>
        <v>9.2824174646438558E-3</v>
      </c>
      <c r="AF194" s="263">
        <f ca="1">AE193*OFFSET(SAP_Leadsheet!$D$102,SAP_Spreadsheet!$E194,SAP_Spreadsheet!AF$6)</f>
        <v>9.5290500416414618E-3</v>
      </c>
      <c r="AG194" s="263">
        <f ca="1">AF193*OFFSET(SAP_Leadsheet!$D$102,SAP_Spreadsheet!$E194,SAP_Spreadsheet!AG$6)</f>
        <v>1.0965717377576583E-2</v>
      </c>
      <c r="AH194" s="263">
        <f ca="1">AG193*OFFSET(SAP_Leadsheet!$D$102,SAP_Spreadsheet!$E194,SAP_Spreadsheet!AH$6)</f>
        <v>1.1308202951319981E-2</v>
      </c>
      <c r="AI194" s="263">
        <f ca="1">AH193*OFFSET(SAP_Leadsheet!$D$102,SAP_Spreadsheet!$E194,SAP_Spreadsheet!AI$6)</f>
        <v>1.0767064780283341E-2</v>
      </c>
      <c r="AJ194" s="263">
        <f ca="1">AI193*OFFSET(SAP_Leadsheet!$D$102,SAP_Spreadsheet!$E194,SAP_Spreadsheet!AJ$6)</f>
        <v>1.0903623003937612E-2</v>
      </c>
      <c r="AK194" s="263">
        <f ca="1">AJ193*OFFSET(SAP_Leadsheet!$D$102,SAP_Spreadsheet!$E194,SAP_Spreadsheet!AK$6)</f>
        <v>1.121341386829695E-2</v>
      </c>
      <c r="AL194" s="263">
        <f ca="1">AK193*OFFSET(SAP_Leadsheet!$D$102,SAP_Spreadsheet!$E194,SAP_Spreadsheet!AL$6)</f>
        <v>1.1435272968155037E-2</v>
      </c>
      <c r="AM194" s="263">
        <f ca="1">AL193*OFFSET(SAP_Leadsheet!$D$102,SAP_Spreadsheet!$E194,SAP_Spreadsheet!AM$6)</f>
        <v>1.1564055462820312E-2</v>
      </c>
      <c r="AN194" s="263">
        <f ca="1">AM193*OFFSET(SAP_Leadsheet!$D$102,SAP_Spreadsheet!$E194,SAP_Spreadsheet!AN$6)</f>
        <v>1.1162317329544194E-2</v>
      </c>
      <c r="AO194" s="263">
        <f ca="1">AN193*OFFSET(SAP_Leadsheet!$D$102,SAP_Spreadsheet!$E194,SAP_Spreadsheet!AO$6)</f>
        <v>1.046595221648264E-2</v>
      </c>
      <c r="AP194" s="263">
        <f ca="1">AO193*OFFSET(SAP_Leadsheet!$D$102,SAP_Spreadsheet!$E194,SAP_Spreadsheet!AP$6)</f>
        <v>1.0185514993488017E-2</v>
      </c>
      <c r="AQ194" s="263">
        <f ca="1">AP193*OFFSET(SAP_Leadsheet!$D$102,SAP_Spreadsheet!$E194,SAP_Spreadsheet!AQ$6)</f>
        <v>8.3330392866375839E-3</v>
      </c>
      <c r="AR194" s="263">
        <f ca="1">AQ193*OFFSET(SAP_Leadsheet!$D$102,SAP_Spreadsheet!$E194,SAP_Spreadsheet!AR$6)</f>
        <v>8.5032863954991583E-3</v>
      </c>
      <c r="AS194" s="263">
        <f ca="1">AR193*OFFSET(SAP_Leadsheet!$D$102,SAP_Spreadsheet!$E194,SAP_Spreadsheet!AS$6)</f>
        <v>9.0262469754481527E-3</v>
      </c>
      <c r="AT194" s="263">
        <f ca="1">AS193*OFFSET(SAP_Leadsheet!$D$102,SAP_Spreadsheet!$E194,SAP_Spreadsheet!AT$6)</f>
        <v>9.349269002695575E-3</v>
      </c>
      <c r="AU194" s="263">
        <f ca="1">AT193*OFFSET(SAP_Leadsheet!$D$102,SAP_Spreadsheet!$E194,SAP_Spreadsheet!AU$6)</f>
        <v>9.3952584137942437E-3</v>
      </c>
      <c r="AV194" s="263">
        <f ca="1">AU193*OFFSET(SAP_Leadsheet!$D$102,SAP_Spreadsheet!$E194,SAP_Spreadsheet!AV$6)</f>
        <v>9.2600096982636132E-3</v>
      </c>
      <c r="AW194" s="263">
        <f ca="1">AV193*OFFSET(SAP_Leadsheet!$D$102,SAP_Spreadsheet!$E194,SAP_Spreadsheet!AW$6)</f>
        <v>9.0446468321722338E-3</v>
      </c>
      <c r="AX194" s="263">
        <f ca="1">AW193*OFFSET(SAP_Leadsheet!$D$102,SAP_Spreadsheet!$E194,SAP_Spreadsheet!AX$6)</f>
        <v>8.807066859010176E-3</v>
      </c>
      <c r="AY194" s="263">
        <f ca="1">AX193*OFFSET(SAP_Leadsheet!$D$102,SAP_Spreadsheet!$E194,SAP_Spreadsheet!AY$6)</f>
        <v>8.8639473028057879E-3</v>
      </c>
      <c r="AZ194" s="263">
        <f ca="1">AY193*OFFSET(SAP_Leadsheet!$D$102,SAP_Spreadsheet!$E194,SAP_Spreadsheet!AZ$6)</f>
        <v>8.5859555565104013E-3</v>
      </c>
      <c r="BA194" s="263">
        <f ca="1">AZ193*OFFSET(SAP_Leadsheet!$D$102,SAP_Spreadsheet!$E194,SAP_Spreadsheet!BA$6)</f>
        <v>8.2347316498424302E-3</v>
      </c>
      <c r="BB194" s="263">
        <f ca="1">BA193*OFFSET(SAP_Leadsheet!$D$102,SAP_Spreadsheet!$E194,SAP_Spreadsheet!BB$6)</f>
        <v>7.6249382825765199E-3</v>
      </c>
      <c r="BC194" s="263">
        <f ca="1">BB193*OFFSET(SAP_Leadsheet!$D$102,SAP_Spreadsheet!$E194,SAP_Spreadsheet!BC$6)</f>
        <v>6.1324614361656909E-3</v>
      </c>
      <c r="BD194" s="263">
        <f ca="1">BC193*OFFSET(SAP_Leadsheet!$D$102,SAP_Spreadsheet!$E194,SAP_Spreadsheet!BD$6)</f>
        <v>5.9967166074469894E-3</v>
      </c>
      <c r="BE194" s="263">
        <f ca="1">BD193*OFFSET(SAP_Leadsheet!$D$102,SAP_Spreadsheet!$E194,SAP_Spreadsheet!BE$6)</f>
        <v>5.8857819975952977E-3</v>
      </c>
      <c r="BF194" s="263">
        <f ca="1">BE193*OFFSET(SAP_Leadsheet!$D$102,SAP_Spreadsheet!$E194,SAP_Spreadsheet!BF$6)</f>
        <v>5.78685179979918E-3</v>
      </c>
      <c r="BG194" s="263">
        <f ca="1">BF193*OFFSET(SAP_Leadsheet!$D$102,SAP_Spreadsheet!$E194,SAP_Spreadsheet!BG$6)</f>
        <v>5.6903340301367863E-3</v>
      </c>
      <c r="BH194" s="263">
        <f ca="1">BG193*OFFSET(SAP_Leadsheet!$D$102,SAP_Spreadsheet!$E194,SAP_Spreadsheet!BH$6)</f>
        <v>5.5925612692839573E-3</v>
      </c>
      <c r="BI194" s="263">
        <f ca="1">BH193*OFFSET(SAP_Leadsheet!$D$102,SAP_Spreadsheet!$E194,SAP_Spreadsheet!BI$6)</f>
        <v>5.4930071447300546E-3</v>
      </c>
      <c r="BJ194" s="263">
        <f ca="1">BI193*OFFSET(SAP_Leadsheet!$D$102,SAP_Spreadsheet!$E194,SAP_Spreadsheet!BJ$6)</f>
        <v>5.3908658110735285E-3</v>
      </c>
      <c r="BK194" s="263">
        <f ca="1">BJ193*OFFSET(SAP_Leadsheet!$D$102,SAP_Spreadsheet!$E194,SAP_Spreadsheet!BK$6)</f>
        <v>5.2848823235755373E-3</v>
      </c>
      <c r="BL194" s="263">
        <f ca="1">BK193*OFFSET(SAP_Leadsheet!$D$102,SAP_Spreadsheet!$E194,SAP_Spreadsheet!BL$6)</f>
        <v>5.1709545093049812E-3</v>
      </c>
      <c r="BM194" s="263">
        <f ca="1">BL193*OFFSET(SAP_Leadsheet!$D$102,SAP_Spreadsheet!$E194,SAP_Spreadsheet!BM$6)</f>
        <v>5.0452789293728584E-3</v>
      </c>
      <c r="BN194" s="263">
        <f ca="1">BM193*OFFSET(SAP_Leadsheet!$D$102,SAP_Spreadsheet!$E194,SAP_Spreadsheet!BN$6)</f>
        <v>4.911655601902344E-3</v>
      </c>
      <c r="BO194" s="263">
        <f ca="1">BN193*OFFSET(SAP_Leadsheet!$D$102,SAP_Spreadsheet!$E194,SAP_Spreadsheet!BC$6)</f>
        <v>4.2015133548954442E-3</v>
      </c>
      <c r="BP194" s="263">
        <f ca="1">BO193*OFFSET(SAP_Leadsheet!$D$102,SAP_Spreadsheet!$E194,SAP_Spreadsheet!BD$6)</f>
        <v>4.0962056019875435E-3</v>
      </c>
      <c r="BQ194" s="263">
        <f ca="1">BP193*OFFSET(SAP_Leadsheet!$D$102,SAP_Spreadsheet!$E194,SAP_Spreadsheet!BE$6)</f>
        <v>3.9911579880625115E-3</v>
      </c>
      <c r="BR194" s="263">
        <f ca="1">BQ193*OFFSET(SAP_Leadsheet!$D$102,SAP_Spreadsheet!$E194,SAP_Spreadsheet!BF$6)</f>
        <v>3.8870402597711243E-3</v>
      </c>
      <c r="BS194" s="263">
        <f ca="1">BR193*OFFSET(SAP_Leadsheet!$D$102,SAP_Spreadsheet!$E194,SAP_Spreadsheet!BG$6)</f>
        <v>3.7834137609081254E-3</v>
      </c>
      <c r="BT194" s="263">
        <f ca="1">BS193*OFFSET(SAP_Leadsheet!$D$102,SAP_Spreadsheet!$E194,SAP_Spreadsheet!BH$6)</f>
        <v>3.6800094551529042E-3</v>
      </c>
      <c r="BU194" s="263">
        <f ca="1">BT193*OFFSET(SAP_Leadsheet!$D$102,SAP_Spreadsheet!$E194,SAP_Spreadsheet!BI$6)</f>
        <v>3.5765022410601467E-3</v>
      </c>
      <c r="BV194" s="263">
        <f ca="1">BU193*OFFSET(SAP_Leadsheet!$D$102,SAP_Spreadsheet!$E194,SAP_Spreadsheet!BJ$6)</f>
        <v>3.4727344792257076E-3</v>
      </c>
      <c r="BW194" s="263">
        <f ca="1">BV193*OFFSET(SAP_Leadsheet!$D$102,SAP_Spreadsheet!$E194,SAP_Spreadsheet!BK$6)</f>
        <v>3.3686817120728682E-3</v>
      </c>
      <c r="BX194" s="263">
        <f ca="1">BW193*OFFSET(SAP_Leadsheet!$D$102,SAP_Spreadsheet!$E194,SAP_Spreadsheet!BL$6)</f>
        <v>3.2631193731202639E-3</v>
      </c>
      <c r="BY194" s="263">
        <f ca="1">BX193*OFFSET(SAP_Leadsheet!$D$102,SAP_Spreadsheet!$E194,SAP_Spreadsheet!BM$6)</f>
        <v>3.1540543513867056E-3</v>
      </c>
      <c r="BZ194" s="263">
        <f ca="1">BY193*OFFSET(SAP_Leadsheet!$D$102,SAP_Spreadsheet!$E194,SAP_Spreadsheet!BN$6)</f>
        <v>3.0424216730878619E-3</v>
      </c>
      <c r="CA194" s="254"/>
      <c r="CB194" s="254"/>
      <c r="CC194" s="254"/>
      <c r="CD194" s="254"/>
      <c r="CE194" s="254"/>
      <c r="CF194" s="254"/>
      <c r="CG194" s="254"/>
      <c r="CH194" s="254"/>
      <c r="CI194" s="254"/>
      <c r="CJ194" s="254"/>
      <c r="CK194" s="254"/>
      <c r="CL194" s="254"/>
    </row>
    <row r="195" spans="2:90" x14ac:dyDescent="0.15">
      <c r="D195" s="282" t="s">
        <v>374</v>
      </c>
      <c r="F195" s="26" t="s">
        <v>341</v>
      </c>
      <c r="G195" s="263"/>
      <c r="H195" s="263">
        <f>G195+G194</f>
        <v>0</v>
      </c>
      <c r="I195" s="263">
        <f t="shared" ref="I195:BT195" ca="1" si="22">H195+H194</f>
        <v>0</v>
      </c>
      <c r="J195" s="263">
        <f t="shared" ca="1" si="22"/>
        <v>0</v>
      </c>
      <c r="K195" s="263">
        <f t="shared" ca="1" si="22"/>
        <v>0</v>
      </c>
      <c r="L195" s="263">
        <f t="shared" ca="1" si="22"/>
        <v>0</v>
      </c>
      <c r="M195" s="263">
        <f t="shared" ca="1" si="22"/>
        <v>0</v>
      </c>
      <c r="N195" s="263">
        <f t="shared" ca="1" si="22"/>
        <v>0</v>
      </c>
      <c r="O195" s="263">
        <f t="shared" ca="1" si="22"/>
        <v>0</v>
      </c>
      <c r="P195" s="263">
        <f t="shared" ca="1" si="22"/>
        <v>0</v>
      </c>
      <c r="Q195" s="263">
        <f t="shared" ca="1" si="22"/>
        <v>0</v>
      </c>
      <c r="R195" s="263">
        <f t="shared" ca="1" si="22"/>
        <v>0</v>
      </c>
      <c r="S195" s="263">
        <f t="shared" ca="1" si="22"/>
        <v>0</v>
      </c>
      <c r="T195" s="263">
        <f t="shared" ca="1" si="22"/>
        <v>0</v>
      </c>
      <c r="U195" s="263">
        <f t="shared" ca="1" si="22"/>
        <v>2.4311080044447108E-2</v>
      </c>
      <c r="V195" s="263">
        <f t="shared" ca="1" si="22"/>
        <v>6.716526980891388E-2</v>
      </c>
      <c r="W195" s="263">
        <f t="shared" ca="1" si="22"/>
        <v>0.11757495434787488</v>
      </c>
      <c r="X195" s="263">
        <f t="shared" ca="1" si="22"/>
        <v>0.16772050193988797</v>
      </c>
      <c r="Y195" s="263">
        <f t="shared" ca="1" si="22"/>
        <v>0.21383035148974319</v>
      </c>
      <c r="Z195" s="263">
        <f t="shared" ca="1" si="22"/>
        <v>0.25452493223075412</v>
      </c>
      <c r="AA195" s="263">
        <f t="shared" ca="1" si="22"/>
        <v>0.28894580929653579</v>
      </c>
      <c r="AB195" s="263">
        <f t="shared" ca="1" si="22"/>
        <v>0.31852207926346471</v>
      </c>
      <c r="AC195" s="263">
        <f t="shared" ca="1" si="22"/>
        <v>0.34392504690791575</v>
      </c>
      <c r="AD195" s="263">
        <f t="shared" ca="1" si="22"/>
        <v>0.36555651642908937</v>
      </c>
      <c r="AE195" s="263">
        <f t="shared" ca="1" si="22"/>
        <v>0.38403905328981119</v>
      </c>
      <c r="AF195" s="263">
        <f t="shared" ca="1" si="22"/>
        <v>0.39332147075445506</v>
      </c>
      <c r="AG195" s="263">
        <f t="shared" ca="1" si="22"/>
        <v>0.40285052079609651</v>
      </c>
      <c r="AH195" s="263">
        <f t="shared" ca="1" si="22"/>
        <v>0.41381623817367308</v>
      </c>
      <c r="AI195" s="263">
        <f t="shared" ca="1" si="22"/>
        <v>0.42512444112499304</v>
      </c>
      <c r="AJ195" s="263">
        <f t="shared" ca="1" si="22"/>
        <v>0.43589150590527637</v>
      </c>
      <c r="AK195" s="263">
        <f t="shared" ca="1" si="22"/>
        <v>0.44679512890921397</v>
      </c>
      <c r="AL195" s="263">
        <f t="shared" ca="1" si="22"/>
        <v>0.45800854277751091</v>
      </c>
      <c r="AM195" s="263">
        <f t="shared" ca="1" si="22"/>
        <v>0.46944381574566596</v>
      </c>
      <c r="AN195" s="263">
        <f t="shared" ca="1" si="22"/>
        <v>0.48100787120848626</v>
      </c>
      <c r="AO195" s="263">
        <f t="shared" ca="1" si="22"/>
        <v>0.49217018853803046</v>
      </c>
      <c r="AP195" s="263">
        <f t="shared" ca="1" si="22"/>
        <v>0.50263614075451313</v>
      </c>
      <c r="AQ195" s="263">
        <f t="shared" ca="1" si="22"/>
        <v>0.51282165574800109</v>
      </c>
      <c r="AR195" s="263">
        <f t="shared" ca="1" si="22"/>
        <v>0.52115469503463863</v>
      </c>
      <c r="AS195" s="263">
        <f t="shared" ca="1" si="22"/>
        <v>0.52965798143013776</v>
      </c>
      <c r="AT195" s="263">
        <f t="shared" ca="1" si="22"/>
        <v>0.53868422840558594</v>
      </c>
      <c r="AU195" s="263">
        <f t="shared" ca="1" si="22"/>
        <v>0.54803349740828156</v>
      </c>
      <c r="AV195" s="263">
        <f t="shared" ca="1" si="22"/>
        <v>0.55742875582207585</v>
      </c>
      <c r="AW195" s="263">
        <f t="shared" ca="1" si="22"/>
        <v>0.56668876552033942</v>
      </c>
      <c r="AX195" s="263">
        <f t="shared" ca="1" si="22"/>
        <v>0.57573341235251163</v>
      </c>
      <c r="AY195" s="263">
        <f t="shared" ca="1" si="22"/>
        <v>0.58454047921152186</v>
      </c>
      <c r="AZ195" s="263">
        <f t="shared" ca="1" si="22"/>
        <v>0.59340442651432768</v>
      </c>
      <c r="BA195" s="263">
        <f t="shared" ca="1" si="22"/>
        <v>0.6019903820708381</v>
      </c>
      <c r="BB195" s="263">
        <f t="shared" ca="1" si="22"/>
        <v>0.61022511372068056</v>
      </c>
      <c r="BC195" s="263">
        <f t="shared" ca="1" si="22"/>
        <v>0.61785005200325704</v>
      </c>
      <c r="BD195" s="263">
        <f t="shared" ca="1" si="22"/>
        <v>0.62398251343942268</v>
      </c>
      <c r="BE195" s="263">
        <f t="shared" ca="1" si="22"/>
        <v>0.62997923004686962</v>
      </c>
      <c r="BF195" s="263">
        <f t="shared" ca="1" si="22"/>
        <v>0.63586501204446488</v>
      </c>
      <c r="BG195" s="263">
        <f t="shared" ca="1" si="22"/>
        <v>0.64165186384426409</v>
      </c>
      <c r="BH195" s="263">
        <f t="shared" ca="1" si="22"/>
        <v>0.64734219787440084</v>
      </c>
      <c r="BI195" s="263">
        <f t="shared" ca="1" si="22"/>
        <v>0.65293475914368482</v>
      </c>
      <c r="BJ195" s="263">
        <f t="shared" ca="1" si="22"/>
        <v>0.65842776628841482</v>
      </c>
      <c r="BK195" s="263">
        <f t="shared" ca="1" si="22"/>
        <v>0.66381863209948833</v>
      </c>
      <c r="BL195" s="263">
        <f t="shared" ca="1" si="22"/>
        <v>0.66910351442306382</v>
      </c>
      <c r="BM195" s="263">
        <f t="shared" ca="1" si="22"/>
        <v>0.67427446893236875</v>
      </c>
      <c r="BN195" s="263">
        <f t="shared" ca="1" si="22"/>
        <v>0.67931974786174165</v>
      </c>
      <c r="BO195" s="263">
        <f t="shared" ca="1" si="22"/>
        <v>0.68423140346364397</v>
      </c>
      <c r="BP195" s="263">
        <f t="shared" ca="1" si="22"/>
        <v>0.68843291681853946</v>
      </c>
      <c r="BQ195" s="263">
        <f t="shared" ca="1" si="22"/>
        <v>0.692529122420527</v>
      </c>
      <c r="BR195" s="263">
        <f t="shared" ca="1" si="22"/>
        <v>0.69652028040858949</v>
      </c>
      <c r="BS195" s="263">
        <f t="shared" ca="1" si="22"/>
        <v>0.70040732066836064</v>
      </c>
      <c r="BT195" s="263">
        <f t="shared" ca="1" si="22"/>
        <v>0.70419073442926872</v>
      </c>
      <c r="BU195" s="263">
        <f t="shared" ref="BU195:BZ195" ca="1" si="23">BT195+BT194</f>
        <v>0.70787074388442162</v>
      </c>
      <c r="BV195" s="263">
        <f t="shared" ca="1" si="23"/>
        <v>0.71144724612548171</v>
      </c>
      <c r="BW195" s="263">
        <f t="shared" ca="1" si="23"/>
        <v>0.71491998060470741</v>
      </c>
      <c r="BX195" s="263">
        <f t="shared" ca="1" si="23"/>
        <v>0.71828866231678024</v>
      </c>
      <c r="BY195" s="263">
        <f t="shared" ca="1" si="23"/>
        <v>0.72155178168990053</v>
      </c>
      <c r="BZ195" s="263">
        <f t="shared" ca="1" si="23"/>
        <v>0.72470583604128724</v>
      </c>
      <c r="CA195" s="254"/>
      <c r="CB195" s="254"/>
      <c r="CC195" s="254"/>
      <c r="CD195" s="254"/>
      <c r="CE195" s="254"/>
      <c r="CF195" s="254"/>
      <c r="CG195" s="254"/>
      <c r="CH195" s="254"/>
      <c r="CI195" s="254"/>
      <c r="CJ195" s="254"/>
      <c r="CK195" s="254"/>
      <c r="CL195" s="254"/>
    </row>
    <row r="196" spans="2:90" x14ac:dyDescent="0.15">
      <c r="D196" s="28"/>
      <c r="G196" s="266"/>
      <c r="H196" s="266"/>
      <c r="I196" s="266"/>
      <c r="J196" s="266"/>
      <c r="K196" s="266"/>
      <c r="L196" s="266"/>
      <c r="M196" s="266"/>
      <c r="N196" s="266"/>
      <c r="O196" s="266"/>
      <c r="P196" s="266"/>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83"/>
      <c r="BA196" s="283"/>
      <c r="BB196" s="283"/>
      <c r="BC196" s="283"/>
      <c r="BD196" s="283"/>
      <c r="BE196" s="283"/>
      <c r="BF196" s="283"/>
      <c r="BG196" s="283"/>
      <c r="BH196" s="283"/>
      <c r="BI196" s="283"/>
      <c r="BJ196" s="283"/>
      <c r="BK196" s="283"/>
      <c r="BL196" s="283"/>
      <c r="BM196" s="283"/>
      <c r="BN196" s="283"/>
      <c r="BO196" s="254"/>
      <c r="BP196" s="254"/>
      <c r="BQ196" s="254"/>
      <c r="BR196" s="254"/>
      <c r="BS196" s="254"/>
      <c r="BT196" s="254"/>
      <c r="BU196" s="254"/>
      <c r="BV196" s="254"/>
      <c r="BW196" s="254"/>
      <c r="BX196" s="254"/>
      <c r="BY196" s="254"/>
      <c r="BZ196" s="254"/>
      <c r="CA196" s="254"/>
      <c r="CB196" s="254"/>
      <c r="CC196" s="254"/>
      <c r="CD196" s="254"/>
      <c r="CE196" s="254"/>
      <c r="CF196" s="254"/>
      <c r="CG196" s="254"/>
      <c r="CH196" s="254"/>
      <c r="CI196" s="254"/>
      <c r="CJ196" s="254"/>
      <c r="CK196" s="254"/>
      <c r="CL196" s="254"/>
    </row>
    <row r="197" spans="2:90" x14ac:dyDescent="0.15">
      <c r="D197" s="28"/>
      <c r="G197" s="266"/>
      <c r="H197" s="266"/>
      <c r="I197" s="266"/>
      <c r="J197" s="266"/>
      <c r="K197" s="266"/>
      <c r="L197" s="266"/>
      <c r="M197" s="266"/>
      <c r="N197" s="266"/>
      <c r="O197" s="266"/>
      <c r="P197" s="266"/>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83"/>
      <c r="BA197" s="283"/>
      <c r="BB197" s="283"/>
      <c r="BC197" s="283"/>
      <c r="BD197" s="283"/>
      <c r="BE197" s="283"/>
      <c r="BF197" s="283"/>
      <c r="BG197" s="283"/>
      <c r="BH197" s="283"/>
      <c r="BI197" s="283"/>
      <c r="BJ197" s="283"/>
      <c r="BK197" s="283"/>
      <c r="BL197" s="283"/>
      <c r="BM197" s="283"/>
      <c r="BN197" s="283"/>
      <c r="BO197" s="254"/>
      <c r="BP197" s="254"/>
      <c r="BQ197" s="254"/>
      <c r="BR197" s="254"/>
      <c r="BS197" s="254"/>
      <c r="BT197" s="254"/>
      <c r="BU197" s="254"/>
      <c r="BV197" s="254"/>
      <c r="BW197" s="254"/>
      <c r="BX197" s="254"/>
      <c r="BY197" s="254"/>
      <c r="BZ197" s="254"/>
      <c r="CA197" s="254"/>
      <c r="CB197" s="254"/>
      <c r="CC197" s="254"/>
      <c r="CD197" s="254"/>
      <c r="CE197" s="254"/>
      <c r="CF197" s="254"/>
      <c r="CG197" s="254"/>
      <c r="CH197" s="254"/>
      <c r="CI197" s="254"/>
      <c r="CJ197" s="254"/>
      <c r="CK197" s="254"/>
      <c r="CL197" s="254"/>
    </row>
    <row r="198" spans="2:90" x14ac:dyDescent="0.15">
      <c r="C198" s="269" t="s">
        <v>158</v>
      </c>
      <c r="D198" s="31" t="s">
        <v>39</v>
      </c>
      <c r="F198" s="26" t="s">
        <v>375</v>
      </c>
      <c r="G198" s="284">
        <f>IF(G7&gt;SAP_Leadsheet!$E$21,0,SAP_Leadsheet!$E$22)</f>
        <v>5</v>
      </c>
      <c r="H198" s="284">
        <f>IF(H7&gt;SAP_Leadsheet!$E$21,0,SAP_Leadsheet!$E$22)</f>
        <v>5</v>
      </c>
      <c r="I198" s="284">
        <f>IF(I7&gt;SAP_Leadsheet!$E$21,0,SAP_Leadsheet!$E$22)</f>
        <v>5</v>
      </c>
      <c r="J198" s="284">
        <f>IF(J7&gt;SAP_Leadsheet!$E$21,0,SAP_Leadsheet!$E$22)</f>
        <v>5</v>
      </c>
      <c r="K198" s="284">
        <f>IF(K7&gt;SAP_Leadsheet!$E$21,0,SAP_Leadsheet!$E$22)</f>
        <v>5</v>
      </c>
      <c r="L198" s="284">
        <f>IF(L7&gt;SAP_Leadsheet!$E$21,0,SAP_Leadsheet!$E$22)</f>
        <v>5</v>
      </c>
      <c r="M198" s="284">
        <f>IF(M7&gt;SAP_Leadsheet!$E$21,0,SAP_Leadsheet!$E$22)</f>
        <v>5</v>
      </c>
      <c r="N198" s="284">
        <f>IF(N7&gt;SAP_Leadsheet!$E$21,0,SAP_Leadsheet!$E$22)</f>
        <v>5</v>
      </c>
      <c r="O198" s="284">
        <f>IF(O7&gt;SAP_Leadsheet!$E$21,0,SAP_Leadsheet!$E$22)</f>
        <v>5</v>
      </c>
      <c r="P198" s="284">
        <f>IF(P7&gt;SAP_Leadsheet!$E$21,0,SAP_Leadsheet!$E$22)</f>
        <v>5</v>
      </c>
      <c r="Q198" s="284">
        <f>IF(Q7&gt;SAP_Leadsheet!$E$21,0,SAP_Leadsheet!$E$22)</f>
        <v>5</v>
      </c>
      <c r="R198" s="284">
        <f>IF(R7&gt;SAP_Leadsheet!$E$21,0,SAP_Leadsheet!$E$22)</f>
        <v>5</v>
      </c>
      <c r="S198" s="284">
        <f>IF(S7&gt;SAP_Leadsheet!$E$21,0,SAP_Leadsheet!$E$22)</f>
        <v>5</v>
      </c>
      <c r="T198" s="284">
        <f>IF(T7&gt;SAP_Leadsheet!$E$21,0,SAP_Leadsheet!$E$22)</f>
        <v>5</v>
      </c>
      <c r="U198" s="284">
        <f>IF(U7&gt;SAP_Leadsheet!$E$21,0,SAP_Leadsheet!$E$22)</f>
        <v>5</v>
      </c>
      <c r="V198" s="284">
        <f>IF(V7&gt;SAP_Leadsheet!$E$21,0,SAP_Leadsheet!$E$22)</f>
        <v>5</v>
      </c>
      <c r="W198" s="284">
        <f>IF(W7&gt;SAP_Leadsheet!$E$21,0,SAP_Leadsheet!$E$22)</f>
        <v>5</v>
      </c>
      <c r="X198" s="284">
        <f>IF(X7&gt;SAP_Leadsheet!$E$21,0,SAP_Leadsheet!$E$22)</f>
        <v>5</v>
      </c>
      <c r="Y198" s="284">
        <f>IF(Y7&gt;SAP_Leadsheet!$E$21,0,SAP_Leadsheet!$E$22)</f>
        <v>5</v>
      </c>
      <c r="Z198" s="284">
        <f>IF(Z7&gt;SAP_Leadsheet!$E$21,0,SAP_Leadsheet!$E$22)</f>
        <v>5</v>
      </c>
      <c r="AA198" s="284">
        <f>IF(AA7&gt;SAP_Leadsheet!$E$21,0,SAP_Leadsheet!$E$22)</f>
        <v>5</v>
      </c>
      <c r="AB198" s="284">
        <f>IF(AB7&gt;SAP_Leadsheet!$E$21,0,SAP_Leadsheet!$E$22)</f>
        <v>5</v>
      </c>
      <c r="AC198" s="284">
        <f>IF(AC7&gt;SAP_Leadsheet!$E$21,0,SAP_Leadsheet!$E$22)</f>
        <v>5</v>
      </c>
      <c r="AD198" s="284">
        <f>IF(AD7&gt;SAP_Leadsheet!$E$21,0,SAP_Leadsheet!$E$22)</f>
        <v>5</v>
      </c>
      <c r="AE198" s="284">
        <f>IF(AE7&gt;SAP_Leadsheet!$E$21,0,SAP_Leadsheet!$E$22)</f>
        <v>5</v>
      </c>
      <c r="AF198" s="284">
        <f>IF(AF7&gt;SAP_Leadsheet!$E$21,0,SAP_Leadsheet!$E$22)</f>
        <v>5</v>
      </c>
      <c r="AG198" s="284">
        <f>IF(AG7&gt;SAP_Leadsheet!$E$21,0,SAP_Leadsheet!$E$22)</f>
        <v>5</v>
      </c>
      <c r="AH198" s="284">
        <f>IF(AH7&gt;SAP_Leadsheet!$E$21,0,SAP_Leadsheet!$E$22)</f>
        <v>5</v>
      </c>
      <c r="AI198" s="284">
        <f>IF(AI7&gt;SAP_Leadsheet!$E$21,0,SAP_Leadsheet!$E$22)</f>
        <v>5</v>
      </c>
      <c r="AJ198" s="284">
        <f>IF(AJ7&gt;SAP_Leadsheet!$E$21,0,SAP_Leadsheet!$E$22)</f>
        <v>5</v>
      </c>
      <c r="AK198" s="284">
        <f>IF(AK7&gt;SAP_Leadsheet!$E$21,0,SAP_Leadsheet!$E$22)</f>
        <v>5</v>
      </c>
      <c r="AL198" s="284">
        <f>IF(AL7&gt;SAP_Leadsheet!$E$21,0,SAP_Leadsheet!$E$22)</f>
        <v>5</v>
      </c>
      <c r="AM198" s="284">
        <f>IF(AM7&gt;SAP_Leadsheet!$E$21,0,SAP_Leadsheet!$E$22)</f>
        <v>5</v>
      </c>
      <c r="AN198" s="284">
        <f>IF(AN7&gt;SAP_Leadsheet!$E$21,0,SAP_Leadsheet!$E$22)</f>
        <v>5</v>
      </c>
      <c r="AO198" s="284">
        <f>IF(AO7&gt;SAP_Leadsheet!$E$21,0,SAP_Leadsheet!$E$22)</f>
        <v>5</v>
      </c>
      <c r="AP198" s="284">
        <f>IF(AP7&gt;SAP_Leadsheet!$E$21,0,SAP_Leadsheet!$E$22)</f>
        <v>5</v>
      </c>
      <c r="AQ198" s="284">
        <f>IF(AQ7&gt;SAP_Leadsheet!$E$21,0,SAP_Leadsheet!$E$22)</f>
        <v>5</v>
      </c>
      <c r="AR198" s="284">
        <f>IF(AR7&gt;SAP_Leadsheet!$E$21,0,SAP_Leadsheet!$E$22)</f>
        <v>5</v>
      </c>
      <c r="AS198" s="284">
        <f>IF(AS7&gt;SAP_Leadsheet!$E$21,0,SAP_Leadsheet!$E$22)</f>
        <v>5</v>
      </c>
      <c r="AT198" s="284">
        <f>IF(AT7&gt;SAP_Leadsheet!$E$21,0,SAP_Leadsheet!$E$22)</f>
        <v>5</v>
      </c>
      <c r="AU198" s="284">
        <f>IF(AU7&gt;SAP_Leadsheet!$E$21,0,SAP_Leadsheet!$E$22)</f>
        <v>5</v>
      </c>
      <c r="AV198" s="284">
        <f>IF(AV7&gt;SAP_Leadsheet!$E$21,0,SAP_Leadsheet!$E$22)</f>
        <v>5</v>
      </c>
      <c r="AW198" s="284">
        <f>IF(AW7&gt;SAP_Leadsheet!$E$21,0,SAP_Leadsheet!$E$22)</f>
        <v>5</v>
      </c>
      <c r="AX198" s="284">
        <f>IF(AX7&gt;SAP_Leadsheet!$E$21,0,SAP_Leadsheet!$E$22)</f>
        <v>5</v>
      </c>
      <c r="AY198" s="284">
        <f>IF(AY7&gt;SAP_Leadsheet!$E$21,0,SAP_Leadsheet!$E$22)</f>
        <v>5</v>
      </c>
      <c r="AZ198" s="284">
        <f>IF(AZ7&gt;SAP_Leadsheet!$E$21,0,SAP_Leadsheet!$E$22)</f>
        <v>5</v>
      </c>
      <c r="BA198" s="284">
        <f>IF(BA7&gt;SAP_Leadsheet!$E$21,0,SAP_Leadsheet!$E$22)</f>
        <v>5</v>
      </c>
      <c r="BB198" s="284">
        <f>IF(BB7&gt;SAP_Leadsheet!$E$21,0,SAP_Leadsheet!$E$22)</f>
        <v>5</v>
      </c>
      <c r="BC198" s="284">
        <f>IF(BC7&gt;SAP_Leadsheet!$E$21,0,SAP_Leadsheet!$E$22)</f>
        <v>5</v>
      </c>
      <c r="BD198" s="284">
        <f>IF(BD7&gt;SAP_Leadsheet!$E$21,0,SAP_Leadsheet!$E$22)</f>
        <v>5</v>
      </c>
      <c r="BE198" s="284">
        <f>IF(BE7&gt;SAP_Leadsheet!$E$21,0,SAP_Leadsheet!$E$22)</f>
        <v>5</v>
      </c>
      <c r="BF198" s="284">
        <f>IF(BF7&gt;SAP_Leadsheet!$E$21,0,SAP_Leadsheet!$E$22)</f>
        <v>5</v>
      </c>
      <c r="BG198" s="284">
        <f>IF(BG7&gt;SAP_Leadsheet!$E$21,0,SAP_Leadsheet!$E$22)</f>
        <v>5</v>
      </c>
      <c r="BH198" s="284">
        <f>IF(BH7&gt;SAP_Leadsheet!$E$21,0,SAP_Leadsheet!$E$22)</f>
        <v>5</v>
      </c>
      <c r="BI198" s="284">
        <f>IF(BI7&gt;SAP_Leadsheet!$E$21,0,SAP_Leadsheet!$E$22)</f>
        <v>5</v>
      </c>
      <c r="BJ198" s="284">
        <f>IF(BJ7&gt;SAP_Leadsheet!$E$21,0,SAP_Leadsheet!$E$22)</f>
        <v>5</v>
      </c>
      <c r="BK198" s="284">
        <f>IF(BK7&gt;SAP_Leadsheet!$E$21,0,SAP_Leadsheet!$E$22)</f>
        <v>5</v>
      </c>
      <c r="BL198" s="284">
        <f>IF(BL7&gt;SAP_Leadsheet!$E$21,0,SAP_Leadsheet!$E$22)</f>
        <v>5</v>
      </c>
      <c r="BM198" s="284">
        <f>IF(BM7&gt;SAP_Leadsheet!$E$21,0,SAP_Leadsheet!$E$22)</f>
        <v>5</v>
      </c>
      <c r="BN198" s="284">
        <f>IF(BN7&gt;SAP_Leadsheet!$E$21,0,SAP_Leadsheet!$E$22)</f>
        <v>5</v>
      </c>
      <c r="BO198" s="284">
        <f>IF(BO7&gt;SAP_Leadsheet!$E$21,0,SAP_Leadsheet!$E$22)</f>
        <v>0</v>
      </c>
      <c r="BP198" s="284">
        <f>IF(BP7&gt;SAP_Leadsheet!$E$21,0,SAP_Leadsheet!$E$22)</f>
        <v>0</v>
      </c>
      <c r="BQ198" s="284">
        <f>IF(BQ7&gt;SAP_Leadsheet!$E$21,0,SAP_Leadsheet!$E$22)</f>
        <v>0</v>
      </c>
      <c r="BR198" s="284">
        <f>IF(BR7&gt;SAP_Leadsheet!$E$21,0,SAP_Leadsheet!$E$22)</f>
        <v>0</v>
      </c>
      <c r="BS198" s="284">
        <f>IF(BS7&gt;SAP_Leadsheet!$E$21,0,SAP_Leadsheet!$E$22)</f>
        <v>0</v>
      </c>
      <c r="BT198" s="284">
        <f>IF(BT7&gt;SAP_Leadsheet!$E$21,0,SAP_Leadsheet!$E$22)</f>
        <v>0</v>
      </c>
      <c r="BU198" s="284">
        <f>IF(BU7&gt;SAP_Leadsheet!$E$21,0,SAP_Leadsheet!$E$22)</f>
        <v>0</v>
      </c>
      <c r="BV198" s="284">
        <f>IF(BV7&gt;SAP_Leadsheet!$E$21,0,SAP_Leadsheet!$E$22)</f>
        <v>0</v>
      </c>
      <c r="BW198" s="284">
        <f>IF(BW7&gt;SAP_Leadsheet!$E$21,0,SAP_Leadsheet!$E$22)</f>
        <v>0</v>
      </c>
      <c r="BX198" s="284">
        <f>IF(BX7&gt;SAP_Leadsheet!$E$21,0,SAP_Leadsheet!$E$22)</f>
        <v>0</v>
      </c>
      <c r="BY198" s="284">
        <f>IF(BY7&gt;SAP_Leadsheet!$E$21,0,SAP_Leadsheet!$E$22)</f>
        <v>0</v>
      </c>
      <c r="BZ198" s="284">
        <f>IF(BZ7&gt;SAP_Leadsheet!$E$21,0,SAP_Leadsheet!$E$22)</f>
        <v>0</v>
      </c>
      <c r="CA198" s="254"/>
      <c r="CB198" s="254"/>
      <c r="CC198" s="254"/>
      <c r="CD198" s="254"/>
      <c r="CE198" s="254"/>
      <c r="CF198" s="254"/>
      <c r="CG198" s="254"/>
      <c r="CH198" s="254"/>
      <c r="CI198" s="254"/>
      <c r="CJ198" s="254"/>
      <c r="CK198" s="254"/>
      <c r="CL198" s="254"/>
    </row>
    <row r="199" spans="2:90" x14ac:dyDescent="0.15">
      <c r="C199" s="269"/>
      <c r="D199" s="31" t="s">
        <v>376</v>
      </c>
      <c r="F199" s="26" t="s">
        <v>377</v>
      </c>
      <c r="G199" s="284">
        <f>IF(SAP_Spreadsheet!G7&gt;SAP_Leadsheet!$E$21,0,ROUNDDOWN(IF(G198-(SAP_Leadsheet!$E$23-$C$4)&gt;0,G198-(SAP_Leadsheet!$E$23-$C$4),$C$4+G198-(SAP_Leadsheet!$E$23-$C$4)),0))</f>
        <v>20</v>
      </c>
      <c r="H199" s="284">
        <f>IF(SAP_Spreadsheet!H7&gt;SAP_Leadsheet!$E$21,0,ROUNDDOWN(IF(H198-(SAP_Leadsheet!$E$23-$C$4)&gt;0,H198-(SAP_Leadsheet!$E$23-$C$4),$C$4+H198-(SAP_Leadsheet!$E$23-$C$4)),0))</f>
        <v>20</v>
      </c>
      <c r="I199" s="284">
        <f>IF(SAP_Spreadsheet!I7&gt;SAP_Leadsheet!$E$21,0,ROUNDDOWN(IF(I198-(SAP_Leadsheet!$E$23-$C$4)&gt;0,I198-(SAP_Leadsheet!$E$23-$C$4),$C$4+I198-(SAP_Leadsheet!$E$23-$C$4)),0))</f>
        <v>20</v>
      </c>
      <c r="J199" s="284">
        <f>IF(SAP_Spreadsheet!J7&gt;SAP_Leadsheet!$E$21,0,ROUNDDOWN(IF(J198-(SAP_Leadsheet!$E$23-$C$4)&gt;0,J198-(SAP_Leadsheet!$E$23-$C$4),$C$4+J198-(SAP_Leadsheet!$E$23-$C$4)),0))</f>
        <v>20</v>
      </c>
      <c r="K199" s="284">
        <f>IF(SAP_Spreadsheet!K7&gt;SAP_Leadsheet!$E$21,0,ROUNDDOWN(IF(K198-(SAP_Leadsheet!$E$23-$C$4)&gt;0,K198-(SAP_Leadsheet!$E$23-$C$4),$C$4+K198-(SAP_Leadsheet!$E$23-$C$4)),0))</f>
        <v>20</v>
      </c>
      <c r="L199" s="284">
        <f>IF(SAP_Spreadsheet!L7&gt;SAP_Leadsheet!$E$21,0,ROUNDDOWN(IF(L198-(SAP_Leadsheet!$E$23-$C$4)&gt;0,L198-(SAP_Leadsheet!$E$23-$C$4),$C$4+L198-(SAP_Leadsheet!$E$23-$C$4)),0))</f>
        <v>20</v>
      </c>
      <c r="M199" s="284">
        <f>IF(SAP_Spreadsheet!M7&gt;SAP_Leadsheet!$E$21,0,ROUNDDOWN(IF(M198-(SAP_Leadsheet!$E$23-$C$4)&gt;0,M198-(SAP_Leadsheet!$E$23-$C$4),$C$4+M198-(SAP_Leadsheet!$E$23-$C$4)),0))</f>
        <v>20</v>
      </c>
      <c r="N199" s="284">
        <f>IF(SAP_Spreadsheet!N7&gt;SAP_Leadsheet!$E$21,0,ROUNDDOWN(IF(N198-(SAP_Leadsheet!$E$23-$C$4)&gt;0,N198-(SAP_Leadsheet!$E$23-$C$4),$C$4+N198-(SAP_Leadsheet!$E$23-$C$4)),0))</f>
        <v>20</v>
      </c>
      <c r="O199" s="284">
        <f>IF(SAP_Spreadsheet!O7&gt;SAP_Leadsheet!$E$21,0,ROUNDDOWN(IF(O198-(SAP_Leadsheet!$E$23-$C$4)&gt;0,O198-(SAP_Leadsheet!$E$23-$C$4),$C$4+O198-(SAP_Leadsheet!$E$23-$C$4)),0))</f>
        <v>20</v>
      </c>
      <c r="P199" s="284">
        <f>IF(SAP_Spreadsheet!P7&gt;SAP_Leadsheet!$E$21,0,ROUNDDOWN(IF(P198-(SAP_Leadsheet!$E$23-$C$4)&gt;0,P198-(SAP_Leadsheet!$E$23-$C$4),$C$4+P198-(SAP_Leadsheet!$E$23-$C$4)),0))</f>
        <v>20</v>
      </c>
      <c r="Q199" s="284">
        <f>IF(SAP_Spreadsheet!Q7&gt;SAP_Leadsheet!$E$21,0,ROUNDDOWN(IF(Q198-(SAP_Leadsheet!$E$23-$C$4)&gt;0,Q198-(SAP_Leadsheet!$E$23-$C$4),$C$4+Q198-(SAP_Leadsheet!$E$23-$C$4)),0))</f>
        <v>20</v>
      </c>
      <c r="R199" s="284">
        <f>IF(SAP_Spreadsheet!R7&gt;SAP_Leadsheet!$E$21,0,ROUNDDOWN(IF(R198-(SAP_Leadsheet!$E$23-$C$4)&gt;0,R198-(SAP_Leadsheet!$E$23-$C$4),$C$4+R198-(SAP_Leadsheet!$E$23-$C$4)),0))</f>
        <v>20</v>
      </c>
      <c r="S199" s="284">
        <f>IF(SAP_Spreadsheet!S7&gt;SAP_Leadsheet!$E$21,0,ROUNDDOWN(IF(S198-(SAP_Leadsheet!$E$23-$C$4)&gt;0,S198-(SAP_Leadsheet!$E$23-$C$4),$C$4+S198-(SAP_Leadsheet!$E$23-$C$4)),0))</f>
        <v>20</v>
      </c>
      <c r="T199" s="284">
        <f>IF(SAP_Spreadsheet!T7&gt;SAP_Leadsheet!$E$21,0,ROUNDDOWN(IF(T198-(SAP_Leadsheet!$E$23-$C$4)&gt;0,T198-(SAP_Leadsheet!$E$23-$C$4),$C$4+T198-(SAP_Leadsheet!$E$23-$C$4)),0))</f>
        <v>20</v>
      </c>
      <c r="U199" s="284">
        <f>IF(SAP_Spreadsheet!U7&gt;SAP_Leadsheet!$E$21,0,ROUNDDOWN(IF(U198-(SAP_Leadsheet!$E$23-$C$4)&gt;0,U198-(SAP_Leadsheet!$E$23-$C$4),$C$4+U198-(SAP_Leadsheet!$E$23-$C$4)),0))</f>
        <v>20</v>
      </c>
      <c r="V199" s="284">
        <f>IF(SAP_Spreadsheet!V7&gt;SAP_Leadsheet!$E$21,0,ROUNDDOWN(IF(V198-(SAP_Leadsheet!$E$23-$C$4)&gt;0,V198-(SAP_Leadsheet!$E$23-$C$4),$C$4+V198-(SAP_Leadsheet!$E$23-$C$4)),0))</f>
        <v>20</v>
      </c>
      <c r="W199" s="284">
        <f>IF(SAP_Spreadsheet!W7&gt;SAP_Leadsheet!$E$21,0,ROUNDDOWN(IF(W198-(SAP_Leadsheet!$E$23-$C$4)&gt;0,W198-(SAP_Leadsheet!$E$23-$C$4),$C$4+W198-(SAP_Leadsheet!$E$23-$C$4)),0))</f>
        <v>20</v>
      </c>
      <c r="X199" s="284">
        <f>IF(SAP_Spreadsheet!X7&gt;SAP_Leadsheet!$E$21,0,ROUNDDOWN(IF(X198-(SAP_Leadsheet!$E$23-$C$4)&gt;0,X198-(SAP_Leadsheet!$E$23-$C$4),$C$4+X198-(SAP_Leadsheet!$E$23-$C$4)),0))</f>
        <v>20</v>
      </c>
      <c r="Y199" s="284">
        <f>IF(SAP_Spreadsheet!Y7&gt;SAP_Leadsheet!$E$21,0,ROUNDDOWN(IF(Y198-(SAP_Leadsheet!$E$23-$C$4)&gt;0,Y198-(SAP_Leadsheet!$E$23-$C$4),$C$4+Y198-(SAP_Leadsheet!$E$23-$C$4)),0))</f>
        <v>20</v>
      </c>
      <c r="Z199" s="284">
        <f>IF(SAP_Spreadsheet!Z7&gt;SAP_Leadsheet!$E$21,0,ROUNDDOWN(IF(Z198-(SAP_Leadsheet!$E$23-$C$4)&gt;0,Z198-(SAP_Leadsheet!$E$23-$C$4),$C$4+Z198-(SAP_Leadsheet!$E$23-$C$4)),0))</f>
        <v>20</v>
      </c>
      <c r="AA199" s="284">
        <f>IF(SAP_Spreadsheet!AA7&gt;SAP_Leadsheet!$E$21,0,ROUNDDOWN(IF(AA198-(SAP_Leadsheet!$E$23-$C$4)&gt;0,AA198-(SAP_Leadsheet!$E$23-$C$4),$C$4+AA198-(SAP_Leadsheet!$E$23-$C$4)),0))</f>
        <v>20</v>
      </c>
      <c r="AB199" s="284">
        <f>IF(SAP_Spreadsheet!AB7&gt;SAP_Leadsheet!$E$21,0,ROUNDDOWN(IF(AB198-(SAP_Leadsheet!$E$23-$C$4)&gt;0,AB198-(SAP_Leadsheet!$E$23-$C$4),$C$4+AB198-(SAP_Leadsheet!$E$23-$C$4)),0))</f>
        <v>20</v>
      </c>
      <c r="AC199" s="284">
        <f>IF(SAP_Spreadsheet!AC7&gt;SAP_Leadsheet!$E$21,0,ROUNDDOWN(IF(AC198-(SAP_Leadsheet!$E$23-$C$4)&gt;0,AC198-(SAP_Leadsheet!$E$23-$C$4),$C$4+AC198-(SAP_Leadsheet!$E$23-$C$4)),0))</f>
        <v>20</v>
      </c>
      <c r="AD199" s="284">
        <f>IF(SAP_Spreadsheet!AD7&gt;SAP_Leadsheet!$E$21,0,ROUNDDOWN(IF(AD198-(SAP_Leadsheet!$E$23-$C$4)&gt;0,AD198-(SAP_Leadsheet!$E$23-$C$4),$C$4+AD198-(SAP_Leadsheet!$E$23-$C$4)),0))</f>
        <v>20</v>
      </c>
      <c r="AE199" s="284">
        <f>IF(SAP_Spreadsheet!AE7&gt;SAP_Leadsheet!$E$21,0,ROUNDDOWN(IF(AE198-(SAP_Leadsheet!$E$23-$C$4)&gt;0,AE198-(SAP_Leadsheet!$E$23-$C$4),$C$4+AE198-(SAP_Leadsheet!$E$23-$C$4)),0))</f>
        <v>20</v>
      </c>
      <c r="AF199" s="284">
        <f>IF(SAP_Spreadsheet!AF7&gt;SAP_Leadsheet!$E$21,0,ROUNDDOWN(IF(AF198-(SAP_Leadsheet!$E$23-$C$4)&gt;0,AF198-(SAP_Leadsheet!$E$23-$C$4),$C$4+AF198-(SAP_Leadsheet!$E$23-$C$4)),0))</f>
        <v>20</v>
      </c>
      <c r="AG199" s="284">
        <f>IF(SAP_Spreadsheet!AG7&gt;SAP_Leadsheet!$E$21,0,ROUNDDOWN(IF(AG198-(SAP_Leadsheet!$E$23-$C$4)&gt;0,AG198-(SAP_Leadsheet!$E$23-$C$4),$C$4+AG198-(SAP_Leadsheet!$E$23-$C$4)),0))</f>
        <v>20</v>
      </c>
      <c r="AH199" s="284">
        <f>IF(SAP_Spreadsheet!AH7&gt;SAP_Leadsheet!$E$21,0,ROUNDDOWN(IF(AH198-(SAP_Leadsheet!$E$23-$C$4)&gt;0,AH198-(SAP_Leadsheet!$E$23-$C$4),$C$4+AH198-(SAP_Leadsheet!$E$23-$C$4)),0))</f>
        <v>20</v>
      </c>
      <c r="AI199" s="284">
        <f>IF(SAP_Spreadsheet!AI7&gt;SAP_Leadsheet!$E$21,0,ROUNDDOWN(IF(AI198-(SAP_Leadsheet!$E$23-$C$4)&gt;0,AI198-(SAP_Leadsheet!$E$23-$C$4),$C$4+AI198-(SAP_Leadsheet!$E$23-$C$4)),0))</f>
        <v>20</v>
      </c>
      <c r="AJ199" s="284">
        <f>IF(SAP_Spreadsheet!AJ7&gt;SAP_Leadsheet!$E$21,0,ROUNDDOWN(IF(AJ198-(SAP_Leadsheet!$E$23-$C$4)&gt;0,AJ198-(SAP_Leadsheet!$E$23-$C$4),$C$4+AJ198-(SAP_Leadsheet!$E$23-$C$4)),0))</f>
        <v>20</v>
      </c>
      <c r="AK199" s="284">
        <f>IF(SAP_Spreadsheet!AK7&gt;SAP_Leadsheet!$E$21,0,ROUNDDOWN(IF(AK198-(SAP_Leadsheet!$E$23-$C$4)&gt;0,AK198-(SAP_Leadsheet!$E$23-$C$4),$C$4+AK198-(SAP_Leadsheet!$E$23-$C$4)),0))</f>
        <v>20</v>
      </c>
      <c r="AL199" s="284">
        <f>IF(SAP_Spreadsheet!AL7&gt;SAP_Leadsheet!$E$21,0,ROUNDDOWN(IF(AL198-(SAP_Leadsheet!$E$23-$C$4)&gt;0,AL198-(SAP_Leadsheet!$E$23-$C$4),$C$4+AL198-(SAP_Leadsheet!$E$23-$C$4)),0))</f>
        <v>20</v>
      </c>
      <c r="AM199" s="284">
        <f>IF(SAP_Spreadsheet!AM7&gt;SAP_Leadsheet!$E$21,0,ROUNDDOWN(IF(AM198-(SAP_Leadsheet!$E$23-$C$4)&gt;0,AM198-(SAP_Leadsheet!$E$23-$C$4),$C$4+AM198-(SAP_Leadsheet!$E$23-$C$4)),0))</f>
        <v>20</v>
      </c>
      <c r="AN199" s="284">
        <f>IF(SAP_Spreadsheet!AN7&gt;SAP_Leadsheet!$E$21,0,ROUNDDOWN(IF(AN198-(SAP_Leadsheet!$E$23-$C$4)&gt;0,AN198-(SAP_Leadsheet!$E$23-$C$4),$C$4+AN198-(SAP_Leadsheet!$E$23-$C$4)),0))</f>
        <v>20</v>
      </c>
      <c r="AO199" s="284">
        <f>IF(SAP_Spreadsheet!AO7&gt;SAP_Leadsheet!$E$21,0,ROUNDDOWN(IF(AO198-(SAP_Leadsheet!$E$23-$C$4)&gt;0,AO198-(SAP_Leadsheet!$E$23-$C$4),$C$4+AO198-(SAP_Leadsheet!$E$23-$C$4)),0))</f>
        <v>20</v>
      </c>
      <c r="AP199" s="284">
        <f>IF(SAP_Spreadsheet!AP7&gt;SAP_Leadsheet!$E$21,0,ROUNDDOWN(IF(AP198-(SAP_Leadsheet!$E$23-$C$4)&gt;0,AP198-(SAP_Leadsheet!$E$23-$C$4),$C$4+AP198-(SAP_Leadsheet!$E$23-$C$4)),0))</f>
        <v>20</v>
      </c>
      <c r="AQ199" s="284">
        <f>IF(SAP_Spreadsheet!AQ7&gt;SAP_Leadsheet!$E$21,0,ROUNDDOWN(IF(AQ198-(SAP_Leadsheet!$E$23-$C$4)&gt;0,AQ198-(SAP_Leadsheet!$E$23-$C$4),$C$4+AQ198-(SAP_Leadsheet!$E$23-$C$4)),0))</f>
        <v>20</v>
      </c>
      <c r="AR199" s="284">
        <f>IF(SAP_Spreadsheet!AR7&gt;SAP_Leadsheet!$E$21,0,ROUNDDOWN(IF(AR198-(SAP_Leadsheet!$E$23-$C$4)&gt;0,AR198-(SAP_Leadsheet!$E$23-$C$4),$C$4+AR198-(SAP_Leadsheet!$E$23-$C$4)),0))</f>
        <v>20</v>
      </c>
      <c r="AS199" s="284">
        <f>IF(SAP_Spreadsheet!AS7&gt;SAP_Leadsheet!$E$21,0,ROUNDDOWN(IF(AS198-(SAP_Leadsheet!$E$23-$C$4)&gt;0,AS198-(SAP_Leadsheet!$E$23-$C$4),$C$4+AS198-(SAP_Leadsheet!$E$23-$C$4)),0))</f>
        <v>20</v>
      </c>
      <c r="AT199" s="284">
        <f>IF(SAP_Spreadsheet!AT7&gt;SAP_Leadsheet!$E$21,0,ROUNDDOWN(IF(AT198-(SAP_Leadsheet!$E$23-$C$4)&gt;0,AT198-(SAP_Leadsheet!$E$23-$C$4),$C$4+AT198-(SAP_Leadsheet!$E$23-$C$4)),0))</f>
        <v>20</v>
      </c>
      <c r="AU199" s="284">
        <f>IF(SAP_Spreadsheet!AU7&gt;SAP_Leadsheet!$E$21,0,ROUNDDOWN(IF(AU198-(SAP_Leadsheet!$E$23-$C$4)&gt;0,AU198-(SAP_Leadsheet!$E$23-$C$4),$C$4+AU198-(SAP_Leadsheet!$E$23-$C$4)),0))</f>
        <v>20</v>
      </c>
      <c r="AV199" s="284">
        <f>IF(SAP_Spreadsheet!AV7&gt;SAP_Leadsheet!$E$21,0,ROUNDDOWN(IF(AV198-(SAP_Leadsheet!$E$23-$C$4)&gt;0,AV198-(SAP_Leadsheet!$E$23-$C$4),$C$4+AV198-(SAP_Leadsheet!$E$23-$C$4)),0))</f>
        <v>20</v>
      </c>
      <c r="AW199" s="284">
        <f>IF(SAP_Spreadsheet!AW7&gt;SAP_Leadsheet!$E$21,0,ROUNDDOWN(IF(AW198-(SAP_Leadsheet!$E$23-$C$4)&gt;0,AW198-(SAP_Leadsheet!$E$23-$C$4),$C$4+AW198-(SAP_Leadsheet!$E$23-$C$4)),0))</f>
        <v>20</v>
      </c>
      <c r="AX199" s="284">
        <f>IF(SAP_Spreadsheet!AX7&gt;SAP_Leadsheet!$E$21,0,ROUNDDOWN(IF(AX198-(SAP_Leadsheet!$E$23-$C$4)&gt;0,AX198-(SAP_Leadsheet!$E$23-$C$4),$C$4+AX198-(SAP_Leadsheet!$E$23-$C$4)),0))</f>
        <v>20</v>
      </c>
      <c r="AY199" s="284">
        <f>IF(SAP_Spreadsheet!AY7&gt;SAP_Leadsheet!$E$21,0,ROUNDDOWN(IF(AY198-(SAP_Leadsheet!$E$23-$C$4)&gt;0,AY198-(SAP_Leadsheet!$E$23-$C$4),$C$4+AY198-(SAP_Leadsheet!$E$23-$C$4)),0))</f>
        <v>20</v>
      </c>
      <c r="AZ199" s="284">
        <f>IF(SAP_Spreadsheet!AZ7&gt;SAP_Leadsheet!$E$21,0,ROUNDDOWN(IF(AZ198-(SAP_Leadsheet!$E$23-$C$4)&gt;0,AZ198-(SAP_Leadsheet!$E$23-$C$4),$C$4+AZ198-(SAP_Leadsheet!$E$23-$C$4)),0))</f>
        <v>20</v>
      </c>
      <c r="BA199" s="284">
        <f>IF(SAP_Spreadsheet!BA7&gt;SAP_Leadsheet!$E$21,0,ROUNDDOWN(IF(BA198-(SAP_Leadsheet!$E$23-$C$4)&gt;0,BA198-(SAP_Leadsheet!$E$23-$C$4),$C$4+BA198-(SAP_Leadsheet!$E$23-$C$4)),0))</f>
        <v>20</v>
      </c>
      <c r="BB199" s="284">
        <f>IF(SAP_Spreadsheet!BB7&gt;SAP_Leadsheet!$E$21,0,ROUNDDOWN(IF(BB198-(SAP_Leadsheet!$E$23-$C$4)&gt;0,BB198-(SAP_Leadsheet!$E$23-$C$4),$C$4+BB198-(SAP_Leadsheet!$E$23-$C$4)),0))</f>
        <v>20</v>
      </c>
      <c r="BC199" s="284">
        <f>IF(SAP_Spreadsheet!BC7&gt;SAP_Leadsheet!$E$21,0,ROUNDDOWN(IF(BC198-(SAP_Leadsheet!$E$23-$C$4)&gt;0,BC198-(SAP_Leadsheet!$E$23-$C$4),$C$4+BC198-(SAP_Leadsheet!$E$23-$C$4)),0))</f>
        <v>20</v>
      </c>
      <c r="BD199" s="284">
        <f>IF(SAP_Spreadsheet!BD7&gt;SAP_Leadsheet!$E$21,0,ROUNDDOWN(IF(BD198-(SAP_Leadsheet!$E$23-$C$4)&gt;0,BD198-(SAP_Leadsheet!$E$23-$C$4),$C$4+BD198-(SAP_Leadsheet!$E$23-$C$4)),0))</f>
        <v>20</v>
      </c>
      <c r="BE199" s="284">
        <f>IF(SAP_Spreadsheet!BE7&gt;SAP_Leadsheet!$E$21,0,ROUNDDOWN(IF(BE198-(SAP_Leadsheet!$E$23-$C$4)&gt;0,BE198-(SAP_Leadsheet!$E$23-$C$4),$C$4+BE198-(SAP_Leadsheet!$E$23-$C$4)),0))</f>
        <v>20</v>
      </c>
      <c r="BF199" s="284">
        <f>IF(SAP_Spreadsheet!BF7&gt;SAP_Leadsheet!$E$21,0,ROUNDDOWN(IF(BF198-(SAP_Leadsheet!$E$23-$C$4)&gt;0,BF198-(SAP_Leadsheet!$E$23-$C$4),$C$4+BF198-(SAP_Leadsheet!$E$23-$C$4)),0))</f>
        <v>20</v>
      </c>
      <c r="BG199" s="284">
        <f>IF(SAP_Spreadsheet!BG7&gt;SAP_Leadsheet!$E$21,0,ROUNDDOWN(IF(BG198-(SAP_Leadsheet!$E$23-$C$4)&gt;0,BG198-(SAP_Leadsheet!$E$23-$C$4),$C$4+BG198-(SAP_Leadsheet!$E$23-$C$4)),0))</f>
        <v>20</v>
      </c>
      <c r="BH199" s="284">
        <f>IF(SAP_Spreadsheet!BH7&gt;SAP_Leadsheet!$E$21,0,ROUNDDOWN(IF(BH198-(SAP_Leadsheet!$E$23-$C$4)&gt;0,BH198-(SAP_Leadsheet!$E$23-$C$4),$C$4+BH198-(SAP_Leadsheet!$E$23-$C$4)),0))</f>
        <v>20</v>
      </c>
      <c r="BI199" s="284">
        <f>IF(SAP_Spreadsheet!BI7&gt;SAP_Leadsheet!$E$21,0,ROUNDDOWN(IF(BI198-(SAP_Leadsheet!$E$23-$C$4)&gt;0,BI198-(SAP_Leadsheet!$E$23-$C$4),$C$4+BI198-(SAP_Leadsheet!$E$23-$C$4)),0))</f>
        <v>20</v>
      </c>
      <c r="BJ199" s="284">
        <f>IF(SAP_Spreadsheet!BJ7&gt;SAP_Leadsheet!$E$21,0,ROUNDDOWN(IF(BJ198-(SAP_Leadsheet!$E$23-$C$4)&gt;0,BJ198-(SAP_Leadsheet!$E$23-$C$4),$C$4+BJ198-(SAP_Leadsheet!$E$23-$C$4)),0))</f>
        <v>20</v>
      </c>
      <c r="BK199" s="284">
        <f>IF(SAP_Spreadsheet!BK7&gt;SAP_Leadsheet!$E$21,0,ROUNDDOWN(IF(BK198-(SAP_Leadsheet!$E$23-$C$4)&gt;0,BK198-(SAP_Leadsheet!$E$23-$C$4),$C$4+BK198-(SAP_Leadsheet!$E$23-$C$4)),0))</f>
        <v>20</v>
      </c>
      <c r="BL199" s="284">
        <f>IF(SAP_Spreadsheet!BL7&gt;SAP_Leadsheet!$E$21,0,ROUNDDOWN(IF(BL198-(SAP_Leadsheet!$E$23-$C$4)&gt;0,BL198-(SAP_Leadsheet!$E$23-$C$4),$C$4+BL198-(SAP_Leadsheet!$E$23-$C$4)),0))</f>
        <v>20</v>
      </c>
      <c r="BM199" s="284">
        <f>IF(SAP_Spreadsheet!BM7&gt;SAP_Leadsheet!$E$21,0,ROUNDDOWN(IF(BM198-(SAP_Leadsheet!$E$23-$C$4)&gt;0,BM198-(SAP_Leadsheet!$E$23-$C$4),$C$4+BM198-(SAP_Leadsheet!$E$23-$C$4)),0))</f>
        <v>20</v>
      </c>
      <c r="BN199" s="284">
        <f>IF(SAP_Spreadsheet!BN7&gt;SAP_Leadsheet!$E$21,0,ROUNDDOWN(IF(BN198-(SAP_Leadsheet!$E$23-$C$4)&gt;0,BN198-(SAP_Leadsheet!$E$23-$C$4),$C$4+BN198-(SAP_Leadsheet!$E$23-$C$4)),0))</f>
        <v>20</v>
      </c>
      <c r="BO199" s="284"/>
      <c r="BP199" s="284"/>
      <c r="BQ199" s="284"/>
      <c r="BR199" s="284"/>
      <c r="BS199" s="284"/>
      <c r="BT199" s="284"/>
      <c r="BU199" s="284"/>
      <c r="BV199" s="284"/>
      <c r="BW199" s="284"/>
      <c r="BX199" s="284"/>
      <c r="BY199" s="284"/>
      <c r="BZ199" s="284"/>
      <c r="CA199" s="254"/>
      <c r="CB199" s="254"/>
      <c r="CC199" s="254"/>
      <c r="CD199" s="254"/>
      <c r="CE199" s="254"/>
      <c r="CF199" s="254"/>
      <c r="CG199" s="254"/>
      <c r="CH199" s="254"/>
      <c r="CI199" s="254"/>
      <c r="CJ199" s="254"/>
      <c r="CK199" s="254"/>
      <c r="CL199" s="254"/>
    </row>
    <row r="200" spans="2:90" x14ac:dyDescent="0.15">
      <c r="C200" s="198"/>
      <c r="D200" s="35" t="s">
        <v>378</v>
      </c>
      <c r="F200" s="26" t="s">
        <v>341</v>
      </c>
      <c r="G200" s="285">
        <f ca="1">(0*G199+G171*($C$4-G199))/$C$4</f>
        <v>0.15661657209695259</v>
      </c>
      <c r="H200" s="285">
        <f t="shared" ref="H200:BN200" ca="1" si="24">(G171*H199+H171*($C$4-H199))/$C$4</f>
        <v>0.58695868491150194</v>
      </c>
      <c r="I200" s="285">
        <f t="shared" ca="1" si="24"/>
        <v>0.90146498894208726</v>
      </c>
      <c r="J200" s="285">
        <f t="shared" ca="1" si="24"/>
        <v>1.0446645616515486</v>
      </c>
      <c r="K200" s="285">
        <f t="shared" ca="1" si="24"/>
        <v>1.0698613348115675</v>
      </c>
      <c r="L200" s="285">
        <f t="shared" ca="1" si="24"/>
        <v>1.0375619306167054</v>
      </c>
      <c r="M200" s="285">
        <f t="shared" ca="1" si="24"/>
        <v>0.97824492795606188</v>
      </c>
      <c r="N200" s="285">
        <f t="shared" ca="1" si="24"/>
        <v>0.90900061131751342</v>
      </c>
      <c r="O200" s="285">
        <f t="shared" ca="1" si="24"/>
        <v>0.85912052578068376</v>
      </c>
      <c r="P200" s="285">
        <f t="shared" ca="1" si="24"/>
        <v>0.81947671704832015</v>
      </c>
      <c r="Q200" s="285">
        <f t="shared" ca="1" si="24"/>
        <v>0.78969820189895146</v>
      </c>
      <c r="R200" s="285">
        <f t="shared" ca="1" si="24"/>
        <v>0.77325785790681067</v>
      </c>
      <c r="S200" s="285">
        <f t="shared" ca="1" si="24"/>
        <v>0.7735126929065691</v>
      </c>
      <c r="T200" s="285">
        <f t="shared" ca="1" si="24"/>
        <v>0.80475218293989637</v>
      </c>
      <c r="U200" s="285">
        <f t="shared" ca="1" si="24"/>
        <v>0.85513019670091261</v>
      </c>
      <c r="V200" s="285">
        <f t="shared" ca="1" si="24"/>
        <v>0.86729242561902375</v>
      </c>
      <c r="W200" s="285">
        <f t="shared" ca="1" si="24"/>
        <v>0.86589764432456617</v>
      </c>
      <c r="X200" s="285">
        <f t="shared" ca="1" si="24"/>
        <v>0.88373344874622628</v>
      </c>
      <c r="Y200" s="285">
        <f t="shared" ca="1" si="24"/>
        <v>0.90380904252009586</v>
      </c>
      <c r="Z200" s="285">
        <f t="shared" ca="1" si="24"/>
        <v>0.91845338128810283</v>
      </c>
      <c r="AA200" s="285">
        <f t="shared" ca="1" si="24"/>
        <v>0.92564715600048286</v>
      </c>
      <c r="AB200" s="285">
        <f t="shared" ca="1" si="24"/>
        <v>0.92552257225486445</v>
      </c>
      <c r="AC200" s="285">
        <f t="shared" ca="1" si="24"/>
        <v>0.92643626269664159</v>
      </c>
      <c r="AD200" s="285">
        <f t="shared" ca="1" si="24"/>
        <v>0.93031517983673584</v>
      </c>
      <c r="AE200" s="285">
        <f t="shared" ca="1" si="24"/>
        <v>0.92996808561624866</v>
      </c>
      <c r="AF200" s="285">
        <f t="shared" ca="1" si="24"/>
        <v>0.95169419091908691</v>
      </c>
      <c r="AG200" s="285">
        <f t="shared" ca="1" si="24"/>
        <v>0.98217430147986007</v>
      </c>
      <c r="AH200" s="285">
        <f t="shared" ca="1" si="24"/>
        <v>1.0024811897590373</v>
      </c>
      <c r="AI200" s="285">
        <f t="shared" ca="1" si="24"/>
        <v>1.0112313718444317</v>
      </c>
      <c r="AJ200" s="285">
        <f t="shared" ca="1" si="24"/>
        <v>1.012760081689329</v>
      </c>
      <c r="AK200" s="285">
        <f t="shared" ca="1" si="24"/>
        <v>1.0111030246456019</v>
      </c>
      <c r="AL200" s="285">
        <f t="shared" ca="1" si="24"/>
        <v>1.0133304735120152</v>
      </c>
      <c r="AM200" s="285">
        <f t="shared" ca="1" si="24"/>
        <v>1.0192461602995455</v>
      </c>
      <c r="AN200" s="285">
        <f t="shared" ca="1" si="24"/>
        <v>1.0132672837719967</v>
      </c>
      <c r="AO200" s="285">
        <f t="shared" ca="1" si="24"/>
        <v>1.005013293089803</v>
      </c>
      <c r="AP200" s="285">
        <f t="shared" ca="1" si="24"/>
        <v>0.99802133775475288</v>
      </c>
      <c r="AQ200" s="285">
        <f t="shared" ca="1" si="24"/>
        <v>0.9932592063481881</v>
      </c>
      <c r="AR200" s="285">
        <f t="shared" ca="1" si="24"/>
        <v>0.99091865174668037</v>
      </c>
      <c r="AS200" s="285">
        <f t="shared" ca="1" si="24"/>
        <v>0.99006598277660862</v>
      </c>
      <c r="AT200" s="285">
        <f t="shared" ca="1" si="24"/>
        <v>0.98979780201148326</v>
      </c>
      <c r="AU200" s="285">
        <f t="shared" ca="1" si="24"/>
        <v>0.9895717342497885</v>
      </c>
      <c r="AV200" s="285">
        <f t="shared" ca="1" si="24"/>
        <v>0.9891867728149073</v>
      </c>
      <c r="AW200" s="285">
        <f t="shared" ca="1" si="24"/>
        <v>0.98859742533607775</v>
      </c>
      <c r="AX200" s="285">
        <f t="shared" ca="1" si="24"/>
        <v>0.9877343445677258</v>
      </c>
      <c r="AY200" s="285">
        <f t="shared" ca="1" si="24"/>
        <v>0.98644991719081676</v>
      </c>
      <c r="AZ200" s="285">
        <f t="shared" ca="1" si="24"/>
        <v>0.9844960947724074</v>
      </c>
      <c r="BA200" s="285">
        <f t="shared" ca="1" si="24"/>
        <v>0.98178862172556247</v>
      </c>
      <c r="BB200" s="285">
        <f t="shared" ca="1" si="24"/>
        <v>0.97855599954505545</v>
      </c>
      <c r="BC200" s="285">
        <f t="shared" ca="1" si="24"/>
        <v>0.97510640802009507</v>
      </c>
      <c r="BD200" s="285">
        <f t="shared" ca="1" si="24"/>
        <v>0.97172497341422137</v>
      </c>
      <c r="BE200" s="285">
        <f t="shared" ca="1" si="24"/>
        <v>0.96842034732300863</v>
      </c>
      <c r="BF200" s="285">
        <f t="shared" ca="1" si="24"/>
        <v>0.9651252410853578</v>
      </c>
      <c r="BG200" s="285">
        <f t="shared" ca="1" si="24"/>
        <v>0.96177828393401799</v>
      </c>
      <c r="BH200" s="285">
        <f t="shared" ca="1" si="24"/>
        <v>0.95834241073899651</v>
      </c>
      <c r="BI200" s="285">
        <f t="shared" ca="1" si="24"/>
        <v>0.9547989117585467</v>
      </c>
      <c r="BJ200" s="285">
        <f t="shared" ca="1" si="24"/>
        <v>0.95113742724400596</v>
      </c>
      <c r="BK200" s="285">
        <f t="shared" ca="1" si="24"/>
        <v>0.94732370973431801</v>
      </c>
      <c r="BL200" s="285">
        <f t="shared" ca="1" si="24"/>
        <v>0.94325488040951133</v>
      </c>
      <c r="BM200" s="285">
        <f t="shared" ca="1" si="24"/>
        <v>0.93886005086942992</v>
      </c>
      <c r="BN200" s="285">
        <f t="shared" ca="1" si="24"/>
        <v>0.93420814268573482</v>
      </c>
      <c r="BO200" s="254"/>
      <c r="BP200" s="254"/>
      <c r="BQ200" s="254"/>
      <c r="BR200" s="254"/>
      <c r="BS200" s="254"/>
      <c r="BT200" s="254"/>
      <c r="BU200" s="254"/>
      <c r="BV200" s="254"/>
      <c r="BW200" s="254"/>
      <c r="BX200" s="254"/>
      <c r="BY200" s="254"/>
      <c r="BZ200" s="254"/>
      <c r="CA200" s="254"/>
      <c r="CB200" s="254"/>
      <c r="CC200" s="254"/>
      <c r="CD200" s="254"/>
      <c r="CE200" s="254"/>
      <c r="CF200" s="254"/>
      <c r="CG200" s="254"/>
      <c r="CH200" s="254"/>
      <c r="CI200" s="254"/>
      <c r="CJ200" s="254"/>
      <c r="CK200" s="254"/>
      <c r="CL200" s="254"/>
    </row>
    <row r="201" spans="2:90" x14ac:dyDescent="0.15">
      <c r="C201" s="286"/>
      <c r="D201" s="35"/>
      <c r="G201" s="266"/>
      <c r="H201" s="266"/>
      <c r="I201" s="266"/>
      <c r="J201" s="266"/>
      <c r="K201" s="266"/>
      <c r="L201" s="266"/>
      <c r="M201" s="266"/>
      <c r="N201" s="266"/>
      <c r="O201" s="266"/>
      <c r="P201" s="266"/>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83"/>
      <c r="BA201" s="283"/>
      <c r="BB201" s="283"/>
      <c r="BC201" s="283"/>
      <c r="BD201" s="283"/>
      <c r="BE201" s="283"/>
      <c r="BF201" s="283"/>
      <c r="BG201" s="283"/>
      <c r="BH201" s="283"/>
      <c r="BI201" s="283"/>
      <c r="BJ201" s="283"/>
      <c r="BK201" s="283"/>
      <c r="BL201" s="283"/>
      <c r="BM201" s="283"/>
      <c r="BN201" s="283"/>
      <c r="BO201" s="254"/>
      <c r="BP201" s="254"/>
      <c r="BQ201" s="254"/>
      <c r="BR201" s="254"/>
      <c r="BS201" s="254"/>
      <c r="BT201" s="254"/>
      <c r="BU201" s="254"/>
      <c r="BV201" s="254"/>
      <c r="BW201" s="254"/>
      <c r="BX201" s="254"/>
      <c r="BY201" s="254"/>
      <c r="BZ201" s="254"/>
      <c r="CA201" s="254"/>
      <c r="CB201" s="254"/>
      <c r="CC201" s="254"/>
      <c r="CD201" s="254"/>
      <c r="CE201" s="254"/>
      <c r="CF201" s="254"/>
      <c r="CG201" s="254"/>
      <c r="CH201" s="254"/>
      <c r="CI201" s="254"/>
      <c r="CJ201" s="254"/>
      <c r="CK201" s="254"/>
      <c r="CL201" s="254"/>
    </row>
    <row r="202" spans="2:90" x14ac:dyDescent="0.15">
      <c r="D202" s="23" t="s">
        <v>379</v>
      </c>
      <c r="F202" s="26" t="s">
        <v>341</v>
      </c>
      <c r="G202" s="285">
        <f ca="1">(0*G199+G172*($C$4-G199))/$C$4</f>
        <v>0.15661657209695259</v>
      </c>
      <c r="H202" s="285">
        <f t="shared" ref="H202:BN202" ca="1" si="25">(G172*H199+H172*($C$4-H199))/$C$4</f>
        <v>0.58695868491150194</v>
      </c>
      <c r="I202" s="285">
        <f t="shared" ca="1" si="25"/>
        <v>0.90146498894208726</v>
      </c>
      <c r="J202" s="285">
        <f t="shared" ca="1" si="25"/>
        <v>1.0446645616515486</v>
      </c>
      <c r="K202" s="285">
        <f t="shared" ca="1" si="25"/>
        <v>1.0698613348115675</v>
      </c>
      <c r="L202" s="285">
        <f t="shared" ca="1" si="25"/>
        <v>1.0375619306167054</v>
      </c>
      <c r="M202" s="285">
        <f t="shared" ca="1" si="25"/>
        <v>0.97824492795606188</v>
      </c>
      <c r="N202" s="285">
        <f t="shared" ca="1" si="25"/>
        <v>0.90900061131751342</v>
      </c>
      <c r="O202" s="285">
        <f t="shared" ca="1" si="25"/>
        <v>0.85079481343669527</v>
      </c>
      <c r="P202" s="285">
        <f t="shared" ca="1" si="25"/>
        <v>0.78048954461878184</v>
      </c>
      <c r="Q202" s="285">
        <f t="shared" ca="1" si="25"/>
        <v>0.70526934149450304</v>
      </c>
      <c r="R202" s="285">
        <f t="shared" ca="1" si="25"/>
        <v>0.63850977082194493</v>
      </c>
      <c r="S202" s="285">
        <f t="shared" ca="1" si="25"/>
        <v>0.59000114660029235</v>
      </c>
      <c r="T202" s="285">
        <f t="shared" ca="1" si="25"/>
        <v>0.57698533119638218</v>
      </c>
      <c r="U202" s="285">
        <f t="shared" ca="1" si="25"/>
        <v>0.58881729287228812</v>
      </c>
      <c r="V202" s="285">
        <f t="shared" ca="1" si="25"/>
        <v>0.5682177567447726</v>
      </c>
      <c r="W202" s="285">
        <f t="shared" ca="1" si="25"/>
        <v>0.53867591860752229</v>
      </c>
      <c r="X202" s="285">
        <f t="shared" ca="1" si="25"/>
        <v>0.53240036433105919</v>
      </c>
      <c r="Y202" s="285">
        <f t="shared" ca="1" si="25"/>
        <v>0.53192289017980043</v>
      </c>
      <c r="Z202" s="285">
        <f t="shared" ca="1" si="25"/>
        <v>0.53123541790766016</v>
      </c>
      <c r="AA202" s="285">
        <f t="shared" ca="1" si="25"/>
        <v>0.52906231194409592</v>
      </c>
      <c r="AB202" s="285">
        <f t="shared" ca="1" si="25"/>
        <v>0.51891666879521425</v>
      </c>
      <c r="AC202" s="285">
        <f t="shared" ca="1" si="25"/>
        <v>0.50874735227936585</v>
      </c>
      <c r="AD202" s="285">
        <f t="shared" ca="1" si="25"/>
        <v>0.50150338775959113</v>
      </c>
      <c r="AE202" s="285">
        <f t="shared" ca="1" si="25"/>
        <v>0.49034246224387035</v>
      </c>
      <c r="AF202" s="285">
        <f t="shared" ca="1" si="25"/>
        <v>0.50105885178100407</v>
      </c>
      <c r="AG202" s="285">
        <f t="shared" ca="1" si="25"/>
        <v>0.52024956932969346</v>
      </c>
      <c r="AH202" s="285">
        <f t="shared" ca="1" si="25"/>
        <v>0.52907708104665219</v>
      </c>
      <c r="AI202" s="285">
        <f t="shared" ca="1" si="25"/>
        <v>0.52640078922171785</v>
      </c>
      <c r="AJ202" s="285">
        <f t="shared" ca="1" si="25"/>
        <v>0.51700566294017425</v>
      </c>
      <c r="AK202" s="285">
        <f t="shared" ca="1" si="25"/>
        <v>0.50497869382482563</v>
      </c>
      <c r="AL202" s="285">
        <f t="shared" ca="1" si="25"/>
        <v>0.49765503718639853</v>
      </c>
      <c r="AM202" s="285">
        <f t="shared" ca="1" si="25"/>
        <v>0.49517938088288654</v>
      </c>
      <c r="AN202" s="285">
        <f t="shared" ca="1" si="25"/>
        <v>0.48051812187081494</v>
      </c>
      <c r="AO202" s="285">
        <f t="shared" ca="1" si="25"/>
        <v>0.46312726023123924</v>
      </c>
      <c r="AP202" s="285">
        <f t="shared" ca="1" si="25"/>
        <v>0.44677028609517189</v>
      </c>
      <c r="AQ202" s="285">
        <f t="shared" ca="1" si="25"/>
        <v>0.43265921432807664</v>
      </c>
      <c r="AR202" s="285">
        <f t="shared" ca="1" si="25"/>
        <v>0.42113240443450106</v>
      </c>
      <c r="AS202" s="285">
        <f t="shared" ca="1" si="25"/>
        <v>0.41131645163676483</v>
      </c>
      <c r="AT202" s="285">
        <f t="shared" ca="1" si="25"/>
        <v>0.40222172440858961</v>
      </c>
      <c r="AU202" s="285">
        <f t="shared" ca="1" si="25"/>
        <v>0.39322691199692983</v>
      </c>
      <c r="AV202" s="285">
        <f t="shared" ca="1" si="25"/>
        <v>0.38437627716535611</v>
      </c>
      <c r="AW202" s="285">
        <f t="shared" ca="1" si="25"/>
        <v>0.37576103138163819</v>
      </c>
      <c r="AX202" s="285">
        <f t="shared" ca="1" si="25"/>
        <v>0.36778413453838465</v>
      </c>
      <c r="AY202" s="285">
        <f t="shared" ca="1" si="25"/>
        <v>0.36041373368035079</v>
      </c>
      <c r="AZ202" s="285">
        <f t="shared" ca="1" si="25"/>
        <v>0.35250118595923779</v>
      </c>
      <c r="BA202" s="285">
        <f t="shared" ca="1" si="25"/>
        <v>0.34394181111952249</v>
      </c>
      <c r="BB202" s="285">
        <f t="shared" ca="1" si="25"/>
        <v>0.3349553911699224</v>
      </c>
      <c r="BC202" s="285">
        <f t="shared" ca="1" si="25"/>
        <v>0.32584894943703496</v>
      </c>
      <c r="BD202" s="285">
        <f t="shared" ca="1" si="25"/>
        <v>0.31690904744014942</v>
      </c>
      <c r="BE202" s="285">
        <f t="shared" ca="1" si="25"/>
        <v>0.30814639411299311</v>
      </c>
      <c r="BF202" s="285">
        <f t="shared" ca="1" si="25"/>
        <v>0.29949671777916542</v>
      </c>
      <c r="BG202" s="285">
        <f t="shared" ca="1" si="25"/>
        <v>0.29090389467900041</v>
      </c>
      <c r="BH202" s="285">
        <f t="shared" ca="1" si="25"/>
        <v>0.28234010655684244</v>
      </c>
      <c r="BI202" s="285">
        <f t="shared" ca="1" si="25"/>
        <v>0.27379709006053704</v>
      </c>
      <c r="BJ202" s="285">
        <f t="shared" ca="1" si="25"/>
        <v>0.26546714934375393</v>
      </c>
      <c r="BK202" s="285">
        <f t="shared" ca="1" si="25"/>
        <v>0.25748798277811152</v>
      </c>
      <c r="BL202" s="285">
        <f t="shared" ca="1" si="25"/>
        <v>0.24935892306156562</v>
      </c>
      <c r="BM202" s="285">
        <f t="shared" ca="1" si="25"/>
        <v>0.24100859228968602</v>
      </c>
      <c r="BN202" s="285">
        <f t="shared" ca="1" si="25"/>
        <v>0.2325051323732277</v>
      </c>
      <c r="BO202" s="254"/>
      <c r="BP202" s="254"/>
      <c r="BQ202" s="254"/>
      <c r="BR202" s="254"/>
      <c r="BS202" s="254"/>
      <c r="BT202" s="254"/>
      <c r="BU202" s="254"/>
      <c r="BV202" s="254"/>
      <c r="BW202" s="254"/>
      <c r="BX202" s="254"/>
      <c r="BY202" s="254"/>
      <c r="BZ202" s="254"/>
      <c r="CA202" s="254"/>
      <c r="CB202" s="254"/>
      <c r="CC202" s="254"/>
      <c r="CD202" s="254"/>
      <c r="CE202" s="254"/>
      <c r="CF202" s="254"/>
      <c r="CG202" s="254"/>
      <c r="CH202" s="254"/>
      <c r="CI202" s="254"/>
      <c r="CJ202" s="254"/>
      <c r="CK202" s="254"/>
      <c r="CL202" s="254"/>
    </row>
    <row r="203" spans="2:90" x14ac:dyDescent="0.15">
      <c r="C203" s="23"/>
      <c r="D203" s="35"/>
      <c r="E203" s="23"/>
      <c r="G203" s="266"/>
      <c r="H203" s="266"/>
      <c r="I203" s="266"/>
      <c r="J203" s="266"/>
      <c r="K203" s="266"/>
      <c r="L203" s="266"/>
      <c r="M203" s="266"/>
      <c r="N203" s="266"/>
      <c r="O203" s="266"/>
      <c r="P203" s="266"/>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83"/>
      <c r="BA203" s="283"/>
      <c r="BB203" s="283"/>
      <c r="BC203" s="283"/>
      <c r="BD203" s="283"/>
      <c r="BE203" s="283"/>
      <c r="BF203" s="283"/>
      <c r="BG203" s="283"/>
      <c r="BH203" s="283"/>
      <c r="BI203" s="283"/>
      <c r="BJ203" s="283"/>
      <c r="BK203" s="283"/>
      <c r="BL203" s="283"/>
      <c r="BM203" s="283"/>
      <c r="BN203" s="283"/>
      <c r="BO203" s="254"/>
      <c r="BP203" s="254"/>
      <c r="BQ203" s="254"/>
      <c r="BR203" s="254"/>
      <c r="BS203" s="254"/>
      <c r="BT203" s="254"/>
      <c r="BU203" s="254"/>
      <c r="BV203" s="254"/>
      <c r="BW203" s="254"/>
      <c r="BX203" s="254"/>
      <c r="BY203" s="254"/>
      <c r="BZ203" s="254"/>
      <c r="CA203" s="254"/>
      <c r="CB203" s="254"/>
      <c r="CC203" s="254"/>
      <c r="CD203" s="254"/>
      <c r="CE203" s="254"/>
      <c r="CF203" s="254"/>
      <c r="CG203" s="254"/>
      <c r="CH203" s="254"/>
      <c r="CI203" s="254"/>
      <c r="CJ203" s="254"/>
      <c r="CK203" s="254"/>
      <c r="CL203" s="254"/>
    </row>
    <row r="204" spans="2:90" x14ac:dyDescent="0.15">
      <c r="C204" s="168"/>
      <c r="D204" s="23" t="s">
        <v>380</v>
      </c>
      <c r="F204" s="26" t="s">
        <v>174</v>
      </c>
      <c r="G204" s="256">
        <f t="shared" ref="G204:BN204" ca="1" si="26">IFERROR(G200/G171,0)</f>
        <v>0.34246575342465752</v>
      </c>
      <c r="H204" s="256">
        <f t="shared" ca="1" si="26"/>
        <v>0.70221774995622344</v>
      </c>
      <c r="I204" s="256">
        <f t="shared" ca="1" si="26"/>
        <v>0.8774077970793116</v>
      </c>
      <c r="J204" s="256">
        <f t="shared" ca="1" si="26"/>
        <v>0.9692770696665115</v>
      </c>
      <c r="K204" s="256">
        <f t="shared" ca="1" si="26"/>
        <v>1.0144104158389684</v>
      </c>
      <c r="L204" s="256">
        <f t="shared" ca="1" si="26"/>
        <v>1.0326799420857684</v>
      </c>
      <c r="M204" s="256">
        <f t="shared" ca="1" si="26"/>
        <v>1.0548270595799507</v>
      </c>
      <c r="N204" s="256">
        <f t="shared" ca="1" si="26"/>
        <v>1.0404311447292034</v>
      </c>
      <c r="O204" s="256">
        <f t="shared" ca="1" si="26"/>
        <v>1.0336249793561629</v>
      </c>
      <c r="P204" s="256">
        <f t="shared" ca="1" si="26"/>
        <v>1.028174484357961</v>
      </c>
      <c r="Q204" s="256">
        <f t="shared" ca="1" si="26"/>
        <v>1.0181268597080562</v>
      </c>
      <c r="R204" s="256">
        <f t="shared" ca="1" si="26"/>
        <v>1.0059458210136174</v>
      </c>
      <c r="S204" s="256">
        <f t="shared" ca="1" si="26"/>
        <v>0.98816444953997906</v>
      </c>
      <c r="T204" s="256">
        <f t="shared" ca="1" si="26"/>
        <v>0.95018349502062582</v>
      </c>
      <c r="U204" s="256">
        <f t="shared" ca="1" si="26"/>
        <v>0.98195143482233938</v>
      </c>
      <c r="V204" s="256">
        <f t="shared" ca="1" si="26"/>
        <v>1.0079331657296666</v>
      </c>
      <c r="W204" s="256">
        <f t="shared" ca="1" si="26"/>
        <v>0.98809990329612818</v>
      </c>
      <c r="X204" s="256">
        <f t="shared" ca="1" si="26"/>
        <v>0.98416148524877478</v>
      </c>
      <c r="Y204" s="256">
        <f t="shared" ca="1" si="26"/>
        <v>0.98771828361806757</v>
      </c>
      <c r="Z204" s="256">
        <f t="shared" ca="1" si="26"/>
        <v>0.99293022286523047</v>
      </c>
      <c r="AA204" s="256">
        <f t="shared" ca="1" si="26"/>
        <v>0.99864471313112479</v>
      </c>
      <c r="AB204" s="256">
        <f t="shared" ca="1" si="26"/>
        <v>1.0028727112557283</v>
      </c>
      <c r="AC204" s="256">
        <f t="shared" ca="1" si="26"/>
        <v>0.99266621482239759</v>
      </c>
      <c r="AD204" s="256">
        <f t="shared" ca="1" si="26"/>
        <v>1.0061580688496041</v>
      </c>
      <c r="AE204" s="256">
        <f t="shared" ca="1" si="26"/>
        <v>0.98908161936520467</v>
      </c>
      <c r="AF204" s="256">
        <f t="shared" ca="1" si="26"/>
        <v>0.97740189768275998</v>
      </c>
      <c r="AG204" s="256">
        <f t="shared" ca="1" si="26"/>
        <v>0.98370005814137895</v>
      </c>
      <c r="AH204" s="256">
        <f t="shared" ca="1" si="26"/>
        <v>0.99233646656831698</v>
      </c>
      <c r="AI204" s="256">
        <f t="shared" ca="1" si="26"/>
        <v>0.9980892165341676</v>
      </c>
      <c r="AJ204" s="256">
        <f t="shared" ca="1" si="26"/>
        <v>1.0007726335830347</v>
      </c>
      <c r="AK204" s="256">
        <f t="shared" ca="1" si="26"/>
        <v>1.0016646385253427</v>
      </c>
      <c r="AL204" s="256">
        <f t="shared" ca="1" si="26"/>
        <v>0.99265019761070217</v>
      </c>
      <c r="AM204" s="256">
        <f t="shared" ca="1" si="26"/>
        <v>1.0029989165080764</v>
      </c>
      <c r="AN204" s="256">
        <f t="shared" ca="1" si="26"/>
        <v>1.005585584171675</v>
      </c>
      <c r="AO204" s="256">
        <f t="shared" ca="1" si="26"/>
        <v>1.0050415588620882</v>
      </c>
      <c r="AP204" s="256">
        <f t="shared" ca="1" si="26"/>
        <v>1.0037665922905528</v>
      </c>
      <c r="AQ204" s="256">
        <f t="shared" ca="1" si="26"/>
        <v>1.0019699540883644</v>
      </c>
      <c r="AR204" s="256">
        <f t="shared" ca="1" si="26"/>
        <v>1.0007518222157417</v>
      </c>
      <c r="AS204" s="256">
        <f t="shared" ca="1" si="26"/>
        <v>1.000209938432334</v>
      </c>
      <c r="AT204" s="256">
        <f t="shared" ca="1" si="26"/>
        <v>1.0001171217396785</v>
      </c>
      <c r="AU204" s="256">
        <f t="shared" ca="1" si="26"/>
        <v>1.0002137711083383</v>
      </c>
      <c r="AV204" s="256">
        <f t="shared" ca="1" si="26"/>
        <v>1.0003368065567064</v>
      </c>
      <c r="AW204" s="256">
        <f t="shared" ca="1" si="26"/>
        <v>1.0004980101817553</v>
      </c>
      <c r="AX204" s="256">
        <f t="shared" ca="1" si="26"/>
        <v>1.0007216748282535</v>
      </c>
      <c r="AY204" s="256">
        <f t="shared" ca="1" si="26"/>
        <v>1.0011147975318235</v>
      </c>
      <c r="AZ204" s="256">
        <f t="shared" ca="1" si="26"/>
        <v>1.0016709318132144</v>
      </c>
      <c r="BA204" s="256">
        <f t="shared" ca="1" si="26"/>
        <v>1.0020874519438703</v>
      </c>
      <c r="BB204" s="256">
        <f t="shared" ca="1" si="26"/>
        <v>1.0023353160568291</v>
      </c>
      <c r="BC204" s="256">
        <f t="shared" ca="1" si="26"/>
        <v>1.0023084317380035</v>
      </c>
      <c r="BD204" s="256">
        <f t="shared" ca="1" si="26"/>
        <v>1.002248945039198</v>
      </c>
      <c r="BE204" s="256">
        <f t="shared" ca="1" si="26"/>
        <v>1.0022337769140823</v>
      </c>
      <c r="BF204" s="256">
        <f t="shared" ca="1" si="26"/>
        <v>1.0022664377190558</v>
      </c>
      <c r="BG204" s="256">
        <f t="shared" ca="1" si="26"/>
        <v>1.0023301251963799</v>
      </c>
      <c r="BH204" s="256">
        <f t="shared" ca="1" si="26"/>
        <v>1.0024099836689082</v>
      </c>
      <c r="BI204" s="256">
        <f t="shared" ca="1" si="26"/>
        <v>1.002498655418544</v>
      </c>
      <c r="BJ204" s="256">
        <f t="shared" ca="1" si="26"/>
        <v>1.002594031851781</v>
      </c>
      <c r="BK204" s="256">
        <f t="shared" ca="1" si="26"/>
        <v>1.0027493837442842</v>
      </c>
      <c r="BL204" s="256">
        <f t="shared" ca="1" si="26"/>
        <v>1.0030040683348393</v>
      </c>
      <c r="BM204" s="256">
        <f t="shared" ca="1" si="26"/>
        <v>1.0032204558652398</v>
      </c>
      <c r="BN204" s="256">
        <f t="shared" ca="1" si="26"/>
        <v>1.0033779334055306</v>
      </c>
      <c r="BO204" s="254"/>
      <c r="BP204" s="254"/>
      <c r="BQ204" s="254"/>
      <c r="BR204" s="254"/>
      <c r="BS204" s="254"/>
      <c r="BT204" s="254"/>
      <c r="BU204" s="254"/>
      <c r="BV204" s="254"/>
      <c r="BW204" s="254"/>
      <c r="BX204" s="254"/>
      <c r="BY204" s="254"/>
      <c r="BZ204" s="254"/>
      <c r="CA204" s="254"/>
      <c r="CB204" s="254"/>
      <c r="CC204" s="254"/>
      <c r="CD204" s="254"/>
      <c r="CE204" s="254"/>
      <c r="CF204" s="254"/>
      <c r="CG204" s="254"/>
      <c r="CH204" s="254"/>
      <c r="CI204" s="254"/>
      <c r="CJ204" s="254"/>
      <c r="CK204" s="254"/>
      <c r="CL204" s="254"/>
    </row>
    <row r="205" spans="2:90" x14ac:dyDescent="0.15">
      <c r="G205" s="266"/>
      <c r="H205" s="266"/>
      <c r="I205" s="266"/>
      <c r="J205" s="266"/>
      <c r="K205" s="266"/>
      <c r="L205" s="266"/>
      <c r="M205" s="266"/>
      <c r="N205" s="266"/>
      <c r="O205" s="266"/>
      <c r="P205" s="266"/>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83"/>
      <c r="BA205" s="283"/>
      <c r="BB205" s="283"/>
      <c r="BC205" s="283"/>
      <c r="BD205" s="283"/>
      <c r="BE205" s="283"/>
      <c r="BF205" s="283"/>
      <c r="BG205" s="283"/>
      <c r="BH205" s="283"/>
      <c r="BI205" s="283"/>
      <c r="BJ205" s="283"/>
      <c r="BK205" s="283"/>
      <c r="BL205" s="283"/>
      <c r="BM205" s="283"/>
      <c r="BN205" s="283"/>
      <c r="BO205" s="254"/>
      <c r="BP205" s="254"/>
      <c r="BQ205" s="254"/>
      <c r="BR205" s="254"/>
      <c r="BS205" s="254"/>
      <c r="BT205" s="254"/>
      <c r="BU205" s="254"/>
      <c r="BV205" s="254"/>
      <c r="BW205" s="254"/>
      <c r="BX205" s="254"/>
      <c r="BY205" s="254"/>
      <c r="BZ205" s="254"/>
      <c r="CA205" s="254"/>
      <c r="CB205" s="254"/>
      <c r="CC205" s="254"/>
      <c r="CD205" s="254"/>
      <c r="CE205" s="254"/>
      <c r="CF205" s="254"/>
      <c r="CG205" s="254"/>
      <c r="CH205" s="254"/>
      <c r="CI205" s="254"/>
      <c r="CJ205" s="254"/>
      <c r="CK205" s="254"/>
      <c r="CL205" s="254"/>
    </row>
    <row r="206" spans="2:90" x14ac:dyDescent="0.15">
      <c r="C206" s="23" t="s">
        <v>381</v>
      </c>
      <c r="G206" s="266"/>
      <c r="H206" s="266"/>
      <c r="I206" s="266"/>
      <c r="J206" s="266"/>
      <c r="K206" s="266"/>
      <c r="L206" s="266"/>
      <c r="M206" s="266"/>
      <c r="N206" s="266"/>
      <c r="O206" s="266"/>
      <c r="P206" s="266"/>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83"/>
      <c r="BA206" s="283"/>
      <c r="BB206" s="283"/>
      <c r="BC206" s="283"/>
      <c r="BD206" s="283"/>
      <c r="BE206" s="283"/>
      <c r="BF206" s="283"/>
      <c r="BG206" s="283"/>
      <c r="BH206" s="283"/>
      <c r="BI206" s="283"/>
      <c r="BJ206" s="283"/>
      <c r="BK206" s="283"/>
      <c r="BL206" s="283"/>
      <c r="BM206" s="283"/>
      <c r="BN206" s="283"/>
      <c r="BO206" s="254"/>
      <c r="BP206" s="254"/>
      <c r="BQ206" s="254"/>
      <c r="BR206" s="254"/>
      <c r="BS206" s="254"/>
      <c r="BT206" s="254"/>
      <c r="BU206" s="254"/>
      <c r="BV206" s="254"/>
      <c r="BW206" s="254"/>
      <c r="BX206" s="254"/>
      <c r="BY206" s="254"/>
      <c r="BZ206" s="254"/>
      <c r="CA206" s="254"/>
      <c r="CB206" s="254"/>
      <c r="CC206" s="254"/>
      <c r="CD206" s="254"/>
      <c r="CE206" s="254"/>
      <c r="CF206" s="254"/>
      <c r="CG206" s="254"/>
      <c r="CH206" s="254"/>
      <c r="CI206" s="254"/>
      <c r="CJ206" s="254"/>
      <c r="CK206" s="254"/>
      <c r="CL206" s="254"/>
    </row>
    <row r="207" spans="2:90" x14ac:dyDescent="0.15">
      <c r="D207" s="26" t="s">
        <v>382</v>
      </c>
      <c r="F207" s="26" t="s">
        <v>174</v>
      </c>
      <c r="G207" s="256">
        <f>IF(G7&gt;SAP_Leadsheet!$E$21,0,SAP_Leadsheet!$E$27)</f>
        <v>0.51159989507505566</v>
      </c>
      <c r="H207" s="256">
        <f>IF(H7&gt;SAP_Leadsheet!$E$21,0,SAP_Leadsheet!$E$27)</f>
        <v>0.51159989507505566</v>
      </c>
      <c r="I207" s="256">
        <f>IF(I7&gt;SAP_Leadsheet!$E$21,0,SAP_Leadsheet!$E$27)</f>
        <v>0.51159989507505566</v>
      </c>
      <c r="J207" s="256">
        <f>IF(J7&gt;SAP_Leadsheet!$E$21,0,SAP_Leadsheet!$E$27)</f>
        <v>0.51159989507505566</v>
      </c>
      <c r="K207" s="256">
        <f>IF(K7&gt;SAP_Leadsheet!$E$21,0,SAP_Leadsheet!$E$27)</f>
        <v>0.51159989507505566</v>
      </c>
      <c r="L207" s="256">
        <f>IF(L7&gt;SAP_Leadsheet!$E$21,0,SAP_Leadsheet!$E$27)</f>
        <v>0.51159989507505566</v>
      </c>
      <c r="M207" s="256">
        <f>IF(M7&gt;SAP_Leadsheet!$E$21,0,SAP_Leadsheet!$E$27)</f>
        <v>0.51159989507505566</v>
      </c>
      <c r="N207" s="256">
        <f>IF(N7&gt;SAP_Leadsheet!$E$21,0,SAP_Leadsheet!$E$27)</f>
        <v>0.51159989507505566</v>
      </c>
      <c r="O207" s="256">
        <f>IF(O7&gt;SAP_Leadsheet!$E$21,0,SAP_Leadsheet!$E$27)</f>
        <v>0.51159989507505566</v>
      </c>
      <c r="P207" s="256">
        <f>IF(P7&gt;SAP_Leadsheet!$E$21,0,SAP_Leadsheet!$E$27)</f>
        <v>0.51159989507505566</v>
      </c>
      <c r="Q207" s="256">
        <f>IF(Q7&gt;SAP_Leadsheet!$E$21,0,SAP_Leadsheet!$E$27)</f>
        <v>0.51159989507505566</v>
      </c>
      <c r="R207" s="256">
        <f>IF(R7&gt;SAP_Leadsheet!$E$21,0,SAP_Leadsheet!$E$27)</f>
        <v>0.51159989507505566</v>
      </c>
      <c r="S207" s="256">
        <f>IF(S7&gt;SAP_Leadsheet!$E$21,0,SAP_Leadsheet!$E$27)</f>
        <v>0.51159989507505566</v>
      </c>
      <c r="T207" s="256">
        <f>IF(T7&gt;SAP_Leadsheet!$E$21,0,SAP_Leadsheet!$E$27)</f>
        <v>0.51159989507505566</v>
      </c>
      <c r="U207" s="256">
        <f>IF(U7&gt;SAP_Leadsheet!$E$21,0,SAP_Leadsheet!$E$27)</f>
        <v>0.51159989507505566</v>
      </c>
      <c r="V207" s="256">
        <f>IF(V7&gt;SAP_Leadsheet!$E$21,0,SAP_Leadsheet!$E$27)</f>
        <v>0.51159989507505566</v>
      </c>
      <c r="W207" s="256">
        <f>IF(W7&gt;SAP_Leadsheet!$E$21,0,SAP_Leadsheet!$E$27)</f>
        <v>0.51159989507505566</v>
      </c>
      <c r="X207" s="256">
        <f>IF(X7&gt;SAP_Leadsheet!$E$21,0,SAP_Leadsheet!$E$27)</f>
        <v>0.51159989507505566</v>
      </c>
      <c r="Y207" s="256">
        <f>IF(Y7&gt;SAP_Leadsheet!$E$21,0,SAP_Leadsheet!$E$27)</f>
        <v>0.51159989507505566</v>
      </c>
      <c r="Z207" s="256">
        <f>IF(Z7&gt;SAP_Leadsheet!$E$21,0,SAP_Leadsheet!$E$27)</f>
        <v>0.51159989507505566</v>
      </c>
      <c r="AA207" s="256">
        <f>IF(AA7&gt;SAP_Leadsheet!$E$21,0,SAP_Leadsheet!$E$27)</f>
        <v>0.51159989507505566</v>
      </c>
      <c r="AB207" s="256">
        <f>IF(AB7&gt;SAP_Leadsheet!$E$21,0,SAP_Leadsheet!$E$27)</f>
        <v>0.51159989507505566</v>
      </c>
      <c r="AC207" s="256">
        <f>IF(AC7&gt;SAP_Leadsheet!$E$21,0,SAP_Leadsheet!$E$27)</f>
        <v>0.51159989507505566</v>
      </c>
      <c r="AD207" s="256">
        <f>IF(AD7&gt;SAP_Leadsheet!$E$21,0,SAP_Leadsheet!$E$27)</f>
        <v>0.51159989507505566</v>
      </c>
      <c r="AE207" s="256">
        <f>IF(AE7&gt;SAP_Leadsheet!$E$21,0,SAP_Leadsheet!$E$27)</f>
        <v>0.51159989507505566</v>
      </c>
      <c r="AF207" s="256">
        <f>IF(AF7&gt;SAP_Leadsheet!$E$21,0,SAP_Leadsheet!$E$27)</f>
        <v>0.51159989507505566</v>
      </c>
      <c r="AG207" s="256">
        <f>IF(AG7&gt;SAP_Leadsheet!$E$21,0,SAP_Leadsheet!$E$27)</f>
        <v>0.51159989507505566</v>
      </c>
      <c r="AH207" s="256">
        <f>IF(AH7&gt;SAP_Leadsheet!$E$21,0,SAP_Leadsheet!$E$27)</f>
        <v>0.51159989507505566</v>
      </c>
      <c r="AI207" s="256">
        <f>IF(AI7&gt;SAP_Leadsheet!$E$21,0,SAP_Leadsheet!$E$27)</f>
        <v>0.51159989507505566</v>
      </c>
      <c r="AJ207" s="256">
        <f>IF(AJ7&gt;SAP_Leadsheet!$E$21,0,SAP_Leadsheet!$E$27)</f>
        <v>0.51159989507505566</v>
      </c>
      <c r="AK207" s="256">
        <f>IF(AK7&gt;SAP_Leadsheet!$E$21,0,SAP_Leadsheet!$E$27)</f>
        <v>0.51159989507505566</v>
      </c>
      <c r="AL207" s="256">
        <f>IF(AL7&gt;SAP_Leadsheet!$E$21,0,SAP_Leadsheet!$E$27)</f>
        <v>0.51159989507505566</v>
      </c>
      <c r="AM207" s="256">
        <f>IF(AM7&gt;SAP_Leadsheet!$E$21,0,SAP_Leadsheet!$E$27)</f>
        <v>0.51159989507505566</v>
      </c>
      <c r="AN207" s="256">
        <f>IF(AN7&gt;SAP_Leadsheet!$E$21,0,SAP_Leadsheet!$E$27)</f>
        <v>0.51159989507505566</v>
      </c>
      <c r="AO207" s="256">
        <f>IF(AO7&gt;SAP_Leadsheet!$E$21,0,SAP_Leadsheet!$E$27)</f>
        <v>0.51159989507505566</v>
      </c>
      <c r="AP207" s="256">
        <f>IF(AP7&gt;SAP_Leadsheet!$E$21,0,SAP_Leadsheet!$E$27)</f>
        <v>0.51159989507505566</v>
      </c>
      <c r="AQ207" s="256">
        <f>IF(AQ7&gt;SAP_Leadsheet!$E$21,0,SAP_Leadsheet!$E$27)</f>
        <v>0.51159989507505566</v>
      </c>
      <c r="AR207" s="256">
        <f>IF(AR7&gt;SAP_Leadsheet!$E$21,0,SAP_Leadsheet!$E$27)</f>
        <v>0.51159989507505566</v>
      </c>
      <c r="AS207" s="256">
        <f>IF(AS7&gt;SAP_Leadsheet!$E$21,0,SAP_Leadsheet!$E$27)</f>
        <v>0.51159989507505566</v>
      </c>
      <c r="AT207" s="256">
        <f>IF(AT7&gt;SAP_Leadsheet!$E$21,0,SAP_Leadsheet!$E$27)</f>
        <v>0.51159989507505566</v>
      </c>
      <c r="AU207" s="256">
        <f>IF(AU7&gt;SAP_Leadsheet!$E$21,0,SAP_Leadsheet!$E$27)</f>
        <v>0.51159989507505566</v>
      </c>
      <c r="AV207" s="256">
        <f>IF(AV7&gt;SAP_Leadsheet!$E$21,0,SAP_Leadsheet!$E$27)</f>
        <v>0.51159989507505566</v>
      </c>
      <c r="AW207" s="256">
        <f>IF(AW7&gt;SAP_Leadsheet!$E$21,0,SAP_Leadsheet!$E$27)</f>
        <v>0.51159989507505566</v>
      </c>
      <c r="AX207" s="256">
        <f>IF(AX7&gt;SAP_Leadsheet!$E$21,0,SAP_Leadsheet!$E$27)</f>
        <v>0.51159989507505566</v>
      </c>
      <c r="AY207" s="256">
        <f>IF(AY7&gt;SAP_Leadsheet!$E$21,0,SAP_Leadsheet!$E$27)</f>
        <v>0.51159989507505566</v>
      </c>
      <c r="AZ207" s="256">
        <f>IF(AZ7&gt;SAP_Leadsheet!$E$21,0,SAP_Leadsheet!$E$27)</f>
        <v>0.51159989507505566</v>
      </c>
      <c r="BA207" s="256">
        <f>IF(BA7&gt;SAP_Leadsheet!$E$21,0,SAP_Leadsheet!$E$27)</f>
        <v>0.51159989507505566</v>
      </c>
      <c r="BB207" s="256">
        <f>IF(BB7&gt;SAP_Leadsheet!$E$21,0,SAP_Leadsheet!$E$27)</f>
        <v>0.51159989507505566</v>
      </c>
      <c r="BC207" s="256">
        <f>IF(BC7&gt;SAP_Leadsheet!$E$21,0,SAP_Leadsheet!$E$27)</f>
        <v>0.51159989507505566</v>
      </c>
      <c r="BD207" s="256">
        <f>IF(BD7&gt;SAP_Leadsheet!$E$21,0,SAP_Leadsheet!$E$27)</f>
        <v>0.51159989507505566</v>
      </c>
      <c r="BE207" s="256">
        <f>IF(BE7&gt;SAP_Leadsheet!$E$21,0,SAP_Leadsheet!$E$27)</f>
        <v>0.51159989507505566</v>
      </c>
      <c r="BF207" s="256">
        <f>IF(BF7&gt;SAP_Leadsheet!$E$21,0,SAP_Leadsheet!$E$27)</f>
        <v>0.51159989507505566</v>
      </c>
      <c r="BG207" s="256">
        <f>IF(BG7&gt;SAP_Leadsheet!$E$21,0,SAP_Leadsheet!$E$27)</f>
        <v>0.51159989507505566</v>
      </c>
      <c r="BH207" s="256">
        <f>IF(BH7&gt;SAP_Leadsheet!$E$21,0,SAP_Leadsheet!$E$27)</f>
        <v>0.51159989507505566</v>
      </c>
      <c r="BI207" s="256">
        <f>IF(BI7&gt;SAP_Leadsheet!$E$21,0,SAP_Leadsheet!$E$27)</f>
        <v>0.51159989507505566</v>
      </c>
      <c r="BJ207" s="256">
        <f>IF(BJ7&gt;SAP_Leadsheet!$E$21,0,SAP_Leadsheet!$E$27)</f>
        <v>0.51159989507505566</v>
      </c>
      <c r="BK207" s="256">
        <f>IF(BK7&gt;SAP_Leadsheet!$E$21,0,SAP_Leadsheet!$E$27)</f>
        <v>0.51159989507505566</v>
      </c>
      <c r="BL207" s="256">
        <f>IF(BL7&gt;SAP_Leadsheet!$E$21,0,SAP_Leadsheet!$E$27)</f>
        <v>0.51159989507505566</v>
      </c>
      <c r="BM207" s="256">
        <f>IF(BM7&gt;SAP_Leadsheet!$E$21,0,SAP_Leadsheet!$E$27)</f>
        <v>0.51159989507505566</v>
      </c>
      <c r="BN207" s="256">
        <f>IF(BN7&gt;SAP_Leadsheet!$E$21,0,SAP_Leadsheet!$E$27)</f>
        <v>0.51159989507505566</v>
      </c>
      <c r="BO207" s="254"/>
      <c r="BP207" s="254"/>
      <c r="BQ207" s="254"/>
      <c r="BR207" s="254"/>
      <c r="BS207" s="254"/>
      <c r="BT207" s="254"/>
      <c r="BU207" s="254"/>
      <c r="BV207" s="254"/>
      <c r="BW207" s="254"/>
      <c r="BX207" s="254"/>
      <c r="BY207" s="254"/>
      <c r="BZ207" s="254"/>
      <c r="CA207" s="254"/>
      <c r="CB207" s="254"/>
      <c r="CC207" s="254"/>
      <c r="CD207" s="254"/>
      <c r="CE207" s="254"/>
      <c r="CF207" s="254"/>
      <c r="CG207" s="254"/>
      <c r="CH207" s="254"/>
      <c r="CI207" s="254"/>
      <c r="CJ207" s="254"/>
      <c r="CK207" s="254"/>
      <c r="CL207" s="254"/>
    </row>
    <row r="208" spans="2:90" x14ac:dyDescent="0.15">
      <c r="D208" s="26" t="s">
        <v>383</v>
      </c>
      <c r="F208" s="26" t="s">
        <v>174</v>
      </c>
      <c r="G208" s="260">
        <f ca="1">IF(SAP_Spreadsheet!G6&gt;SAP_Leadsheet!$E$21,0,(G182+G181)/SAP_Spreadsheet!G171)</f>
        <v>1</v>
      </c>
      <c r="H208" s="260">
        <f ca="1">IF(SAP_Spreadsheet!H6&gt;SAP_Leadsheet!$E$21,0,(H182+H181)/SAP_Spreadsheet!H171)</f>
        <v>1</v>
      </c>
      <c r="I208" s="260">
        <f ca="1">IF(SAP_Spreadsheet!I6&gt;SAP_Leadsheet!$E$21,0,(I182+I181)/SAP_Spreadsheet!I171)</f>
        <v>0.97396071488318781</v>
      </c>
      <c r="J208" s="260">
        <f ca="1">IF(SAP_Spreadsheet!J6&gt;SAP_Leadsheet!$E$21,0,(J182+J181)/SAP_Spreadsheet!J171)</f>
        <v>0.93241439871680809</v>
      </c>
      <c r="K208" s="260">
        <f ca="1">IF(SAP_Spreadsheet!K6&gt;SAP_Leadsheet!$E$21,0,(K182+K181)/SAP_Spreadsheet!K171)</f>
        <v>0.8805612677687481</v>
      </c>
      <c r="L208" s="260">
        <f ca="1">IF(SAP_Spreadsheet!L6&gt;SAP_Leadsheet!$E$21,0,(L182+L181)/SAP_Spreadsheet!L171)</f>
        <v>0.82309750198961396</v>
      </c>
      <c r="M208" s="260">
        <f ca="1">IF(SAP_Spreadsheet!M6&gt;SAP_Leadsheet!$E$21,0,(M182+M181)/SAP_Spreadsheet!M171)</f>
        <v>0.75815952328406777</v>
      </c>
      <c r="N208" s="260">
        <f ca="1">IF(SAP_Spreadsheet!N6&gt;SAP_Leadsheet!$E$21,0,(N182+N181)/SAP_Spreadsheet!N171)</f>
        <v>0.69693007844349686</v>
      </c>
      <c r="O208" s="260">
        <f ca="1">IF(SAP_Spreadsheet!O6&gt;SAP_Leadsheet!$E$21,0,(O182+O181)/SAP_Spreadsheet!O171)</f>
        <v>0.64089712934930687</v>
      </c>
      <c r="P208" s="260">
        <f ca="1">IF(SAP_Spreadsheet!P6&gt;SAP_Leadsheet!$E$21,0,(P182+P181)/SAP_Spreadsheet!P171)</f>
        <v>0.58910653566036708</v>
      </c>
      <c r="Q208" s="260">
        <f ca="1">IF(SAP_Spreadsheet!Q6&gt;SAP_Leadsheet!$E$21,0,(Q182+Q181)/SAP_Spreadsheet!Q171)</f>
        <v>0.54509614739599754</v>
      </c>
      <c r="R208" s="260">
        <f ca="1">IF(SAP_Spreadsheet!R6&gt;SAP_Leadsheet!$E$21,0,(R182+R181)/SAP_Spreadsheet!R171)</f>
        <v>0.51187053928431903</v>
      </c>
      <c r="S208" s="260">
        <f ca="1">IF(SAP_Spreadsheet!S6&gt;SAP_Leadsheet!$E$21,0,(S182+S181)/SAP_Spreadsheet!S171)</f>
        <v>0.49884134144690767</v>
      </c>
      <c r="T208" s="260">
        <f ca="1">IF(SAP_Spreadsheet!T6&gt;SAP_Leadsheet!$E$21,0,(T182+T181)/SAP_Spreadsheet!T171)</f>
        <v>0.52867077862556633</v>
      </c>
      <c r="U208" s="260">
        <f ca="1">IF(SAP_Spreadsheet!U6&gt;SAP_Leadsheet!$E$21,0,(U182+U181)/SAP_Spreadsheet!U171)</f>
        <v>0.5320318919884891</v>
      </c>
      <c r="V208" s="260">
        <f ca="1">IF(SAP_Spreadsheet!V6&gt;SAP_Leadsheet!$E$21,0,(V182+V181)/SAP_Spreadsheet!V171)</f>
        <v>0.51408191273465065</v>
      </c>
      <c r="W208" s="260">
        <f ca="1">IF(SAP_Spreadsheet!W6&gt;SAP_Leadsheet!$E$21,0,(W182+W181)/SAP_Spreadsheet!W171)</f>
        <v>0.51009666434271039</v>
      </c>
      <c r="X208" s="260">
        <f ca="1">IF(SAP_Spreadsheet!X6&gt;SAP_Leadsheet!$E$21,0,(X182+X181)/SAP_Spreadsheet!X171)</f>
        <v>0.51002021590651581</v>
      </c>
      <c r="Y208" s="260">
        <f ca="1">IF(SAP_Spreadsheet!Y6&gt;SAP_Leadsheet!$E$21,0,(Y182+Y181)/SAP_Spreadsheet!Y171)</f>
        <v>0.50721332562515831</v>
      </c>
      <c r="Z208" s="260">
        <f ca="1">IF(SAP_Spreadsheet!Z6&gt;SAP_Leadsheet!$E$21,0,(Z182+Z181)/SAP_Spreadsheet!Z171)</f>
        <v>0.50036265979474559</v>
      </c>
      <c r="AA208" s="260">
        <f ca="1">IF(SAP_Spreadsheet!AA6&gt;SAP_Leadsheet!$E$21,0,(AA182+AA181)/SAP_Spreadsheet!AA171)</f>
        <v>0.48912614508813002</v>
      </c>
      <c r="AB208" s="260">
        <f ca="1">IF(SAP_Spreadsheet!AB6&gt;SAP_Leadsheet!$E$21,0,(AB182+AB181)/SAP_Spreadsheet!AB171)</f>
        <v>0.47464679816673266</v>
      </c>
      <c r="AC208" s="260">
        <f ca="1">IF(SAP_Spreadsheet!AC6&gt;SAP_Leadsheet!$E$21,0,(AC182+AC181)/SAP_Spreadsheet!AC171)</f>
        <v>0.46870122072156961</v>
      </c>
      <c r="AD208" s="260">
        <f ca="1">IF(SAP_Spreadsheet!AD6&gt;SAP_Leadsheet!$E$21,0,(AD182+AD181)/SAP_Spreadsheet!AD171)</f>
        <v>0.45228133405369275</v>
      </c>
      <c r="AE208" s="260">
        <f ca="1">IF(SAP_Spreadsheet!AE6&gt;SAP_Leadsheet!$E$21,0,(AE182+AE181)/SAP_Spreadsheet!AE171)</f>
        <v>0.45067528425114334</v>
      </c>
      <c r="AF208" s="260">
        <f ca="1">IF(SAP_Spreadsheet!AF6&gt;SAP_Leadsheet!$E$21,0,(AF182+AF181)/SAP_Spreadsheet!AF171)</f>
        <v>0.46144044411843943</v>
      </c>
      <c r="AG208" s="260">
        <f ca="1">IF(SAP_Spreadsheet!AG6&gt;SAP_Leadsheet!$E$21,0,(AG182+AG181)/SAP_Spreadsheet!AG171)</f>
        <v>0.46642380070767864</v>
      </c>
      <c r="AH208" s="260">
        <f ca="1">IF(SAP_Spreadsheet!AH6&gt;SAP_Leadsheet!$E$21,0,(AH182+AH181)/SAP_Spreadsheet!AH171)</f>
        <v>0.46365580881366403</v>
      </c>
      <c r="AI208" s="260">
        <f ca="1">IF(SAP_Spreadsheet!AI6&gt;SAP_Leadsheet!$E$21,0,(AI182+AI181)/SAP_Spreadsheet!AI171)</f>
        <v>0.45591214629817861</v>
      </c>
      <c r="AJ208" s="260">
        <f ca="1">IF(SAP_Spreadsheet!AJ6&gt;SAP_Leadsheet!$E$21,0,(AJ182+AJ181)/SAP_Spreadsheet!AJ171)</f>
        <v>0.44595160253961924</v>
      </c>
      <c r="AK208" s="260">
        <f ca="1">IF(SAP_Spreadsheet!AK6&gt;SAP_Leadsheet!$E$21,0,(AK182+AK181)/SAP_Spreadsheet!AK171)</f>
        <v>0.43537701842451365</v>
      </c>
      <c r="AL208" s="260">
        <f ca="1">IF(SAP_Spreadsheet!AL6&gt;SAP_Leadsheet!$E$21,0,(AL182+AL181)/SAP_Spreadsheet!AL171)</f>
        <v>0.43286980800689323</v>
      </c>
      <c r="AM208" s="260">
        <f ca="1">IF(SAP_Spreadsheet!AM6&gt;SAP_Leadsheet!$E$21,0,(AM182+AM181)/SAP_Spreadsheet!AM171)</f>
        <v>0.42168247907645851</v>
      </c>
      <c r="AN208" s="260">
        <f ca="1">IF(SAP_Spreadsheet!AN6&gt;SAP_Leadsheet!$E$21,0,(AN182+AN181)/SAP_Spreadsheet!AN171)</f>
        <v>0.4079902907810517</v>
      </c>
      <c r="AO208" s="260">
        <f ca="1">IF(SAP_Spreadsheet!AO6&gt;SAP_Leadsheet!$E$21,0,(AO182+AO181)/SAP_Spreadsheet!AO171)</f>
        <v>0.39493021970287928</v>
      </c>
      <c r="AP208" s="260">
        <f ca="1">IF(SAP_Spreadsheet!AP6&gt;SAP_Leadsheet!$E$21,0,(AP182+AP181)/SAP_Spreadsheet!AP171)</f>
        <v>0.38328359302654613</v>
      </c>
      <c r="AQ208" s="260">
        <f ca="1">IF(SAP_Spreadsheet!AQ6&gt;SAP_Leadsheet!$E$21,0,(AQ182+AQ181)/SAP_Spreadsheet!AQ171)</f>
        <v>0.3739103686539646</v>
      </c>
      <c r="AR208" s="260">
        <f ca="1">IF(SAP_Spreadsheet!AR6&gt;SAP_Leadsheet!$E$21,0,(AR182+AR181)/SAP_Spreadsheet!AR171)</f>
        <v>0.36737900313186783</v>
      </c>
      <c r="AS208" s="260">
        <f ca="1">IF(SAP_Spreadsheet!AS6&gt;SAP_Leadsheet!$E$21,0,(AS182+AS181)/SAP_Spreadsheet!AS171)</f>
        <v>0.36130386477775561</v>
      </c>
      <c r="AT208" s="260">
        <f ca="1">IF(SAP_Spreadsheet!AT6&gt;SAP_Leadsheet!$E$21,0,(AT182+AT181)/SAP_Spreadsheet!AT171)</f>
        <v>0.35533987057477273</v>
      </c>
      <c r="AU208" s="260">
        <f ca="1">IF(SAP_Spreadsheet!AU6&gt;SAP_Leadsheet!$E$21,0,(AU182+AU181)/SAP_Spreadsheet!AU171)</f>
        <v>0.34935230747196427</v>
      </c>
      <c r="AV208" s="260">
        <f ca="1">IF(SAP_Spreadsheet!AV6&gt;SAP_Leadsheet!$E$21,0,(AV182+AV181)/SAP_Spreadsheet!AV171)</f>
        <v>0.34331455662342358</v>
      </c>
      <c r="AW208" s="260">
        <f ca="1">IF(SAP_Spreadsheet!AW6&gt;SAP_Leadsheet!$E$21,0,(AW182+AW181)/SAP_Spreadsheet!AW171)</f>
        <v>0.33719264944619975</v>
      </c>
      <c r="AX208" s="260">
        <f ca="1">IF(SAP_Spreadsheet!AX6&gt;SAP_Leadsheet!$E$21,0,(AX182+AX181)/SAP_Spreadsheet!AX171)</f>
        <v>0.33093524010793607</v>
      </c>
      <c r="AY208" s="260">
        <f ca="1">IF(SAP_Spreadsheet!AY6&gt;SAP_Leadsheet!$E$21,0,(AY182+AY181)/SAP_Spreadsheet!AY171)</f>
        <v>0.32436578958839823</v>
      </c>
      <c r="AZ208" s="260">
        <f ca="1">IF(SAP_Spreadsheet!AZ6&gt;SAP_Leadsheet!$E$21,0,(AZ182+AZ181)/SAP_Spreadsheet!AZ171)</f>
        <v>0.31730886163370176</v>
      </c>
      <c r="BA208" s="260">
        <f ca="1">IF(SAP_Spreadsheet!BA6&gt;SAP_Leadsheet!$E$21,0,(BA182+BA181)/SAP_Spreadsheet!BA171)</f>
        <v>0.30990300406925475</v>
      </c>
      <c r="BB208" s="260">
        <f ca="1">IF(SAP_Spreadsheet!BB6&gt;SAP_Leadsheet!$E$21,0,(BB182+BB181)/SAP_Spreadsheet!BB171)</f>
        <v>0.30232697533336944</v>
      </c>
      <c r="BC208" s="260">
        <f ca="1">IF(SAP_Spreadsheet!BC6&gt;SAP_Leadsheet!$E$21,0,(BC182+BC181)/SAP_Spreadsheet!BC171)</f>
        <v>0.2948749826068548</v>
      </c>
      <c r="BD208" s="260">
        <f ca="1">IF(SAP_Spreadsheet!BD6&gt;SAP_Leadsheet!$E$21,0,(BD182+BD181)/SAP_Spreadsheet!BD171)</f>
        <v>0.28829936384551708</v>
      </c>
      <c r="BE208" s="260">
        <f ca="1">IF(SAP_Spreadsheet!BE6&gt;SAP_Leadsheet!$E$21,0,(BE182+BE181)/SAP_Spreadsheet!BE171)</f>
        <v>0.28173515467459431</v>
      </c>
      <c r="BF208" s="260">
        <f ca="1">IF(SAP_Spreadsheet!BF6&gt;SAP_Leadsheet!$E$21,0,(BF182+BF181)/SAP_Spreadsheet!BF171)</f>
        <v>0.27517303102853974</v>
      </c>
      <c r="BG208" s="260">
        <f ca="1">IF(SAP_Spreadsheet!BG6&gt;SAP_Leadsheet!$E$21,0,(BG182+BG181)/SAP_Spreadsheet!BG171)</f>
        <v>0.26860487613302758</v>
      </c>
      <c r="BH208" s="260">
        <f ca="1">IF(SAP_Spreadsheet!BH6&gt;SAP_Leadsheet!$E$21,0,(BH182+BH181)/SAP_Spreadsheet!BH171)</f>
        <v>0.26201139843144283</v>
      </c>
      <c r="BI208" s="260">
        <f ca="1">IF(SAP_Spreadsheet!BI6&gt;SAP_Leadsheet!$E$21,0,(BI182+BI181)/SAP_Spreadsheet!BI171)</f>
        <v>0.25538139269081622</v>
      </c>
      <c r="BJ208" s="260">
        <f ca="1">IF(SAP_Spreadsheet!BJ6&gt;SAP_Leadsheet!$E$21,0,(BJ182+BJ181)/SAP_Spreadsheet!BJ171)</f>
        <v>0.2487121629374581</v>
      </c>
      <c r="BK208" s="260">
        <f ca="1">IF(SAP_Spreadsheet!BK6&gt;SAP_Leadsheet!$E$21,0,(BK182+BK181)/SAP_Spreadsheet!BK171)</f>
        <v>0.24193339378837336</v>
      </c>
      <c r="BL208" s="260">
        <f ca="1">IF(SAP_Spreadsheet!BL6&gt;SAP_Leadsheet!$E$21,0,(BL182+BL181)/SAP_Spreadsheet!BL171)</f>
        <v>0.23492676100936652</v>
      </c>
      <c r="BM208" s="260">
        <f ca="1">IF(SAP_Spreadsheet!BM6&gt;SAP_Leadsheet!$E$21,0,(BM182+BM181)/SAP_Spreadsheet!BM171)</f>
        <v>0.22773214985152987</v>
      </c>
      <c r="BN208" s="260">
        <f ca="1">IF(SAP_Spreadsheet!BN6&gt;SAP_Leadsheet!$E$21,0,(BN182+BN181)/SAP_Spreadsheet!BN171)</f>
        <v>0.22041770142772832</v>
      </c>
      <c r="BO208" s="254"/>
      <c r="BP208" s="254"/>
      <c r="BQ208" s="254"/>
      <c r="BR208" s="254"/>
      <c r="BS208" s="254"/>
      <c r="BT208" s="254"/>
      <c r="BU208" s="254"/>
      <c r="BV208" s="254"/>
      <c r="BW208" s="254"/>
      <c r="BX208" s="254"/>
      <c r="BY208" s="254"/>
      <c r="BZ208" s="254"/>
      <c r="CA208" s="254"/>
      <c r="CB208" s="254"/>
      <c r="CC208" s="254"/>
      <c r="CD208" s="254"/>
      <c r="CE208" s="254"/>
      <c r="CF208" s="254"/>
      <c r="CG208" s="254"/>
      <c r="CH208" s="254"/>
      <c r="CI208" s="254"/>
      <c r="CJ208" s="254"/>
      <c r="CK208" s="254"/>
      <c r="CL208" s="254"/>
    </row>
    <row r="209" spans="1:207" x14ac:dyDescent="0.15">
      <c r="D209" s="26" t="s">
        <v>384</v>
      </c>
      <c r="F209" s="26" t="s">
        <v>174</v>
      </c>
      <c r="G209" s="260">
        <f ca="1">IF(SAP_Spreadsheet!G7&gt;SAP_Leadsheet!$E$21,0,(G181+G182)/SAP_Spreadsheet!G172)</f>
        <v>1</v>
      </c>
      <c r="H209" s="260">
        <f ca="1">IF(SAP_Spreadsheet!H7&gt;SAP_Leadsheet!$E$21,0,(H181+H182)/SAP_Spreadsheet!H172)</f>
        <v>1</v>
      </c>
      <c r="I209" s="260">
        <f ca="1">IF(SAP_Spreadsheet!I7&gt;SAP_Leadsheet!$E$21,0,(I181+I182)/SAP_Spreadsheet!I172)</f>
        <v>0.97396071488318781</v>
      </c>
      <c r="J209" s="260">
        <f ca="1">IF(SAP_Spreadsheet!J7&gt;SAP_Leadsheet!$E$21,0,(J181+J182)/SAP_Spreadsheet!J172)</f>
        <v>0.93241439871680809</v>
      </c>
      <c r="K209" s="260">
        <f ca="1">IF(SAP_Spreadsheet!K7&gt;SAP_Leadsheet!$E$21,0,(K181+K182)/SAP_Spreadsheet!K172)</f>
        <v>0.8805612677687481</v>
      </c>
      <c r="L209" s="260">
        <f ca="1">IF(SAP_Spreadsheet!L7&gt;SAP_Leadsheet!$E$21,0,(L181+L182)/SAP_Spreadsheet!L172)</f>
        <v>0.82309750198961396</v>
      </c>
      <c r="M209" s="260">
        <f ca="1">IF(SAP_Spreadsheet!M7&gt;SAP_Leadsheet!$E$21,0,(M181+M182)/SAP_Spreadsheet!M172)</f>
        <v>0.75815952328406777</v>
      </c>
      <c r="N209" s="260">
        <f ca="1">IF(SAP_Spreadsheet!N7&gt;SAP_Leadsheet!$E$21,0,(N181+N182)/SAP_Spreadsheet!N172)</f>
        <v>0.69693007844349675</v>
      </c>
      <c r="O209" s="260">
        <f ca="1">IF(SAP_Spreadsheet!O7&gt;SAP_Leadsheet!$E$21,0,(O181+O182)/SAP_Spreadsheet!O172)</f>
        <v>0.66020763732447318</v>
      </c>
      <c r="P209" s="260">
        <f ca="1">IF(SAP_Spreadsheet!P7&gt;SAP_Leadsheet!$E$21,0,(P181+P182)/SAP_Spreadsheet!P172)</f>
        <v>0.64331929928230225</v>
      </c>
      <c r="Q209" s="260">
        <f ca="1">IF(SAP_Spreadsheet!Q7&gt;SAP_Leadsheet!$E$21,0,(Q181+Q182)/SAP_Spreadsheet!Q172)</f>
        <v>0.64248746026867898</v>
      </c>
      <c r="R209" s="260">
        <f ca="1">IF(SAP_Spreadsheet!R7&gt;SAP_Leadsheet!$E$21,0,(R181+R182)/SAP_Spreadsheet!R172)</f>
        <v>0.65472563973058662</v>
      </c>
      <c r="S209" s="260">
        <f ca="1">IF(SAP_Spreadsheet!S7&gt;SAP_Leadsheet!$E$21,0,(S181+S182)/SAP_Spreadsheet!S172)</f>
        <v>0.68632353281835434</v>
      </c>
      <c r="T209" s="260">
        <f ca="1">IF(SAP_Spreadsheet!T7&gt;SAP_Leadsheet!$E$21,0,(T181+T182)/SAP_Spreadsheet!T172)</f>
        <v>0.75580712161824837</v>
      </c>
      <c r="U209" s="260">
        <f ca="1">IF(SAP_Spreadsheet!U7&gt;SAP_Leadsheet!$E$21,0,(U181+U182)/SAP_Spreadsheet!U172)</f>
        <v>0.79621452328331899</v>
      </c>
      <c r="V209" s="260">
        <f ca="1">IF(SAP_Spreadsheet!V7&gt;SAP_Leadsheet!$E$21,0,(V181+V182)/SAP_Spreadsheet!V172)</f>
        <v>0.81622826343151222</v>
      </c>
      <c r="W209" s="260">
        <f ca="1">IF(SAP_Spreadsheet!W7&gt;SAP_Leadsheet!$E$21,0,(W181+W182)/SAP_Spreadsheet!W172)</f>
        <v>0.83961338546907904</v>
      </c>
      <c r="X209" s="260">
        <f ca="1">IF(SAP_Spreadsheet!X7&gt;SAP_Leadsheet!$E$21,0,(X181+X182)/SAP_Spreadsheet!X172)</f>
        <v>0.86021083851245239</v>
      </c>
      <c r="Y209" s="260">
        <f ca="1">IF(SAP_Spreadsheet!Y7&gt;SAP_Leadsheet!$E$21,0,(Y181+Y182)/SAP_Spreadsheet!Y172)</f>
        <v>0.87404320389790535</v>
      </c>
      <c r="Z209" s="260">
        <f ca="1">IF(SAP_Spreadsheet!Z7&gt;SAP_Leadsheet!$E$21,0,(Z181+Z182)/SAP_Spreadsheet!Z172)</f>
        <v>0.87052245356385283</v>
      </c>
      <c r="AA209" s="260">
        <f ca="1">IF(SAP_Spreadsheet!AA7&gt;SAP_Leadsheet!$E$21,0,(AA181+AA182)/SAP_Spreadsheet!AA172)</f>
        <v>0.8651277646511053</v>
      </c>
      <c r="AB209" s="260">
        <f ca="1">IF(SAP_Spreadsheet!AB7&gt;SAP_Leadsheet!$E$21,0,(AB181+AB182)/SAP_Spreadsheet!AB172)</f>
        <v>0.86049209740855825</v>
      </c>
      <c r="AC209" s="260">
        <f ca="1">IF(SAP_Spreadsheet!AC7&gt;SAP_Leadsheet!$E$21,0,(AC181+AC182)/SAP_Spreadsheet!AC172)</f>
        <v>0.86081747256974783</v>
      </c>
      <c r="AD209" s="260">
        <f ca="1">IF(SAP_Spreadsheet!AD7&gt;SAP_Leadsheet!$E$21,0,(AD181+AD182)/SAP_Spreadsheet!AD172)</f>
        <v>0.85566495193954528</v>
      </c>
      <c r="AE209" s="260">
        <f ca="1">IF(SAP_Spreadsheet!AE7&gt;SAP_Leadsheet!$E$21,0,(AE181+AE182)/SAP_Spreadsheet!AE172)</f>
        <v>0.85874924684747167</v>
      </c>
      <c r="AF209" s="260">
        <f ca="1">IF(SAP_Spreadsheet!AF7&gt;SAP_Leadsheet!$E$21,0,(AF181+AF182)/SAP_Spreadsheet!AF172)</f>
        <v>0.87126790293782708</v>
      </c>
      <c r="AG209" s="260">
        <f ca="1">IF(SAP_Spreadsheet!AG7&gt;SAP_Leadsheet!$E$21,0,(AG181+AG182)/SAP_Spreadsheet!AG172)</f>
        <v>0.88033238083333332</v>
      </c>
      <c r="AH209" s="260">
        <f ca="1">IF(SAP_Spreadsheet!AH7&gt;SAP_Leadsheet!$E$21,0,(AH181+AH182)/SAP_Spreadsheet!AH172)</f>
        <v>0.8850762346008253</v>
      </c>
      <c r="AI209" s="260">
        <f ca="1">IF(SAP_Spreadsheet!AI7&gt;SAP_Leadsheet!$E$21,0,(AI181+AI182)/SAP_Spreadsheet!AI172)</f>
        <v>0.88659852731273681</v>
      </c>
      <c r="AJ209" s="260">
        <f ca="1">IF(SAP_Spreadsheet!AJ7&gt;SAP_Leadsheet!$E$21,0,(AJ181+AJ182)/SAP_Spreadsheet!AJ172)</f>
        <v>0.88603188124578458</v>
      </c>
      <c r="AK209" s="260">
        <f ca="1">IF(SAP_Spreadsheet!AK7&gt;SAP_Leadsheet!$E$21,0,(AK181+AK182)/SAP_Spreadsheet!AK172)</f>
        <v>0.88497487110594486</v>
      </c>
      <c r="AL209" s="260">
        <f ca="1">IF(SAP_Spreadsheet!AL7&gt;SAP_Leadsheet!$E$21,0,(AL181+AL182)/SAP_Spreadsheet!AL172)</f>
        <v>0.88434418900301481</v>
      </c>
      <c r="AM209" s="260">
        <f ca="1">IF(SAP_Spreadsheet!AM7&gt;SAP_Leadsheet!$E$21,0,(AM181+AM182)/SAP_Spreadsheet!AM172)</f>
        <v>0.88073451327482266</v>
      </c>
      <c r="AN209" s="260">
        <f ca="1">IF(SAP_Spreadsheet!AN7&gt;SAP_Leadsheet!$E$21,0,(AN181+AN182)/SAP_Spreadsheet!AN172)</f>
        <v>0.87664512425480579</v>
      </c>
      <c r="AO209" s="260">
        <f ca="1">IF(SAP_Spreadsheet!AO7&gt;SAP_Leadsheet!$E$21,0,(AO181+AO182)/SAP_Spreadsheet!AO172)</f>
        <v>0.87383398132310541</v>
      </c>
      <c r="AP209" s="260">
        <f ca="1">IF(SAP_Spreadsheet!AP7&gt;SAP_Leadsheet!$E$21,0,(AP181+AP182)/SAP_Spreadsheet!AP172)</f>
        <v>0.87236335812073562</v>
      </c>
      <c r="AQ209" s="260">
        <f ca="1">IF(SAP_Spreadsheet!AQ7&gt;SAP_Leadsheet!$E$21,0,(AQ181+AQ182)/SAP_Spreadsheet!AQ172)</f>
        <v>0.87292595079845048</v>
      </c>
      <c r="AR209" s="260">
        <f ca="1">IF(SAP_Spreadsheet!AR7&gt;SAP_Leadsheet!$E$21,0,(AR181+AR182)/SAP_Spreadsheet!AR172)</f>
        <v>0.87773504154247539</v>
      </c>
      <c r="AS209" s="260">
        <f ca="1">IF(SAP_Spreadsheet!AS7&gt;SAP_Leadsheet!$E$21,0,(AS181+AS182)/SAP_Spreadsheet!AS172)</f>
        <v>0.88236854375044527</v>
      </c>
      <c r="AT209" s="260">
        <f ca="1">IF(SAP_Spreadsheet!AT7&gt;SAP_Leadsheet!$E$21,0,(AT181+AT182)/SAP_Spreadsheet!AT172)</f>
        <v>0.88744243055412919</v>
      </c>
      <c r="AU209" s="260">
        <f ca="1">IF(SAP_Spreadsheet!AU7&gt;SAP_Leadsheet!$E$21,0,(AU181+AU182)/SAP_Spreadsheet!AU172)</f>
        <v>0.89226168991942256</v>
      </c>
      <c r="AV209" s="260">
        <f ca="1">IF(SAP_Spreadsheet!AV7&gt;SAP_Leadsheet!$E$21,0,(AV181+AV182)/SAP_Spreadsheet!AV172)</f>
        <v>0.89662500560356584</v>
      </c>
      <c r="AW209" s="260">
        <f ca="1">IF(SAP_Spreadsheet!AW7&gt;SAP_Leadsheet!$E$21,0,(AW181+AW182)/SAP_Spreadsheet!AW172)</f>
        <v>0.89987062708820953</v>
      </c>
      <c r="AX209" s="260">
        <f ca="1">IF(SAP_Spreadsheet!AX7&gt;SAP_Leadsheet!$E$21,0,(AX181+AX182)/SAP_Spreadsheet!AX172)</f>
        <v>0.89973778169837337</v>
      </c>
      <c r="AY209" s="260">
        <f ca="1">IF(SAP_Spreadsheet!AY7&gt;SAP_Leadsheet!$E$21,0,(AY181+AY182)/SAP_Spreadsheet!AY172)</f>
        <v>0.89937897014910306</v>
      </c>
      <c r="AZ209" s="260">
        <f ca="1">IF(SAP_Spreadsheet!AZ7&gt;SAP_Leadsheet!$E$21,0,(AZ181+AZ182)/SAP_Spreadsheet!AZ172)</f>
        <v>0.89878469753713353</v>
      </c>
      <c r="BA209" s="260">
        <f ca="1">IF(SAP_Spreadsheet!BA7&gt;SAP_Leadsheet!$E$21,0,(BA181+BA182)/SAP_Spreadsheet!BA172)</f>
        <v>0.89805676404925527</v>
      </c>
      <c r="BB209" s="260">
        <f ca="1">IF(SAP_Spreadsheet!BB7&gt;SAP_Leadsheet!$E$21,0,(BB181+BB182)/SAP_Spreadsheet!BB172)</f>
        <v>0.89730674348990258</v>
      </c>
      <c r="BC209" s="260">
        <f ca="1">IF(SAP_Spreadsheet!BC7&gt;SAP_Leadsheet!$E$21,0,(BC181+BC182)/SAP_Spreadsheet!BC172)</f>
        <v>0.89668354480068324</v>
      </c>
      <c r="BD209" s="260">
        <f ca="1">IF(SAP_Spreadsheet!BD7&gt;SAP_Leadsheet!$E$21,0,(BD181+BD182)/SAP_Spreadsheet!BD172)</f>
        <v>0.8984378512131993</v>
      </c>
      <c r="BE209" s="260">
        <f ca="1">IF(SAP_Spreadsheet!BE7&gt;SAP_Leadsheet!$E$21,0,(BE181+BE182)/SAP_Spreadsheet!BE172)</f>
        <v>0.90010244529339167</v>
      </c>
      <c r="BF209" s="260">
        <f ca="1">IF(SAP_Spreadsheet!BF7&gt;SAP_Leadsheet!$E$21,0,(BF181+BF182)/SAP_Spreadsheet!BF172)</f>
        <v>0.90177150398082773</v>
      </c>
      <c r="BG209" s="260">
        <f ca="1">IF(SAP_Spreadsheet!BG7&gt;SAP_Leadsheet!$E$21,0,(BG181+BG182)/SAP_Spreadsheet!BG172)</f>
        <v>0.90349359467983748</v>
      </c>
      <c r="BH209" s="260">
        <f ca="1">IF(SAP_Spreadsheet!BH7&gt;SAP_Leadsheet!$E$21,0,(BH181+BH182)/SAP_Spreadsheet!BH172)</f>
        <v>0.90522620361524531</v>
      </c>
      <c r="BI209" s="260">
        <f ca="1">IF(SAP_Spreadsheet!BI7&gt;SAP_Leadsheet!$E$21,0,(BI181+BI182)/SAP_Spreadsheet!BI172)</f>
        <v>0.90693976766545192</v>
      </c>
      <c r="BJ209" s="260">
        <f ca="1">IF(SAP_Spreadsheet!BJ7&gt;SAP_Leadsheet!$E$21,0,(BJ181+BJ182)/SAP_Spreadsheet!BJ172)</f>
        <v>0.9066404694773923</v>
      </c>
      <c r="BK209" s="260">
        <f ca="1">IF(SAP_Spreadsheet!BK7&gt;SAP_Leadsheet!$E$21,0,(BK181+BK182)/SAP_Spreadsheet!BK172)</f>
        <v>0.90627835620488206</v>
      </c>
      <c r="BL209" s="260">
        <f ca="1">IF(SAP_Spreadsheet!BL7&gt;SAP_Leadsheet!$E$21,0,(BL181+BL182)/SAP_Spreadsheet!BL172)</f>
        <v>0.90579552054117085</v>
      </c>
      <c r="BM209" s="260">
        <f ca="1">IF(SAP_Spreadsheet!BM7&gt;SAP_Leadsheet!$E$21,0,(BM181+BM182)/SAP_Spreadsheet!BM172)</f>
        <v>0.90521271596568198</v>
      </c>
      <c r="BN209" s="260">
        <f ca="1">IF(SAP_Spreadsheet!BN7&gt;SAP_Leadsheet!$E$21,0,(BN181+BN182)/SAP_Spreadsheet!BN172)</f>
        <v>0.90457383786420409</v>
      </c>
      <c r="BO209" s="254"/>
      <c r="BP209" s="254"/>
      <c r="BQ209" s="254"/>
      <c r="BR209" s="254"/>
      <c r="BS209" s="254"/>
      <c r="BT209" s="254"/>
      <c r="BU209" s="254"/>
      <c r="BV209" s="254"/>
      <c r="BW209" s="254"/>
      <c r="BX209" s="254"/>
      <c r="BY209" s="254"/>
      <c r="BZ209" s="254"/>
      <c r="CA209" s="254"/>
      <c r="CB209" s="254"/>
      <c r="CC209" s="254"/>
      <c r="CD209" s="254"/>
      <c r="CE209" s="254"/>
      <c r="CF209" s="254"/>
      <c r="CG209" s="254"/>
      <c r="CH209" s="254"/>
      <c r="CI209" s="254"/>
      <c r="CJ209" s="254"/>
      <c r="CK209" s="254"/>
      <c r="CL209" s="254"/>
    </row>
    <row r="210" spans="1:207" x14ac:dyDescent="0.15">
      <c r="D210" s="26" t="s">
        <v>385</v>
      </c>
      <c r="F210" s="26" t="s">
        <v>174</v>
      </c>
      <c r="G210" s="260"/>
      <c r="H210" s="260">
        <f ca="1">IF(SAP_Spreadsheet!H8&gt;SAP_Leadsheet!$E$21,0,1-(H172-H182-H181)/H211)</f>
        <v>1</v>
      </c>
      <c r="I210" s="260">
        <f ca="1">IF(SAP_Spreadsheet!I8&gt;SAP_Leadsheet!$E$21,0,1-(I172-I182-I181)/I211)</f>
        <v>0.9109080525968517</v>
      </c>
      <c r="J210" s="260">
        <f ca="1">IF(SAP_Spreadsheet!J8&gt;SAP_Leadsheet!$E$21,0,1-(J172-J182-J181)/J211)</f>
        <v>0.84205575924782949</v>
      </c>
      <c r="K210" s="260">
        <f ca="1">IF(SAP_Spreadsheet!K8&gt;SAP_Leadsheet!$E$21,0,1-(K172-K182-K181)/K211)</f>
        <v>0.76430429514786336</v>
      </c>
      <c r="L210" s="260">
        <f ca="1">IF(SAP_Spreadsheet!L8&gt;SAP_Leadsheet!$E$21,0,1-(L172-L182-L181)/L211)</f>
        <v>0.67526857865697409</v>
      </c>
      <c r="M210" s="260">
        <f ca="1">IF(SAP_Spreadsheet!M8&gt;SAP_Leadsheet!$E$21,0,1-(M172-M182-M181)/M211)</f>
        <v>0.577476510838838</v>
      </c>
      <c r="N210" s="260">
        <f ca="1">IF(SAP_Spreadsheet!N8&gt;SAP_Leadsheet!$E$21,0,1-(N172-N182-N181)/N211)</f>
        <v>0.47092697891266078</v>
      </c>
      <c r="O210" s="260">
        <f ca="1">IF(SAP_Spreadsheet!O8&gt;SAP_Leadsheet!$E$21,0,1-(O172-O182-O181)/O211)</f>
        <v>0.41045376189737148</v>
      </c>
      <c r="P210" s="260">
        <f ca="1">IF(SAP_Spreadsheet!P8&gt;SAP_Leadsheet!$E$21,0,1-(P172-P182-P181)/P211)</f>
        <v>0.38389659936640697</v>
      </c>
      <c r="Q210" s="260">
        <f ca="1">IF(SAP_Spreadsheet!Q8&gt;SAP_Leadsheet!$E$21,0,1-(Q172-Q182-Q181)/Q211)</f>
        <v>0.35658053801075662</v>
      </c>
      <c r="R210" s="260">
        <f ca="1">IF(SAP_Spreadsheet!R8&gt;SAP_Leadsheet!$E$21,0,1-(R172-R182-R181)/R211)</f>
        <v>0.32216973274550653</v>
      </c>
      <c r="S210" s="260">
        <f ca="1">IF(SAP_Spreadsheet!S8&gt;SAP_Leadsheet!$E$21,0,1-(S172-S182-S181)/S211)</f>
        <v>0.30119673536580538</v>
      </c>
      <c r="T210" s="260">
        <f ca="1">IF(SAP_Spreadsheet!T8&gt;SAP_Leadsheet!$E$21,0,1-(T172-T182-T181)/T211)</f>
        <v>0.34060575699734985</v>
      </c>
      <c r="U210" s="260">
        <f ca="1">IF(SAP_Spreadsheet!U8&gt;SAP_Leadsheet!$E$21,0,1-(U172-U182-U181)/U211)</f>
        <v>0.42568059646276246</v>
      </c>
      <c r="V210" s="260">
        <f ca="1">IF(SAP_Spreadsheet!V8&gt;SAP_Leadsheet!$E$21,0,1-(V172-V182-V181)/V211)</f>
        <v>0.50521712713281186</v>
      </c>
      <c r="W210" s="260">
        <f ca="1">IF(SAP_Spreadsheet!W8&gt;SAP_Leadsheet!$E$21,0,1-(W172-W182-W181)/W211)</f>
        <v>0.53361882906885483</v>
      </c>
      <c r="X210" s="260">
        <f ca="1">IF(SAP_Spreadsheet!X8&gt;SAP_Leadsheet!$E$21,0,1-(X172-X182-X181)/X211)</f>
        <v>0.55549180641494589</v>
      </c>
      <c r="Y210" s="260">
        <f ca="1">IF(SAP_Spreadsheet!Y8&gt;SAP_Leadsheet!$E$21,0,1-(Y172-Y182-Y181)/Y211)</f>
        <v>0.58583663781323891</v>
      </c>
      <c r="Z210" s="260">
        <f ca="1">IF(SAP_Spreadsheet!Z8&gt;SAP_Leadsheet!$E$21,0,1-(Z172-Z182-Z181)/Z211)</f>
        <v>0.56408593456187273</v>
      </c>
      <c r="AA210" s="260">
        <f ca="1">IF(SAP_Spreadsheet!AA8&gt;SAP_Leadsheet!$E$21,0,1-(AA172-AA182-AA181)/AA211)</f>
        <v>0.54754513414882222</v>
      </c>
      <c r="AB210" s="260">
        <f ca="1">IF(SAP_Spreadsheet!AB8&gt;SAP_Leadsheet!$E$21,0,1-(AB172-AB182-AB181)/AB211)</f>
        <v>0.53592755729464137</v>
      </c>
      <c r="AC210" s="260">
        <f ca="1">IF(SAP_Spreadsheet!AC8&gt;SAP_Leadsheet!$E$21,0,1-(AC172-AC182-AC181)/AC211)</f>
        <v>0.517018721232124</v>
      </c>
      <c r="AD210" s="260">
        <f ca="1">IF(SAP_Spreadsheet!AD8&gt;SAP_Leadsheet!$E$21,0,1-(AD172-AD182-AD181)/AD211)</f>
        <v>0.50223655992587735</v>
      </c>
      <c r="AE210" s="260">
        <f ca="1">IF(SAP_Spreadsheet!AE8&gt;SAP_Leadsheet!$E$21,0,1-(AE172-AE182-AE181)/AE211)</f>
        <v>0.48605716100965468</v>
      </c>
      <c r="AF210" s="260">
        <f ca="1">IF(SAP_Spreadsheet!AF8&gt;SAP_Leadsheet!$E$21,0,1-(AF172-AF182-AF181)/AF211)</f>
        <v>0.49574791377828875</v>
      </c>
      <c r="AG210" s="260">
        <f ca="1">IF(SAP_Spreadsheet!AG8&gt;SAP_Leadsheet!$E$21,0,1-(AG172-AG182-AG181)/AG211)</f>
        <v>0.53371287921884369</v>
      </c>
      <c r="AH210" s="260">
        <f ca="1">IF(SAP_Spreadsheet!AH8&gt;SAP_Leadsheet!$E$21,0,1-(AH172-AH182-AH181)/AH211)</f>
        <v>0.56871341414491638</v>
      </c>
      <c r="AI210" s="260">
        <f ca="1">IF(SAP_Spreadsheet!AI8&gt;SAP_Leadsheet!$E$21,0,1-(AI172-AI182-AI181)/AI211)</f>
        <v>0.58333252430273119</v>
      </c>
      <c r="AJ210" s="260">
        <f ca="1">IF(SAP_Spreadsheet!AJ8&gt;SAP_Leadsheet!$E$21,0,1-(AJ172-AJ182-AJ181)/AJ211)</f>
        <v>0.58082846978865688</v>
      </c>
      <c r="AK210" s="260">
        <f ca="1">IF(SAP_Spreadsheet!AK8&gt;SAP_Leadsheet!$E$21,0,1-(AK172-AK182-AK181)/AK211)</f>
        <v>0.57092201652256847</v>
      </c>
      <c r="AL210" s="260">
        <f ca="1">IF(SAP_Spreadsheet!AL8&gt;SAP_Leadsheet!$E$21,0,1-(AL172-AL182-AL181)/AL211)</f>
        <v>0.54530494193987233</v>
      </c>
      <c r="AM210" s="260">
        <f ca="1">IF(SAP_Spreadsheet!AM8&gt;SAP_Leadsheet!$E$21,0,1-(AM172-AM182-AM181)/AM211)</f>
        <v>0.53437195943490945</v>
      </c>
      <c r="AN210" s="260">
        <f ca="1">IF(SAP_Spreadsheet!AN8&gt;SAP_Leadsheet!$E$21,0,1-(AN172-AN182-AN181)/AN211)</f>
        <v>0.52307095936242987</v>
      </c>
      <c r="AO210" s="260">
        <f ca="1">IF(SAP_Spreadsheet!AO8&gt;SAP_Leadsheet!$E$21,0,1-(AO172-AO182-AO181)/AO211)</f>
        <v>0.50162597647064744</v>
      </c>
      <c r="AP210" s="260">
        <f ca="1">IF(SAP_Spreadsheet!AP8&gt;SAP_Leadsheet!$E$21,0,1-(AP172-AP182-AP181)/AP211)</f>
        <v>0.47930543660386171</v>
      </c>
      <c r="AQ210" s="260">
        <f ca="1">IF(SAP_Spreadsheet!AQ8&gt;SAP_Leadsheet!$E$21,0,1-(AQ172-AQ182-AQ181)/AQ211)</f>
        <v>0.46269939224784351</v>
      </c>
      <c r="AR210" s="260">
        <f ca="1">IF(SAP_Spreadsheet!AR8&gt;SAP_Leadsheet!$E$21,0,1-(AR172-AR182-AR181)/AR211)</f>
        <v>0.46556116976683137</v>
      </c>
      <c r="AS210" s="260">
        <f ca="1">IF(SAP_Spreadsheet!AS8&gt;SAP_Leadsheet!$E$21,0,1-(AS172-AS182-AS181)/AS211)</f>
        <v>0.47128816035449206</v>
      </c>
      <c r="AT210" s="260">
        <f ca="1">IF(SAP_Spreadsheet!AT8&gt;SAP_Leadsheet!$E$21,0,1-(AT172-AT182-AT181)/AT211)</f>
        <v>0.48233957768373459</v>
      </c>
      <c r="AU210" s="260">
        <f ca="1">IF(SAP_Spreadsheet!AU8&gt;SAP_Leadsheet!$E$21,0,1-(AU172-AU182-AU181)/AU211)</f>
        <v>0.49348039430733492</v>
      </c>
      <c r="AV210" s="260">
        <f ca="1">IF(SAP_Spreadsheet!AV8&gt;SAP_Leadsheet!$E$21,0,1-(AV172-AV182-AV181)/AV211)</f>
        <v>0.50308297872426411</v>
      </c>
      <c r="AW210" s="260">
        <f ca="1">IF(SAP_Spreadsheet!AW8&gt;SAP_Leadsheet!$E$21,0,1-(AW172-AW182-AW181)/AW211)</f>
        <v>0.50762684052321005</v>
      </c>
      <c r="AX210" s="260">
        <f ca="1">IF(SAP_Spreadsheet!AX8&gt;SAP_Leadsheet!$E$21,0,1-(AX172-AX182-AX181)/AX211)</f>
        <v>0.49469801128374202</v>
      </c>
      <c r="AY210" s="260">
        <f ca="1">IF(SAP_Spreadsheet!AY8&gt;SAP_Leadsheet!$E$21,0,1-(AY172-AY182-AY181)/AY211)</f>
        <v>0.48331989732184211</v>
      </c>
      <c r="AZ210" s="260">
        <f ca="1">IF(SAP_Spreadsheet!AZ8&gt;SAP_Leadsheet!$E$21,0,1-(AZ172-AZ182-AZ181)/AZ211)</f>
        <v>0.47187400790697698</v>
      </c>
      <c r="BA210" s="260">
        <f ca="1">IF(SAP_Spreadsheet!BA8&gt;SAP_Leadsheet!$E$21,0,1-(BA172-BA182-BA181)/BA211)</f>
        <v>0.45865363736973097</v>
      </c>
      <c r="BB210" s="260">
        <f ca="1">IF(SAP_Spreadsheet!BB8&gt;SAP_Leadsheet!$E$21,0,1-(BB172-BB182-BB181)/BB211)</f>
        <v>0.44369479087496677</v>
      </c>
      <c r="BC210" s="260">
        <f ca="1">IF(SAP_Spreadsheet!BC8&gt;SAP_Leadsheet!$E$21,0,1-(BC172-BC182-BC181)/BC211)</f>
        <v>0.4275132158067726</v>
      </c>
      <c r="BD210" s="260">
        <f ca="1">IF(SAP_Spreadsheet!BD8&gt;SAP_Leadsheet!$E$21,0,1-(BD172-BD182-BD181)/BD211)</f>
        <v>0.42361883459597338</v>
      </c>
      <c r="BE210" s="260">
        <f ca="1">IF(SAP_Spreadsheet!BE8&gt;SAP_Leadsheet!$E$21,0,1-(BE172-BE182-BE181)/BE211)</f>
        <v>0.41926486813131847</v>
      </c>
      <c r="BF210" s="260">
        <f ca="1">IF(SAP_Spreadsheet!BF8&gt;SAP_Leadsheet!$E$21,0,1-(BF172-BF182-BF181)/BF211)</f>
        <v>0.41506082998529092</v>
      </c>
      <c r="BG210" s="260">
        <f ca="1">IF(SAP_Spreadsheet!BG8&gt;SAP_Leadsheet!$E$21,0,1-(BG172-BG182-BG181)/BG211)</f>
        <v>0.41118717197610377</v>
      </c>
      <c r="BH210" s="260">
        <f ca="1">IF(SAP_Spreadsheet!BH8&gt;SAP_Leadsheet!$E$21,0,1-(BH172-BH182-BH181)/BH211)</f>
        <v>0.40726868358035706</v>
      </c>
      <c r="BI210" s="260">
        <f ca="1">IF(SAP_Spreadsheet!BI8&gt;SAP_Leadsheet!$E$21,0,1-(BI172-BI182-BI181)/BI211)</f>
        <v>0.40305136212130888</v>
      </c>
      <c r="BJ210" s="260">
        <f ca="1">IF(SAP_Spreadsheet!BJ8&gt;SAP_Leadsheet!$E$21,0,1-(BJ172-BJ182-BJ181)/BJ211)</f>
        <v>0.3840170962056777</v>
      </c>
      <c r="BK210" s="260">
        <f ca="1">IF(SAP_Spreadsheet!BK8&gt;SAP_Leadsheet!$E$21,0,1-(BK172-BK182-BK181)/BK211)</f>
        <v>0.36557987225223632</v>
      </c>
      <c r="BL210" s="260">
        <f ca="1">IF(SAP_Spreadsheet!BL8&gt;SAP_Leadsheet!$E$21,0,1-(BL172-BL182-BL181)/BL211)</f>
        <v>0.34660076473188806</v>
      </c>
      <c r="BM210" s="260">
        <f ca="1">IF(SAP_Spreadsheet!BM8&gt;SAP_Leadsheet!$E$21,0,1-(BM172-BM182-BM181)/BM211)</f>
        <v>0.32551766826475936</v>
      </c>
      <c r="BN210" s="260">
        <f ca="1">IF(SAP_Spreadsheet!BN8&gt;SAP_Leadsheet!$E$21,0,1-(BN172-BN182-BN181)/BN211)</f>
        <v>0.30206924904157961</v>
      </c>
      <c r="BO210" s="254"/>
      <c r="BP210" s="254"/>
      <c r="BQ210" s="254"/>
      <c r="BR210" s="254"/>
      <c r="BS210" s="254"/>
      <c r="BT210" s="254"/>
      <c r="BU210" s="254"/>
      <c r="BV210" s="254"/>
      <c r="BW210" s="254"/>
      <c r="BX210" s="254"/>
      <c r="BY210" s="254"/>
      <c r="BZ210" s="254"/>
      <c r="CA210" s="254"/>
      <c r="CB210" s="254"/>
      <c r="CC210" s="254"/>
      <c r="CD210" s="254"/>
      <c r="CE210" s="254"/>
      <c r="CF210" s="254"/>
      <c r="CG210" s="254"/>
      <c r="CH210" s="254"/>
      <c r="CI210" s="254"/>
      <c r="CJ210" s="254"/>
      <c r="CK210" s="254"/>
      <c r="CL210" s="254"/>
    </row>
    <row r="211" spans="1:207" x14ac:dyDescent="0.15">
      <c r="D211" s="23" t="s">
        <v>386</v>
      </c>
      <c r="F211" s="26" t="s">
        <v>341</v>
      </c>
      <c r="G211" s="285">
        <v>0</v>
      </c>
      <c r="H211" s="285">
        <f ca="1">IF(H7&gt;SAP_Leadsheet!$E$21,0,G207*G174*G202)</f>
        <v>8.0125021851815831E-2</v>
      </c>
      <c r="I211" s="285">
        <f ca="1">IF(I7&gt;SAP_Leadsheet!$E$21,0,H207*H174*H202)</f>
        <v>0.30028800161411706</v>
      </c>
      <c r="J211" s="285">
        <f ca="1">IF(J7&gt;SAP_Leadsheet!$E$21,0,I207*I174*I202)</f>
        <v>0.46118939375660806</v>
      </c>
      <c r="K211" s="285">
        <f ca="1">IF(K7&gt;SAP_Leadsheet!$E$21,0,J207*J174*J202)</f>
        <v>0.53445028012956131</v>
      </c>
      <c r="L211" s="285">
        <f ca="1">IF(L7&gt;SAP_Leadsheet!$E$21,0,K207*K174*K202)</f>
        <v>0.54734094663445698</v>
      </c>
      <c r="M211" s="285">
        <f ca="1">IF(M7&gt;SAP_Leadsheet!$E$21,0,L207*L174*L202)</f>
        <v>0.53081657483737865</v>
      </c>
      <c r="N211" s="285">
        <f ca="1">IF(N7&gt;SAP_Leadsheet!$E$21,0,M207*M174*M202)</f>
        <v>0.5004700025000266</v>
      </c>
      <c r="O211" s="285">
        <f ca="1">IF(O7&gt;SAP_Leadsheet!$E$21,0,N207*N174*N202)</f>
        <v>0.46504461737320141</v>
      </c>
      <c r="P211" s="285">
        <f ca="1">IF(P7&gt;SAP_Leadsheet!$E$21,0,O207*O174*O202)</f>
        <v>0.42253536384102947</v>
      </c>
      <c r="Q211" s="285">
        <f ca="1">IF(Q7&gt;SAP_Leadsheet!$E$21,0,P207*P174*P202)</f>
        <v>0.36564934271034211</v>
      </c>
      <c r="R211" s="285">
        <f ca="1">IF(R7&gt;SAP_Leadsheet!$E$21,0,Q207*Q174*Q202)</f>
        <v>0.30612155358450521</v>
      </c>
      <c r="S211" s="285">
        <f ca="1">IF(S7&gt;SAP_Leadsheet!$E$21,0,R207*R174*R202)</f>
        <v>0.25538699613574511</v>
      </c>
      <c r="T211" s="285">
        <f ca="1">IF(T7&gt;SAP_Leadsheet!$E$21,0,S207*S174*S202)</f>
        <v>0.21939001128064992</v>
      </c>
      <c r="U211" s="285">
        <f ca="1">IF(U7&gt;SAP_Leadsheet!$E$21,0,T207*T174*T202)</f>
        <v>0.20647598438539583</v>
      </c>
      <c r="V211" s="285">
        <f ca="1">IF(V7&gt;SAP_Leadsheet!$E$21,0,U207*U174*U202)</f>
        <v>0.20128831958441135</v>
      </c>
      <c r="W211" s="285">
        <f ca="1">IF(W7&gt;SAP_Leadsheet!$E$21,0,V207*V174*V202)</f>
        <v>0.18309055582928613</v>
      </c>
      <c r="X211" s="285">
        <f ca="1">IF(X7&gt;SAP_Leadsheet!$E$21,0,W207*W174*W202)</f>
        <v>0.16742917511667388</v>
      </c>
      <c r="Y211" s="285">
        <f ca="1">IF(Y7&gt;SAP_Leadsheet!$E$21,0,X207*X174*X202)</f>
        <v>0.16149209598140749</v>
      </c>
      <c r="Z211" s="285">
        <f ca="1">IF(Z7&gt;SAP_Leadsheet!$E$21,0,Y207*Y174*Y202)</f>
        <v>0.15791990752172638</v>
      </c>
      <c r="AA211" s="285">
        <f ca="1">IF(AA7&gt;SAP_Leadsheet!$E$21,0,Z207*Z174*Z202)</f>
        <v>0.15621487435202286</v>
      </c>
      <c r="AB211" s="285">
        <f ca="1">IF(AB7&gt;SAP_Leadsheet!$E$21,0,AA207*AA174*AA202)</f>
        <v>0.1530304656256033</v>
      </c>
      <c r="AC211" s="285">
        <f ca="1">IF(AC7&gt;SAP_Leadsheet!$E$21,0,AB207*AB174*AB202)</f>
        <v>0.14643730835635554</v>
      </c>
      <c r="AD211" s="285">
        <f ca="1">IF(AD7&gt;SAP_Leadsheet!$E$21,0,AC207*AC174*AC202)</f>
        <v>0.141715586930559</v>
      </c>
      <c r="AE211" s="285">
        <f ca="1">IF(AE7&gt;SAP_Leadsheet!$E$21,0,AD207*AD174*AD202)</f>
        <v>0.1356154716498375</v>
      </c>
      <c r="AF211" s="285">
        <f ca="1">IF(AF7&gt;SAP_Leadsheet!$E$21,0,AE207*AE174*AE202)</f>
        <v>0.131651957955666</v>
      </c>
      <c r="AG211" s="285">
        <f ca="1">IF(AG7&gt;SAP_Leadsheet!$E$21,0,AF207*AF174*AF202)</f>
        <v>0.13576353173430833</v>
      </c>
      <c r="AH211" s="285">
        <f ca="1">IF(AH7&gt;SAP_Leadsheet!$E$21,0,AG207*AG174*AG202)</f>
        <v>0.14101853643974985</v>
      </c>
      <c r="AI211" s="285">
        <f ca="1">IF(AI7&gt;SAP_Leadsheet!$E$21,0,AH207*AH174*AH202)</f>
        <v>0.14179614410808616</v>
      </c>
      <c r="AJ211" s="285">
        <f ca="1">IF(AJ7&gt;SAP_Leadsheet!$E$21,0,AI207*AI174*AI202)</f>
        <v>0.13848448988809184</v>
      </c>
      <c r="AK211" s="285">
        <f ca="1">IF(AK7&gt;SAP_Leadsheet!$E$21,0,AJ207*AJ174*AJ202)</f>
        <v>0.13312638123493165</v>
      </c>
      <c r="AL211" s="285">
        <f ca="1">IF(AL7&gt;SAP_Leadsheet!$E$21,0,AK207*AK174*AK202)</f>
        <v>0.12709780878129909</v>
      </c>
      <c r="AM211" s="285">
        <f ca="1">IF(AM7&gt;SAP_Leadsheet!$E$21,0,AL207*AL174*AL202)</f>
        <v>0.12462202965368907</v>
      </c>
      <c r="AN211" s="285">
        <f ca="1">IF(AN7&gt;SAP_Leadsheet!$E$21,0,AM207*AM174*AM202)</f>
        <v>0.12129238627443395</v>
      </c>
      <c r="AO211" s="285">
        <f ca="1">IF(AO7&gt;SAP_Leadsheet!$E$21,0,AN207*AN174*AN202)</f>
        <v>0.11441058968620851</v>
      </c>
      <c r="AP211" s="285">
        <f ca="1">IF(AP7&gt;SAP_Leadsheet!$E$21,0,AO207*AO174*AO202)</f>
        <v>0.10708341899377974</v>
      </c>
      <c r="AQ211" s="285">
        <f ca="1">IF(AQ7&gt;SAP_Leadsheet!$E$21,0,AP207*AP174*AP202)</f>
        <v>0.10042400592726944</v>
      </c>
      <c r="AR211" s="285">
        <f ca="1">IF(AR7&gt;SAP_Leadsheet!$E$21,0,AQ207*AQ174*AQ202)</f>
        <v>9.4812698608507814E-2</v>
      </c>
      <c r="AS211" s="285">
        <f ca="1">IF(AS7&gt;SAP_Leadsheet!$E$21,0,AR207*AR174*AR202)</f>
        <v>9.0177875825962928E-2</v>
      </c>
      <c r="AT211" s="285">
        <f ca="1">IF(AT7&gt;SAP_Leadsheet!$E$21,0,AS207*AS174*AS202)</f>
        <v>8.6164647811978815E-2</v>
      </c>
      <c r="AU211" s="285">
        <f ca="1">IF(AU7&gt;SAP_Leadsheet!$E$21,0,AT207*AT174*AT202)</f>
        <v>8.2394784216575589E-2</v>
      </c>
      <c r="AV211" s="285">
        <f ca="1">IF(AV7&gt;SAP_Leadsheet!$E$21,0,AU207*AU174*AU202)</f>
        <v>7.8767134989938009E-2</v>
      </c>
      <c r="AW211" s="285">
        <f ca="1">IF(AW7&gt;SAP_Leadsheet!$E$21,0,AV207*AV174*AV202)</f>
        <v>7.5295391254268443E-2</v>
      </c>
      <c r="AX211" s="285">
        <f ca="1">IF(AX7&gt;SAP_Leadsheet!$E$21,0,AW207*AW174*AW202)</f>
        <v>7.2034444029060091E-2</v>
      </c>
      <c r="AY211" s="285">
        <f ca="1">IF(AY7&gt;SAP_Leadsheet!$E$21,0,AX207*AX174*AX202)</f>
        <v>6.9207075227564169E-2</v>
      </c>
      <c r="AZ211" s="285">
        <f ca="1">IF(AZ7&gt;SAP_Leadsheet!$E$21,0,AY207*AY174*AY202)</f>
        <v>6.6500374858808609E-2</v>
      </c>
      <c r="BA211" s="285">
        <f ca="1">IF(BA7&gt;SAP_Leadsheet!$E$21,0,AZ207*AZ174*AZ202)</f>
        <v>6.3667465347231833E-2</v>
      </c>
      <c r="BB211" s="285">
        <f ca="1">IF(BB7&gt;SAP_Leadsheet!$E$21,0,BA207*BA174*BA202)</f>
        <v>6.0720790723181345E-2</v>
      </c>
      <c r="BC211" s="285">
        <f ca="1">IF(BC7&gt;SAP_Leadsheet!$E$21,0,BB207*BB174*BB202)</f>
        <v>5.773688994965958E-2</v>
      </c>
      <c r="BD211" s="285">
        <f ca="1">IF(BD7&gt;SAP_Leadsheet!$E$21,0,BC207*BC174*BC202)</f>
        <v>5.4820816563943706E-2</v>
      </c>
      <c r="BE211" s="285">
        <f ca="1">IF(BE7&gt;SAP_Leadsheet!$E$21,0,BD207*BD174*BD202)</f>
        <v>5.2026034953856201E-2</v>
      </c>
      <c r="BF211" s="285">
        <f ca="1">IF(BF7&gt;SAP_Leadsheet!$E$21,0,BE207*BE174*BE202)</f>
        <v>4.9344259558816703E-2</v>
      </c>
      <c r="BG211" s="285">
        <f ca="1">IF(BG7&gt;SAP_Leadsheet!$E$21,0,BF207*BF174*BF202)</f>
        <v>4.6755410479677274E-2</v>
      </c>
      <c r="BH211" s="285">
        <f ca="1">IF(BH7&gt;SAP_Leadsheet!$E$21,0,BG207*BG174*BG202)</f>
        <v>4.4245468377976431E-2</v>
      </c>
      <c r="BI211" s="285">
        <f ca="1">IF(BI7&gt;SAP_Leadsheet!$E$21,0,BH207*BH174*BH202)</f>
        <v>4.180864467508344E-2</v>
      </c>
      <c r="BJ211" s="285">
        <f ca="1">IF(BJ7&gt;SAP_Leadsheet!$E$21,0,BI207*BI174*BI202)</f>
        <v>3.9443012798795841E-2</v>
      </c>
      <c r="BK211" s="285">
        <f ca="1">IF(BK7&gt;SAP_Leadsheet!$E$21,0,BJ207*BJ174*BJ202)</f>
        <v>3.7256594652275425E-2</v>
      </c>
      <c r="BL211" s="285">
        <f ca="1">IF(BL7&gt;SAP_Leadsheet!$E$21,0,BK207*BK174*BK202)</f>
        <v>3.5165890627208936E-2</v>
      </c>
      <c r="BM211" s="285">
        <f ca="1">IF(BM7&gt;SAP_Leadsheet!$E$21,0,BL207*BL174*BL202)</f>
        <v>3.3087022193629523E-2</v>
      </c>
      <c r="BN211" s="285">
        <f ca="1">IF(BN7&gt;SAP_Leadsheet!$E$21,0,BM207*BM174*BM202)</f>
        <v>3.101963424687787E-2</v>
      </c>
      <c r="BO211" s="254"/>
      <c r="BP211" s="254"/>
      <c r="BQ211" s="254"/>
      <c r="BR211" s="254"/>
      <c r="BS211" s="254"/>
      <c r="BT211" s="254"/>
      <c r="BU211" s="254"/>
      <c r="BV211" s="254"/>
      <c r="BW211" s="254"/>
      <c r="BX211" s="254"/>
      <c r="BY211" s="254"/>
      <c r="BZ211" s="254"/>
      <c r="CA211" s="254"/>
      <c r="CB211" s="254"/>
      <c r="CC211" s="254"/>
      <c r="CD211" s="254"/>
      <c r="CE211" s="254"/>
      <c r="CF211" s="254"/>
      <c r="CG211" s="254"/>
      <c r="CH211" s="254"/>
      <c r="CI211" s="254"/>
      <c r="CJ211" s="254"/>
      <c r="CK211" s="254"/>
      <c r="CL211" s="254"/>
    </row>
    <row r="212" spans="1:207" x14ac:dyDescent="0.15">
      <c r="D212" s="23" t="s">
        <v>387</v>
      </c>
      <c r="F212" s="26" t="s">
        <v>341</v>
      </c>
      <c r="G212" s="285">
        <f>G211*G210</f>
        <v>0</v>
      </c>
      <c r="H212" s="285">
        <f t="shared" ref="H212:BN212" ca="1" si="27">H211*H210</f>
        <v>8.0125021851815831E-2</v>
      </c>
      <c r="I212" s="285">
        <f t="shared" ca="1" si="27"/>
        <v>0.27353475876851563</v>
      </c>
      <c r="J212" s="285">
        <f t="shared" ca="1" si="27"/>
        <v>0.3883471851167668</v>
      </c>
      <c r="K212" s="285">
        <f t="shared" ca="1" si="27"/>
        <v>0.40848264464600248</v>
      </c>
      <c r="L212" s="285">
        <f t="shared" ca="1" si="27"/>
        <v>0.36960214307461248</v>
      </c>
      <c r="M212" s="285">
        <f t="shared" ca="1" si="27"/>
        <v>0.30653410353251237</v>
      </c>
      <c r="N212" s="285">
        <f t="shared" ca="1" si="27"/>
        <v>0.23568482631374932</v>
      </c>
      <c r="O212" s="285">
        <f t="shared" ca="1" si="27"/>
        <v>0.19087931265095423</v>
      </c>
      <c r="P212" s="285">
        <f t="shared" ca="1" si="27"/>
        <v>0.16220988929061869</v>
      </c>
      <c r="Q212" s="285">
        <f t="shared" ca="1" si="27"/>
        <v>0.13038343934693331</v>
      </c>
      <c r="R212" s="285">
        <f t="shared" ca="1" si="27"/>
        <v>9.8623099105959303E-2</v>
      </c>
      <c r="S212" s="285">
        <f t="shared" ca="1" si="27"/>
        <v>7.6921729490965984E-2</v>
      </c>
      <c r="T212" s="285">
        <f t="shared" ca="1" si="27"/>
        <v>7.4725500869902886E-2</v>
      </c>
      <c r="U212" s="285">
        <f t="shared" ca="1" si="27"/>
        <v>8.7892820188411325E-2</v>
      </c>
      <c r="V212" s="285">
        <f t="shared" ca="1" si="27"/>
        <v>0.1016943065458276</v>
      </c>
      <c r="W212" s="285">
        <f t="shared" ca="1" si="27"/>
        <v>9.7700568015189462E-2</v>
      </c>
      <c r="X212" s="285">
        <f t="shared" ca="1" si="27"/>
        <v>9.3005534932125475E-2</v>
      </c>
      <c r="Y212" s="285">
        <f t="shared" ca="1" si="27"/>
        <v>9.4607986543160633E-2</v>
      </c>
      <c r="Z212" s="285">
        <f t="shared" ca="1" si="27"/>
        <v>8.9080398620317539E-2</v>
      </c>
      <c r="AA212" s="285">
        <f t="shared" ca="1" si="27"/>
        <v>8.5534694333119762E-2</v>
      </c>
      <c r="AB212" s="285">
        <f t="shared" ca="1" si="27"/>
        <v>8.201324363439115E-2</v>
      </c>
      <c r="AC212" s="285">
        <f t="shared" ca="1" si="27"/>
        <v>7.5710829907077171E-2</v>
      </c>
      <c r="AD212" s="285">
        <f t="shared" ca="1" si="27"/>
        <v>7.1174748867880569E-2</v>
      </c>
      <c r="AE212" s="285">
        <f t="shared" ca="1" si="27"/>
        <v>6.5916871139105326E-2</v>
      </c>
      <c r="AF212" s="285">
        <f t="shared" ca="1" si="27"/>
        <v>6.5266183501348413E-2</v>
      </c>
      <c r="AG212" s="285">
        <f t="shared" ca="1" si="27"/>
        <v>7.2458745414836559E-2</v>
      </c>
      <c r="AH212" s="285">
        <f t="shared" ca="1" si="27"/>
        <v>8.0199133316369436E-2</v>
      </c>
      <c r="AI212" s="285">
        <f t="shared" ca="1" si="27"/>
        <v>8.271430267896375E-2</v>
      </c>
      <c r="AJ212" s="285">
        <f t="shared" ca="1" si="27"/>
        <v>8.0435734351163107E-2</v>
      </c>
      <c r="AK212" s="285">
        <f t="shared" ca="1" si="27"/>
        <v>7.6004782026999396E-2</v>
      </c>
      <c r="AL212" s="285">
        <f t="shared" ca="1" si="27"/>
        <v>6.930706323817129E-2</v>
      </c>
      <c r="AM212" s="285">
        <f t="shared" ca="1" si="27"/>
        <v>6.6594518174797224E-2</v>
      </c>
      <c r="AN212" s="285">
        <f t="shared" ca="1" si="27"/>
        <v>6.3444524851926587E-2</v>
      </c>
      <c r="AO212" s="285">
        <f t="shared" ca="1" si="27"/>
        <v>5.7391323769926929E-2</v>
      </c>
      <c r="AP212" s="285">
        <f t="shared" ca="1" si="27"/>
        <v>5.1325664893847857E-2</v>
      </c>
      <c r="AQ212" s="285">
        <f t="shared" ca="1" si="27"/>
        <v>4.6466126509641402E-2</v>
      </c>
      <c r="AR212" s="285">
        <f t="shared" ca="1" si="27"/>
        <v>4.4141110872926922E-2</v>
      </c>
      <c r="AS212" s="285">
        <f t="shared" ca="1" si="27"/>
        <v>4.2499765202693891E-2</v>
      </c>
      <c r="AT212" s="285">
        <f t="shared" ca="1" si="27"/>
        <v>4.1560619836897586E-2</v>
      </c>
      <c r="AU212" s="285">
        <f t="shared" ca="1" si="27"/>
        <v>4.0660210604063496E-2</v>
      </c>
      <c r="AV212" s="285">
        <f t="shared" ca="1" si="27"/>
        <v>3.9626404896314221E-2</v>
      </c>
      <c r="AW212" s="285">
        <f t="shared" ca="1" si="27"/>
        <v>3.822196156836323E-2</v>
      </c>
      <c r="AX212" s="285">
        <f t="shared" ca="1" si="27"/>
        <v>3.5635296205106054E-2</v>
      </c>
      <c r="AY212" s="285">
        <f t="shared" ca="1" si="27"/>
        <v>3.3449156492931315E-2</v>
      </c>
      <c r="AZ212" s="285">
        <f t="shared" ca="1" si="27"/>
        <v>3.1379798411942383E-2</v>
      </c>
      <c r="BA212" s="285">
        <f t="shared" ca="1" si="27"/>
        <v>2.9201314563619182E-2</v>
      </c>
      <c r="BB212" s="285">
        <f t="shared" ca="1" si="27"/>
        <v>2.694149854168457E-2</v>
      </c>
      <c r="BC212" s="285">
        <f t="shared" ca="1" si="27"/>
        <v>2.4683283493060697E-2</v>
      </c>
      <c r="BD212" s="285">
        <f t="shared" ca="1" si="27"/>
        <v>2.3223130424417468E-2</v>
      </c>
      <c r="BE212" s="285">
        <f t="shared" ca="1" si="27"/>
        <v>2.1812688684323886E-2</v>
      </c>
      <c r="BF212" s="285">
        <f t="shared" ca="1" si="27"/>
        <v>2.0480869327492084E-2</v>
      </c>
      <c r="BG212" s="285">
        <f t="shared" ca="1" si="27"/>
        <v>1.9225225009720383E-2</v>
      </c>
      <c r="BH212" s="285">
        <f t="shared" ca="1" si="27"/>
        <v>1.8019793660694776E-2</v>
      </c>
      <c r="BI212" s="285">
        <f t="shared" ca="1" si="27"/>
        <v>1.6851031184738189E-2</v>
      </c>
      <c r="BJ212" s="285">
        <f t="shared" ca="1" si="27"/>
        <v>1.5146791240596959E-2</v>
      </c>
      <c r="BK212" s="285">
        <f t="shared" ca="1" si="27"/>
        <v>1.3620261113532201E-2</v>
      </c>
      <c r="BL212" s="285">
        <f t="shared" ca="1" si="27"/>
        <v>1.2188524583868552E-2</v>
      </c>
      <c r="BM212" s="285">
        <f t="shared" ca="1" si="27"/>
        <v>1.0770410314294626E-2</v>
      </c>
      <c r="BN212" s="285">
        <f t="shared" ca="1" si="27"/>
        <v>9.3700776224988624E-3</v>
      </c>
      <c r="BO212" s="254"/>
      <c r="BP212" s="254"/>
      <c r="BQ212" s="254"/>
      <c r="BR212" s="254"/>
      <c r="BS212" s="254"/>
      <c r="BT212" s="254"/>
      <c r="BU212" s="254"/>
      <c r="BV212" s="254"/>
      <c r="BW212" s="254"/>
      <c r="BX212" s="254"/>
      <c r="BY212" s="254"/>
      <c r="BZ212" s="254"/>
      <c r="CA212" s="254"/>
      <c r="CB212" s="254"/>
      <c r="CC212" s="254"/>
      <c r="CD212" s="254"/>
      <c r="CE212" s="254"/>
      <c r="CF212" s="254"/>
      <c r="CG212" s="254"/>
      <c r="CH212" s="254"/>
      <c r="CI212" s="254"/>
      <c r="CJ212" s="254"/>
      <c r="CK212" s="254"/>
      <c r="CL212" s="254"/>
    </row>
    <row r="213" spans="1:207" x14ac:dyDescent="0.15">
      <c r="D213" s="28"/>
      <c r="G213" s="266"/>
      <c r="H213" s="266"/>
      <c r="I213" s="266"/>
      <c r="J213" s="266"/>
      <c r="K213" s="266"/>
      <c r="L213" s="266"/>
      <c r="M213" s="266"/>
      <c r="N213" s="266"/>
      <c r="O213" s="266"/>
      <c r="P213" s="266"/>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83"/>
      <c r="BA213" s="283"/>
      <c r="BB213" s="283"/>
      <c r="BC213" s="283"/>
      <c r="BD213" s="283"/>
      <c r="BE213" s="283"/>
      <c r="BF213" s="283"/>
      <c r="BG213" s="283"/>
      <c r="BH213" s="283"/>
      <c r="BI213" s="283"/>
      <c r="BJ213" s="283"/>
      <c r="BK213" s="283"/>
      <c r="BL213" s="283"/>
      <c r="BM213" s="283"/>
      <c r="BN213" s="283"/>
      <c r="BO213" s="254"/>
      <c r="BP213" s="254"/>
      <c r="BQ213" s="254"/>
      <c r="BR213" s="254"/>
      <c r="BS213" s="254"/>
      <c r="BT213" s="254"/>
      <c r="BU213" s="254"/>
      <c r="BV213" s="254"/>
      <c r="BW213" s="254"/>
      <c r="BX213" s="254"/>
      <c r="BY213" s="254"/>
      <c r="BZ213" s="254"/>
      <c r="CA213" s="254"/>
      <c r="CB213" s="254"/>
      <c r="CC213" s="254"/>
      <c r="CD213" s="254"/>
      <c r="CE213" s="254"/>
      <c r="CF213" s="254"/>
      <c r="CG213" s="254"/>
      <c r="CH213" s="254"/>
      <c r="CI213" s="254"/>
      <c r="CJ213" s="254"/>
      <c r="CK213" s="254"/>
      <c r="CL213" s="254"/>
    </row>
    <row r="214" spans="1:207" ht="14" thickBot="1" x14ac:dyDescent="0.2">
      <c r="A214" s="250">
        <v>4</v>
      </c>
      <c r="B214" s="251" t="s">
        <v>159</v>
      </c>
      <c r="C214" s="252"/>
      <c r="D214" s="252"/>
      <c r="E214" s="252"/>
      <c r="F214" s="252"/>
      <c r="G214" s="252"/>
      <c r="H214" s="287"/>
      <c r="I214" s="287"/>
      <c r="J214" s="287"/>
      <c r="K214" s="287"/>
      <c r="L214" s="287"/>
      <c r="M214" s="287"/>
      <c r="N214" s="287"/>
      <c r="O214" s="287"/>
      <c r="P214" s="252"/>
      <c r="Q214" s="252"/>
      <c r="R214" s="252"/>
      <c r="S214" s="252"/>
      <c r="T214" s="252"/>
      <c r="U214" s="252"/>
      <c r="V214" s="252"/>
      <c r="W214" s="252"/>
      <c r="X214" s="252"/>
      <c r="Y214" s="252"/>
      <c r="Z214" s="252"/>
      <c r="AA214" s="252"/>
      <c r="AB214" s="252"/>
      <c r="AC214" s="252"/>
      <c r="AD214" s="252"/>
      <c r="AE214" s="252"/>
      <c r="AF214" s="252"/>
      <c r="AG214" s="252"/>
      <c r="AH214" s="252"/>
      <c r="AI214" s="252"/>
      <c r="AJ214" s="252"/>
      <c r="AK214" s="252"/>
      <c r="AL214" s="252"/>
      <c r="AM214" s="252"/>
      <c r="AN214" s="252"/>
      <c r="AO214" s="252"/>
      <c r="AP214" s="252"/>
      <c r="AQ214" s="252"/>
      <c r="AR214" s="252"/>
      <c r="AS214" s="252"/>
      <c r="AT214" s="252"/>
      <c r="AU214" s="252"/>
      <c r="AV214" s="252"/>
      <c r="AW214" s="252"/>
      <c r="AX214" s="252"/>
      <c r="AY214" s="252"/>
      <c r="AZ214" s="252"/>
      <c r="BA214" s="252"/>
      <c r="BB214" s="252"/>
      <c r="BC214" s="252"/>
      <c r="BD214" s="252"/>
      <c r="BE214" s="252"/>
      <c r="BF214" s="252"/>
      <c r="BG214" s="252"/>
      <c r="BH214" s="252"/>
      <c r="BI214" s="252"/>
      <c r="BJ214" s="252"/>
      <c r="BK214" s="252"/>
      <c r="BL214" s="252"/>
      <c r="BM214" s="252"/>
      <c r="BN214" s="252"/>
      <c r="BO214" s="252"/>
      <c r="BP214" s="252"/>
      <c r="BQ214" s="252"/>
      <c r="BR214" s="252"/>
      <c r="BS214" s="252"/>
      <c r="BT214" s="252"/>
      <c r="BU214" s="252"/>
      <c r="BV214" s="252"/>
      <c r="BW214" s="252"/>
      <c r="BX214" s="252"/>
      <c r="BY214" s="252"/>
      <c r="BZ214" s="252"/>
      <c r="CA214" s="140"/>
      <c r="CB214" s="140"/>
      <c r="CC214" s="140"/>
      <c r="CD214" s="140"/>
      <c r="CE214" s="140"/>
      <c r="CF214" s="140"/>
      <c r="CG214" s="140"/>
      <c r="CH214" s="140"/>
      <c r="CI214" s="140"/>
      <c r="CJ214" s="140"/>
      <c r="CK214" s="140"/>
      <c r="CL214" s="140"/>
    </row>
    <row r="215" spans="1:207" ht="14" thickTop="1" x14ac:dyDescent="0.15">
      <c r="G215" s="261"/>
      <c r="H215" s="261"/>
      <c r="I215" s="261"/>
      <c r="J215" s="261"/>
      <c r="K215" s="261"/>
      <c r="L215" s="261"/>
      <c r="M215" s="261"/>
      <c r="N215" s="261"/>
      <c r="O215" s="261"/>
      <c r="P215" s="261"/>
      <c r="Q215" s="261"/>
      <c r="R215" s="261"/>
      <c r="S215" s="261"/>
      <c r="T215" s="261"/>
      <c r="U215" s="261"/>
      <c r="V215" s="261"/>
      <c r="W215" s="261"/>
      <c r="X215" s="261"/>
      <c r="Y215" s="261"/>
      <c r="Z215" s="261"/>
      <c r="AA215" s="261"/>
      <c r="AB215" s="261"/>
      <c r="AC215" s="261"/>
      <c r="AD215" s="261"/>
      <c r="AE215" s="261"/>
      <c r="AF215" s="261"/>
      <c r="AG215" s="261"/>
      <c r="AH215" s="261"/>
      <c r="AI215" s="261"/>
      <c r="AJ215" s="261"/>
      <c r="AK215" s="261"/>
      <c r="AL215" s="261"/>
      <c r="AM215" s="261"/>
      <c r="AN215" s="261"/>
      <c r="AO215" s="261"/>
      <c r="AP215" s="261"/>
      <c r="AQ215" s="261"/>
      <c r="AR215" s="261"/>
      <c r="AS215" s="261"/>
      <c r="AT215" s="261"/>
      <c r="AU215" s="261"/>
      <c r="AV215" s="261"/>
      <c r="AW215" s="261"/>
      <c r="AX215" s="261"/>
      <c r="AY215" s="261"/>
      <c r="AZ215" s="261"/>
      <c r="BA215" s="261"/>
      <c r="BB215" s="261"/>
      <c r="BC215" s="261"/>
      <c r="BD215" s="261"/>
      <c r="BE215" s="261"/>
      <c r="BF215" s="261"/>
      <c r="BG215" s="261"/>
      <c r="BH215" s="261"/>
      <c r="BI215" s="261"/>
      <c r="BJ215" s="261"/>
      <c r="BK215" s="261"/>
      <c r="BL215" s="261"/>
      <c r="BM215" s="261"/>
      <c r="BN215" s="261"/>
      <c r="BO215" s="121"/>
      <c r="BP215" s="121"/>
      <c r="BQ215" s="121"/>
      <c r="BR215" s="121"/>
      <c r="BS215" s="121"/>
      <c r="BT215" s="121"/>
      <c r="BU215" s="121"/>
      <c r="BV215" s="121"/>
      <c r="BW215" s="121"/>
      <c r="BX215" s="121"/>
      <c r="BY215" s="121"/>
      <c r="BZ215" s="121"/>
      <c r="CA215" s="121"/>
      <c r="CB215" s="121"/>
      <c r="CC215" s="121"/>
      <c r="CD215" s="121"/>
      <c r="CE215" s="121"/>
      <c r="CF215" s="121"/>
      <c r="CG215" s="121"/>
      <c r="CH215" s="121"/>
      <c r="CI215" s="121"/>
      <c r="CJ215" s="121"/>
      <c r="CK215" s="121"/>
      <c r="CL215" s="121"/>
    </row>
    <row r="216" spans="1:207" s="23" customFormat="1" x14ac:dyDescent="0.15">
      <c r="A216" s="50"/>
      <c r="C216" s="23" t="s">
        <v>388</v>
      </c>
      <c r="D216" s="23" t="s">
        <v>191</v>
      </c>
      <c r="F216" s="23" t="s">
        <v>341</v>
      </c>
      <c r="G216" s="262">
        <f t="shared" ref="G216:BN216" si="28">SUM(G217:G218)</f>
        <v>0</v>
      </c>
      <c r="H216" s="262">
        <f t="shared" ca="1" si="28"/>
        <v>2.7737188956122936E-3</v>
      </c>
      <c r="I216" s="262">
        <f t="shared" ca="1" si="28"/>
        <v>9.4690586219888569E-3</v>
      </c>
      <c r="J216" s="262">
        <f t="shared" ca="1" si="28"/>
        <v>1.3443564825584011E-2</v>
      </c>
      <c r="K216" s="262">
        <f t="shared" ca="1" si="28"/>
        <v>1.4140601821984053E-2</v>
      </c>
      <c r="L216" s="262">
        <f t="shared" ca="1" si="28"/>
        <v>1.2794660449526209E-2</v>
      </c>
      <c r="M216" s="262">
        <f t="shared" ca="1" si="28"/>
        <v>1.0611409712812905E-2</v>
      </c>
      <c r="N216" s="262">
        <f t="shared" ca="1" si="28"/>
        <v>8.1587928595458232E-3</v>
      </c>
      <c r="O216" s="262">
        <f t="shared" ca="1" si="28"/>
        <v>6.607743050112377E-3</v>
      </c>
      <c r="P216" s="262">
        <f t="shared" ca="1" si="28"/>
        <v>5.6152825245110484E-3</v>
      </c>
      <c r="Q216" s="262">
        <f t="shared" ca="1" si="28"/>
        <v>4.5135339876766914E-3</v>
      </c>
      <c r="R216" s="262">
        <f t="shared" ca="1" si="28"/>
        <v>3.4140739960103221E-3</v>
      </c>
      <c r="S216" s="262">
        <f t="shared" ca="1" si="28"/>
        <v>2.6628292840513534E-3</v>
      </c>
      <c r="T216" s="262">
        <f t="shared" ca="1" si="28"/>
        <v>2.5868015877769817E-3</v>
      </c>
      <c r="U216" s="262">
        <f t="shared" ca="1" si="28"/>
        <v>3.0426197773289628E-3</v>
      </c>
      <c r="V216" s="262">
        <f t="shared" ca="1" si="28"/>
        <v>3.520391172735244E-3</v>
      </c>
      <c r="W216" s="262">
        <f t="shared" ca="1" si="28"/>
        <v>3.3821383801550093E-3</v>
      </c>
      <c r="X216" s="262">
        <f t="shared" ca="1" si="28"/>
        <v>3.2196086026018279E-3</v>
      </c>
      <c r="Y216" s="262">
        <f t="shared" ca="1" si="28"/>
        <v>3.2750812902854927E-3</v>
      </c>
      <c r="Z216" s="262">
        <f t="shared" ca="1" si="28"/>
        <v>3.0837306395848489E-3</v>
      </c>
      <c r="AA216" s="262">
        <f t="shared" ca="1" si="28"/>
        <v>2.9609876218313867E-3</v>
      </c>
      <c r="AB216" s="262">
        <f t="shared" ca="1" si="28"/>
        <v>2.8390841999378514E-3</v>
      </c>
      <c r="AC216" s="262">
        <f t="shared" ca="1" si="28"/>
        <v>2.6209111044503161E-3</v>
      </c>
      <c r="AD216" s="262">
        <f t="shared" ca="1" si="28"/>
        <v>2.4638838313256082E-3</v>
      </c>
      <c r="AE216" s="262">
        <f t="shared" ca="1" si="28"/>
        <v>2.2818698428103282E-3</v>
      </c>
      <c r="AF216" s="262">
        <f t="shared" ca="1" si="28"/>
        <v>2.2593447369910059E-3</v>
      </c>
      <c r="AG216" s="262">
        <f t="shared" ca="1" si="28"/>
        <v>2.5083324367909435E-3</v>
      </c>
      <c r="AH216" s="262">
        <f t="shared" ca="1" si="28"/>
        <v>2.7762844408672333E-3</v>
      </c>
      <c r="AI216" s="262">
        <f t="shared" ca="1" si="28"/>
        <v>2.8633530322442835E-3</v>
      </c>
      <c r="AJ216" s="262">
        <f t="shared" ca="1" si="28"/>
        <v>2.7844749504703668E-3</v>
      </c>
      <c r="AK216" s="262">
        <f t="shared" ca="1" si="28"/>
        <v>2.6310869587663553E-3</v>
      </c>
      <c r="AL216" s="262">
        <f t="shared" ca="1" si="28"/>
        <v>2.3992294349527879E-3</v>
      </c>
      <c r="AM216" s="262">
        <f t="shared" ca="1" si="28"/>
        <v>2.3053282125431993E-3</v>
      </c>
      <c r="AN216" s="262">
        <f t="shared" ca="1" si="28"/>
        <v>2.1962836744105606E-3</v>
      </c>
      <c r="AO216" s="262">
        <f t="shared" ca="1" si="28"/>
        <v>1.9867376695291566E-3</v>
      </c>
      <c r="AP216" s="262">
        <f t="shared" ca="1" si="28"/>
        <v>1.7767604083680391E-3</v>
      </c>
      <c r="AQ216" s="262">
        <f t="shared" ca="1" si="28"/>
        <v>1.6085358871297814E-3</v>
      </c>
      <c r="AR216" s="262">
        <f t="shared" ca="1" si="28"/>
        <v>1.5280499208847329E-3</v>
      </c>
      <c r="AS216" s="262">
        <f t="shared" ca="1" si="28"/>
        <v>1.4712308224990066E-3</v>
      </c>
      <c r="AT216" s="262">
        <f t="shared" ca="1" si="28"/>
        <v>1.438720063854179E-3</v>
      </c>
      <c r="AU216" s="262">
        <f t="shared" ca="1" si="28"/>
        <v>1.4075502489177842E-3</v>
      </c>
      <c r="AV216" s="262">
        <f t="shared" ca="1" si="28"/>
        <v>1.3717625965751841E-3</v>
      </c>
      <c r="AW216" s="262">
        <f t="shared" ca="1" si="28"/>
        <v>1.3231444382705449E-3</v>
      </c>
      <c r="AX216" s="262">
        <f t="shared" ca="1" si="28"/>
        <v>1.2336008421644346E-3</v>
      </c>
      <c r="AY216" s="262">
        <f t="shared" ca="1" si="28"/>
        <v>1.1579223975541873E-3</v>
      </c>
      <c r="AZ216" s="262">
        <f t="shared" ca="1" si="28"/>
        <v>1.0862866278736213E-3</v>
      </c>
      <c r="BA216" s="262">
        <f t="shared" ca="1" si="28"/>
        <v>1.0108732092656946E-3</v>
      </c>
      <c r="BB216" s="262">
        <f t="shared" ca="1" si="28"/>
        <v>9.3264428332243913E-4</v>
      </c>
      <c r="BC216" s="262">
        <f t="shared" ca="1" si="28"/>
        <v>8.5447077889197357E-4</v>
      </c>
      <c r="BD216" s="262">
        <f t="shared" ca="1" si="28"/>
        <v>8.0392409493009939E-4</v>
      </c>
      <c r="BE216" s="262">
        <f t="shared" ca="1" si="28"/>
        <v>7.5509828727050128E-4</v>
      </c>
      <c r="BF216" s="262">
        <f t="shared" ca="1" si="28"/>
        <v>7.0899418108481469E-4</v>
      </c>
      <c r="BG216" s="262">
        <f t="shared" ca="1" si="28"/>
        <v>6.655270557115111E-4</v>
      </c>
      <c r="BH216" s="262">
        <f t="shared" ca="1" si="28"/>
        <v>6.2379817211333482E-4</v>
      </c>
      <c r="BI216" s="262">
        <f t="shared" ca="1" si="28"/>
        <v>5.8333866908769007E-4</v>
      </c>
      <c r="BJ216" s="262">
        <f t="shared" ca="1" si="28"/>
        <v>5.2434233527745924E-4</v>
      </c>
      <c r="BK216" s="262">
        <f t="shared" ca="1" si="28"/>
        <v>4.7149785099149334E-4</v>
      </c>
      <c r="BL216" s="262">
        <f t="shared" ca="1" si="28"/>
        <v>4.2193487335872735E-4</v>
      </c>
      <c r="BM216" s="262">
        <f t="shared" ca="1" si="28"/>
        <v>3.7284346277628537E-4</v>
      </c>
      <c r="BN216" s="262">
        <f t="shared" ca="1" si="28"/>
        <v>3.2436760395454441E-4</v>
      </c>
      <c r="BO216" s="263"/>
      <c r="BP216" s="263"/>
      <c r="BQ216" s="263"/>
      <c r="BR216" s="263"/>
      <c r="BS216" s="263"/>
      <c r="BT216" s="263"/>
      <c r="BU216" s="263"/>
      <c r="BV216" s="263"/>
      <c r="BW216" s="263"/>
      <c r="BX216" s="263"/>
      <c r="BY216" s="263"/>
      <c r="BZ216" s="263"/>
      <c r="CA216" s="263"/>
      <c r="CB216" s="263"/>
      <c r="CC216" s="263"/>
      <c r="CD216" s="263"/>
      <c r="CE216" s="263"/>
      <c r="CF216" s="263"/>
      <c r="CG216" s="263"/>
      <c r="CH216" s="263"/>
      <c r="CI216" s="263"/>
      <c r="CJ216" s="263"/>
      <c r="CK216" s="263"/>
      <c r="CL216" s="263"/>
      <c r="CM216" s="263"/>
      <c r="CN216" s="263"/>
      <c r="CO216" s="263"/>
      <c r="CP216" s="263"/>
      <c r="CQ216" s="263"/>
      <c r="CR216" s="263"/>
      <c r="CS216" s="263"/>
      <c r="CT216" s="263"/>
      <c r="CU216" s="263"/>
      <c r="CV216" s="263"/>
      <c r="CW216" s="263"/>
      <c r="CX216" s="263"/>
      <c r="CY216" s="263"/>
      <c r="CZ216" s="263"/>
      <c r="DA216" s="263"/>
      <c r="DB216" s="263"/>
      <c r="DC216" s="263"/>
      <c r="DD216" s="263"/>
      <c r="DE216" s="263"/>
      <c r="DF216" s="263"/>
      <c r="DG216" s="263"/>
      <c r="DH216" s="263"/>
      <c r="DI216" s="263"/>
      <c r="DJ216" s="263"/>
      <c r="DK216" s="263"/>
      <c r="DL216" s="263"/>
      <c r="DM216" s="263"/>
      <c r="DN216" s="263"/>
      <c r="DO216" s="263"/>
      <c r="DP216" s="263"/>
      <c r="DQ216" s="263"/>
      <c r="DR216" s="263"/>
      <c r="DS216" s="263"/>
      <c r="DT216" s="263"/>
      <c r="DU216" s="263"/>
      <c r="DV216" s="263"/>
      <c r="DW216" s="263"/>
      <c r="DX216" s="263"/>
      <c r="DY216" s="263"/>
      <c r="DZ216" s="263"/>
      <c r="EA216" s="263"/>
      <c r="EB216" s="263"/>
      <c r="EC216" s="263"/>
      <c r="ED216" s="263"/>
      <c r="EE216" s="263"/>
      <c r="EF216" s="263"/>
      <c r="EG216" s="263"/>
      <c r="EH216" s="263"/>
      <c r="EI216" s="263"/>
      <c r="EJ216" s="263"/>
      <c r="EK216" s="263"/>
      <c r="EL216" s="263"/>
      <c r="EM216" s="263"/>
      <c r="EN216" s="263"/>
      <c r="EO216" s="263"/>
      <c r="EP216" s="263"/>
      <c r="EQ216" s="263"/>
      <c r="ER216" s="263"/>
      <c r="ES216" s="263"/>
      <c r="ET216" s="263"/>
      <c r="EU216" s="263"/>
      <c r="EV216" s="263"/>
      <c r="EW216" s="263"/>
      <c r="EX216" s="263"/>
      <c r="EY216" s="263"/>
      <c r="EZ216" s="263"/>
      <c r="FA216" s="263"/>
      <c r="FB216" s="263"/>
      <c r="FC216" s="263"/>
      <c r="FD216" s="263"/>
      <c r="FE216" s="263"/>
      <c r="FF216" s="263"/>
      <c r="FG216" s="263"/>
      <c r="FH216" s="263"/>
      <c r="FI216" s="263"/>
      <c r="FJ216" s="263"/>
      <c r="FK216" s="263"/>
      <c r="FL216" s="263"/>
      <c r="FM216" s="263"/>
      <c r="FN216" s="263"/>
      <c r="FO216" s="263"/>
      <c r="FP216" s="263"/>
      <c r="FQ216" s="263"/>
      <c r="FR216" s="263"/>
      <c r="FS216" s="263"/>
      <c r="FT216" s="263"/>
      <c r="FU216" s="263"/>
      <c r="FV216" s="263"/>
      <c r="FW216" s="263"/>
      <c r="FX216" s="263"/>
      <c r="FY216" s="263"/>
      <c r="FZ216" s="263"/>
      <c r="GA216" s="263"/>
      <c r="GB216" s="263"/>
      <c r="GC216" s="263"/>
      <c r="GD216" s="263"/>
      <c r="GE216" s="263"/>
      <c r="GF216" s="263"/>
      <c r="GG216" s="263"/>
      <c r="GH216" s="263"/>
      <c r="GI216" s="263"/>
      <c r="GJ216" s="263"/>
      <c r="GK216" s="263"/>
      <c r="GL216" s="263"/>
      <c r="GM216" s="263"/>
      <c r="GN216" s="263"/>
      <c r="GO216" s="263"/>
      <c r="GP216" s="263"/>
      <c r="GQ216" s="263"/>
      <c r="GR216" s="263"/>
      <c r="GS216" s="263"/>
      <c r="GT216" s="263"/>
      <c r="GU216" s="263"/>
      <c r="GV216" s="263"/>
      <c r="GW216" s="263"/>
      <c r="GX216" s="263"/>
      <c r="GY216" s="263"/>
    </row>
    <row r="217" spans="1:207" x14ac:dyDescent="0.15">
      <c r="C217" s="269"/>
      <c r="D217" s="282" t="s">
        <v>389</v>
      </c>
      <c r="F217" s="26" t="s">
        <v>341</v>
      </c>
      <c r="G217" s="263">
        <f>IF(G7&gt;SAP_Leadsheet!$E$21,0,G212*SAP_Leadsheet!$E$31*$C$4/365)</f>
        <v>0</v>
      </c>
      <c r="H217" s="263">
        <f ca="1">IF(H7&gt;SAP_Leadsheet!$E$21,0,H212*SAP_Leadsheet!$E$31*$C$4/365)</f>
        <v>2.7737188956122936E-3</v>
      </c>
      <c r="I217" s="263">
        <f ca="1">IF(I7&gt;SAP_Leadsheet!$E$21,0,I212*SAP_Leadsheet!$E$31*$C$4/365)</f>
        <v>9.4690586219888569E-3</v>
      </c>
      <c r="J217" s="263">
        <f ca="1">IF(J7&gt;SAP_Leadsheet!$E$21,0,J212*SAP_Leadsheet!$E$31*$C$4/365)</f>
        <v>1.3443564825584011E-2</v>
      </c>
      <c r="K217" s="263">
        <f ca="1">IF(K7&gt;SAP_Leadsheet!$E$21,0,K212*SAP_Leadsheet!$E$31*$C$4/365)</f>
        <v>1.4140601821984053E-2</v>
      </c>
      <c r="L217" s="263">
        <f ca="1">IF(L7&gt;SAP_Leadsheet!$E$21,0,L212*SAP_Leadsheet!$E$31*$C$4/365)</f>
        <v>1.2794660449526209E-2</v>
      </c>
      <c r="M217" s="263">
        <f ca="1">IF(M7&gt;SAP_Leadsheet!$E$21,0,M212*SAP_Leadsheet!$E$31*$C$4/365)</f>
        <v>1.0611409712812905E-2</v>
      </c>
      <c r="N217" s="263">
        <f ca="1">IF(N7&gt;SAP_Leadsheet!$E$21,0,N212*SAP_Leadsheet!$E$31*$C$4/365)</f>
        <v>8.1587928595458232E-3</v>
      </c>
      <c r="O217" s="263">
        <f ca="1">IF(O7&gt;SAP_Leadsheet!$E$21,0,O212*SAP_Leadsheet!$E$31*$C$4/365)</f>
        <v>6.607743050112377E-3</v>
      </c>
      <c r="P217" s="263">
        <f ca="1">IF(P7&gt;SAP_Leadsheet!$E$21,0,P212*SAP_Leadsheet!$E$31*$C$4/365)</f>
        <v>5.6152825245110484E-3</v>
      </c>
      <c r="Q217" s="263">
        <f ca="1">IF(Q7&gt;SAP_Leadsheet!$E$21,0,Q212*SAP_Leadsheet!$E$31*$C$4/365)</f>
        <v>4.5135339876766914E-3</v>
      </c>
      <c r="R217" s="263">
        <f ca="1">IF(R7&gt;SAP_Leadsheet!$E$21,0,R212*SAP_Leadsheet!$E$31*$C$4/365)</f>
        <v>3.4140739960103221E-3</v>
      </c>
      <c r="S217" s="263">
        <f ca="1">IF(S7&gt;SAP_Leadsheet!$E$21,0,S212*SAP_Leadsheet!$E$31*$C$4/365)</f>
        <v>2.6628292840513534E-3</v>
      </c>
      <c r="T217" s="263">
        <f ca="1">IF(T7&gt;SAP_Leadsheet!$E$21,0,T212*SAP_Leadsheet!$E$31*$C$4/365)</f>
        <v>2.5868015877769817E-3</v>
      </c>
      <c r="U217" s="263">
        <f ca="1">IF(U7&gt;SAP_Leadsheet!$E$21,0,U212*SAP_Leadsheet!$E$31*$C$4/365)</f>
        <v>3.0426197773289628E-3</v>
      </c>
      <c r="V217" s="263">
        <f ca="1">IF(V7&gt;SAP_Leadsheet!$E$21,0,V212*SAP_Leadsheet!$E$31*$C$4/365)</f>
        <v>3.520391172735244E-3</v>
      </c>
      <c r="W217" s="263">
        <f ca="1">IF(W7&gt;SAP_Leadsheet!$E$21,0,W212*SAP_Leadsheet!$E$31*$C$4/365)</f>
        <v>3.3821383801550093E-3</v>
      </c>
      <c r="X217" s="263">
        <f ca="1">IF(X7&gt;SAP_Leadsheet!$E$21,0,X212*SAP_Leadsheet!$E$31*$C$4/365)</f>
        <v>3.2196086026018279E-3</v>
      </c>
      <c r="Y217" s="263">
        <f ca="1">IF(Y7&gt;SAP_Leadsheet!$E$21,0,Y212*SAP_Leadsheet!$E$31*$C$4/365)</f>
        <v>3.2750812902854927E-3</v>
      </c>
      <c r="Z217" s="263">
        <f ca="1">IF(Z7&gt;SAP_Leadsheet!$E$21,0,Z212*SAP_Leadsheet!$E$31*$C$4/365)</f>
        <v>3.0837306395848489E-3</v>
      </c>
      <c r="AA217" s="263">
        <f ca="1">IF(AA7&gt;SAP_Leadsheet!$E$21,0,AA212*SAP_Leadsheet!$E$31*$C$4/365)</f>
        <v>2.9609876218313867E-3</v>
      </c>
      <c r="AB217" s="263">
        <f ca="1">IF(AB7&gt;SAP_Leadsheet!$E$21,0,AB212*SAP_Leadsheet!$E$31*$C$4/365)</f>
        <v>2.8390841999378514E-3</v>
      </c>
      <c r="AC217" s="263">
        <f ca="1">IF(AC7&gt;SAP_Leadsheet!$E$21,0,AC212*SAP_Leadsheet!$E$31*$C$4/365)</f>
        <v>2.6209111044503161E-3</v>
      </c>
      <c r="AD217" s="263">
        <f ca="1">IF(AD7&gt;SAP_Leadsheet!$E$21,0,AD212*SAP_Leadsheet!$E$31*$C$4/365)</f>
        <v>2.4638838313256082E-3</v>
      </c>
      <c r="AE217" s="263">
        <f ca="1">IF(AE7&gt;SAP_Leadsheet!$E$21,0,AE212*SAP_Leadsheet!$E$31*$C$4/365)</f>
        <v>2.2818698428103282E-3</v>
      </c>
      <c r="AF217" s="263">
        <f ca="1">IF(AF7&gt;SAP_Leadsheet!$E$21,0,AF212*SAP_Leadsheet!$E$31*$C$4/365)</f>
        <v>2.2593447369910059E-3</v>
      </c>
      <c r="AG217" s="263">
        <f ca="1">IF(AG7&gt;SAP_Leadsheet!$E$21,0,AG212*SAP_Leadsheet!$E$31*$C$4/365)</f>
        <v>2.5083324367909435E-3</v>
      </c>
      <c r="AH217" s="263">
        <f ca="1">IF(AH7&gt;SAP_Leadsheet!$E$21,0,AH212*SAP_Leadsheet!$E$31*$C$4/365)</f>
        <v>2.7762844408672333E-3</v>
      </c>
      <c r="AI217" s="263">
        <f ca="1">IF(AI7&gt;SAP_Leadsheet!$E$21,0,AI212*SAP_Leadsheet!$E$31*$C$4/365)</f>
        <v>2.8633530322442835E-3</v>
      </c>
      <c r="AJ217" s="263">
        <f ca="1">IF(AJ7&gt;SAP_Leadsheet!$E$21,0,AJ212*SAP_Leadsheet!$E$31*$C$4/365)</f>
        <v>2.7844749504703668E-3</v>
      </c>
      <c r="AK217" s="263">
        <f ca="1">IF(AK7&gt;SAP_Leadsheet!$E$21,0,AK212*SAP_Leadsheet!$E$31*$C$4/365)</f>
        <v>2.6310869587663553E-3</v>
      </c>
      <c r="AL217" s="263">
        <f ca="1">IF(AL7&gt;SAP_Leadsheet!$E$21,0,AL212*SAP_Leadsheet!$E$31*$C$4/365)</f>
        <v>2.3992294349527879E-3</v>
      </c>
      <c r="AM217" s="263">
        <f ca="1">IF(AM7&gt;SAP_Leadsheet!$E$21,0,AM212*SAP_Leadsheet!$E$31*$C$4/365)</f>
        <v>2.3053282125431993E-3</v>
      </c>
      <c r="AN217" s="263">
        <f ca="1">IF(AN7&gt;SAP_Leadsheet!$E$21,0,AN212*SAP_Leadsheet!$E$31*$C$4/365)</f>
        <v>2.1962836744105606E-3</v>
      </c>
      <c r="AO217" s="263">
        <f ca="1">IF(AO7&gt;SAP_Leadsheet!$E$21,0,AO212*SAP_Leadsheet!$E$31*$C$4/365)</f>
        <v>1.9867376695291566E-3</v>
      </c>
      <c r="AP217" s="263">
        <f ca="1">IF(AP7&gt;SAP_Leadsheet!$E$21,0,AP212*SAP_Leadsheet!$E$31*$C$4/365)</f>
        <v>1.7767604083680391E-3</v>
      </c>
      <c r="AQ217" s="263">
        <f ca="1">IF(AQ7&gt;SAP_Leadsheet!$E$21,0,AQ212*SAP_Leadsheet!$E$31*$C$4/365)</f>
        <v>1.6085358871297814E-3</v>
      </c>
      <c r="AR217" s="263">
        <f ca="1">IF(AR7&gt;SAP_Leadsheet!$E$21,0,AR212*SAP_Leadsheet!$E$31*$C$4/365)</f>
        <v>1.5280499208847329E-3</v>
      </c>
      <c r="AS217" s="263">
        <f ca="1">IF(AS7&gt;SAP_Leadsheet!$E$21,0,AS212*SAP_Leadsheet!$E$31*$C$4/365)</f>
        <v>1.4712308224990066E-3</v>
      </c>
      <c r="AT217" s="263">
        <f ca="1">IF(AT7&gt;SAP_Leadsheet!$E$21,0,AT212*SAP_Leadsheet!$E$31*$C$4/365)</f>
        <v>1.438720063854179E-3</v>
      </c>
      <c r="AU217" s="263">
        <f ca="1">IF(AU7&gt;SAP_Leadsheet!$E$21,0,AU212*SAP_Leadsheet!$E$31*$C$4/365)</f>
        <v>1.4075502489177842E-3</v>
      </c>
      <c r="AV217" s="263">
        <f ca="1">IF(AV7&gt;SAP_Leadsheet!$E$21,0,AV212*SAP_Leadsheet!$E$31*$C$4/365)</f>
        <v>1.3717625965751841E-3</v>
      </c>
      <c r="AW217" s="263">
        <f ca="1">IF(AW7&gt;SAP_Leadsheet!$E$21,0,AW212*SAP_Leadsheet!$E$31*$C$4/365)</f>
        <v>1.3231444382705449E-3</v>
      </c>
      <c r="AX217" s="263">
        <f ca="1">IF(AX7&gt;SAP_Leadsheet!$E$21,0,AX212*SAP_Leadsheet!$E$31*$C$4/365)</f>
        <v>1.2336008421644346E-3</v>
      </c>
      <c r="AY217" s="263">
        <f ca="1">IF(AY7&gt;SAP_Leadsheet!$E$21,0,AY212*SAP_Leadsheet!$E$31*$C$4/365)</f>
        <v>1.1579223975541873E-3</v>
      </c>
      <c r="AZ217" s="263">
        <f ca="1">IF(AZ7&gt;SAP_Leadsheet!$E$21,0,AZ212*SAP_Leadsheet!$E$31*$C$4/365)</f>
        <v>1.0862866278736213E-3</v>
      </c>
      <c r="BA217" s="263">
        <f ca="1">IF(BA7&gt;SAP_Leadsheet!$E$21,0,BA212*SAP_Leadsheet!$E$31*$C$4/365)</f>
        <v>1.0108732092656946E-3</v>
      </c>
      <c r="BB217" s="263">
        <f ca="1">IF(BB7&gt;SAP_Leadsheet!$E$21,0,BB212*SAP_Leadsheet!$E$31*$C$4/365)</f>
        <v>9.3264428332243913E-4</v>
      </c>
      <c r="BC217" s="263">
        <f ca="1">IF(BC7&gt;SAP_Leadsheet!$E$21,0,BC212*SAP_Leadsheet!$E$31*$C$4/365)</f>
        <v>8.5447077889197357E-4</v>
      </c>
      <c r="BD217" s="263">
        <f ca="1">IF(BD7&gt;SAP_Leadsheet!$E$21,0,BD212*SAP_Leadsheet!$E$31*$C$4/365)</f>
        <v>8.0392409493009939E-4</v>
      </c>
      <c r="BE217" s="263">
        <f ca="1">IF(BE7&gt;SAP_Leadsheet!$E$21,0,BE212*SAP_Leadsheet!$E$31*$C$4/365)</f>
        <v>7.5509828727050128E-4</v>
      </c>
      <c r="BF217" s="263">
        <f ca="1">IF(BF7&gt;SAP_Leadsheet!$E$21,0,BF212*SAP_Leadsheet!$E$31*$C$4/365)</f>
        <v>7.0899418108481469E-4</v>
      </c>
      <c r="BG217" s="263">
        <f ca="1">IF(BG7&gt;SAP_Leadsheet!$E$21,0,BG212*SAP_Leadsheet!$E$31*$C$4/365)</f>
        <v>6.655270557115111E-4</v>
      </c>
      <c r="BH217" s="263">
        <f ca="1">IF(BH7&gt;SAP_Leadsheet!$E$21,0,BH212*SAP_Leadsheet!$E$31*$C$4/365)</f>
        <v>6.2379817211333482E-4</v>
      </c>
      <c r="BI217" s="263">
        <f ca="1">IF(BI7&gt;SAP_Leadsheet!$E$21,0,BI212*SAP_Leadsheet!$E$31*$C$4/365)</f>
        <v>5.8333866908769007E-4</v>
      </c>
      <c r="BJ217" s="263">
        <f ca="1">IF(BJ7&gt;SAP_Leadsheet!$E$21,0,BJ212*SAP_Leadsheet!$E$31*$C$4/365)</f>
        <v>5.2434233527745924E-4</v>
      </c>
      <c r="BK217" s="263">
        <f ca="1">IF(BK7&gt;SAP_Leadsheet!$E$21,0,BK212*SAP_Leadsheet!$E$31*$C$4/365)</f>
        <v>4.7149785099149334E-4</v>
      </c>
      <c r="BL217" s="263">
        <f ca="1">IF(BL7&gt;SAP_Leadsheet!$E$21,0,BL212*SAP_Leadsheet!$E$31*$C$4/365)</f>
        <v>4.2193487335872735E-4</v>
      </c>
      <c r="BM217" s="263">
        <f ca="1">IF(BM7&gt;SAP_Leadsheet!$E$21,0,BM212*SAP_Leadsheet!$E$31*$C$4/365)</f>
        <v>3.7284346277628537E-4</v>
      </c>
      <c r="BN217" s="263">
        <f ca="1">IF(BN7&gt;SAP_Leadsheet!$E$21,0,BN212*SAP_Leadsheet!$E$31*$C$4/365)</f>
        <v>3.2436760395454441E-4</v>
      </c>
      <c r="BO217" s="263"/>
      <c r="BP217" s="263"/>
      <c r="BQ217" s="263"/>
      <c r="BR217" s="263"/>
      <c r="BS217" s="263"/>
      <c r="BT217" s="263"/>
      <c r="BU217" s="263"/>
      <c r="BV217" s="263"/>
      <c r="BW217" s="263"/>
      <c r="BX217" s="263"/>
      <c r="BY217" s="263"/>
      <c r="BZ217" s="263"/>
      <c r="CA217" s="263"/>
      <c r="CB217" s="263"/>
      <c r="CC217" s="263"/>
      <c r="CD217" s="263"/>
      <c r="CE217" s="263"/>
      <c r="CF217" s="263"/>
      <c r="CG217" s="263"/>
      <c r="CH217" s="263"/>
      <c r="CI217" s="263"/>
      <c r="CJ217" s="263"/>
      <c r="CK217" s="263"/>
      <c r="CL217" s="263"/>
      <c r="CM217" s="263"/>
      <c r="CN217" s="263"/>
      <c r="CO217" s="263"/>
      <c r="CP217" s="263"/>
      <c r="CQ217" s="263"/>
      <c r="CR217" s="263"/>
      <c r="CS217" s="263"/>
      <c r="CT217" s="263"/>
      <c r="CU217" s="263"/>
      <c r="CV217" s="263"/>
      <c r="CW217" s="263"/>
      <c r="CX217" s="263"/>
      <c r="CY217" s="263"/>
      <c r="CZ217" s="263"/>
      <c r="DA217" s="263"/>
      <c r="DB217" s="263"/>
      <c r="DC217" s="263"/>
      <c r="DD217" s="263"/>
      <c r="DE217" s="263"/>
      <c r="DF217" s="263"/>
      <c r="DG217" s="263"/>
      <c r="DH217" s="263"/>
      <c r="DI217" s="263"/>
      <c r="DJ217" s="263"/>
      <c r="DK217" s="263"/>
      <c r="DL217" s="263"/>
      <c r="DM217" s="263"/>
      <c r="DN217" s="263"/>
      <c r="DO217" s="263"/>
      <c r="DP217" s="263"/>
      <c r="DQ217" s="263"/>
      <c r="DR217" s="263"/>
      <c r="DS217" s="263"/>
      <c r="DT217" s="263"/>
      <c r="DU217" s="263"/>
      <c r="DV217" s="263"/>
      <c r="DW217" s="263"/>
      <c r="DX217" s="263"/>
      <c r="DY217" s="263"/>
      <c r="DZ217" s="263"/>
      <c r="EA217" s="263"/>
      <c r="EB217" s="263"/>
      <c r="EC217" s="263"/>
      <c r="ED217" s="263"/>
      <c r="EE217" s="263"/>
      <c r="EF217" s="263"/>
      <c r="EG217" s="263"/>
      <c r="EH217" s="263"/>
      <c r="EI217" s="263"/>
      <c r="EJ217" s="263"/>
      <c r="EK217" s="263"/>
      <c r="EL217" s="263"/>
      <c r="EM217" s="263"/>
      <c r="EN217" s="263"/>
      <c r="EO217" s="263"/>
      <c r="EP217" s="263"/>
      <c r="EQ217" s="263"/>
      <c r="ER217" s="263"/>
      <c r="ES217" s="263"/>
      <c r="ET217" s="263"/>
      <c r="EU217" s="263"/>
      <c r="EV217" s="263"/>
      <c r="EW217" s="263"/>
      <c r="EX217" s="263"/>
      <c r="EY217" s="263"/>
      <c r="EZ217" s="263"/>
      <c r="FA217" s="263"/>
      <c r="FB217" s="263"/>
      <c r="FC217" s="263"/>
      <c r="FD217" s="263"/>
      <c r="FE217" s="263"/>
      <c r="FF217" s="263"/>
      <c r="FG217" s="263"/>
      <c r="FH217" s="263"/>
      <c r="FI217" s="263"/>
      <c r="FJ217" s="263"/>
      <c r="FK217" s="263"/>
      <c r="FL217" s="263"/>
      <c r="FM217" s="263"/>
      <c r="FN217" s="263"/>
      <c r="FO217" s="263"/>
      <c r="FP217" s="263"/>
      <c r="FQ217" s="263"/>
      <c r="FR217" s="263"/>
      <c r="FS217" s="263"/>
      <c r="FT217" s="263"/>
      <c r="FU217" s="263"/>
      <c r="FV217" s="263"/>
      <c r="FW217" s="263"/>
      <c r="FX217" s="263"/>
      <c r="FY217" s="263"/>
      <c r="FZ217" s="263"/>
      <c r="GA217" s="263"/>
      <c r="GB217" s="263"/>
      <c r="GC217" s="263"/>
      <c r="GD217" s="263"/>
      <c r="GE217" s="263"/>
      <c r="GF217" s="263"/>
      <c r="GG217" s="263"/>
      <c r="GH217" s="263"/>
      <c r="GI217" s="263"/>
      <c r="GJ217" s="263"/>
      <c r="GK217" s="263"/>
      <c r="GL217" s="263"/>
      <c r="GM217" s="263"/>
      <c r="GN217" s="263"/>
      <c r="GO217" s="263"/>
      <c r="GP217" s="263"/>
      <c r="GQ217" s="263"/>
      <c r="GR217" s="263"/>
      <c r="GS217" s="263"/>
      <c r="GT217" s="263"/>
      <c r="GU217" s="263"/>
      <c r="GV217" s="263"/>
      <c r="GW217" s="263"/>
      <c r="GX217" s="263"/>
      <c r="GY217" s="263"/>
    </row>
    <row r="218" spans="1:207" x14ac:dyDescent="0.15">
      <c r="C218" s="269"/>
      <c r="D218" s="282" t="s">
        <v>390</v>
      </c>
      <c r="F218" s="26" t="s">
        <v>341</v>
      </c>
      <c r="G218" s="263"/>
      <c r="H218" s="263"/>
      <c r="I218" s="263"/>
      <c r="J218" s="263"/>
      <c r="K218" s="263"/>
      <c r="L218" s="263"/>
      <c r="M218" s="263"/>
      <c r="N218" s="263"/>
      <c r="O218" s="263"/>
      <c r="P218" s="263"/>
      <c r="Q218" s="263"/>
      <c r="R218" s="263"/>
      <c r="S218" s="263"/>
      <c r="T218" s="263"/>
      <c r="U218" s="263"/>
      <c r="V218" s="263"/>
      <c r="W218" s="263"/>
      <c r="X218" s="263"/>
      <c r="Y218" s="263"/>
      <c r="Z218" s="263"/>
      <c r="AA218" s="263"/>
      <c r="AB218" s="263"/>
      <c r="AC218" s="263"/>
      <c r="AD218" s="263"/>
      <c r="AE218" s="263"/>
      <c r="AF218" s="263"/>
      <c r="AG218" s="263"/>
      <c r="AH218" s="263"/>
      <c r="AI218" s="263"/>
      <c r="AJ218" s="263"/>
      <c r="AK218" s="263"/>
      <c r="AL218" s="263"/>
      <c r="AM218" s="263"/>
      <c r="AN218" s="263"/>
      <c r="AO218" s="263"/>
      <c r="AP218" s="263"/>
      <c r="AQ218" s="263"/>
      <c r="AR218" s="263"/>
      <c r="AS218" s="263"/>
      <c r="AT218" s="263"/>
      <c r="AU218" s="263"/>
      <c r="AV218" s="263"/>
      <c r="AW218" s="263"/>
      <c r="AX218" s="263"/>
      <c r="AY218" s="263"/>
      <c r="AZ218" s="263"/>
      <c r="BA218" s="263"/>
      <c r="BB218" s="263"/>
      <c r="BC218" s="263"/>
      <c r="BD218" s="263"/>
      <c r="BE218" s="263"/>
      <c r="BF218" s="263"/>
      <c r="BG218" s="263"/>
      <c r="BH218" s="263"/>
      <c r="BI218" s="263"/>
      <c r="BJ218" s="263"/>
      <c r="BK218" s="263"/>
      <c r="BL218" s="263"/>
      <c r="BM218" s="263"/>
      <c r="BN218" s="263"/>
      <c r="BO218" s="263"/>
      <c r="BP218" s="263"/>
      <c r="BQ218" s="263"/>
      <c r="BR218" s="263"/>
      <c r="BS218" s="263"/>
      <c r="BT218" s="263"/>
      <c r="BU218" s="263"/>
      <c r="BV218" s="263"/>
      <c r="BW218" s="263"/>
      <c r="BX218" s="263"/>
      <c r="BY218" s="263"/>
      <c r="BZ218" s="263"/>
      <c r="CA218" s="263"/>
      <c r="CB218" s="263"/>
      <c r="CC218" s="263"/>
      <c r="CD218" s="263"/>
      <c r="CE218" s="263"/>
      <c r="CF218" s="263"/>
      <c r="CG218" s="263"/>
      <c r="CH218" s="263"/>
      <c r="CI218" s="263"/>
      <c r="CJ218" s="263"/>
      <c r="CK218" s="263"/>
      <c r="CL218" s="263"/>
      <c r="CM218" s="263"/>
      <c r="CN218" s="263"/>
      <c r="CO218" s="263"/>
      <c r="CP218" s="263"/>
      <c r="CQ218" s="263"/>
      <c r="CR218" s="263"/>
      <c r="CS218" s="263"/>
      <c r="CT218" s="263"/>
      <c r="CU218" s="263"/>
      <c r="CV218" s="263"/>
      <c r="CW218" s="263"/>
      <c r="CX218" s="263"/>
      <c r="CY218" s="263"/>
      <c r="CZ218" s="263"/>
      <c r="DA218" s="263"/>
      <c r="DB218" s="263"/>
      <c r="DC218" s="263"/>
      <c r="DD218" s="263"/>
      <c r="DE218" s="263"/>
      <c r="DF218" s="263"/>
      <c r="DG218" s="263"/>
      <c r="DH218" s="263"/>
      <c r="DI218" s="263"/>
      <c r="DJ218" s="263"/>
      <c r="DK218" s="263"/>
      <c r="DL218" s="263"/>
      <c r="DM218" s="263"/>
      <c r="DN218" s="263"/>
      <c r="DO218" s="263"/>
      <c r="DP218" s="263"/>
      <c r="DQ218" s="263"/>
      <c r="DR218" s="263"/>
      <c r="DS218" s="263"/>
      <c r="DT218" s="263"/>
      <c r="DU218" s="263"/>
      <c r="DV218" s="263"/>
      <c r="DW218" s="263"/>
      <c r="DX218" s="263"/>
      <c r="DY218" s="263"/>
      <c r="DZ218" s="263"/>
      <c r="EA218" s="263"/>
      <c r="EB218" s="263"/>
      <c r="EC218" s="263"/>
      <c r="ED218" s="263"/>
      <c r="EE218" s="263"/>
      <c r="EF218" s="263"/>
      <c r="EG218" s="263"/>
      <c r="EH218" s="263"/>
      <c r="EI218" s="263"/>
      <c r="EJ218" s="263"/>
      <c r="EK218" s="263"/>
      <c r="EL218" s="263"/>
      <c r="EM218" s="263"/>
      <c r="EN218" s="263"/>
      <c r="EO218" s="263"/>
      <c r="EP218" s="263"/>
      <c r="EQ218" s="263"/>
      <c r="ER218" s="263"/>
      <c r="ES218" s="263"/>
      <c r="ET218" s="263"/>
      <c r="EU218" s="263"/>
      <c r="EV218" s="263"/>
      <c r="EW218" s="263"/>
      <c r="EX218" s="263"/>
      <c r="EY218" s="263"/>
      <c r="EZ218" s="263"/>
      <c r="FA218" s="263"/>
      <c r="FB218" s="263"/>
      <c r="FC218" s="263"/>
      <c r="FD218" s="263"/>
      <c r="FE218" s="263"/>
      <c r="FF218" s="263"/>
      <c r="FG218" s="263"/>
      <c r="FH218" s="263"/>
      <c r="FI218" s="263"/>
      <c r="FJ218" s="263"/>
      <c r="FK218" s="263"/>
      <c r="FL218" s="263"/>
      <c r="FM218" s="263"/>
      <c r="FN218" s="263"/>
      <c r="FO218" s="263"/>
      <c r="FP218" s="263"/>
      <c r="FQ218" s="263"/>
      <c r="FR218" s="263"/>
      <c r="FS218" s="263"/>
      <c r="FT218" s="263"/>
      <c r="FU218" s="263"/>
      <c r="FV218" s="263"/>
      <c r="FW218" s="263"/>
      <c r="FX218" s="263"/>
      <c r="FY218" s="263"/>
      <c r="FZ218" s="263"/>
      <c r="GA218" s="263"/>
      <c r="GB218" s="263"/>
      <c r="GC218" s="263"/>
      <c r="GD218" s="263"/>
      <c r="GE218" s="263"/>
      <c r="GF218" s="263"/>
      <c r="GG218" s="263"/>
      <c r="GH218" s="263"/>
      <c r="GI218" s="263"/>
      <c r="GJ218" s="263"/>
      <c r="GK218" s="263"/>
      <c r="GL218" s="263"/>
      <c r="GM218" s="263"/>
      <c r="GN218" s="263"/>
      <c r="GO218" s="263"/>
      <c r="GP218" s="263"/>
      <c r="GQ218" s="263"/>
      <c r="GR218" s="263"/>
      <c r="GS218" s="263"/>
      <c r="GT218" s="263"/>
      <c r="GU218" s="263"/>
      <c r="GV218" s="263"/>
      <c r="GW218" s="263"/>
      <c r="GX218" s="263"/>
      <c r="GY218" s="263"/>
    </row>
    <row r="219" spans="1:207" s="23" customFormat="1" x14ac:dyDescent="0.15">
      <c r="A219" s="288"/>
      <c r="D219" s="23" t="s">
        <v>194</v>
      </c>
      <c r="F219" s="23" t="s">
        <v>341</v>
      </c>
      <c r="G219" s="262">
        <f ca="1">IF(G7&gt;SAP_Leadsheet!$E$21,0,-G202*SAP_Leadsheet!$E$32*$C$4/365)</f>
        <v>-6.9172319342820736E-4</v>
      </c>
      <c r="H219" s="262">
        <f ca="1">IF(H7&gt;SAP_Leadsheet!$E$21,0,-H202*SAP_Leadsheet!$E$32*$C$4/365)</f>
        <v>-2.5924008583591337E-3</v>
      </c>
      <c r="I219" s="262">
        <f ca="1">IF(I7&gt;SAP_Leadsheet!$E$21,0,-I202*SAP_Leadsheet!$E$32*$C$4/365)</f>
        <v>-3.9814703678275522E-3</v>
      </c>
      <c r="J219" s="262">
        <f ca="1">IF(J7&gt;SAP_Leadsheet!$E$21,0,-J202*SAP_Leadsheet!$E$32*$C$4/365)</f>
        <v>-4.6139351472943395E-3</v>
      </c>
      <c r="K219" s="262">
        <f ca="1">IF(K7&gt;SAP_Leadsheet!$E$21,0,-K202*SAP_Leadsheet!$E$32*$C$4/365)</f>
        <v>-4.7252208954177569E-3</v>
      </c>
      <c r="L219" s="262">
        <f ca="1">IF(L7&gt;SAP_Leadsheet!$E$21,0,-L202*SAP_Leadsheet!$E$32*$C$4/365)</f>
        <v>-4.5825651935571159E-3</v>
      </c>
      <c r="M219" s="262">
        <f ca="1">IF(M7&gt;SAP_Leadsheet!$E$21,0,-M202*SAP_Leadsheet!$E$32*$C$4/365)</f>
        <v>-4.3205817651392727E-3</v>
      </c>
      <c r="N219" s="262">
        <f ca="1">IF(N7&gt;SAP_Leadsheet!$E$21,0,-N202*SAP_Leadsheet!$E$32*$C$4/365)</f>
        <v>-4.0147526999856839E-3</v>
      </c>
      <c r="O219" s="262">
        <f ca="1">IF(O7&gt;SAP_Leadsheet!$E$21,0,-O202*SAP_Leadsheet!$E$32*$C$4/365)</f>
        <v>-3.7576770926787376E-3</v>
      </c>
      <c r="P219" s="262">
        <f ca="1">IF(P7&gt;SAP_Leadsheet!$E$21,0,-P202*SAP_Leadsheet!$E$32*$C$4/365)</f>
        <v>-3.4471621553996204E-3</v>
      </c>
      <c r="Q219" s="262">
        <f ca="1">IF(Q7&gt;SAP_Leadsheet!$E$21,0,-Q202*SAP_Leadsheet!$E$32*$C$4/365)</f>
        <v>-3.1149395916007221E-3</v>
      </c>
      <c r="R219" s="262">
        <f ca="1">IF(R7&gt;SAP_Leadsheet!$E$21,0,-R202*SAP_Leadsheet!$E$32*$C$4/365)</f>
        <v>-2.8200848211302567E-3</v>
      </c>
      <c r="S219" s="262">
        <f ca="1">IF(S7&gt;SAP_Leadsheet!$E$21,0,-S202*SAP_Leadsheet!$E$32*$C$4/365)</f>
        <v>-2.6058383974846243E-3</v>
      </c>
      <c r="T219" s="262">
        <f ca="1">IF(T7&gt;SAP_Leadsheet!$E$21,0,-T202*SAP_Leadsheet!$E$32*$C$4/365)</f>
        <v>-2.548351879450688E-3</v>
      </c>
      <c r="U219" s="262">
        <f ca="1">IF(U7&gt;SAP_Leadsheet!$E$21,0,-U202*SAP_Leadsheet!$E$32*$C$4/365)</f>
        <v>-2.6006097101859394E-3</v>
      </c>
      <c r="V219" s="262">
        <f ca="1">IF(V7&gt;SAP_Leadsheet!$E$21,0,-V202*SAP_Leadsheet!$E$32*$C$4/365)</f>
        <v>-2.5096284256227457E-3</v>
      </c>
      <c r="W219" s="262">
        <f ca="1">IF(W7&gt;SAP_Leadsheet!$E$21,0,-W202*SAP_Leadsheet!$E$32*$C$4/365)</f>
        <v>-2.37915197384989E-3</v>
      </c>
      <c r="X219" s="262">
        <f ca="1">IF(X7&gt;SAP_Leadsheet!$E$21,0,-X202*SAP_Leadsheet!$E$32*$C$4/365)</f>
        <v>-2.3514349424621781E-3</v>
      </c>
      <c r="Y219" s="262">
        <f ca="1">IF(Y7&gt;SAP_Leadsheet!$E$21,0,-Y202*SAP_Leadsheet!$E$32*$C$4/365)</f>
        <v>-2.3493260982941186E-3</v>
      </c>
      <c r="Z219" s="262">
        <f ca="1">IF(Z7&gt;SAP_Leadsheet!$E$21,0,-Z202*SAP_Leadsheet!$E$32*$C$4/365)</f>
        <v>-2.3462897624254987E-3</v>
      </c>
      <c r="AA219" s="262">
        <f ca="1">IF(AA7&gt;SAP_Leadsheet!$E$21,0,-AA202*SAP_Leadsheet!$E$32*$C$4/365)</f>
        <v>-2.3366918777530904E-3</v>
      </c>
      <c r="AB219" s="262">
        <f ca="1">IF(AB7&gt;SAP_Leadsheet!$E$21,0,-AB202*SAP_Leadsheet!$E$32*$C$4/365)</f>
        <v>-2.2918819538455294E-3</v>
      </c>
      <c r="AC219" s="262">
        <f ca="1">IF(AC7&gt;SAP_Leadsheet!$E$21,0,-AC202*SAP_Leadsheet!$E$32*$C$4/365)</f>
        <v>-2.2469674725671992E-3</v>
      </c>
      <c r="AD219" s="262">
        <f ca="1">IF(AD7&gt;SAP_Leadsheet!$E$21,0,-AD202*SAP_Leadsheet!$E$32*$C$4/365)</f>
        <v>-2.2149732959381944E-3</v>
      </c>
      <c r="AE219" s="262">
        <f ca="1">IF(AE7&gt;SAP_Leadsheet!$E$21,0,-AE202*SAP_Leadsheet!$E$32*$C$4/365)</f>
        <v>-2.1656792082437606E-3</v>
      </c>
      <c r="AF219" s="262">
        <f ca="1">IF(AF7&gt;SAP_Leadsheet!$E$21,0,-AF202*SAP_Leadsheet!$E$32*$C$4/365)</f>
        <v>-2.2130099286994348E-3</v>
      </c>
      <c r="AG219" s="262">
        <f ca="1">IF(AG7&gt;SAP_Leadsheet!$E$21,0,-AG202*SAP_Leadsheet!$E$32*$C$4/365)</f>
        <v>-2.297768931206146E-3</v>
      </c>
      <c r="AH219" s="262">
        <f ca="1">IF(AH7&gt;SAP_Leadsheet!$E$21,0,-AH202*SAP_Leadsheet!$E$32*$C$4/365)</f>
        <v>-2.3367571079560469E-3</v>
      </c>
      <c r="AI219" s="262">
        <f ca="1">IF(AI7&gt;SAP_Leadsheet!$E$21,0,-AI202*SAP_Leadsheet!$E$32*$C$4/365)</f>
        <v>-2.324936819062587E-3</v>
      </c>
      <c r="AJ219" s="262">
        <f ca="1">IF(AJ7&gt;SAP_Leadsheet!$E$21,0,-AJ202*SAP_Leadsheet!$E$32*$C$4/365)</f>
        <v>-2.2834416779857693E-3</v>
      </c>
      <c r="AK219" s="262">
        <f ca="1">IF(AK7&gt;SAP_Leadsheet!$E$21,0,-AK202*SAP_Leadsheet!$E$32*$C$4/365)</f>
        <v>-2.2303225643929797E-3</v>
      </c>
      <c r="AL219" s="262">
        <f ca="1">IF(AL7&gt;SAP_Leadsheet!$E$21,0,-AL202*SAP_Leadsheet!$E$32*$C$4/365)</f>
        <v>-2.197976414239927E-3</v>
      </c>
      <c r="AM219" s="262">
        <f ca="1">IF(AM7&gt;SAP_Leadsheet!$E$21,0,-AM202*SAP_Leadsheet!$E$32*$C$4/365)</f>
        <v>-2.1870422655660823E-3</v>
      </c>
      <c r="AN219" s="262">
        <f ca="1">IF(AN7&gt;SAP_Leadsheet!$E$21,0,-AN202*SAP_Leadsheet!$E$32*$C$4/365)</f>
        <v>-2.1222883715960993E-3</v>
      </c>
      <c r="AO219" s="262">
        <f ca="1">IF(AO7&gt;SAP_Leadsheet!$E$21,0,-AO202*SAP_Leadsheet!$E$32*$C$4/365)</f>
        <v>-2.0454787326879735E-3</v>
      </c>
      <c r="AP219" s="262">
        <f ca="1">IF(AP7&gt;SAP_Leadsheet!$E$21,0,-AP202*SAP_Leadsheet!$E$32*$C$4/365)</f>
        <v>-1.9732354302536758E-3</v>
      </c>
      <c r="AQ219" s="262">
        <f ca="1">IF(AQ7&gt;SAP_Leadsheet!$E$21,0,-AQ202*SAP_Leadsheet!$E$32*$C$4/365)</f>
        <v>-1.9109115299490052E-3</v>
      </c>
      <c r="AR219" s="262">
        <f ca="1">IF(AR7&gt;SAP_Leadsheet!$E$21,0,-AR202*SAP_Leadsheet!$E$32*$C$4/365)</f>
        <v>-1.8600014529190465E-3</v>
      </c>
      <c r="AS219" s="262">
        <f ca="1">IF(AS7&gt;SAP_Leadsheet!$E$21,0,-AS202*SAP_Leadsheet!$E$32*$C$4/365)</f>
        <v>-1.8166476613957112E-3</v>
      </c>
      <c r="AT219" s="262">
        <f ca="1">IF(AT7&gt;SAP_Leadsheet!$E$21,0,-AT202*SAP_Leadsheet!$E$32*$C$4/365)</f>
        <v>-1.7764792828046042E-3</v>
      </c>
      <c r="AU219" s="262">
        <f ca="1">IF(AU7&gt;SAP_Leadsheet!$E$21,0,-AU202*SAP_Leadsheet!$E$32*$C$4/365)</f>
        <v>-1.7367521946531068E-3</v>
      </c>
      <c r="AV219" s="262">
        <f ca="1">IF(AV7&gt;SAP_Leadsheet!$E$21,0,-AV202*SAP_Leadsheet!$E$32*$C$4/365)</f>
        <v>-1.697661890813656E-3</v>
      </c>
      <c r="AW219" s="262">
        <f ca="1">IF(AW7&gt;SAP_Leadsheet!$E$21,0,-AW202*SAP_Leadsheet!$E$32*$C$4/365)</f>
        <v>-1.6596112219355687E-3</v>
      </c>
      <c r="AX219" s="262">
        <f ca="1">IF(AX7&gt;SAP_Leadsheet!$E$21,0,-AX202*SAP_Leadsheet!$E$32*$C$4/365)</f>
        <v>-1.6243799275445323E-3</v>
      </c>
      <c r="AY219" s="262">
        <f ca="1">IF(AY7&gt;SAP_Leadsheet!$E$21,0,-AY202*SAP_Leadsheet!$E$32*$C$4/365)</f>
        <v>-1.5918273237548826E-3</v>
      </c>
      <c r="AZ219" s="262">
        <f ca="1">IF(AZ7&gt;SAP_Leadsheet!$E$21,0,-AZ202*SAP_Leadsheet!$E$32*$C$4/365)</f>
        <v>-1.5568802379866337E-3</v>
      </c>
      <c r="BA219" s="262">
        <f ca="1">IF(BA7&gt;SAP_Leadsheet!$E$21,0,-BA202*SAP_Leadsheet!$E$32*$C$4/365)</f>
        <v>-1.5190763324445578E-3</v>
      </c>
      <c r="BB219" s="262">
        <f ca="1">IF(BB7&gt;SAP_Leadsheet!$E$21,0,-BB202*SAP_Leadsheet!$E$32*$C$4/365)</f>
        <v>-1.4793863110004906E-3</v>
      </c>
      <c r="BC219" s="262">
        <f ca="1">IF(BC7&gt;SAP_Leadsheet!$E$21,0,-BC202*SAP_Leadsheet!$E$32*$C$4/365)</f>
        <v>-1.4391661933469044E-3</v>
      </c>
      <c r="BD219" s="262">
        <f ca="1">IF(BD7&gt;SAP_Leadsheet!$E$21,0,-BD202*SAP_Leadsheet!$E$32*$C$4/365)</f>
        <v>-1.3996816261939932E-3</v>
      </c>
      <c r="BE219" s="262">
        <f ca="1">IF(BE7&gt;SAP_Leadsheet!$E$21,0,-BE202*SAP_Leadsheet!$E$32*$C$4/365)</f>
        <v>-1.3609799073323863E-3</v>
      </c>
      <c r="BF219" s="262">
        <f ca="1">IF(BF7&gt;SAP_Leadsheet!$E$21,0,-BF202*SAP_Leadsheet!$E$32*$C$4/365)</f>
        <v>-1.322777170191314E-3</v>
      </c>
      <c r="BG219" s="262">
        <f ca="1">IF(BG7&gt;SAP_Leadsheet!$E$21,0,-BG202*SAP_Leadsheet!$E$32*$C$4/365)</f>
        <v>-1.2848255348322517E-3</v>
      </c>
      <c r="BH219" s="262">
        <f ca="1">IF(BH7&gt;SAP_Leadsheet!$E$21,0,-BH202*SAP_Leadsheet!$E$32*$C$4/365)</f>
        <v>-1.2470021372927207E-3</v>
      </c>
      <c r="BI219" s="262">
        <f ca="1">IF(BI7&gt;SAP_Leadsheet!$E$21,0,-BI202*SAP_Leadsheet!$E$32*$C$4/365)</f>
        <v>-1.2092704811007052E-3</v>
      </c>
      <c r="BJ219" s="262">
        <f ca="1">IF(BJ7&gt;SAP_Leadsheet!$E$21,0,-BJ202*SAP_Leadsheet!$E$32*$C$4/365)</f>
        <v>-1.1724799096015797E-3</v>
      </c>
      <c r="BK219" s="262">
        <f ca="1">IF(BK7&gt;SAP_Leadsheet!$E$21,0,-BK202*SAP_Leadsheet!$E$32*$C$4/365)</f>
        <v>-1.1372385906033258E-3</v>
      </c>
      <c r="BL219" s="262">
        <f ca="1">IF(BL7&gt;SAP_Leadsheet!$E$21,0,-BL202*SAP_Leadsheet!$E$32*$C$4/365)</f>
        <v>-1.1013352435219148E-3</v>
      </c>
      <c r="BM219" s="262">
        <f ca="1">IF(BM7&gt;SAP_Leadsheet!$E$21,0,-BM202*SAP_Leadsheet!$E$32*$C$4/365)</f>
        <v>-1.0644546159461134E-3</v>
      </c>
      <c r="BN219" s="262">
        <f ca="1">IF(BN7&gt;SAP_Leadsheet!$E$21,0,-BN202*SAP_Leadsheet!$E$32*$C$4/365)</f>
        <v>-1.0268976679817558E-3</v>
      </c>
      <c r="BO219" s="263"/>
      <c r="BP219" s="263"/>
      <c r="BQ219" s="263"/>
      <c r="BR219" s="263"/>
      <c r="BS219" s="263"/>
      <c r="BT219" s="263"/>
      <c r="BU219" s="263"/>
      <c r="BV219" s="263"/>
      <c r="BW219" s="263"/>
      <c r="BX219" s="263"/>
      <c r="BY219" s="263"/>
      <c r="BZ219" s="263"/>
      <c r="CA219" s="263"/>
      <c r="CB219" s="263"/>
      <c r="CC219" s="263"/>
      <c r="CD219" s="263"/>
      <c r="CE219" s="263"/>
      <c r="CF219" s="263"/>
      <c r="CG219" s="263"/>
      <c r="CH219" s="263"/>
      <c r="CI219" s="263"/>
      <c r="CJ219" s="263"/>
      <c r="CK219" s="263"/>
      <c r="CL219" s="263"/>
      <c r="CM219" s="263"/>
      <c r="CN219" s="263"/>
      <c r="CO219" s="263"/>
      <c r="CP219" s="263"/>
      <c r="CQ219" s="263"/>
      <c r="CR219" s="263"/>
      <c r="CS219" s="263"/>
      <c r="CT219" s="263"/>
      <c r="CU219" s="263"/>
      <c r="CV219" s="263"/>
      <c r="CW219" s="263"/>
      <c r="CX219" s="263"/>
      <c r="CY219" s="263"/>
      <c r="CZ219" s="263"/>
      <c r="DA219" s="263"/>
      <c r="DB219" s="263"/>
      <c r="DC219" s="263"/>
      <c r="DD219" s="263"/>
      <c r="DE219" s="263"/>
      <c r="DF219" s="263"/>
      <c r="DG219" s="263"/>
      <c r="DH219" s="263"/>
      <c r="DI219" s="263"/>
      <c r="DJ219" s="263"/>
      <c r="DK219" s="263"/>
      <c r="DL219" s="263"/>
      <c r="DM219" s="263"/>
      <c r="DN219" s="263"/>
      <c r="DO219" s="263"/>
      <c r="DP219" s="263"/>
      <c r="DQ219" s="263"/>
      <c r="DR219" s="263"/>
      <c r="DS219" s="263"/>
      <c r="DT219" s="263"/>
      <c r="DU219" s="263"/>
      <c r="DV219" s="263"/>
      <c r="DW219" s="263"/>
      <c r="DX219" s="263"/>
      <c r="DY219" s="263"/>
      <c r="DZ219" s="263"/>
      <c r="EA219" s="263"/>
      <c r="EB219" s="263"/>
      <c r="EC219" s="263"/>
      <c r="ED219" s="263"/>
      <c r="EE219" s="263"/>
      <c r="EF219" s="263"/>
      <c r="EG219" s="263"/>
      <c r="EH219" s="263"/>
      <c r="EI219" s="263"/>
      <c r="EJ219" s="263"/>
      <c r="EK219" s="263"/>
      <c r="EL219" s="263"/>
      <c r="EM219" s="263"/>
      <c r="EN219" s="263"/>
      <c r="EO219" s="263"/>
      <c r="EP219" s="263"/>
      <c r="EQ219" s="263"/>
      <c r="ER219" s="263"/>
      <c r="ES219" s="263"/>
      <c r="ET219" s="263"/>
      <c r="EU219" s="263"/>
      <c r="EV219" s="263"/>
      <c r="EW219" s="263"/>
      <c r="EX219" s="263"/>
      <c r="EY219" s="263"/>
      <c r="EZ219" s="263"/>
      <c r="FA219" s="263"/>
      <c r="FB219" s="263"/>
      <c r="FC219" s="263"/>
      <c r="FD219" s="263"/>
      <c r="FE219" s="263"/>
      <c r="FF219" s="263"/>
      <c r="FG219" s="263"/>
      <c r="FH219" s="263"/>
      <c r="FI219" s="263"/>
      <c r="FJ219" s="263"/>
      <c r="FK219" s="263"/>
      <c r="FL219" s="263"/>
      <c r="FM219" s="263"/>
      <c r="FN219" s="263"/>
      <c r="FO219" s="263"/>
      <c r="FP219" s="263"/>
      <c r="FQ219" s="263"/>
      <c r="FR219" s="263"/>
      <c r="FS219" s="263"/>
      <c r="FT219" s="263"/>
      <c r="FU219" s="263"/>
      <c r="FV219" s="263"/>
      <c r="FW219" s="263"/>
      <c r="FX219" s="263"/>
      <c r="FY219" s="263"/>
      <c r="FZ219" s="263"/>
      <c r="GA219" s="263"/>
      <c r="GB219" s="263"/>
      <c r="GC219" s="263"/>
      <c r="GD219" s="263"/>
      <c r="GE219" s="263"/>
      <c r="GF219" s="263"/>
      <c r="GG219" s="263"/>
      <c r="GH219" s="263"/>
      <c r="GI219" s="263"/>
      <c r="GJ219" s="263"/>
      <c r="GK219" s="263"/>
      <c r="GL219" s="263"/>
      <c r="GM219" s="263"/>
      <c r="GN219" s="263"/>
      <c r="GO219" s="263"/>
      <c r="GP219" s="263"/>
      <c r="GQ219" s="263"/>
      <c r="GR219" s="263"/>
      <c r="GS219" s="263"/>
      <c r="GT219" s="263"/>
      <c r="GU219" s="263"/>
      <c r="GV219" s="263"/>
      <c r="GW219" s="263"/>
      <c r="GX219" s="263"/>
      <c r="GY219" s="263"/>
    </row>
    <row r="220" spans="1:207" x14ac:dyDescent="0.15">
      <c r="D220" s="289" t="s">
        <v>388</v>
      </c>
      <c r="E220" s="289"/>
      <c r="F220" s="26" t="s">
        <v>341</v>
      </c>
      <c r="G220" s="262">
        <f ca="1">G219+G216</f>
        <v>-6.9172319342820736E-4</v>
      </c>
      <c r="H220" s="262">
        <f ca="1">H219+H216</f>
        <v>1.8131803725315995E-4</v>
      </c>
      <c r="I220" s="262">
        <f t="shared" ref="I220:BN220" ca="1" si="29">I219+I216</f>
        <v>5.4875882541613047E-3</v>
      </c>
      <c r="J220" s="262">
        <f t="shared" ca="1" si="29"/>
        <v>8.8296296782896713E-3</v>
      </c>
      <c r="K220" s="262">
        <f t="shared" ca="1" si="29"/>
        <v>9.4153809265662969E-3</v>
      </c>
      <c r="L220" s="262">
        <f t="shared" ca="1" si="29"/>
        <v>8.2120952559690923E-3</v>
      </c>
      <c r="M220" s="262">
        <f t="shared" ca="1" si="29"/>
        <v>6.290827947673632E-3</v>
      </c>
      <c r="N220" s="262">
        <f t="shared" ca="1" si="29"/>
        <v>4.1440401595601393E-3</v>
      </c>
      <c r="O220" s="262">
        <f t="shared" ca="1" si="29"/>
        <v>2.8500659574336395E-3</v>
      </c>
      <c r="P220" s="262">
        <f t="shared" ca="1" si="29"/>
        <v>2.168120369111428E-3</v>
      </c>
      <c r="Q220" s="262">
        <f t="shared" ca="1" si="29"/>
        <v>1.3985943960759693E-3</v>
      </c>
      <c r="R220" s="262">
        <f t="shared" ca="1" si="29"/>
        <v>5.9398917488006535E-4</v>
      </c>
      <c r="S220" s="262">
        <f t="shared" ca="1" si="29"/>
        <v>5.6990886566729137E-5</v>
      </c>
      <c r="T220" s="262">
        <f t="shared" ca="1" si="29"/>
        <v>3.8449708326293748E-5</v>
      </c>
      <c r="U220" s="262">
        <f t="shared" ca="1" si="29"/>
        <v>4.4201006714302341E-4</v>
      </c>
      <c r="V220" s="262">
        <f t="shared" ca="1" si="29"/>
        <v>1.0107627471124983E-3</v>
      </c>
      <c r="W220" s="262">
        <f t="shared" ca="1" si="29"/>
        <v>1.0029864063051193E-3</v>
      </c>
      <c r="X220" s="262">
        <f t="shared" ca="1" si="29"/>
        <v>8.6817366013964984E-4</v>
      </c>
      <c r="Y220" s="262">
        <f t="shared" ca="1" si="29"/>
        <v>9.2575519199137408E-4</v>
      </c>
      <c r="Z220" s="262">
        <f t="shared" ca="1" si="29"/>
        <v>7.3744087715935016E-4</v>
      </c>
      <c r="AA220" s="262">
        <f t="shared" ca="1" si="29"/>
        <v>6.2429574407829634E-4</v>
      </c>
      <c r="AB220" s="262">
        <f t="shared" ca="1" si="29"/>
        <v>5.4720224609232197E-4</v>
      </c>
      <c r="AC220" s="262">
        <f t="shared" ca="1" si="29"/>
        <v>3.7394363188311686E-4</v>
      </c>
      <c r="AD220" s="262">
        <f t="shared" ca="1" si="29"/>
        <v>2.4891053538741385E-4</v>
      </c>
      <c r="AE220" s="262">
        <f t="shared" ca="1" si="29"/>
        <v>1.1619063456656765E-4</v>
      </c>
      <c r="AF220" s="262">
        <f t="shared" ca="1" si="29"/>
        <v>4.6334808291571133E-5</v>
      </c>
      <c r="AG220" s="262">
        <f t="shared" ca="1" si="29"/>
        <v>2.1056350558479753E-4</v>
      </c>
      <c r="AH220" s="262">
        <f t="shared" ca="1" si="29"/>
        <v>4.3952733291118635E-4</v>
      </c>
      <c r="AI220" s="262">
        <f t="shared" ca="1" si="29"/>
        <v>5.3841621318169658E-4</v>
      </c>
      <c r="AJ220" s="262">
        <f t="shared" ca="1" si="29"/>
        <v>5.0103327248459751E-4</v>
      </c>
      <c r="AK220" s="262">
        <f t="shared" ca="1" si="29"/>
        <v>4.007643943733756E-4</v>
      </c>
      <c r="AL220" s="262">
        <f t="shared" ca="1" si="29"/>
        <v>2.0125302071286088E-4</v>
      </c>
      <c r="AM220" s="262">
        <f t="shared" ca="1" si="29"/>
        <v>1.1828594697711704E-4</v>
      </c>
      <c r="AN220" s="262">
        <f t="shared" ca="1" si="29"/>
        <v>7.3995302814461317E-5</v>
      </c>
      <c r="AO220" s="262">
        <f t="shared" ca="1" si="29"/>
        <v>-5.8741063158816893E-5</v>
      </c>
      <c r="AP220" s="262">
        <f t="shared" ca="1" si="29"/>
        <v>-1.9647502188563674E-4</v>
      </c>
      <c r="AQ220" s="262">
        <f t="shared" ca="1" si="29"/>
        <v>-3.0237564281922376E-4</v>
      </c>
      <c r="AR220" s="262">
        <f t="shared" ca="1" si="29"/>
        <v>-3.3195153203431356E-4</v>
      </c>
      <c r="AS220" s="262">
        <f t="shared" ca="1" si="29"/>
        <v>-3.4541683889670457E-4</v>
      </c>
      <c r="AT220" s="262">
        <f t="shared" ca="1" si="29"/>
        <v>-3.3775921895042526E-4</v>
      </c>
      <c r="AU220" s="262">
        <f t="shared" ca="1" si="29"/>
        <v>-3.2920194573532262E-4</v>
      </c>
      <c r="AV220" s="262">
        <f t="shared" ca="1" si="29"/>
        <v>-3.2589929423847185E-4</v>
      </c>
      <c r="AW220" s="262">
        <f t="shared" ca="1" si="29"/>
        <v>-3.3646678366502382E-4</v>
      </c>
      <c r="AX220" s="262">
        <f t="shared" ca="1" si="29"/>
        <v>-3.9077908538009769E-4</v>
      </c>
      <c r="AY220" s="262">
        <f t="shared" ca="1" si="29"/>
        <v>-4.3390492620069528E-4</v>
      </c>
      <c r="AZ220" s="262">
        <f t="shared" ca="1" si="29"/>
        <v>-4.7059361011301246E-4</v>
      </c>
      <c r="BA220" s="262">
        <f t="shared" ca="1" si="29"/>
        <v>-5.082031231788632E-4</v>
      </c>
      <c r="BB220" s="262">
        <f t="shared" ca="1" si="29"/>
        <v>-5.4674202767805149E-4</v>
      </c>
      <c r="BC220" s="262">
        <f t="shared" ca="1" si="29"/>
        <v>-5.8469541445493086E-4</v>
      </c>
      <c r="BD220" s="262">
        <f t="shared" ca="1" si="29"/>
        <v>-5.9575753126389381E-4</v>
      </c>
      <c r="BE220" s="262">
        <f t="shared" ca="1" si="29"/>
        <v>-6.0588162006188504E-4</v>
      </c>
      <c r="BF220" s="262">
        <f t="shared" ca="1" si="29"/>
        <v>-6.1378298910649929E-4</v>
      </c>
      <c r="BG220" s="262">
        <f t="shared" ca="1" si="29"/>
        <v>-6.1929847912074059E-4</v>
      </c>
      <c r="BH220" s="262">
        <f t="shared" ca="1" si="29"/>
        <v>-6.2320396517938587E-4</v>
      </c>
      <c r="BI220" s="262">
        <f t="shared" ca="1" si="29"/>
        <v>-6.2593181201301513E-4</v>
      </c>
      <c r="BJ220" s="262">
        <f t="shared" ca="1" si="29"/>
        <v>-6.4813757432412051E-4</v>
      </c>
      <c r="BK220" s="262">
        <f t="shared" ca="1" si="29"/>
        <v>-6.6574073961183245E-4</v>
      </c>
      <c r="BL220" s="262">
        <f t="shared" ca="1" si="29"/>
        <v>-6.7940037016318746E-4</v>
      </c>
      <c r="BM220" s="262">
        <f t="shared" ca="1" si="29"/>
        <v>-6.9161115316982802E-4</v>
      </c>
      <c r="BN220" s="262">
        <f t="shared" ca="1" si="29"/>
        <v>-7.0253006402721131E-4</v>
      </c>
      <c r="BO220" s="263"/>
      <c r="BP220" s="263"/>
      <c r="BQ220" s="263"/>
      <c r="BR220" s="263"/>
      <c r="BS220" s="263"/>
      <c r="BT220" s="263"/>
      <c r="BU220" s="263"/>
      <c r="BV220" s="263"/>
      <c r="BW220" s="263"/>
      <c r="BX220" s="263"/>
      <c r="BY220" s="263"/>
      <c r="BZ220" s="263"/>
      <c r="CA220" s="263"/>
      <c r="CB220" s="263"/>
      <c r="CC220" s="263"/>
      <c r="CD220" s="263"/>
      <c r="CE220" s="263"/>
      <c r="CF220" s="263"/>
      <c r="CG220" s="263"/>
      <c r="CH220" s="263"/>
      <c r="CI220" s="263"/>
      <c r="CJ220" s="263"/>
      <c r="CK220" s="263"/>
      <c r="CL220" s="263"/>
      <c r="CM220" s="263"/>
      <c r="CN220" s="263"/>
      <c r="CO220" s="263"/>
      <c r="CP220" s="263"/>
      <c r="CQ220" s="263"/>
      <c r="CR220" s="263"/>
      <c r="CS220" s="263"/>
      <c r="CT220" s="263"/>
      <c r="CU220" s="263"/>
      <c r="CV220" s="263"/>
      <c r="CW220" s="263"/>
      <c r="CX220" s="263"/>
      <c r="CY220" s="263"/>
      <c r="CZ220" s="263"/>
      <c r="DA220" s="263"/>
      <c r="DB220" s="263"/>
      <c r="DC220" s="263"/>
      <c r="DD220" s="263"/>
      <c r="DE220" s="263"/>
      <c r="DF220" s="263"/>
      <c r="DG220" s="263"/>
      <c r="DH220" s="263"/>
      <c r="DI220" s="263"/>
      <c r="DJ220" s="263"/>
      <c r="DK220" s="263"/>
      <c r="DL220" s="263"/>
      <c r="DM220" s="263"/>
      <c r="DN220" s="263"/>
      <c r="DO220" s="263"/>
      <c r="DP220" s="263"/>
      <c r="DQ220" s="263"/>
      <c r="DR220" s="263"/>
      <c r="DS220" s="263"/>
      <c r="DT220" s="263"/>
      <c r="DU220" s="263"/>
      <c r="DV220" s="263"/>
      <c r="DW220" s="263"/>
      <c r="DX220" s="263"/>
      <c r="DY220" s="263"/>
      <c r="DZ220" s="263"/>
      <c r="EA220" s="263"/>
      <c r="EB220" s="263"/>
      <c r="EC220" s="263"/>
      <c r="ED220" s="263"/>
      <c r="EE220" s="263"/>
      <c r="EF220" s="263"/>
      <c r="EG220" s="263"/>
      <c r="EH220" s="263"/>
      <c r="EI220" s="263"/>
      <c r="EJ220" s="263"/>
      <c r="EK220" s="263"/>
      <c r="EL220" s="263"/>
      <c r="EM220" s="263"/>
      <c r="EN220" s="263"/>
      <c r="EO220" s="263"/>
      <c r="EP220" s="263"/>
      <c r="EQ220" s="263"/>
      <c r="ER220" s="263"/>
      <c r="ES220" s="263"/>
      <c r="ET220" s="263"/>
      <c r="EU220" s="263"/>
      <c r="EV220" s="263"/>
      <c r="EW220" s="263"/>
      <c r="EX220" s="263"/>
      <c r="EY220" s="263"/>
      <c r="EZ220" s="263"/>
      <c r="FA220" s="263"/>
      <c r="FB220" s="263"/>
      <c r="FC220" s="263"/>
      <c r="FD220" s="263"/>
      <c r="FE220" s="263"/>
      <c r="FF220" s="263"/>
      <c r="FG220" s="263"/>
      <c r="FH220" s="263"/>
      <c r="FI220" s="263"/>
      <c r="FJ220" s="263"/>
      <c r="FK220" s="263"/>
      <c r="FL220" s="263"/>
      <c r="FM220" s="263"/>
      <c r="FN220" s="263"/>
      <c r="FO220" s="263"/>
      <c r="FP220" s="263"/>
      <c r="FQ220" s="263"/>
      <c r="FR220" s="263"/>
      <c r="FS220" s="263"/>
      <c r="FT220" s="263"/>
      <c r="FU220" s="263"/>
      <c r="FV220" s="263"/>
      <c r="FW220" s="263"/>
      <c r="FX220" s="263"/>
      <c r="FY220" s="263"/>
      <c r="FZ220" s="263"/>
      <c r="GA220" s="263"/>
      <c r="GB220" s="263"/>
      <c r="GC220" s="263"/>
      <c r="GD220" s="263"/>
      <c r="GE220" s="263"/>
      <c r="GF220" s="263"/>
      <c r="GG220" s="263"/>
      <c r="GH220" s="263"/>
      <c r="GI220" s="263"/>
      <c r="GJ220" s="263"/>
      <c r="GK220" s="263"/>
      <c r="GL220" s="263"/>
      <c r="GM220" s="263"/>
      <c r="GN220" s="263"/>
      <c r="GO220" s="263"/>
      <c r="GP220" s="263"/>
      <c r="GQ220" s="263"/>
      <c r="GR220" s="263"/>
      <c r="GS220" s="263"/>
      <c r="GT220" s="263"/>
      <c r="GU220" s="263"/>
      <c r="GV220" s="263"/>
      <c r="GW220" s="263"/>
      <c r="GX220" s="263"/>
      <c r="GY220" s="263"/>
    </row>
    <row r="221" spans="1:207" x14ac:dyDescent="0.15">
      <c r="D221" s="289"/>
      <c r="E221" s="289"/>
      <c r="G221" s="262"/>
      <c r="H221" s="262"/>
      <c r="I221" s="262"/>
      <c r="J221" s="262"/>
      <c r="K221" s="262"/>
      <c r="L221" s="262"/>
      <c r="M221" s="262"/>
      <c r="N221" s="262"/>
      <c r="O221" s="262"/>
      <c r="P221" s="262"/>
      <c r="Q221" s="262"/>
      <c r="R221" s="262"/>
      <c r="S221" s="262"/>
      <c r="T221" s="262"/>
      <c r="U221" s="262"/>
      <c r="V221" s="262"/>
      <c r="W221" s="262"/>
      <c r="X221" s="262"/>
      <c r="Y221" s="262"/>
      <c r="Z221" s="262"/>
      <c r="AA221" s="262"/>
      <c r="AB221" s="262"/>
      <c r="AC221" s="262"/>
      <c r="AD221" s="262"/>
      <c r="AE221" s="262"/>
      <c r="AF221" s="262"/>
      <c r="AG221" s="262"/>
      <c r="AH221" s="262"/>
      <c r="AI221" s="262"/>
      <c r="AJ221" s="262"/>
      <c r="AK221" s="262"/>
      <c r="AL221" s="262"/>
      <c r="AM221" s="262"/>
      <c r="AN221" s="262"/>
      <c r="AO221" s="262"/>
      <c r="AP221" s="262"/>
      <c r="AQ221" s="262"/>
      <c r="AR221" s="262"/>
      <c r="AS221" s="262"/>
      <c r="AT221" s="262"/>
      <c r="AU221" s="262"/>
      <c r="AV221" s="262"/>
      <c r="AW221" s="262"/>
      <c r="AX221" s="262"/>
      <c r="AY221" s="262"/>
      <c r="AZ221" s="262"/>
      <c r="BA221" s="262"/>
      <c r="BB221" s="262"/>
      <c r="BC221" s="262"/>
      <c r="BD221" s="262"/>
      <c r="BE221" s="262"/>
      <c r="BF221" s="262"/>
      <c r="BG221" s="262"/>
      <c r="BH221" s="262"/>
      <c r="BI221" s="262"/>
      <c r="BJ221" s="262"/>
      <c r="BK221" s="262"/>
      <c r="BL221" s="262"/>
      <c r="BM221" s="262"/>
      <c r="BN221" s="262"/>
      <c r="BO221" s="263"/>
      <c r="BP221" s="263"/>
      <c r="BQ221" s="263"/>
      <c r="BR221" s="263"/>
      <c r="BS221" s="263"/>
      <c r="BT221" s="263"/>
      <c r="BU221" s="263"/>
      <c r="BV221" s="263"/>
      <c r="BW221" s="263"/>
      <c r="BX221" s="263"/>
      <c r="BY221" s="263"/>
      <c r="BZ221" s="263"/>
      <c r="CA221" s="263"/>
      <c r="CB221" s="263"/>
      <c r="CC221" s="263"/>
      <c r="CD221" s="263"/>
      <c r="CE221" s="263"/>
      <c r="CF221" s="263"/>
      <c r="CG221" s="263"/>
      <c r="CH221" s="263"/>
      <c r="CI221" s="263"/>
      <c r="CJ221" s="263"/>
      <c r="CK221" s="263"/>
      <c r="CL221" s="263"/>
      <c r="CM221" s="263"/>
      <c r="CN221" s="263"/>
      <c r="CO221" s="263"/>
      <c r="CP221" s="263"/>
      <c r="CQ221" s="263"/>
      <c r="CR221" s="263"/>
      <c r="CS221" s="263"/>
      <c r="CT221" s="263"/>
      <c r="CU221" s="263"/>
      <c r="CV221" s="263"/>
      <c r="CW221" s="263"/>
      <c r="CX221" s="263"/>
      <c r="CY221" s="263"/>
      <c r="CZ221" s="263"/>
      <c r="DA221" s="263"/>
      <c r="DB221" s="263"/>
      <c r="DC221" s="263"/>
      <c r="DD221" s="263"/>
      <c r="DE221" s="263"/>
      <c r="DF221" s="263"/>
      <c r="DG221" s="263"/>
      <c r="DH221" s="263"/>
      <c r="DI221" s="263"/>
      <c r="DJ221" s="263"/>
      <c r="DK221" s="263"/>
      <c r="DL221" s="263"/>
      <c r="DM221" s="263"/>
      <c r="DN221" s="263"/>
      <c r="DO221" s="263"/>
      <c r="DP221" s="263"/>
      <c r="DQ221" s="263"/>
      <c r="DR221" s="263"/>
      <c r="DS221" s="263"/>
      <c r="DT221" s="263"/>
      <c r="DU221" s="263"/>
      <c r="DV221" s="263"/>
      <c r="DW221" s="263"/>
      <c r="DX221" s="263"/>
      <c r="DY221" s="263"/>
      <c r="DZ221" s="263"/>
      <c r="EA221" s="263"/>
      <c r="EB221" s="263"/>
      <c r="EC221" s="263"/>
      <c r="ED221" s="263"/>
      <c r="EE221" s="263"/>
      <c r="EF221" s="263"/>
      <c r="EG221" s="263"/>
      <c r="EH221" s="263"/>
      <c r="EI221" s="263"/>
      <c r="EJ221" s="263"/>
      <c r="EK221" s="263"/>
      <c r="EL221" s="263"/>
      <c r="EM221" s="263"/>
      <c r="EN221" s="263"/>
      <c r="EO221" s="263"/>
      <c r="EP221" s="263"/>
      <c r="EQ221" s="263"/>
      <c r="ER221" s="263"/>
      <c r="ES221" s="263"/>
      <c r="ET221" s="263"/>
      <c r="EU221" s="263"/>
      <c r="EV221" s="263"/>
      <c r="EW221" s="263"/>
      <c r="EX221" s="263"/>
      <c r="EY221" s="263"/>
      <c r="EZ221" s="263"/>
      <c r="FA221" s="263"/>
      <c r="FB221" s="263"/>
      <c r="FC221" s="263"/>
      <c r="FD221" s="263"/>
      <c r="FE221" s="263"/>
      <c r="FF221" s="263"/>
      <c r="FG221" s="263"/>
      <c r="FH221" s="263"/>
      <c r="FI221" s="263"/>
      <c r="FJ221" s="263"/>
      <c r="FK221" s="263"/>
      <c r="FL221" s="263"/>
      <c r="FM221" s="263"/>
      <c r="FN221" s="263"/>
      <c r="FO221" s="263"/>
      <c r="FP221" s="263"/>
      <c r="FQ221" s="263"/>
      <c r="FR221" s="263"/>
      <c r="FS221" s="263"/>
      <c r="FT221" s="263"/>
      <c r="FU221" s="263"/>
      <c r="FV221" s="263"/>
      <c r="FW221" s="263"/>
      <c r="FX221" s="263"/>
      <c r="FY221" s="263"/>
      <c r="FZ221" s="263"/>
      <c r="GA221" s="263"/>
      <c r="GB221" s="263"/>
      <c r="GC221" s="263"/>
      <c r="GD221" s="263"/>
      <c r="GE221" s="263"/>
      <c r="GF221" s="263"/>
      <c r="GG221" s="263"/>
      <c r="GH221" s="263"/>
      <c r="GI221" s="263"/>
      <c r="GJ221" s="263"/>
      <c r="GK221" s="263"/>
      <c r="GL221" s="263"/>
      <c r="GM221" s="263"/>
      <c r="GN221" s="263"/>
      <c r="GO221" s="263"/>
      <c r="GP221" s="263"/>
      <c r="GQ221" s="263"/>
      <c r="GR221" s="263"/>
      <c r="GS221" s="263"/>
      <c r="GT221" s="263"/>
      <c r="GU221" s="263"/>
      <c r="GV221" s="263"/>
      <c r="GW221" s="263"/>
      <c r="GX221" s="263"/>
      <c r="GY221" s="263"/>
    </row>
    <row r="222" spans="1:207" x14ac:dyDescent="0.15">
      <c r="C222" s="23" t="s">
        <v>391</v>
      </c>
      <c r="D222" s="290" t="s">
        <v>59</v>
      </c>
      <c r="F222" s="26" t="s">
        <v>341</v>
      </c>
      <c r="G222" s="263">
        <f ca="1">IF(G7&gt;SAP_Leadsheet!$E$21,0,IF(OR(G7=1,G7=13,G7=25,G7=37,G7=49),G11*SAP_Leadsheet!$E$34*(1-SAP_Leadsheet!$E$35)*G209,0))</f>
        <v>0</v>
      </c>
      <c r="H222" s="263">
        <f>IF(H7&gt;SAP_Leadsheet!$E$21,0,IF(OR(H7=1,H7=13,H7=25,H7=37,H7=49),H11*SAP_Leadsheet!$E$34*(1-SAP_Leadsheet!$E$35)*H209,0))</f>
        <v>0</v>
      </c>
      <c r="I222" s="263">
        <f>IF(I7&gt;SAP_Leadsheet!$E$21,0,IF(OR(I7=1,I7=13,I7=25,I7=37,I7=49),I11*SAP_Leadsheet!$E$34*(1-SAP_Leadsheet!$E$35)*I209,0))</f>
        <v>0</v>
      </c>
      <c r="J222" s="263">
        <f>IF(J7&gt;SAP_Leadsheet!$E$21,0,IF(OR(J7=1,J7=13,J7=25,J7=37,J7=49),J11*SAP_Leadsheet!$E$34*(1-SAP_Leadsheet!$E$35)*J209,0))</f>
        <v>0</v>
      </c>
      <c r="K222" s="263">
        <f>IF(K7&gt;SAP_Leadsheet!$E$21,0,IF(OR(K7=1,K7=13,K7=25,K7=37,K7=49),K11*SAP_Leadsheet!$E$34*(1-SAP_Leadsheet!$E$35)*K209,0))</f>
        <v>0</v>
      </c>
      <c r="L222" s="263">
        <f>IF(L7&gt;SAP_Leadsheet!$E$21,0,IF(OR(L7=1,L7=13,L7=25,L7=37,L7=49),L11*SAP_Leadsheet!$E$34*(1-SAP_Leadsheet!$E$35)*L209,0))</f>
        <v>0</v>
      </c>
      <c r="M222" s="263">
        <f>IF(M7&gt;SAP_Leadsheet!$E$21,0,IF(OR(M7=1,M7=13,M7=25,M7=37,M7=49),M11*SAP_Leadsheet!$E$34*(1-SAP_Leadsheet!$E$35)*M209,0))</f>
        <v>0</v>
      </c>
      <c r="N222" s="263">
        <f>IF(N7&gt;SAP_Leadsheet!$E$21,0,IF(OR(N7=1,N7=13,N7=25,N7=37,N7=49),N11*SAP_Leadsheet!$E$34*(1-SAP_Leadsheet!$E$35)*N209,0))</f>
        <v>0</v>
      </c>
      <c r="O222" s="263">
        <f>IF(O7&gt;SAP_Leadsheet!$E$21,0,IF(OR(O7=1,O7=13,O7=25,O7=37,O7=49),O11*SAP_Leadsheet!$E$34*(1-SAP_Leadsheet!$E$35)*O209,0))</f>
        <v>0</v>
      </c>
      <c r="P222" s="263">
        <f>IF(P7&gt;SAP_Leadsheet!$E$21,0,IF(OR(P7=1,P7=13,P7=25,P7=37,P7=49),P11*SAP_Leadsheet!$E$34*(1-SAP_Leadsheet!$E$35)*P209,0))</f>
        <v>0</v>
      </c>
      <c r="Q222" s="263">
        <f>IF(Q7&gt;SAP_Leadsheet!$E$21,0,IF(OR(Q7=1,Q7=13,Q7=25,Q7=37,Q7=49),Q11*SAP_Leadsheet!$E$34*(1-SAP_Leadsheet!$E$35)*Q209,0))</f>
        <v>0</v>
      </c>
      <c r="R222" s="263">
        <f>IF(R7&gt;SAP_Leadsheet!$E$21,0,IF(OR(R7=1,R7=13,R7=25,R7=37,R7=49),R11*SAP_Leadsheet!$E$34*(1-SAP_Leadsheet!$E$35)*R209,0))</f>
        <v>0</v>
      </c>
      <c r="S222" s="263">
        <f ca="1">IF(S7&gt;SAP_Leadsheet!$E$21,0,IF(OR(S7=1,S7=13,S7=25,S7=37,S7=49),S11*SAP_Leadsheet!$E$34*(1-SAP_Leadsheet!$E$35)*S209,0))</f>
        <v>0</v>
      </c>
      <c r="T222" s="263">
        <f>IF(T7&gt;SAP_Leadsheet!$E$21,0,IF(OR(T7=1,T7=13,T7=25,T7=37,T7=49),T11*SAP_Leadsheet!$E$34*(1-SAP_Leadsheet!$E$35)*T209,0))</f>
        <v>0</v>
      </c>
      <c r="U222" s="263">
        <f>IF(U7&gt;SAP_Leadsheet!$E$21,0,IF(OR(U7=1,U7=13,U7=25,U7=37,U7=49),U11*SAP_Leadsheet!$E$34*(1-SAP_Leadsheet!$E$35)*U209,0))</f>
        <v>0</v>
      </c>
      <c r="V222" s="263">
        <f>IF(V7&gt;SAP_Leadsheet!$E$21,0,IF(OR(V7=1,V7=13,V7=25,V7=37,V7=49),V11*SAP_Leadsheet!$E$34*(1-SAP_Leadsheet!$E$35)*V209,0))</f>
        <v>0</v>
      </c>
      <c r="W222" s="263">
        <f>IF(W7&gt;SAP_Leadsheet!$E$21,0,IF(OR(W7=1,W7=13,W7=25,W7=37,W7=49),W11*SAP_Leadsheet!$E$34*(1-SAP_Leadsheet!$E$35)*W209,0))</f>
        <v>0</v>
      </c>
      <c r="X222" s="263">
        <f>IF(X7&gt;SAP_Leadsheet!$E$21,0,IF(OR(X7=1,X7=13,X7=25,X7=37,X7=49),X11*SAP_Leadsheet!$E$34*(1-SAP_Leadsheet!$E$35)*X209,0))</f>
        <v>0</v>
      </c>
      <c r="Y222" s="263">
        <f>IF(Y7&gt;SAP_Leadsheet!$E$21,0,IF(OR(Y7=1,Y7=13,Y7=25,Y7=37,Y7=49),Y11*SAP_Leadsheet!$E$34*(1-SAP_Leadsheet!$E$35)*Y209,0))</f>
        <v>0</v>
      </c>
      <c r="Z222" s="263">
        <f>IF(Z7&gt;SAP_Leadsheet!$E$21,0,IF(OR(Z7=1,Z7=13,Z7=25,Z7=37,Z7=49),Z11*SAP_Leadsheet!$E$34*(1-SAP_Leadsheet!$E$35)*Z209,0))</f>
        <v>0</v>
      </c>
      <c r="AA222" s="263">
        <f>IF(AA7&gt;SAP_Leadsheet!$E$21,0,IF(OR(AA7=1,AA7=13,AA7=25,AA7=37,AA7=49),AA11*SAP_Leadsheet!$E$34*(1-SAP_Leadsheet!$E$35)*AA209,0))</f>
        <v>0</v>
      </c>
      <c r="AB222" s="263">
        <f>IF(AB7&gt;SAP_Leadsheet!$E$21,0,IF(OR(AB7=1,AB7=13,AB7=25,AB7=37,AB7=49),AB11*SAP_Leadsheet!$E$34*(1-SAP_Leadsheet!$E$35)*AB209,0))</f>
        <v>0</v>
      </c>
      <c r="AC222" s="263">
        <f>IF(AC7&gt;SAP_Leadsheet!$E$21,0,IF(OR(AC7=1,AC7=13,AC7=25,AC7=37,AC7=49),AC11*SAP_Leadsheet!$E$34*(1-SAP_Leadsheet!$E$35)*AC209,0))</f>
        <v>0</v>
      </c>
      <c r="AD222" s="263">
        <f>IF(AD7&gt;SAP_Leadsheet!$E$21,0,IF(OR(AD7=1,AD7=13,AD7=25,AD7=37,AD7=49),AD11*SAP_Leadsheet!$E$34*(1-SAP_Leadsheet!$E$35)*AD209,0))</f>
        <v>0</v>
      </c>
      <c r="AE222" s="263">
        <f ca="1">IF(AE7&gt;SAP_Leadsheet!$E$21,0,IF(OR(AE7=1,AE7=13,AE7=25,AE7=37,AE7=49),AE11*SAP_Leadsheet!$E$34*(1-SAP_Leadsheet!$E$35)*AE209,0))</f>
        <v>0</v>
      </c>
      <c r="AF222" s="263">
        <f>IF(AF7&gt;SAP_Leadsheet!$E$21,0,IF(OR(AF7=1,AF7=13,AF7=25,AF7=37,AF7=49),AF11*SAP_Leadsheet!$E$34*(1-SAP_Leadsheet!$E$35)*AF209,0))</f>
        <v>0</v>
      </c>
      <c r="AG222" s="263">
        <f>IF(AG7&gt;SAP_Leadsheet!$E$21,0,IF(OR(AG7=1,AG7=13,AG7=25,AG7=37,AG7=49),AG11*SAP_Leadsheet!$E$34*(1-SAP_Leadsheet!$E$35)*AG209,0))</f>
        <v>0</v>
      </c>
      <c r="AH222" s="263">
        <f>IF(AH7&gt;SAP_Leadsheet!$E$21,0,IF(OR(AH7=1,AH7=13,AH7=25,AH7=37,AH7=49),AH11*SAP_Leadsheet!$E$34*(1-SAP_Leadsheet!$E$35)*AH209,0))</f>
        <v>0</v>
      </c>
      <c r="AI222" s="263">
        <f>IF(AI7&gt;SAP_Leadsheet!$E$21,0,IF(OR(AI7=1,AI7=13,AI7=25,AI7=37,AI7=49),AI11*SAP_Leadsheet!$E$34*(1-SAP_Leadsheet!$E$35)*AI209,0))</f>
        <v>0</v>
      </c>
      <c r="AJ222" s="263">
        <f>IF(AJ7&gt;SAP_Leadsheet!$E$21,0,IF(OR(AJ7=1,AJ7=13,AJ7=25,AJ7=37,AJ7=49),AJ11*SAP_Leadsheet!$E$34*(1-SAP_Leadsheet!$E$35)*AJ209,0))</f>
        <v>0</v>
      </c>
      <c r="AK222" s="263">
        <f>IF(AK7&gt;SAP_Leadsheet!$E$21,0,IF(OR(AK7=1,AK7=13,AK7=25,AK7=37,AK7=49),AK11*SAP_Leadsheet!$E$34*(1-SAP_Leadsheet!$E$35)*AK209,0))</f>
        <v>0</v>
      </c>
      <c r="AL222" s="263">
        <f>IF(AL7&gt;SAP_Leadsheet!$E$21,0,IF(OR(AL7=1,AL7=13,AL7=25,AL7=37,AL7=49),AL11*SAP_Leadsheet!$E$34*(1-SAP_Leadsheet!$E$35)*AL209,0))</f>
        <v>0</v>
      </c>
      <c r="AM222" s="263">
        <f>IF(AM7&gt;SAP_Leadsheet!$E$21,0,IF(OR(AM7=1,AM7=13,AM7=25,AM7=37,AM7=49),AM11*SAP_Leadsheet!$E$34*(1-SAP_Leadsheet!$E$35)*AM209,0))</f>
        <v>0</v>
      </c>
      <c r="AN222" s="263">
        <f>IF(AN7&gt;SAP_Leadsheet!$E$21,0,IF(OR(AN7=1,AN7=13,AN7=25,AN7=37,AN7=49),AN11*SAP_Leadsheet!$E$34*(1-SAP_Leadsheet!$E$35)*AN209,0))</f>
        <v>0</v>
      </c>
      <c r="AO222" s="263">
        <f>IF(AO7&gt;SAP_Leadsheet!$E$21,0,IF(OR(AO7=1,AO7=13,AO7=25,AO7=37,AO7=49),AO11*SAP_Leadsheet!$E$34*(1-SAP_Leadsheet!$E$35)*AO209,0))</f>
        <v>0</v>
      </c>
      <c r="AP222" s="263">
        <f>IF(AP7&gt;SAP_Leadsheet!$E$21,0,IF(OR(AP7=1,AP7=13,AP7=25,AP7=37,AP7=49),AP11*SAP_Leadsheet!$E$34*(1-SAP_Leadsheet!$E$35)*AP209,0))</f>
        <v>0</v>
      </c>
      <c r="AQ222" s="263">
        <f ca="1">IF(AQ7&gt;SAP_Leadsheet!$E$21,0,IF(OR(AQ7=1,AQ7=13,AQ7=25,AQ7=37,AQ7=49),AQ11*SAP_Leadsheet!$E$34*(1-SAP_Leadsheet!$E$35)*AQ209,0))</f>
        <v>0</v>
      </c>
      <c r="AR222" s="263">
        <f>IF(AR7&gt;SAP_Leadsheet!$E$21,0,IF(OR(AR7=1,AR7=13,AR7=25,AR7=37,AR7=49),AR11*SAP_Leadsheet!$E$34*(1-SAP_Leadsheet!$E$35)*AR209,0))</f>
        <v>0</v>
      </c>
      <c r="AS222" s="263">
        <f>IF(AS7&gt;SAP_Leadsheet!$E$21,0,IF(OR(AS7=1,AS7=13,AS7=25,AS7=37,AS7=49),AS11*SAP_Leadsheet!$E$34*(1-SAP_Leadsheet!$E$35)*AS209,0))</f>
        <v>0</v>
      </c>
      <c r="AT222" s="263">
        <f>IF(AT7&gt;SAP_Leadsheet!$E$21,0,IF(OR(AT7=1,AT7=13,AT7=25,AT7=37,AT7=49),AT11*SAP_Leadsheet!$E$34*(1-SAP_Leadsheet!$E$35)*AT209,0))</f>
        <v>0</v>
      </c>
      <c r="AU222" s="263">
        <f>IF(AU7&gt;SAP_Leadsheet!$E$21,0,IF(OR(AU7=1,AU7=13,AU7=25,AU7=37,AU7=49),AU11*SAP_Leadsheet!$E$34*(1-SAP_Leadsheet!$E$35)*AU209,0))</f>
        <v>0</v>
      </c>
      <c r="AV222" s="263">
        <f>IF(AV7&gt;SAP_Leadsheet!$E$21,0,IF(OR(AV7=1,AV7=13,AV7=25,AV7=37,AV7=49),AV11*SAP_Leadsheet!$E$34*(1-SAP_Leadsheet!$E$35)*AV209,0))</f>
        <v>0</v>
      </c>
      <c r="AW222" s="263">
        <f>IF(AW7&gt;SAP_Leadsheet!$E$21,0,IF(OR(AW7=1,AW7=13,AW7=25,AW7=37,AW7=49),AW11*SAP_Leadsheet!$E$34*(1-SAP_Leadsheet!$E$35)*AW209,0))</f>
        <v>0</v>
      </c>
      <c r="AX222" s="263">
        <f>IF(AX7&gt;SAP_Leadsheet!$E$21,0,IF(OR(AX7=1,AX7=13,AX7=25,AX7=37,AX7=49),AX11*SAP_Leadsheet!$E$34*(1-SAP_Leadsheet!$E$35)*AX209,0))</f>
        <v>0</v>
      </c>
      <c r="AY222" s="263">
        <f>IF(AY7&gt;SAP_Leadsheet!$E$21,0,IF(OR(AY7=1,AY7=13,AY7=25,AY7=37,AY7=49),AY11*SAP_Leadsheet!$E$34*(1-SAP_Leadsheet!$E$35)*AY209,0))</f>
        <v>0</v>
      </c>
      <c r="AZ222" s="263">
        <f>IF(AZ7&gt;SAP_Leadsheet!$E$21,0,IF(OR(AZ7=1,AZ7=13,AZ7=25,AZ7=37,AZ7=49),AZ11*SAP_Leadsheet!$E$34*(1-SAP_Leadsheet!$E$35)*AZ209,0))</f>
        <v>0</v>
      </c>
      <c r="BA222" s="263">
        <f>IF(BA7&gt;SAP_Leadsheet!$E$21,0,IF(OR(BA7=1,BA7=13,BA7=25,BA7=37,BA7=49),BA11*SAP_Leadsheet!$E$34*(1-SAP_Leadsheet!$E$35)*BA209,0))</f>
        <v>0</v>
      </c>
      <c r="BB222" s="263">
        <f>IF(BB7&gt;SAP_Leadsheet!$E$21,0,IF(OR(BB7=1,BB7=13,BB7=25,BB7=37,BB7=49),BB11*SAP_Leadsheet!$E$34*(1-SAP_Leadsheet!$E$35)*BB209,0))</f>
        <v>0</v>
      </c>
      <c r="BC222" s="263">
        <f ca="1">IF(BC7&gt;SAP_Leadsheet!$E$21,0,IF(OR(BC7=1,BC7=13,BC7=25,BC7=37,BC7=49),BC11*SAP_Leadsheet!$E$34*(1-SAP_Leadsheet!$E$35)*BC209,0))</f>
        <v>0</v>
      </c>
      <c r="BD222" s="263">
        <f>IF(BD7&gt;SAP_Leadsheet!$E$21,0,IF(OR(BD7=1,BD7=13,BD7=25,BD7=37,BD7=49),BD11*SAP_Leadsheet!$E$34*(1-SAP_Leadsheet!$E$35)*BD209,0))</f>
        <v>0</v>
      </c>
      <c r="BE222" s="263">
        <f>IF(BE7&gt;SAP_Leadsheet!$E$21,0,IF(OR(BE7=1,BE7=13,BE7=25,BE7=37,BE7=49),BE11*SAP_Leadsheet!$E$34*(1-SAP_Leadsheet!$E$35)*BE209,0))</f>
        <v>0</v>
      </c>
      <c r="BF222" s="263">
        <f>IF(BF7&gt;SAP_Leadsheet!$E$21,0,IF(OR(BF7=1,BF7=13,BF7=25,BF7=37,BF7=49),BF11*SAP_Leadsheet!$E$34*(1-SAP_Leadsheet!$E$35)*BF209,0))</f>
        <v>0</v>
      </c>
      <c r="BG222" s="263">
        <f>IF(BG7&gt;SAP_Leadsheet!$E$21,0,IF(OR(BG7=1,BG7=13,BG7=25,BG7=37,BG7=49),BG11*SAP_Leadsheet!$E$34*(1-SAP_Leadsheet!$E$35)*BG209,0))</f>
        <v>0</v>
      </c>
      <c r="BH222" s="263">
        <f>IF(BH7&gt;SAP_Leadsheet!$E$21,0,IF(OR(BH7=1,BH7=13,BH7=25,BH7=37,BH7=49),BH11*SAP_Leadsheet!$E$34*(1-SAP_Leadsheet!$E$35)*BH209,0))</f>
        <v>0</v>
      </c>
      <c r="BI222" s="263">
        <f>IF(BI7&gt;SAP_Leadsheet!$E$21,0,IF(OR(BI7=1,BI7=13,BI7=25,BI7=37,BI7=49),BI11*SAP_Leadsheet!$E$34*(1-SAP_Leadsheet!$E$35)*BI209,0))</f>
        <v>0</v>
      </c>
      <c r="BJ222" s="263">
        <f>IF(BJ7&gt;SAP_Leadsheet!$E$21,0,IF(OR(BJ7=1,BJ7=13,BJ7=25,BJ7=37,BJ7=49),BJ11*SAP_Leadsheet!$E$34*(1-SAP_Leadsheet!$E$35)*BJ209,0))</f>
        <v>0</v>
      </c>
      <c r="BK222" s="263">
        <f>IF(BK7&gt;SAP_Leadsheet!$E$21,0,IF(OR(BK7=1,BK7=13,BK7=25,BK7=37,BK7=49),BK11*SAP_Leadsheet!$E$34*(1-SAP_Leadsheet!$E$35)*BK209,0))</f>
        <v>0</v>
      </c>
      <c r="BL222" s="263">
        <f>IF(BL7&gt;SAP_Leadsheet!$E$21,0,IF(OR(BL7=1,BL7=13,BL7=25,BL7=37,BL7=49),BL11*SAP_Leadsheet!$E$34*(1-SAP_Leadsheet!$E$35)*BL209,0))</f>
        <v>0</v>
      </c>
      <c r="BM222" s="263">
        <f>IF(BM7&gt;SAP_Leadsheet!$E$21,0,IF(OR(BM7=1,BM7=13,BM7=25,BM7=37,BM7=49),BM11*SAP_Leadsheet!$E$34*(1-SAP_Leadsheet!$E$35)*BM209,0))</f>
        <v>0</v>
      </c>
      <c r="BN222" s="263">
        <f>IF(BN7&gt;SAP_Leadsheet!$E$21,0,IF(OR(BN7=1,BN7=13,BN7=25,BN7=37,BN7=49),BN11*SAP_Leadsheet!$E$34*(1-SAP_Leadsheet!$E$35)*BN209,0))</f>
        <v>0</v>
      </c>
      <c r="BO222" s="263"/>
      <c r="BP222" s="263"/>
      <c r="BQ222" s="263"/>
      <c r="BR222" s="263"/>
      <c r="BS222" s="263"/>
      <c r="BT222" s="263"/>
      <c r="BU222" s="263"/>
      <c r="BV222" s="263"/>
      <c r="BW222" s="263"/>
      <c r="BX222" s="263"/>
      <c r="BY222" s="263"/>
      <c r="BZ222" s="263"/>
      <c r="CA222" s="263"/>
      <c r="CB222" s="263"/>
      <c r="CC222" s="263"/>
      <c r="CD222" s="263"/>
      <c r="CE222" s="263"/>
      <c r="CF222" s="263"/>
      <c r="CG222" s="263"/>
      <c r="CH222" s="263"/>
      <c r="CI222" s="263"/>
      <c r="CJ222" s="263"/>
      <c r="CK222" s="263"/>
      <c r="CL222" s="263"/>
      <c r="CM222" s="263"/>
      <c r="CN222" s="263"/>
      <c r="CO222" s="263"/>
      <c r="CP222" s="263"/>
      <c r="CQ222" s="263"/>
      <c r="CR222" s="263"/>
      <c r="CS222" s="263"/>
      <c r="CT222" s="263"/>
      <c r="CU222" s="263"/>
      <c r="CV222" s="263"/>
      <c r="CW222" s="263"/>
      <c r="CX222" s="263"/>
      <c r="CY222" s="263"/>
      <c r="CZ222" s="263"/>
      <c r="DA222" s="263"/>
      <c r="DB222" s="263"/>
      <c r="DC222" s="263"/>
      <c r="DD222" s="263"/>
      <c r="DE222" s="263"/>
      <c r="DF222" s="263"/>
      <c r="DG222" s="263"/>
      <c r="DH222" s="263"/>
      <c r="DI222" s="263"/>
      <c r="DJ222" s="263"/>
      <c r="DK222" s="263"/>
      <c r="DL222" s="263"/>
      <c r="DM222" s="263"/>
      <c r="DN222" s="263"/>
      <c r="DO222" s="263"/>
      <c r="DP222" s="263"/>
      <c r="DQ222" s="263"/>
      <c r="DR222" s="263"/>
      <c r="DS222" s="263"/>
      <c r="DT222" s="263"/>
      <c r="DU222" s="263"/>
      <c r="DV222" s="263"/>
      <c r="DW222" s="263"/>
      <c r="DX222" s="263"/>
      <c r="DY222" s="263"/>
      <c r="DZ222" s="263"/>
      <c r="EA222" s="263"/>
      <c r="EB222" s="263"/>
      <c r="EC222" s="263"/>
      <c r="ED222" s="263"/>
      <c r="EE222" s="263"/>
      <c r="EF222" s="263"/>
      <c r="EG222" s="263"/>
      <c r="EH222" s="263"/>
      <c r="EI222" s="263"/>
      <c r="EJ222" s="263"/>
      <c r="EK222" s="263"/>
      <c r="EL222" s="263"/>
      <c r="EM222" s="263"/>
      <c r="EN222" s="263"/>
      <c r="EO222" s="263"/>
      <c r="EP222" s="263"/>
      <c r="EQ222" s="263"/>
      <c r="ER222" s="263"/>
      <c r="ES222" s="263"/>
      <c r="ET222" s="263"/>
      <c r="EU222" s="263"/>
      <c r="EV222" s="263"/>
      <c r="EW222" s="263"/>
      <c r="EX222" s="263"/>
      <c r="EY222" s="263"/>
      <c r="EZ222" s="263"/>
      <c r="FA222" s="263"/>
      <c r="FB222" s="263"/>
      <c r="FC222" s="263"/>
      <c r="FD222" s="263"/>
      <c r="FE222" s="263"/>
      <c r="FF222" s="263"/>
      <c r="FG222" s="263"/>
      <c r="FH222" s="263"/>
      <c r="FI222" s="263"/>
      <c r="FJ222" s="263"/>
      <c r="FK222" s="263"/>
      <c r="FL222" s="263"/>
      <c r="FM222" s="263"/>
      <c r="FN222" s="263"/>
      <c r="FO222" s="263"/>
      <c r="FP222" s="263"/>
      <c r="FQ222" s="263"/>
      <c r="FR222" s="263"/>
      <c r="FS222" s="263"/>
      <c r="FT222" s="263"/>
      <c r="FU222" s="263"/>
      <c r="FV222" s="263"/>
      <c r="FW222" s="263"/>
      <c r="FX222" s="263"/>
      <c r="FY222" s="263"/>
      <c r="FZ222" s="263"/>
      <c r="GA222" s="263"/>
      <c r="GB222" s="263"/>
      <c r="GC222" s="263"/>
      <c r="GD222" s="263"/>
      <c r="GE222" s="263"/>
      <c r="GF222" s="263"/>
      <c r="GG222" s="263"/>
      <c r="GH222" s="263"/>
      <c r="GI222" s="263"/>
      <c r="GJ222" s="263"/>
      <c r="GK222" s="263"/>
      <c r="GL222" s="263"/>
      <c r="GM222" s="263"/>
      <c r="GN222" s="263"/>
      <c r="GO222" s="263"/>
      <c r="GP222" s="263"/>
      <c r="GQ222" s="263"/>
      <c r="GR222" s="263"/>
      <c r="GS222" s="263"/>
      <c r="GT222" s="263"/>
      <c r="GU222" s="263"/>
      <c r="GV222" s="263"/>
      <c r="GW222" s="263"/>
      <c r="GX222" s="263"/>
      <c r="GY222" s="263"/>
    </row>
    <row r="223" spans="1:207" s="266" customFormat="1" x14ac:dyDescent="0.15">
      <c r="A223" s="265"/>
      <c r="D223" s="290" t="s">
        <v>64</v>
      </c>
      <c r="F223" s="26" t="s">
        <v>341</v>
      </c>
      <c r="G223" s="291">
        <f ca="1">IF(G6&gt;SAP_Leadsheet!$E$21,0,G11*SAP_Leadsheet!$E$36*G209)</f>
        <v>2.1423833117056562E-2</v>
      </c>
      <c r="H223" s="291">
        <f ca="1">IF(H6&gt;SAP_Leadsheet!$E$21,0,H11*SAP_Leadsheet!$E$36*H209)</f>
        <v>2.0633967584050481E-2</v>
      </c>
      <c r="I223" s="291">
        <f ca="1">IF(I6&gt;SAP_Leadsheet!$E$21,0,I11*SAP_Leadsheet!$E$36*I209)</f>
        <v>1.9327375819850137E-2</v>
      </c>
      <c r="J223" s="291">
        <f ca="1">IF(J6&gt;SAP_Leadsheet!$E$21,0,J11*SAP_Leadsheet!$E$36*J209)</f>
        <v>1.7766444485974548E-2</v>
      </c>
      <c r="K223" s="291">
        <f ca="1">IF(K6&gt;SAP_Leadsheet!$E$21,0,K11*SAP_Leadsheet!$E$36*K209)</f>
        <v>1.6082897669578728E-2</v>
      </c>
      <c r="L223" s="291">
        <f ca="1">IF(L6&gt;SAP_Leadsheet!$E$21,0,L11*SAP_Leadsheet!$E$36*L209)</f>
        <v>1.438322178606662E-2</v>
      </c>
      <c r="M223" s="291">
        <f ca="1">IF(M6&gt;SAP_Leadsheet!$E$21,0,M11*SAP_Leadsheet!$E$36*M209)</f>
        <v>1.2649618647170588E-2</v>
      </c>
      <c r="N223" s="291">
        <f ca="1">IF(N6&gt;SAP_Leadsheet!$E$21,0,N11*SAP_Leadsheet!$E$36*N209)</f>
        <v>1.1077546359686417E-2</v>
      </c>
      <c r="O223" s="291">
        <f ca="1">IF(O6&gt;SAP_Leadsheet!$E$21,0,O11*SAP_Leadsheet!$E$36*O209)</f>
        <v>9.972376185845875E-3</v>
      </c>
      <c r="P223" s="291">
        <f ca="1">IF(P6&gt;SAP_Leadsheet!$E$21,0,P11*SAP_Leadsheet!$E$36*P209)</f>
        <v>9.2091436378193819E-3</v>
      </c>
      <c r="Q223" s="291">
        <f ca="1">IF(Q6&gt;SAP_Leadsheet!$E$21,0,Q11*SAP_Leadsheet!$E$36*Q209)</f>
        <v>8.6897571260492554E-3</v>
      </c>
      <c r="R223" s="291">
        <f ca="1">IF(R6&gt;SAP_Leadsheet!$E$21,0,R11*SAP_Leadsheet!$E$36*R209)</f>
        <v>8.3381354626621707E-3</v>
      </c>
      <c r="S223" s="291">
        <f ca="1">IF(S6&gt;SAP_Leadsheet!$E$21,0,S11*SAP_Leadsheet!$E$36*S209)</f>
        <v>8.5278423540829547E-3</v>
      </c>
      <c r="T223" s="291">
        <f ca="1">IF(T6&gt;SAP_Leadsheet!$E$21,0,T11*SAP_Leadsheet!$E$36*T209)</f>
        <v>9.1569673598608705E-3</v>
      </c>
      <c r="U223" s="291">
        <f ca="1">IF(U6&gt;SAP_Leadsheet!$E$21,0,U11*SAP_Leadsheet!$E$36*U209)</f>
        <v>9.3997634560655744E-3</v>
      </c>
      <c r="V223" s="291">
        <f ca="1">IF(V6&gt;SAP_Leadsheet!$E$21,0,V11*SAP_Leadsheet!$E$36*V209)</f>
        <v>9.3830753917184904E-3</v>
      </c>
      <c r="W223" s="291">
        <f ca="1">IF(W6&gt;SAP_Leadsheet!$E$21,0,W11*SAP_Leadsheet!$E$36*W209)</f>
        <v>9.391693587400966E-3</v>
      </c>
      <c r="X223" s="291">
        <f ca="1">IF(X6&gt;SAP_Leadsheet!$E$21,0,X11*SAP_Leadsheet!$E$36*X209)</f>
        <v>9.3554987822671611E-3</v>
      </c>
      <c r="Y223" s="291">
        <f ca="1">IF(Y6&gt;SAP_Leadsheet!$E$21,0,Y11*SAP_Leadsheet!$E$36*Y209)</f>
        <v>9.2350577707239132E-3</v>
      </c>
      <c r="Z223" s="291">
        <f ca="1">IF(Z6&gt;SAP_Leadsheet!$E$21,0,Z11*SAP_Leadsheet!$E$36*Z209)</f>
        <v>8.928069653858773E-3</v>
      </c>
      <c r="AA223" s="291">
        <f ca="1">IF(AA6&gt;SAP_Leadsheet!$E$21,0,AA11*SAP_Leadsheet!$E$36*AA209)</f>
        <v>8.6046254722774041E-3</v>
      </c>
      <c r="AB223" s="291">
        <f ca="1">IF(AB6&gt;SAP_Leadsheet!$E$21,0,AB11*SAP_Leadsheet!$E$36*AB209)</f>
        <v>8.2918391375599223E-3</v>
      </c>
      <c r="AC223" s="291">
        <f ca="1">IF(AC6&gt;SAP_Leadsheet!$E$21,0,AC11*SAP_Leadsheet!$E$36*AC209)</f>
        <v>8.0281940242909276E-3</v>
      </c>
      <c r="AD223" s="291">
        <f ca="1">IF(AD6&gt;SAP_Leadsheet!$E$21,0,AD11*SAP_Leadsheet!$E$36*AD209)</f>
        <v>7.7149567228611601E-3</v>
      </c>
      <c r="AE223" s="291">
        <f ca="1">IF(AE6&gt;SAP_Leadsheet!$E$21,0,AE11*SAP_Leadsheet!$E$36*AE209)</f>
        <v>7.5820482445609844E-3</v>
      </c>
      <c r="AF223" s="291">
        <f ca="1">IF(AF6&gt;SAP_Leadsheet!$E$21,0,AF11*SAP_Leadsheet!$E$36*AF209)</f>
        <v>7.5295172625807101E-3</v>
      </c>
      <c r="AG223" s="291">
        <f ca="1">IF(AG6&gt;SAP_Leadsheet!$E$21,0,AG11*SAP_Leadsheet!$E$36*AG209)</f>
        <v>7.4430958449417306E-3</v>
      </c>
      <c r="AH223" s="291">
        <f ca="1">IF(AH6&gt;SAP_Leadsheet!$E$21,0,AH11*SAP_Leadsheet!$E$36*AH209)</f>
        <v>7.3175598412754932E-3</v>
      </c>
      <c r="AI223" s="291">
        <f ca="1">IF(AI6&gt;SAP_Leadsheet!$E$21,0,AI11*SAP_Leadsheet!$E$36*AI209)</f>
        <v>7.1642161543680168E-3</v>
      </c>
      <c r="AJ223" s="291">
        <f ca="1">IF(AJ6&gt;SAP_Leadsheet!$E$21,0,AJ11*SAP_Leadsheet!$E$36*AJ209)</f>
        <v>6.9938138118028426E-3</v>
      </c>
      <c r="AK223" s="291">
        <f ca="1">IF(AK6&gt;SAP_Leadsheet!$E$21,0,AK11*SAP_Leadsheet!$E$36*AK209)</f>
        <v>6.8198446961895169E-3</v>
      </c>
      <c r="AL223" s="291">
        <f ca="1">IF(AL6&gt;SAP_Leadsheet!$E$21,0,AL11*SAP_Leadsheet!$E$36*AL209)</f>
        <v>6.6494768310915737E-3</v>
      </c>
      <c r="AM223" s="291">
        <f ca="1">IF(AM6&gt;SAP_Leadsheet!$E$21,0,AM11*SAP_Leadsheet!$E$36*AM209)</f>
        <v>6.4575031957508303E-3</v>
      </c>
      <c r="AN223" s="291">
        <f ca="1">IF(AN6&gt;SAP_Leadsheet!$E$21,0,AN11*SAP_Leadsheet!$E$36*AN209)</f>
        <v>6.263453228618065E-3</v>
      </c>
      <c r="AO223" s="291">
        <f ca="1">IF(AO6&gt;SAP_Leadsheet!$E$21,0,AO11*SAP_Leadsheet!$E$36*AO209)</f>
        <v>6.0798275281315727E-3</v>
      </c>
      <c r="AP223" s="291">
        <f ca="1">IF(AP6&gt;SAP_Leadsheet!$E$21,0,AP11*SAP_Leadsheet!$E$36*AP209)</f>
        <v>5.9063300347815427E-3</v>
      </c>
      <c r="AQ223" s="291">
        <f ca="1">IF(AQ6&gt;SAP_Leadsheet!$E$21,0,AQ11*SAP_Leadsheet!$E$36*AQ209)</f>
        <v>5.7855084285897938E-3</v>
      </c>
      <c r="AR223" s="291">
        <f ca="1">IF(AR6&gt;SAP_Leadsheet!$E$21,0,AR11*SAP_Leadsheet!$E$36*AR209)</f>
        <v>5.6920644871490539E-3</v>
      </c>
      <c r="AS223" s="291">
        <f ca="1">IF(AS6&gt;SAP_Leadsheet!$E$21,0,AS11*SAP_Leadsheet!$E$36*AS209)</f>
        <v>5.5961337120800482E-3</v>
      </c>
      <c r="AT223" s="291">
        <f ca="1">IF(AT6&gt;SAP_Leadsheet!$E$21,0,AT11*SAP_Leadsheet!$E$36*AT209)</f>
        <v>5.5016099749142493E-3</v>
      </c>
      <c r="AU223" s="291">
        <f ca="1">IF(AU6&gt;SAP_Leadsheet!$E$21,0,AU11*SAP_Leadsheet!$E$36*AU209)</f>
        <v>5.4040952221315703E-3</v>
      </c>
      <c r="AV223" s="291">
        <f ca="1">IF(AV6&gt;SAP_Leadsheet!$E$21,0,AV11*SAP_Leadsheet!$E$36*AV209)</f>
        <v>5.3025079612837528E-3</v>
      </c>
      <c r="AW223" s="291">
        <f ca="1">IF(AW6&gt;SAP_Leadsheet!$E$21,0,AW11*SAP_Leadsheet!$E$36*AW209)</f>
        <v>5.1932244677949215E-3</v>
      </c>
      <c r="AX223" s="291">
        <f ca="1">IF(AX6&gt;SAP_Leadsheet!$E$21,0,AX11*SAP_Leadsheet!$E$36*AX209)</f>
        <v>5.0639991533818944E-3</v>
      </c>
      <c r="AY223" s="291">
        <f ca="1">IF(AY6&gt;SAP_Leadsheet!$E$21,0,AY11*SAP_Leadsheet!$E$36*AY209)</f>
        <v>4.9335722279285872E-3</v>
      </c>
      <c r="AZ223" s="291">
        <f ca="1">IF(AZ6&gt;SAP_Leadsheet!$E$21,0,AZ11*SAP_Leadsheet!$E$36*AZ209)</f>
        <v>4.8019897483520604E-3</v>
      </c>
      <c r="BA223" s="291">
        <f ca="1">IF(BA6&gt;SAP_Leadsheet!$E$21,0,BA11*SAP_Leadsheet!$E$36*BA209)</f>
        <v>4.6698819268758737E-3</v>
      </c>
      <c r="BB223" s="291">
        <f ca="1">IF(BB6&gt;SAP_Leadsheet!$E$21,0,BB11*SAP_Leadsheet!$E$36*BB209)</f>
        <v>4.5378702655290461E-3</v>
      </c>
      <c r="BC223" s="291">
        <f ca="1">IF(BC6&gt;SAP_Leadsheet!$E$21,0,BC11*SAP_Leadsheet!$E$36*BC209)</f>
        <v>4.414912704947321E-3</v>
      </c>
      <c r="BD223" s="291">
        <f ca="1">IF(BD6&gt;SAP_Leadsheet!$E$21,0,BD11*SAP_Leadsheet!$E$36*BD209)</f>
        <v>4.3035099054031228E-3</v>
      </c>
      <c r="BE223" s="291">
        <f ca="1">IF(BE6&gt;SAP_Leadsheet!$E$21,0,BE11*SAP_Leadsheet!$E$36*BE209)</f>
        <v>4.1912205851383916E-3</v>
      </c>
      <c r="BF223" s="291">
        <f ca="1">IF(BF6&gt;SAP_Leadsheet!$E$21,0,BF11*SAP_Leadsheet!$E$36*BF209)</f>
        <v>4.0785066443523353E-3</v>
      </c>
      <c r="BG223" s="291">
        <f ca="1">IF(BG6&gt;SAP_Leadsheet!$E$21,0,BG11*SAP_Leadsheet!$E$36*BG209)</f>
        <v>3.9655794636860387E-3</v>
      </c>
      <c r="BH223" s="291">
        <f ca="1">IF(BH6&gt;SAP_Leadsheet!$E$21,0,BH11*SAP_Leadsheet!$E$36*BH209)</f>
        <v>3.8522368667477714E-3</v>
      </c>
      <c r="BI223" s="291">
        <f ca="1">IF(BI6&gt;SAP_Leadsheet!$E$21,0,BI11*SAP_Leadsheet!$E$36*BI209)</f>
        <v>3.738352780050482E-3</v>
      </c>
      <c r="BJ223" s="291">
        <f ca="1">IF(BJ6&gt;SAP_Leadsheet!$E$21,0,BJ11*SAP_Leadsheet!$E$36*BJ209)</f>
        <v>3.6159828326068301E-3</v>
      </c>
      <c r="BK223" s="291">
        <f ca="1">IF(BK6&gt;SAP_Leadsheet!$E$21,0,BK11*SAP_Leadsheet!$E$36*BK209)</f>
        <v>3.4934507289802546E-3</v>
      </c>
      <c r="BL223" s="291">
        <f ca="1">IF(BL6&gt;SAP_Leadsheet!$E$21,0,BL11*SAP_Leadsheet!$E$36*BL209)</f>
        <v>3.3705661677985643E-3</v>
      </c>
      <c r="BM223" s="291">
        <f ca="1">IF(BM6&gt;SAP_Leadsheet!$E$21,0,BM11*SAP_Leadsheet!$E$36*BM209)</f>
        <v>3.2474519913665784E-3</v>
      </c>
      <c r="BN223" s="291">
        <f ca="1">IF(BN6&gt;SAP_Leadsheet!$E$21,0,BN11*SAP_Leadsheet!$E$36*BN209)</f>
        <v>3.1242998801307605E-3</v>
      </c>
      <c r="BO223" s="263"/>
      <c r="BP223" s="263"/>
      <c r="BQ223" s="263"/>
      <c r="BR223" s="263"/>
      <c r="BS223" s="263"/>
      <c r="BT223" s="263"/>
      <c r="BU223" s="263"/>
      <c r="BV223" s="263"/>
      <c r="BW223" s="263"/>
      <c r="BX223" s="263"/>
      <c r="BY223" s="263"/>
      <c r="BZ223" s="263"/>
      <c r="CA223" s="263"/>
      <c r="CB223" s="263"/>
      <c r="CC223" s="263"/>
      <c r="CD223" s="263"/>
      <c r="CE223" s="263"/>
      <c r="CF223" s="263"/>
      <c r="CG223" s="263"/>
      <c r="CH223" s="263"/>
      <c r="CI223" s="263"/>
      <c r="CJ223" s="263"/>
      <c r="CK223" s="263"/>
      <c r="CL223" s="263"/>
      <c r="CM223" s="263"/>
      <c r="CN223" s="263"/>
      <c r="CO223" s="263"/>
      <c r="CP223" s="263"/>
      <c r="CQ223" s="263"/>
      <c r="CR223" s="263"/>
      <c r="CS223" s="263"/>
      <c r="CT223" s="263"/>
      <c r="CU223" s="263"/>
      <c r="CV223" s="263"/>
      <c r="CW223" s="263"/>
      <c r="CX223" s="263"/>
      <c r="CY223" s="263"/>
      <c r="CZ223" s="263"/>
      <c r="DA223" s="263"/>
      <c r="DB223" s="263"/>
      <c r="DC223" s="263"/>
      <c r="DD223" s="263"/>
      <c r="DE223" s="263"/>
      <c r="DF223" s="263"/>
      <c r="DG223" s="263"/>
      <c r="DH223" s="263"/>
      <c r="DI223" s="263"/>
      <c r="DJ223" s="263"/>
      <c r="DK223" s="263"/>
      <c r="DL223" s="263"/>
      <c r="DM223" s="263"/>
      <c r="DN223" s="263"/>
      <c r="DO223" s="263"/>
      <c r="DP223" s="263"/>
      <c r="DQ223" s="263"/>
      <c r="DR223" s="263"/>
      <c r="DS223" s="263"/>
      <c r="DT223" s="263"/>
      <c r="DU223" s="263"/>
      <c r="DV223" s="263"/>
      <c r="DW223" s="263"/>
      <c r="DX223" s="263"/>
      <c r="DY223" s="263"/>
      <c r="DZ223" s="263"/>
      <c r="EA223" s="263"/>
      <c r="EB223" s="263"/>
      <c r="EC223" s="263"/>
      <c r="ED223" s="263"/>
      <c r="EE223" s="263"/>
      <c r="EF223" s="263"/>
      <c r="EG223" s="263"/>
      <c r="EH223" s="263"/>
      <c r="EI223" s="263"/>
      <c r="EJ223" s="263"/>
      <c r="EK223" s="263"/>
      <c r="EL223" s="263"/>
      <c r="EM223" s="263"/>
      <c r="EN223" s="263"/>
      <c r="EO223" s="263"/>
      <c r="EP223" s="263"/>
      <c r="EQ223" s="263"/>
      <c r="ER223" s="263"/>
      <c r="ES223" s="263"/>
      <c r="ET223" s="263"/>
      <c r="EU223" s="263"/>
      <c r="EV223" s="263"/>
      <c r="EW223" s="263"/>
      <c r="EX223" s="263"/>
      <c r="EY223" s="263"/>
      <c r="EZ223" s="263"/>
      <c r="FA223" s="263"/>
      <c r="FB223" s="263"/>
      <c r="FC223" s="263"/>
      <c r="FD223" s="263"/>
      <c r="FE223" s="263"/>
      <c r="FF223" s="263"/>
      <c r="FG223" s="263"/>
      <c r="FH223" s="263"/>
      <c r="FI223" s="263"/>
      <c r="FJ223" s="263"/>
      <c r="FK223" s="263"/>
      <c r="FL223" s="263"/>
      <c r="FM223" s="263"/>
      <c r="FN223" s="263"/>
      <c r="FO223" s="263"/>
      <c r="FP223" s="263"/>
      <c r="FQ223" s="263"/>
      <c r="FR223" s="263"/>
      <c r="FS223" s="263"/>
      <c r="FT223" s="263"/>
      <c r="FU223" s="263"/>
      <c r="FV223" s="263"/>
      <c r="FW223" s="263"/>
      <c r="FX223" s="263"/>
      <c r="FY223" s="263"/>
      <c r="FZ223" s="263"/>
      <c r="GA223" s="263"/>
      <c r="GB223" s="263"/>
      <c r="GC223" s="263"/>
      <c r="GD223" s="263"/>
      <c r="GE223" s="263"/>
      <c r="GF223" s="263"/>
      <c r="GG223" s="263"/>
      <c r="GH223" s="263"/>
      <c r="GI223" s="263"/>
      <c r="GJ223" s="263"/>
      <c r="GK223" s="263"/>
      <c r="GL223" s="263"/>
      <c r="GM223" s="263"/>
      <c r="GN223" s="263"/>
      <c r="GO223" s="263"/>
      <c r="GP223" s="263"/>
      <c r="GQ223" s="263"/>
      <c r="GR223" s="263"/>
      <c r="GS223" s="263"/>
      <c r="GT223" s="263"/>
      <c r="GU223" s="263"/>
      <c r="GV223" s="263"/>
      <c r="GW223" s="263"/>
      <c r="GX223" s="263"/>
      <c r="GY223" s="263"/>
    </row>
    <row r="224" spans="1:207" x14ac:dyDescent="0.15">
      <c r="D224" s="26" t="s">
        <v>202</v>
      </c>
      <c r="F224" s="26" t="s">
        <v>341</v>
      </c>
      <c r="G224" s="263">
        <f ca="1">IF(G7&gt;SAP_Leadsheet!$E$21,0,SAP_Leadsheet!$E$37*G24*(1-SAP_Leadsheet!$E$103))</f>
        <v>0</v>
      </c>
      <c r="H224" s="263">
        <f ca="1">IF(H7&gt;SAP_Leadsheet!$E$21,0,SAP_Leadsheet!$E$37*H24*(1-SAP_Leadsheet!$E$103))</f>
        <v>0</v>
      </c>
      <c r="I224" s="263">
        <f ca="1">IF(I7&gt;SAP_Leadsheet!$E$21,0,SAP_Leadsheet!$E$37*I24*(1-SAP_Leadsheet!$E$103))</f>
        <v>0</v>
      </c>
      <c r="J224" s="263">
        <f ca="1">IF(J7&gt;SAP_Leadsheet!$E$21,0,SAP_Leadsheet!$E$37*J24*(1-SAP_Leadsheet!$E$103))</f>
        <v>0</v>
      </c>
      <c r="K224" s="263">
        <f ca="1">IF(K7&gt;SAP_Leadsheet!$E$21,0,SAP_Leadsheet!$E$37*K24*(1-SAP_Leadsheet!$E$103))</f>
        <v>0</v>
      </c>
      <c r="L224" s="263">
        <f ca="1">IF(L7&gt;SAP_Leadsheet!$E$21,0,SAP_Leadsheet!$E$37*L24*(1-SAP_Leadsheet!$E$103))</f>
        <v>0</v>
      </c>
      <c r="M224" s="263">
        <f ca="1">IF(M7&gt;SAP_Leadsheet!$E$21,0,SAP_Leadsheet!$E$37*M24*(1-SAP_Leadsheet!$E$103))</f>
        <v>0</v>
      </c>
      <c r="N224" s="263">
        <f ca="1">IF(N7&gt;SAP_Leadsheet!$E$21,0,SAP_Leadsheet!$E$37*N24*(1-SAP_Leadsheet!$E$103))</f>
        <v>0</v>
      </c>
      <c r="O224" s="263">
        <f ca="1">IF(O7&gt;SAP_Leadsheet!$E$21,0,SAP_Leadsheet!$E$37*O24*(1-SAP_Leadsheet!$E$103))</f>
        <v>0</v>
      </c>
      <c r="P224" s="263">
        <f ca="1">IF(P7&gt;SAP_Leadsheet!$E$21,0,SAP_Leadsheet!$E$37*P24*(1-SAP_Leadsheet!$E$103))</f>
        <v>0</v>
      </c>
      <c r="Q224" s="263">
        <f ca="1">IF(Q7&gt;SAP_Leadsheet!$E$21,0,SAP_Leadsheet!$E$37*Q24*(1-SAP_Leadsheet!$E$103))</f>
        <v>0</v>
      </c>
      <c r="R224" s="263">
        <f ca="1">IF(R7&gt;SAP_Leadsheet!$E$21,0,SAP_Leadsheet!$E$37*R24*(1-SAP_Leadsheet!$E$103))</f>
        <v>0</v>
      </c>
      <c r="S224" s="263">
        <f ca="1">IF(S7&gt;SAP_Leadsheet!$E$21,0,SAP_Leadsheet!$E$37*S24*(1-SAP_Leadsheet!$E$103))</f>
        <v>0</v>
      </c>
      <c r="T224" s="263">
        <f ca="1">IF(T7&gt;SAP_Leadsheet!$E$21,0,SAP_Leadsheet!$E$37*T24*(1-SAP_Leadsheet!$E$103))</f>
        <v>0</v>
      </c>
      <c r="U224" s="263">
        <f ca="1">IF(U7&gt;SAP_Leadsheet!$E$21,0,SAP_Leadsheet!$E$37*U24*(1-SAP_Leadsheet!$E$103))</f>
        <v>0</v>
      </c>
      <c r="V224" s="263">
        <f ca="1">IF(V7&gt;SAP_Leadsheet!$E$21,0,SAP_Leadsheet!$E$37*V24*(1-SAP_Leadsheet!$E$103))</f>
        <v>0</v>
      </c>
      <c r="W224" s="263">
        <f ca="1">IF(W7&gt;SAP_Leadsheet!$E$21,0,SAP_Leadsheet!$E$37*W24*(1-SAP_Leadsheet!$E$103))</f>
        <v>0</v>
      </c>
      <c r="X224" s="263">
        <f ca="1">IF(X7&gt;SAP_Leadsheet!$E$21,0,SAP_Leadsheet!$E$37*X24*(1-SAP_Leadsheet!$E$103))</f>
        <v>0</v>
      </c>
      <c r="Y224" s="263">
        <f ca="1">IF(Y7&gt;SAP_Leadsheet!$E$21,0,SAP_Leadsheet!$E$37*Y24*(1-SAP_Leadsheet!$E$103))</f>
        <v>0</v>
      </c>
      <c r="Z224" s="263">
        <f ca="1">IF(Z7&gt;SAP_Leadsheet!$E$21,0,SAP_Leadsheet!$E$37*Z24*(1-SAP_Leadsheet!$E$103))</f>
        <v>0</v>
      </c>
      <c r="AA224" s="263">
        <f ca="1">IF(AA7&gt;SAP_Leadsheet!$E$21,0,SAP_Leadsheet!$E$37*AA24*(1-SAP_Leadsheet!$E$103))</f>
        <v>0</v>
      </c>
      <c r="AB224" s="263">
        <f ca="1">IF(AB7&gt;SAP_Leadsheet!$E$21,0,SAP_Leadsheet!$E$37*AB24*(1-SAP_Leadsheet!$E$103))</f>
        <v>0</v>
      </c>
      <c r="AC224" s="263">
        <f ca="1">IF(AC7&gt;SAP_Leadsheet!$E$21,0,SAP_Leadsheet!$E$37*AC24*(1-SAP_Leadsheet!$E$103))</f>
        <v>0</v>
      </c>
      <c r="AD224" s="263">
        <f ca="1">IF(AD7&gt;SAP_Leadsheet!$E$21,0,SAP_Leadsheet!$E$37*AD24*(1-SAP_Leadsheet!$E$103))</f>
        <v>0</v>
      </c>
      <c r="AE224" s="263">
        <f ca="1">IF(AE7&gt;SAP_Leadsheet!$E$21,0,SAP_Leadsheet!$E$37*AE24*(1-SAP_Leadsheet!$E$103))</f>
        <v>0</v>
      </c>
      <c r="AF224" s="263">
        <f ca="1">IF(AF7&gt;SAP_Leadsheet!$E$21,0,SAP_Leadsheet!$E$37*AF24*(1-SAP_Leadsheet!$E$103))</f>
        <v>0</v>
      </c>
      <c r="AG224" s="263">
        <f ca="1">IF(AG7&gt;SAP_Leadsheet!$E$21,0,SAP_Leadsheet!$E$37*AG24*(1-SAP_Leadsheet!$E$103))</f>
        <v>0</v>
      </c>
      <c r="AH224" s="263">
        <f ca="1">IF(AH7&gt;SAP_Leadsheet!$E$21,0,SAP_Leadsheet!$E$37*AH24*(1-SAP_Leadsheet!$E$103))</f>
        <v>0</v>
      </c>
      <c r="AI224" s="263">
        <f ca="1">IF(AI7&gt;SAP_Leadsheet!$E$21,0,SAP_Leadsheet!$E$37*AI24*(1-SAP_Leadsheet!$E$103))</f>
        <v>0</v>
      </c>
      <c r="AJ224" s="263">
        <f ca="1">IF(AJ7&gt;SAP_Leadsheet!$E$21,0,SAP_Leadsheet!$E$37*AJ24*(1-SAP_Leadsheet!$E$103))</f>
        <v>0</v>
      </c>
      <c r="AK224" s="263">
        <f ca="1">IF(AK7&gt;SAP_Leadsheet!$E$21,0,SAP_Leadsheet!$E$37*AK24*(1-SAP_Leadsheet!$E$103))</f>
        <v>0</v>
      </c>
      <c r="AL224" s="263">
        <f ca="1">IF(AL7&gt;SAP_Leadsheet!$E$21,0,SAP_Leadsheet!$E$37*AL24*(1-SAP_Leadsheet!$E$103))</f>
        <v>0</v>
      </c>
      <c r="AM224" s="263">
        <f ca="1">IF(AM7&gt;SAP_Leadsheet!$E$21,0,SAP_Leadsheet!$E$37*AM24*(1-SAP_Leadsheet!$E$103))</f>
        <v>0</v>
      </c>
      <c r="AN224" s="263">
        <f ca="1">IF(AN7&gt;SAP_Leadsheet!$E$21,0,SAP_Leadsheet!$E$37*AN24*(1-SAP_Leadsheet!$E$103))</f>
        <v>0</v>
      </c>
      <c r="AO224" s="263">
        <f ca="1">IF(AO7&gt;SAP_Leadsheet!$E$21,0,SAP_Leadsheet!$E$37*AO24*(1-SAP_Leadsheet!$E$103))</f>
        <v>0</v>
      </c>
      <c r="AP224" s="263">
        <f ca="1">IF(AP7&gt;SAP_Leadsheet!$E$21,0,SAP_Leadsheet!$E$37*AP24*(1-SAP_Leadsheet!$E$103))</f>
        <v>0</v>
      </c>
      <c r="AQ224" s="263">
        <f ca="1">IF(AQ7&gt;SAP_Leadsheet!$E$21,0,SAP_Leadsheet!$E$37*AQ24*(1-SAP_Leadsheet!$E$103))</f>
        <v>0</v>
      </c>
      <c r="AR224" s="263">
        <f ca="1">IF(AR7&gt;SAP_Leadsheet!$E$21,0,SAP_Leadsheet!$E$37*AR24*(1-SAP_Leadsheet!$E$103))</f>
        <v>0</v>
      </c>
      <c r="AS224" s="263">
        <f ca="1">IF(AS7&gt;SAP_Leadsheet!$E$21,0,SAP_Leadsheet!$E$37*AS24*(1-SAP_Leadsheet!$E$103))</f>
        <v>0</v>
      </c>
      <c r="AT224" s="263">
        <f ca="1">IF(AT7&gt;SAP_Leadsheet!$E$21,0,SAP_Leadsheet!$E$37*AT24*(1-SAP_Leadsheet!$E$103))</f>
        <v>0</v>
      </c>
      <c r="AU224" s="263">
        <f ca="1">IF(AU7&gt;SAP_Leadsheet!$E$21,0,SAP_Leadsheet!$E$37*AU24*(1-SAP_Leadsheet!$E$103))</f>
        <v>0</v>
      </c>
      <c r="AV224" s="263">
        <f ca="1">IF(AV7&gt;SAP_Leadsheet!$E$21,0,SAP_Leadsheet!$E$37*AV24*(1-SAP_Leadsheet!$E$103))</f>
        <v>0</v>
      </c>
      <c r="AW224" s="263">
        <f ca="1">IF(AW7&gt;SAP_Leadsheet!$E$21,0,SAP_Leadsheet!$E$37*AW24*(1-SAP_Leadsheet!$E$103))</f>
        <v>0</v>
      </c>
      <c r="AX224" s="263">
        <f ca="1">IF(AX7&gt;SAP_Leadsheet!$E$21,0,SAP_Leadsheet!$E$37*AX24*(1-SAP_Leadsheet!$E$103))</f>
        <v>0</v>
      </c>
      <c r="AY224" s="263">
        <f ca="1">IF(AY7&gt;SAP_Leadsheet!$E$21,0,SAP_Leadsheet!$E$37*AY24*(1-SAP_Leadsheet!$E$103))</f>
        <v>0</v>
      </c>
      <c r="AZ224" s="263">
        <f ca="1">IF(AZ7&gt;SAP_Leadsheet!$E$21,0,SAP_Leadsheet!$E$37*AZ24*(1-SAP_Leadsheet!$E$103))</f>
        <v>0</v>
      </c>
      <c r="BA224" s="263">
        <f ca="1">IF(BA7&gt;SAP_Leadsheet!$E$21,0,SAP_Leadsheet!$E$37*BA24*(1-SAP_Leadsheet!$E$103))</f>
        <v>0</v>
      </c>
      <c r="BB224" s="263">
        <f ca="1">IF(BB7&gt;SAP_Leadsheet!$E$21,0,SAP_Leadsheet!$E$37*BB24*(1-SAP_Leadsheet!$E$103))</f>
        <v>0</v>
      </c>
      <c r="BC224" s="263">
        <f ca="1">IF(BC7&gt;SAP_Leadsheet!$E$21,0,SAP_Leadsheet!$E$37*BC24*(1-SAP_Leadsheet!$E$103))</f>
        <v>0</v>
      </c>
      <c r="BD224" s="263">
        <f ca="1">IF(BD7&gt;SAP_Leadsheet!$E$21,0,SAP_Leadsheet!$E$37*BD24*(1-SAP_Leadsheet!$E$103))</f>
        <v>0</v>
      </c>
      <c r="BE224" s="263">
        <f ca="1">IF(BE7&gt;SAP_Leadsheet!$E$21,0,SAP_Leadsheet!$E$37*BE24*(1-SAP_Leadsheet!$E$103))</f>
        <v>0</v>
      </c>
      <c r="BF224" s="263">
        <f ca="1">IF(BF7&gt;SAP_Leadsheet!$E$21,0,SAP_Leadsheet!$E$37*BF24*(1-SAP_Leadsheet!$E$103))</f>
        <v>0</v>
      </c>
      <c r="BG224" s="263">
        <f ca="1">IF(BG7&gt;SAP_Leadsheet!$E$21,0,SAP_Leadsheet!$E$37*BG24*(1-SAP_Leadsheet!$E$103))</f>
        <v>0</v>
      </c>
      <c r="BH224" s="263">
        <f ca="1">IF(BH7&gt;SAP_Leadsheet!$E$21,0,SAP_Leadsheet!$E$37*BH24*(1-SAP_Leadsheet!$E$103))</f>
        <v>0</v>
      </c>
      <c r="BI224" s="263">
        <f ca="1">IF(BI7&gt;SAP_Leadsheet!$E$21,0,SAP_Leadsheet!$E$37*BI24*(1-SAP_Leadsheet!$E$103))</f>
        <v>0</v>
      </c>
      <c r="BJ224" s="263">
        <f ca="1">IF(BJ7&gt;SAP_Leadsheet!$E$21,0,SAP_Leadsheet!$E$37*BJ24*(1-SAP_Leadsheet!$E$103))</f>
        <v>0</v>
      </c>
      <c r="BK224" s="263">
        <f ca="1">IF(BK7&gt;SAP_Leadsheet!$E$21,0,SAP_Leadsheet!$E$37*BK24*(1-SAP_Leadsheet!$E$103))</f>
        <v>0</v>
      </c>
      <c r="BL224" s="263">
        <f ca="1">IF(BL7&gt;SAP_Leadsheet!$E$21,0,SAP_Leadsheet!$E$37*BL24*(1-SAP_Leadsheet!$E$103))</f>
        <v>0</v>
      </c>
      <c r="BM224" s="263">
        <f ca="1">IF(BM7&gt;SAP_Leadsheet!$E$21,0,SAP_Leadsheet!$E$37*BM24*(1-SAP_Leadsheet!$E$103))</f>
        <v>0</v>
      </c>
      <c r="BN224" s="263">
        <f ca="1">IF(BN7&gt;SAP_Leadsheet!$E$21,0,SAP_Leadsheet!$E$37*BN24*(1-SAP_Leadsheet!$E$103))</f>
        <v>0</v>
      </c>
      <c r="BO224" s="263"/>
      <c r="BP224" s="263"/>
      <c r="BQ224" s="263"/>
      <c r="BR224" s="263"/>
      <c r="BS224" s="263"/>
      <c r="BT224" s="263"/>
      <c r="BU224" s="263"/>
      <c r="BV224" s="263"/>
      <c r="BW224" s="263"/>
      <c r="BX224" s="263"/>
      <c r="BY224" s="263"/>
      <c r="BZ224" s="263"/>
      <c r="CA224" s="263"/>
      <c r="CB224" s="263"/>
      <c r="CC224" s="263"/>
      <c r="CD224" s="263"/>
      <c r="CE224" s="263"/>
      <c r="CF224" s="263"/>
      <c r="CG224" s="263"/>
      <c r="CH224" s="263"/>
      <c r="CI224" s="263"/>
      <c r="CJ224" s="263"/>
      <c r="CK224" s="263"/>
      <c r="CL224" s="263"/>
      <c r="CM224" s="263"/>
      <c r="CN224" s="263"/>
      <c r="CO224" s="263"/>
      <c r="CP224" s="263"/>
      <c r="CQ224" s="263"/>
      <c r="CR224" s="263"/>
      <c r="CS224" s="263"/>
      <c r="CT224" s="263"/>
      <c r="CU224" s="263"/>
      <c r="CV224" s="263"/>
      <c r="CW224" s="263"/>
      <c r="CX224" s="263"/>
      <c r="CY224" s="263"/>
      <c r="CZ224" s="263"/>
      <c r="DA224" s="263"/>
      <c r="DB224" s="263"/>
      <c r="DC224" s="263"/>
      <c r="DD224" s="263"/>
      <c r="DE224" s="263"/>
      <c r="DF224" s="263"/>
      <c r="DG224" s="263"/>
      <c r="DH224" s="263"/>
      <c r="DI224" s="263"/>
      <c r="DJ224" s="263"/>
      <c r="DK224" s="263"/>
      <c r="DL224" s="263"/>
      <c r="DM224" s="263"/>
      <c r="DN224" s="263"/>
      <c r="DO224" s="263"/>
      <c r="DP224" s="263"/>
      <c r="DQ224" s="263"/>
      <c r="DR224" s="263"/>
      <c r="DS224" s="263"/>
      <c r="DT224" s="263"/>
      <c r="DU224" s="263"/>
      <c r="DV224" s="263"/>
      <c r="DW224" s="263"/>
      <c r="DX224" s="263"/>
      <c r="DY224" s="263"/>
      <c r="DZ224" s="263"/>
      <c r="EA224" s="263"/>
      <c r="EB224" s="263"/>
      <c r="EC224" s="263"/>
      <c r="ED224" s="263"/>
      <c r="EE224" s="263"/>
      <c r="EF224" s="263"/>
      <c r="EG224" s="263"/>
      <c r="EH224" s="263"/>
      <c r="EI224" s="263"/>
      <c r="EJ224" s="263"/>
      <c r="EK224" s="263"/>
      <c r="EL224" s="263"/>
      <c r="EM224" s="263"/>
      <c r="EN224" s="263"/>
      <c r="EO224" s="263"/>
      <c r="EP224" s="263"/>
      <c r="EQ224" s="263"/>
      <c r="ER224" s="263"/>
      <c r="ES224" s="263"/>
      <c r="ET224" s="263"/>
      <c r="EU224" s="263"/>
      <c r="EV224" s="263"/>
      <c r="EW224" s="263"/>
      <c r="EX224" s="263"/>
      <c r="EY224" s="263"/>
      <c r="EZ224" s="263"/>
      <c r="FA224" s="263"/>
      <c r="FB224" s="263"/>
      <c r="FC224" s="263"/>
      <c r="FD224" s="263"/>
      <c r="FE224" s="263"/>
      <c r="FF224" s="263"/>
      <c r="FG224" s="263"/>
      <c r="FH224" s="263"/>
      <c r="FI224" s="263"/>
      <c r="FJ224" s="263"/>
      <c r="FK224" s="263"/>
      <c r="FL224" s="263"/>
      <c r="FM224" s="263"/>
      <c r="FN224" s="263"/>
      <c r="FO224" s="263"/>
      <c r="FP224" s="263"/>
      <c r="FQ224" s="263"/>
      <c r="FR224" s="263"/>
      <c r="FS224" s="263"/>
      <c r="FT224" s="263"/>
      <c r="FU224" s="263"/>
      <c r="FV224" s="263"/>
      <c r="FW224" s="263"/>
      <c r="FX224" s="263"/>
      <c r="FY224" s="263"/>
      <c r="FZ224" s="263"/>
      <c r="GA224" s="263"/>
      <c r="GB224" s="263"/>
      <c r="GC224" s="263"/>
      <c r="GD224" s="263"/>
      <c r="GE224" s="263"/>
      <c r="GF224" s="263"/>
      <c r="GG224" s="263"/>
      <c r="GH224" s="263"/>
      <c r="GI224" s="263"/>
      <c r="GJ224" s="263"/>
      <c r="GK224" s="263"/>
      <c r="GL224" s="263"/>
      <c r="GM224" s="263"/>
      <c r="GN224" s="263"/>
      <c r="GO224" s="263"/>
      <c r="GP224" s="263"/>
      <c r="GQ224" s="263"/>
      <c r="GR224" s="263"/>
      <c r="GS224" s="263"/>
      <c r="GT224" s="263"/>
      <c r="GU224" s="263"/>
      <c r="GV224" s="263"/>
      <c r="GW224" s="263"/>
      <c r="GX224" s="263"/>
      <c r="GY224" s="263"/>
    </row>
    <row r="225" spans="1:207" x14ac:dyDescent="0.15">
      <c r="D225" s="26" t="s">
        <v>66</v>
      </c>
      <c r="F225" s="26" t="s">
        <v>341</v>
      </c>
      <c r="G225" s="263"/>
      <c r="H225" s="263"/>
      <c r="I225" s="263"/>
      <c r="J225" s="263"/>
      <c r="K225" s="263"/>
      <c r="L225" s="263"/>
      <c r="M225" s="263"/>
      <c r="N225" s="263"/>
      <c r="O225" s="263"/>
      <c r="P225" s="263"/>
      <c r="Q225" s="263"/>
      <c r="R225" s="263"/>
      <c r="S225" s="263"/>
      <c r="T225" s="263"/>
      <c r="U225" s="263"/>
      <c r="V225" s="263"/>
      <c r="W225" s="263"/>
      <c r="X225" s="263"/>
      <c r="Y225" s="263"/>
      <c r="Z225" s="263"/>
      <c r="AA225" s="263"/>
      <c r="AB225" s="263"/>
      <c r="AC225" s="263"/>
      <c r="AD225" s="263"/>
      <c r="AE225" s="263"/>
      <c r="AF225" s="263"/>
      <c r="AG225" s="263"/>
      <c r="AH225" s="263"/>
      <c r="AI225" s="263"/>
      <c r="AJ225" s="263"/>
      <c r="AK225" s="263"/>
      <c r="AL225" s="263"/>
      <c r="AM225" s="263"/>
      <c r="AN225" s="263"/>
      <c r="AO225" s="263"/>
      <c r="AP225" s="263"/>
      <c r="AQ225" s="263"/>
      <c r="AR225" s="263"/>
      <c r="AS225" s="263"/>
      <c r="AT225" s="263"/>
      <c r="AU225" s="263"/>
      <c r="AV225" s="263"/>
      <c r="AW225" s="263"/>
      <c r="AX225" s="263"/>
      <c r="AY225" s="263"/>
      <c r="AZ225" s="263"/>
      <c r="BA225" s="263"/>
      <c r="BB225" s="263"/>
      <c r="BC225" s="263"/>
      <c r="BD225" s="263"/>
      <c r="BE225" s="263"/>
      <c r="BF225" s="263"/>
      <c r="BG225" s="263"/>
      <c r="BH225" s="263"/>
      <c r="BI225" s="263"/>
      <c r="BJ225" s="263"/>
      <c r="BK225" s="263"/>
      <c r="BL225" s="263"/>
      <c r="BM225" s="263"/>
      <c r="BN225" s="263"/>
      <c r="BO225" s="263"/>
      <c r="BP225" s="263"/>
      <c r="BQ225" s="263"/>
      <c r="BR225" s="263"/>
      <c r="BS225" s="263"/>
      <c r="BT225" s="263"/>
      <c r="BU225" s="263"/>
      <c r="BV225" s="263"/>
      <c r="BW225" s="263"/>
      <c r="BX225" s="263"/>
      <c r="BY225" s="263"/>
      <c r="BZ225" s="263"/>
      <c r="CA225" s="263"/>
      <c r="CB225" s="263"/>
      <c r="CC225" s="263"/>
      <c r="CD225" s="263"/>
      <c r="CE225" s="263"/>
      <c r="CF225" s="263"/>
      <c r="CG225" s="263"/>
      <c r="CH225" s="263"/>
      <c r="CI225" s="263"/>
      <c r="CJ225" s="263"/>
      <c r="CK225" s="263"/>
      <c r="CL225" s="263"/>
      <c r="CM225" s="263"/>
      <c r="CN225" s="263"/>
      <c r="CO225" s="263"/>
      <c r="CP225" s="263"/>
      <c r="CQ225" s="263"/>
      <c r="CR225" s="263"/>
      <c r="CS225" s="263"/>
      <c r="CT225" s="263"/>
      <c r="CU225" s="263"/>
      <c r="CV225" s="263"/>
      <c r="CW225" s="263"/>
      <c r="CX225" s="263"/>
      <c r="CY225" s="263"/>
      <c r="CZ225" s="263"/>
      <c r="DA225" s="263"/>
      <c r="DB225" s="263"/>
      <c r="DC225" s="263"/>
      <c r="DD225" s="263"/>
      <c r="DE225" s="263"/>
      <c r="DF225" s="263"/>
      <c r="DG225" s="263"/>
      <c r="DH225" s="263"/>
      <c r="DI225" s="263"/>
      <c r="DJ225" s="263"/>
      <c r="DK225" s="263"/>
      <c r="DL225" s="263"/>
      <c r="DM225" s="263"/>
      <c r="DN225" s="263"/>
      <c r="DO225" s="263"/>
      <c r="DP225" s="263"/>
      <c r="DQ225" s="263"/>
      <c r="DR225" s="263"/>
      <c r="DS225" s="263"/>
      <c r="DT225" s="263"/>
      <c r="DU225" s="263"/>
      <c r="DV225" s="263"/>
      <c r="DW225" s="263"/>
      <c r="DX225" s="263"/>
      <c r="DY225" s="263"/>
      <c r="DZ225" s="263"/>
      <c r="EA225" s="263"/>
      <c r="EB225" s="263"/>
      <c r="EC225" s="263"/>
      <c r="ED225" s="263"/>
      <c r="EE225" s="263"/>
      <c r="EF225" s="263"/>
      <c r="EG225" s="263"/>
      <c r="EH225" s="263"/>
      <c r="EI225" s="263"/>
      <c r="EJ225" s="263"/>
      <c r="EK225" s="263"/>
      <c r="EL225" s="263"/>
      <c r="EM225" s="263"/>
      <c r="EN225" s="263"/>
      <c r="EO225" s="263"/>
      <c r="EP225" s="263"/>
      <c r="EQ225" s="263"/>
      <c r="ER225" s="263"/>
      <c r="ES225" s="263"/>
      <c r="ET225" s="263"/>
      <c r="EU225" s="263"/>
      <c r="EV225" s="263"/>
      <c r="EW225" s="263"/>
      <c r="EX225" s="263"/>
      <c r="EY225" s="263"/>
      <c r="EZ225" s="263"/>
      <c r="FA225" s="263"/>
      <c r="FB225" s="263"/>
      <c r="FC225" s="263"/>
      <c r="FD225" s="263"/>
      <c r="FE225" s="263"/>
      <c r="FF225" s="263"/>
      <c r="FG225" s="263"/>
      <c r="FH225" s="263"/>
      <c r="FI225" s="263"/>
      <c r="FJ225" s="263"/>
      <c r="FK225" s="263"/>
      <c r="FL225" s="263"/>
      <c r="FM225" s="263"/>
      <c r="FN225" s="263"/>
      <c r="FO225" s="263"/>
      <c r="FP225" s="263"/>
      <c r="FQ225" s="263"/>
      <c r="FR225" s="263"/>
      <c r="FS225" s="263"/>
      <c r="FT225" s="263"/>
      <c r="FU225" s="263"/>
      <c r="FV225" s="263"/>
      <c r="FW225" s="263"/>
      <c r="FX225" s="263"/>
      <c r="FY225" s="263"/>
      <c r="FZ225" s="263"/>
      <c r="GA225" s="263"/>
      <c r="GB225" s="263"/>
      <c r="GC225" s="263"/>
      <c r="GD225" s="263"/>
      <c r="GE225" s="263"/>
      <c r="GF225" s="263"/>
      <c r="GG225" s="263"/>
      <c r="GH225" s="263"/>
      <c r="GI225" s="263"/>
      <c r="GJ225" s="263"/>
      <c r="GK225" s="263"/>
      <c r="GL225" s="263"/>
      <c r="GM225" s="263"/>
      <c r="GN225" s="263"/>
      <c r="GO225" s="263"/>
      <c r="GP225" s="263"/>
      <c r="GQ225" s="263"/>
      <c r="GR225" s="263"/>
      <c r="GS225" s="263"/>
      <c r="GT225" s="263"/>
      <c r="GU225" s="263"/>
      <c r="GV225" s="263"/>
      <c r="GW225" s="263"/>
      <c r="GX225" s="263"/>
      <c r="GY225" s="263"/>
    </row>
    <row r="226" spans="1:207" s="266" customFormat="1" x14ac:dyDescent="0.15">
      <c r="A226" s="265"/>
      <c r="D226" s="292" t="s">
        <v>68</v>
      </c>
      <c r="F226" s="26" t="s">
        <v>341</v>
      </c>
      <c r="G226" s="263"/>
      <c r="H226" s="263"/>
      <c r="I226" s="263"/>
      <c r="J226" s="263"/>
      <c r="K226" s="263"/>
      <c r="L226" s="263"/>
      <c r="M226" s="263"/>
      <c r="N226" s="263"/>
      <c r="O226" s="263"/>
      <c r="P226" s="263"/>
      <c r="Q226" s="263"/>
      <c r="R226" s="263"/>
      <c r="S226" s="263"/>
      <c r="T226" s="263"/>
      <c r="U226" s="263"/>
      <c r="V226" s="263"/>
      <c r="W226" s="263"/>
      <c r="X226" s="263"/>
      <c r="Y226" s="263"/>
      <c r="Z226" s="263"/>
      <c r="AA226" s="263"/>
      <c r="AB226" s="263"/>
      <c r="AC226" s="263"/>
      <c r="AD226" s="263"/>
      <c r="AE226" s="263"/>
      <c r="AF226" s="263"/>
      <c r="AG226" s="263"/>
      <c r="AH226" s="263"/>
      <c r="AI226" s="263"/>
      <c r="AJ226" s="263"/>
      <c r="AK226" s="263"/>
      <c r="AL226" s="263"/>
      <c r="AM226" s="263"/>
      <c r="AN226" s="263"/>
      <c r="AO226" s="263"/>
      <c r="AP226" s="263"/>
      <c r="AQ226" s="263"/>
      <c r="AR226" s="263"/>
      <c r="AS226" s="263"/>
      <c r="AT226" s="263"/>
      <c r="AU226" s="263"/>
      <c r="AV226" s="263"/>
      <c r="AW226" s="263"/>
      <c r="AX226" s="263"/>
      <c r="AY226" s="263"/>
      <c r="AZ226" s="263"/>
      <c r="BA226" s="263"/>
      <c r="BB226" s="263"/>
      <c r="BC226" s="263"/>
      <c r="BD226" s="263"/>
      <c r="BE226" s="263"/>
      <c r="BF226" s="263"/>
      <c r="BG226" s="263"/>
      <c r="BH226" s="263"/>
      <c r="BI226" s="263"/>
      <c r="BJ226" s="263"/>
      <c r="BK226" s="263"/>
      <c r="BL226" s="263"/>
      <c r="BM226" s="263"/>
      <c r="BN226" s="263"/>
      <c r="BO226" s="263"/>
      <c r="BP226" s="263"/>
      <c r="BQ226" s="263"/>
      <c r="BR226" s="263"/>
      <c r="BS226" s="263"/>
      <c r="BT226" s="263"/>
      <c r="BU226" s="263"/>
      <c r="BV226" s="263"/>
      <c r="BW226" s="263"/>
      <c r="BX226" s="263"/>
      <c r="BY226" s="263"/>
      <c r="BZ226" s="263"/>
      <c r="CA226" s="263"/>
      <c r="CB226" s="263"/>
      <c r="CC226" s="263"/>
      <c r="CD226" s="263"/>
      <c r="CE226" s="263"/>
      <c r="CF226" s="263"/>
      <c r="CG226" s="263"/>
      <c r="CH226" s="263"/>
      <c r="CI226" s="263"/>
      <c r="CJ226" s="263"/>
      <c r="CK226" s="263"/>
      <c r="CL226" s="263"/>
      <c r="CM226" s="263"/>
      <c r="CN226" s="263"/>
      <c r="CO226" s="263"/>
      <c r="CP226" s="263"/>
      <c r="CQ226" s="263"/>
      <c r="CR226" s="263"/>
      <c r="CS226" s="263"/>
      <c r="CT226" s="263"/>
      <c r="CU226" s="263"/>
      <c r="CV226" s="263"/>
      <c r="CW226" s="263"/>
      <c r="CX226" s="263"/>
      <c r="CY226" s="263"/>
      <c r="CZ226" s="263"/>
      <c r="DA226" s="263"/>
      <c r="DB226" s="263"/>
      <c r="DC226" s="263"/>
      <c r="DD226" s="263"/>
      <c r="DE226" s="263"/>
      <c r="DF226" s="263"/>
      <c r="DG226" s="263"/>
      <c r="DH226" s="263"/>
      <c r="DI226" s="263"/>
      <c r="DJ226" s="263"/>
      <c r="DK226" s="263"/>
      <c r="DL226" s="263"/>
      <c r="DM226" s="263"/>
      <c r="DN226" s="263"/>
      <c r="DO226" s="263"/>
      <c r="DP226" s="263"/>
      <c r="DQ226" s="263"/>
      <c r="DR226" s="263"/>
      <c r="DS226" s="263"/>
      <c r="DT226" s="263"/>
      <c r="DU226" s="263"/>
      <c r="DV226" s="263"/>
      <c r="DW226" s="263"/>
      <c r="DX226" s="263"/>
      <c r="DY226" s="263"/>
      <c r="DZ226" s="263"/>
      <c r="EA226" s="263"/>
      <c r="EB226" s="263"/>
      <c r="EC226" s="263"/>
      <c r="ED226" s="263"/>
      <c r="EE226" s="263"/>
      <c r="EF226" s="263"/>
      <c r="EG226" s="263"/>
      <c r="EH226" s="263"/>
      <c r="EI226" s="263"/>
      <c r="EJ226" s="263"/>
      <c r="EK226" s="263"/>
      <c r="EL226" s="263"/>
      <c r="EM226" s="263"/>
      <c r="EN226" s="263"/>
      <c r="EO226" s="263"/>
      <c r="EP226" s="263"/>
      <c r="EQ226" s="263"/>
      <c r="ER226" s="263"/>
      <c r="ES226" s="263"/>
      <c r="ET226" s="263"/>
      <c r="EU226" s="263"/>
      <c r="EV226" s="263"/>
      <c r="EW226" s="263"/>
      <c r="EX226" s="263"/>
      <c r="EY226" s="263"/>
      <c r="EZ226" s="263"/>
      <c r="FA226" s="263"/>
      <c r="FB226" s="263"/>
      <c r="FC226" s="263"/>
      <c r="FD226" s="263"/>
      <c r="FE226" s="263"/>
      <c r="FF226" s="263"/>
      <c r="FG226" s="263"/>
      <c r="FH226" s="263"/>
      <c r="FI226" s="263"/>
      <c r="FJ226" s="263"/>
      <c r="FK226" s="263"/>
      <c r="FL226" s="263"/>
      <c r="FM226" s="263"/>
      <c r="FN226" s="263"/>
      <c r="FO226" s="263"/>
      <c r="FP226" s="263"/>
      <c r="FQ226" s="263"/>
      <c r="FR226" s="263"/>
      <c r="FS226" s="263"/>
      <c r="FT226" s="263"/>
      <c r="FU226" s="263"/>
      <c r="FV226" s="263"/>
      <c r="FW226" s="263"/>
      <c r="FX226" s="263"/>
      <c r="FY226" s="263"/>
      <c r="FZ226" s="263"/>
      <c r="GA226" s="263"/>
      <c r="GB226" s="263"/>
      <c r="GC226" s="263"/>
      <c r="GD226" s="263"/>
      <c r="GE226" s="263"/>
      <c r="GF226" s="263"/>
      <c r="GG226" s="263"/>
      <c r="GH226" s="263"/>
      <c r="GI226" s="263"/>
      <c r="GJ226" s="263"/>
      <c r="GK226" s="263"/>
      <c r="GL226" s="263"/>
      <c r="GM226" s="263"/>
      <c r="GN226" s="263"/>
      <c r="GO226" s="263"/>
      <c r="GP226" s="263"/>
      <c r="GQ226" s="263"/>
      <c r="GR226" s="263"/>
      <c r="GS226" s="263"/>
      <c r="GT226" s="263"/>
      <c r="GU226" s="263"/>
      <c r="GV226" s="263"/>
      <c r="GW226" s="263"/>
      <c r="GX226" s="263"/>
      <c r="GY226" s="263"/>
    </row>
    <row r="227" spans="1:207" x14ac:dyDescent="0.15">
      <c r="B227" s="23"/>
      <c r="D227" s="26" t="s">
        <v>206</v>
      </c>
      <c r="F227" s="26" t="s">
        <v>341</v>
      </c>
      <c r="G227" s="263">
        <f ca="1">SUM(G228:G229)</f>
        <v>0</v>
      </c>
      <c r="H227" s="263">
        <f t="shared" ref="H227:BN227" ca="1" si="30">SUM(H228:H229)</f>
        <v>2.2774808248247287E-4</v>
      </c>
      <c r="I227" s="263">
        <f ca="1">SUM(I228:I229)</f>
        <v>3.1410932345636003E-4</v>
      </c>
      <c r="J227" s="263">
        <f t="shared" ca="1" si="30"/>
        <v>3.3820503579655572E-4</v>
      </c>
      <c r="K227" s="263">
        <f t="shared" ca="1" si="30"/>
        <v>3.2955413695505149E-4</v>
      </c>
      <c r="L227" s="263">
        <f t="shared" ca="1" si="30"/>
        <v>3.043363123440309E-4</v>
      </c>
      <c r="M227" s="263">
        <f t="shared" ca="1" si="30"/>
        <v>2.7968660813886616E-4</v>
      </c>
      <c r="N227" s="263">
        <f t="shared" ca="1" si="30"/>
        <v>2.3967425823052097E-4</v>
      </c>
      <c r="O227" s="263">
        <f t="shared" ca="1" si="30"/>
        <v>2.1392626050928968E-4</v>
      </c>
      <c r="P227" s="263">
        <f t="shared" ca="1" si="30"/>
        <v>1.9620803125018201E-4</v>
      </c>
      <c r="Q227" s="263">
        <f t="shared" ca="1" si="30"/>
        <v>1.8131770620340569E-4</v>
      </c>
      <c r="R227" s="263">
        <f t="shared" ca="1" si="30"/>
        <v>1.6859840383316859E-4</v>
      </c>
      <c r="S227" s="263">
        <f t="shared" ca="1" si="30"/>
        <v>8.7263458066097675E-5</v>
      </c>
      <c r="T227" s="263">
        <f t="shared" ca="1" si="30"/>
        <v>8.3886891868397754E-5</v>
      </c>
      <c r="U227" s="263">
        <f t="shared" ca="1" si="30"/>
        <v>9.5765017037320938E-5</v>
      </c>
      <c r="V227" s="263">
        <f t="shared" ca="1" si="30"/>
        <v>1.0325366482311496E-4</v>
      </c>
      <c r="W227" s="263">
        <f t="shared" ca="1" si="30"/>
        <v>9.7376883913627822E-5</v>
      </c>
      <c r="X227" s="263">
        <f t="shared" ca="1" si="30"/>
        <v>9.5880054449410811E-5</v>
      </c>
      <c r="Y227" s="263">
        <f t="shared" ca="1" si="30"/>
        <v>9.5720875692229448E-5</v>
      </c>
      <c r="Z227" s="263">
        <f t="shared" ca="1" si="30"/>
        <v>9.4006741814210246E-5</v>
      </c>
      <c r="AA227" s="263">
        <f t="shared" ca="1" si="30"/>
        <v>9.2183314159955125E-5</v>
      </c>
      <c r="AB227" s="263">
        <f t="shared" ca="1" si="30"/>
        <v>9.0007860518543826E-5</v>
      </c>
      <c r="AC227" s="263">
        <f t="shared" ca="1" si="30"/>
        <v>8.4275570114142367E-5</v>
      </c>
      <c r="AD227" s="263">
        <f t="shared" ca="1" si="30"/>
        <v>8.4696981180615587E-5</v>
      </c>
      <c r="AE227" s="263">
        <f t="shared" ca="1" si="30"/>
        <v>6.720697064374239E-5</v>
      </c>
      <c r="AF227" s="263">
        <f t="shared" ca="1" si="30"/>
        <v>6.4230018158679611E-5</v>
      </c>
      <c r="AG227" s="263">
        <f t="shared" ca="1" si="30"/>
        <v>6.5024684380559378E-5</v>
      </c>
      <c r="AH227" s="263">
        <f t="shared" ca="1" si="30"/>
        <v>6.5834714139344062E-5</v>
      </c>
      <c r="AI227" s="263">
        <f t="shared" ca="1" si="30"/>
        <v>6.568089752373206E-5</v>
      </c>
      <c r="AJ227" s="263">
        <f t="shared" ca="1" si="30"/>
        <v>6.4683070390440835E-5</v>
      </c>
      <c r="AK227" s="263">
        <f t="shared" ca="1" si="30"/>
        <v>6.3263254857077669E-5</v>
      </c>
      <c r="AL227" s="263">
        <f t="shared" ca="1" si="30"/>
        <v>5.97352392106927E-5</v>
      </c>
      <c r="AM227" s="263">
        <f t="shared" ca="1" si="30"/>
        <v>6.020764228626864E-5</v>
      </c>
      <c r="AN227" s="263">
        <f t="shared" ca="1" si="30"/>
        <v>5.8961926798969079E-5</v>
      </c>
      <c r="AO227" s="263">
        <f t="shared" ca="1" si="30"/>
        <v>5.7142147786608034E-5</v>
      </c>
      <c r="AP227" s="263">
        <f t="shared" ca="1" si="30"/>
        <v>5.5263556760604365E-5</v>
      </c>
      <c r="AQ227" s="263">
        <f t="shared" ca="1" si="30"/>
        <v>4.4762368165822037E-5</v>
      </c>
      <c r="AR227" s="263">
        <f t="shared" ca="1" si="30"/>
        <v>4.3880291071335606E-5</v>
      </c>
      <c r="AS227" s="263">
        <f t="shared" ca="1" si="30"/>
        <v>4.3068404365574568E-5</v>
      </c>
      <c r="AT227" s="263">
        <f t="shared" ca="1" si="30"/>
        <v>4.2335501037024655E-5</v>
      </c>
      <c r="AU227" s="263">
        <f t="shared" ca="1" si="30"/>
        <v>4.1605887737736138E-5</v>
      </c>
      <c r="AV227" s="263">
        <f t="shared" ca="1" si="30"/>
        <v>4.0848857809815814E-5</v>
      </c>
      <c r="AW227" s="263">
        <f t="shared" ca="1" si="30"/>
        <v>4.0038520527141211E-5</v>
      </c>
      <c r="AX227" s="263">
        <f t="shared" ca="1" si="30"/>
        <v>3.908358460323311E-5</v>
      </c>
      <c r="AY227" s="263">
        <f t="shared" ca="1" si="30"/>
        <v>3.814896116661213E-5</v>
      </c>
      <c r="AZ227" s="263">
        <f t="shared" ca="1" si="30"/>
        <v>3.723341965537258E-5</v>
      </c>
      <c r="BA227" s="263">
        <f t="shared" ca="1" si="30"/>
        <v>3.6288167040763033E-5</v>
      </c>
      <c r="BB227" s="263">
        <f t="shared" ca="1" si="30"/>
        <v>3.5313644403827871E-5</v>
      </c>
      <c r="BC227" s="263">
        <f t="shared" ca="1" si="30"/>
        <v>3.0237885740607624E-5</v>
      </c>
      <c r="BD227" s="263">
        <f t="shared" ca="1" si="30"/>
        <v>2.9492067619597199E-5</v>
      </c>
      <c r="BE227" s="263">
        <f t="shared" ca="1" si="30"/>
        <v>2.8735293243636566E-5</v>
      </c>
      <c r="BF227" s="263">
        <f t="shared" ca="1" si="30"/>
        <v>2.7978599173948364E-5</v>
      </c>
      <c r="BG227" s="263">
        <f t="shared" ca="1" si="30"/>
        <v>2.7222281930905072E-5</v>
      </c>
      <c r="BH227" s="263">
        <f t="shared" ca="1" si="30"/>
        <v>2.6465403245234894E-5</v>
      </c>
      <c r="BI227" s="263">
        <f t="shared" ca="1" si="30"/>
        <v>2.5705942029398581E-5</v>
      </c>
      <c r="BJ227" s="263">
        <f t="shared" ca="1" si="30"/>
        <v>2.4888278940094563E-5</v>
      </c>
      <c r="BK227" s="263">
        <f t="shared" ca="1" si="30"/>
        <v>2.4078248251825444E-5</v>
      </c>
      <c r="BL227" s="263">
        <f t="shared" ca="1" si="30"/>
        <v>2.3280326614027322E-5</v>
      </c>
      <c r="BM227" s="263">
        <f t="shared" ca="1" si="30"/>
        <v>2.2474766728519256E-5</v>
      </c>
      <c r="BN227" s="263">
        <f t="shared" ca="1" si="30"/>
        <v>2.1660010058388607E-5</v>
      </c>
      <c r="BO227" s="263"/>
      <c r="BP227" s="263"/>
      <c r="BQ227" s="263"/>
      <c r="BR227" s="263"/>
      <c r="BS227" s="263"/>
      <c r="BT227" s="263"/>
      <c r="BU227" s="263"/>
      <c r="BV227" s="263"/>
      <c r="BW227" s="263"/>
      <c r="BX227" s="263"/>
      <c r="BY227" s="263"/>
      <c r="BZ227" s="263"/>
      <c r="CA227" s="263"/>
      <c r="CB227" s="263"/>
      <c r="CC227" s="263"/>
      <c r="CD227" s="263"/>
      <c r="CE227" s="263"/>
      <c r="CF227" s="263"/>
      <c r="CG227" s="263"/>
      <c r="CH227" s="263"/>
      <c r="CI227" s="263"/>
      <c r="CJ227" s="263"/>
      <c r="CK227" s="263"/>
      <c r="CL227" s="263"/>
      <c r="CM227" s="263"/>
      <c r="CN227" s="263"/>
      <c r="CO227" s="263"/>
      <c r="CP227" s="263"/>
      <c r="CQ227" s="263"/>
      <c r="CR227" s="263"/>
      <c r="CS227" s="263"/>
      <c r="CT227" s="263"/>
      <c r="CU227" s="263"/>
      <c r="CV227" s="263"/>
      <c r="CW227" s="263"/>
      <c r="CX227" s="263"/>
      <c r="CY227" s="263"/>
      <c r="CZ227" s="263"/>
      <c r="DA227" s="263"/>
      <c r="DB227" s="263"/>
      <c r="DC227" s="263"/>
      <c r="DD227" s="263"/>
      <c r="DE227" s="263"/>
      <c r="DF227" s="263"/>
      <c r="DG227" s="263"/>
      <c r="DH227" s="263"/>
      <c r="DI227" s="263"/>
      <c r="DJ227" s="263"/>
      <c r="DK227" s="263"/>
      <c r="DL227" s="263"/>
      <c r="DM227" s="263"/>
      <c r="DN227" s="263"/>
      <c r="DO227" s="263"/>
      <c r="DP227" s="263"/>
      <c r="DQ227" s="263"/>
      <c r="DR227" s="263"/>
      <c r="DS227" s="263"/>
      <c r="DT227" s="263"/>
      <c r="DU227" s="263"/>
      <c r="DV227" s="263"/>
      <c r="DW227" s="263"/>
      <c r="DX227" s="263"/>
      <c r="DY227" s="263"/>
      <c r="DZ227" s="263"/>
      <c r="EA227" s="263"/>
      <c r="EB227" s="263"/>
      <c r="EC227" s="263"/>
      <c r="ED227" s="263"/>
      <c r="EE227" s="263"/>
      <c r="EF227" s="263"/>
      <c r="EG227" s="263"/>
      <c r="EH227" s="263"/>
      <c r="EI227" s="263"/>
      <c r="EJ227" s="263"/>
      <c r="EK227" s="263"/>
      <c r="EL227" s="263"/>
      <c r="EM227" s="263"/>
      <c r="EN227" s="263"/>
      <c r="EO227" s="263"/>
      <c r="EP227" s="263"/>
      <c r="EQ227" s="263"/>
      <c r="ER227" s="263"/>
      <c r="ES227" s="263"/>
      <c r="ET227" s="263"/>
      <c r="EU227" s="263"/>
      <c r="EV227" s="263"/>
      <c r="EW227" s="263"/>
      <c r="EX227" s="263"/>
      <c r="EY227" s="263"/>
      <c r="EZ227" s="263"/>
      <c r="FA227" s="263"/>
      <c r="FB227" s="263"/>
      <c r="FC227" s="263"/>
      <c r="FD227" s="263"/>
      <c r="FE227" s="263"/>
      <c r="FF227" s="263"/>
      <c r="FG227" s="263"/>
      <c r="FH227" s="263"/>
      <c r="FI227" s="263"/>
      <c r="FJ227" s="263"/>
      <c r="FK227" s="263"/>
      <c r="FL227" s="263"/>
      <c r="FM227" s="263"/>
      <c r="FN227" s="263"/>
      <c r="FO227" s="263"/>
      <c r="FP227" s="263"/>
      <c r="FQ227" s="263"/>
      <c r="FR227" s="263"/>
      <c r="FS227" s="263"/>
      <c r="FT227" s="263"/>
      <c r="FU227" s="263"/>
      <c r="FV227" s="263"/>
      <c r="FW227" s="263"/>
      <c r="FX227" s="263"/>
      <c r="FY227" s="263"/>
      <c r="FZ227" s="263"/>
      <c r="GA227" s="263"/>
      <c r="GB227" s="263"/>
      <c r="GC227" s="263"/>
      <c r="GD227" s="263"/>
      <c r="GE227" s="263"/>
      <c r="GF227" s="263"/>
      <c r="GG227" s="263"/>
      <c r="GH227" s="263"/>
      <c r="GI227" s="263"/>
      <c r="GJ227" s="263"/>
      <c r="GK227" s="263"/>
      <c r="GL227" s="263"/>
      <c r="GM227" s="263"/>
      <c r="GN227" s="263"/>
      <c r="GO227" s="263"/>
      <c r="GP227" s="263"/>
      <c r="GQ227" s="263"/>
      <c r="GR227" s="263"/>
      <c r="GS227" s="263"/>
      <c r="GT227" s="263"/>
      <c r="GU227" s="263"/>
      <c r="GV227" s="263"/>
      <c r="GW227" s="263"/>
      <c r="GX227" s="263"/>
      <c r="GY227" s="263"/>
    </row>
    <row r="228" spans="1:207" x14ac:dyDescent="0.15">
      <c r="B228" s="23"/>
      <c r="D228" s="282" t="s">
        <v>228</v>
      </c>
      <c r="F228" s="26" t="s">
        <v>341</v>
      </c>
      <c r="G228" s="271">
        <f>IF(G7&gt;SAP_Leadsheet!$E$21,0,G182*SAP_Leadsheet!$E$41/12*(1-SAP_Leadsheet!$E$104))</f>
        <v>0</v>
      </c>
      <c r="H228" s="271">
        <f ca="1">IF(H7&gt;SAP_Leadsheet!$E$21,0,H182*SAP_Leadsheet!$E$41/12*(1-SAP_Leadsheet!$E$104))</f>
        <v>0</v>
      </c>
      <c r="I228" s="271">
        <f ca="1">IF(I7&gt;SAP_Leadsheet!$E$21,0,I182*SAP_Leadsheet!$E$41/12*(1-SAP_Leadsheet!$E$104))</f>
        <v>0</v>
      </c>
      <c r="J228" s="271">
        <f ca="1">IF(J7&gt;SAP_Leadsheet!$E$21,0,J182*SAP_Leadsheet!$E$41/12*(1-SAP_Leadsheet!$E$104))</f>
        <v>0</v>
      </c>
      <c r="K228" s="271">
        <f ca="1">IF(K7&gt;SAP_Leadsheet!$E$21,0,K182*SAP_Leadsheet!$E$41/12*(1-SAP_Leadsheet!$E$104))</f>
        <v>0</v>
      </c>
      <c r="L228" s="271">
        <f ca="1">IF(L7&gt;SAP_Leadsheet!$E$21,0,L182*SAP_Leadsheet!$E$41/12*(1-SAP_Leadsheet!$E$104))</f>
        <v>0</v>
      </c>
      <c r="M228" s="271">
        <f ca="1">IF(M7&gt;SAP_Leadsheet!$E$21,0,M182*SAP_Leadsheet!$E$41/12*(1-SAP_Leadsheet!$E$104))</f>
        <v>0</v>
      </c>
      <c r="N228" s="271">
        <f ca="1">IF(N7&gt;SAP_Leadsheet!$E$21,0,N182*SAP_Leadsheet!$E$41/12*(1-SAP_Leadsheet!$E$104))</f>
        <v>0</v>
      </c>
      <c r="O228" s="271">
        <f ca="1">IF(O7&gt;SAP_Leadsheet!$E$21,0,O182*SAP_Leadsheet!$E$41/12*(1-SAP_Leadsheet!$E$104))</f>
        <v>0</v>
      </c>
      <c r="P228" s="271">
        <f ca="1">IF(P7&gt;SAP_Leadsheet!$E$21,0,P182*SAP_Leadsheet!$E$41/12*(1-SAP_Leadsheet!$E$104))</f>
        <v>0</v>
      </c>
      <c r="Q228" s="271">
        <f ca="1">IF(Q7&gt;SAP_Leadsheet!$E$21,0,Q182*SAP_Leadsheet!$E$41/12*(1-SAP_Leadsheet!$E$104))</f>
        <v>0</v>
      </c>
      <c r="R228" s="271">
        <f ca="1">IF(R7&gt;SAP_Leadsheet!$E$21,0,R182*SAP_Leadsheet!$E$41/12*(1-SAP_Leadsheet!$E$104))</f>
        <v>0</v>
      </c>
      <c r="S228" s="271">
        <f ca="1">IF(S7&gt;SAP_Leadsheet!$E$21,0,S182*SAP_Leadsheet!$E$41/12*(1-SAP_Leadsheet!$E$104))</f>
        <v>0</v>
      </c>
      <c r="T228" s="271">
        <f ca="1">IF(T7&gt;SAP_Leadsheet!$E$21,0,T182*SAP_Leadsheet!$E$41/12*(1-SAP_Leadsheet!$E$104))</f>
        <v>0</v>
      </c>
      <c r="U228" s="271">
        <f ca="1">IF(U7&gt;SAP_Leadsheet!$E$21,0,U182*SAP_Leadsheet!$E$41/12*(1-SAP_Leadsheet!$E$104))</f>
        <v>0</v>
      </c>
      <c r="V228" s="271">
        <f ca="1">IF(V7&gt;SAP_Leadsheet!$E$21,0,V182*SAP_Leadsheet!$E$41/12*(1-SAP_Leadsheet!$E$104))</f>
        <v>0</v>
      </c>
      <c r="W228" s="271">
        <f ca="1">IF(W7&gt;SAP_Leadsheet!$E$21,0,W182*SAP_Leadsheet!$E$41/12*(1-SAP_Leadsheet!$E$104))</f>
        <v>0</v>
      </c>
      <c r="X228" s="271">
        <f ca="1">IF(X7&gt;SAP_Leadsheet!$E$21,0,X182*SAP_Leadsheet!$E$41/12*(1-SAP_Leadsheet!$E$104))</f>
        <v>0</v>
      </c>
      <c r="Y228" s="271">
        <f ca="1">IF(Y7&gt;SAP_Leadsheet!$E$21,0,Y182*SAP_Leadsheet!$E$41/12*(1-SAP_Leadsheet!$E$104))</f>
        <v>0</v>
      </c>
      <c r="Z228" s="271">
        <f ca="1">IF(Z7&gt;SAP_Leadsheet!$E$21,0,Z182*SAP_Leadsheet!$E$41/12*(1-SAP_Leadsheet!$E$104))</f>
        <v>0</v>
      </c>
      <c r="AA228" s="271">
        <f ca="1">IF(AA7&gt;SAP_Leadsheet!$E$21,0,AA182*SAP_Leadsheet!$E$41/12*(1-SAP_Leadsheet!$E$104))</f>
        <v>0</v>
      </c>
      <c r="AB228" s="271">
        <f ca="1">IF(AB7&gt;SAP_Leadsheet!$E$21,0,AB182*SAP_Leadsheet!$E$41/12*(1-SAP_Leadsheet!$E$104))</f>
        <v>0</v>
      </c>
      <c r="AC228" s="271">
        <f ca="1">IF(AC7&gt;SAP_Leadsheet!$E$21,0,AC182*SAP_Leadsheet!$E$41/12*(1-SAP_Leadsheet!$E$104))</f>
        <v>0</v>
      </c>
      <c r="AD228" s="271">
        <f ca="1">IF(AD7&gt;SAP_Leadsheet!$E$21,0,AD182*SAP_Leadsheet!$E$41/12*(1-SAP_Leadsheet!$E$104))</f>
        <v>0</v>
      </c>
      <c r="AE228" s="271">
        <f ca="1">IF(AE7&gt;SAP_Leadsheet!$E$21,0,AE182*SAP_Leadsheet!$E$41/12*(1-SAP_Leadsheet!$E$104))</f>
        <v>0</v>
      </c>
      <c r="AF228" s="271">
        <f ca="1">IF(AF7&gt;SAP_Leadsheet!$E$21,0,AF182*SAP_Leadsheet!$E$41/12*(1-SAP_Leadsheet!$E$104))</f>
        <v>0</v>
      </c>
      <c r="AG228" s="271">
        <f ca="1">IF(AG7&gt;SAP_Leadsheet!$E$21,0,AG182*SAP_Leadsheet!$E$41/12*(1-SAP_Leadsheet!$E$104))</f>
        <v>0</v>
      </c>
      <c r="AH228" s="271">
        <f ca="1">IF(AH7&gt;SAP_Leadsheet!$E$21,0,AH182*SAP_Leadsheet!$E$41/12*(1-SAP_Leadsheet!$E$104))</f>
        <v>0</v>
      </c>
      <c r="AI228" s="271">
        <f ca="1">IF(AI7&gt;SAP_Leadsheet!$E$21,0,AI182*SAP_Leadsheet!$E$41/12*(1-SAP_Leadsheet!$E$104))</f>
        <v>0</v>
      </c>
      <c r="AJ228" s="271">
        <f ca="1">IF(AJ7&gt;SAP_Leadsheet!$E$21,0,AJ182*SAP_Leadsheet!$E$41/12*(1-SAP_Leadsheet!$E$104))</f>
        <v>0</v>
      </c>
      <c r="AK228" s="271">
        <f ca="1">IF(AK7&gt;SAP_Leadsheet!$E$21,0,AK182*SAP_Leadsheet!$E$41/12*(1-SAP_Leadsheet!$E$104))</f>
        <v>0</v>
      </c>
      <c r="AL228" s="271">
        <f ca="1">IF(AL7&gt;SAP_Leadsheet!$E$21,0,AL182*SAP_Leadsheet!$E$41/12*(1-SAP_Leadsheet!$E$104))</f>
        <v>0</v>
      </c>
      <c r="AM228" s="271">
        <f ca="1">IF(AM7&gt;SAP_Leadsheet!$E$21,0,AM182*SAP_Leadsheet!$E$41/12*(1-SAP_Leadsheet!$E$104))</f>
        <v>0</v>
      </c>
      <c r="AN228" s="271">
        <f ca="1">IF(AN7&gt;SAP_Leadsheet!$E$21,0,AN182*SAP_Leadsheet!$E$41/12*(1-SAP_Leadsheet!$E$104))</f>
        <v>0</v>
      </c>
      <c r="AO228" s="271">
        <f ca="1">IF(AO7&gt;SAP_Leadsheet!$E$21,0,AO182*SAP_Leadsheet!$E$41/12*(1-SAP_Leadsheet!$E$104))</f>
        <v>0</v>
      </c>
      <c r="AP228" s="271">
        <f ca="1">IF(AP7&gt;SAP_Leadsheet!$E$21,0,AP182*SAP_Leadsheet!$E$41/12*(1-SAP_Leadsheet!$E$104))</f>
        <v>0</v>
      </c>
      <c r="AQ228" s="271">
        <f ca="1">IF(AQ7&gt;SAP_Leadsheet!$E$21,0,AQ182*SAP_Leadsheet!$E$41/12*(1-SAP_Leadsheet!$E$104))</f>
        <v>0</v>
      </c>
      <c r="AR228" s="271">
        <f ca="1">IF(AR7&gt;SAP_Leadsheet!$E$21,0,AR182*SAP_Leadsheet!$E$41/12*(1-SAP_Leadsheet!$E$104))</f>
        <v>0</v>
      </c>
      <c r="AS228" s="271">
        <f ca="1">IF(AS7&gt;SAP_Leadsheet!$E$21,0,AS182*SAP_Leadsheet!$E$41/12*(1-SAP_Leadsheet!$E$104))</f>
        <v>0</v>
      </c>
      <c r="AT228" s="271">
        <f ca="1">IF(AT7&gt;SAP_Leadsheet!$E$21,0,AT182*SAP_Leadsheet!$E$41/12*(1-SAP_Leadsheet!$E$104))</f>
        <v>0</v>
      </c>
      <c r="AU228" s="271">
        <f ca="1">IF(AU7&gt;SAP_Leadsheet!$E$21,0,AU182*SAP_Leadsheet!$E$41/12*(1-SAP_Leadsheet!$E$104))</f>
        <v>0</v>
      </c>
      <c r="AV228" s="271">
        <f ca="1">IF(AV7&gt;SAP_Leadsheet!$E$21,0,AV182*SAP_Leadsheet!$E$41/12*(1-SAP_Leadsheet!$E$104))</f>
        <v>0</v>
      </c>
      <c r="AW228" s="271">
        <f ca="1">IF(AW7&gt;SAP_Leadsheet!$E$21,0,AW182*SAP_Leadsheet!$E$41/12*(1-SAP_Leadsheet!$E$104))</f>
        <v>0</v>
      </c>
      <c r="AX228" s="271">
        <f ca="1">IF(AX7&gt;SAP_Leadsheet!$E$21,0,AX182*SAP_Leadsheet!$E$41/12*(1-SAP_Leadsheet!$E$104))</f>
        <v>0</v>
      </c>
      <c r="AY228" s="271">
        <f ca="1">IF(AY7&gt;SAP_Leadsheet!$E$21,0,AY182*SAP_Leadsheet!$E$41/12*(1-SAP_Leadsheet!$E$104))</f>
        <v>0</v>
      </c>
      <c r="AZ228" s="271">
        <f ca="1">IF(AZ7&gt;SAP_Leadsheet!$E$21,0,AZ182*SAP_Leadsheet!$E$41/12*(1-SAP_Leadsheet!$E$104))</f>
        <v>0</v>
      </c>
      <c r="BA228" s="271">
        <f ca="1">IF(BA7&gt;SAP_Leadsheet!$E$21,0,BA182*SAP_Leadsheet!$E$41/12*(1-SAP_Leadsheet!$E$104))</f>
        <v>0</v>
      </c>
      <c r="BB228" s="271">
        <f ca="1">IF(BB7&gt;SAP_Leadsheet!$E$21,0,BB182*SAP_Leadsheet!$E$41/12*(1-SAP_Leadsheet!$E$104))</f>
        <v>0</v>
      </c>
      <c r="BC228" s="271">
        <f ca="1">IF(BC7&gt;SAP_Leadsheet!$E$21,0,BC182*SAP_Leadsheet!$E$41/12*(1-SAP_Leadsheet!$E$104))</f>
        <v>0</v>
      </c>
      <c r="BD228" s="271">
        <f ca="1">IF(BD7&gt;SAP_Leadsheet!$E$21,0,BD182*SAP_Leadsheet!$E$41/12*(1-SAP_Leadsheet!$E$104))</f>
        <v>0</v>
      </c>
      <c r="BE228" s="271">
        <f ca="1">IF(BE7&gt;SAP_Leadsheet!$E$21,0,BE182*SAP_Leadsheet!$E$41/12*(1-SAP_Leadsheet!$E$104))</f>
        <v>0</v>
      </c>
      <c r="BF228" s="271">
        <f ca="1">IF(BF7&gt;SAP_Leadsheet!$E$21,0,BF182*SAP_Leadsheet!$E$41/12*(1-SAP_Leadsheet!$E$104))</f>
        <v>0</v>
      </c>
      <c r="BG228" s="271">
        <f ca="1">IF(BG7&gt;SAP_Leadsheet!$E$21,0,BG182*SAP_Leadsheet!$E$41/12*(1-SAP_Leadsheet!$E$104))</f>
        <v>0</v>
      </c>
      <c r="BH228" s="271">
        <f ca="1">IF(BH7&gt;SAP_Leadsheet!$E$21,0,BH182*SAP_Leadsheet!$E$41/12*(1-SAP_Leadsheet!$E$104))</f>
        <v>0</v>
      </c>
      <c r="BI228" s="271">
        <f ca="1">IF(BI7&gt;SAP_Leadsheet!$E$21,0,BI182*SAP_Leadsheet!$E$41/12*(1-SAP_Leadsheet!$E$104))</f>
        <v>0</v>
      </c>
      <c r="BJ228" s="271">
        <f ca="1">IF(BJ7&gt;SAP_Leadsheet!$E$21,0,BJ182*SAP_Leadsheet!$E$41/12*(1-SAP_Leadsheet!$E$104))</f>
        <v>0</v>
      </c>
      <c r="BK228" s="271">
        <f ca="1">IF(BK7&gt;SAP_Leadsheet!$E$21,0,BK182*SAP_Leadsheet!$E$41/12*(1-SAP_Leadsheet!$E$104))</f>
        <v>0</v>
      </c>
      <c r="BL228" s="271">
        <f ca="1">IF(BL7&gt;SAP_Leadsheet!$E$21,0,BL182*SAP_Leadsheet!$E$41/12*(1-SAP_Leadsheet!$E$104))</f>
        <v>0</v>
      </c>
      <c r="BM228" s="271">
        <f ca="1">IF(BM7&gt;SAP_Leadsheet!$E$21,0,BM182*SAP_Leadsheet!$E$41/12*(1-SAP_Leadsheet!$E$104))</f>
        <v>0</v>
      </c>
      <c r="BN228" s="271">
        <f ca="1">IF(BN7&gt;SAP_Leadsheet!$E$21,0,BN182*SAP_Leadsheet!$E$41/12*(1-SAP_Leadsheet!$E$104))</f>
        <v>0</v>
      </c>
      <c r="BO228" s="263"/>
      <c r="BP228" s="263"/>
      <c r="BQ228" s="263"/>
      <c r="BR228" s="263"/>
      <c r="BS228" s="263"/>
      <c r="BT228" s="263"/>
      <c r="BU228" s="263"/>
      <c r="BV228" s="263"/>
      <c r="BW228" s="263"/>
      <c r="BX228" s="263"/>
      <c r="BY228" s="263"/>
      <c r="BZ228" s="263"/>
      <c r="CA228" s="263"/>
      <c r="CB228" s="263"/>
      <c r="CC228" s="263"/>
      <c r="CD228" s="263"/>
      <c r="CE228" s="263"/>
      <c r="CF228" s="263"/>
      <c r="CG228" s="263"/>
      <c r="CH228" s="263"/>
      <c r="CI228" s="263"/>
      <c r="CJ228" s="263"/>
      <c r="CK228" s="263"/>
      <c r="CL228" s="263"/>
      <c r="CM228" s="263"/>
      <c r="CN228" s="263"/>
      <c r="CO228" s="263"/>
      <c r="CP228" s="263"/>
      <c r="CQ228" s="263"/>
      <c r="CR228" s="263"/>
      <c r="CS228" s="263"/>
      <c r="CT228" s="263"/>
      <c r="CU228" s="263"/>
      <c r="CV228" s="263"/>
      <c r="CW228" s="263"/>
      <c r="CX228" s="263"/>
      <c r="CY228" s="263"/>
      <c r="CZ228" s="263"/>
      <c r="DA228" s="263"/>
      <c r="DB228" s="263"/>
      <c r="DC228" s="263"/>
      <c r="DD228" s="263"/>
      <c r="DE228" s="263"/>
      <c r="DF228" s="263"/>
      <c r="DG228" s="263"/>
      <c r="DH228" s="263"/>
      <c r="DI228" s="263"/>
      <c r="DJ228" s="263"/>
      <c r="DK228" s="263"/>
      <c r="DL228" s="263"/>
      <c r="DM228" s="263"/>
      <c r="DN228" s="263"/>
      <c r="DO228" s="263"/>
      <c r="DP228" s="263"/>
      <c r="DQ228" s="263"/>
      <c r="DR228" s="263"/>
      <c r="DS228" s="263"/>
      <c r="DT228" s="263"/>
      <c r="DU228" s="263"/>
      <c r="DV228" s="263"/>
      <c r="DW228" s="263"/>
      <c r="DX228" s="263"/>
      <c r="DY228" s="263"/>
      <c r="DZ228" s="263"/>
      <c r="EA228" s="263"/>
      <c r="EB228" s="263"/>
      <c r="EC228" s="263"/>
      <c r="ED228" s="263"/>
      <c r="EE228" s="263"/>
      <c r="EF228" s="263"/>
      <c r="EG228" s="263"/>
      <c r="EH228" s="263"/>
      <c r="EI228" s="263"/>
      <c r="EJ228" s="263"/>
      <c r="EK228" s="263"/>
      <c r="EL228" s="263"/>
      <c r="EM228" s="263"/>
      <c r="EN228" s="263"/>
      <c r="EO228" s="263"/>
      <c r="EP228" s="263"/>
      <c r="EQ228" s="263"/>
      <c r="ER228" s="263"/>
      <c r="ES228" s="263"/>
      <c r="ET228" s="263"/>
      <c r="EU228" s="263"/>
      <c r="EV228" s="263"/>
      <c r="EW228" s="263"/>
      <c r="EX228" s="263"/>
      <c r="EY228" s="263"/>
      <c r="EZ228" s="263"/>
      <c r="FA228" s="263"/>
      <c r="FB228" s="263"/>
      <c r="FC228" s="263"/>
      <c r="FD228" s="263"/>
      <c r="FE228" s="263"/>
      <c r="FF228" s="263"/>
      <c r="FG228" s="263"/>
      <c r="FH228" s="263"/>
      <c r="FI228" s="263"/>
      <c r="FJ228" s="263"/>
      <c r="FK228" s="263"/>
      <c r="FL228" s="263"/>
      <c r="FM228" s="263"/>
      <c r="FN228" s="263"/>
      <c r="FO228" s="263"/>
      <c r="FP228" s="263"/>
      <c r="FQ228" s="263"/>
      <c r="FR228" s="263"/>
      <c r="FS228" s="263"/>
      <c r="FT228" s="263"/>
      <c r="FU228" s="263"/>
      <c r="FV228" s="263"/>
      <c r="FW228" s="263"/>
      <c r="FX228" s="263"/>
      <c r="FY228" s="263"/>
      <c r="FZ228" s="263"/>
      <c r="GA228" s="263"/>
      <c r="GB228" s="263"/>
      <c r="GC228" s="263"/>
      <c r="GD228" s="263"/>
      <c r="GE228" s="263"/>
      <c r="GF228" s="263"/>
      <c r="GG228" s="263"/>
      <c r="GH228" s="263"/>
      <c r="GI228" s="263"/>
      <c r="GJ228" s="263"/>
      <c r="GK228" s="263"/>
      <c r="GL228" s="263"/>
      <c r="GM228" s="263"/>
      <c r="GN228" s="263"/>
      <c r="GO228" s="263"/>
      <c r="GP228" s="263"/>
      <c r="GQ228" s="263"/>
      <c r="GR228" s="263"/>
      <c r="GS228" s="263"/>
      <c r="GT228" s="263"/>
      <c r="GU228" s="263"/>
      <c r="GV228" s="263"/>
      <c r="GW228" s="263"/>
      <c r="GX228" s="263"/>
      <c r="GY228" s="263"/>
    </row>
    <row r="229" spans="1:207" x14ac:dyDescent="0.15">
      <c r="B229" s="23"/>
      <c r="D229" s="282" t="s">
        <v>230</v>
      </c>
      <c r="F229" s="26" t="s">
        <v>341</v>
      </c>
      <c r="G229" s="271">
        <f ca="1">IF(G7&gt;SAP_Leadsheet!$E$21,0,SAP_Leadsheet!$E$42*G182*(1-SAP_Leadsheet!$E$104)/G172*G11)</f>
        <v>0</v>
      </c>
      <c r="H229" s="271">
        <f ca="1">IF(H7&gt;SAP_Leadsheet!$E$21,0,SAP_Leadsheet!$E$42*H182*(1-SAP_Leadsheet!$E$104)/H172*H11)</f>
        <v>2.2774808248247287E-4</v>
      </c>
      <c r="I229" s="271">
        <f ca="1">IF(I7&gt;SAP_Leadsheet!$E$21,0,SAP_Leadsheet!$E$42*I182*(1-SAP_Leadsheet!$E$104)/I172*I11)</f>
        <v>3.1410932345636003E-4</v>
      </c>
      <c r="J229" s="271">
        <f ca="1">IF(J7&gt;SAP_Leadsheet!$E$21,0,SAP_Leadsheet!$E$42*J182*(1-SAP_Leadsheet!$E$104)/J172*J11)</f>
        <v>3.3820503579655572E-4</v>
      </c>
      <c r="K229" s="271">
        <f ca="1">IF(K7&gt;SAP_Leadsheet!$E$21,0,SAP_Leadsheet!$E$42*K182*(1-SAP_Leadsheet!$E$104)/K172*K11)</f>
        <v>3.2955413695505149E-4</v>
      </c>
      <c r="L229" s="271">
        <f ca="1">IF(L7&gt;SAP_Leadsheet!$E$21,0,SAP_Leadsheet!$E$42*L182*(1-SAP_Leadsheet!$E$104)/L172*L11)</f>
        <v>3.043363123440309E-4</v>
      </c>
      <c r="M229" s="271">
        <f ca="1">IF(M7&gt;SAP_Leadsheet!$E$21,0,SAP_Leadsheet!$E$42*M182*(1-SAP_Leadsheet!$E$104)/M172*M11)</f>
        <v>2.7968660813886616E-4</v>
      </c>
      <c r="N229" s="271">
        <f ca="1">IF(N7&gt;SAP_Leadsheet!$E$21,0,SAP_Leadsheet!$E$42*N182*(1-SAP_Leadsheet!$E$104)/N172*N11)</f>
        <v>2.3967425823052097E-4</v>
      </c>
      <c r="O229" s="271">
        <f ca="1">IF(O7&gt;SAP_Leadsheet!$E$21,0,SAP_Leadsheet!$E$42*O182*(1-SAP_Leadsheet!$E$104)/O172*O11)</f>
        <v>2.1392626050928968E-4</v>
      </c>
      <c r="P229" s="271">
        <f ca="1">IF(P7&gt;SAP_Leadsheet!$E$21,0,SAP_Leadsheet!$E$42*P182*(1-SAP_Leadsheet!$E$104)/P172*P11)</f>
        <v>1.9620803125018201E-4</v>
      </c>
      <c r="Q229" s="271">
        <f ca="1">IF(Q7&gt;SAP_Leadsheet!$E$21,0,SAP_Leadsheet!$E$42*Q182*(1-SAP_Leadsheet!$E$104)/Q172*Q11)</f>
        <v>1.8131770620340569E-4</v>
      </c>
      <c r="R229" s="271">
        <f ca="1">IF(R7&gt;SAP_Leadsheet!$E$21,0,SAP_Leadsheet!$E$42*R182*(1-SAP_Leadsheet!$E$104)/R172*R11)</f>
        <v>1.6859840383316859E-4</v>
      </c>
      <c r="S229" s="271">
        <f ca="1">IF(S7&gt;SAP_Leadsheet!$E$21,0,SAP_Leadsheet!$E$42*S182*(1-SAP_Leadsheet!$E$104)/S172*S11)</f>
        <v>8.7263458066097675E-5</v>
      </c>
      <c r="T229" s="271">
        <f ca="1">IF(T7&gt;SAP_Leadsheet!$E$21,0,SAP_Leadsheet!$E$42*T182*(1-SAP_Leadsheet!$E$104)/T172*T11)</f>
        <v>8.3886891868397754E-5</v>
      </c>
      <c r="U229" s="271">
        <f ca="1">IF(U7&gt;SAP_Leadsheet!$E$21,0,SAP_Leadsheet!$E$42*U182*(1-SAP_Leadsheet!$E$104)/U172*U11)</f>
        <v>9.5765017037320938E-5</v>
      </c>
      <c r="V229" s="271">
        <f ca="1">IF(V7&gt;SAP_Leadsheet!$E$21,0,SAP_Leadsheet!$E$42*V182*(1-SAP_Leadsheet!$E$104)/V172*V11)</f>
        <v>1.0325366482311496E-4</v>
      </c>
      <c r="W229" s="271">
        <f ca="1">IF(W7&gt;SAP_Leadsheet!$E$21,0,SAP_Leadsheet!$E$42*W182*(1-SAP_Leadsheet!$E$104)/W172*W11)</f>
        <v>9.7376883913627822E-5</v>
      </c>
      <c r="X229" s="271">
        <f ca="1">IF(X7&gt;SAP_Leadsheet!$E$21,0,SAP_Leadsheet!$E$42*X182*(1-SAP_Leadsheet!$E$104)/X172*X11)</f>
        <v>9.5880054449410811E-5</v>
      </c>
      <c r="Y229" s="271">
        <f ca="1">IF(Y7&gt;SAP_Leadsheet!$E$21,0,SAP_Leadsheet!$E$42*Y182*(1-SAP_Leadsheet!$E$104)/Y172*Y11)</f>
        <v>9.5720875692229448E-5</v>
      </c>
      <c r="Z229" s="271">
        <f ca="1">IF(Z7&gt;SAP_Leadsheet!$E$21,0,SAP_Leadsheet!$E$42*Z182*(1-SAP_Leadsheet!$E$104)/Z172*Z11)</f>
        <v>9.4006741814210246E-5</v>
      </c>
      <c r="AA229" s="271">
        <f ca="1">IF(AA7&gt;SAP_Leadsheet!$E$21,0,SAP_Leadsheet!$E$42*AA182*(1-SAP_Leadsheet!$E$104)/AA172*AA11)</f>
        <v>9.2183314159955125E-5</v>
      </c>
      <c r="AB229" s="271">
        <f ca="1">IF(AB7&gt;SAP_Leadsheet!$E$21,0,SAP_Leadsheet!$E$42*AB182*(1-SAP_Leadsheet!$E$104)/AB172*AB11)</f>
        <v>9.0007860518543826E-5</v>
      </c>
      <c r="AC229" s="271">
        <f ca="1">IF(AC7&gt;SAP_Leadsheet!$E$21,0,SAP_Leadsheet!$E$42*AC182*(1-SAP_Leadsheet!$E$104)/AC172*AC11)</f>
        <v>8.4275570114142367E-5</v>
      </c>
      <c r="AD229" s="271">
        <f ca="1">IF(AD7&gt;SAP_Leadsheet!$E$21,0,SAP_Leadsheet!$E$42*AD182*(1-SAP_Leadsheet!$E$104)/AD172*AD11)</f>
        <v>8.4696981180615587E-5</v>
      </c>
      <c r="AE229" s="271">
        <f ca="1">IF(AE7&gt;SAP_Leadsheet!$E$21,0,SAP_Leadsheet!$E$42*AE182*(1-SAP_Leadsheet!$E$104)/AE172*AE11)</f>
        <v>6.720697064374239E-5</v>
      </c>
      <c r="AF229" s="271">
        <f ca="1">IF(AF7&gt;SAP_Leadsheet!$E$21,0,SAP_Leadsheet!$E$42*AF182*(1-SAP_Leadsheet!$E$104)/AF172*AF11)</f>
        <v>6.4230018158679611E-5</v>
      </c>
      <c r="AG229" s="271">
        <f ca="1">IF(AG7&gt;SAP_Leadsheet!$E$21,0,SAP_Leadsheet!$E$42*AG182*(1-SAP_Leadsheet!$E$104)/AG172*AG11)</f>
        <v>6.5024684380559378E-5</v>
      </c>
      <c r="AH229" s="271">
        <f ca="1">IF(AH7&gt;SAP_Leadsheet!$E$21,0,SAP_Leadsheet!$E$42*AH182*(1-SAP_Leadsheet!$E$104)/AH172*AH11)</f>
        <v>6.5834714139344062E-5</v>
      </c>
      <c r="AI229" s="271">
        <f ca="1">IF(AI7&gt;SAP_Leadsheet!$E$21,0,SAP_Leadsheet!$E$42*AI182*(1-SAP_Leadsheet!$E$104)/AI172*AI11)</f>
        <v>6.568089752373206E-5</v>
      </c>
      <c r="AJ229" s="271">
        <f ca="1">IF(AJ7&gt;SAP_Leadsheet!$E$21,0,SAP_Leadsheet!$E$42*AJ182*(1-SAP_Leadsheet!$E$104)/AJ172*AJ11)</f>
        <v>6.4683070390440835E-5</v>
      </c>
      <c r="AK229" s="271">
        <f ca="1">IF(AK7&gt;SAP_Leadsheet!$E$21,0,SAP_Leadsheet!$E$42*AK182*(1-SAP_Leadsheet!$E$104)/AK172*AK11)</f>
        <v>6.3263254857077669E-5</v>
      </c>
      <c r="AL229" s="271">
        <f ca="1">IF(AL7&gt;SAP_Leadsheet!$E$21,0,SAP_Leadsheet!$E$42*AL182*(1-SAP_Leadsheet!$E$104)/AL172*AL11)</f>
        <v>5.97352392106927E-5</v>
      </c>
      <c r="AM229" s="271">
        <f ca="1">IF(AM7&gt;SAP_Leadsheet!$E$21,0,SAP_Leadsheet!$E$42*AM182*(1-SAP_Leadsheet!$E$104)/AM172*AM11)</f>
        <v>6.020764228626864E-5</v>
      </c>
      <c r="AN229" s="271">
        <f ca="1">IF(AN7&gt;SAP_Leadsheet!$E$21,0,SAP_Leadsheet!$E$42*AN182*(1-SAP_Leadsheet!$E$104)/AN172*AN11)</f>
        <v>5.8961926798969079E-5</v>
      </c>
      <c r="AO229" s="271">
        <f ca="1">IF(AO7&gt;SAP_Leadsheet!$E$21,0,SAP_Leadsheet!$E$42*AO182*(1-SAP_Leadsheet!$E$104)/AO172*AO11)</f>
        <v>5.7142147786608034E-5</v>
      </c>
      <c r="AP229" s="271">
        <f ca="1">IF(AP7&gt;SAP_Leadsheet!$E$21,0,SAP_Leadsheet!$E$42*AP182*(1-SAP_Leadsheet!$E$104)/AP172*AP11)</f>
        <v>5.5263556760604365E-5</v>
      </c>
      <c r="AQ229" s="271">
        <f ca="1">IF(AQ7&gt;SAP_Leadsheet!$E$21,0,SAP_Leadsheet!$E$42*AQ182*(1-SAP_Leadsheet!$E$104)/AQ172*AQ11)</f>
        <v>4.4762368165822037E-5</v>
      </c>
      <c r="AR229" s="271">
        <f ca="1">IF(AR7&gt;SAP_Leadsheet!$E$21,0,SAP_Leadsheet!$E$42*AR182*(1-SAP_Leadsheet!$E$104)/AR172*AR11)</f>
        <v>4.3880291071335606E-5</v>
      </c>
      <c r="AS229" s="271">
        <f ca="1">IF(AS7&gt;SAP_Leadsheet!$E$21,0,SAP_Leadsheet!$E$42*AS182*(1-SAP_Leadsheet!$E$104)/AS172*AS11)</f>
        <v>4.3068404365574568E-5</v>
      </c>
      <c r="AT229" s="271">
        <f ca="1">IF(AT7&gt;SAP_Leadsheet!$E$21,0,SAP_Leadsheet!$E$42*AT182*(1-SAP_Leadsheet!$E$104)/AT172*AT11)</f>
        <v>4.2335501037024655E-5</v>
      </c>
      <c r="AU229" s="271">
        <f ca="1">IF(AU7&gt;SAP_Leadsheet!$E$21,0,SAP_Leadsheet!$E$42*AU182*(1-SAP_Leadsheet!$E$104)/AU172*AU11)</f>
        <v>4.1605887737736138E-5</v>
      </c>
      <c r="AV229" s="271">
        <f ca="1">IF(AV7&gt;SAP_Leadsheet!$E$21,0,SAP_Leadsheet!$E$42*AV182*(1-SAP_Leadsheet!$E$104)/AV172*AV11)</f>
        <v>4.0848857809815814E-5</v>
      </c>
      <c r="AW229" s="271">
        <f ca="1">IF(AW7&gt;SAP_Leadsheet!$E$21,0,SAP_Leadsheet!$E$42*AW182*(1-SAP_Leadsheet!$E$104)/AW172*AW11)</f>
        <v>4.0038520527141211E-5</v>
      </c>
      <c r="AX229" s="271">
        <f ca="1">IF(AX7&gt;SAP_Leadsheet!$E$21,0,SAP_Leadsheet!$E$42*AX182*(1-SAP_Leadsheet!$E$104)/AX172*AX11)</f>
        <v>3.908358460323311E-5</v>
      </c>
      <c r="AY229" s="271">
        <f ca="1">IF(AY7&gt;SAP_Leadsheet!$E$21,0,SAP_Leadsheet!$E$42*AY182*(1-SAP_Leadsheet!$E$104)/AY172*AY11)</f>
        <v>3.814896116661213E-5</v>
      </c>
      <c r="AZ229" s="271">
        <f ca="1">IF(AZ7&gt;SAP_Leadsheet!$E$21,0,SAP_Leadsheet!$E$42*AZ182*(1-SAP_Leadsheet!$E$104)/AZ172*AZ11)</f>
        <v>3.723341965537258E-5</v>
      </c>
      <c r="BA229" s="271">
        <f ca="1">IF(BA7&gt;SAP_Leadsheet!$E$21,0,SAP_Leadsheet!$E$42*BA182*(1-SAP_Leadsheet!$E$104)/BA172*BA11)</f>
        <v>3.6288167040763033E-5</v>
      </c>
      <c r="BB229" s="271">
        <f ca="1">IF(BB7&gt;SAP_Leadsheet!$E$21,0,SAP_Leadsheet!$E$42*BB182*(1-SAP_Leadsheet!$E$104)/BB172*BB11)</f>
        <v>3.5313644403827871E-5</v>
      </c>
      <c r="BC229" s="271">
        <f ca="1">IF(BC7&gt;SAP_Leadsheet!$E$21,0,SAP_Leadsheet!$E$42*BC182*(1-SAP_Leadsheet!$E$104)/BC172*BC11)</f>
        <v>3.0237885740607624E-5</v>
      </c>
      <c r="BD229" s="271">
        <f ca="1">IF(BD7&gt;SAP_Leadsheet!$E$21,0,SAP_Leadsheet!$E$42*BD182*(1-SAP_Leadsheet!$E$104)/BD172*BD11)</f>
        <v>2.9492067619597199E-5</v>
      </c>
      <c r="BE229" s="271">
        <f ca="1">IF(BE7&gt;SAP_Leadsheet!$E$21,0,SAP_Leadsheet!$E$42*BE182*(1-SAP_Leadsheet!$E$104)/BE172*BE11)</f>
        <v>2.8735293243636566E-5</v>
      </c>
      <c r="BF229" s="271">
        <f ca="1">IF(BF7&gt;SAP_Leadsheet!$E$21,0,SAP_Leadsheet!$E$42*BF182*(1-SAP_Leadsheet!$E$104)/BF172*BF11)</f>
        <v>2.7978599173948364E-5</v>
      </c>
      <c r="BG229" s="271">
        <f ca="1">IF(BG7&gt;SAP_Leadsheet!$E$21,0,SAP_Leadsheet!$E$42*BG182*(1-SAP_Leadsheet!$E$104)/BG172*BG11)</f>
        <v>2.7222281930905072E-5</v>
      </c>
      <c r="BH229" s="271">
        <f ca="1">IF(BH7&gt;SAP_Leadsheet!$E$21,0,SAP_Leadsheet!$E$42*BH182*(1-SAP_Leadsheet!$E$104)/BH172*BH11)</f>
        <v>2.6465403245234894E-5</v>
      </c>
      <c r="BI229" s="271">
        <f ca="1">IF(BI7&gt;SAP_Leadsheet!$E$21,0,SAP_Leadsheet!$E$42*BI182*(1-SAP_Leadsheet!$E$104)/BI172*BI11)</f>
        <v>2.5705942029398581E-5</v>
      </c>
      <c r="BJ229" s="271">
        <f ca="1">IF(BJ7&gt;SAP_Leadsheet!$E$21,0,SAP_Leadsheet!$E$42*BJ182*(1-SAP_Leadsheet!$E$104)/BJ172*BJ11)</f>
        <v>2.4888278940094563E-5</v>
      </c>
      <c r="BK229" s="271">
        <f ca="1">IF(BK7&gt;SAP_Leadsheet!$E$21,0,SAP_Leadsheet!$E$42*BK182*(1-SAP_Leadsheet!$E$104)/BK172*BK11)</f>
        <v>2.4078248251825444E-5</v>
      </c>
      <c r="BL229" s="271">
        <f ca="1">IF(BL7&gt;SAP_Leadsheet!$E$21,0,SAP_Leadsheet!$E$42*BL182*(1-SAP_Leadsheet!$E$104)/BL172*BL11)</f>
        <v>2.3280326614027322E-5</v>
      </c>
      <c r="BM229" s="271">
        <f ca="1">IF(BM7&gt;SAP_Leadsheet!$E$21,0,SAP_Leadsheet!$E$42*BM182*(1-SAP_Leadsheet!$E$104)/BM172*BM11)</f>
        <v>2.2474766728519256E-5</v>
      </c>
      <c r="BN229" s="271">
        <f ca="1">IF(BN7&gt;SAP_Leadsheet!$E$21,0,SAP_Leadsheet!$E$42*BN182*(1-SAP_Leadsheet!$E$104)/BN172*BN11)</f>
        <v>2.1660010058388607E-5</v>
      </c>
      <c r="BO229" s="263"/>
      <c r="BP229" s="263"/>
      <c r="BQ229" s="263"/>
      <c r="BR229" s="263"/>
      <c r="BS229" s="263"/>
      <c r="BT229" s="263"/>
      <c r="BU229" s="263"/>
      <c r="BV229" s="263"/>
      <c r="BW229" s="263"/>
      <c r="BX229" s="263"/>
      <c r="BY229" s="263"/>
      <c r="BZ229" s="263"/>
      <c r="CA229" s="263"/>
      <c r="CB229" s="263"/>
      <c r="CC229" s="263"/>
      <c r="CD229" s="263"/>
      <c r="CE229" s="263"/>
      <c r="CF229" s="263"/>
      <c r="CG229" s="263"/>
      <c r="CH229" s="263"/>
      <c r="CI229" s="263"/>
      <c r="CJ229" s="263"/>
      <c r="CK229" s="263"/>
      <c r="CL229" s="263"/>
      <c r="CM229" s="263"/>
      <c r="CN229" s="263"/>
      <c r="CO229" s="263"/>
      <c r="CP229" s="263"/>
      <c r="CQ229" s="263"/>
      <c r="CR229" s="263"/>
      <c r="CS229" s="263"/>
      <c r="CT229" s="263"/>
      <c r="CU229" s="263"/>
      <c r="CV229" s="263"/>
      <c r="CW229" s="263"/>
      <c r="CX229" s="263"/>
      <c r="CY229" s="263"/>
      <c r="CZ229" s="263"/>
      <c r="DA229" s="263"/>
      <c r="DB229" s="263"/>
      <c r="DC229" s="263"/>
      <c r="DD229" s="263"/>
      <c r="DE229" s="263"/>
      <c r="DF229" s="263"/>
      <c r="DG229" s="263"/>
      <c r="DH229" s="263"/>
      <c r="DI229" s="263"/>
      <c r="DJ229" s="263"/>
      <c r="DK229" s="263"/>
      <c r="DL229" s="263"/>
      <c r="DM229" s="263"/>
      <c r="DN229" s="263"/>
      <c r="DO229" s="263"/>
      <c r="DP229" s="263"/>
      <c r="DQ229" s="263"/>
      <c r="DR229" s="263"/>
      <c r="DS229" s="263"/>
      <c r="DT229" s="263"/>
      <c r="DU229" s="263"/>
      <c r="DV229" s="263"/>
      <c r="DW229" s="263"/>
      <c r="DX229" s="263"/>
      <c r="DY229" s="263"/>
      <c r="DZ229" s="263"/>
      <c r="EA229" s="263"/>
      <c r="EB229" s="263"/>
      <c r="EC229" s="263"/>
      <c r="ED229" s="263"/>
      <c r="EE229" s="263"/>
      <c r="EF229" s="263"/>
      <c r="EG229" s="263"/>
      <c r="EH229" s="263"/>
      <c r="EI229" s="263"/>
      <c r="EJ229" s="263"/>
      <c r="EK229" s="263"/>
      <c r="EL229" s="263"/>
      <c r="EM229" s="263"/>
      <c r="EN229" s="263"/>
      <c r="EO229" s="263"/>
      <c r="EP229" s="263"/>
      <c r="EQ229" s="263"/>
      <c r="ER229" s="263"/>
      <c r="ES229" s="263"/>
      <c r="ET229" s="263"/>
      <c r="EU229" s="263"/>
      <c r="EV229" s="263"/>
      <c r="EW229" s="263"/>
      <c r="EX229" s="263"/>
      <c r="EY229" s="263"/>
      <c r="EZ229" s="263"/>
      <c r="FA229" s="263"/>
      <c r="FB229" s="263"/>
      <c r="FC229" s="263"/>
      <c r="FD229" s="263"/>
      <c r="FE229" s="263"/>
      <c r="FF229" s="263"/>
      <c r="FG229" s="263"/>
      <c r="FH229" s="263"/>
      <c r="FI229" s="263"/>
      <c r="FJ229" s="263"/>
      <c r="FK229" s="263"/>
      <c r="FL229" s="263"/>
      <c r="FM229" s="263"/>
      <c r="FN229" s="263"/>
      <c r="FO229" s="263"/>
      <c r="FP229" s="263"/>
      <c r="FQ229" s="263"/>
      <c r="FR229" s="263"/>
      <c r="FS229" s="263"/>
      <c r="FT229" s="263"/>
      <c r="FU229" s="263"/>
      <c r="FV229" s="263"/>
      <c r="FW229" s="263"/>
      <c r="FX229" s="263"/>
      <c r="FY229" s="263"/>
      <c r="FZ229" s="263"/>
      <c r="GA229" s="263"/>
      <c r="GB229" s="263"/>
      <c r="GC229" s="263"/>
      <c r="GD229" s="263"/>
      <c r="GE229" s="263"/>
      <c r="GF229" s="263"/>
      <c r="GG229" s="263"/>
      <c r="GH229" s="263"/>
      <c r="GI229" s="263"/>
      <c r="GJ229" s="263"/>
      <c r="GK229" s="263"/>
      <c r="GL229" s="263"/>
      <c r="GM229" s="263"/>
      <c r="GN229" s="263"/>
      <c r="GO229" s="263"/>
      <c r="GP229" s="263"/>
      <c r="GQ229" s="263"/>
      <c r="GR229" s="263"/>
      <c r="GS229" s="263"/>
      <c r="GT229" s="263"/>
      <c r="GU229" s="263"/>
      <c r="GV229" s="263"/>
      <c r="GW229" s="263"/>
      <c r="GX229" s="263"/>
      <c r="GY229" s="263"/>
    </row>
    <row r="230" spans="1:207" x14ac:dyDescent="0.15">
      <c r="D230" s="26" t="s">
        <v>74</v>
      </c>
      <c r="F230" s="26" t="s">
        <v>341</v>
      </c>
      <c r="G230" s="263">
        <f ca="1">IF(G7&gt;SAP_Leadsheet!$E$21,0,SAP_Leadsheet!$E$45*G211*G209)</f>
        <v>0</v>
      </c>
      <c r="H230" s="263">
        <f ca="1">IF(H7&gt;SAP_Leadsheet!$E$21,0,SAP_Leadsheet!$E$45*H211*H209)</f>
        <v>0</v>
      </c>
      <c r="I230" s="263">
        <f ca="1">IF(I7&gt;SAP_Leadsheet!$E$21,0,SAP_Leadsheet!$E$45*I211*I209)</f>
        <v>0</v>
      </c>
      <c r="J230" s="263">
        <f ca="1">IF(J7&gt;SAP_Leadsheet!$E$21,0,SAP_Leadsheet!$E$45*J211*J209)</f>
        <v>0</v>
      </c>
      <c r="K230" s="263">
        <f ca="1">IF(K7&gt;SAP_Leadsheet!$E$21,0,SAP_Leadsheet!$E$45*K211*K209)</f>
        <v>0</v>
      </c>
      <c r="L230" s="263">
        <f ca="1">IF(L7&gt;SAP_Leadsheet!$E$21,0,SAP_Leadsheet!$E$45*L211*L209)</f>
        <v>0</v>
      </c>
      <c r="M230" s="263">
        <f ca="1">IF(M7&gt;SAP_Leadsheet!$E$21,0,SAP_Leadsheet!$E$45*M211*M209)</f>
        <v>0</v>
      </c>
      <c r="N230" s="263">
        <f ca="1">IF(N7&gt;SAP_Leadsheet!$E$21,0,SAP_Leadsheet!$E$45*N211*N209)</f>
        <v>0</v>
      </c>
      <c r="O230" s="263">
        <f ca="1">IF(O7&gt;SAP_Leadsheet!$E$21,0,SAP_Leadsheet!$E$45*O211*O209)</f>
        <v>0</v>
      </c>
      <c r="P230" s="263">
        <f ca="1">IF(P7&gt;SAP_Leadsheet!$E$21,0,SAP_Leadsheet!$E$45*P211*P209)</f>
        <v>0</v>
      </c>
      <c r="Q230" s="263">
        <f ca="1">IF(Q7&gt;SAP_Leadsheet!$E$21,0,SAP_Leadsheet!$E$45*Q211*Q209)</f>
        <v>0</v>
      </c>
      <c r="R230" s="263">
        <f ca="1">IF(R7&gt;SAP_Leadsheet!$E$21,0,SAP_Leadsheet!$E$45*R211*R209)</f>
        <v>0</v>
      </c>
      <c r="S230" s="263">
        <f ca="1">IF(S7&gt;SAP_Leadsheet!$E$21,0,SAP_Leadsheet!$E$45*S211*S209)</f>
        <v>0</v>
      </c>
      <c r="T230" s="263">
        <f ca="1">IF(T7&gt;SAP_Leadsheet!$E$21,0,SAP_Leadsheet!$E$45*T211*T209)</f>
        <v>0</v>
      </c>
      <c r="U230" s="263">
        <f ca="1">IF(U7&gt;SAP_Leadsheet!$E$21,0,SAP_Leadsheet!$E$45*U211*U209)</f>
        <v>0</v>
      </c>
      <c r="V230" s="263">
        <f ca="1">IF(V7&gt;SAP_Leadsheet!$E$21,0,SAP_Leadsheet!$E$45*V211*V209)</f>
        <v>0</v>
      </c>
      <c r="W230" s="263">
        <f ca="1">IF(W7&gt;SAP_Leadsheet!$E$21,0,SAP_Leadsheet!$E$45*W211*W209)</f>
        <v>0</v>
      </c>
      <c r="X230" s="263">
        <f ca="1">IF(X7&gt;SAP_Leadsheet!$E$21,0,SAP_Leadsheet!$E$45*X211*X209)</f>
        <v>0</v>
      </c>
      <c r="Y230" s="263">
        <f ca="1">IF(Y7&gt;SAP_Leadsheet!$E$21,0,SAP_Leadsheet!$E$45*Y211*Y209)</f>
        <v>0</v>
      </c>
      <c r="Z230" s="263">
        <f ca="1">IF(Z7&gt;SAP_Leadsheet!$E$21,0,SAP_Leadsheet!$E$45*Z211*Z209)</f>
        <v>0</v>
      </c>
      <c r="AA230" s="263">
        <f ca="1">IF(AA7&gt;SAP_Leadsheet!$E$21,0,SAP_Leadsheet!$E$45*AA211*AA209)</f>
        <v>0</v>
      </c>
      <c r="AB230" s="263">
        <f ca="1">IF(AB7&gt;SAP_Leadsheet!$E$21,0,SAP_Leadsheet!$E$45*AB211*AB209)</f>
        <v>0</v>
      </c>
      <c r="AC230" s="263">
        <f ca="1">IF(AC7&gt;SAP_Leadsheet!$E$21,0,SAP_Leadsheet!$E$45*AC211*AC209)</f>
        <v>0</v>
      </c>
      <c r="AD230" s="263">
        <f ca="1">IF(AD7&gt;SAP_Leadsheet!$E$21,0,SAP_Leadsheet!$E$45*AD211*AD209)</f>
        <v>0</v>
      </c>
      <c r="AE230" s="263">
        <f ca="1">IF(AE7&gt;SAP_Leadsheet!$E$21,0,SAP_Leadsheet!$E$45*AE211*AE209)</f>
        <v>0</v>
      </c>
      <c r="AF230" s="263">
        <f ca="1">IF(AF7&gt;SAP_Leadsheet!$E$21,0,SAP_Leadsheet!$E$45*AF211*AF209)</f>
        <v>0</v>
      </c>
      <c r="AG230" s="263">
        <f ca="1">IF(AG7&gt;SAP_Leadsheet!$E$21,0,SAP_Leadsheet!$E$45*AG211*AG209)</f>
        <v>0</v>
      </c>
      <c r="AH230" s="263">
        <f ca="1">IF(AH7&gt;SAP_Leadsheet!$E$21,0,SAP_Leadsheet!$E$45*AH211*AH209)</f>
        <v>0</v>
      </c>
      <c r="AI230" s="263">
        <f ca="1">IF(AI7&gt;SAP_Leadsheet!$E$21,0,SAP_Leadsheet!$E$45*AI211*AI209)</f>
        <v>0</v>
      </c>
      <c r="AJ230" s="263">
        <f ca="1">IF(AJ7&gt;SAP_Leadsheet!$E$21,0,SAP_Leadsheet!$E$45*AJ211*AJ209)</f>
        <v>0</v>
      </c>
      <c r="AK230" s="263">
        <f ca="1">IF(AK7&gt;SAP_Leadsheet!$E$21,0,SAP_Leadsheet!$E$45*AK211*AK209)</f>
        <v>0</v>
      </c>
      <c r="AL230" s="263">
        <f ca="1">IF(AL7&gt;SAP_Leadsheet!$E$21,0,SAP_Leadsheet!$E$45*AL211*AL209)</f>
        <v>0</v>
      </c>
      <c r="AM230" s="263">
        <f ca="1">IF(AM7&gt;SAP_Leadsheet!$E$21,0,SAP_Leadsheet!$E$45*AM211*AM209)</f>
        <v>0</v>
      </c>
      <c r="AN230" s="263">
        <f ca="1">IF(AN7&gt;SAP_Leadsheet!$E$21,0,SAP_Leadsheet!$E$45*AN211*AN209)</f>
        <v>0</v>
      </c>
      <c r="AO230" s="263">
        <f ca="1">IF(AO7&gt;SAP_Leadsheet!$E$21,0,SAP_Leadsheet!$E$45*AO211*AO209)</f>
        <v>0</v>
      </c>
      <c r="AP230" s="263">
        <f ca="1">IF(AP7&gt;SAP_Leadsheet!$E$21,0,SAP_Leadsheet!$E$45*AP211*AP209)</f>
        <v>0</v>
      </c>
      <c r="AQ230" s="263">
        <f ca="1">IF(AQ7&gt;SAP_Leadsheet!$E$21,0,SAP_Leadsheet!$E$45*AQ211*AQ209)</f>
        <v>0</v>
      </c>
      <c r="AR230" s="263">
        <f ca="1">IF(AR7&gt;SAP_Leadsheet!$E$21,0,SAP_Leadsheet!$E$45*AR211*AR209)</f>
        <v>0</v>
      </c>
      <c r="AS230" s="263">
        <f ca="1">IF(AS7&gt;SAP_Leadsheet!$E$21,0,SAP_Leadsheet!$E$45*AS211*AS209)</f>
        <v>0</v>
      </c>
      <c r="AT230" s="263">
        <f ca="1">IF(AT7&gt;SAP_Leadsheet!$E$21,0,SAP_Leadsheet!$E$45*AT211*AT209)</f>
        <v>0</v>
      </c>
      <c r="AU230" s="263">
        <f ca="1">IF(AU7&gt;SAP_Leadsheet!$E$21,0,SAP_Leadsheet!$E$45*AU211*AU209)</f>
        <v>0</v>
      </c>
      <c r="AV230" s="263">
        <f ca="1">IF(AV7&gt;SAP_Leadsheet!$E$21,0,SAP_Leadsheet!$E$45*AV211*AV209)</f>
        <v>0</v>
      </c>
      <c r="AW230" s="263">
        <f ca="1">IF(AW7&gt;SAP_Leadsheet!$E$21,0,SAP_Leadsheet!$E$45*AW211*AW209)</f>
        <v>0</v>
      </c>
      <c r="AX230" s="263">
        <f ca="1">IF(AX7&gt;SAP_Leadsheet!$E$21,0,SAP_Leadsheet!$E$45*AX211*AX209)</f>
        <v>0</v>
      </c>
      <c r="AY230" s="263">
        <f ca="1">IF(AY7&gt;SAP_Leadsheet!$E$21,0,SAP_Leadsheet!$E$45*AY211*AY209)</f>
        <v>0</v>
      </c>
      <c r="AZ230" s="263">
        <f ca="1">IF(AZ7&gt;SAP_Leadsheet!$E$21,0,SAP_Leadsheet!$E$45*AZ211*AZ209)</f>
        <v>0</v>
      </c>
      <c r="BA230" s="263">
        <f ca="1">IF(BA7&gt;SAP_Leadsheet!$E$21,0,SAP_Leadsheet!$E$45*BA211*BA209)</f>
        <v>0</v>
      </c>
      <c r="BB230" s="263">
        <f ca="1">IF(BB7&gt;SAP_Leadsheet!$E$21,0,SAP_Leadsheet!$E$45*BB211*BB209)</f>
        <v>0</v>
      </c>
      <c r="BC230" s="263">
        <f ca="1">IF(BC7&gt;SAP_Leadsheet!$E$21,0,SAP_Leadsheet!$E$45*BC211*BC209)</f>
        <v>0</v>
      </c>
      <c r="BD230" s="263">
        <f ca="1">IF(BD7&gt;SAP_Leadsheet!$E$21,0,SAP_Leadsheet!$E$45*BD211*BD209)</f>
        <v>0</v>
      </c>
      <c r="BE230" s="263">
        <f ca="1">IF(BE7&gt;SAP_Leadsheet!$E$21,0,SAP_Leadsheet!$E$45*BE211*BE209)</f>
        <v>0</v>
      </c>
      <c r="BF230" s="263">
        <f ca="1">IF(BF7&gt;SAP_Leadsheet!$E$21,0,SAP_Leadsheet!$E$45*BF211*BF209)</f>
        <v>0</v>
      </c>
      <c r="BG230" s="263">
        <f ca="1">IF(BG7&gt;SAP_Leadsheet!$E$21,0,SAP_Leadsheet!$E$45*BG211*BG209)</f>
        <v>0</v>
      </c>
      <c r="BH230" s="263">
        <f ca="1">IF(BH7&gt;SAP_Leadsheet!$E$21,0,SAP_Leadsheet!$E$45*BH211*BH209)</f>
        <v>0</v>
      </c>
      <c r="BI230" s="263">
        <f ca="1">IF(BI7&gt;SAP_Leadsheet!$E$21,0,SAP_Leadsheet!$E$45*BI211*BI209)</f>
        <v>0</v>
      </c>
      <c r="BJ230" s="263">
        <f ca="1">IF(BJ7&gt;SAP_Leadsheet!$E$21,0,SAP_Leadsheet!$E$45*BJ211*BJ209)</f>
        <v>0</v>
      </c>
      <c r="BK230" s="263">
        <f ca="1">IF(BK7&gt;SAP_Leadsheet!$E$21,0,SAP_Leadsheet!$E$45*BK211*BK209)</f>
        <v>0</v>
      </c>
      <c r="BL230" s="263">
        <f ca="1">IF(BL7&gt;SAP_Leadsheet!$E$21,0,SAP_Leadsheet!$E$45*BL211*BL209)</f>
        <v>0</v>
      </c>
      <c r="BM230" s="263">
        <f ca="1">IF(BM7&gt;SAP_Leadsheet!$E$21,0,SAP_Leadsheet!$E$45*BM211*BM209)</f>
        <v>0</v>
      </c>
      <c r="BN230" s="263">
        <f ca="1">IF(BN7&gt;SAP_Leadsheet!$E$21,0,SAP_Leadsheet!$E$45*BN211*BN209)</f>
        <v>0</v>
      </c>
      <c r="BO230" s="263"/>
      <c r="BP230" s="263"/>
      <c r="BQ230" s="263"/>
      <c r="BR230" s="263"/>
      <c r="BS230" s="263"/>
      <c r="BT230" s="263"/>
      <c r="BU230" s="263"/>
      <c r="BV230" s="263"/>
      <c r="BW230" s="263"/>
      <c r="BX230" s="263"/>
      <c r="BY230" s="263"/>
      <c r="BZ230" s="263"/>
      <c r="CA230" s="263"/>
      <c r="CB230" s="263"/>
      <c r="CC230" s="263"/>
      <c r="CD230" s="263"/>
      <c r="CE230" s="263"/>
      <c r="CF230" s="263"/>
      <c r="CG230" s="263"/>
      <c r="CH230" s="263"/>
      <c r="CI230" s="263"/>
      <c r="CJ230" s="263"/>
      <c r="CK230" s="263"/>
      <c r="CL230" s="263"/>
      <c r="CM230" s="263"/>
      <c r="CN230" s="263"/>
      <c r="CO230" s="263"/>
      <c r="CP230" s="263"/>
      <c r="CQ230" s="263"/>
      <c r="CR230" s="263"/>
      <c r="CS230" s="263"/>
      <c r="CT230" s="263"/>
      <c r="CU230" s="263"/>
      <c r="CV230" s="263"/>
      <c r="CW230" s="263"/>
      <c r="CX230" s="263"/>
      <c r="CY230" s="263"/>
      <c r="CZ230" s="263"/>
      <c r="DA230" s="263"/>
      <c r="DB230" s="263"/>
      <c r="DC230" s="263"/>
      <c r="DD230" s="263"/>
      <c r="DE230" s="263"/>
      <c r="DF230" s="263"/>
      <c r="DG230" s="263"/>
      <c r="DH230" s="263"/>
      <c r="DI230" s="263"/>
      <c r="DJ230" s="263"/>
      <c r="DK230" s="263"/>
      <c r="DL230" s="263"/>
      <c r="DM230" s="263"/>
      <c r="DN230" s="263"/>
      <c r="DO230" s="263"/>
      <c r="DP230" s="263"/>
      <c r="DQ230" s="263"/>
      <c r="DR230" s="263"/>
      <c r="DS230" s="263"/>
      <c r="DT230" s="263"/>
      <c r="DU230" s="263"/>
      <c r="DV230" s="263"/>
      <c r="DW230" s="263"/>
      <c r="DX230" s="263"/>
      <c r="DY230" s="263"/>
      <c r="DZ230" s="263"/>
      <c r="EA230" s="263"/>
      <c r="EB230" s="263"/>
      <c r="EC230" s="263"/>
      <c r="ED230" s="263"/>
      <c r="EE230" s="263"/>
      <c r="EF230" s="263"/>
      <c r="EG230" s="263"/>
      <c r="EH230" s="263"/>
      <c r="EI230" s="263"/>
      <c r="EJ230" s="263"/>
      <c r="EK230" s="263"/>
      <c r="EL230" s="263"/>
      <c r="EM230" s="263"/>
      <c r="EN230" s="263"/>
      <c r="EO230" s="263"/>
      <c r="EP230" s="263"/>
      <c r="EQ230" s="263"/>
      <c r="ER230" s="263"/>
      <c r="ES230" s="263"/>
      <c r="ET230" s="263"/>
      <c r="EU230" s="263"/>
      <c r="EV230" s="263"/>
      <c r="EW230" s="263"/>
      <c r="EX230" s="263"/>
      <c r="EY230" s="263"/>
      <c r="EZ230" s="263"/>
      <c r="FA230" s="263"/>
      <c r="FB230" s="263"/>
      <c r="FC230" s="263"/>
      <c r="FD230" s="263"/>
      <c r="FE230" s="263"/>
      <c r="FF230" s="263"/>
      <c r="FG230" s="263"/>
      <c r="FH230" s="263"/>
      <c r="FI230" s="263"/>
      <c r="FJ230" s="263"/>
      <c r="FK230" s="263"/>
      <c r="FL230" s="263"/>
      <c r="FM230" s="263"/>
      <c r="FN230" s="263"/>
      <c r="FO230" s="263"/>
      <c r="FP230" s="263"/>
      <c r="FQ230" s="263"/>
      <c r="FR230" s="263"/>
      <c r="FS230" s="263"/>
      <c r="FT230" s="263"/>
      <c r="FU230" s="263"/>
      <c r="FV230" s="263"/>
      <c r="FW230" s="263"/>
      <c r="FX230" s="263"/>
      <c r="FY230" s="263"/>
      <c r="FZ230" s="263"/>
      <c r="GA230" s="263"/>
      <c r="GB230" s="263"/>
      <c r="GC230" s="263"/>
      <c r="GD230" s="263"/>
      <c r="GE230" s="263"/>
      <c r="GF230" s="263"/>
      <c r="GG230" s="263"/>
      <c r="GH230" s="263"/>
      <c r="GI230" s="263"/>
      <c r="GJ230" s="263"/>
      <c r="GK230" s="263"/>
      <c r="GL230" s="263"/>
      <c r="GM230" s="263"/>
      <c r="GN230" s="263"/>
      <c r="GO230" s="263"/>
      <c r="GP230" s="263"/>
      <c r="GQ230" s="263"/>
      <c r="GR230" s="263"/>
      <c r="GS230" s="263"/>
      <c r="GT230" s="263"/>
      <c r="GU230" s="263"/>
      <c r="GV230" s="263"/>
      <c r="GW230" s="263"/>
      <c r="GX230" s="263"/>
      <c r="GY230" s="263"/>
    </row>
    <row r="231" spans="1:207" s="266" customFormat="1" x14ac:dyDescent="0.15">
      <c r="A231" s="265"/>
      <c r="D231" s="26" t="s">
        <v>392</v>
      </c>
      <c r="F231" s="26" t="s">
        <v>341</v>
      </c>
      <c r="G231" s="263">
        <f>SUM(G232:G234)</f>
        <v>0</v>
      </c>
      <c r="H231" s="263">
        <f t="shared" ref="H231:BN231" ca="1" si="31">SUM(H232:H234)</f>
        <v>0</v>
      </c>
      <c r="I231" s="263">
        <f t="shared" ca="1" si="31"/>
        <v>0</v>
      </c>
      <c r="J231" s="263">
        <f t="shared" ca="1" si="31"/>
        <v>0</v>
      </c>
      <c r="K231" s="263">
        <f t="shared" ca="1" si="31"/>
        <v>0</v>
      </c>
      <c r="L231" s="263">
        <f t="shared" ca="1" si="31"/>
        <v>8.3104000000000025E-2</v>
      </c>
      <c r="M231" s="263">
        <f t="shared" ca="1" si="31"/>
        <v>0</v>
      </c>
      <c r="N231" s="263">
        <f t="shared" ca="1" si="31"/>
        <v>0</v>
      </c>
      <c r="O231" s="263">
        <f t="shared" ca="1" si="31"/>
        <v>0</v>
      </c>
      <c r="P231" s="263">
        <f t="shared" ca="1" si="31"/>
        <v>0</v>
      </c>
      <c r="Q231" s="263">
        <f t="shared" ca="1" si="31"/>
        <v>0</v>
      </c>
      <c r="R231" s="263">
        <f t="shared" ca="1" si="31"/>
        <v>0</v>
      </c>
      <c r="S231" s="263">
        <f t="shared" ca="1" si="31"/>
        <v>0</v>
      </c>
      <c r="T231" s="263">
        <f t="shared" ca="1" si="31"/>
        <v>0</v>
      </c>
      <c r="U231" s="263">
        <f t="shared" ca="1" si="31"/>
        <v>8.3104000000000025E-2</v>
      </c>
      <c r="V231" s="263">
        <f t="shared" ca="1" si="31"/>
        <v>0</v>
      </c>
      <c r="W231" s="263">
        <f t="shared" ca="1" si="31"/>
        <v>0</v>
      </c>
      <c r="X231" s="263">
        <f t="shared" ca="1" si="31"/>
        <v>0</v>
      </c>
      <c r="Y231" s="263">
        <f t="shared" ca="1" si="31"/>
        <v>0</v>
      </c>
      <c r="Z231" s="263">
        <f t="shared" ca="1" si="31"/>
        <v>0</v>
      </c>
      <c r="AA231" s="263">
        <f t="shared" ca="1" si="31"/>
        <v>0</v>
      </c>
      <c r="AB231" s="263">
        <f t="shared" ca="1" si="31"/>
        <v>0</v>
      </c>
      <c r="AC231" s="263">
        <f t="shared" ca="1" si="31"/>
        <v>0</v>
      </c>
      <c r="AD231" s="263">
        <f t="shared" ca="1" si="31"/>
        <v>8.3104000000000025E-2</v>
      </c>
      <c r="AE231" s="263">
        <f t="shared" ca="1" si="31"/>
        <v>0</v>
      </c>
      <c r="AF231" s="263">
        <f t="shared" ca="1" si="31"/>
        <v>0</v>
      </c>
      <c r="AG231" s="263">
        <f t="shared" ca="1" si="31"/>
        <v>0</v>
      </c>
      <c r="AH231" s="263">
        <f t="shared" ca="1" si="31"/>
        <v>0</v>
      </c>
      <c r="AI231" s="263">
        <f t="shared" ca="1" si="31"/>
        <v>0</v>
      </c>
      <c r="AJ231" s="263">
        <f t="shared" ca="1" si="31"/>
        <v>0</v>
      </c>
      <c r="AK231" s="263">
        <f t="shared" ca="1" si="31"/>
        <v>0</v>
      </c>
      <c r="AL231" s="263">
        <f t="shared" ca="1" si="31"/>
        <v>0</v>
      </c>
      <c r="AM231" s="263">
        <f t="shared" ca="1" si="31"/>
        <v>0</v>
      </c>
      <c r="AN231" s="263">
        <f t="shared" ca="1" si="31"/>
        <v>0</v>
      </c>
      <c r="AO231" s="263">
        <f t="shared" ca="1" si="31"/>
        <v>0</v>
      </c>
      <c r="AP231" s="263">
        <f t="shared" ca="1" si="31"/>
        <v>0</v>
      </c>
      <c r="AQ231" s="263">
        <f t="shared" ca="1" si="31"/>
        <v>0</v>
      </c>
      <c r="AR231" s="263">
        <f t="shared" ca="1" si="31"/>
        <v>0</v>
      </c>
      <c r="AS231" s="263">
        <f t="shared" ca="1" si="31"/>
        <v>0</v>
      </c>
      <c r="AT231" s="263">
        <f t="shared" ca="1" si="31"/>
        <v>0</v>
      </c>
      <c r="AU231" s="263">
        <f t="shared" ca="1" si="31"/>
        <v>0</v>
      </c>
      <c r="AV231" s="263">
        <f t="shared" ca="1" si="31"/>
        <v>0</v>
      </c>
      <c r="AW231" s="263">
        <f t="shared" ca="1" si="31"/>
        <v>0</v>
      </c>
      <c r="AX231" s="263">
        <f t="shared" ca="1" si="31"/>
        <v>0</v>
      </c>
      <c r="AY231" s="263">
        <f t="shared" ca="1" si="31"/>
        <v>0</v>
      </c>
      <c r="AZ231" s="263">
        <f t="shared" ca="1" si="31"/>
        <v>0</v>
      </c>
      <c r="BA231" s="263">
        <f t="shared" ca="1" si="31"/>
        <v>0</v>
      </c>
      <c r="BB231" s="263">
        <f t="shared" ca="1" si="31"/>
        <v>0</v>
      </c>
      <c r="BC231" s="263">
        <f t="shared" ca="1" si="31"/>
        <v>0</v>
      </c>
      <c r="BD231" s="263">
        <f t="shared" ca="1" si="31"/>
        <v>0</v>
      </c>
      <c r="BE231" s="263">
        <f t="shared" ca="1" si="31"/>
        <v>0</v>
      </c>
      <c r="BF231" s="263">
        <f t="shared" ca="1" si="31"/>
        <v>0</v>
      </c>
      <c r="BG231" s="263">
        <f t="shared" ca="1" si="31"/>
        <v>0</v>
      </c>
      <c r="BH231" s="263">
        <f t="shared" ca="1" si="31"/>
        <v>0</v>
      </c>
      <c r="BI231" s="263">
        <f t="shared" ca="1" si="31"/>
        <v>0</v>
      </c>
      <c r="BJ231" s="263">
        <f t="shared" ca="1" si="31"/>
        <v>0</v>
      </c>
      <c r="BK231" s="263">
        <f t="shared" ca="1" si="31"/>
        <v>0</v>
      </c>
      <c r="BL231" s="263">
        <f t="shared" ca="1" si="31"/>
        <v>0</v>
      </c>
      <c r="BM231" s="263">
        <f t="shared" ca="1" si="31"/>
        <v>0</v>
      </c>
      <c r="BN231" s="263">
        <f t="shared" ca="1" si="31"/>
        <v>0</v>
      </c>
      <c r="BO231" s="263"/>
      <c r="BP231" s="263"/>
      <c r="BQ231" s="263"/>
      <c r="BR231" s="263"/>
      <c r="BS231" s="263"/>
      <c r="BT231" s="263"/>
      <c r="BU231" s="263"/>
      <c r="BV231" s="263"/>
      <c r="BW231" s="263"/>
      <c r="BX231" s="263"/>
      <c r="BY231" s="263"/>
      <c r="BZ231" s="263"/>
      <c r="CA231" s="263"/>
      <c r="CB231" s="263"/>
      <c r="CC231" s="263"/>
      <c r="CD231" s="263"/>
      <c r="CE231" s="263"/>
      <c r="CF231" s="263"/>
      <c r="CG231" s="263"/>
      <c r="CH231" s="263"/>
      <c r="CI231" s="263"/>
      <c r="CJ231" s="263"/>
      <c r="CK231" s="263"/>
      <c r="CL231" s="263"/>
      <c r="CM231" s="263"/>
      <c r="CN231" s="263"/>
      <c r="CO231" s="263"/>
      <c r="CP231" s="263"/>
      <c r="CQ231" s="263"/>
      <c r="CR231" s="263"/>
      <c r="CS231" s="263"/>
      <c r="CT231" s="263"/>
      <c r="CU231" s="263"/>
      <c r="CV231" s="263"/>
      <c r="CW231" s="263"/>
      <c r="CX231" s="263"/>
      <c r="CY231" s="263"/>
      <c r="CZ231" s="263"/>
      <c r="DA231" s="263"/>
      <c r="DB231" s="263"/>
      <c r="DC231" s="263"/>
      <c r="DD231" s="263"/>
      <c r="DE231" s="263"/>
      <c r="DF231" s="263"/>
      <c r="DG231" s="263"/>
      <c r="DH231" s="263"/>
      <c r="DI231" s="263"/>
      <c r="DJ231" s="263"/>
      <c r="DK231" s="263"/>
      <c r="DL231" s="263"/>
      <c r="DM231" s="263"/>
      <c r="DN231" s="263"/>
      <c r="DO231" s="263"/>
      <c r="DP231" s="263"/>
      <c r="DQ231" s="263"/>
      <c r="DR231" s="263"/>
      <c r="DS231" s="263"/>
      <c r="DT231" s="263"/>
      <c r="DU231" s="263"/>
      <c r="DV231" s="263"/>
      <c r="DW231" s="263"/>
      <c r="DX231" s="263"/>
      <c r="DY231" s="263"/>
      <c r="DZ231" s="263"/>
      <c r="EA231" s="263"/>
      <c r="EB231" s="263"/>
      <c r="EC231" s="263"/>
      <c r="ED231" s="263"/>
      <c r="EE231" s="263"/>
      <c r="EF231" s="263"/>
      <c r="EG231" s="263"/>
      <c r="EH231" s="263"/>
      <c r="EI231" s="263"/>
      <c r="EJ231" s="263"/>
      <c r="EK231" s="263"/>
      <c r="EL231" s="263"/>
      <c r="EM231" s="263"/>
      <c r="EN231" s="263"/>
      <c r="EO231" s="263"/>
      <c r="EP231" s="263"/>
      <c r="EQ231" s="263"/>
      <c r="ER231" s="263"/>
      <c r="ES231" s="263"/>
      <c r="ET231" s="263"/>
      <c r="EU231" s="263"/>
      <c r="EV231" s="263"/>
      <c r="EW231" s="263"/>
      <c r="EX231" s="263"/>
      <c r="EY231" s="263"/>
      <c r="EZ231" s="263"/>
      <c r="FA231" s="263"/>
      <c r="FB231" s="263"/>
      <c r="FC231" s="263"/>
      <c r="FD231" s="263"/>
      <c r="FE231" s="263"/>
      <c r="FF231" s="263"/>
      <c r="FG231" s="263"/>
      <c r="FH231" s="263"/>
      <c r="FI231" s="263"/>
      <c r="FJ231" s="263"/>
      <c r="FK231" s="263"/>
      <c r="FL231" s="263"/>
      <c r="FM231" s="263"/>
      <c r="FN231" s="263"/>
      <c r="FO231" s="263"/>
      <c r="FP231" s="263"/>
      <c r="FQ231" s="263"/>
      <c r="FR231" s="263"/>
      <c r="FS231" s="263"/>
      <c r="FT231" s="263"/>
      <c r="FU231" s="263"/>
      <c r="FV231" s="263"/>
      <c r="FW231" s="263"/>
      <c r="FX231" s="263"/>
      <c r="FY231" s="263"/>
      <c r="FZ231" s="263"/>
      <c r="GA231" s="263"/>
      <c r="GB231" s="263"/>
      <c r="GC231" s="263"/>
      <c r="GD231" s="263"/>
      <c r="GE231" s="263"/>
      <c r="GF231" s="263"/>
      <c r="GG231" s="263"/>
      <c r="GH231" s="263"/>
      <c r="GI231" s="263"/>
      <c r="GJ231" s="263"/>
      <c r="GK231" s="263"/>
      <c r="GL231" s="263"/>
      <c r="GM231" s="263"/>
      <c r="GN231" s="263"/>
      <c r="GO231" s="263"/>
      <c r="GP231" s="263"/>
      <c r="GQ231" s="263"/>
      <c r="GR231" s="263"/>
      <c r="GS231" s="263"/>
      <c r="GT231" s="263"/>
      <c r="GU231" s="263"/>
      <c r="GV231" s="263"/>
      <c r="GW231" s="263"/>
      <c r="GX231" s="263"/>
      <c r="GY231" s="263"/>
    </row>
    <row r="232" spans="1:207" s="266" customFormat="1" x14ac:dyDescent="0.15">
      <c r="A232" s="265"/>
      <c r="D232" s="293" t="s">
        <v>393</v>
      </c>
      <c r="F232" s="26" t="s">
        <v>341</v>
      </c>
      <c r="G232" s="271">
        <f>-G40*SAP_Leadsheet!$E$50*SAP_Leadsheet!$E$51</f>
        <v>0</v>
      </c>
      <c r="H232" s="271">
        <f ca="1">-H40*SAP_Leadsheet!$E$50*SAP_Leadsheet!$E$51</f>
        <v>0</v>
      </c>
      <c r="I232" s="271">
        <f ca="1">-I40*SAP_Leadsheet!$E$50*SAP_Leadsheet!$E$51</f>
        <v>0</v>
      </c>
      <c r="J232" s="271">
        <f ca="1">-J40*SAP_Leadsheet!$E$50*SAP_Leadsheet!$E$51</f>
        <v>0</v>
      </c>
      <c r="K232" s="271">
        <f ca="1">-K40*SAP_Leadsheet!$E$50*SAP_Leadsheet!$E$51</f>
        <v>0</v>
      </c>
      <c r="L232" s="271">
        <f ca="1">-L40*SAP_Leadsheet!$E$50*SAP_Leadsheet!$E$51</f>
        <v>0</v>
      </c>
      <c r="M232" s="271">
        <f ca="1">-M40*SAP_Leadsheet!$E$50*SAP_Leadsheet!$E$51</f>
        <v>0</v>
      </c>
      <c r="N232" s="271">
        <f ca="1">-N40*SAP_Leadsheet!$E$50*SAP_Leadsheet!$E$51</f>
        <v>0</v>
      </c>
      <c r="O232" s="271">
        <f ca="1">-O40*SAP_Leadsheet!$E$50*SAP_Leadsheet!$E$51</f>
        <v>0</v>
      </c>
      <c r="P232" s="271">
        <f ca="1">-P40*SAP_Leadsheet!$E$50*SAP_Leadsheet!$E$51</f>
        <v>0</v>
      </c>
      <c r="Q232" s="271">
        <f ca="1">-Q40*SAP_Leadsheet!$E$50*SAP_Leadsheet!$E$51</f>
        <v>0</v>
      </c>
      <c r="R232" s="271">
        <f ca="1">-R40*SAP_Leadsheet!$E$50*SAP_Leadsheet!$E$51</f>
        <v>0</v>
      </c>
      <c r="S232" s="271">
        <f ca="1">-S40*SAP_Leadsheet!$E$50*SAP_Leadsheet!$E$51</f>
        <v>0</v>
      </c>
      <c r="T232" s="271">
        <f ca="1">-T40*SAP_Leadsheet!$E$50*SAP_Leadsheet!$E$51</f>
        <v>0</v>
      </c>
      <c r="U232" s="271">
        <f ca="1">-U40*SAP_Leadsheet!$E$50*SAP_Leadsheet!$E$51</f>
        <v>0</v>
      </c>
      <c r="V232" s="271">
        <f ca="1">-V40*SAP_Leadsheet!$E$50*SAP_Leadsheet!$E$51</f>
        <v>0</v>
      </c>
      <c r="W232" s="271">
        <f ca="1">-W40*SAP_Leadsheet!$E$50*SAP_Leadsheet!$E$51</f>
        <v>0</v>
      </c>
      <c r="X232" s="271">
        <f ca="1">-X40*SAP_Leadsheet!$E$50*SAP_Leadsheet!$E$51</f>
        <v>0</v>
      </c>
      <c r="Y232" s="271">
        <f ca="1">-Y40*SAP_Leadsheet!$E$50*SAP_Leadsheet!$E$51</f>
        <v>0</v>
      </c>
      <c r="Z232" s="271">
        <f ca="1">-Z40*SAP_Leadsheet!$E$50*SAP_Leadsheet!$E$51</f>
        <v>0</v>
      </c>
      <c r="AA232" s="271">
        <f ca="1">-AA40*SAP_Leadsheet!$E$50*SAP_Leadsheet!$E$51</f>
        <v>0</v>
      </c>
      <c r="AB232" s="271">
        <f ca="1">-AB40*SAP_Leadsheet!$E$50*SAP_Leadsheet!$E$51</f>
        <v>0</v>
      </c>
      <c r="AC232" s="271">
        <f ca="1">-AC40*SAP_Leadsheet!$E$50*SAP_Leadsheet!$E$51</f>
        <v>0</v>
      </c>
      <c r="AD232" s="271">
        <f ca="1">-AD40*SAP_Leadsheet!$E$50*SAP_Leadsheet!$E$51</f>
        <v>0</v>
      </c>
      <c r="AE232" s="271">
        <f ca="1">-AE40*SAP_Leadsheet!$E$50*SAP_Leadsheet!$E$51</f>
        <v>0</v>
      </c>
      <c r="AF232" s="271">
        <f ca="1">-AF40*SAP_Leadsheet!$E$50*SAP_Leadsheet!$E$51</f>
        <v>0</v>
      </c>
      <c r="AG232" s="271">
        <f ca="1">-AG40*SAP_Leadsheet!$E$50*SAP_Leadsheet!$E$51</f>
        <v>0</v>
      </c>
      <c r="AH232" s="271">
        <f ca="1">-AH40*SAP_Leadsheet!$E$50*SAP_Leadsheet!$E$51</f>
        <v>0</v>
      </c>
      <c r="AI232" s="271">
        <f ca="1">-AI40*SAP_Leadsheet!$E$50*SAP_Leadsheet!$E$51</f>
        <v>0</v>
      </c>
      <c r="AJ232" s="271">
        <f ca="1">-AJ40*SAP_Leadsheet!$E$50*SAP_Leadsheet!$E$51</f>
        <v>0</v>
      </c>
      <c r="AK232" s="271">
        <f ca="1">-AK40*SAP_Leadsheet!$E$50*SAP_Leadsheet!$E$51</f>
        <v>0</v>
      </c>
      <c r="AL232" s="271">
        <f ca="1">-AL40*SAP_Leadsheet!$E$50*SAP_Leadsheet!$E$51</f>
        <v>0</v>
      </c>
      <c r="AM232" s="271">
        <f ca="1">-AM40*SAP_Leadsheet!$E$50*SAP_Leadsheet!$E$51</f>
        <v>0</v>
      </c>
      <c r="AN232" s="271">
        <f ca="1">-AN40*SAP_Leadsheet!$E$50*SAP_Leadsheet!$E$51</f>
        <v>0</v>
      </c>
      <c r="AO232" s="271">
        <f ca="1">-AO40*SAP_Leadsheet!$E$50*SAP_Leadsheet!$E$51</f>
        <v>0</v>
      </c>
      <c r="AP232" s="271">
        <f ca="1">-AP40*SAP_Leadsheet!$E$50*SAP_Leadsheet!$E$51</f>
        <v>0</v>
      </c>
      <c r="AQ232" s="271">
        <f ca="1">-AQ40*SAP_Leadsheet!$E$50*SAP_Leadsheet!$E$51</f>
        <v>0</v>
      </c>
      <c r="AR232" s="271">
        <f ca="1">-AR40*SAP_Leadsheet!$E$50*SAP_Leadsheet!$E$51</f>
        <v>0</v>
      </c>
      <c r="AS232" s="271">
        <f ca="1">-AS40*SAP_Leadsheet!$E$50*SAP_Leadsheet!$E$51</f>
        <v>0</v>
      </c>
      <c r="AT232" s="271">
        <f ca="1">-AT40*SAP_Leadsheet!$E$50*SAP_Leadsheet!$E$51</f>
        <v>0</v>
      </c>
      <c r="AU232" s="271">
        <f ca="1">-AU40*SAP_Leadsheet!$E$50*SAP_Leadsheet!$E$51</f>
        <v>0</v>
      </c>
      <c r="AV232" s="271">
        <f ca="1">-AV40*SAP_Leadsheet!$E$50*SAP_Leadsheet!$E$51</f>
        <v>0</v>
      </c>
      <c r="AW232" s="271">
        <f ca="1">-AW40*SAP_Leadsheet!$E$50*SAP_Leadsheet!$E$51</f>
        <v>0</v>
      </c>
      <c r="AX232" s="271">
        <f ca="1">-AX40*SAP_Leadsheet!$E$50*SAP_Leadsheet!$E$51</f>
        <v>0</v>
      </c>
      <c r="AY232" s="271">
        <f ca="1">-AY40*SAP_Leadsheet!$E$50*SAP_Leadsheet!$E$51</f>
        <v>0</v>
      </c>
      <c r="AZ232" s="271">
        <f ca="1">-AZ40*SAP_Leadsheet!$E$50*SAP_Leadsheet!$E$51</f>
        <v>0</v>
      </c>
      <c r="BA232" s="271">
        <f ca="1">-BA40*SAP_Leadsheet!$E$50*SAP_Leadsheet!$E$51</f>
        <v>0</v>
      </c>
      <c r="BB232" s="271">
        <f ca="1">-BB40*SAP_Leadsheet!$E$50*SAP_Leadsheet!$E$51</f>
        <v>0</v>
      </c>
      <c r="BC232" s="271">
        <f ca="1">-BC40*SAP_Leadsheet!$E$50*SAP_Leadsheet!$E$51</f>
        <v>0</v>
      </c>
      <c r="BD232" s="271">
        <f ca="1">-BD40*SAP_Leadsheet!$E$50*SAP_Leadsheet!$E$51</f>
        <v>0</v>
      </c>
      <c r="BE232" s="271">
        <f ca="1">-BE40*SAP_Leadsheet!$E$50*SAP_Leadsheet!$E$51</f>
        <v>0</v>
      </c>
      <c r="BF232" s="271">
        <f ca="1">-BF40*SAP_Leadsheet!$E$50*SAP_Leadsheet!$E$51</f>
        <v>0</v>
      </c>
      <c r="BG232" s="271">
        <f ca="1">-BG40*SAP_Leadsheet!$E$50*SAP_Leadsheet!$E$51</f>
        <v>0</v>
      </c>
      <c r="BH232" s="271">
        <f ca="1">-BH40*SAP_Leadsheet!$E$50*SAP_Leadsheet!$E$51</f>
        <v>0</v>
      </c>
      <c r="BI232" s="271">
        <f ca="1">-BI40*SAP_Leadsheet!$E$50*SAP_Leadsheet!$E$51</f>
        <v>0</v>
      </c>
      <c r="BJ232" s="271">
        <f ca="1">-BJ40*SAP_Leadsheet!$E$50*SAP_Leadsheet!$E$51</f>
        <v>0</v>
      </c>
      <c r="BK232" s="271">
        <f ca="1">-BK40*SAP_Leadsheet!$E$50*SAP_Leadsheet!$E$51</f>
        <v>0</v>
      </c>
      <c r="BL232" s="271">
        <f ca="1">-BL40*SAP_Leadsheet!$E$50*SAP_Leadsheet!$E$51</f>
        <v>0</v>
      </c>
      <c r="BM232" s="271">
        <f ca="1">-BM40*SAP_Leadsheet!$E$50*SAP_Leadsheet!$E$51</f>
        <v>0</v>
      </c>
      <c r="BN232" s="271">
        <f ca="1">-BN40*SAP_Leadsheet!$E$50*SAP_Leadsheet!$E$51</f>
        <v>0</v>
      </c>
      <c r="BO232" s="263"/>
      <c r="BP232" s="263"/>
      <c r="BQ232" s="263"/>
      <c r="BR232" s="263"/>
      <c r="BS232" s="263"/>
      <c r="BT232" s="263"/>
      <c r="BU232" s="263"/>
      <c r="BV232" s="263"/>
      <c r="BW232" s="263"/>
      <c r="BX232" s="263"/>
      <c r="BY232" s="263"/>
      <c r="BZ232" s="263"/>
      <c r="CA232" s="263"/>
      <c r="CB232" s="263"/>
      <c r="CC232" s="263"/>
      <c r="CD232" s="263"/>
      <c r="CE232" s="263"/>
      <c r="CF232" s="263"/>
      <c r="CG232" s="263"/>
      <c r="CH232" s="263"/>
      <c r="CI232" s="263"/>
      <c r="CJ232" s="263"/>
      <c r="CK232" s="263"/>
      <c r="CL232" s="263"/>
      <c r="CM232" s="263"/>
      <c r="CN232" s="263"/>
      <c r="CO232" s="263"/>
      <c r="CP232" s="263"/>
      <c r="CQ232" s="263"/>
      <c r="CR232" s="263"/>
      <c r="CS232" s="263"/>
      <c r="CT232" s="263"/>
      <c r="CU232" s="263"/>
      <c r="CV232" s="263"/>
      <c r="CW232" s="263"/>
      <c r="CX232" s="263"/>
      <c r="CY232" s="263"/>
      <c r="CZ232" s="263"/>
      <c r="DA232" s="263"/>
      <c r="DB232" s="263"/>
      <c r="DC232" s="263"/>
      <c r="DD232" s="263"/>
      <c r="DE232" s="263"/>
      <c r="DF232" s="263"/>
      <c r="DG232" s="263"/>
      <c r="DH232" s="263"/>
      <c r="DI232" s="263"/>
      <c r="DJ232" s="263"/>
      <c r="DK232" s="263"/>
      <c r="DL232" s="263"/>
      <c r="DM232" s="263"/>
      <c r="DN232" s="263"/>
      <c r="DO232" s="263"/>
      <c r="DP232" s="263"/>
      <c r="DQ232" s="263"/>
      <c r="DR232" s="263"/>
      <c r="DS232" s="263"/>
      <c r="DT232" s="263"/>
      <c r="DU232" s="263"/>
      <c r="DV232" s="263"/>
      <c r="DW232" s="263"/>
      <c r="DX232" s="263"/>
      <c r="DY232" s="263"/>
      <c r="DZ232" s="263"/>
      <c r="EA232" s="263"/>
      <c r="EB232" s="263"/>
      <c r="EC232" s="263"/>
      <c r="ED232" s="263"/>
      <c r="EE232" s="263"/>
      <c r="EF232" s="263"/>
      <c r="EG232" s="263"/>
      <c r="EH232" s="263"/>
      <c r="EI232" s="263"/>
      <c r="EJ232" s="263"/>
      <c r="EK232" s="263"/>
      <c r="EL232" s="263"/>
      <c r="EM232" s="263"/>
      <c r="EN232" s="263"/>
      <c r="EO232" s="263"/>
      <c r="EP232" s="263"/>
      <c r="EQ232" s="263"/>
      <c r="ER232" s="263"/>
      <c r="ES232" s="263"/>
      <c r="ET232" s="263"/>
      <c r="EU232" s="263"/>
      <c r="EV232" s="263"/>
      <c r="EW232" s="263"/>
      <c r="EX232" s="263"/>
      <c r="EY232" s="263"/>
      <c r="EZ232" s="263"/>
      <c r="FA232" s="263"/>
      <c r="FB232" s="263"/>
      <c r="FC232" s="263"/>
      <c r="FD232" s="263"/>
      <c r="FE232" s="263"/>
      <c r="FF232" s="263"/>
      <c r="FG232" s="263"/>
      <c r="FH232" s="263"/>
      <c r="FI232" s="263"/>
      <c r="FJ232" s="263"/>
      <c r="FK232" s="263"/>
      <c r="FL232" s="263"/>
      <c r="FM232" s="263"/>
      <c r="FN232" s="263"/>
      <c r="FO232" s="263"/>
      <c r="FP232" s="263"/>
      <c r="FQ232" s="263"/>
      <c r="FR232" s="263"/>
      <c r="FS232" s="263"/>
      <c r="FT232" s="263"/>
      <c r="FU232" s="263"/>
      <c r="FV232" s="263"/>
      <c r="FW232" s="263"/>
      <c r="FX232" s="263"/>
      <c r="FY232" s="263"/>
      <c r="FZ232" s="263"/>
      <c r="GA232" s="263"/>
      <c r="GB232" s="263"/>
      <c r="GC232" s="263"/>
      <c r="GD232" s="263"/>
      <c r="GE232" s="263"/>
      <c r="GF232" s="263"/>
      <c r="GG232" s="263"/>
      <c r="GH232" s="263"/>
      <c r="GI232" s="263"/>
      <c r="GJ232" s="263"/>
      <c r="GK232" s="263"/>
      <c r="GL232" s="263"/>
      <c r="GM232" s="263"/>
      <c r="GN232" s="263"/>
      <c r="GO232" s="263"/>
      <c r="GP232" s="263"/>
      <c r="GQ232" s="263"/>
      <c r="GR232" s="263"/>
      <c r="GS232" s="263"/>
      <c r="GT232" s="263"/>
      <c r="GU232" s="263"/>
      <c r="GV232" s="263"/>
      <c r="GW232" s="263"/>
      <c r="GX232" s="263"/>
      <c r="GY232" s="263"/>
    </row>
    <row r="233" spans="1:207" s="266" customFormat="1" x14ac:dyDescent="0.15">
      <c r="A233" s="265"/>
      <c r="D233" s="293" t="s">
        <v>394</v>
      </c>
      <c r="F233" s="26" t="s">
        <v>341</v>
      </c>
      <c r="G233" s="271">
        <f>G107/(1-SAP_Leadsheet!$E$60)*SAP_Leadsheet!$E$62</f>
        <v>0</v>
      </c>
      <c r="H233" s="271">
        <f>H107/(1-SAP_Leadsheet!$E$60)*SAP_Leadsheet!$E$62</f>
        <v>0</v>
      </c>
      <c r="I233" s="271">
        <f>I107/(1-SAP_Leadsheet!$E$60)*SAP_Leadsheet!$E$62</f>
        <v>0</v>
      </c>
      <c r="J233" s="271">
        <f>J107/(1-SAP_Leadsheet!$E$60)*SAP_Leadsheet!$E$62</f>
        <v>0</v>
      </c>
      <c r="K233" s="271">
        <f>K107/(1-SAP_Leadsheet!$E$60)*SAP_Leadsheet!$E$62</f>
        <v>0</v>
      </c>
      <c r="L233" s="271">
        <f>L107/(1-SAP_Leadsheet!$E$60)*SAP_Leadsheet!$E$62</f>
        <v>8.3104000000000025E-2</v>
      </c>
      <c r="M233" s="271">
        <f>M107/(1-SAP_Leadsheet!$E$60)*SAP_Leadsheet!$E$62</f>
        <v>0</v>
      </c>
      <c r="N233" s="271">
        <f>N107/(1-SAP_Leadsheet!$E$60)*SAP_Leadsheet!$E$62</f>
        <v>0</v>
      </c>
      <c r="O233" s="271">
        <f>O107/(1-SAP_Leadsheet!$E$60)*SAP_Leadsheet!$E$62</f>
        <v>0</v>
      </c>
      <c r="P233" s="271">
        <f>P107/(1-SAP_Leadsheet!$E$60)*SAP_Leadsheet!$E$62</f>
        <v>0</v>
      </c>
      <c r="Q233" s="271">
        <f>Q107/(1-SAP_Leadsheet!$E$60)*SAP_Leadsheet!$E$62</f>
        <v>0</v>
      </c>
      <c r="R233" s="271">
        <f>R107/(1-SAP_Leadsheet!$E$60)*SAP_Leadsheet!$E$62</f>
        <v>0</v>
      </c>
      <c r="S233" s="271">
        <f>S107/(1-SAP_Leadsheet!$E$60)*SAP_Leadsheet!$E$62</f>
        <v>0</v>
      </c>
      <c r="T233" s="271">
        <f>T107/(1-SAP_Leadsheet!$E$60)*SAP_Leadsheet!$E$62</f>
        <v>0</v>
      </c>
      <c r="U233" s="271">
        <f>U107/(1-SAP_Leadsheet!$E$60)*SAP_Leadsheet!$E$62</f>
        <v>8.3104000000000025E-2</v>
      </c>
      <c r="V233" s="271">
        <f>V107/(1-SAP_Leadsheet!$E$60)*SAP_Leadsheet!$E$62</f>
        <v>0</v>
      </c>
      <c r="W233" s="271">
        <f>W107/(1-SAP_Leadsheet!$E$60)*SAP_Leadsheet!$E$62</f>
        <v>0</v>
      </c>
      <c r="X233" s="271">
        <f>X107/(1-SAP_Leadsheet!$E$60)*SAP_Leadsheet!$E$62</f>
        <v>0</v>
      </c>
      <c r="Y233" s="271">
        <f>Y107/(1-SAP_Leadsheet!$E$60)*SAP_Leadsheet!$E$62</f>
        <v>0</v>
      </c>
      <c r="Z233" s="271">
        <f>Z107/(1-SAP_Leadsheet!$E$60)*SAP_Leadsheet!$E$62</f>
        <v>0</v>
      </c>
      <c r="AA233" s="271">
        <f>AA107/(1-SAP_Leadsheet!$E$60)*SAP_Leadsheet!$E$62</f>
        <v>0</v>
      </c>
      <c r="AB233" s="271">
        <f>AB107/(1-SAP_Leadsheet!$E$60)*SAP_Leadsheet!$E$62</f>
        <v>0</v>
      </c>
      <c r="AC233" s="271">
        <f>AC107/(1-SAP_Leadsheet!$E$60)*SAP_Leadsheet!$E$62</f>
        <v>0</v>
      </c>
      <c r="AD233" s="271">
        <f>AD107/(1-SAP_Leadsheet!$E$60)*SAP_Leadsheet!$E$62</f>
        <v>8.3104000000000025E-2</v>
      </c>
      <c r="AE233" s="271">
        <f>AE107/(1-SAP_Leadsheet!$E$60)*SAP_Leadsheet!$E$62</f>
        <v>0</v>
      </c>
      <c r="AF233" s="271">
        <f>AF107/(1-SAP_Leadsheet!$E$60)*SAP_Leadsheet!$E$62</f>
        <v>0</v>
      </c>
      <c r="AG233" s="271">
        <f>AG107/(1-SAP_Leadsheet!$E$60)*SAP_Leadsheet!$E$62</f>
        <v>0</v>
      </c>
      <c r="AH233" s="271">
        <f>AH107/(1-SAP_Leadsheet!$E$60)*SAP_Leadsheet!$E$62</f>
        <v>0</v>
      </c>
      <c r="AI233" s="271">
        <f>AI107/(1-SAP_Leadsheet!$E$60)*SAP_Leadsheet!$E$62</f>
        <v>0</v>
      </c>
      <c r="AJ233" s="271">
        <f>AJ107/(1-SAP_Leadsheet!$E$60)*SAP_Leadsheet!$E$62</f>
        <v>0</v>
      </c>
      <c r="AK233" s="271">
        <f>AK107/(1-SAP_Leadsheet!$E$60)*SAP_Leadsheet!$E$62</f>
        <v>0</v>
      </c>
      <c r="AL233" s="271">
        <f>AL107/(1-SAP_Leadsheet!$E$60)*SAP_Leadsheet!$E$62</f>
        <v>0</v>
      </c>
      <c r="AM233" s="271">
        <f>AM107/(1-SAP_Leadsheet!$E$60)*SAP_Leadsheet!$E$62</f>
        <v>0</v>
      </c>
      <c r="AN233" s="271">
        <f>AN107/(1-SAP_Leadsheet!$E$60)*SAP_Leadsheet!$E$62</f>
        <v>0</v>
      </c>
      <c r="AO233" s="271">
        <f>AO107/(1-SAP_Leadsheet!$E$60)*SAP_Leadsheet!$E$62</f>
        <v>0</v>
      </c>
      <c r="AP233" s="271">
        <f>AP107/(1-SAP_Leadsheet!$E$60)*SAP_Leadsheet!$E$62</f>
        <v>0</v>
      </c>
      <c r="AQ233" s="271">
        <f>AQ107/(1-SAP_Leadsheet!$E$60)*SAP_Leadsheet!$E$62</f>
        <v>0</v>
      </c>
      <c r="AR233" s="271">
        <f>AR107/(1-SAP_Leadsheet!$E$60)*SAP_Leadsheet!$E$62</f>
        <v>0</v>
      </c>
      <c r="AS233" s="271">
        <f>AS107/(1-SAP_Leadsheet!$E$60)*SAP_Leadsheet!$E$62</f>
        <v>0</v>
      </c>
      <c r="AT233" s="271">
        <f>AT107/(1-SAP_Leadsheet!$E$60)*SAP_Leadsheet!$E$62</f>
        <v>0</v>
      </c>
      <c r="AU233" s="271">
        <f>AU107/(1-SAP_Leadsheet!$E$60)*SAP_Leadsheet!$E$62</f>
        <v>0</v>
      </c>
      <c r="AV233" s="271">
        <f>AV107/(1-SAP_Leadsheet!$E$60)*SAP_Leadsheet!$E$62</f>
        <v>0</v>
      </c>
      <c r="AW233" s="271">
        <f>AW107/(1-SAP_Leadsheet!$E$60)*SAP_Leadsheet!$E$62</f>
        <v>0</v>
      </c>
      <c r="AX233" s="271">
        <f>AX107/(1-SAP_Leadsheet!$E$60)*SAP_Leadsheet!$E$62</f>
        <v>0</v>
      </c>
      <c r="AY233" s="271">
        <f>AY107/(1-SAP_Leadsheet!$E$60)*SAP_Leadsheet!$E$62</f>
        <v>0</v>
      </c>
      <c r="AZ233" s="271">
        <f>AZ107/(1-SAP_Leadsheet!$E$60)*SAP_Leadsheet!$E$62</f>
        <v>0</v>
      </c>
      <c r="BA233" s="271">
        <f>BA107/(1-SAP_Leadsheet!$E$60)*SAP_Leadsheet!$E$62</f>
        <v>0</v>
      </c>
      <c r="BB233" s="271">
        <f>BB107/(1-SAP_Leadsheet!$E$60)*SAP_Leadsheet!$E$62</f>
        <v>0</v>
      </c>
      <c r="BC233" s="271">
        <f>BC107/(1-SAP_Leadsheet!$E$60)*SAP_Leadsheet!$E$62</f>
        <v>0</v>
      </c>
      <c r="BD233" s="271">
        <f>BD107/(1-SAP_Leadsheet!$E$60)*SAP_Leadsheet!$E$62</f>
        <v>0</v>
      </c>
      <c r="BE233" s="271">
        <f>BE107/(1-SAP_Leadsheet!$E$60)*SAP_Leadsheet!$E$62</f>
        <v>0</v>
      </c>
      <c r="BF233" s="271">
        <f>BF107/(1-SAP_Leadsheet!$E$60)*SAP_Leadsheet!$E$62</f>
        <v>0</v>
      </c>
      <c r="BG233" s="271">
        <f>BG107/(1-SAP_Leadsheet!$E$60)*SAP_Leadsheet!$E$62</f>
        <v>0</v>
      </c>
      <c r="BH233" s="271">
        <f>BH107/(1-SAP_Leadsheet!$E$60)*SAP_Leadsheet!$E$62</f>
        <v>0</v>
      </c>
      <c r="BI233" s="271">
        <f>BI107/(1-SAP_Leadsheet!$E$60)*SAP_Leadsheet!$E$62</f>
        <v>0</v>
      </c>
      <c r="BJ233" s="271">
        <f>BJ107/(1-SAP_Leadsheet!$E$60)*SAP_Leadsheet!$E$62</f>
        <v>0</v>
      </c>
      <c r="BK233" s="271">
        <f>BK107/(1-SAP_Leadsheet!$E$60)*SAP_Leadsheet!$E$62</f>
        <v>0</v>
      </c>
      <c r="BL233" s="271">
        <f>BL107/(1-SAP_Leadsheet!$E$60)*SAP_Leadsheet!$E$62</f>
        <v>0</v>
      </c>
      <c r="BM233" s="271">
        <f>BM107/(1-SAP_Leadsheet!$E$60)*SAP_Leadsheet!$E$62</f>
        <v>0</v>
      </c>
      <c r="BN233" s="271">
        <f>BN107/(1-SAP_Leadsheet!$E$60)*SAP_Leadsheet!$E$62</f>
        <v>0</v>
      </c>
      <c r="BO233" s="263"/>
      <c r="BP233" s="263"/>
      <c r="BQ233" s="263"/>
      <c r="BR233" s="263"/>
      <c r="BS233" s="263"/>
      <c r="BT233" s="263"/>
      <c r="BU233" s="263"/>
      <c r="BV233" s="263"/>
      <c r="BW233" s="263"/>
      <c r="BX233" s="263"/>
      <c r="BY233" s="263"/>
      <c r="BZ233" s="263"/>
      <c r="CA233" s="263"/>
      <c r="CB233" s="263"/>
      <c r="CC233" s="263"/>
      <c r="CD233" s="263"/>
      <c r="CE233" s="263"/>
      <c r="CF233" s="263"/>
      <c r="CG233" s="263"/>
      <c r="CH233" s="263"/>
      <c r="CI233" s="263"/>
      <c r="CJ233" s="263"/>
      <c r="CK233" s="263"/>
      <c r="CL233" s="263"/>
      <c r="CM233" s="263"/>
      <c r="CN233" s="263"/>
      <c r="CO233" s="263"/>
      <c r="CP233" s="263"/>
      <c r="CQ233" s="263"/>
      <c r="CR233" s="263"/>
      <c r="CS233" s="263"/>
      <c r="CT233" s="263"/>
      <c r="CU233" s="263"/>
      <c r="CV233" s="263"/>
      <c r="CW233" s="263"/>
      <c r="CX233" s="263"/>
      <c r="CY233" s="263"/>
      <c r="CZ233" s="263"/>
      <c r="DA233" s="263"/>
      <c r="DB233" s="263"/>
      <c r="DC233" s="263"/>
      <c r="DD233" s="263"/>
      <c r="DE233" s="263"/>
      <c r="DF233" s="263"/>
      <c r="DG233" s="263"/>
      <c r="DH233" s="263"/>
      <c r="DI233" s="263"/>
      <c r="DJ233" s="263"/>
      <c r="DK233" s="263"/>
      <c r="DL233" s="263"/>
      <c r="DM233" s="263"/>
      <c r="DN233" s="263"/>
      <c r="DO233" s="263"/>
      <c r="DP233" s="263"/>
      <c r="DQ233" s="263"/>
      <c r="DR233" s="263"/>
      <c r="DS233" s="263"/>
      <c r="DT233" s="263"/>
      <c r="DU233" s="263"/>
      <c r="DV233" s="263"/>
      <c r="DW233" s="263"/>
      <c r="DX233" s="263"/>
      <c r="DY233" s="263"/>
      <c r="DZ233" s="263"/>
      <c r="EA233" s="263"/>
      <c r="EB233" s="263"/>
      <c r="EC233" s="263"/>
      <c r="ED233" s="263"/>
      <c r="EE233" s="263"/>
      <c r="EF233" s="263"/>
      <c r="EG233" s="263"/>
      <c r="EH233" s="263"/>
      <c r="EI233" s="263"/>
      <c r="EJ233" s="263"/>
      <c r="EK233" s="263"/>
      <c r="EL233" s="263"/>
      <c r="EM233" s="263"/>
      <c r="EN233" s="263"/>
      <c r="EO233" s="263"/>
      <c r="EP233" s="263"/>
      <c r="EQ233" s="263"/>
      <c r="ER233" s="263"/>
      <c r="ES233" s="263"/>
      <c r="ET233" s="263"/>
      <c r="EU233" s="263"/>
      <c r="EV233" s="263"/>
      <c r="EW233" s="263"/>
      <c r="EX233" s="263"/>
      <c r="EY233" s="263"/>
      <c r="EZ233" s="263"/>
      <c r="FA233" s="263"/>
      <c r="FB233" s="263"/>
      <c r="FC233" s="263"/>
      <c r="FD233" s="263"/>
      <c r="FE233" s="263"/>
      <c r="FF233" s="263"/>
      <c r="FG233" s="263"/>
      <c r="FH233" s="263"/>
      <c r="FI233" s="263"/>
      <c r="FJ233" s="263"/>
      <c r="FK233" s="263"/>
      <c r="FL233" s="263"/>
      <c r="FM233" s="263"/>
      <c r="FN233" s="263"/>
      <c r="FO233" s="263"/>
      <c r="FP233" s="263"/>
      <c r="FQ233" s="263"/>
      <c r="FR233" s="263"/>
      <c r="FS233" s="263"/>
      <c r="FT233" s="263"/>
      <c r="FU233" s="263"/>
      <c r="FV233" s="263"/>
      <c r="FW233" s="263"/>
      <c r="FX233" s="263"/>
      <c r="FY233" s="263"/>
      <c r="FZ233" s="263"/>
      <c r="GA233" s="263"/>
      <c r="GB233" s="263"/>
      <c r="GC233" s="263"/>
      <c r="GD233" s="263"/>
      <c r="GE233" s="263"/>
      <c r="GF233" s="263"/>
      <c r="GG233" s="263"/>
      <c r="GH233" s="263"/>
      <c r="GI233" s="263"/>
      <c r="GJ233" s="263"/>
      <c r="GK233" s="263"/>
      <c r="GL233" s="263"/>
      <c r="GM233" s="263"/>
      <c r="GN233" s="263"/>
      <c r="GO233" s="263"/>
      <c r="GP233" s="263"/>
      <c r="GQ233" s="263"/>
      <c r="GR233" s="263"/>
      <c r="GS233" s="263"/>
      <c r="GT233" s="263"/>
      <c r="GU233" s="263"/>
      <c r="GV233" s="263"/>
      <c r="GW233" s="263"/>
      <c r="GX233" s="263"/>
      <c r="GY233" s="263"/>
    </row>
    <row r="234" spans="1:207" s="266" customFormat="1" x14ac:dyDescent="0.15">
      <c r="A234" s="265"/>
      <c r="D234" s="293" t="s">
        <v>395</v>
      </c>
      <c r="E234" s="294"/>
      <c r="F234" s="26" t="s">
        <v>341</v>
      </c>
      <c r="G234" s="263"/>
      <c r="H234" s="263"/>
      <c r="I234" s="263"/>
      <c r="J234" s="263"/>
      <c r="K234" s="263"/>
      <c r="L234" s="263"/>
      <c r="M234" s="263"/>
      <c r="N234" s="263"/>
      <c r="O234" s="263"/>
      <c r="P234" s="263"/>
      <c r="Q234" s="263"/>
      <c r="R234" s="263"/>
      <c r="S234" s="263"/>
      <c r="T234" s="263"/>
      <c r="U234" s="263"/>
      <c r="V234" s="263"/>
      <c r="W234" s="263"/>
      <c r="X234" s="263"/>
      <c r="Y234" s="263"/>
      <c r="Z234" s="263"/>
      <c r="AA234" s="263"/>
      <c r="AB234" s="263"/>
      <c r="AC234" s="263"/>
      <c r="AD234" s="263"/>
      <c r="AE234" s="263"/>
      <c r="AF234" s="263"/>
      <c r="AG234" s="263"/>
      <c r="AH234" s="263"/>
      <c r="AI234" s="263"/>
      <c r="AJ234" s="263"/>
      <c r="AK234" s="263"/>
      <c r="AL234" s="263"/>
      <c r="AM234" s="263"/>
      <c r="AN234" s="263"/>
      <c r="AO234" s="263"/>
      <c r="AP234" s="263"/>
      <c r="AQ234" s="263"/>
      <c r="AR234" s="263"/>
      <c r="AS234" s="263"/>
      <c r="AT234" s="263"/>
      <c r="AU234" s="263"/>
      <c r="AV234" s="263"/>
      <c r="AW234" s="263"/>
      <c r="AX234" s="263"/>
      <c r="AY234" s="263"/>
      <c r="AZ234" s="263"/>
      <c r="BA234" s="263"/>
      <c r="BB234" s="263"/>
      <c r="BC234" s="263"/>
      <c r="BD234" s="263"/>
      <c r="BE234" s="263"/>
      <c r="BF234" s="263"/>
      <c r="BG234" s="263"/>
      <c r="BH234" s="263"/>
      <c r="BI234" s="263"/>
      <c r="BJ234" s="263"/>
      <c r="BK234" s="263"/>
      <c r="BL234" s="263"/>
      <c r="BM234" s="263"/>
      <c r="BN234" s="263"/>
      <c r="BO234" s="263"/>
      <c r="BP234" s="263"/>
      <c r="BQ234" s="263"/>
      <c r="BR234" s="263"/>
      <c r="BS234" s="263"/>
      <c r="BT234" s="263"/>
      <c r="BU234" s="263"/>
      <c r="BV234" s="263"/>
      <c r="BW234" s="263"/>
      <c r="BX234" s="263"/>
      <c r="BY234" s="263"/>
      <c r="BZ234" s="263"/>
      <c r="CA234" s="263"/>
      <c r="CB234" s="263"/>
      <c r="CC234" s="263"/>
      <c r="CD234" s="263"/>
      <c r="CE234" s="263"/>
      <c r="CF234" s="263"/>
      <c r="CG234" s="263"/>
      <c r="CH234" s="263"/>
      <c r="CI234" s="263"/>
      <c r="CJ234" s="263"/>
      <c r="CK234" s="263"/>
      <c r="CL234" s="263"/>
      <c r="CM234" s="263"/>
      <c r="CN234" s="263"/>
      <c r="CO234" s="263"/>
      <c r="CP234" s="263"/>
      <c r="CQ234" s="263"/>
      <c r="CR234" s="263"/>
      <c r="CS234" s="263"/>
      <c r="CT234" s="263"/>
      <c r="CU234" s="263"/>
      <c r="CV234" s="263"/>
      <c r="CW234" s="263"/>
      <c r="CX234" s="263"/>
      <c r="CY234" s="263"/>
      <c r="CZ234" s="263"/>
      <c r="DA234" s="263"/>
      <c r="DB234" s="263"/>
      <c r="DC234" s="263"/>
      <c r="DD234" s="263"/>
      <c r="DE234" s="263"/>
      <c r="DF234" s="263"/>
      <c r="DG234" s="263"/>
      <c r="DH234" s="263"/>
      <c r="DI234" s="263"/>
      <c r="DJ234" s="263"/>
      <c r="DK234" s="263"/>
      <c r="DL234" s="263"/>
      <c r="DM234" s="263"/>
      <c r="DN234" s="263"/>
      <c r="DO234" s="263"/>
      <c r="DP234" s="263"/>
      <c r="DQ234" s="263"/>
      <c r="DR234" s="263"/>
      <c r="DS234" s="263"/>
      <c r="DT234" s="263"/>
      <c r="DU234" s="263"/>
      <c r="DV234" s="263"/>
      <c r="DW234" s="263"/>
      <c r="DX234" s="263"/>
      <c r="DY234" s="263"/>
      <c r="DZ234" s="263"/>
      <c r="EA234" s="263"/>
      <c r="EB234" s="263"/>
      <c r="EC234" s="263"/>
      <c r="ED234" s="263"/>
      <c r="EE234" s="263"/>
      <c r="EF234" s="263"/>
      <c r="EG234" s="263"/>
      <c r="EH234" s="263"/>
      <c r="EI234" s="263"/>
      <c r="EJ234" s="263"/>
      <c r="EK234" s="263"/>
      <c r="EL234" s="263"/>
      <c r="EM234" s="263"/>
      <c r="EN234" s="263"/>
      <c r="EO234" s="263"/>
      <c r="EP234" s="263"/>
      <c r="EQ234" s="263"/>
      <c r="ER234" s="263"/>
      <c r="ES234" s="263"/>
      <c r="ET234" s="263"/>
      <c r="EU234" s="263"/>
      <c r="EV234" s="263"/>
      <c r="EW234" s="263"/>
      <c r="EX234" s="263"/>
      <c r="EY234" s="263"/>
      <c r="EZ234" s="263"/>
      <c r="FA234" s="263"/>
      <c r="FB234" s="263"/>
      <c r="FC234" s="263"/>
      <c r="FD234" s="263"/>
      <c r="FE234" s="263"/>
      <c r="FF234" s="263"/>
      <c r="FG234" s="263"/>
      <c r="FH234" s="263"/>
      <c r="FI234" s="263"/>
      <c r="FJ234" s="263"/>
      <c r="FK234" s="263"/>
      <c r="FL234" s="263"/>
      <c r="FM234" s="263"/>
      <c r="FN234" s="263"/>
      <c r="FO234" s="263"/>
      <c r="FP234" s="263"/>
      <c r="FQ234" s="263"/>
      <c r="FR234" s="263"/>
      <c r="FS234" s="263"/>
      <c r="FT234" s="263"/>
      <c r="FU234" s="263"/>
      <c r="FV234" s="263"/>
      <c r="FW234" s="263"/>
      <c r="FX234" s="263"/>
      <c r="FY234" s="263"/>
      <c r="FZ234" s="263"/>
      <c r="GA234" s="263"/>
      <c r="GB234" s="263"/>
      <c r="GC234" s="263"/>
      <c r="GD234" s="263"/>
      <c r="GE234" s="263"/>
      <c r="GF234" s="263"/>
      <c r="GG234" s="263"/>
      <c r="GH234" s="263"/>
      <c r="GI234" s="263"/>
      <c r="GJ234" s="263"/>
      <c r="GK234" s="263"/>
      <c r="GL234" s="263"/>
      <c r="GM234" s="263"/>
      <c r="GN234" s="263"/>
      <c r="GO234" s="263"/>
      <c r="GP234" s="263"/>
      <c r="GQ234" s="263"/>
      <c r="GR234" s="263"/>
      <c r="GS234" s="263"/>
      <c r="GT234" s="263"/>
      <c r="GU234" s="263"/>
      <c r="GV234" s="263"/>
      <c r="GW234" s="263"/>
      <c r="GX234" s="263"/>
      <c r="GY234" s="263"/>
    </row>
    <row r="235" spans="1:207" s="266" customFormat="1" x14ac:dyDescent="0.15">
      <c r="A235" s="265"/>
      <c r="D235" s="32" t="s">
        <v>396</v>
      </c>
      <c r="F235" s="26" t="s">
        <v>341</v>
      </c>
      <c r="G235" s="263"/>
      <c r="H235" s="263"/>
      <c r="I235" s="263"/>
      <c r="J235" s="263"/>
      <c r="K235" s="263"/>
      <c r="L235" s="263"/>
      <c r="M235" s="263"/>
      <c r="N235" s="263"/>
      <c r="O235" s="263"/>
      <c r="P235" s="263"/>
      <c r="Q235" s="263"/>
      <c r="R235" s="263"/>
      <c r="S235" s="263"/>
      <c r="T235" s="263"/>
      <c r="U235" s="263"/>
      <c r="V235" s="263"/>
      <c r="W235" s="263"/>
      <c r="X235" s="263"/>
      <c r="Y235" s="263"/>
      <c r="Z235" s="263"/>
      <c r="AA235" s="263"/>
      <c r="AB235" s="263"/>
      <c r="AC235" s="263"/>
      <c r="AD235" s="263"/>
      <c r="AE235" s="263"/>
      <c r="AF235" s="263"/>
      <c r="AG235" s="263"/>
      <c r="AH235" s="263"/>
      <c r="AI235" s="263"/>
      <c r="AJ235" s="263"/>
      <c r="AK235" s="263"/>
      <c r="AL235" s="263"/>
      <c r="AM235" s="263"/>
      <c r="AN235" s="263"/>
      <c r="AO235" s="263"/>
      <c r="AP235" s="263"/>
      <c r="AQ235" s="263"/>
      <c r="AR235" s="263"/>
      <c r="AS235" s="263"/>
      <c r="AT235" s="263"/>
      <c r="AU235" s="263"/>
      <c r="AV235" s="263"/>
      <c r="AW235" s="263"/>
      <c r="AX235" s="263"/>
      <c r="AY235" s="263"/>
      <c r="AZ235" s="263"/>
      <c r="BA235" s="263"/>
      <c r="BB235" s="263"/>
      <c r="BC235" s="263"/>
      <c r="BD235" s="263"/>
      <c r="BE235" s="263"/>
      <c r="BF235" s="263"/>
      <c r="BG235" s="263"/>
      <c r="BH235" s="263"/>
      <c r="BI235" s="263"/>
      <c r="BJ235" s="263"/>
      <c r="BK235" s="263"/>
      <c r="BL235" s="263"/>
      <c r="BM235" s="263"/>
      <c r="BN235" s="263"/>
      <c r="BO235" s="263"/>
      <c r="BP235" s="263"/>
      <c r="BQ235" s="263"/>
      <c r="BR235" s="263"/>
      <c r="BS235" s="263"/>
      <c r="BT235" s="263"/>
      <c r="BU235" s="263"/>
      <c r="BV235" s="263"/>
      <c r="BW235" s="263"/>
      <c r="BX235" s="263"/>
      <c r="BY235" s="263"/>
      <c r="BZ235" s="263"/>
      <c r="CA235" s="263"/>
      <c r="CB235" s="263"/>
      <c r="CC235" s="263"/>
      <c r="CD235" s="263"/>
      <c r="CE235" s="263"/>
      <c r="CF235" s="263"/>
      <c r="CG235" s="263"/>
      <c r="CH235" s="263"/>
      <c r="CI235" s="263"/>
      <c r="CJ235" s="263"/>
      <c r="CK235" s="263"/>
      <c r="CL235" s="263"/>
      <c r="CM235" s="263"/>
      <c r="CN235" s="263"/>
      <c r="CO235" s="263"/>
      <c r="CP235" s="263"/>
      <c r="CQ235" s="263"/>
      <c r="CR235" s="263"/>
      <c r="CS235" s="263"/>
      <c r="CT235" s="263"/>
      <c r="CU235" s="263"/>
      <c r="CV235" s="263"/>
      <c r="CW235" s="263"/>
      <c r="CX235" s="263"/>
      <c r="CY235" s="263"/>
      <c r="CZ235" s="263"/>
      <c r="DA235" s="263"/>
      <c r="DB235" s="263"/>
      <c r="DC235" s="263"/>
      <c r="DD235" s="263"/>
      <c r="DE235" s="263"/>
      <c r="DF235" s="263"/>
      <c r="DG235" s="263"/>
      <c r="DH235" s="263"/>
      <c r="DI235" s="263"/>
      <c r="DJ235" s="263"/>
      <c r="DK235" s="263"/>
      <c r="DL235" s="263"/>
      <c r="DM235" s="263"/>
      <c r="DN235" s="263"/>
      <c r="DO235" s="263"/>
      <c r="DP235" s="263"/>
      <c r="DQ235" s="263"/>
      <c r="DR235" s="263"/>
      <c r="DS235" s="263"/>
      <c r="DT235" s="263"/>
      <c r="DU235" s="263"/>
      <c r="DV235" s="263"/>
      <c r="DW235" s="263"/>
      <c r="DX235" s="263"/>
      <c r="DY235" s="263"/>
      <c r="DZ235" s="263"/>
      <c r="EA235" s="263"/>
      <c r="EB235" s="263"/>
      <c r="EC235" s="263"/>
      <c r="ED235" s="263"/>
      <c r="EE235" s="263"/>
      <c r="EF235" s="263"/>
      <c r="EG235" s="263"/>
      <c r="EH235" s="263"/>
      <c r="EI235" s="263"/>
      <c r="EJ235" s="263"/>
      <c r="EK235" s="263"/>
      <c r="EL235" s="263"/>
      <c r="EM235" s="263"/>
      <c r="EN235" s="263"/>
      <c r="EO235" s="263"/>
      <c r="EP235" s="263"/>
      <c r="EQ235" s="263"/>
      <c r="ER235" s="263"/>
      <c r="ES235" s="263"/>
      <c r="ET235" s="263"/>
      <c r="EU235" s="263"/>
      <c r="EV235" s="263"/>
      <c r="EW235" s="263"/>
      <c r="EX235" s="263"/>
      <c r="EY235" s="263"/>
      <c r="EZ235" s="263"/>
      <c r="FA235" s="263"/>
      <c r="FB235" s="263"/>
      <c r="FC235" s="263"/>
      <c r="FD235" s="263"/>
      <c r="FE235" s="263"/>
      <c r="FF235" s="263"/>
      <c r="FG235" s="263"/>
      <c r="FH235" s="263"/>
      <c r="FI235" s="263"/>
      <c r="FJ235" s="263"/>
      <c r="FK235" s="263"/>
      <c r="FL235" s="263"/>
      <c r="FM235" s="263"/>
      <c r="FN235" s="263"/>
      <c r="FO235" s="263"/>
      <c r="FP235" s="263"/>
      <c r="FQ235" s="263"/>
      <c r="FR235" s="263"/>
      <c r="FS235" s="263"/>
      <c r="FT235" s="263"/>
      <c r="FU235" s="263"/>
      <c r="FV235" s="263"/>
      <c r="FW235" s="263"/>
      <c r="FX235" s="263"/>
      <c r="FY235" s="263"/>
      <c r="FZ235" s="263"/>
      <c r="GA235" s="263"/>
      <c r="GB235" s="263"/>
      <c r="GC235" s="263"/>
      <c r="GD235" s="263"/>
      <c r="GE235" s="263"/>
      <c r="GF235" s="263"/>
      <c r="GG235" s="263"/>
      <c r="GH235" s="263"/>
      <c r="GI235" s="263"/>
      <c r="GJ235" s="263"/>
      <c r="GK235" s="263"/>
      <c r="GL235" s="263"/>
      <c r="GM235" s="263"/>
      <c r="GN235" s="263"/>
      <c r="GO235" s="263"/>
      <c r="GP235" s="263"/>
      <c r="GQ235" s="263"/>
      <c r="GR235" s="263"/>
      <c r="GS235" s="263"/>
      <c r="GT235" s="263"/>
      <c r="GU235" s="263"/>
      <c r="GV235" s="263"/>
      <c r="GW235" s="263"/>
      <c r="GX235" s="263"/>
      <c r="GY235" s="263"/>
    </row>
    <row r="236" spans="1:207" s="266" customFormat="1" x14ac:dyDescent="0.15">
      <c r="A236" s="265"/>
      <c r="D236" s="295" t="s">
        <v>215</v>
      </c>
      <c r="F236" s="26" t="s">
        <v>341</v>
      </c>
      <c r="G236" s="263"/>
      <c r="H236" s="263"/>
      <c r="I236" s="263"/>
      <c r="J236" s="263"/>
      <c r="K236" s="263"/>
      <c r="L236" s="263"/>
      <c r="M236" s="263"/>
      <c r="N236" s="263"/>
      <c r="O236" s="263"/>
      <c r="P236" s="263"/>
      <c r="Q236" s="263"/>
      <c r="R236" s="263"/>
      <c r="S236" s="263"/>
      <c r="T236" s="263"/>
      <c r="U236" s="263"/>
      <c r="V236" s="263"/>
      <c r="W236" s="263"/>
      <c r="X236" s="263"/>
      <c r="Y236" s="263"/>
      <c r="Z236" s="263"/>
      <c r="AA236" s="263"/>
      <c r="AB236" s="263"/>
      <c r="AC236" s="263"/>
      <c r="AD236" s="263"/>
      <c r="AE236" s="263"/>
      <c r="AF236" s="263"/>
      <c r="AG236" s="263"/>
      <c r="AH236" s="263"/>
      <c r="AI236" s="263"/>
      <c r="AJ236" s="263"/>
      <c r="AK236" s="263"/>
      <c r="AL236" s="263"/>
      <c r="AM236" s="263"/>
      <c r="AN236" s="263"/>
      <c r="AO236" s="263"/>
      <c r="AP236" s="263"/>
      <c r="AQ236" s="263"/>
      <c r="AR236" s="263"/>
      <c r="AS236" s="263"/>
      <c r="AT236" s="263"/>
      <c r="AU236" s="263"/>
      <c r="AV236" s="263"/>
      <c r="AW236" s="263"/>
      <c r="AX236" s="263"/>
      <c r="AY236" s="263"/>
      <c r="AZ236" s="263"/>
      <c r="BA236" s="263"/>
      <c r="BB236" s="263"/>
      <c r="BC236" s="263"/>
      <c r="BD236" s="263"/>
      <c r="BE236" s="263"/>
      <c r="BF236" s="263"/>
      <c r="BG236" s="263"/>
      <c r="BH236" s="263"/>
      <c r="BI236" s="263"/>
      <c r="BJ236" s="263"/>
      <c r="BK236" s="263"/>
      <c r="BL236" s="263"/>
      <c r="BM236" s="263"/>
      <c r="BN236" s="263"/>
      <c r="BO236" s="263"/>
      <c r="BP236" s="263"/>
      <c r="BQ236" s="263"/>
      <c r="BR236" s="263"/>
      <c r="BS236" s="263"/>
      <c r="BT236" s="263"/>
      <c r="BU236" s="263"/>
      <c r="BV236" s="263"/>
      <c r="BW236" s="263"/>
      <c r="BX236" s="263"/>
      <c r="BY236" s="263"/>
      <c r="BZ236" s="263"/>
      <c r="CA236" s="263"/>
      <c r="CB236" s="263"/>
      <c r="CC236" s="263"/>
      <c r="CD236" s="263"/>
      <c r="CE236" s="263"/>
      <c r="CF236" s="263"/>
      <c r="CG236" s="263"/>
      <c r="CH236" s="263"/>
      <c r="CI236" s="263"/>
      <c r="CJ236" s="263"/>
      <c r="CK236" s="263"/>
      <c r="CL236" s="263"/>
      <c r="CM236" s="263"/>
      <c r="CN236" s="263"/>
      <c r="CO236" s="263"/>
      <c r="CP236" s="263"/>
      <c r="CQ236" s="263"/>
      <c r="CR236" s="263"/>
      <c r="CS236" s="263"/>
      <c r="CT236" s="263"/>
      <c r="CU236" s="263"/>
      <c r="CV236" s="263"/>
      <c r="CW236" s="263"/>
      <c r="CX236" s="263"/>
      <c r="CY236" s="263"/>
      <c r="CZ236" s="263"/>
      <c r="DA236" s="263"/>
      <c r="DB236" s="263"/>
      <c r="DC236" s="263"/>
      <c r="DD236" s="263"/>
      <c r="DE236" s="263"/>
      <c r="DF236" s="263"/>
      <c r="DG236" s="263"/>
      <c r="DH236" s="263"/>
      <c r="DI236" s="263"/>
      <c r="DJ236" s="263"/>
      <c r="DK236" s="263"/>
      <c r="DL236" s="263"/>
      <c r="DM236" s="263"/>
      <c r="DN236" s="263"/>
      <c r="DO236" s="263"/>
      <c r="DP236" s="263"/>
      <c r="DQ236" s="263"/>
      <c r="DR236" s="263"/>
      <c r="DS236" s="263"/>
      <c r="DT236" s="263"/>
      <c r="DU236" s="263"/>
      <c r="DV236" s="263"/>
      <c r="DW236" s="263"/>
      <c r="DX236" s="263"/>
      <c r="DY236" s="263"/>
      <c r="DZ236" s="263"/>
      <c r="EA236" s="263"/>
      <c r="EB236" s="263"/>
      <c r="EC236" s="263"/>
      <c r="ED236" s="263"/>
      <c r="EE236" s="263"/>
      <c r="EF236" s="263"/>
      <c r="EG236" s="263"/>
      <c r="EH236" s="263"/>
      <c r="EI236" s="263"/>
      <c r="EJ236" s="263"/>
      <c r="EK236" s="263"/>
      <c r="EL236" s="263"/>
      <c r="EM236" s="263"/>
      <c r="EN236" s="263"/>
      <c r="EO236" s="263"/>
      <c r="EP236" s="263"/>
      <c r="EQ236" s="263"/>
      <c r="ER236" s="263"/>
      <c r="ES236" s="263"/>
      <c r="ET236" s="263"/>
      <c r="EU236" s="263"/>
      <c r="EV236" s="263"/>
      <c r="EW236" s="263"/>
      <c r="EX236" s="263"/>
      <c r="EY236" s="263"/>
      <c r="EZ236" s="263"/>
      <c r="FA236" s="263"/>
      <c r="FB236" s="263"/>
      <c r="FC236" s="263"/>
      <c r="FD236" s="263"/>
      <c r="FE236" s="263"/>
      <c r="FF236" s="263"/>
      <c r="FG236" s="263"/>
      <c r="FH236" s="263"/>
      <c r="FI236" s="263"/>
      <c r="FJ236" s="263"/>
      <c r="FK236" s="263"/>
      <c r="FL236" s="263"/>
      <c r="FM236" s="263"/>
      <c r="FN236" s="263"/>
      <c r="FO236" s="263"/>
      <c r="FP236" s="263"/>
      <c r="FQ236" s="263"/>
      <c r="FR236" s="263"/>
      <c r="FS236" s="263"/>
      <c r="FT236" s="263"/>
      <c r="FU236" s="263"/>
      <c r="FV236" s="263"/>
      <c r="FW236" s="263"/>
      <c r="FX236" s="263"/>
      <c r="FY236" s="263"/>
      <c r="FZ236" s="263"/>
      <c r="GA236" s="263"/>
      <c r="GB236" s="263"/>
      <c r="GC236" s="263"/>
      <c r="GD236" s="263"/>
      <c r="GE236" s="263"/>
      <c r="GF236" s="263"/>
      <c r="GG236" s="263"/>
      <c r="GH236" s="263"/>
      <c r="GI236" s="263"/>
      <c r="GJ236" s="263"/>
      <c r="GK236" s="263"/>
      <c r="GL236" s="263"/>
      <c r="GM236" s="263"/>
      <c r="GN236" s="263"/>
      <c r="GO236" s="263"/>
      <c r="GP236" s="263"/>
      <c r="GQ236" s="263"/>
      <c r="GR236" s="263"/>
      <c r="GS236" s="263"/>
      <c r="GT236" s="263"/>
      <c r="GU236" s="263"/>
      <c r="GV236" s="263"/>
      <c r="GW236" s="263"/>
      <c r="GX236" s="263"/>
      <c r="GY236" s="263"/>
    </row>
    <row r="237" spans="1:207" x14ac:dyDescent="0.15">
      <c r="D237" s="289" t="s">
        <v>391</v>
      </c>
      <c r="E237" s="289"/>
      <c r="F237" s="26" t="s">
        <v>341</v>
      </c>
      <c r="G237" s="262">
        <f ca="1">SUM(G222:G227)+SUM(G230:G231)+SUM(G235:G236)</f>
        <v>2.1423833117056562E-2</v>
      </c>
      <c r="H237" s="262">
        <f t="shared" ref="H237:BN237" ca="1" si="32">SUM(H222:H227)+SUM(H230:H231)+SUM(H235:H236)</f>
        <v>2.0861715666532953E-2</v>
      </c>
      <c r="I237" s="262">
        <f t="shared" ca="1" si="32"/>
        <v>1.9641485143306495E-2</v>
      </c>
      <c r="J237" s="262">
        <f t="shared" ca="1" si="32"/>
        <v>1.8104649521771102E-2</v>
      </c>
      <c r="K237" s="262">
        <f t="shared" ca="1" si="32"/>
        <v>1.6412451806533779E-2</v>
      </c>
      <c r="L237" s="262">
        <f t="shared" ca="1" si="32"/>
        <v>9.7791558098410669E-2</v>
      </c>
      <c r="M237" s="262">
        <f t="shared" ca="1" si="32"/>
        <v>1.2929305255309454E-2</v>
      </c>
      <c r="N237" s="262">
        <f t="shared" ca="1" si="32"/>
        <v>1.1317220617916937E-2</v>
      </c>
      <c r="O237" s="262">
        <f t="shared" ca="1" si="32"/>
        <v>1.0186302446355164E-2</v>
      </c>
      <c r="P237" s="262">
        <f t="shared" ca="1" si="32"/>
        <v>9.4053516690695647E-3</v>
      </c>
      <c r="Q237" s="262">
        <f t="shared" ca="1" si="32"/>
        <v>8.8710748322526605E-3</v>
      </c>
      <c r="R237" s="262">
        <f t="shared" ca="1" si="32"/>
        <v>8.5067338664953397E-3</v>
      </c>
      <c r="S237" s="262">
        <f t="shared" ca="1" si="32"/>
        <v>8.6151058121490525E-3</v>
      </c>
      <c r="T237" s="262">
        <f t="shared" ca="1" si="32"/>
        <v>9.2408542517292691E-3</v>
      </c>
      <c r="U237" s="262">
        <f t="shared" ca="1" si="32"/>
        <v>9.2599528473102918E-2</v>
      </c>
      <c r="V237" s="262">
        <f t="shared" ca="1" si="32"/>
        <v>9.4863290565416047E-3</v>
      </c>
      <c r="W237" s="262">
        <f t="shared" ca="1" si="32"/>
        <v>9.4890704713145937E-3</v>
      </c>
      <c r="X237" s="262">
        <f t="shared" ca="1" si="32"/>
        <v>9.4513788367165726E-3</v>
      </c>
      <c r="Y237" s="262">
        <f t="shared" ca="1" si="32"/>
        <v>9.3307786464161425E-3</v>
      </c>
      <c r="Z237" s="262">
        <f t="shared" ca="1" si="32"/>
        <v>9.0220763956729826E-3</v>
      </c>
      <c r="AA237" s="262">
        <f t="shared" ca="1" si="32"/>
        <v>8.69680878643736E-3</v>
      </c>
      <c r="AB237" s="262">
        <f t="shared" ca="1" si="32"/>
        <v>8.3818469980784654E-3</v>
      </c>
      <c r="AC237" s="262">
        <f t="shared" ca="1" si="32"/>
        <v>8.1124695944050692E-3</v>
      </c>
      <c r="AD237" s="262">
        <f t="shared" ca="1" si="32"/>
        <v>9.0903653704041798E-2</v>
      </c>
      <c r="AE237" s="262">
        <f t="shared" ca="1" si="32"/>
        <v>7.6492552152047271E-3</v>
      </c>
      <c r="AF237" s="262">
        <f t="shared" ca="1" si="32"/>
        <v>7.5937472807393897E-3</v>
      </c>
      <c r="AG237" s="262">
        <f t="shared" ca="1" si="32"/>
        <v>7.5081205293222901E-3</v>
      </c>
      <c r="AH237" s="262">
        <f t="shared" ca="1" si="32"/>
        <v>7.3833945554148371E-3</v>
      </c>
      <c r="AI237" s="262">
        <f t="shared" ca="1" si="32"/>
        <v>7.2298970518917486E-3</v>
      </c>
      <c r="AJ237" s="262">
        <f t="shared" ca="1" si="32"/>
        <v>7.0584968821932837E-3</v>
      </c>
      <c r="AK237" s="262">
        <f t="shared" ca="1" si="32"/>
        <v>6.8831079510465942E-3</v>
      </c>
      <c r="AL237" s="262">
        <f t="shared" ca="1" si="32"/>
        <v>6.7092120703022666E-3</v>
      </c>
      <c r="AM237" s="262">
        <f t="shared" ca="1" si="32"/>
        <v>6.5177108380370993E-3</v>
      </c>
      <c r="AN237" s="262">
        <f t="shared" ca="1" si="32"/>
        <v>6.3224151554170339E-3</v>
      </c>
      <c r="AO237" s="262">
        <f t="shared" ca="1" si="32"/>
        <v>6.1369696759181807E-3</v>
      </c>
      <c r="AP237" s="262">
        <f t="shared" ca="1" si="32"/>
        <v>5.9615935915421471E-3</v>
      </c>
      <c r="AQ237" s="262">
        <f t="shared" ca="1" si="32"/>
        <v>5.8302707967556157E-3</v>
      </c>
      <c r="AR237" s="262">
        <f t="shared" ca="1" si="32"/>
        <v>5.7359447782203898E-3</v>
      </c>
      <c r="AS237" s="262">
        <f t="shared" ca="1" si="32"/>
        <v>5.6392021164456225E-3</v>
      </c>
      <c r="AT237" s="262">
        <f t="shared" ca="1" si="32"/>
        <v>5.5439454759512738E-3</v>
      </c>
      <c r="AU237" s="262">
        <f t="shared" ca="1" si="32"/>
        <v>5.4457011098693062E-3</v>
      </c>
      <c r="AV237" s="262">
        <f t="shared" ca="1" si="32"/>
        <v>5.3433568190935686E-3</v>
      </c>
      <c r="AW237" s="262">
        <f t="shared" ca="1" si="32"/>
        <v>5.2332629883220629E-3</v>
      </c>
      <c r="AX237" s="262">
        <f t="shared" ca="1" si="32"/>
        <v>5.103082737985128E-3</v>
      </c>
      <c r="AY237" s="262">
        <f t="shared" ca="1" si="32"/>
        <v>4.9717211890951997E-3</v>
      </c>
      <c r="AZ237" s="262">
        <f t="shared" ca="1" si="32"/>
        <v>4.8392231680074328E-3</v>
      </c>
      <c r="BA237" s="262">
        <f t="shared" ca="1" si="32"/>
        <v>4.7061700939166366E-3</v>
      </c>
      <c r="BB237" s="262">
        <f t="shared" ca="1" si="32"/>
        <v>4.5731839099328736E-3</v>
      </c>
      <c r="BC237" s="262">
        <f t="shared" ca="1" si="32"/>
        <v>4.4451505906879284E-3</v>
      </c>
      <c r="BD237" s="262">
        <f t="shared" ca="1" si="32"/>
        <v>4.3330019730227201E-3</v>
      </c>
      <c r="BE237" s="262">
        <f t="shared" ca="1" si="32"/>
        <v>4.2199558783820278E-3</v>
      </c>
      <c r="BF237" s="262">
        <f t="shared" ca="1" si="32"/>
        <v>4.1064852435262833E-3</v>
      </c>
      <c r="BG237" s="262">
        <f t="shared" ca="1" si="32"/>
        <v>3.9928017456169439E-3</v>
      </c>
      <c r="BH237" s="262">
        <f t="shared" ca="1" si="32"/>
        <v>3.8787022699930062E-3</v>
      </c>
      <c r="BI237" s="262">
        <f t="shared" ca="1" si="32"/>
        <v>3.7640587220798805E-3</v>
      </c>
      <c r="BJ237" s="262">
        <f t="shared" ca="1" si="32"/>
        <v>3.6408711115469244E-3</v>
      </c>
      <c r="BK237" s="262">
        <f t="shared" ca="1" si="32"/>
        <v>3.5175289772320802E-3</v>
      </c>
      <c r="BL237" s="262">
        <f t="shared" ca="1" si="32"/>
        <v>3.3938464944125914E-3</v>
      </c>
      <c r="BM237" s="262">
        <f t="shared" ca="1" si="32"/>
        <v>3.2699267580950978E-3</v>
      </c>
      <c r="BN237" s="262">
        <f t="shared" ca="1" si="32"/>
        <v>3.1459598901891492E-3</v>
      </c>
      <c r="BO237" s="263"/>
      <c r="BP237" s="263"/>
      <c r="BQ237" s="263"/>
      <c r="BR237" s="263"/>
      <c r="BS237" s="263"/>
      <c r="BT237" s="263"/>
      <c r="BU237" s="263"/>
      <c r="BV237" s="263"/>
      <c r="BW237" s="263"/>
      <c r="BX237" s="263"/>
      <c r="BY237" s="263"/>
      <c r="BZ237" s="263"/>
      <c r="CA237" s="263"/>
      <c r="CB237" s="263"/>
      <c r="CC237" s="263"/>
      <c r="CD237" s="263"/>
      <c r="CE237" s="263"/>
      <c r="CF237" s="263"/>
      <c r="CG237" s="263"/>
      <c r="CH237" s="263"/>
      <c r="CI237" s="263"/>
      <c r="CJ237" s="263"/>
      <c r="CK237" s="263"/>
      <c r="CL237" s="263"/>
      <c r="CM237" s="263"/>
      <c r="CN237" s="263"/>
      <c r="CO237" s="263"/>
      <c r="CP237" s="263"/>
      <c r="CQ237" s="263"/>
      <c r="CR237" s="263"/>
      <c r="CS237" s="263"/>
      <c r="CT237" s="263"/>
      <c r="CU237" s="263"/>
      <c r="CV237" s="263"/>
      <c r="CW237" s="263"/>
      <c r="CX237" s="263"/>
      <c r="CY237" s="263"/>
      <c r="CZ237" s="263"/>
      <c r="DA237" s="263"/>
      <c r="DB237" s="263"/>
      <c r="DC237" s="263"/>
      <c r="DD237" s="263"/>
      <c r="DE237" s="263"/>
      <c r="DF237" s="263"/>
      <c r="DG237" s="263"/>
      <c r="DH237" s="263"/>
      <c r="DI237" s="263"/>
      <c r="DJ237" s="263"/>
      <c r="DK237" s="263"/>
      <c r="DL237" s="263"/>
      <c r="DM237" s="263"/>
      <c r="DN237" s="263"/>
      <c r="DO237" s="263"/>
      <c r="DP237" s="263"/>
      <c r="DQ237" s="263"/>
      <c r="DR237" s="263"/>
      <c r="DS237" s="263"/>
      <c r="DT237" s="263"/>
      <c r="DU237" s="263"/>
      <c r="DV237" s="263"/>
      <c r="DW237" s="263"/>
      <c r="DX237" s="263"/>
      <c r="DY237" s="263"/>
      <c r="DZ237" s="263"/>
      <c r="EA237" s="263"/>
      <c r="EB237" s="263"/>
      <c r="EC237" s="263"/>
      <c r="ED237" s="263"/>
      <c r="EE237" s="263"/>
      <c r="EF237" s="263"/>
      <c r="EG237" s="263"/>
      <c r="EH237" s="263"/>
      <c r="EI237" s="263"/>
      <c r="EJ237" s="263"/>
      <c r="EK237" s="263"/>
      <c r="EL237" s="263"/>
      <c r="EM237" s="263"/>
      <c r="EN237" s="263"/>
      <c r="EO237" s="263"/>
      <c r="EP237" s="263"/>
      <c r="EQ237" s="263"/>
      <c r="ER237" s="263"/>
      <c r="ES237" s="263"/>
      <c r="ET237" s="263"/>
      <c r="EU237" s="263"/>
      <c r="EV237" s="263"/>
      <c r="EW237" s="263"/>
      <c r="EX237" s="263"/>
      <c r="EY237" s="263"/>
      <c r="EZ237" s="263"/>
      <c r="FA237" s="263"/>
      <c r="FB237" s="263"/>
      <c r="FC237" s="263"/>
      <c r="FD237" s="263"/>
      <c r="FE237" s="263"/>
      <c r="FF237" s="263"/>
      <c r="FG237" s="263"/>
      <c r="FH237" s="263"/>
      <c r="FI237" s="263"/>
      <c r="FJ237" s="263"/>
      <c r="FK237" s="263"/>
      <c r="FL237" s="263"/>
      <c r="FM237" s="263"/>
      <c r="FN237" s="263"/>
      <c r="FO237" s="263"/>
      <c r="FP237" s="263"/>
      <c r="FQ237" s="263"/>
      <c r="FR237" s="263"/>
      <c r="FS237" s="263"/>
      <c r="FT237" s="263"/>
      <c r="FU237" s="263"/>
      <c r="FV237" s="263"/>
      <c r="FW237" s="263"/>
      <c r="FX237" s="263"/>
      <c r="FY237" s="263"/>
      <c r="FZ237" s="263"/>
      <c r="GA237" s="263"/>
      <c r="GB237" s="263"/>
      <c r="GC237" s="263"/>
      <c r="GD237" s="263"/>
      <c r="GE237" s="263"/>
      <c r="GF237" s="263"/>
      <c r="GG237" s="263"/>
      <c r="GH237" s="263"/>
      <c r="GI237" s="263"/>
      <c r="GJ237" s="263"/>
      <c r="GK237" s="263"/>
      <c r="GL237" s="263"/>
      <c r="GM237" s="263"/>
      <c r="GN237" s="263"/>
      <c r="GO237" s="263"/>
      <c r="GP237" s="263"/>
      <c r="GQ237" s="263"/>
      <c r="GR237" s="263"/>
      <c r="GS237" s="263"/>
      <c r="GT237" s="263"/>
      <c r="GU237" s="263"/>
      <c r="GV237" s="263"/>
      <c r="GW237" s="263"/>
      <c r="GX237" s="263"/>
      <c r="GY237" s="263"/>
    </row>
    <row r="238" spans="1:207" x14ac:dyDescent="0.15">
      <c r="D238" s="289"/>
      <c r="E238" s="289"/>
      <c r="G238" s="262"/>
      <c r="H238" s="262"/>
      <c r="I238" s="262"/>
      <c r="J238" s="262"/>
      <c r="K238" s="262"/>
      <c r="L238" s="262"/>
      <c r="M238" s="262"/>
      <c r="N238" s="262"/>
      <c r="O238" s="262"/>
      <c r="P238" s="262"/>
      <c r="Q238" s="262"/>
      <c r="R238" s="262"/>
      <c r="S238" s="262"/>
      <c r="T238" s="262"/>
      <c r="U238" s="262"/>
      <c r="V238" s="262"/>
      <c r="W238" s="262"/>
      <c r="X238" s="262"/>
      <c r="Y238" s="262"/>
      <c r="Z238" s="262"/>
      <c r="AA238" s="262"/>
      <c r="AB238" s="262"/>
      <c r="AC238" s="262"/>
      <c r="AD238" s="262"/>
      <c r="AE238" s="262"/>
      <c r="AF238" s="262"/>
      <c r="AG238" s="262"/>
      <c r="AH238" s="262"/>
      <c r="AI238" s="262"/>
      <c r="AJ238" s="262"/>
      <c r="AK238" s="262"/>
      <c r="AL238" s="262"/>
      <c r="AM238" s="262"/>
      <c r="AN238" s="262"/>
      <c r="AO238" s="262"/>
      <c r="AP238" s="262"/>
      <c r="AQ238" s="262"/>
      <c r="AR238" s="262"/>
      <c r="AS238" s="262"/>
      <c r="AT238" s="262"/>
      <c r="AU238" s="262"/>
      <c r="AV238" s="262"/>
      <c r="AW238" s="262"/>
      <c r="AX238" s="262"/>
      <c r="AY238" s="262"/>
      <c r="AZ238" s="262"/>
      <c r="BA238" s="262"/>
      <c r="BB238" s="262"/>
      <c r="BC238" s="262"/>
      <c r="BD238" s="262"/>
      <c r="BE238" s="262"/>
      <c r="BF238" s="262"/>
      <c r="BG238" s="262"/>
      <c r="BH238" s="262"/>
      <c r="BI238" s="262"/>
      <c r="BJ238" s="262"/>
      <c r="BK238" s="262"/>
      <c r="BL238" s="262"/>
      <c r="BM238" s="262"/>
      <c r="BN238" s="262"/>
      <c r="BO238" s="263"/>
      <c r="BP238" s="263"/>
      <c r="BQ238" s="263"/>
      <c r="BR238" s="263"/>
      <c r="BS238" s="263"/>
      <c r="BT238" s="263"/>
      <c r="BU238" s="263"/>
      <c r="BV238" s="263"/>
      <c r="BW238" s="263"/>
      <c r="BX238" s="263"/>
      <c r="BY238" s="263"/>
      <c r="BZ238" s="263"/>
      <c r="CA238" s="263"/>
      <c r="CB238" s="263"/>
      <c r="CC238" s="263"/>
      <c r="CD238" s="263"/>
      <c r="CE238" s="263"/>
      <c r="CF238" s="263"/>
      <c r="CG238" s="263"/>
      <c r="CH238" s="263"/>
      <c r="CI238" s="263"/>
      <c r="CJ238" s="263"/>
      <c r="CK238" s="263"/>
      <c r="CL238" s="263"/>
      <c r="CM238" s="263"/>
      <c r="CN238" s="263"/>
      <c r="CO238" s="263"/>
      <c r="CP238" s="263"/>
      <c r="CQ238" s="263"/>
      <c r="CR238" s="263"/>
      <c r="CS238" s="263"/>
      <c r="CT238" s="263"/>
      <c r="CU238" s="263"/>
      <c r="CV238" s="263"/>
      <c r="CW238" s="263"/>
      <c r="CX238" s="263"/>
      <c r="CY238" s="263"/>
      <c r="CZ238" s="263"/>
      <c r="DA238" s="263"/>
      <c r="DB238" s="263"/>
      <c r="DC238" s="263"/>
      <c r="DD238" s="263"/>
      <c r="DE238" s="263"/>
      <c r="DF238" s="263"/>
      <c r="DG238" s="263"/>
      <c r="DH238" s="263"/>
      <c r="DI238" s="263"/>
      <c r="DJ238" s="263"/>
      <c r="DK238" s="263"/>
      <c r="DL238" s="263"/>
      <c r="DM238" s="263"/>
      <c r="DN238" s="263"/>
      <c r="DO238" s="263"/>
      <c r="DP238" s="263"/>
      <c r="DQ238" s="263"/>
      <c r="DR238" s="263"/>
      <c r="DS238" s="263"/>
      <c r="DT238" s="263"/>
      <c r="DU238" s="263"/>
      <c r="DV238" s="263"/>
      <c r="DW238" s="263"/>
      <c r="DX238" s="263"/>
      <c r="DY238" s="263"/>
      <c r="DZ238" s="263"/>
      <c r="EA238" s="263"/>
      <c r="EB238" s="263"/>
      <c r="EC238" s="263"/>
      <c r="ED238" s="263"/>
      <c r="EE238" s="263"/>
      <c r="EF238" s="263"/>
      <c r="EG238" s="263"/>
      <c r="EH238" s="263"/>
      <c r="EI238" s="263"/>
      <c r="EJ238" s="263"/>
      <c r="EK238" s="263"/>
      <c r="EL238" s="263"/>
      <c r="EM238" s="263"/>
      <c r="EN238" s="263"/>
      <c r="EO238" s="263"/>
      <c r="EP238" s="263"/>
      <c r="EQ238" s="263"/>
      <c r="ER238" s="263"/>
      <c r="ES238" s="263"/>
      <c r="ET238" s="263"/>
      <c r="EU238" s="263"/>
      <c r="EV238" s="263"/>
      <c r="EW238" s="263"/>
      <c r="EX238" s="263"/>
      <c r="EY238" s="263"/>
      <c r="EZ238" s="263"/>
      <c r="FA238" s="263"/>
      <c r="FB238" s="263"/>
      <c r="FC238" s="263"/>
      <c r="FD238" s="263"/>
      <c r="FE238" s="263"/>
      <c r="FF238" s="263"/>
      <c r="FG238" s="263"/>
      <c r="FH238" s="263"/>
      <c r="FI238" s="263"/>
      <c r="FJ238" s="263"/>
      <c r="FK238" s="263"/>
      <c r="FL238" s="263"/>
      <c r="FM238" s="263"/>
      <c r="FN238" s="263"/>
      <c r="FO238" s="263"/>
      <c r="FP238" s="263"/>
      <c r="FQ238" s="263"/>
      <c r="FR238" s="263"/>
      <c r="FS238" s="263"/>
      <c r="FT238" s="263"/>
      <c r="FU238" s="263"/>
      <c r="FV238" s="263"/>
      <c r="FW238" s="263"/>
      <c r="FX238" s="263"/>
      <c r="FY238" s="263"/>
      <c r="FZ238" s="263"/>
      <c r="GA238" s="263"/>
      <c r="GB238" s="263"/>
      <c r="GC238" s="263"/>
      <c r="GD238" s="263"/>
      <c r="GE238" s="263"/>
      <c r="GF238" s="263"/>
      <c r="GG238" s="263"/>
      <c r="GH238" s="263"/>
      <c r="GI238" s="263"/>
      <c r="GJ238" s="263"/>
      <c r="GK238" s="263"/>
      <c r="GL238" s="263"/>
      <c r="GM238" s="263"/>
      <c r="GN238" s="263"/>
      <c r="GO238" s="263"/>
      <c r="GP238" s="263"/>
      <c r="GQ238" s="263"/>
      <c r="GR238" s="263"/>
      <c r="GS238" s="263"/>
      <c r="GT238" s="263"/>
      <c r="GU238" s="263"/>
      <c r="GV238" s="263"/>
      <c r="GW238" s="263"/>
      <c r="GX238" s="263"/>
      <c r="GY238" s="263"/>
    </row>
    <row r="239" spans="1:207" x14ac:dyDescent="0.15">
      <c r="C239" s="23" t="s">
        <v>159</v>
      </c>
      <c r="D239" s="23" t="s">
        <v>159</v>
      </c>
      <c r="F239" s="26" t="s">
        <v>341</v>
      </c>
      <c r="G239" s="263">
        <f ca="1">G220+G237</f>
        <v>2.0732109923628356E-2</v>
      </c>
      <c r="H239" s="263">
        <f ca="1">H220+H237</f>
        <v>2.1043033703786112E-2</v>
      </c>
      <c r="I239" s="263">
        <f ca="1">I220+I237</f>
        <v>2.51290733974678E-2</v>
      </c>
      <c r="J239" s="263">
        <f t="shared" ref="J239:BN239" ca="1" si="33">J220+J237</f>
        <v>2.6934279200060772E-2</v>
      </c>
      <c r="K239" s="263">
        <f t="shared" ca="1" si="33"/>
        <v>2.5827832733100076E-2</v>
      </c>
      <c r="L239" s="263">
        <f t="shared" ca="1" si="33"/>
        <v>0.10600365335437976</v>
      </c>
      <c r="M239" s="263">
        <f t="shared" ca="1" si="33"/>
        <v>1.9220133202983086E-2</v>
      </c>
      <c r="N239" s="263">
        <f t="shared" ca="1" si="33"/>
        <v>1.5461260777477077E-2</v>
      </c>
      <c r="O239" s="263">
        <f t="shared" ca="1" si="33"/>
        <v>1.3036368403788804E-2</v>
      </c>
      <c r="P239" s="263">
        <f t="shared" ca="1" si="33"/>
        <v>1.1573472038180993E-2</v>
      </c>
      <c r="Q239" s="263">
        <f t="shared" ca="1" si="33"/>
        <v>1.0269669228328629E-2</v>
      </c>
      <c r="R239" s="263">
        <f t="shared" ca="1" si="33"/>
        <v>9.1007230413754046E-3</v>
      </c>
      <c r="S239" s="263">
        <f t="shared" ca="1" si="33"/>
        <v>8.6720966987157821E-3</v>
      </c>
      <c r="T239" s="263">
        <f t="shared" ca="1" si="33"/>
        <v>9.279303960055562E-3</v>
      </c>
      <c r="U239" s="263">
        <f t="shared" ca="1" si="33"/>
        <v>9.3041538540245938E-2</v>
      </c>
      <c r="V239" s="263">
        <f t="shared" ca="1" si="33"/>
        <v>1.0497091803654103E-2</v>
      </c>
      <c r="W239" s="263">
        <f t="shared" ca="1" si="33"/>
        <v>1.0492056877619713E-2</v>
      </c>
      <c r="X239" s="263">
        <f t="shared" ca="1" si="33"/>
        <v>1.0319552496856222E-2</v>
      </c>
      <c r="Y239" s="263">
        <f t="shared" ca="1" si="33"/>
        <v>1.0256533838407517E-2</v>
      </c>
      <c r="Z239" s="263">
        <f t="shared" ca="1" si="33"/>
        <v>9.7595172728323319E-3</v>
      </c>
      <c r="AA239" s="263">
        <f t="shared" ca="1" si="33"/>
        <v>9.3211045305156559E-3</v>
      </c>
      <c r="AB239" s="263">
        <f t="shared" ca="1" si="33"/>
        <v>8.9290492441707874E-3</v>
      </c>
      <c r="AC239" s="263">
        <f t="shared" ca="1" si="33"/>
        <v>8.486413226288186E-3</v>
      </c>
      <c r="AD239" s="263">
        <f t="shared" ca="1" si="33"/>
        <v>9.1152564239429218E-2</v>
      </c>
      <c r="AE239" s="263">
        <f t="shared" ca="1" si="33"/>
        <v>7.7654458497712943E-3</v>
      </c>
      <c r="AF239" s="263">
        <f t="shared" ca="1" si="33"/>
        <v>7.6400820890309609E-3</v>
      </c>
      <c r="AG239" s="263">
        <f t="shared" ca="1" si="33"/>
        <v>7.7186840349070876E-3</v>
      </c>
      <c r="AH239" s="263">
        <f t="shared" ca="1" si="33"/>
        <v>7.8229218883260239E-3</v>
      </c>
      <c r="AI239" s="263">
        <f t="shared" ca="1" si="33"/>
        <v>7.7683132650734447E-3</v>
      </c>
      <c r="AJ239" s="263">
        <f t="shared" ca="1" si="33"/>
        <v>7.5595301546778817E-3</v>
      </c>
      <c r="AK239" s="263">
        <f t="shared" ca="1" si="33"/>
        <v>7.2838723454199698E-3</v>
      </c>
      <c r="AL239" s="263">
        <f t="shared" ca="1" si="33"/>
        <v>6.910465091015127E-3</v>
      </c>
      <c r="AM239" s="263">
        <f t="shared" ca="1" si="33"/>
        <v>6.6359967850142167E-3</v>
      </c>
      <c r="AN239" s="263">
        <f t="shared" ca="1" si="33"/>
        <v>6.3964104582314952E-3</v>
      </c>
      <c r="AO239" s="263">
        <f t="shared" ca="1" si="33"/>
        <v>6.0782286127593638E-3</v>
      </c>
      <c r="AP239" s="263">
        <f t="shared" ca="1" si="33"/>
        <v>5.7651185696565108E-3</v>
      </c>
      <c r="AQ239" s="263">
        <f t="shared" ca="1" si="33"/>
        <v>5.527895153936392E-3</v>
      </c>
      <c r="AR239" s="263">
        <f t="shared" ca="1" si="33"/>
        <v>5.403993246186076E-3</v>
      </c>
      <c r="AS239" s="263">
        <f t="shared" ca="1" si="33"/>
        <v>5.2937852775489184E-3</v>
      </c>
      <c r="AT239" s="263">
        <f t="shared" ca="1" si="33"/>
        <v>5.2061862570008484E-3</v>
      </c>
      <c r="AU239" s="263">
        <f t="shared" ca="1" si="33"/>
        <v>5.1164991641339834E-3</v>
      </c>
      <c r="AV239" s="263">
        <f t="shared" ca="1" si="33"/>
        <v>5.0174575248550964E-3</v>
      </c>
      <c r="AW239" s="263">
        <f t="shared" ca="1" si="33"/>
        <v>4.8967962046570388E-3</v>
      </c>
      <c r="AX239" s="263">
        <f t="shared" ca="1" si="33"/>
        <v>4.7123036526050301E-3</v>
      </c>
      <c r="AY239" s="263">
        <f t="shared" ca="1" si="33"/>
        <v>4.5378162628945048E-3</v>
      </c>
      <c r="AZ239" s="263">
        <f t="shared" ca="1" si="33"/>
        <v>4.3686295578944205E-3</v>
      </c>
      <c r="BA239" s="263">
        <f t="shared" ca="1" si="33"/>
        <v>4.1979669707377732E-3</v>
      </c>
      <c r="BB239" s="263">
        <f t="shared" ca="1" si="33"/>
        <v>4.0264418822548217E-3</v>
      </c>
      <c r="BC239" s="263">
        <f t="shared" ca="1" si="33"/>
        <v>3.8604551762329974E-3</v>
      </c>
      <c r="BD239" s="263">
        <f t="shared" ca="1" si="33"/>
        <v>3.7372444417588264E-3</v>
      </c>
      <c r="BE239" s="263">
        <f t="shared" ca="1" si="33"/>
        <v>3.6140742583201427E-3</v>
      </c>
      <c r="BF239" s="263">
        <f t="shared" ca="1" si="33"/>
        <v>3.4927022544197842E-3</v>
      </c>
      <c r="BG239" s="263">
        <f t="shared" ca="1" si="33"/>
        <v>3.3735032664962035E-3</v>
      </c>
      <c r="BH239" s="263">
        <f t="shared" ca="1" si="33"/>
        <v>3.2554983048136204E-3</v>
      </c>
      <c r="BI239" s="263">
        <f t="shared" ca="1" si="33"/>
        <v>3.1381269100668654E-3</v>
      </c>
      <c r="BJ239" s="263">
        <f t="shared" ca="1" si="33"/>
        <v>2.992733537222804E-3</v>
      </c>
      <c r="BK239" s="263">
        <f t="shared" ca="1" si="33"/>
        <v>2.8517882376202478E-3</v>
      </c>
      <c r="BL239" s="263">
        <f t="shared" ca="1" si="33"/>
        <v>2.7144461242494039E-3</v>
      </c>
      <c r="BM239" s="263">
        <f t="shared" ca="1" si="33"/>
        <v>2.5783156049252699E-3</v>
      </c>
      <c r="BN239" s="263">
        <f t="shared" ca="1" si="33"/>
        <v>2.4434298261619379E-3</v>
      </c>
      <c r="BO239" s="263"/>
      <c r="BP239" s="263"/>
      <c r="BQ239" s="263"/>
      <c r="BR239" s="263"/>
      <c r="BS239" s="263"/>
      <c r="BT239" s="263"/>
      <c r="BU239" s="263"/>
      <c r="BV239" s="263"/>
      <c r="BW239" s="263"/>
      <c r="BX239" s="263"/>
      <c r="BY239" s="263"/>
      <c r="BZ239" s="263"/>
      <c r="CA239" s="263"/>
      <c r="CB239" s="263"/>
      <c r="CC239" s="263"/>
      <c r="CD239" s="263"/>
      <c r="CE239" s="263"/>
      <c r="CF239" s="263"/>
      <c r="CG239" s="263"/>
      <c r="CH239" s="263"/>
      <c r="CI239" s="263"/>
      <c r="CJ239" s="263"/>
      <c r="CK239" s="263"/>
      <c r="CL239" s="263"/>
      <c r="CM239" s="263"/>
      <c r="CN239" s="263"/>
      <c r="CO239" s="263"/>
      <c r="CP239" s="263"/>
      <c r="CQ239" s="263"/>
      <c r="CR239" s="263"/>
      <c r="CS239" s="263"/>
      <c r="CT239" s="263"/>
      <c r="CU239" s="263"/>
      <c r="CV239" s="263"/>
      <c r="CW239" s="263"/>
      <c r="CX239" s="263"/>
      <c r="CY239" s="263"/>
      <c r="CZ239" s="263"/>
      <c r="DA239" s="263"/>
      <c r="DB239" s="263"/>
      <c r="DC239" s="263"/>
      <c r="DD239" s="263"/>
      <c r="DE239" s="263"/>
      <c r="DF239" s="263"/>
      <c r="DG239" s="263"/>
      <c r="DH239" s="263"/>
      <c r="DI239" s="263"/>
      <c r="DJ239" s="263"/>
      <c r="DK239" s="263"/>
      <c r="DL239" s="263"/>
      <c r="DM239" s="263"/>
      <c r="DN239" s="263"/>
      <c r="DO239" s="263"/>
      <c r="DP239" s="263"/>
      <c r="DQ239" s="263"/>
      <c r="DR239" s="263"/>
      <c r="DS239" s="263"/>
      <c r="DT239" s="263"/>
      <c r="DU239" s="263"/>
      <c r="DV239" s="263"/>
      <c r="DW239" s="263"/>
      <c r="DX239" s="263"/>
      <c r="DY239" s="263"/>
      <c r="DZ239" s="263"/>
      <c r="EA239" s="263"/>
      <c r="EB239" s="263"/>
      <c r="EC239" s="263"/>
      <c r="ED239" s="263"/>
      <c r="EE239" s="263"/>
      <c r="EF239" s="263"/>
      <c r="EG239" s="263"/>
      <c r="EH239" s="263"/>
      <c r="EI239" s="263"/>
      <c r="EJ239" s="263"/>
      <c r="EK239" s="263"/>
      <c r="EL239" s="263"/>
      <c r="EM239" s="263"/>
      <c r="EN239" s="263"/>
      <c r="EO239" s="263"/>
      <c r="EP239" s="263"/>
      <c r="EQ239" s="263"/>
      <c r="ER239" s="263"/>
      <c r="ES239" s="263"/>
      <c r="ET239" s="263"/>
      <c r="EU239" s="263"/>
      <c r="EV239" s="263"/>
      <c r="EW239" s="263"/>
      <c r="EX239" s="263"/>
      <c r="EY239" s="263"/>
      <c r="EZ239" s="263"/>
      <c r="FA239" s="263"/>
      <c r="FB239" s="263"/>
      <c r="FC239" s="263"/>
      <c r="FD239" s="263"/>
      <c r="FE239" s="263"/>
      <c r="FF239" s="263"/>
      <c r="FG239" s="263"/>
      <c r="FH239" s="263"/>
      <c r="FI239" s="263"/>
      <c r="FJ239" s="263"/>
      <c r="FK239" s="263"/>
      <c r="FL239" s="263"/>
      <c r="FM239" s="263"/>
      <c r="FN239" s="263"/>
      <c r="FO239" s="263"/>
      <c r="FP239" s="263"/>
      <c r="FQ239" s="263"/>
      <c r="FR239" s="263"/>
      <c r="FS239" s="263"/>
      <c r="FT239" s="263"/>
      <c r="FU239" s="263"/>
      <c r="FV239" s="263"/>
      <c r="FW239" s="263"/>
      <c r="FX239" s="263"/>
      <c r="FY239" s="263"/>
      <c r="FZ239" s="263"/>
      <c r="GA239" s="263"/>
      <c r="GB239" s="263"/>
      <c r="GC239" s="263"/>
      <c r="GD239" s="263"/>
      <c r="GE239" s="263"/>
      <c r="GF239" s="263"/>
      <c r="GG239" s="263"/>
      <c r="GH239" s="263"/>
      <c r="GI239" s="263"/>
      <c r="GJ239" s="263"/>
      <c r="GK239" s="263"/>
      <c r="GL239" s="263"/>
      <c r="GM239" s="263"/>
      <c r="GN239" s="263"/>
      <c r="GO239" s="263"/>
      <c r="GP239" s="263"/>
      <c r="GQ239" s="263"/>
      <c r="GR239" s="263"/>
      <c r="GS239" s="263"/>
      <c r="GT239" s="263"/>
      <c r="GU239" s="263"/>
      <c r="GV239" s="263"/>
      <c r="GW239" s="263"/>
      <c r="GX239" s="263"/>
      <c r="GY239" s="263"/>
    </row>
    <row r="240" spans="1:207" x14ac:dyDescent="0.15">
      <c r="C240" s="23" t="s">
        <v>216</v>
      </c>
      <c r="D240" s="23" t="s">
        <v>216</v>
      </c>
      <c r="F240" s="23" t="s">
        <v>341</v>
      </c>
      <c r="G240" s="263">
        <v>0</v>
      </c>
      <c r="H240" s="263">
        <f>IF(H7&gt;SAP_Leadsheet!$E$21,0,IF(SAP_Leadsheet!D6="DPD180+",SUM(SAP_Spreadsheet!G188:G193)-SUM(SAP_Spreadsheet!H189:H194),0))</f>
        <v>0</v>
      </c>
      <c r="I240" s="263">
        <f>IF(I7&gt;SAP_Leadsheet!$E$21,0,IF(SAP_Leadsheet!E6="DPD180+",SUM(SAP_Spreadsheet!H188:H193)-SUM(SAP_Spreadsheet!I189:I194),0))</f>
        <v>0</v>
      </c>
      <c r="J240" s="263">
        <f>IF(J7&gt;SAP_Leadsheet!$E$21,0,IF(SAP_Leadsheet!F6="DPD180+",SUM(SAP_Spreadsheet!I188:I193)-SUM(SAP_Spreadsheet!J189:J194),0))</f>
        <v>0</v>
      </c>
      <c r="K240" s="263">
        <f>IF(K7&gt;SAP_Leadsheet!$E$21,0,IF(SAP_Leadsheet!G6="DPD180+",SUM(SAP_Spreadsheet!J188:J193)-SUM(SAP_Spreadsheet!K189:K194),0))</f>
        <v>0</v>
      </c>
      <c r="L240" s="263">
        <f>IF(L7&gt;SAP_Leadsheet!$E$21,0,IF(SAP_Leadsheet!H6="DPD180+",SUM(SAP_Spreadsheet!K188:K193)-SUM(SAP_Spreadsheet!L189:L194),0))</f>
        <v>0</v>
      </c>
      <c r="M240" s="263">
        <f>IF(M7&gt;SAP_Leadsheet!$E$21,0,IF(SAP_Leadsheet!I6="DPD180+",SUM(SAP_Spreadsheet!L188:L193)-SUM(SAP_Spreadsheet!M189:M194),0))</f>
        <v>0</v>
      </c>
      <c r="N240" s="263">
        <f>IF(N7&gt;SAP_Leadsheet!$E$21,0,IF(SAP_Leadsheet!J6="DPD180+",SUM(SAP_Spreadsheet!M188:M193)-SUM(SAP_Spreadsheet!N189:N194),0))</f>
        <v>0</v>
      </c>
      <c r="O240" s="263">
        <f>IF(O7&gt;SAP_Leadsheet!$E$21,0,IF(SAP_Leadsheet!K6="DPD180+",SUM(SAP_Spreadsheet!N188:N193)-SUM(SAP_Spreadsheet!O189:O194),0))</f>
        <v>0</v>
      </c>
      <c r="P240" s="263">
        <f>IF(P7&gt;SAP_Leadsheet!$E$21,0,IF(SAP_Leadsheet!L6="DPD180+",SUM(SAP_Spreadsheet!O188:O193)-SUM(SAP_Spreadsheet!P189:P194),0))</f>
        <v>0</v>
      </c>
      <c r="Q240" s="263">
        <f>IF(Q7&gt;SAP_Leadsheet!$E$21,0,IF(SAP_Leadsheet!M6="DPD180+",SUM(SAP_Spreadsheet!P188:P193)-SUM(SAP_Spreadsheet!Q189:Q194),0))</f>
        <v>0</v>
      </c>
      <c r="R240" s="263">
        <f>IF(R7&gt;SAP_Leadsheet!$E$21,0,IF(SAP_Leadsheet!N6="DPD180+",SUM(SAP_Spreadsheet!Q188:Q193)-SUM(SAP_Spreadsheet!R189:R194),0))</f>
        <v>0</v>
      </c>
      <c r="S240" s="263">
        <f>IF(S7&gt;SAP_Leadsheet!$E$21,0,IF(SAP_Leadsheet!O6="DPD180+",SUM(SAP_Spreadsheet!R188:R193)-SUM(SAP_Spreadsheet!S189:S194),0))</f>
        <v>0</v>
      </c>
      <c r="T240" s="263">
        <f>IF(T7&gt;SAP_Leadsheet!$E$21,0,IF(SAP_Leadsheet!P6="DPD180+",SUM(SAP_Spreadsheet!S188:S193)-SUM(SAP_Spreadsheet!T189:T194),0))</f>
        <v>0</v>
      </c>
      <c r="U240" s="263">
        <f>IF(U7&gt;SAP_Leadsheet!$E$21,0,IF(SAP_Leadsheet!Q6="DPD180+",SUM(SAP_Spreadsheet!T188:T193)-SUM(SAP_Spreadsheet!U189:U194),0))</f>
        <v>0</v>
      </c>
      <c r="V240" s="263">
        <f>IF(V7&gt;SAP_Leadsheet!$E$21,0,IF(SAP_Leadsheet!R6="DPD180+",SUM(SAP_Spreadsheet!U188:U193)-SUM(SAP_Spreadsheet!V189:V194),0))</f>
        <v>0</v>
      </c>
      <c r="W240" s="263">
        <f>IF(W7&gt;SAP_Leadsheet!$E$21,0,IF(SAP_Leadsheet!S6="DPD180+",SUM(SAP_Spreadsheet!V188:V193)-SUM(SAP_Spreadsheet!W189:W194),0))</f>
        <v>0</v>
      </c>
      <c r="X240" s="263">
        <f>IF(X7&gt;SAP_Leadsheet!$E$21,0,IF(SAP_Leadsheet!T6="DPD180+",SUM(SAP_Spreadsheet!W188:W193)-SUM(SAP_Spreadsheet!X189:X194),0))</f>
        <v>0</v>
      </c>
      <c r="Y240" s="263">
        <f>IF(Y7&gt;SAP_Leadsheet!$E$21,0,IF(SAP_Leadsheet!U6="DPD180+",SUM(SAP_Spreadsheet!X188:X193)-SUM(SAP_Spreadsheet!Y189:Y194),0))</f>
        <v>0</v>
      </c>
      <c r="Z240" s="263">
        <f>IF(Z7&gt;SAP_Leadsheet!$E$21,0,IF(SAP_Leadsheet!V6="DPD180+",SUM(SAP_Spreadsheet!Y188:Y193)-SUM(SAP_Spreadsheet!Z189:Z194),0))</f>
        <v>0</v>
      </c>
      <c r="AA240" s="263">
        <f>IF(AA7&gt;SAP_Leadsheet!$E$21,0,IF(SAP_Leadsheet!W6="DPD180+",SUM(SAP_Spreadsheet!Z188:Z193)-SUM(SAP_Spreadsheet!AA189:AA194),0))</f>
        <v>0</v>
      </c>
      <c r="AB240" s="263">
        <f>IF(AB7&gt;SAP_Leadsheet!$E$21,0,IF(SAP_Leadsheet!X6="DPD180+",SUM(SAP_Spreadsheet!AA188:AA193)-SUM(SAP_Spreadsheet!AB189:AB194),0))</f>
        <v>0</v>
      </c>
      <c r="AC240" s="263">
        <f>IF(AC7&gt;SAP_Leadsheet!$E$21,0,IF(SAP_Leadsheet!Y6="DPD180+",SUM(SAP_Spreadsheet!AB188:AB193)-SUM(SAP_Spreadsheet!AC189:AC194),0))</f>
        <v>0</v>
      </c>
      <c r="AD240" s="263">
        <f>IF(AD7&gt;SAP_Leadsheet!$E$21,0,IF(SAP_Leadsheet!Z6="DPD180+",SUM(SAP_Spreadsheet!AC188:AC193)-SUM(SAP_Spreadsheet!AD189:AD194),0))</f>
        <v>0</v>
      </c>
      <c r="AE240" s="263">
        <f>IF(AE7&gt;SAP_Leadsheet!$E$21,0,IF(SAP_Leadsheet!AA6="DPD180+",SUM(SAP_Spreadsheet!AD188:AD193)-SUM(SAP_Spreadsheet!AE189:AE194),0))</f>
        <v>0</v>
      </c>
      <c r="AF240" s="263">
        <f>IF(AF7&gt;SAP_Leadsheet!$E$21,0,IF(SAP_Leadsheet!AB6="DPD180+",SUM(SAP_Spreadsheet!AE188:AE193)-SUM(SAP_Spreadsheet!AF189:AF194),0))</f>
        <v>0</v>
      </c>
      <c r="AG240" s="263">
        <f>IF(AG7&gt;SAP_Leadsheet!$E$21,0,IF(SAP_Leadsheet!AC6="DPD180+",SUM(SAP_Spreadsheet!AF188:AF193)-SUM(SAP_Spreadsheet!AG189:AG194),0))</f>
        <v>0</v>
      </c>
      <c r="AH240" s="263">
        <f>IF(AH7&gt;SAP_Leadsheet!$E$21,0,IF(SAP_Leadsheet!AD6="DPD180+",SUM(SAP_Spreadsheet!AG188:AG193)-SUM(SAP_Spreadsheet!AH189:AH194),0))</f>
        <v>0</v>
      </c>
      <c r="AI240" s="263">
        <f>IF(AI7&gt;SAP_Leadsheet!$E$21,0,IF(SAP_Leadsheet!AE6="DPD180+",SUM(SAP_Spreadsheet!AH188:AH193)-SUM(SAP_Spreadsheet!AI189:AI194),0))</f>
        <v>0</v>
      </c>
      <c r="AJ240" s="263">
        <f>IF(AJ7&gt;SAP_Leadsheet!$E$21,0,IF(SAP_Leadsheet!AF6="DPD180+",SUM(SAP_Spreadsheet!AI188:AI193)-SUM(SAP_Spreadsheet!AJ189:AJ194),0))</f>
        <v>0</v>
      </c>
      <c r="AK240" s="263">
        <f>IF(AK7&gt;SAP_Leadsheet!$E$21,0,IF(SAP_Leadsheet!AG6="DPD180+",SUM(SAP_Spreadsheet!AJ188:AJ193)-SUM(SAP_Spreadsheet!AK189:AK194),0))</f>
        <v>0</v>
      </c>
      <c r="AL240" s="263">
        <f>IF(AL7&gt;SAP_Leadsheet!$E$21,0,IF(SAP_Leadsheet!AH6="DPD180+",SUM(SAP_Spreadsheet!AK188:AK193)-SUM(SAP_Spreadsheet!AL189:AL194),0))</f>
        <v>0</v>
      </c>
      <c r="AM240" s="263">
        <f>IF(AM7&gt;SAP_Leadsheet!$E$21,0,IF(SAP_Leadsheet!AI6="DPD180+",SUM(SAP_Spreadsheet!AL188:AL193)-SUM(SAP_Spreadsheet!AM189:AM194),0))</f>
        <v>0</v>
      </c>
      <c r="AN240" s="263">
        <f>IF(AN7&gt;SAP_Leadsheet!$E$21,0,IF(SAP_Leadsheet!AJ6="DPD180+",SUM(SAP_Spreadsheet!AM188:AM193)-SUM(SAP_Spreadsheet!AN189:AN194),0))</f>
        <v>0</v>
      </c>
      <c r="AO240" s="263">
        <f>IF(AO7&gt;SAP_Leadsheet!$E$21,0,IF(SAP_Leadsheet!AK6="DPD180+",SUM(SAP_Spreadsheet!AN188:AN193)-SUM(SAP_Spreadsheet!AO189:AO194),0))</f>
        <v>0</v>
      </c>
      <c r="AP240" s="263">
        <f>IF(AP7&gt;SAP_Leadsheet!$E$21,0,IF(SAP_Leadsheet!AL6="DPD180+",SUM(SAP_Spreadsheet!AO188:AO193)-SUM(SAP_Spreadsheet!AP189:AP194),0))</f>
        <v>0</v>
      </c>
      <c r="AQ240" s="263">
        <f>IF(AQ7&gt;SAP_Leadsheet!$E$21,0,IF(SAP_Leadsheet!AM6="DPD180+",SUM(SAP_Spreadsheet!AP188:AP193)-SUM(SAP_Spreadsheet!AQ189:AQ194),0))</f>
        <v>0</v>
      </c>
      <c r="AR240" s="263">
        <f>IF(AR7&gt;SAP_Leadsheet!$E$21,0,IF(SAP_Leadsheet!AN6="DPD180+",SUM(SAP_Spreadsheet!AQ188:AQ193)-SUM(SAP_Spreadsheet!AR189:AR194),0))</f>
        <v>0</v>
      </c>
      <c r="AS240" s="263">
        <f>IF(AS7&gt;SAP_Leadsheet!$E$21,0,IF(SAP_Leadsheet!AO6="DPD180+",SUM(SAP_Spreadsheet!AR188:AR193)-SUM(SAP_Spreadsheet!AS189:AS194),0))</f>
        <v>0</v>
      </c>
      <c r="AT240" s="263">
        <f>IF(AT7&gt;SAP_Leadsheet!$E$21,0,IF(SAP_Leadsheet!AP6="DPD180+",SUM(SAP_Spreadsheet!AS188:AS193)-SUM(SAP_Spreadsheet!AT189:AT194),0))</f>
        <v>0</v>
      </c>
      <c r="AU240" s="263">
        <f>IF(AU7&gt;SAP_Leadsheet!$E$21,0,IF(SAP_Leadsheet!AQ6="DPD180+",SUM(SAP_Spreadsheet!AT188:AT193)-SUM(SAP_Spreadsheet!AU189:AU194),0))</f>
        <v>0</v>
      </c>
      <c r="AV240" s="263">
        <f>IF(AV7&gt;SAP_Leadsheet!$E$21,0,IF(SAP_Leadsheet!AR6="DPD180+",SUM(SAP_Spreadsheet!AU188:AU193)-SUM(SAP_Spreadsheet!AV189:AV194),0))</f>
        <v>0</v>
      </c>
      <c r="AW240" s="263">
        <f>IF(AW7&gt;SAP_Leadsheet!$E$21,0,IF(SAP_Leadsheet!AS6="DPD180+",SUM(SAP_Spreadsheet!AV188:AV193)-SUM(SAP_Spreadsheet!AW189:AW194),0))</f>
        <v>0</v>
      </c>
      <c r="AX240" s="263">
        <f>IF(AX7&gt;SAP_Leadsheet!$E$21,0,IF(SAP_Leadsheet!AT6="DPD180+",SUM(SAP_Spreadsheet!AW188:AW193)-SUM(SAP_Spreadsheet!AX189:AX194),0))</f>
        <v>0</v>
      </c>
      <c r="AY240" s="263">
        <f>IF(AY7&gt;SAP_Leadsheet!$E$21,0,IF(SAP_Leadsheet!AU6="DPD180+",SUM(SAP_Spreadsheet!AX188:AX193)-SUM(SAP_Spreadsheet!AY189:AY194),0))</f>
        <v>0</v>
      </c>
      <c r="AZ240" s="263">
        <f>IF(AZ7&gt;SAP_Leadsheet!$E$21,0,IF(SAP_Leadsheet!AV6="DPD180+",SUM(SAP_Spreadsheet!AY188:AY193)-SUM(SAP_Spreadsheet!AZ189:AZ194),0))</f>
        <v>0</v>
      </c>
      <c r="BA240" s="263">
        <f>IF(BA7&gt;SAP_Leadsheet!$E$21,0,IF(SAP_Leadsheet!AW6="DPD180+",SUM(SAP_Spreadsheet!AZ188:AZ193)-SUM(SAP_Spreadsheet!BA189:BA194),0))</f>
        <v>0</v>
      </c>
      <c r="BB240" s="263">
        <f>IF(BB7&gt;SAP_Leadsheet!$E$21,0,IF(SAP_Leadsheet!AX6="DPD180+",SUM(SAP_Spreadsheet!BA188:BA193)-SUM(SAP_Spreadsheet!BB189:BB194),0))</f>
        <v>0</v>
      </c>
      <c r="BC240" s="263">
        <f>IF(BC7&gt;SAP_Leadsheet!$E$21,0,IF(SAP_Leadsheet!AY6="DPD180+",SUM(SAP_Spreadsheet!BB188:BB193)-SUM(SAP_Spreadsheet!BC189:BC194),0))</f>
        <v>0</v>
      </c>
      <c r="BD240" s="263">
        <f>IF(BD7&gt;SAP_Leadsheet!$E$21,0,IF(SAP_Leadsheet!AZ6="DPD180+",SUM(SAP_Spreadsheet!BC188:BC193)-SUM(SAP_Spreadsheet!BD189:BD194),0))</f>
        <v>0</v>
      </c>
      <c r="BE240" s="263">
        <f>IF(BE7&gt;SAP_Leadsheet!$E$21,0,IF(SAP_Leadsheet!BA6="DPD180+",SUM(SAP_Spreadsheet!BD188:BD193)-SUM(SAP_Spreadsheet!BE189:BE194),0))</f>
        <v>0</v>
      </c>
      <c r="BF240" s="263">
        <f>IF(BF7&gt;SAP_Leadsheet!$E$21,0,IF(SAP_Leadsheet!BB6="DPD180+",SUM(SAP_Spreadsheet!BE188:BE193)-SUM(SAP_Spreadsheet!BF189:BF194),0))</f>
        <v>0</v>
      </c>
      <c r="BG240" s="263">
        <f>IF(BG7&gt;SAP_Leadsheet!$E$21,0,IF(SAP_Leadsheet!BC6="DPD180+",SUM(SAP_Spreadsheet!BF188:BF193)-SUM(SAP_Spreadsheet!BG189:BG194),0))</f>
        <v>0</v>
      </c>
      <c r="BH240" s="263">
        <f>IF(BH7&gt;SAP_Leadsheet!$E$21,0,IF(SAP_Leadsheet!BD6="DPD180+",SUM(SAP_Spreadsheet!BG188:BG193)-SUM(SAP_Spreadsheet!BH189:BH194),0))</f>
        <v>0</v>
      </c>
      <c r="BI240" s="263">
        <f>IF(BI7&gt;SAP_Leadsheet!$E$21,0,IF(SAP_Leadsheet!BE6="DPD180+",SUM(SAP_Spreadsheet!BH188:BH193)-SUM(SAP_Spreadsheet!BI189:BI194),0))</f>
        <v>0</v>
      </c>
      <c r="BJ240" s="263">
        <f>IF(BJ7&gt;SAP_Leadsheet!$E$21,0,IF(SAP_Leadsheet!BF6="DPD180+",SUM(SAP_Spreadsheet!BI188:BI193)-SUM(SAP_Spreadsheet!BJ189:BJ194),0))</f>
        <v>0</v>
      </c>
      <c r="BK240" s="263">
        <f>IF(BK7&gt;SAP_Leadsheet!$E$21,0,IF(SAP_Leadsheet!BG6="DPD180+",SUM(SAP_Spreadsheet!BJ188:BJ193)-SUM(SAP_Spreadsheet!BK189:BK194),0))</f>
        <v>0</v>
      </c>
      <c r="BL240" s="263">
        <f>IF(BL7&gt;SAP_Leadsheet!$E$21,0,IF(SAP_Leadsheet!BH6="DPD180+",SUM(SAP_Spreadsheet!BK188:BK193)-SUM(SAP_Spreadsheet!BL189:BL194),0))</f>
        <v>0</v>
      </c>
      <c r="BM240" s="263">
        <f>IF(BM7&gt;SAP_Leadsheet!$E$21,0,IF(SAP_Leadsheet!BI6="DPD180+",SUM(SAP_Spreadsheet!BL188:BL193)-SUM(SAP_Spreadsheet!BM189:BM194),0))</f>
        <v>0</v>
      </c>
      <c r="BN240" s="263">
        <f>IF(BN7&gt;SAP_Leadsheet!$E$21,0,IF(SAP_Leadsheet!BJ6="DPD180+",SUM(SAP_Spreadsheet!BM188:BM193)-SUM(SAP_Spreadsheet!BN189:BN194),0))</f>
        <v>0</v>
      </c>
      <c r="BO240" s="263"/>
      <c r="BP240" s="263"/>
      <c r="BQ240" s="263"/>
      <c r="BR240" s="263"/>
      <c r="BS240" s="263"/>
      <c r="BT240" s="263"/>
      <c r="BU240" s="263"/>
      <c r="BV240" s="263"/>
      <c r="BW240" s="263"/>
      <c r="BX240" s="263"/>
      <c r="BY240" s="263"/>
      <c r="BZ240" s="263"/>
      <c r="CA240" s="263"/>
      <c r="CB240" s="263"/>
      <c r="CC240" s="263"/>
      <c r="CD240" s="263"/>
      <c r="CE240" s="263"/>
      <c r="CF240" s="263"/>
      <c r="CG240" s="263"/>
      <c r="CH240" s="263"/>
      <c r="CI240" s="263"/>
      <c r="CJ240" s="263"/>
      <c r="CK240" s="263"/>
      <c r="CL240" s="263"/>
      <c r="CM240" s="263"/>
      <c r="CN240" s="263"/>
      <c r="CO240" s="263"/>
      <c r="CP240" s="263"/>
      <c r="CQ240" s="263"/>
      <c r="CR240" s="263"/>
      <c r="CS240" s="263"/>
      <c r="CT240" s="263"/>
      <c r="CU240" s="263"/>
      <c r="CV240" s="263"/>
      <c r="CW240" s="263"/>
      <c r="CX240" s="263"/>
      <c r="CY240" s="263"/>
      <c r="CZ240" s="263"/>
      <c r="DA240" s="263"/>
      <c r="DB240" s="263"/>
      <c r="DC240" s="263"/>
      <c r="DD240" s="263"/>
      <c r="DE240" s="263"/>
      <c r="DF240" s="263"/>
      <c r="DG240" s="263"/>
      <c r="DH240" s="263"/>
      <c r="DI240" s="263"/>
      <c r="DJ240" s="263"/>
      <c r="DK240" s="263"/>
      <c r="DL240" s="263"/>
      <c r="DM240" s="263"/>
      <c r="DN240" s="263"/>
      <c r="DO240" s="263"/>
      <c r="DP240" s="263"/>
      <c r="DQ240" s="263"/>
      <c r="DR240" s="263"/>
      <c r="DS240" s="263"/>
      <c r="DT240" s="263"/>
      <c r="DU240" s="263"/>
      <c r="DV240" s="263"/>
      <c r="DW240" s="263"/>
      <c r="DX240" s="263"/>
      <c r="DY240" s="263"/>
      <c r="DZ240" s="263"/>
      <c r="EA240" s="263"/>
      <c r="EB240" s="263"/>
      <c r="EC240" s="263"/>
      <c r="ED240" s="263"/>
      <c r="EE240" s="263"/>
      <c r="EF240" s="263"/>
      <c r="EG240" s="263"/>
      <c r="EH240" s="263"/>
      <c r="EI240" s="263"/>
      <c r="EJ240" s="263"/>
      <c r="EK240" s="263"/>
      <c r="EL240" s="263"/>
      <c r="EM240" s="263"/>
      <c r="EN240" s="263"/>
      <c r="EO240" s="263"/>
      <c r="EP240" s="263"/>
      <c r="EQ240" s="263"/>
      <c r="ER240" s="263"/>
      <c r="ES240" s="263"/>
      <c r="ET240" s="263"/>
      <c r="EU240" s="263"/>
      <c r="EV240" s="263"/>
      <c r="EW240" s="263"/>
      <c r="EX240" s="263"/>
      <c r="EY240" s="263"/>
      <c r="EZ240" s="263"/>
      <c r="FA240" s="263"/>
      <c r="FB240" s="263"/>
      <c r="FC240" s="263"/>
      <c r="FD240" s="263"/>
      <c r="FE240" s="263"/>
      <c r="FF240" s="263"/>
      <c r="FG240" s="263"/>
      <c r="FH240" s="263"/>
      <c r="FI240" s="263"/>
      <c r="FJ240" s="263"/>
      <c r="FK240" s="263"/>
      <c r="FL240" s="263"/>
      <c r="FM240" s="263"/>
      <c r="FN240" s="263"/>
      <c r="FO240" s="263"/>
      <c r="FP240" s="263"/>
      <c r="FQ240" s="263"/>
      <c r="FR240" s="263"/>
      <c r="FS240" s="263"/>
      <c r="FT240" s="263"/>
      <c r="FU240" s="263"/>
      <c r="FV240" s="263"/>
      <c r="FW240" s="263"/>
      <c r="FX240" s="263"/>
      <c r="FY240" s="263"/>
      <c r="FZ240" s="263"/>
      <c r="GA240" s="263"/>
      <c r="GB240" s="263"/>
      <c r="GC240" s="263"/>
      <c r="GD240" s="263"/>
      <c r="GE240" s="263"/>
      <c r="GF240" s="263"/>
      <c r="GG240" s="263"/>
      <c r="GH240" s="263"/>
      <c r="GI240" s="263"/>
      <c r="GJ240" s="263"/>
      <c r="GK240" s="263"/>
      <c r="GL240" s="263"/>
      <c r="GM240" s="263"/>
      <c r="GN240" s="263"/>
      <c r="GO240" s="263"/>
      <c r="GP240" s="263"/>
      <c r="GQ240" s="263"/>
      <c r="GR240" s="263"/>
      <c r="GS240" s="263"/>
      <c r="GT240" s="263"/>
      <c r="GU240" s="263"/>
      <c r="GV240" s="263"/>
      <c r="GW240" s="263"/>
      <c r="GX240" s="263"/>
      <c r="GY240" s="263"/>
    </row>
    <row r="241" spans="1:207" x14ac:dyDescent="0.15">
      <c r="G241" s="263"/>
      <c r="H241" s="263"/>
      <c r="I241" s="263"/>
      <c r="J241" s="263"/>
      <c r="K241" s="263"/>
      <c r="L241" s="263"/>
      <c r="M241" s="263"/>
      <c r="N241" s="263"/>
      <c r="O241" s="263"/>
      <c r="P241" s="263"/>
      <c r="Q241" s="263"/>
      <c r="R241" s="263"/>
      <c r="S241" s="263"/>
      <c r="T241" s="263"/>
      <c r="U241" s="263"/>
      <c r="V241" s="263"/>
      <c r="W241" s="263"/>
      <c r="X241" s="263"/>
      <c r="Y241" s="263"/>
      <c r="Z241" s="263"/>
      <c r="AA241" s="263"/>
      <c r="AB241" s="263"/>
      <c r="AC241" s="263"/>
      <c r="AD241" s="263"/>
      <c r="AE241" s="263"/>
      <c r="AF241" s="263"/>
      <c r="AG241" s="263"/>
      <c r="AH241" s="263"/>
      <c r="AI241" s="263"/>
      <c r="AJ241" s="263"/>
      <c r="AK241" s="263"/>
      <c r="AL241" s="263"/>
      <c r="AM241" s="263"/>
      <c r="AN241" s="263"/>
      <c r="AO241" s="263"/>
      <c r="AP241" s="263"/>
      <c r="AQ241" s="263"/>
      <c r="AR241" s="263"/>
      <c r="AS241" s="263"/>
      <c r="AT241" s="263"/>
      <c r="AU241" s="263"/>
      <c r="AV241" s="263"/>
      <c r="AW241" s="263"/>
      <c r="AX241" s="263"/>
      <c r="AY241" s="263"/>
      <c r="AZ241" s="263"/>
      <c r="BA241" s="263"/>
      <c r="BB241" s="263"/>
      <c r="BC241" s="263"/>
      <c r="BD241" s="263"/>
      <c r="BE241" s="263"/>
      <c r="BF241" s="263"/>
      <c r="BG241" s="263"/>
      <c r="BH241" s="263"/>
      <c r="BI241" s="263"/>
      <c r="BJ241" s="263"/>
      <c r="BK241" s="263"/>
      <c r="BL241" s="263"/>
      <c r="BM241" s="263"/>
      <c r="BN241" s="263"/>
      <c r="BO241" s="263"/>
      <c r="BP241" s="263"/>
      <c r="BQ241" s="263"/>
      <c r="BR241" s="263"/>
      <c r="BS241" s="263"/>
      <c r="BT241" s="263"/>
      <c r="BU241" s="263"/>
      <c r="BV241" s="263"/>
      <c r="BW241" s="263"/>
      <c r="BX241" s="263"/>
      <c r="BY241" s="263"/>
      <c r="BZ241" s="263"/>
      <c r="CA241" s="263"/>
      <c r="CB241" s="263"/>
      <c r="CC241" s="263"/>
      <c r="CD241" s="263"/>
      <c r="CE241" s="263"/>
      <c r="CF241" s="263"/>
      <c r="CG241" s="263"/>
      <c r="CH241" s="263"/>
      <c r="CI241" s="263"/>
      <c r="CJ241" s="263"/>
      <c r="CK241" s="263"/>
      <c r="CL241" s="263"/>
      <c r="CM241" s="263"/>
      <c r="CN241" s="263"/>
      <c r="CO241" s="263"/>
      <c r="CP241" s="263"/>
      <c r="CQ241" s="263"/>
      <c r="CR241" s="263"/>
      <c r="CS241" s="263"/>
      <c r="CT241" s="263"/>
      <c r="CU241" s="263"/>
      <c r="CV241" s="263"/>
      <c r="CW241" s="263"/>
      <c r="CX241" s="263"/>
      <c r="CY241" s="263"/>
      <c r="CZ241" s="263"/>
      <c r="DA241" s="263"/>
      <c r="DB241" s="263"/>
      <c r="DC241" s="263"/>
      <c r="DD241" s="263"/>
      <c r="DE241" s="263"/>
      <c r="DF241" s="263"/>
      <c r="DG241" s="263"/>
      <c r="DH241" s="263"/>
      <c r="DI241" s="263"/>
      <c r="DJ241" s="263"/>
      <c r="DK241" s="263"/>
      <c r="DL241" s="263"/>
      <c r="DM241" s="263"/>
      <c r="DN241" s="263"/>
      <c r="DO241" s="263"/>
      <c r="DP241" s="263"/>
      <c r="DQ241" s="263"/>
      <c r="DR241" s="263"/>
      <c r="DS241" s="263"/>
      <c r="DT241" s="263"/>
      <c r="DU241" s="263"/>
      <c r="DV241" s="263"/>
      <c r="DW241" s="263"/>
      <c r="DX241" s="263"/>
      <c r="DY241" s="263"/>
      <c r="DZ241" s="263"/>
      <c r="EA241" s="263"/>
      <c r="EB241" s="263"/>
      <c r="EC241" s="263"/>
      <c r="ED241" s="263"/>
      <c r="EE241" s="263"/>
      <c r="EF241" s="263"/>
      <c r="EG241" s="263"/>
      <c r="EH241" s="263"/>
      <c r="EI241" s="263"/>
      <c r="EJ241" s="263"/>
      <c r="EK241" s="263"/>
      <c r="EL241" s="263"/>
      <c r="EM241" s="263"/>
      <c r="EN241" s="263"/>
      <c r="EO241" s="263"/>
      <c r="EP241" s="263"/>
      <c r="EQ241" s="263"/>
      <c r="ER241" s="263"/>
      <c r="ES241" s="263"/>
      <c r="ET241" s="263"/>
      <c r="EU241" s="263"/>
      <c r="EV241" s="263"/>
      <c r="EW241" s="263"/>
      <c r="EX241" s="263"/>
      <c r="EY241" s="263"/>
      <c r="EZ241" s="263"/>
      <c r="FA241" s="263"/>
      <c r="FB241" s="263"/>
      <c r="FC241" s="263"/>
      <c r="FD241" s="263"/>
      <c r="FE241" s="263"/>
      <c r="FF241" s="263"/>
      <c r="FG241" s="263"/>
      <c r="FH241" s="263"/>
      <c r="FI241" s="263"/>
      <c r="FJ241" s="263"/>
      <c r="FK241" s="263"/>
      <c r="FL241" s="263"/>
      <c r="FM241" s="263"/>
      <c r="FN241" s="263"/>
      <c r="FO241" s="263"/>
      <c r="FP241" s="263"/>
      <c r="FQ241" s="263"/>
      <c r="FR241" s="263"/>
      <c r="FS241" s="263"/>
      <c r="FT241" s="263"/>
      <c r="FU241" s="263"/>
      <c r="FV241" s="263"/>
      <c r="FW241" s="263"/>
      <c r="FX241" s="263"/>
      <c r="FY241" s="263"/>
      <c r="FZ241" s="263"/>
      <c r="GA241" s="263"/>
      <c r="GB241" s="263"/>
      <c r="GC241" s="263"/>
      <c r="GD241" s="263"/>
      <c r="GE241" s="263"/>
      <c r="GF241" s="263"/>
      <c r="GG241" s="263"/>
      <c r="GH241" s="263"/>
      <c r="GI241" s="263"/>
      <c r="GJ241" s="263"/>
      <c r="GK241" s="263"/>
      <c r="GL241" s="263"/>
      <c r="GM241" s="263"/>
      <c r="GN241" s="263"/>
      <c r="GO241" s="263"/>
      <c r="GP241" s="263"/>
      <c r="GQ241" s="263"/>
      <c r="GR241" s="263"/>
      <c r="GS241" s="263"/>
      <c r="GT241" s="263"/>
      <c r="GU241" s="263"/>
      <c r="GV241" s="263"/>
      <c r="GW241" s="263"/>
      <c r="GX241" s="263"/>
      <c r="GY241" s="263"/>
    </row>
    <row r="242" spans="1:207" ht="14" thickBot="1" x14ac:dyDescent="0.2">
      <c r="A242" s="250">
        <v>5</v>
      </c>
      <c r="B242" s="251" t="s">
        <v>397</v>
      </c>
      <c r="C242" s="252"/>
      <c r="D242" s="252"/>
      <c r="E242" s="252"/>
      <c r="F242" s="252"/>
      <c r="G242" s="252"/>
      <c r="H242" s="296"/>
      <c r="I242" s="252"/>
      <c r="J242" s="252"/>
      <c r="K242" s="252"/>
      <c r="L242" s="252"/>
      <c r="M242" s="252"/>
      <c r="N242" s="252"/>
      <c r="O242" s="252"/>
      <c r="P242" s="252"/>
      <c r="Q242" s="252"/>
      <c r="R242" s="252"/>
      <c r="S242" s="252"/>
      <c r="T242" s="252"/>
      <c r="U242" s="252"/>
      <c r="V242" s="252"/>
      <c r="W242" s="252"/>
      <c r="X242" s="252"/>
      <c r="Y242" s="252"/>
      <c r="Z242" s="252"/>
      <c r="AA242" s="252"/>
      <c r="AB242" s="252"/>
      <c r="AC242" s="252"/>
      <c r="AD242" s="252"/>
      <c r="AE242" s="252"/>
      <c r="AF242" s="252"/>
      <c r="AG242" s="252"/>
      <c r="AH242" s="252"/>
      <c r="AI242" s="252"/>
      <c r="AJ242" s="252"/>
      <c r="AK242" s="252"/>
      <c r="AL242" s="252"/>
      <c r="AM242" s="252"/>
      <c r="AN242" s="252"/>
      <c r="AO242" s="252"/>
      <c r="AP242" s="252"/>
      <c r="AQ242" s="252"/>
      <c r="AR242" s="252"/>
      <c r="AS242" s="252"/>
      <c r="AT242" s="252"/>
      <c r="AU242" s="252"/>
      <c r="AV242" s="252"/>
      <c r="AW242" s="252"/>
      <c r="AX242" s="252"/>
      <c r="AY242" s="252"/>
      <c r="AZ242" s="252"/>
      <c r="BA242" s="252"/>
      <c r="BB242" s="252"/>
      <c r="BC242" s="252"/>
      <c r="BD242" s="252"/>
      <c r="BE242" s="252"/>
      <c r="BF242" s="252"/>
      <c r="BG242" s="252"/>
      <c r="BH242" s="252"/>
      <c r="BI242" s="252"/>
      <c r="BJ242" s="252"/>
      <c r="BK242" s="252"/>
      <c r="BL242" s="252"/>
      <c r="BM242" s="252"/>
      <c r="BN242" s="252"/>
      <c r="BO242" s="252"/>
      <c r="BP242" s="252"/>
      <c r="BQ242" s="252"/>
      <c r="BR242" s="252"/>
      <c r="BS242" s="252"/>
      <c r="BT242" s="252"/>
      <c r="BU242" s="252"/>
      <c r="BV242" s="252"/>
      <c r="BW242" s="252"/>
      <c r="BX242" s="252"/>
      <c r="BY242" s="252"/>
      <c r="BZ242" s="252"/>
      <c r="CA242" s="263"/>
      <c r="CB242" s="263"/>
      <c r="CC242" s="263"/>
      <c r="CD242" s="263"/>
      <c r="CE242" s="263"/>
      <c r="CF242" s="263"/>
      <c r="CG242" s="263"/>
      <c r="CH242" s="263"/>
      <c r="CI242" s="263"/>
      <c r="CJ242" s="263"/>
      <c r="CK242" s="263"/>
      <c r="CL242" s="263"/>
      <c r="CM242" s="263"/>
      <c r="CN242" s="263"/>
      <c r="CO242" s="263"/>
      <c r="CP242" s="263"/>
      <c r="CQ242" s="263"/>
      <c r="CR242" s="263"/>
      <c r="CS242" s="263"/>
      <c r="CT242" s="263"/>
      <c r="CU242" s="263"/>
      <c r="CV242" s="263"/>
      <c r="CW242" s="263"/>
      <c r="CX242" s="263"/>
      <c r="CY242" s="263"/>
      <c r="CZ242" s="263"/>
      <c r="DA242" s="263"/>
      <c r="DB242" s="263"/>
      <c r="DC242" s="263"/>
      <c r="DD242" s="263"/>
      <c r="DE242" s="263"/>
      <c r="DF242" s="263"/>
      <c r="DG242" s="263"/>
      <c r="DH242" s="263"/>
      <c r="DI242" s="263"/>
      <c r="DJ242" s="263"/>
      <c r="DK242" s="263"/>
      <c r="DL242" s="263"/>
      <c r="DM242" s="263"/>
      <c r="DN242" s="263"/>
      <c r="DO242" s="263"/>
      <c r="DP242" s="263"/>
      <c r="DQ242" s="263"/>
      <c r="DR242" s="263"/>
      <c r="DS242" s="263"/>
      <c r="DT242" s="263"/>
      <c r="DU242" s="263"/>
      <c r="DV242" s="263"/>
      <c r="DW242" s="263"/>
      <c r="DX242" s="263"/>
      <c r="DY242" s="263"/>
      <c r="DZ242" s="263"/>
      <c r="EA242" s="263"/>
      <c r="EB242" s="263"/>
      <c r="EC242" s="263"/>
      <c r="ED242" s="263"/>
      <c r="EE242" s="263"/>
      <c r="EF242" s="263"/>
      <c r="EG242" s="263"/>
      <c r="EH242" s="263"/>
      <c r="EI242" s="263"/>
      <c r="EJ242" s="263"/>
      <c r="EK242" s="263"/>
      <c r="EL242" s="263"/>
      <c r="EM242" s="263"/>
      <c r="EN242" s="263"/>
      <c r="EO242" s="263"/>
      <c r="EP242" s="263"/>
      <c r="EQ242" s="263"/>
      <c r="ER242" s="263"/>
      <c r="ES242" s="263"/>
      <c r="ET242" s="263"/>
      <c r="EU242" s="263"/>
      <c r="EV242" s="263"/>
      <c r="EW242" s="263"/>
      <c r="EX242" s="263"/>
      <c r="EY242" s="263"/>
      <c r="EZ242" s="263"/>
      <c r="FA242" s="263"/>
      <c r="FB242" s="263"/>
      <c r="FC242" s="263"/>
      <c r="FD242" s="263"/>
      <c r="FE242" s="263"/>
      <c r="FF242" s="263"/>
      <c r="FG242" s="263"/>
      <c r="FH242" s="263"/>
      <c r="FI242" s="263"/>
      <c r="FJ242" s="263"/>
      <c r="FK242" s="263"/>
      <c r="FL242" s="263"/>
      <c r="FM242" s="263"/>
      <c r="FN242" s="263"/>
      <c r="FO242" s="263"/>
      <c r="FP242" s="263"/>
      <c r="FQ242" s="263"/>
      <c r="FR242" s="263"/>
      <c r="FS242" s="263"/>
      <c r="FT242" s="263"/>
      <c r="FU242" s="263"/>
      <c r="FV242" s="263"/>
      <c r="FW242" s="263"/>
      <c r="FX242" s="263"/>
      <c r="FY242" s="263"/>
      <c r="FZ242" s="263"/>
      <c r="GA242" s="263"/>
      <c r="GB242" s="263"/>
      <c r="GC242" s="263"/>
      <c r="GD242" s="263"/>
      <c r="GE242" s="263"/>
      <c r="GF242" s="263"/>
      <c r="GG242" s="263"/>
      <c r="GH242" s="263"/>
      <c r="GI242" s="263"/>
      <c r="GJ242" s="263"/>
      <c r="GK242" s="263"/>
      <c r="GL242" s="263"/>
      <c r="GM242" s="263"/>
      <c r="GN242" s="263"/>
      <c r="GO242" s="263"/>
      <c r="GP242" s="263"/>
      <c r="GQ242" s="263"/>
      <c r="GR242" s="263"/>
      <c r="GS242" s="263"/>
      <c r="GT242" s="263"/>
      <c r="GU242" s="263"/>
      <c r="GV242" s="263"/>
      <c r="GW242" s="263"/>
      <c r="GX242" s="263"/>
      <c r="GY242" s="263"/>
    </row>
    <row r="243" spans="1:207" ht="14" thickTop="1" x14ac:dyDescent="0.15">
      <c r="G243" s="263"/>
      <c r="H243" s="263"/>
      <c r="I243" s="263"/>
      <c r="J243" s="263"/>
      <c r="K243" s="263"/>
      <c r="L243" s="263"/>
      <c r="M243" s="263"/>
      <c r="N243" s="263"/>
      <c r="O243" s="263"/>
      <c r="P243" s="263"/>
      <c r="Q243" s="263"/>
      <c r="R243" s="263"/>
      <c r="S243" s="263"/>
      <c r="T243" s="263"/>
      <c r="U243" s="263"/>
      <c r="V243" s="263"/>
      <c r="W243" s="263"/>
      <c r="X243" s="263"/>
      <c r="Y243" s="263"/>
      <c r="Z243" s="263"/>
      <c r="AA243" s="263"/>
      <c r="AB243" s="263"/>
      <c r="AC243" s="263"/>
      <c r="AD243" s="263"/>
      <c r="AE243" s="263"/>
      <c r="AF243" s="263"/>
      <c r="AG243" s="263"/>
      <c r="AH243" s="263"/>
      <c r="AI243" s="263"/>
      <c r="AJ243" s="263"/>
      <c r="AK243" s="263"/>
      <c r="AL243" s="263"/>
      <c r="AM243" s="263"/>
      <c r="AN243" s="263"/>
      <c r="AO243" s="263"/>
      <c r="AP243" s="263"/>
      <c r="AQ243" s="263"/>
      <c r="AR243" s="263"/>
      <c r="AS243" s="263"/>
      <c r="AT243" s="263"/>
      <c r="AU243" s="263"/>
      <c r="AV243" s="263"/>
      <c r="AW243" s="263"/>
      <c r="AX243" s="263"/>
      <c r="AY243" s="263"/>
      <c r="AZ243" s="263"/>
      <c r="BA243" s="263"/>
      <c r="BB243" s="263"/>
      <c r="BC243" s="263"/>
      <c r="BD243" s="263"/>
      <c r="BE243" s="263"/>
      <c r="BF243" s="263"/>
      <c r="BG243" s="263"/>
      <c r="BH243" s="263"/>
      <c r="BI243" s="263"/>
      <c r="BJ243" s="263"/>
      <c r="BK243" s="263"/>
      <c r="BL243" s="263"/>
      <c r="BM243" s="263"/>
      <c r="BN243" s="263"/>
      <c r="BO243" s="263"/>
      <c r="BP243" s="263"/>
      <c r="BQ243" s="263"/>
      <c r="BR243" s="263"/>
      <c r="BS243" s="263"/>
      <c r="BT243" s="263"/>
      <c r="BU243" s="263"/>
      <c r="BV243" s="263"/>
      <c r="BW243" s="263"/>
      <c r="BX243" s="263"/>
      <c r="BY243" s="263"/>
      <c r="BZ243" s="263"/>
      <c r="CA243" s="263"/>
      <c r="CB243" s="263"/>
      <c r="CC243" s="263"/>
      <c r="CD243" s="263"/>
      <c r="CE243" s="263"/>
      <c r="CF243" s="263"/>
      <c r="CG243" s="263"/>
      <c r="CH243" s="263"/>
      <c r="CI243" s="263"/>
      <c r="CJ243" s="263"/>
      <c r="CK243" s="263"/>
      <c r="CL243" s="263"/>
      <c r="CM243" s="263"/>
      <c r="CN243" s="263"/>
      <c r="CO243" s="263"/>
      <c r="CP243" s="263"/>
      <c r="CQ243" s="263"/>
      <c r="CR243" s="263"/>
      <c r="CS243" s="263"/>
      <c r="CT243" s="263"/>
      <c r="CU243" s="263"/>
      <c r="CV243" s="263"/>
      <c r="CW243" s="263"/>
      <c r="CX243" s="263"/>
      <c r="CY243" s="263"/>
      <c r="CZ243" s="263"/>
      <c r="DA243" s="263"/>
      <c r="DB243" s="263"/>
      <c r="DC243" s="263"/>
      <c r="DD243" s="263"/>
      <c r="DE243" s="263"/>
      <c r="DF243" s="263"/>
      <c r="DG243" s="263"/>
      <c r="DH243" s="263"/>
      <c r="DI243" s="263"/>
      <c r="DJ243" s="263"/>
      <c r="DK243" s="263"/>
      <c r="DL243" s="263"/>
      <c r="DM243" s="263"/>
      <c r="DN243" s="263"/>
      <c r="DO243" s="263"/>
      <c r="DP243" s="263"/>
      <c r="DQ243" s="263"/>
      <c r="DR243" s="263"/>
      <c r="DS243" s="263"/>
      <c r="DT243" s="263"/>
      <c r="DU243" s="263"/>
      <c r="DV243" s="263"/>
      <c r="DW243" s="263"/>
      <c r="DX243" s="263"/>
      <c r="DY243" s="263"/>
      <c r="DZ243" s="263"/>
      <c r="EA243" s="263"/>
      <c r="EB243" s="263"/>
      <c r="EC243" s="263"/>
      <c r="ED243" s="263"/>
      <c r="EE243" s="263"/>
      <c r="EF243" s="263"/>
      <c r="EG243" s="263"/>
      <c r="EH243" s="263"/>
      <c r="EI243" s="263"/>
      <c r="EJ243" s="263"/>
      <c r="EK243" s="263"/>
      <c r="EL243" s="263"/>
      <c r="EM243" s="263"/>
      <c r="EN243" s="263"/>
      <c r="EO243" s="263"/>
      <c r="EP243" s="263"/>
      <c r="EQ243" s="263"/>
      <c r="ER243" s="263"/>
      <c r="ES243" s="263"/>
      <c r="ET243" s="263"/>
      <c r="EU243" s="263"/>
      <c r="EV243" s="263"/>
      <c r="EW243" s="263"/>
      <c r="EX243" s="263"/>
      <c r="EY243" s="263"/>
      <c r="EZ243" s="263"/>
      <c r="FA243" s="263"/>
      <c r="FB243" s="263"/>
      <c r="FC243" s="263"/>
      <c r="FD243" s="263"/>
      <c r="FE243" s="263"/>
      <c r="FF243" s="263"/>
      <c r="FG243" s="263"/>
      <c r="FH243" s="263"/>
      <c r="FI243" s="263"/>
      <c r="FJ243" s="263"/>
      <c r="FK243" s="263"/>
      <c r="FL243" s="263"/>
      <c r="FM243" s="263"/>
      <c r="FN243" s="263"/>
      <c r="FO243" s="263"/>
      <c r="FP243" s="263"/>
      <c r="FQ243" s="263"/>
      <c r="FR243" s="263"/>
      <c r="FS243" s="263"/>
      <c r="FT243" s="263"/>
      <c r="FU243" s="263"/>
      <c r="FV243" s="263"/>
      <c r="FW243" s="263"/>
      <c r="FX243" s="263"/>
      <c r="FY243" s="263"/>
      <c r="FZ243" s="263"/>
      <c r="GA243" s="263"/>
      <c r="GB243" s="263"/>
      <c r="GC243" s="263"/>
      <c r="GD243" s="263"/>
      <c r="GE243" s="263"/>
      <c r="GF243" s="263"/>
      <c r="GG243" s="263"/>
      <c r="GH243" s="263"/>
      <c r="GI243" s="263"/>
      <c r="GJ243" s="263"/>
      <c r="GK243" s="263"/>
      <c r="GL243" s="263"/>
      <c r="GM243" s="263"/>
      <c r="GN243" s="263"/>
      <c r="GO243" s="263"/>
      <c r="GP243" s="263"/>
      <c r="GQ243" s="263"/>
      <c r="GR243" s="263"/>
      <c r="GS243" s="263"/>
      <c r="GT243" s="263"/>
      <c r="GU243" s="263"/>
      <c r="GV243" s="263"/>
      <c r="GW243" s="263"/>
      <c r="GX243" s="263"/>
      <c r="GY243" s="263"/>
    </row>
    <row r="244" spans="1:207" x14ac:dyDescent="0.15">
      <c r="C244" s="23" t="s">
        <v>398</v>
      </c>
      <c r="D244" s="26" t="s">
        <v>87</v>
      </c>
      <c r="F244" s="26" t="s">
        <v>341</v>
      </c>
      <c r="G244" s="263">
        <f>-SAP_Leadsheet!E68</f>
        <v>0</v>
      </c>
      <c r="H244" s="263"/>
      <c r="I244" s="263"/>
      <c r="J244" s="263"/>
      <c r="K244" s="263"/>
      <c r="L244" s="263"/>
      <c r="M244" s="263"/>
      <c r="N244" s="263"/>
      <c r="O244" s="263"/>
      <c r="P244" s="263"/>
      <c r="Q244" s="263"/>
      <c r="R244" s="263"/>
      <c r="S244" s="263"/>
      <c r="T244" s="263"/>
      <c r="U244" s="263"/>
      <c r="V244" s="263"/>
      <c r="W244" s="263"/>
      <c r="X244" s="263"/>
      <c r="Y244" s="263"/>
      <c r="Z244" s="263"/>
      <c r="AA244" s="263"/>
      <c r="AB244" s="263"/>
      <c r="AC244" s="263"/>
      <c r="AD244" s="263"/>
      <c r="AE244" s="263"/>
      <c r="AF244" s="263"/>
      <c r="AG244" s="263"/>
      <c r="AH244" s="263"/>
      <c r="AI244" s="263"/>
      <c r="AJ244" s="263"/>
      <c r="AK244" s="263"/>
      <c r="AL244" s="263"/>
      <c r="AM244" s="263"/>
      <c r="AN244" s="263"/>
      <c r="AO244" s="263"/>
      <c r="AP244" s="263"/>
      <c r="AQ244" s="263"/>
      <c r="AR244" s="263"/>
      <c r="AS244" s="263"/>
      <c r="AT244" s="263"/>
      <c r="AU244" s="263"/>
      <c r="AV244" s="263"/>
      <c r="AW244" s="263"/>
      <c r="AX244" s="263"/>
      <c r="AY244" s="263"/>
      <c r="AZ244" s="263"/>
      <c r="BA244" s="263"/>
      <c r="BB244" s="263"/>
      <c r="BC244" s="263"/>
      <c r="BD244" s="263"/>
      <c r="BE244" s="263"/>
      <c r="BF244" s="263"/>
      <c r="BG244" s="263"/>
      <c r="BH244" s="263"/>
      <c r="BI244" s="263"/>
      <c r="BJ244" s="263"/>
      <c r="BK244" s="263"/>
      <c r="BL244" s="263"/>
      <c r="BM244" s="263"/>
      <c r="BN244" s="263"/>
      <c r="BO244" s="263"/>
      <c r="BP244" s="263"/>
      <c r="BQ244" s="263"/>
      <c r="BR244" s="263"/>
      <c r="BS244" s="263"/>
      <c r="BT244" s="263"/>
      <c r="BU244" s="263"/>
      <c r="BV244" s="263"/>
      <c r="BW244" s="263"/>
      <c r="BX244" s="263"/>
      <c r="BY244" s="263"/>
      <c r="BZ244" s="263"/>
      <c r="CA244" s="263"/>
      <c r="CB244" s="263"/>
      <c r="CC244" s="263"/>
      <c r="CD244" s="263"/>
      <c r="CE244" s="263"/>
      <c r="CF244" s="263"/>
      <c r="CG244" s="263"/>
      <c r="CH244" s="263"/>
      <c r="CI244" s="263"/>
      <c r="CJ244" s="263"/>
      <c r="CK244" s="263"/>
      <c r="CL244" s="263"/>
      <c r="CM244" s="263"/>
      <c r="CN244" s="263"/>
      <c r="CO244" s="263"/>
      <c r="CP244" s="263"/>
      <c r="CQ244" s="263"/>
      <c r="CR244" s="263"/>
      <c r="CS244" s="263"/>
      <c r="CT244" s="263"/>
      <c r="CU244" s="263"/>
      <c r="CV244" s="263"/>
      <c r="CW244" s="263"/>
      <c r="CX244" s="263"/>
      <c r="CY244" s="263"/>
      <c r="CZ244" s="263"/>
      <c r="DA244" s="263"/>
      <c r="DB244" s="263"/>
      <c r="DC244" s="263"/>
      <c r="DD244" s="263"/>
      <c r="DE244" s="263"/>
      <c r="DF244" s="263"/>
      <c r="DG244" s="263"/>
      <c r="DH244" s="263"/>
      <c r="DI244" s="263"/>
      <c r="DJ244" s="263"/>
      <c r="DK244" s="263"/>
      <c r="DL244" s="263"/>
      <c r="DM244" s="263"/>
      <c r="DN244" s="263"/>
      <c r="DO244" s="263"/>
      <c r="DP244" s="263"/>
      <c r="DQ244" s="263"/>
      <c r="DR244" s="263"/>
      <c r="DS244" s="263"/>
      <c r="DT244" s="263"/>
      <c r="DU244" s="263"/>
      <c r="DV244" s="263"/>
      <c r="DW244" s="263"/>
      <c r="DX244" s="263"/>
      <c r="DY244" s="263"/>
      <c r="DZ244" s="263"/>
      <c r="EA244" s="263"/>
      <c r="EB244" s="263"/>
      <c r="EC244" s="263"/>
      <c r="ED244" s="263"/>
      <c r="EE244" s="263"/>
      <c r="EF244" s="263"/>
      <c r="EG244" s="263"/>
      <c r="EH244" s="263"/>
      <c r="EI244" s="263"/>
      <c r="EJ244" s="263"/>
      <c r="EK244" s="263"/>
      <c r="EL244" s="263"/>
      <c r="EM244" s="263"/>
      <c r="EN244" s="263"/>
      <c r="EO244" s="263"/>
      <c r="EP244" s="263"/>
      <c r="EQ244" s="263"/>
      <c r="ER244" s="263"/>
      <c r="ES244" s="263"/>
      <c r="ET244" s="263"/>
      <c r="EU244" s="263"/>
      <c r="EV244" s="263"/>
      <c r="EW244" s="263"/>
      <c r="EX244" s="263"/>
      <c r="EY244" s="263"/>
      <c r="EZ244" s="263"/>
      <c r="FA244" s="263"/>
      <c r="FB244" s="263"/>
      <c r="FC244" s="263"/>
      <c r="FD244" s="263"/>
      <c r="FE244" s="263"/>
      <c r="FF244" s="263"/>
      <c r="FG244" s="263"/>
      <c r="FH244" s="263"/>
      <c r="FI244" s="263"/>
      <c r="FJ244" s="263"/>
      <c r="FK244" s="263"/>
      <c r="FL244" s="263"/>
      <c r="FM244" s="263"/>
      <c r="FN244" s="263"/>
      <c r="FO244" s="263"/>
      <c r="FP244" s="263"/>
      <c r="FQ244" s="263"/>
      <c r="FR244" s="263"/>
      <c r="FS244" s="263"/>
      <c r="FT244" s="263"/>
      <c r="FU244" s="263"/>
      <c r="FV244" s="263"/>
      <c r="FW244" s="263"/>
      <c r="FX244" s="263"/>
      <c r="FY244" s="263"/>
      <c r="FZ244" s="263"/>
      <c r="GA244" s="263"/>
      <c r="GB244" s="263"/>
      <c r="GC244" s="263"/>
      <c r="GD244" s="263"/>
      <c r="GE244" s="263"/>
      <c r="GF244" s="263"/>
      <c r="GG244" s="263"/>
      <c r="GH244" s="263"/>
      <c r="GI244" s="263"/>
      <c r="GJ244" s="263"/>
      <c r="GK244" s="263"/>
      <c r="GL244" s="263"/>
      <c r="GM244" s="263"/>
      <c r="GN244" s="263"/>
      <c r="GO244" s="263"/>
      <c r="GP244" s="263"/>
      <c r="GQ244" s="263"/>
      <c r="GR244" s="263"/>
      <c r="GS244" s="263"/>
      <c r="GT244" s="263"/>
      <c r="GU244" s="263"/>
      <c r="GV244" s="263"/>
      <c r="GW244" s="263"/>
      <c r="GX244" s="263"/>
      <c r="GY244" s="263"/>
    </row>
    <row r="245" spans="1:207" x14ac:dyDescent="0.15">
      <c r="D245" s="26" t="s">
        <v>89</v>
      </c>
      <c r="F245" s="26" t="s">
        <v>341</v>
      </c>
      <c r="G245" s="291">
        <f ca="1">MIN(-IF(SAP_Leadsheet!$E$21&lt;G7,0,(G239-G185-SUM(SAP_Spreadsheet!G186:G194))*SAP_Leadsheet!$E$69),0)</f>
        <v>-7.7842844833439341E-3</v>
      </c>
      <c r="H245" s="291">
        <f ca="1">MIN(-IF(SAP_Leadsheet!$E$21&lt;H7,0,(SAP_Spreadsheet!H239-SAP_Spreadsheet!H185+SUM(SAP_Spreadsheet!G185:G193)-SUM(SAP_Spreadsheet!H186:H194))*SAP_Leadsheet!$E$69),0)</f>
        <v>-7.9010270226368695E-3</v>
      </c>
      <c r="I245" s="291">
        <f ca="1">MIN(-IF(SAP_Leadsheet!$E$21&lt;I7,0,(SAP_Spreadsheet!I239-SAP_Spreadsheet!I185+SUM(SAP_Spreadsheet!H185:H193)-SUM(SAP_Spreadsheet!I186:I194))*SAP_Leadsheet!$E$69),0)</f>
        <v>-9.4352121829038189E-3</v>
      </c>
      <c r="J245" s="291">
        <f ca="1">MIN(-IF(SAP_Leadsheet!$E$21&lt;J7,0,(SAP_Spreadsheet!J239-SAP_Spreadsheet!J185+SUM(SAP_Spreadsheet!I185:I193)-SUM(SAP_Spreadsheet!J186:J194))*SAP_Leadsheet!$E$69),0)</f>
        <v>-1.0113012733360653E-2</v>
      </c>
      <c r="K245" s="291">
        <f ca="1">MIN(-IF(SAP_Leadsheet!$E$21&lt;K7,0,(SAP_Spreadsheet!K239-SAP_Spreadsheet!K185+SUM(SAP_Spreadsheet!J185:J193)-SUM(SAP_Spreadsheet!K186:K194))*SAP_Leadsheet!$E$69),0)</f>
        <v>-2.2772416449748148E-4</v>
      </c>
      <c r="L245" s="291">
        <f ca="1">MIN(-IF(SAP_Leadsheet!$E$21&lt;L7,0,(SAP_Spreadsheet!L239-SAP_Spreadsheet!L185+SUM(SAP_Spreadsheet!K185:K193)-SUM(SAP_Spreadsheet!L186:L194))*SAP_Leadsheet!$E$69),0)</f>
        <v>-2.325049488194211E-2</v>
      </c>
      <c r="M245" s="291">
        <f ca="1">MIN(-IF(SAP_Leadsheet!$E$21&lt;M7,0,(SAP_Spreadsheet!M239-SAP_Spreadsheet!M185+SUM(SAP_Spreadsheet!L185:L193)-SUM(SAP_Spreadsheet!M186:M194))*SAP_Leadsheet!$E$69),0)</f>
        <v>0</v>
      </c>
      <c r="N245" s="291">
        <f ca="1">MIN(-IF(SAP_Leadsheet!$E$21&lt;N7,0,(SAP_Spreadsheet!N239-SAP_Spreadsheet!N185+SUM(SAP_Spreadsheet!M185:M193)-SUM(SAP_Spreadsheet!N186:N194))*SAP_Leadsheet!$E$69),0)</f>
        <v>0</v>
      </c>
      <c r="O245" s="291">
        <f ca="1">MIN(-IF(SAP_Leadsheet!$E$21&lt;O7,0,(SAP_Spreadsheet!O239-SAP_Spreadsheet!O185+SUM(SAP_Spreadsheet!N185:N193)-SUM(SAP_Spreadsheet!O186:O194))*SAP_Leadsheet!$E$69),0)</f>
        <v>0</v>
      </c>
      <c r="P245" s="291">
        <f ca="1">MIN(-IF(SAP_Leadsheet!$E$21&lt;P7,0,(SAP_Spreadsheet!P239-SAP_Spreadsheet!P185+SUM(SAP_Spreadsheet!O185:O193)-SUM(SAP_Spreadsheet!P186:P194))*SAP_Leadsheet!$E$69),0)</f>
        <v>0</v>
      </c>
      <c r="Q245" s="291">
        <f ca="1">MIN(-IF(SAP_Leadsheet!$E$21&lt;Q7,0,(SAP_Spreadsheet!Q239-SAP_Spreadsheet!Q185+SUM(SAP_Spreadsheet!P185:P193)-SUM(SAP_Spreadsheet!Q186:Q194))*SAP_Leadsheet!$E$69),0)</f>
        <v>0</v>
      </c>
      <c r="R245" s="291">
        <f ca="1">MIN(-IF(SAP_Leadsheet!$E$21&lt;R7,0,(SAP_Spreadsheet!R239-SAP_Spreadsheet!R185+SUM(SAP_Spreadsheet!Q185:Q193)-SUM(SAP_Spreadsheet!R186:R194))*SAP_Leadsheet!$E$69),0)</f>
        <v>0</v>
      </c>
      <c r="S245" s="291">
        <f ca="1">MIN(-IF(SAP_Leadsheet!$E$21&lt;S7,0,(SAP_Spreadsheet!S239-SAP_Spreadsheet!S185+SUM(SAP_Spreadsheet!R185:R193)-SUM(SAP_Spreadsheet!S186:S194))*SAP_Leadsheet!$E$69),0)</f>
        <v>0</v>
      </c>
      <c r="T245" s="291">
        <f ca="1">MIN(-IF(SAP_Leadsheet!$E$21&lt;T7,0,(SAP_Spreadsheet!T239-SAP_Spreadsheet!T185+SUM(SAP_Spreadsheet!S185:S193)-SUM(SAP_Spreadsheet!T186:T194))*SAP_Leadsheet!$E$69),0)</f>
        <v>0</v>
      </c>
      <c r="U245" s="291">
        <f ca="1">MIN(-IF(SAP_Leadsheet!$E$21&lt;U7,0,(SAP_Spreadsheet!U239-SAP_Spreadsheet!U185+SUM(SAP_Spreadsheet!T185:T193)-SUM(SAP_Spreadsheet!U186:U194))*SAP_Leadsheet!$E$69),0)</f>
        <v>-2.8125661374246404E-2</v>
      </c>
      <c r="V245" s="291">
        <f ca="1">MIN(-IF(SAP_Leadsheet!$E$21&lt;V7,0,(SAP_Spreadsheet!V239-SAP_Spreadsheet!V185+SUM(SAP_Spreadsheet!U185:U193)-SUM(SAP_Spreadsheet!V186:V194))*SAP_Leadsheet!$E$69),0)</f>
        <v>-7.0565423890178649E-4</v>
      </c>
      <c r="W245" s="291">
        <f ca="1">MIN(-IF(SAP_Leadsheet!$E$21&lt;W7,0,(SAP_Spreadsheet!W239-SAP_Spreadsheet!W185+SUM(SAP_Spreadsheet!V185:V193)-SUM(SAP_Spreadsheet!W186:W194))*SAP_Leadsheet!$E$69),0)</f>
        <v>-4.78018003287409E-4</v>
      </c>
      <c r="X245" s="291">
        <f ca="1">MIN(-IF(SAP_Leadsheet!$E$21&lt;X7,0,(SAP_Spreadsheet!X239-SAP_Spreadsheet!X185+SUM(SAP_Spreadsheet!W185:W193)-SUM(SAP_Spreadsheet!X186:X194))*SAP_Leadsheet!$E$69),0)</f>
        <v>0</v>
      </c>
      <c r="Y245" s="291">
        <f ca="1">MIN(-IF(SAP_Leadsheet!$E$21&lt;Y7,0,(SAP_Spreadsheet!Y239-SAP_Spreadsheet!Y185+SUM(SAP_Spreadsheet!X185:X193)-SUM(SAP_Spreadsheet!Y186:Y194))*SAP_Leadsheet!$E$69),0)</f>
        <v>0</v>
      </c>
      <c r="Z245" s="291">
        <f ca="1">MIN(-IF(SAP_Leadsheet!$E$21&lt;Z7,0,(SAP_Spreadsheet!Z239-SAP_Spreadsheet!Z185+SUM(SAP_Spreadsheet!Y185:Y193)-SUM(SAP_Spreadsheet!Z186:Z194))*SAP_Leadsheet!$E$69),0)</f>
        <v>0</v>
      </c>
      <c r="AA245" s="291">
        <f ca="1">MIN(-IF(SAP_Leadsheet!$E$21&lt;AA7,0,(SAP_Spreadsheet!AA239-SAP_Spreadsheet!AA185+SUM(SAP_Spreadsheet!Z185:Z193)-SUM(SAP_Spreadsheet!AA186:AA194))*SAP_Leadsheet!$E$69),0)</f>
        <v>0</v>
      </c>
      <c r="AB245" s="291">
        <f ca="1">MIN(-IF(SAP_Leadsheet!$E$21&lt;AB7,0,(SAP_Spreadsheet!AB239-SAP_Spreadsheet!AB185+SUM(SAP_Spreadsheet!AA185:AA193)-SUM(SAP_Spreadsheet!AB186:AB194))*SAP_Leadsheet!$E$69),0)</f>
        <v>0</v>
      </c>
      <c r="AC245" s="291">
        <f ca="1">MIN(-IF(SAP_Leadsheet!$E$21&lt;AC7,0,(SAP_Spreadsheet!AC239-SAP_Spreadsheet!AC185+SUM(SAP_Spreadsheet!AB185:AB193)-SUM(SAP_Spreadsheet!AC186:AC194))*SAP_Leadsheet!$E$69),0)</f>
        <v>0</v>
      </c>
      <c r="AD245" s="291">
        <f ca="1">MIN(-IF(SAP_Leadsheet!$E$21&lt;AD7,0,(SAP_Spreadsheet!AD239-SAP_Spreadsheet!AD185+SUM(SAP_Spreadsheet!AC185:AC193)-SUM(SAP_Spreadsheet!AD186:AD194))*SAP_Leadsheet!$E$69),0)</f>
        <v>-2.998618661168485E-2</v>
      </c>
      <c r="AE245" s="291">
        <f ca="1">MIN(-IF(SAP_Leadsheet!$E$21&lt;AE7,0,(SAP_Spreadsheet!AE239-SAP_Spreadsheet!AE185+SUM(SAP_Spreadsheet!AD185:AD193)-SUM(SAP_Spreadsheet!AE186:AE194))*SAP_Leadsheet!$E$69),0)</f>
        <v>0</v>
      </c>
      <c r="AF245" s="291">
        <f ca="1">MIN(-IF(SAP_Leadsheet!$E$21&lt;AF7,0,(SAP_Spreadsheet!AF239-SAP_Spreadsheet!AF185+SUM(SAP_Spreadsheet!AE185:AE193)-SUM(SAP_Spreadsheet!AF186:AF194))*SAP_Leadsheet!$E$69),0)</f>
        <v>0</v>
      </c>
      <c r="AG245" s="291">
        <f ca="1">MIN(-IF(SAP_Leadsheet!$E$21&lt;AG7,0,(SAP_Spreadsheet!AG239-SAP_Spreadsheet!AG185+SUM(SAP_Spreadsheet!AF185:AF193)-SUM(SAP_Spreadsheet!AG186:AG194))*SAP_Leadsheet!$E$69),0)</f>
        <v>0</v>
      </c>
      <c r="AH245" s="291">
        <f ca="1">MIN(-IF(SAP_Leadsheet!$E$21&lt;AH7,0,(SAP_Spreadsheet!AH239-SAP_Spreadsheet!AH185+SUM(SAP_Spreadsheet!AG185:AG193)-SUM(SAP_Spreadsheet!AH186:AH194))*SAP_Leadsheet!$E$69),0)</f>
        <v>0</v>
      </c>
      <c r="AI245" s="291">
        <f ca="1">MIN(-IF(SAP_Leadsheet!$E$21&lt;AI7,0,(SAP_Spreadsheet!AI239-SAP_Spreadsheet!AI185+SUM(SAP_Spreadsheet!AH185:AH193)-SUM(SAP_Spreadsheet!AI186:AI194))*SAP_Leadsheet!$E$69),0)</f>
        <v>0</v>
      </c>
      <c r="AJ245" s="291">
        <f ca="1">MIN(-IF(SAP_Leadsheet!$E$21&lt;AJ7,0,(SAP_Spreadsheet!AJ239-SAP_Spreadsheet!AJ185+SUM(SAP_Spreadsheet!AI185:AI193)-SUM(SAP_Spreadsheet!AJ186:AJ194))*SAP_Leadsheet!$E$69),0)</f>
        <v>0</v>
      </c>
      <c r="AK245" s="291">
        <f ca="1">MIN(-IF(SAP_Leadsheet!$E$21&lt;AK7,0,(SAP_Spreadsheet!AK239-SAP_Spreadsheet!AK185+SUM(SAP_Spreadsheet!AJ185:AJ193)-SUM(SAP_Spreadsheet!AK186:AK194))*SAP_Leadsheet!$E$69),0)</f>
        <v>0</v>
      </c>
      <c r="AL245" s="291">
        <f ca="1">MIN(-IF(SAP_Leadsheet!$E$21&lt;AL7,0,(SAP_Spreadsheet!AL239-SAP_Spreadsheet!AL185+SUM(SAP_Spreadsheet!AK185:AK193)-SUM(SAP_Spreadsheet!AL186:AL194))*SAP_Leadsheet!$E$69),0)</f>
        <v>0</v>
      </c>
      <c r="AM245" s="291">
        <f ca="1">MIN(-IF(SAP_Leadsheet!$E$21&lt;AM7,0,(SAP_Spreadsheet!AM239-SAP_Spreadsheet!AM185+SUM(SAP_Spreadsheet!AL185:AL193)-SUM(SAP_Spreadsheet!AM186:AM194))*SAP_Leadsheet!$E$69),0)</f>
        <v>0</v>
      </c>
      <c r="AN245" s="291">
        <f ca="1">MIN(-IF(SAP_Leadsheet!$E$21&lt;AN7,0,(SAP_Spreadsheet!AN239-SAP_Spreadsheet!AN185+SUM(SAP_Spreadsheet!AM185:AM193)-SUM(SAP_Spreadsheet!AN186:AN194))*SAP_Leadsheet!$E$69),0)</f>
        <v>0</v>
      </c>
      <c r="AO245" s="291">
        <f ca="1">MIN(-IF(SAP_Leadsheet!$E$21&lt;AO7,0,(SAP_Spreadsheet!AO239-SAP_Spreadsheet!AO185+SUM(SAP_Spreadsheet!AN185:AN193)-SUM(SAP_Spreadsheet!AO186:AO194))*SAP_Leadsheet!$E$69),0)</f>
        <v>0</v>
      </c>
      <c r="AP245" s="291">
        <f ca="1">MIN(-IF(SAP_Leadsheet!$E$21&lt;AP7,0,(SAP_Spreadsheet!AP239-SAP_Spreadsheet!AP185+SUM(SAP_Spreadsheet!AO185:AO193)-SUM(SAP_Spreadsheet!AP186:AP194))*SAP_Leadsheet!$E$69),0)</f>
        <v>0</v>
      </c>
      <c r="AQ245" s="291">
        <f ca="1">MIN(-IF(SAP_Leadsheet!$E$21&lt;AQ7,0,(SAP_Spreadsheet!AQ239-SAP_Spreadsheet!AQ185+SUM(SAP_Spreadsheet!AP185:AP193)-SUM(SAP_Spreadsheet!AQ186:AQ194))*SAP_Leadsheet!$E$69),0)</f>
        <v>0</v>
      </c>
      <c r="AR245" s="291">
        <f ca="1">MIN(-IF(SAP_Leadsheet!$E$21&lt;AR7,0,(SAP_Spreadsheet!AR239-SAP_Spreadsheet!AR185+SUM(SAP_Spreadsheet!AQ185:AQ193)-SUM(SAP_Spreadsheet!AR186:AR194))*SAP_Leadsheet!$E$69),0)</f>
        <v>0</v>
      </c>
      <c r="AS245" s="291">
        <f ca="1">MIN(-IF(SAP_Leadsheet!$E$21&lt;AS7,0,(SAP_Spreadsheet!AS239-SAP_Spreadsheet!AS185+SUM(SAP_Spreadsheet!AR185:AR193)-SUM(SAP_Spreadsheet!AS186:AS194))*SAP_Leadsheet!$E$69),0)</f>
        <v>0</v>
      </c>
      <c r="AT245" s="291">
        <f ca="1">MIN(-IF(SAP_Leadsheet!$E$21&lt;AT7,0,(SAP_Spreadsheet!AT239-SAP_Spreadsheet!AT185+SUM(SAP_Spreadsheet!AS185:AS193)-SUM(SAP_Spreadsheet!AT186:AT194))*SAP_Leadsheet!$E$69),0)</f>
        <v>0</v>
      </c>
      <c r="AU245" s="291">
        <f ca="1">MIN(-IF(SAP_Leadsheet!$E$21&lt;AU7,0,(SAP_Spreadsheet!AU239-SAP_Spreadsheet!AU185+SUM(SAP_Spreadsheet!AT185:AT193)-SUM(SAP_Spreadsheet!AU186:AU194))*SAP_Leadsheet!$E$69),0)</f>
        <v>0</v>
      </c>
      <c r="AV245" s="291">
        <f ca="1">MIN(-IF(SAP_Leadsheet!$E$21&lt;AV7,0,(SAP_Spreadsheet!AV239-SAP_Spreadsheet!AV185+SUM(SAP_Spreadsheet!AU185:AU193)-SUM(SAP_Spreadsheet!AV186:AV194))*SAP_Leadsheet!$E$69),0)</f>
        <v>0</v>
      </c>
      <c r="AW245" s="291">
        <f ca="1">MIN(-IF(SAP_Leadsheet!$E$21&lt;AW7,0,(SAP_Spreadsheet!AW239-SAP_Spreadsheet!AW185+SUM(SAP_Spreadsheet!AV185:AV193)-SUM(SAP_Spreadsheet!AW186:AW194))*SAP_Leadsheet!$E$69),0)</f>
        <v>0</v>
      </c>
      <c r="AX245" s="291">
        <f ca="1">MIN(-IF(SAP_Leadsheet!$E$21&lt;AX7,0,(SAP_Spreadsheet!AX239-SAP_Spreadsheet!AX185+SUM(SAP_Spreadsheet!AW185:AW193)-SUM(SAP_Spreadsheet!AX186:AX194))*SAP_Leadsheet!$E$69),0)</f>
        <v>0</v>
      </c>
      <c r="AY245" s="291">
        <f ca="1">MIN(-IF(SAP_Leadsheet!$E$21&lt;AY7,0,(SAP_Spreadsheet!AY239-SAP_Spreadsheet!AY185+SUM(SAP_Spreadsheet!AX185:AX193)-SUM(SAP_Spreadsheet!AY186:AY194))*SAP_Leadsheet!$E$69),0)</f>
        <v>0</v>
      </c>
      <c r="AZ245" s="291">
        <f ca="1">MIN(-IF(SAP_Leadsheet!$E$21&lt;AZ7,0,(SAP_Spreadsheet!AZ239-SAP_Spreadsheet!AZ185+SUM(SAP_Spreadsheet!AY185:AY193)-SUM(SAP_Spreadsheet!AZ186:AZ194))*SAP_Leadsheet!$E$69),0)</f>
        <v>0</v>
      </c>
      <c r="BA245" s="291">
        <f ca="1">MIN(-IF(SAP_Leadsheet!$E$21&lt;BA7,0,(SAP_Spreadsheet!BA239-SAP_Spreadsheet!BA185+SUM(SAP_Spreadsheet!AZ185:AZ193)-SUM(SAP_Spreadsheet!BA186:BA194))*SAP_Leadsheet!$E$69),0)</f>
        <v>0</v>
      </c>
      <c r="BB245" s="291">
        <f ca="1">MIN(-IF(SAP_Leadsheet!$E$21&lt;BB7,0,(SAP_Spreadsheet!BB239-SAP_Spreadsheet!BB185+SUM(SAP_Spreadsheet!BA185:BA193)-SUM(SAP_Spreadsheet!BB186:BB194))*SAP_Leadsheet!$E$69),0)</f>
        <v>0</v>
      </c>
      <c r="BC245" s="291">
        <f ca="1">MIN(-IF(SAP_Leadsheet!$E$21&lt;BC7,0,(SAP_Spreadsheet!BC239-SAP_Spreadsheet!BC185+SUM(SAP_Spreadsheet!BB185:BB193)-SUM(SAP_Spreadsheet!BC186:BC194))*SAP_Leadsheet!$E$69),0)</f>
        <v>0</v>
      </c>
      <c r="BD245" s="291">
        <f ca="1">MIN(-IF(SAP_Leadsheet!$E$21&lt;BD7,0,(SAP_Spreadsheet!BD239-SAP_Spreadsheet!BD185+SUM(SAP_Spreadsheet!BC185:BC193)-SUM(SAP_Spreadsheet!BD186:BD194))*SAP_Leadsheet!$E$69),0)</f>
        <v>0</v>
      </c>
      <c r="BE245" s="291">
        <f ca="1">MIN(-IF(SAP_Leadsheet!$E$21&lt;BE7,0,(SAP_Spreadsheet!BE239-SAP_Spreadsheet!BE185+SUM(SAP_Spreadsheet!BD185:BD193)-SUM(SAP_Spreadsheet!BE186:BE194))*SAP_Leadsheet!$E$69),0)</f>
        <v>0</v>
      </c>
      <c r="BF245" s="291">
        <f ca="1">MIN(-IF(SAP_Leadsheet!$E$21&lt;BF7,0,(SAP_Spreadsheet!BF239-SAP_Spreadsheet!BF185+SUM(SAP_Spreadsheet!BE185:BE193)-SUM(SAP_Spreadsheet!BF186:BF194))*SAP_Leadsheet!$E$69),0)</f>
        <v>0</v>
      </c>
      <c r="BG245" s="291">
        <f ca="1">MIN(-IF(SAP_Leadsheet!$E$21&lt;BG7,0,(SAP_Spreadsheet!BG239-SAP_Spreadsheet!BG185+SUM(SAP_Spreadsheet!BF185:BF193)-SUM(SAP_Spreadsheet!BG186:BG194))*SAP_Leadsheet!$E$69),0)</f>
        <v>0</v>
      </c>
      <c r="BH245" s="291">
        <f ca="1">MIN(-IF(SAP_Leadsheet!$E$21&lt;BH7,0,(SAP_Spreadsheet!BH239-SAP_Spreadsheet!BH185+SUM(SAP_Spreadsheet!BG185:BG193)-SUM(SAP_Spreadsheet!BH186:BH194))*SAP_Leadsheet!$E$69),0)</f>
        <v>0</v>
      </c>
      <c r="BI245" s="291">
        <f ca="1">MIN(-IF(SAP_Leadsheet!$E$21&lt;BI7,0,(SAP_Spreadsheet!BI239-SAP_Spreadsheet!BI185+SUM(SAP_Spreadsheet!BH185:BH193)-SUM(SAP_Spreadsheet!BI186:BI194))*SAP_Leadsheet!$E$69),0)</f>
        <v>0</v>
      </c>
      <c r="BJ245" s="291">
        <f ca="1">MIN(-IF(SAP_Leadsheet!$E$21&lt;BJ7,0,(SAP_Spreadsheet!BJ239-SAP_Spreadsheet!BJ185+SUM(SAP_Spreadsheet!BI185:BI193)-SUM(SAP_Spreadsheet!BJ186:BJ194))*SAP_Leadsheet!$E$69),0)</f>
        <v>0</v>
      </c>
      <c r="BK245" s="291">
        <f ca="1">MIN(-IF(SAP_Leadsheet!$E$21&lt;BK7,0,(SAP_Spreadsheet!BK239-SAP_Spreadsheet!BK185+SUM(SAP_Spreadsheet!BJ185:BJ193)-SUM(SAP_Spreadsheet!BK186:BK194))*SAP_Leadsheet!$E$69),0)</f>
        <v>0</v>
      </c>
      <c r="BL245" s="291">
        <f ca="1">MIN(-IF(SAP_Leadsheet!$E$21&lt;BL7,0,(SAP_Spreadsheet!BL239-SAP_Spreadsheet!BL185+SUM(SAP_Spreadsheet!BK185:BK193)-SUM(SAP_Spreadsheet!BL186:BL194))*SAP_Leadsheet!$E$69),0)</f>
        <v>0</v>
      </c>
      <c r="BM245" s="291">
        <f ca="1">MIN(-IF(SAP_Leadsheet!$E$21&lt;BM7,0,(SAP_Spreadsheet!BM239-SAP_Spreadsheet!BM185+SUM(SAP_Spreadsheet!BL185:BL193)-SUM(SAP_Spreadsheet!BM186:BM194))*SAP_Leadsheet!$E$69),0)</f>
        <v>0</v>
      </c>
      <c r="BN245" s="291">
        <f ca="1">MIN(-IF(SAP_Leadsheet!$E$21&lt;BN7,0,(SAP_Spreadsheet!BN239-SAP_Spreadsheet!BN185+SUM(SAP_Spreadsheet!BM185:BM193)-SUM(SAP_Spreadsheet!BN186:BN194))*SAP_Leadsheet!$E$69),0)</f>
        <v>0</v>
      </c>
      <c r="BO245" s="263"/>
      <c r="BP245" s="263"/>
      <c r="BQ245" s="263"/>
      <c r="BR245" s="263"/>
      <c r="BS245" s="263"/>
      <c r="BT245" s="263"/>
      <c r="BU245" s="263"/>
      <c r="BV245" s="263"/>
      <c r="BW245" s="263"/>
      <c r="BX245" s="263"/>
      <c r="BY245" s="263"/>
      <c r="BZ245" s="263"/>
      <c r="CA245" s="263"/>
      <c r="CB245" s="263"/>
      <c r="CC245" s="263"/>
      <c r="CD245" s="263"/>
      <c r="CE245" s="263"/>
      <c r="CF245" s="263"/>
      <c r="CG245" s="263"/>
      <c r="CH245" s="263"/>
      <c r="CI245" s="263"/>
      <c r="CJ245" s="263"/>
      <c r="CK245" s="263"/>
      <c r="CL245" s="263"/>
      <c r="CM245" s="263"/>
      <c r="CN245" s="263"/>
      <c r="CO245" s="263"/>
      <c r="CP245" s="263"/>
      <c r="CQ245" s="263"/>
      <c r="CR245" s="263"/>
      <c r="CS245" s="263"/>
      <c r="CT245" s="263"/>
      <c r="CU245" s="263"/>
      <c r="CV245" s="263"/>
      <c r="CW245" s="263"/>
      <c r="CX245" s="263"/>
      <c r="CY245" s="263"/>
      <c r="CZ245" s="263"/>
      <c r="DA245" s="263"/>
      <c r="DB245" s="263"/>
      <c r="DC245" s="263"/>
      <c r="DD245" s="263"/>
      <c r="DE245" s="263"/>
      <c r="DF245" s="263"/>
      <c r="DG245" s="263"/>
      <c r="DH245" s="263"/>
      <c r="DI245" s="263"/>
      <c r="DJ245" s="263"/>
      <c r="DK245" s="263"/>
      <c r="DL245" s="263"/>
      <c r="DM245" s="263"/>
      <c r="DN245" s="263"/>
      <c r="DO245" s="263"/>
      <c r="DP245" s="263"/>
      <c r="DQ245" s="263"/>
      <c r="DR245" s="263"/>
      <c r="DS245" s="263"/>
      <c r="DT245" s="263"/>
      <c r="DU245" s="263"/>
      <c r="DV245" s="263"/>
      <c r="DW245" s="263"/>
      <c r="DX245" s="263"/>
      <c r="DY245" s="263"/>
      <c r="DZ245" s="263"/>
      <c r="EA245" s="263"/>
      <c r="EB245" s="263"/>
      <c r="EC245" s="263"/>
      <c r="ED245" s="263"/>
      <c r="EE245" s="263"/>
      <c r="EF245" s="263"/>
      <c r="EG245" s="263"/>
      <c r="EH245" s="263"/>
      <c r="EI245" s="263"/>
      <c r="EJ245" s="263"/>
      <c r="EK245" s="263"/>
      <c r="EL245" s="263"/>
      <c r="EM245" s="263"/>
      <c r="EN245" s="263"/>
      <c r="EO245" s="263"/>
      <c r="EP245" s="263"/>
      <c r="EQ245" s="263"/>
      <c r="ER245" s="263"/>
      <c r="ES245" s="263"/>
      <c r="ET245" s="263"/>
      <c r="EU245" s="263"/>
      <c r="EV245" s="263"/>
      <c r="EW245" s="263"/>
      <c r="EX245" s="263"/>
      <c r="EY245" s="263"/>
      <c r="EZ245" s="263"/>
      <c r="FA245" s="263"/>
      <c r="FB245" s="263"/>
      <c r="FC245" s="263"/>
      <c r="FD245" s="263"/>
      <c r="FE245" s="263"/>
      <c r="FF245" s="263"/>
      <c r="FG245" s="263"/>
      <c r="FH245" s="263"/>
      <c r="FI245" s="263"/>
      <c r="FJ245" s="263"/>
      <c r="FK245" s="263"/>
      <c r="FL245" s="263"/>
      <c r="FM245" s="263"/>
      <c r="FN245" s="263"/>
      <c r="FO245" s="263"/>
      <c r="FP245" s="263"/>
      <c r="FQ245" s="263"/>
      <c r="FR245" s="263"/>
      <c r="FS245" s="263"/>
      <c r="FT245" s="263"/>
      <c r="FU245" s="263"/>
      <c r="FV245" s="263"/>
      <c r="FW245" s="263"/>
      <c r="FX245" s="263"/>
      <c r="FY245" s="263"/>
      <c r="FZ245" s="263"/>
      <c r="GA245" s="263"/>
      <c r="GB245" s="263"/>
      <c r="GC245" s="263"/>
      <c r="GD245" s="263"/>
      <c r="GE245" s="263"/>
      <c r="GF245" s="263"/>
      <c r="GG245" s="263"/>
      <c r="GH245" s="263"/>
      <c r="GI245" s="263"/>
      <c r="GJ245" s="263"/>
      <c r="GK245" s="263"/>
      <c r="GL245" s="263"/>
      <c r="GM245" s="263"/>
      <c r="GN245" s="263"/>
      <c r="GO245" s="263"/>
      <c r="GP245" s="263"/>
      <c r="GQ245" s="263"/>
      <c r="GR245" s="263"/>
      <c r="GS245" s="263"/>
      <c r="GT245" s="263"/>
      <c r="GU245" s="263"/>
      <c r="GV245" s="263"/>
      <c r="GW245" s="263"/>
      <c r="GX245" s="263"/>
      <c r="GY245" s="263"/>
    </row>
    <row r="246" spans="1:207" x14ac:dyDescent="0.15">
      <c r="D246" s="26" t="s">
        <v>399</v>
      </c>
      <c r="F246" s="26" t="s">
        <v>341</v>
      </c>
      <c r="G246" s="297">
        <f t="shared" ref="G246:BN246" ca="1" si="34">MIN(SUM(G247:G249),0)</f>
        <v>0</v>
      </c>
      <c r="H246" s="297">
        <f t="shared" ca="1" si="34"/>
        <v>0</v>
      </c>
      <c r="I246" s="297">
        <f t="shared" ca="1" si="34"/>
        <v>0</v>
      </c>
      <c r="J246" s="297">
        <f t="shared" ca="1" si="34"/>
        <v>0</v>
      </c>
      <c r="K246" s="297">
        <f t="shared" ca="1" si="34"/>
        <v>0</v>
      </c>
      <c r="L246" s="297">
        <f t="shared" ca="1" si="34"/>
        <v>0</v>
      </c>
      <c r="M246" s="297">
        <f t="shared" ca="1" si="34"/>
        <v>0</v>
      </c>
      <c r="N246" s="297">
        <f t="shared" ca="1" si="34"/>
        <v>0</v>
      </c>
      <c r="O246" s="297">
        <f t="shared" ca="1" si="34"/>
        <v>0</v>
      </c>
      <c r="P246" s="297">
        <f t="shared" ca="1" si="34"/>
        <v>0</v>
      </c>
      <c r="Q246" s="297">
        <f t="shared" ca="1" si="34"/>
        <v>0</v>
      </c>
      <c r="R246" s="297">
        <f t="shared" ca="1" si="34"/>
        <v>0</v>
      </c>
      <c r="S246" s="297">
        <f t="shared" ca="1" si="34"/>
        <v>0</v>
      </c>
      <c r="T246" s="297">
        <f t="shared" ca="1" si="34"/>
        <v>0</v>
      </c>
      <c r="U246" s="297">
        <f t="shared" ca="1" si="34"/>
        <v>0</v>
      </c>
      <c r="V246" s="297">
        <f t="shared" ca="1" si="34"/>
        <v>0</v>
      </c>
      <c r="W246" s="297">
        <f t="shared" ca="1" si="34"/>
        <v>0</v>
      </c>
      <c r="X246" s="297">
        <f t="shared" ca="1" si="34"/>
        <v>0</v>
      </c>
      <c r="Y246" s="297">
        <f t="shared" ca="1" si="34"/>
        <v>0</v>
      </c>
      <c r="Z246" s="297">
        <f t="shared" ca="1" si="34"/>
        <v>0</v>
      </c>
      <c r="AA246" s="297">
        <f t="shared" ca="1" si="34"/>
        <v>0</v>
      </c>
      <c r="AB246" s="297">
        <f t="shared" ca="1" si="34"/>
        <v>0</v>
      </c>
      <c r="AC246" s="297">
        <f t="shared" ca="1" si="34"/>
        <v>0</v>
      </c>
      <c r="AD246" s="297">
        <f t="shared" ca="1" si="34"/>
        <v>0</v>
      </c>
      <c r="AE246" s="297">
        <f t="shared" ca="1" si="34"/>
        <v>0</v>
      </c>
      <c r="AF246" s="297">
        <f t="shared" ca="1" si="34"/>
        <v>0</v>
      </c>
      <c r="AG246" s="297">
        <f t="shared" ca="1" si="34"/>
        <v>0</v>
      </c>
      <c r="AH246" s="297">
        <f t="shared" ca="1" si="34"/>
        <v>0</v>
      </c>
      <c r="AI246" s="297">
        <f t="shared" ca="1" si="34"/>
        <v>0</v>
      </c>
      <c r="AJ246" s="297">
        <f t="shared" ca="1" si="34"/>
        <v>0</v>
      </c>
      <c r="AK246" s="297">
        <f t="shared" ca="1" si="34"/>
        <v>0</v>
      </c>
      <c r="AL246" s="297">
        <f t="shared" ca="1" si="34"/>
        <v>0</v>
      </c>
      <c r="AM246" s="297">
        <f t="shared" ca="1" si="34"/>
        <v>0</v>
      </c>
      <c r="AN246" s="297">
        <f t="shared" ca="1" si="34"/>
        <v>0</v>
      </c>
      <c r="AO246" s="297">
        <f t="shared" ca="1" si="34"/>
        <v>0</v>
      </c>
      <c r="AP246" s="297">
        <f t="shared" ca="1" si="34"/>
        <v>0</v>
      </c>
      <c r="AQ246" s="297">
        <f t="shared" ca="1" si="34"/>
        <v>0</v>
      </c>
      <c r="AR246" s="297">
        <f t="shared" ca="1" si="34"/>
        <v>0</v>
      </c>
      <c r="AS246" s="297">
        <f t="shared" ca="1" si="34"/>
        <v>0</v>
      </c>
      <c r="AT246" s="297">
        <f t="shared" ca="1" si="34"/>
        <v>0</v>
      </c>
      <c r="AU246" s="297">
        <f t="shared" ca="1" si="34"/>
        <v>0</v>
      </c>
      <c r="AV246" s="297">
        <f t="shared" ca="1" si="34"/>
        <v>0</v>
      </c>
      <c r="AW246" s="297">
        <f t="shared" ca="1" si="34"/>
        <v>0</v>
      </c>
      <c r="AX246" s="297">
        <f t="shared" ca="1" si="34"/>
        <v>0</v>
      </c>
      <c r="AY246" s="297">
        <f t="shared" ca="1" si="34"/>
        <v>0</v>
      </c>
      <c r="AZ246" s="297">
        <f t="shared" ca="1" si="34"/>
        <v>0</v>
      </c>
      <c r="BA246" s="297">
        <f t="shared" ca="1" si="34"/>
        <v>0</v>
      </c>
      <c r="BB246" s="297">
        <f t="shared" ca="1" si="34"/>
        <v>0</v>
      </c>
      <c r="BC246" s="297">
        <f t="shared" ca="1" si="34"/>
        <v>0</v>
      </c>
      <c r="BD246" s="297">
        <f t="shared" ca="1" si="34"/>
        <v>0</v>
      </c>
      <c r="BE246" s="297">
        <f t="shared" ca="1" si="34"/>
        <v>0</v>
      </c>
      <c r="BF246" s="297">
        <f t="shared" ca="1" si="34"/>
        <v>0</v>
      </c>
      <c r="BG246" s="297">
        <f t="shared" ca="1" si="34"/>
        <v>0</v>
      </c>
      <c r="BH246" s="297">
        <f t="shared" ca="1" si="34"/>
        <v>0</v>
      </c>
      <c r="BI246" s="297">
        <f t="shared" ca="1" si="34"/>
        <v>0</v>
      </c>
      <c r="BJ246" s="297">
        <f t="shared" ca="1" si="34"/>
        <v>0</v>
      </c>
      <c r="BK246" s="297">
        <f t="shared" ca="1" si="34"/>
        <v>0</v>
      </c>
      <c r="BL246" s="297">
        <f t="shared" ca="1" si="34"/>
        <v>0</v>
      </c>
      <c r="BM246" s="297">
        <f t="shared" ca="1" si="34"/>
        <v>0</v>
      </c>
      <c r="BN246" s="297">
        <f t="shared" ca="1" si="34"/>
        <v>0</v>
      </c>
      <c r="BO246" s="263"/>
      <c r="BP246" s="263"/>
      <c r="BQ246" s="263"/>
      <c r="BR246" s="263"/>
      <c r="BS246" s="263"/>
      <c r="BT246" s="263"/>
      <c r="BU246" s="263"/>
      <c r="BV246" s="263"/>
      <c r="BW246" s="263"/>
      <c r="BX246" s="263"/>
      <c r="BY246" s="263"/>
      <c r="BZ246" s="263"/>
      <c r="CA246" s="263"/>
      <c r="CB246" s="263"/>
      <c r="CC246" s="263"/>
      <c r="CD246" s="263"/>
      <c r="CE246" s="263"/>
      <c r="CF246" s="263"/>
      <c r="CG246" s="263"/>
      <c r="CH246" s="263"/>
      <c r="CI246" s="263"/>
      <c r="CJ246" s="263"/>
      <c r="CK246" s="263"/>
      <c r="CL246" s="263"/>
      <c r="CM246" s="263"/>
      <c r="CN246" s="263"/>
      <c r="CO246" s="263"/>
      <c r="CP246" s="263"/>
      <c r="CQ246" s="263"/>
      <c r="CR246" s="263"/>
      <c r="CS246" s="263"/>
      <c r="CT246" s="263"/>
      <c r="CU246" s="263"/>
      <c r="CV246" s="263"/>
      <c r="CW246" s="263"/>
      <c r="CX246" s="263"/>
      <c r="CY246" s="263"/>
      <c r="CZ246" s="263"/>
      <c r="DA246" s="263"/>
      <c r="DB246" s="263"/>
      <c r="DC246" s="263"/>
      <c r="DD246" s="263"/>
      <c r="DE246" s="263"/>
      <c r="DF246" s="263"/>
      <c r="DG246" s="263"/>
      <c r="DH246" s="263"/>
      <c r="DI246" s="263"/>
      <c r="DJ246" s="263"/>
      <c r="DK246" s="263"/>
      <c r="DL246" s="263"/>
      <c r="DM246" s="263"/>
      <c r="DN246" s="263"/>
      <c r="DO246" s="263"/>
      <c r="DP246" s="263"/>
      <c r="DQ246" s="263"/>
      <c r="DR246" s="263"/>
      <c r="DS246" s="263"/>
      <c r="DT246" s="263"/>
      <c r="DU246" s="263"/>
      <c r="DV246" s="263"/>
      <c r="DW246" s="263"/>
      <c r="DX246" s="263"/>
      <c r="DY246" s="263"/>
      <c r="DZ246" s="263"/>
      <c r="EA246" s="263"/>
      <c r="EB246" s="263"/>
      <c r="EC246" s="263"/>
      <c r="ED246" s="263"/>
      <c r="EE246" s="263"/>
      <c r="EF246" s="263"/>
      <c r="EG246" s="263"/>
      <c r="EH246" s="263"/>
      <c r="EI246" s="263"/>
      <c r="EJ246" s="263"/>
      <c r="EK246" s="263"/>
      <c r="EL246" s="263"/>
      <c r="EM246" s="263"/>
      <c r="EN246" s="263"/>
      <c r="EO246" s="263"/>
      <c r="EP246" s="263"/>
      <c r="EQ246" s="263"/>
      <c r="ER246" s="263"/>
      <c r="ES246" s="263"/>
      <c r="ET246" s="263"/>
      <c r="EU246" s="263"/>
      <c r="EV246" s="263"/>
      <c r="EW246" s="263"/>
      <c r="EX246" s="263"/>
      <c r="EY246" s="263"/>
      <c r="EZ246" s="263"/>
      <c r="FA246" s="263"/>
      <c r="FB246" s="263"/>
      <c r="FC246" s="263"/>
      <c r="FD246" s="263"/>
      <c r="FE246" s="263"/>
      <c r="FF246" s="263"/>
      <c r="FG246" s="263"/>
      <c r="FH246" s="263"/>
      <c r="FI246" s="263"/>
      <c r="FJ246" s="263"/>
      <c r="FK246" s="263"/>
      <c r="FL246" s="263"/>
      <c r="FM246" s="263"/>
      <c r="FN246" s="263"/>
      <c r="FO246" s="263"/>
      <c r="FP246" s="263"/>
      <c r="FQ246" s="263"/>
      <c r="FR246" s="263"/>
      <c r="FS246" s="263"/>
      <c r="FT246" s="263"/>
      <c r="FU246" s="263"/>
      <c r="FV246" s="263"/>
      <c r="FW246" s="263"/>
      <c r="FX246" s="263"/>
      <c r="FY246" s="263"/>
      <c r="FZ246" s="263"/>
      <c r="GA246" s="263"/>
      <c r="GB246" s="263"/>
      <c r="GC246" s="263"/>
      <c r="GD246" s="263"/>
      <c r="GE246" s="263"/>
      <c r="GF246" s="263"/>
      <c r="GG246" s="263"/>
      <c r="GH246" s="263"/>
      <c r="GI246" s="263"/>
      <c r="GJ246" s="263"/>
      <c r="GK246" s="263"/>
      <c r="GL246" s="263"/>
      <c r="GM246" s="263"/>
      <c r="GN246" s="263"/>
      <c r="GO246" s="263"/>
      <c r="GP246" s="263"/>
      <c r="GQ246" s="263"/>
      <c r="GR246" s="263"/>
      <c r="GS246" s="263"/>
      <c r="GT246" s="263"/>
      <c r="GU246" s="263"/>
      <c r="GV246" s="263"/>
      <c r="GW246" s="263"/>
      <c r="GX246" s="263"/>
      <c r="GY246" s="263"/>
    </row>
    <row r="247" spans="1:207" x14ac:dyDescent="0.15">
      <c r="D247" s="282" t="s">
        <v>92</v>
      </c>
      <c r="F247" s="26" t="s">
        <v>341</v>
      </c>
      <c r="G247" s="263">
        <f ca="1">-IF(SAP_Leadsheet!$E$21&lt;G7,0,G220*SAP_Leadsheet!$E$70)</f>
        <v>0</v>
      </c>
      <c r="H247" s="263">
        <f ca="1">-IF(SAP_Leadsheet!$E$21&lt;H7,0,H220*SAP_Leadsheet!$E$70)</f>
        <v>0</v>
      </c>
      <c r="I247" s="263">
        <f ca="1">-IF(SAP_Leadsheet!$E$21&lt;I7,0,I220*SAP_Leadsheet!$E$70)</f>
        <v>0</v>
      </c>
      <c r="J247" s="263">
        <f ca="1">-IF(SAP_Leadsheet!$E$21&lt;J7,0,J220*SAP_Leadsheet!$E$70)</f>
        <v>0</v>
      </c>
      <c r="K247" s="263">
        <f ca="1">-IF(SAP_Leadsheet!$E$21&lt;K7,0,K220*SAP_Leadsheet!$E$70)</f>
        <v>0</v>
      </c>
      <c r="L247" s="263">
        <f ca="1">-IF(SAP_Leadsheet!$E$21&lt;L7,0,L220*SAP_Leadsheet!$E$70)</f>
        <v>0</v>
      </c>
      <c r="M247" s="263">
        <f ca="1">-IF(SAP_Leadsheet!$E$21&lt;M7,0,M220*SAP_Leadsheet!$E$70)</f>
        <v>0</v>
      </c>
      <c r="N247" s="263">
        <f ca="1">-IF(SAP_Leadsheet!$E$21&lt;N7,0,N220*SAP_Leadsheet!$E$70)</f>
        <v>0</v>
      </c>
      <c r="O247" s="263">
        <f ca="1">-IF(SAP_Leadsheet!$E$21&lt;O7,0,O220*SAP_Leadsheet!$E$70)</f>
        <v>0</v>
      </c>
      <c r="P247" s="263">
        <f ca="1">-IF(SAP_Leadsheet!$E$21&lt;P7,0,P220*SAP_Leadsheet!$E$70)</f>
        <v>0</v>
      </c>
      <c r="Q247" s="263">
        <f ca="1">-IF(SAP_Leadsheet!$E$21&lt;Q7,0,Q220*SAP_Leadsheet!$E$70)</f>
        <v>0</v>
      </c>
      <c r="R247" s="263">
        <f ca="1">-IF(SAP_Leadsheet!$E$21&lt;R7,0,R220*SAP_Leadsheet!$E$70)</f>
        <v>0</v>
      </c>
      <c r="S247" s="263">
        <f ca="1">-IF(SAP_Leadsheet!$E$21&lt;S7,0,S220*SAP_Leadsheet!$E$70)</f>
        <v>0</v>
      </c>
      <c r="T247" s="263">
        <f ca="1">-IF(SAP_Leadsheet!$E$21&lt;T7,0,T220*SAP_Leadsheet!$E$70)</f>
        <v>0</v>
      </c>
      <c r="U247" s="263">
        <f ca="1">-IF(SAP_Leadsheet!$E$21&lt;U7,0,U220*SAP_Leadsheet!$E$70)</f>
        <v>0</v>
      </c>
      <c r="V247" s="263">
        <f ca="1">-IF(SAP_Leadsheet!$E$21&lt;V7,0,V220*SAP_Leadsheet!$E$70)</f>
        <v>0</v>
      </c>
      <c r="W247" s="263">
        <f ca="1">-IF(SAP_Leadsheet!$E$21&lt;W7,0,W220*SAP_Leadsheet!$E$70)</f>
        <v>0</v>
      </c>
      <c r="X247" s="263">
        <f ca="1">-IF(SAP_Leadsheet!$E$21&lt;X7,0,X220*SAP_Leadsheet!$E$70)</f>
        <v>0</v>
      </c>
      <c r="Y247" s="263">
        <f ca="1">-IF(SAP_Leadsheet!$E$21&lt;Y7,0,Y220*SAP_Leadsheet!$E$70)</f>
        <v>0</v>
      </c>
      <c r="Z247" s="263">
        <f ca="1">-IF(SAP_Leadsheet!$E$21&lt;Z7,0,Z220*SAP_Leadsheet!$E$70)</f>
        <v>0</v>
      </c>
      <c r="AA247" s="263">
        <f ca="1">-IF(SAP_Leadsheet!$E$21&lt;AA7,0,AA220*SAP_Leadsheet!$E$70)</f>
        <v>0</v>
      </c>
      <c r="AB247" s="263">
        <f ca="1">-IF(SAP_Leadsheet!$E$21&lt;AB7,0,AB220*SAP_Leadsheet!$E$70)</f>
        <v>0</v>
      </c>
      <c r="AC247" s="263">
        <f ca="1">-IF(SAP_Leadsheet!$E$21&lt;AC7,0,AC220*SAP_Leadsheet!$E$70)</f>
        <v>0</v>
      </c>
      <c r="AD247" s="263">
        <f ca="1">-IF(SAP_Leadsheet!$E$21&lt;AD7,0,AD220*SAP_Leadsheet!$E$70)</f>
        <v>0</v>
      </c>
      <c r="AE247" s="263">
        <f ca="1">-IF(SAP_Leadsheet!$E$21&lt;AE7,0,AE220*SAP_Leadsheet!$E$70)</f>
        <v>0</v>
      </c>
      <c r="AF247" s="263">
        <f ca="1">-IF(SAP_Leadsheet!$E$21&lt;AF7,0,AF220*SAP_Leadsheet!$E$70)</f>
        <v>0</v>
      </c>
      <c r="AG247" s="263">
        <f ca="1">-IF(SAP_Leadsheet!$E$21&lt;AG7,0,AG220*SAP_Leadsheet!$E$70)</f>
        <v>0</v>
      </c>
      <c r="AH247" s="263">
        <f ca="1">-IF(SAP_Leadsheet!$E$21&lt;AH7,0,AH220*SAP_Leadsheet!$E$70)</f>
        <v>0</v>
      </c>
      <c r="AI247" s="263">
        <f ca="1">-IF(SAP_Leadsheet!$E$21&lt;AI7,0,AI220*SAP_Leadsheet!$E$70)</f>
        <v>0</v>
      </c>
      <c r="AJ247" s="263">
        <f ca="1">-IF(SAP_Leadsheet!$E$21&lt;AJ7,0,AJ220*SAP_Leadsheet!$E$70)</f>
        <v>0</v>
      </c>
      <c r="AK247" s="263">
        <f ca="1">-IF(SAP_Leadsheet!$E$21&lt;AK7,0,AK220*SAP_Leadsheet!$E$70)</f>
        <v>0</v>
      </c>
      <c r="AL247" s="263">
        <f ca="1">-IF(SAP_Leadsheet!$E$21&lt;AL7,0,AL220*SAP_Leadsheet!$E$70)</f>
        <v>0</v>
      </c>
      <c r="AM247" s="263">
        <f ca="1">-IF(SAP_Leadsheet!$E$21&lt;AM7,0,AM220*SAP_Leadsheet!$E$70)</f>
        <v>0</v>
      </c>
      <c r="AN247" s="263">
        <f ca="1">-IF(SAP_Leadsheet!$E$21&lt;AN7,0,AN220*SAP_Leadsheet!$E$70)</f>
        <v>0</v>
      </c>
      <c r="AO247" s="263">
        <f ca="1">-IF(SAP_Leadsheet!$E$21&lt;AO7,0,AO220*SAP_Leadsheet!$E$70)</f>
        <v>0</v>
      </c>
      <c r="AP247" s="263">
        <f ca="1">-IF(SAP_Leadsheet!$E$21&lt;AP7,0,AP220*SAP_Leadsheet!$E$70)</f>
        <v>0</v>
      </c>
      <c r="AQ247" s="263">
        <f ca="1">-IF(SAP_Leadsheet!$E$21&lt;AQ7,0,AQ220*SAP_Leadsheet!$E$70)</f>
        <v>0</v>
      </c>
      <c r="AR247" s="263">
        <f ca="1">-IF(SAP_Leadsheet!$E$21&lt;AR7,0,AR220*SAP_Leadsheet!$E$70)</f>
        <v>0</v>
      </c>
      <c r="AS247" s="263">
        <f ca="1">-IF(SAP_Leadsheet!$E$21&lt;AS7,0,AS220*SAP_Leadsheet!$E$70)</f>
        <v>0</v>
      </c>
      <c r="AT247" s="263">
        <f ca="1">-IF(SAP_Leadsheet!$E$21&lt;AT7,0,AT220*SAP_Leadsheet!$E$70)</f>
        <v>0</v>
      </c>
      <c r="AU247" s="263">
        <f ca="1">-IF(SAP_Leadsheet!$E$21&lt;AU7,0,AU220*SAP_Leadsheet!$E$70)</f>
        <v>0</v>
      </c>
      <c r="AV247" s="263">
        <f ca="1">-IF(SAP_Leadsheet!$E$21&lt;AV7,0,AV220*SAP_Leadsheet!$E$70)</f>
        <v>0</v>
      </c>
      <c r="AW247" s="263">
        <f ca="1">-IF(SAP_Leadsheet!$E$21&lt;AW7,0,AW220*SAP_Leadsheet!$E$70)</f>
        <v>0</v>
      </c>
      <c r="AX247" s="263">
        <f ca="1">-IF(SAP_Leadsheet!$E$21&lt;AX7,0,AX220*SAP_Leadsheet!$E$70)</f>
        <v>0</v>
      </c>
      <c r="AY247" s="263">
        <f ca="1">-IF(SAP_Leadsheet!$E$21&lt;AY7,0,AY220*SAP_Leadsheet!$E$70)</f>
        <v>0</v>
      </c>
      <c r="AZ247" s="263">
        <f ca="1">-IF(SAP_Leadsheet!$E$21&lt;AZ7,0,AZ220*SAP_Leadsheet!$E$70)</f>
        <v>0</v>
      </c>
      <c r="BA247" s="263">
        <f ca="1">-IF(SAP_Leadsheet!$E$21&lt;BA7,0,BA220*SAP_Leadsheet!$E$70)</f>
        <v>0</v>
      </c>
      <c r="BB247" s="263">
        <f ca="1">-IF(SAP_Leadsheet!$E$21&lt;BB7,0,BB220*SAP_Leadsheet!$E$70)</f>
        <v>0</v>
      </c>
      <c r="BC247" s="263">
        <f ca="1">-IF(SAP_Leadsheet!$E$21&lt;BC7,0,BC220*SAP_Leadsheet!$E$70)</f>
        <v>0</v>
      </c>
      <c r="BD247" s="263">
        <f ca="1">-IF(SAP_Leadsheet!$E$21&lt;BD7,0,BD220*SAP_Leadsheet!$E$70)</f>
        <v>0</v>
      </c>
      <c r="BE247" s="263">
        <f ca="1">-IF(SAP_Leadsheet!$E$21&lt;BE7,0,BE220*SAP_Leadsheet!$E$70)</f>
        <v>0</v>
      </c>
      <c r="BF247" s="263">
        <f ca="1">-IF(SAP_Leadsheet!$E$21&lt;BF7,0,BF220*SAP_Leadsheet!$E$70)</f>
        <v>0</v>
      </c>
      <c r="BG247" s="263">
        <f ca="1">-IF(SAP_Leadsheet!$E$21&lt;BG7,0,BG220*SAP_Leadsheet!$E$70)</f>
        <v>0</v>
      </c>
      <c r="BH247" s="263">
        <f ca="1">-IF(SAP_Leadsheet!$E$21&lt;BH7,0,BH220*SAP_Leadsheet!$E$70)</f>
        <v>0</v>
      </c>
      <c r="BI247" s="263">
        <f ca="1">-IF(SAP_Leadsheet!$E$21&lt;BI7,0,BI220*SAP_Leadsheet!$E$70)</f>
        <v>0</v>
      </c>
      <c r="BJ247" s="263">
        <f ca="1">-IF(SAP_Leadsheet!$E$21&lt;BJ7,0,BJ220*SAP_Leadsheet!$E$70)</f>
        <v>0</v>
      </c>
      <c r="BK247" s="263">
        <f ca="1">-IF(SAP_Leadsheet!$E$21&lt;BK7,0,BK220*SAP_Leadsheet!$E$70)</f>
        <v>0</v>
      </c>
      <c r="BL247" s="263">
        <f ca="1">-IF(SAP_Leadsheet!$E$21&lt;BL7,0,BL220*SAP_Leadsheet!$E$70)</f>
        <v>0</v>
      </c>
      <c r="BM247" s="263">
        <f ca="1">-IF(SAP_Leadsheet!$E$21&lt;BM7,0,BM220*SAP_Leadsheet!$E$70)</f>
        <v>0</v>
      </c>
      <c r="BN247" s="263">
        <f ca="1">-IF(SAP_Leadsheet!$E$21&lt;BN7,0,BN220*SAP_Leadsheet!$E$70)</f>
        <v>0</v>
      </c>
      <c r="BO247" s="263"/>
      <c r="BP247" s="263"/>
      <c r="BQ247" s="263"/>
      <c r="BR247" s="263"/>
      <c r="BS247" s="263"/>
      <c r="BT247" s="263"/>
      <c r="BU247" s="263"/>
      <c r="BV247" s="263"/>
      <c r="BW247" s="263"/>
      <c r="BX247" s="263"/>
      <c r="BY247" s="263"/>
      <c r="BZ247" s="263"/>
      <c r="CA247" s="263"/>
      <c r="CB247" s="263"/>
      <c r="CC247" s="263"/>
      <c r="CD247" s="263"/>
      <c r="CE247" s="263"/>
      <c r="CF247" s="263"/>
      <c r="CG247" s="263"/>
      <c r="CH247" s="263"/>
      <c r="CI247" s="263"/>
      <c r="CJ247" s="263"/>
      <c r="CK247" s="263"/>
      <c r="CL247" s="263"/>
      <c r="CM247" s="263"/>
      <c r="CN247" s="263"/>
      <c r="CO247" s="263"/>
      <c r="CP247" s="263"/>
      <c r="CQ247" s="263"/>
      <c r="CR247" s="263"/>
      <c r="CS247" s="263"/>
      <c r="CT247" s="263"/>
      <c r="CU247" s="263"/>
      <c r="CV247" s="263"/>
      <c r="CW247" s="263"/>
      <c r="CX247" s="263"/>
      <c r="CY247" s="263"/>
      <c r="CZ247" s="263"/>
      <c r="DA247" s="263"/>
      <c r="DB247" s="263"/>
      <c r="DC247" s="263"/>
      <c r="DD247" s="263"/>
      <c r="DE247" s="263"/>
      <c r="DF247" s="263"/>
      <c r="DG247" s="263"/>
      <c r="DH247" s="263"/>
      <c r="DI247" s="263"/>
      <c r="DJ247" s="263"/>
      <c r="DK247" s="263"/>
      <c r="DL247" s="263"/>
      <c r="DM247" s="263"/>
      <c r="DN247" s="263"/>
      <c r="DO247" s="263"/>
      <c r="DP247" s="263"/>
      <c r="DQ247" s="263"/>
      <c r="DR247" s="263"/>
      <c r="DS247" s="263"/>
      <c r="DT247" s="263"/>
      <c r="DU247" s="263"/>
      <c r="DV247" s="263"/>
      <c r="DW247" s="263"/>
      <c r="DX247" s="263"/>
      <c r="DY247" s="263"/>
      <c r="DZ247" s="263"/>
      <c r="EA247" s="263"/>
      <c r="EB247" s="263"/>
      <c r="EC247" s="263"/>
      <c r="ED247" s="263"/>
      <c r="EE247" s="263"/>
      <c r="EF247" s="263"/>
      <c r="EG247" s="263"/>
      <c r="EH247" s="263"/>
      <c r="EI247" s="263"/>
      <c r="EJ247" s="263"/>
      <c r="EK247" s="263"/>
      <c r="EL247" s="263"/>
      <c r="EM247" s="263"/>
      <c r="EN247" s="263"/>
      <c r="EO247" s="263"/>
      <c r="EP247" s="263"/>
      <c r="EQ247" s="263"/>
      <c r="ER247" s="263"/>
      <c r="ES247" s="263"/>
      <c r="ET247" s="263"/>
      <c r="EU247" s="263"/>
      <c r="EV247" s="263"/>
      <c r="EW247" s="263"/>
      <c r="EX247" s="263"/>
      <c r="EY247" s="263"/>
      <c r="EZ247" s="263"/>
      <c r="FA247" s="263"/>
      <c r="FB247" s="263"/>
      <c r="FC247" s="263"/>
      <c r="FD247" s="263"/>
      <c r="FE247" s="263"/>
      <c r="FF247" s="263"/>
      <c r="FG247" s="263"/>
      <c r="FH247" s="263"/>
      <c r="FI247" s="263"/>
      <c r="FJ247" s="263"/>
      <c r="FK247" s="263"/>
      <c r="FL247" s="263"/>
      <c r="FM247" s="263"/>
      <c r="FN247" s="263"/>
      <c r="FO247" s="263"/>
      <c r="FP247" s="263"/>
      <c r="FQ247" s="263"/>
      <c r="FR247" s="263"/>
      <c r="FS247" s="263"/>
      <c r="FT247" s="263"/>
      <c r="FU247" s="263"/>
      <c r="FV247" s="263"/>
      <c r="FW247" s="263"/>
      <c r="FX247" s="263"/>
      <c r="FY247" s="263"/>
      <c r="FZ247" s="263"/>
      <c r="GA247" s="263"/>
      <c r="GB247" s="263"/>
      <c r="GC247" s="263"/>
      <c r="GD247" s="263"/>
      <c r="GE247" s="263"/>
      <c r="GF247" s="263"/>
      <c r="GG247" s="263"/>
      <c r="GH247" s="263"/>
      <c r="GI247" s="263"/>
      <c r="GJ247" s="263"/>
      <c r="GK247" s="263"/>
      <c r="GL247" s="263"/>
      <c r="GM247" s="263"/>
      <c r="GN247" s="263"/>
      <c r="GO247" s="263"/>
      <c r="GP247" s="263"/>
      <c r="GQ247" s="263"/>
      <c r="GR247" s="263"/>
      <c r="GS247" s="263"/>
      <c r="GT247" s="263"/>
      <c r="GU247" s="263"/>
      <c r="GV247" s="263"/>
      <c r="GW247" s="263"/>
      <c r="GX247" s="263"/>
      <c r="GY247" s="263"/>
    </row>
    <row r="248" spans="1:207" x14ac:dyDescent="0.15">
      <c r="D248" s="282" t="s">
        <v>95</v>
      </c>
      <c r="F248" s="26" t="s">
        <v>341</v>
      </c>
      <c r="G248" s="263">
        <f ca="1">-IF(G7&gt;SAP_Leadsheet!$E$21,0,G237*SAP_Leadsheet!$E$71)</f>
        <v>0</v>
      </c>
      <c r="H248" s="263">
        <f ca="1">-IF(H7&gt;SAP_Leadsheet!$E$21,0,H237*SAP_Leadsheet!$E$71)</f>
        <v>0</v>
      </c>
      <c r="I248" s="263">
        <f ca="1">-IF(I7&gt;SAP_Leadsheet!$E$21,0,I237*SAP_Leadsheet!$E$71)</f>
        <v>0</v>
      </c>
      <c r="J248" s="263">
        <f ca="1">-IF(J7&gt;SAP_Leadsheet!$E$21,0,J237*SAP_Leadsheet!$E$71)</f>
        <v>0</v>
      </c>
      <c r="K248" s="263">
        <f ca="1">-IF(K7&gt;SAP_Leadsheet!$E$21,0,K237*SAP_Leadsheet!$E$71)</f>
        <v>0</v>
      </c>
      <c r="L248" s="263">
        <f ca="1">-IF(L7&gt;SAP_Leadsheet!$E$21,0,L237*SAP_Leadsheet!$E$71)</f>
        <v>0</v>
      </c>
      <c r="M248" s="263">
        <f ca="1">-IF(M7&gt;SAP_Leadsheet!$E$21,0,M237*SAP_Leadsheet!$E$71)</f>
        <v>0</v>
      </c>
      <c r="N248" s="263">
        <f ca="1">-IF(N7&gt;SAP_Leadsheet!$E$21,0,N237*SAP_Leadsheet!$E$71)</f>
        <v>0</v>
      </c>
      <c r="O248" s="263">
        <f ca="1">-IF(O7&gt;SAP_Leadsheet!$E$21,0,O237*SAP_Leadsheet!$E$71)</f>
        <v>0</v>
      </c>
      <c r="P248" s="263">
        <f ca="1">-IF(P7&gt;SAP_Leadsheet!$E$21,0,P237*SAP_Leadsheet!$E$71)</f>
        <v>0</v>
      </c>
      <c r="Q248" s="263">
        <f ca="1">-IF(Q7&gt;SAP_Leadsheet!$E$21,0,Q237*SAP_Leadsheet!$E$71)</f>
        <v>0</v>
      </c>
      <c r="R248" s="263">
        <f ca="1">-IF(R7&gt;SAP_Leadsheet!$E$21,0,R237*SAP_Leadsheet!$E$71)</f>
        <v>0</v>
      </c>
      <c r="S248" s="263">
        <f ca="1">-IF(S7&gt;SAP_Leadsheet!$E$21,0,S237*SAP_Leadsheet!$E$71)</f>
        <v>0</v>
      </c>
      <c r="T248" s="263">
        <f ca="1">-IF(T7&gt;SAP_Leadsheet!$E$21,0,T237*SAP_Leadsheet!$E$71)</f>
        <v>0</v>
      </c>
      <c r="U248" s="263">
        <f ca="1">-IF(U7&gt;SAP_Leadsheet!$E$21,0,U237*SAP_Leadsheet!$E$71)</f>
        <v>0</v>
      </c>
      <c r="V248" s="263">
        <f ca="1">-IF(V7&gt;SAP_Leadsheet!$E$21,0,V237*SAP_Leadsheet!$E$71)</f>
        <v>0</v>
      </c>
      <c r="W248" s="263">
        <f ca="1">-IF(W7&gt;SAP_Leadsheet!$E$21,0,W237*SAP_Leadsheet!$E$71)</f>
        <v>0</v>
      </c>
      <c r="X248" s="263">
        <f ca="1">-IF(X7&gt;SAP_Leadsheet!$E$21,0,X237*SAP_Leadsheet!$E$71)</f>
        <v>0</v>
      </c>
      <c r="Y248" s="263">
        <f ca="1">-IF(Y7&gt;SAP_Leadsheet!$E$21,0,Y237*SAP_Leadsheet!$E$71)</f>
        <v>0</v>
      </c>
      <c r="Z248" s="263">
        <f ca="1">-IF(Z7&gt;SAP_Leadsheet!$E$21,0,Z237*SAP_Leadsheet!$E$71)</f>
        <v>0</v>
      </c>
      <c r="AA248" s="263">
        <f ca="1">-IF(AA7&gt;SAP_Leadsheet!$E$21,0,AA237*SAP_Leadsheet!$E$71)</f>
        <v>0</v>
      </c>
      <c r="AB248" s="263">
        <f ca="1">-IF(AB7&gt;SAP_Leadsheet!$E$21,0,AB237*SAP_Leadsheet!$E$71)</f>
        <v>0</v>
      </c>
      <c r="AC248" s="263">
        <f ca="1">-IF(AC7&gt;SAP_Leadsheet!$E$21,0,AC237*SAP_Leadsheet!$E$71)</f>
        <v>0</v>
      </c>
      <c r="AD248" s="263">
        <f ca="1">-IF(AD7&gt;SAP_Leadsheet!$E$21,0,AD237*SAP_Leadsheet!$E$71)</f>
        <v>0</v>
      </c>
      <c r="AE248" s="263">
        <f ca="1">-IF(AE7&gt;SAP_Leadsheet!$E$21,0,AE237*SAP_Leadsheet!$E$71)</f>
        <v>0</v>
      </c>
      <c r="AF248" s="263">
        <f ca="1">-IF(AF7&gt;SAP_Leadsheet!$E$21,0,AF237*SAP_Leadsheet!$E$71)</f>
        <v>0</v>
      </c>
      <c r="AG248" s="263">
        <f ca="1">-IF(AG7&gt;SAP_Leadsheet!$E$21,0,AG237*SAP_Leadsheet!$E$71)</f>
        <v>0</v>
      </c>
      <c r="AH248" s="263">
        <f ca="1">-IF(AH7&gt;SAP_Leadsheet!$E$21,0,AH237*SAP_Leadsheet!$E$71)</f>
        <v>0</v>
      </c>
      <c r="AI248" s="263">
        <f ca="1">-IF(AI7&gt;SAP_Leadsheet!$E$21,0,AI237*SAP_Leadsheet!$E$71)</f>
        <v>0</v>
      </c>
      <c r="AJ248" s="263">
        <f ca="1">-IF(AJ7&gt;SAP_Leadsheet!$E$21,0,AJ237*SAP_Leadsheet!$E$71)</f>
        <v>0</v>
      </c>
      <c r="AK248" s="263">
        <f ca="1">-IF(AK7&gt;SAP_Leadsheet!$E$21,0,AK237*SAP_Leadsheet!$E$71)</f>
        <v>0</v>
      </c>
      <c r="AL248" s="263">
        <f ca="1">-IF(AL7&gt;SAP_Leadsheet!$E$21,0,AL237*SAP_Leadsheet!$E$71)</f>
        <v>0</v>
      </c>
      <c r="AM248" s="263">
        <f ca="1">-IF(AM7&gt;SAP_Leadsheet!$E$21,0,AM237*SAP_Leadsheet!$E$71)</f>
        <v>0</v>
      </c>
      <c r="AN248" s="263">
        <f ca="1">-IF(AN7&gt;SAP_Leadsheet!$E$21,0,AN237*SAP_Leadsheet!$E$71)</f>
        <v>0</v>
      </c>
      <c r="AO248" s="263">
        <f ca="1">-IF(AO7&gt;SAP_Leadsheet!$E$21,0,AO237*SAP_Leadsheet!$E$71)</f>
        <v>0</v>
      </c>
      <c r="AP248" s="263">
        <f ca="1">-IF(AP7&gt;SAP_Leadsheet!$E$21,0,AP237*SAP_Leadsheet!$E$71)</f>
        <v>0</v>
      </c>
      <c r="AQ248" s="263">
        <f ca="1">-IF(AQ7&gt;SAP_Leadsheet!$E$21,0,AQ237*SAP_Leadsheet!$E$71)</f>
        <v>0</v>
      </c>
      <c r="AR248" s="263">
        <f ca="1">-IF(AR7&gt;SAP_Leadsheet!$E$21,0,AR237*SAP_Leadsheet!$E$71)</f>
        <v>0</v>
      </c>
      <c r="AS248" s="263">
        <f ca="1">-IF(AS7&gt;SAP_Leadsheet!$E$21,0,AS237*SAP_Leadsheet!$E$71)</f>
        <v>0</v>
      </c>
      <c r="AT248" s="263">
        <f ca="1">-IF(AT7&gt;SAP_Leadsheet!$E$21,0,AT237*SAP_Leadsheet!$E$71)</f>
        <v>0</v>
      </c>
      <c r="AU248" s="263">
        <f ca="1">-IF(AU7&gt;SAP_Leadsheet!$E$21,0,AU237*SAP_Leadsheet!$E$71)</f>
        <v>0</v>
      </c>
      <c r="AV248" s="263">
        <f ca="1">-IF(AV7&gt;SAP_Leadsheet!$E$21,0,AV237*SAP_Leadsheet!$E$71)</f>
        <v>0</v>
      </c>
      <c r="AW248" s="263">
        <f ca="1">-IF(AW7&gt;SAP_Leadsheet!$E$21,0,AW237*SAP_Leadsheet!$E$71)</f>
        <v>0</v>
      </c>
      <c r="AX248" s="263">
        <f ca="1">-IF(AX7&gt;SAP_Leadsheet!$E$21,0,AX237*SAP_Leadsheet!$E$71)</f>
        <v>0</v>
      </c>
      <c r="AY248" s="263">
        <f ca="1">-IF(AY7&gt;SAP_Leadsheet!$E$21,0,AY237*SAP_Leadsheet!$E$71)</f>
        <v>0</v>
      </c>
      <c r="AZ248" s="263">
        <f ca="1">-IF(AZ7&gt;SAP_Leadsheet!$E$21,0,AZ237*SAP_Leadsheet!$E$71)</f>
        <v>0</v>
      </c>
      <c r="BA248" s="263">
        <f ca="1">-IF(BA7&gt;SAP_Leadsheet!$E$21,0,BA237*SAP_Leadsheet!$E$71)</f>
        <v>0</v>
      </c>
      <c r="BB248" s="263">
        <f ca="1">-IF(BB7&gt;SAP_Leadsheet!$E$21,0,BB237*SAP_Leadsheet!$E$71)</f>
        <v>0</v>
      </c>
      <c r="BC248" s="263">
        <f ca="1">-IF(BC7&gt;SAP_Leadsheet!$E$21,0,BC237*SAP_Leadsheet!$E$71)</f>
        <v>0</v>
      </c>
      <c r="BD248" s="263">
        <f ca="1">-IF(BD7&gt;SAP_Leadsheet!$E$21,0,BD237*SAP_Leadsheet!$E$71)</f>
        <v>0</v>
      </c>
      <c r="BE248" s="263">
        <f ca="1">-IF(BE7&gt;SAP_Leadsheet!$E$21,0,BE237*SAP_Leadsheet!$E$71)</f>
        <v>0</v>
      </c>
      <c r="BF248" s="263">
        <f ca="1">-IF(BF7&gt;SAP_Leadsheet!$E$21,0,BF237*SAP_Leadsheet!$E$71)</f>
        <v>0</v>
      </c>
      <c r="BG248" s="263">
        <f ca="1">-IF(BG7&gt;SAP_Leadsheet!$E$21,0,BG237*SAP_Leadsheet!$E$71)</f>
        <v>0</v>
      </c>
      <c r="BH248" s="263">
        <f ca="1">-IF(BH7&gt;SAP_Leadsheet!$E$21,0,BH237*SAP_Leadsheet!$E$71)</f>
        <v>0</v>
      </c>
      <c r="BI248" s="263">
        <f ca="1">-IF(BI7&gt;SAP_Leadsheet!$E$21,0,BI237*SAP_Leadsheet!$E$71)</f>
        <v>0</v>
      </c>
      <c r="BJ248" s="263">
        <f ca="1">-IF(BJ7&gt;SAP_Leadsheet!$E$21,0,BJ237*SAP_Leadsheet!$E$71)</f>
        <v>0</v>
      </c>
      <c r="BK248" s="263">
        <f ca="1">-IF(BK7&gt;SAP_Leadsheet!$E$21,0,BK237*SAP_Leadsheet!$E$71)</f>
        <v>0</v>
      </c>
      <c r="BL248" s="263">
        <f ca="1">-IF(BL7&gt;SAP_Leadsheet!$E$21,0,BL237*SAP_Leadsheet!$E$71)</f>
        <v>0</v>
      </c>
      <c r="BM248" s="263">
        <f ca="1">-IF(BM7&gt;SAP_Leadsheet!$E$21,0,BM237*SAP_Leadsheet!$E$71)</f>
        <v>0</v>
      </c>
      <c r="BN248" s="263">
        <f ca="1">-IF(BN7&gt;SAP_Leadsheet!$E$21,0,BN237*SAP_Leadsheet!$E$71)</f>
        <v>0</v>
      </c>
      <c r="BO248" s="263"/>
      <c r="BP248" s="263"/>
      <c r="BQ248" s="263"/>
      <c r="BR248" s="263"/>
      <c r="BS248" s="263"/>
      <c r="BT248" s="263"/>
      <c r="BU248" s="263"/>
      <c r="BV248" s="263"/>
      <c r="BW248" s="263"/>
      <c r="BX248" s="263"/>
      <c r="BY248" s="263"/>
      <c r="BZ248" s="263"/>
      <c r="CA248" s="263"/>
      <c r="CB248" s="263"/>
      <c r="CC248" s="263"/>
      <c r="CD248" s="263"/>
      <c r="CE248" s="263"/>
      <c r="CF248" s="263"/>
      <c r="CG248" s="263"/>
      <c r="CH248" s="263"/>
      <c r="CI248" s="263"/>
      <c r="CJ248" s="263"/>
      <c r="CK248" s="263"/>
      <c r="CL248" s="263"/>
      <c r="CM248" s="263"/>
      <c r="CN248" s="263"/>
      <c r="CO248" s="263"/>
      <c r="CP248" s="263"/>
      <c r="CQ248" s="263"/>
      <c r="CR248" s="263"/>
      <c r="CS248" s="263"/>
      <c r="CT248" s="263"/>
      <c r="CU248" s="263"/>
      <c r="CV248" s="263"/>
      <c r="CW248" s="263"/>
      <c r="CX248" s="263"/>
      <c r="CY248" s="263"/>
      <c r="CZ248" s="263"/>
      <c r="DA248" s="263"/>
      <c r="DB248" s="263"/>
      <c r="DC248" s="263"/>
      <c r="DD248" s="263"/>
      <c r="DE248" s="263"/>
      <c r="DF248" s="263"/>
      <c r="DG248" s="263"/>
      <c r="DH248" s="263"/>
      <c r="DI248" s="263"/>
      <c r="DJ248" s="263"/>
      <c r="DK248" s="263"/>
      <c r="DL248" s="263"/>
      <c r="DM248" s="263"/>
      <c r="DN248" s="263"/>
      <c r="DO248" s="263"/>
      <c r="DP248" s="263"/>
      <c r="DQ248" s="263"/>
      <c r="DR248" s="263"/>
      <c r="DS248" s="263"/>
      <c r="DT248" s="263"/>
      <c r="DU248" s="263"/>
      <c r="DV248" s="263"/>
      <c r="DW248" s="263"/>
      <c r="DX248" s="263"/>
      <c r="DY248" s="263"/>
      <c r="DZ248" s="263"/>
      <c r="EA248" s="263"/>
      <c r="EB248" s="263"/>
      <c r="EC248" s="263"/>
      <c r="ED248" s="263"/>
      <c r="EE248" s="263"/>
      <c r="EF248" s="263"/>
      <c r="EG248" s="263"/>
      <c r="EH248" s="263"/>
      <c r="EI248" s="263"/>
      <c r="EJ248" s="263"/>
      <c r="EK248" s="263"/>
      <c r="EL248" s="263"/>
      <c r="EM248" s="263"/>
      <c r="EN248" s="263"/>
      <c r="EO248" s="263"/>
      <c r="EP248" s="263"/>
      <c r="EQ248" s="263"/>
      <c r="ER248" s="263"/>
      <c r="ES248" s="263"/>
      <c r="ET248" s="263"/>
      <c r="EU248" s="263"/>
      <c r="EV248" s="263"/>
      <c r="EW248" s="263"/>
      <c r="EX248" s="263"/>
      <c r="EY248" s="263"/>
      <c r="EZ248" s="263"/>
      <c r="FA248" s="263"/>
      <c r="FB248" s="263"/>
      <c r="FC248" s="263"/>
      <c r="FD248" s="263"/>
      <c r="FE248" s="263"/>
      <c r="FF248" s="263"/>
      <c r="FG248" s="263"/>
      <c r="FH248" s="263"/>
      <c r="FI248" s="263"/>
      <c r="FJ248" s="263"/>
      <c r="FK248" s="263"/>
      <c r="FL248" s="263"/>
      <c r="FM248" s="263"/>
      <c r="FN248" s="263"/>
      <c r="FO248" s="263"/>
      <c r="FP248" s="263"/>
      <c r="FQ248" s="263"/>
      <c r="FR248" s="263"/>
      <c r="FS248" s="263"/>
      <c r="FT248" s="263"/>
      <c r="FU248" s="263"/>
      <c r="FV248" s="263"/>
      <c r="FW248" s="263"/>
      <c r="FX248" s="263"/>
      <c r="FY248" s="263"/>
      <c r="FZ248" s="263"/>
      <c r="GA248" s="263"/>
      <c r="GB248" s="263"/>
      <c r="GC248" s="263"/>
      <c r="GD248" s="263"/>
      <c r="GE248" s="263"/>
      <c r="GF248" s="263"/>
      <c r="GG248" s="263"/>
      <c r="GH248" s="263"/>
      <c r="GI248" s="263"/>
      <c r="GJ248" s="263"/>
      <c r="GK248" s="263"/>
      <c r="GL248" s="263"/>
      <c r="GM248" s="263"/>
      <c r="GN248" s="263"/>
      <c r="GO248" s="263"/>
      <c r="GP248" s="263"/>
      <c r="GQ248" s="263"/>
      <c r="GR248" s="263"/>
      <c r="GS248" s="263"/>
      <c r="GT248" s="263"/>
      <c r="GU248" s="263"/>
      <c r="GV248" s="263"/>
      <c r="GW248" s="263"/>
      <c r="GX248" s="263"/>
      <c r="GY248" s="263"/>
    </row>
    <row r="249" spans="1:207" x14ac:dyDescent="0.15">
      <c r="D249" s="282" t="s">
        <v>400</v>
      </c>
      <c r="F249" s="26" t="s">
        <v>341</v>
      </c>
      <c r="G249" s="263">
        <f>IF(SAP_Leadsheet!$E$21&lt;G7,0,SAP_Leadsheet!$E$72*(-G185-SUM(SAP_Spreadsheet!G186:G194)))</f>
        <v>0</v>
      </c>
      <c r="H249" s="263">
        <f ca="1">-IF(SAP_Leadsheet!$E$21&lt;H7,0,SAP_Leadsheet!$E$72*(-H185+SUM(SAP_Spreadsheet!G185:G193)-SUM(SAP_Spreadsheet!H186:H194)))</f>
        <v>0</v>
      </c>
      <c r="I249" s="263">
        <f ca="1">-IF(SAP_Leadsheet!$E$21&lt;I7,0,SAP_Leadsheet!$E$72*(-I185+SUM(SAP_Spreadsheet!H185:H193)-SUM(SAP_Spreadsheet!I186:I194)))</f>
        <v>0</v>
      </c>
      <c r="J249" s="263">
        <f ca="1">-IF(SAP_Leadsheet!$E$21&lt;J7,0,SAP_Leadsheet!$E$72*(-J185+SUM(SAP_Spreadsheet!I185:I193)-SUM(SAP_Spreadsheet!J186:J194)))</f>
        <v>0</v>
      </c>
      <c r="K249" s="263">
        <f ca="1">-IF(SAP_Leadsheet!$E$21&lt;K7,0,SAP_Leadsheet!$E$72*(-K185+SUM(SAP_Spreadsheet!J185:J193)-SUM(SAP_Spreadsheet!K186:K194)))</f>
        <v>0</v>
      </c>
      <c r="L249" s="263">
        <f ca="1">-IF(SAP_Leadsheet!$E$21&lt;L7,0,SAP_Leadsheet!$E$72*(-L185+SUM(SAP_Spreadsheet!K185:K193)-SUM(SAP_Spreadsheet!L186:L194)))</f>
        <v>0</v>
      </c>
      <c r="M249" s="263">
        <f ca="1">-IF(SAP_Leadsheet!$E$21&lt;M7,0,SAP_Leadsheet!$E$72*(-M185+SUM(SAP_Spreadsheet!L185:L193)-SUM(SAP_Spreadsheet!M186:M194)))</f>
        <v>0</v>
      </c>
      <c r="N249" s="263">
        <f ca="1">-IF(SAP_Leadsheet!$E$21&lt;N7,0,SAP_Leadsheet!$E$72*(-N185+SUM(SAP_Spreadsheet!M185:M193)-SUM(SAP_Spreadsheet!N186:N194)))</f>
        <v>0</v>
      </c>
      <c r="O249" s="263">
        <f ca="1">-IF(SAP_Leadsheet!$E$21&lt;O7,0,SAP_Leadsheet!$E$72*(-O185+SUM(SAP_Spreadsheet!N185:N193)-SUM(SAP_Spreadsheet!O186:O194)))</f>
        <v>0</v>
      </c>
      <c r="P249" s="263">
        <f ca="1">-IF(SAP_Leadsheet!$E$21&lt;P7,0,SAP_Leadsheet!$E$72*(-P185+SUM(SAP_Spreadsheet!O185:O193)-SUM(SAP_Spreadsheet!P186:P194)))</f>
        <v>0</v>
      </c>
      <c r="Q249" s="263">
        <f ca="1">-IF(SAP_Leadsheet!$E$21&lt;Q7,0,SAP_Leadsheet!$E$72*(-Q185+SUM(SAP_Spreadsheet!P185:P193)-SUM(SAP_Spreadsheet!Q186:Q194)))</f>
        <v>0</v>
      </c>
      <c r="R249" s="263">
        <f ca="1">-IF(SAP_Leadsheet!$E$21&lt;R7,0,SAP_Leadsheet!$E$72*(-R185+SUM(SAP_Spreadsheet!Q185:Q193)-SUM(SAP_Spreadsheet!R186:R194)))</f>
        <v>0</v>
      </c>
      <c r="S249" s="263">
        <f ca="1">-IF(SAP_Leadsheet!$E$21&lt;S7,0,SAP_Leadsheet!$E$72*(-S185+SUM(SAP_Spreadsheet!R185:R193)-SUM(SAP_Spreadsheet!S186:S194)))</f>
        <v>0</v>
      </c>
      <c r="T249" s="263">
        <f ca="1">-IF(SAP_Leadsheet!$E$21&lt;T7,0,SAP_Leadsheet!$E$72*(-T185+SUM(SAP_Spreadsheet!S185:S193)-SUM(SAP_Spreadsheet!T186:T194)))</f>
        <v>0</v>
      </c>
      <c r="U249" s="263">
        <f ca="1">-IF(SAP_Leadsheet!$E$21&lt;U7,0,SAP_Leadsheet!$E$72*(-U185+SUM(SAP_Spreadsheet!T185:T193)-SUM(SAP_Spreadsheet!U186:U194)))</f>
        <v>0</v>
      </c>
      <c r="V249" s="263">
        <f ca="1">-IF(SAP_Leadsheet!$E$21&lt;V7,0,SAP_Leadsheet!$E$72*(-V185+SUM(SAP_Spreadsheet!U185:U193)-SUM(SAP_Spreadsheet!V186:V194)))</f>
        <v>0</v>
      </c>
      <c r="W249" s="263">
        <f ca="1">-IF(SAP_Leadsheet!$E$21&lt;W7,0,SAP_Leadsheet!$E$72*(-W185+SUM(SAP_Spreadsheet!V185:V193)-SUM(SAP_Spreadsheet!W186:W194)))</f>
        <v>0</v>
      </c>
      <c r="X249" s="263">
        <f ca="1">-IF(SAP_Leadsheet!$E$21&lt;X7,0,SAP_Leadsheet!$E$72*(-X185+SUM(SAP_Spreadsheet!W185:W193)-SUM(SAP_Spreadsheet!X186:X194)))</f>
        <v>0</v>
      </c>
      <c r="Y249" s="263">
        <f ca="1">-IF(SAP_Leadsheet!$E$21&lt;Y7,0,SAP_Leadsheet!$E$72*(-Y185+SUM(SAP_Spreadsheet!X185:X193)-SUM(SAP_Spreadsheet!Y186:Y194)))</f>
        <v>0</v>
      </c>
      <c r="Z249" s="263">
        <f ca="1">-IF(SAP_Leadsheet!$E$21&lt;Z7,0,SAP_Leadsheet!$E$72*(-Z185+SUM(SAP_Spreadsheet!Y185:Y193)-SUM(SAP_Spreadsheet!Z186:Z194)))</f>
        <v>0</v>
      </c>
      <c r="AA249" s="263">
        <f ca="1">-IF(SAP_Leadsheet!$E$21&lt;AA7,0,SAP_Leadsheet!$E$72*(-AA185+SUM(SAP_Spreadsheet!Z185:Z193)-SUM(SAP_Spreadsheet!AA186:AA194)))</f>
        <v>0</v>
      </c>
      <c r="AB249" s="263">
        <f ca="1">-IF(SAP_Leadsheet!$E$21&lt;AB7,0,SAP_Leadsheet!$E$72*(-AB185+SUM(SAP_Spreadsheet!AA185:AA193)-SUM(SAP_Spreadsheet!AB186:AB194)))</f>
        <v>0</v>
      </c>
      <c r="AC249" s="263">
        <f ca="1">-IF(SAP_Leadsheet!$E$21&lt;AC7,0,SAP_Leadsheet!$E$72*(-AC185+SUM(SAP_Spreadsheet!AB185:AB193)-SUM(SAP_Spreadsheet!AC186:AC194)))</f>
        <v>0</v>
      </c>
      <c r="AD249" s="263">
        <f ca="1">-IF(SAP_Leadsheet!$E$21&lt;AD7,0,SAP_Leadsheet!$E$72*(-AD185+SUM(SAP_Spreadsheet!AC185:AC193)-SUM(SAP_Spreadsheet!AD186:AD194)))</f>
        <v>0</v>
      </c>
      <c r="AE249" s="263">
        <f ca="1">-IF(SAP_Leadsheet!$E$21&lt;AE7,0,SAP_Leadsheet!$E$72*(-AE185+SUM(SAP_Spreadsheet!AD185:AD193)-SUM(SAP_Spreadsheet!AE186:AE194)))</f>
        <v>0</v>
      </c>
      <c r="AF249" s="263">
        <f ca="1">-IF(SAP_Leadsheet!$E$21&lt;AF7,0,SAP_Leadsheet!$E$72*(-AF185+SUM(SAP_Spreadsheet!AE185:AE193)-SUM(SAP_Spreadsheet!AF186:AF194)))</f>
        <v>0</v>
      </c>
      <c r="AG249" s="263">
        <f ca="1">-IF(SAP_Leadsheet!$E$21&lt;AG7,0,SAP_Leadsheet!$E$72*(-AG185+SUM(SAP_Spreadsheet!AF185:AF193)-SUM(SAP_Spreadsheet!AG186:AG194)))</f>
        <v>0</v>
      </c>
      <c r="AH249" s="263">
        <f ca="1">-IF(SAP_Leadsheet!$E$21&lt;AH7,0,SAP_Leadsheet!$E$72*(-AH185+SUM(SAP_Spreadsheet!AG185:AG193)-SUM(SAP_Spreadsheet!AH186:AH194)))</f>
        <v>0</v>
      </c>
      <c r="AI249" s="263">
        <f ca="1">-IF(SAP_Leadsheet!$E$21&lt;AI7,0,SAP_Leadsheet!$E$72*(-AI185+SUM(SAP_Spreadsheet!AH185:AH193)-SUM(SAP_Spreadsheet!AI186:AI194)))</f>
        <v>0</v>
      </c>
      <c r="AJ249" s="263">
        <f ca="1">-IF(SAP_Leadsheet!$E$21&lt;AJ7,0,SAP_Leadsheet!$E$72*(-AJ185+SUM(SAP_Spreadsheet!AI185:AI193)-SUM(SAP_Spreadsheet!AJ186:AJ194)))</f>
        <v>0</v>
      </c>
      <c r="AK249" s="263">
        <f ca="1">-IF(SAP_Leadsheet!$E$21&lt;AK7,0,SAP_Leadsheet!$E$72*(-AK185+SUM(SAP_Spreadsheet!AJ185:AJ193)-SUM(SAP_Spreadsheet!AK186:AK194)))</f>
        <v>0</v>
      </c>
      <c r="AL249" s="263">
        <f ca="1">-IF(SAP_Leadsheet!$E$21&lt;AL7,0,SAP_Leadsheet!$E$72*(-AL185+SUM(SAP_Spreadsheet!AK185:AK193)-SUM(SAP_Spreadsheet!AL186:AL194)))</f>
        <v>0</v>
      </c>
      <c r="AM249" s="263">
        <f ca="1">-IF(SAP_Leadsheet!$E$21&lt;AM7,0,SAP_Leadsheet!$E$72*(-AM185+SUM(SAP_Spreadsheet!AL185:AL193)-SUM(SAP_Spreadsheet!AM186:AM194)))</f>
        <v>0</v>
      </c>
      <c r="AN249" s="263">
        <f ca="1">-IF(SAP_Leadsheet!$E$21&lt;AN7,0,SAP_Leadsheet!$E$72*(-AN185+SUM(SAP_Spreadsheet!AM185:AM193)-SUM(SAP_Spreadsheet!AN186:AN194)))</f>
        <v>0</v>
      </c>
      <c r="AO249" s="263">
        <f ca="1">-IF(SAP_Leadsheet!$E$21&lt;AO7,0,SAP_Leadsheet!$E$72*(-AO185+SUM(SAP_Spreadsheet!AN185:AN193)-SUM(SAP_Spreadsheet!AO186:AO194)))</f>
        <v>0</v>
      </c>
      <c r="AP249" s="263">
        <f ca="1">-IF(SAP_Leadsheet!$E$21&lt;AP7,0,SAP_Leadsheet!$E$72*(-AP185+SUM(SAP_Spreadsheet!AO185:AO193)-SUM(SAP_Spreadsheet!AP186:AP194)))</f>
        <v>0</v>
      </c>
      <c r="AQ249" s="263">
        <f ca="1">-IF(SAP_Leadsheet!$E$21&lt;AQ7,0,SAP_Leadsheet!$E$72*(-AQ185+SUM(SAP_Spreadsheet!AP185:AP193)-SUM(SAP_Spreadsheet!AQ186:AQ194)))</f>
        <v>0</v>
      </c>
      <c r="AR249" s="263">
        <f ca="1">-IF(SAP_Leadsheet!$E$21&lt;AR7,0,SAP_Leadsheet!$E$72*(-AR185+SUM(SAP_Spreadsheet!AQ185:AQ193)-SUM(SAP_Spreadsheet!AR186:AR194)))</f>
        <v>0</v>
      </c>
      <c r="AS249" s="263">
        <f ca="1">-IF(SAP_Leadsheet!$E$21&lt;AS7,0,SAP_Leadsheet!$E$72*(-AS185+SUM(SAP_Spreadsheet!AR185:AR193)-SUM(SAP_Spreadsheet!AS186:AS194)))</f>
        <v>0</v>
      </c>
      <c r="AT249" s="263">
        <f ca="1">-IF(SAP_Leadsheet!$E$21&lt;AT7,0,SAP_Leadsheet!$E$72*(-AT185+SUM(SAP_Spreadsheet!AS185:AS193)-SUM(SAP_Spreadsheet!AT186:AT194)))</f>
        <v>0</v>
      </c>
      <c r="AU249" s="263">
        <f ca="1">-IF(SAP_Leadsheet!$E$21&lt;AU7,0,SAP_Leadsheet!$E$72*(-AU185+SUM(SAP_Spreadsheet!AT185:AT193)-SUM(SAP_Spreadsheet!AU186:AU194)))</f>
        <v>0</v>
      </c>
      <c r="AV249" s="263">
        <f ca="1">-IF(SAP_Leadsheet!$E$21&lt;AV7,0,SAP_Leadsheet!$E$72*(-AV185+SUM(SAP_Spreadsheet!AU185:AU193)-SUM(SAP_Spreadsheet!AV186:AV194)))</f>
        <v>0</v>
      </c>
      <c r="AW249" s="263">
        <f ca="1">-IF(SAP_Leadsheet!$E$21&lt;AW7,0,SAP_Leadsheet!$E$72*(-AW185+SUM(SAP_Spreadsheet!AV185:AV193)-SUM(SAP_Spreadsheet!AW186:AW194)))</f>
        <v>0</v>
      </c>
      <c r="AX249" s="263">
        <f ca="1">-IF(SAP_Leadsheet!$E$21&lt;AX7,0,SAP_Leadsheet!$E$72*(-AX185+SUM(SAP_Spreadsheet!AW185:AW193)-SUM(SAP_Spreadsheet!AX186:AX194)))</f>
        <v>0</v>
      </c>
      <c r="AY249" s="263">
        <f ca="1">-IF(SAP_Leadsheet!$E$21&lt;AY7,0,SAP_Leadsheet!$E$72*(-AY185+SUM(SAP_Spreadsheet!AX185:AX193)-SUM(SAP_Spreadsheet!AY186:AY194)))</f>
        <v>0</v>
      </c>
      <c r="AZ249" s="263">
        <f ca="1">-IF(SAP_Leadsheet!$E$21&lt;AZ7,0,SAP_Leadsheet!$E$72*(-AZ185+SUM(SAP_Spreadsheet!AY185:AY193)-SUM(SAP_Spreadsheet!AZ186:AZ194)))</f>
        <v>0</v>
      </c>
      <c r="BA249" s="263">
        <f ca="1">-IF(SAP_Leadsheet!$E$21&lt;BA7,0,SAP_Leadsheet!$E$72*(-BA185+SUM(SAP_Spreadsheet!AZ185:AZ193)-SUM(SAP_Spreadsheet!BA186:BA194)))</f>
        <v>0</v>
      </c>
      <c r="BB249" s="263">
        <f ca="1">-IF(SAP_Leadsheet!$E$21&lt;BB7,0,SAP_Leadsheet!$E$72*(-BB185+SUM(SAP_Spreadsheet!BA185:BA193)-SUM(SAP_Spreadsheet!BB186:BB194)))</f>
        <v>0</v>
      </c>
      <c r="BC249" s="263">
        <f ca="1">-IF(SAP_Leadsheet!$E$21&lt;BC7,0,SAP_Leadsheet!$E$72*(-BC185+SUM(SAP_Spreadsheet!BB185:BB193)-SUM(SAP_Spreadsheet!BC186:BC194)))</f>
        <v>0</v>
      </c>
      <c r="BD249" s="263">
        <f ca="1">-IF(SAP_Leadsheet!$E$21&lt;BD7,0,SAP_Leadsheet!$E$72*(-BD185+SUM(SAP_Spreadsheet!BC185:BC193)-SUM(SAP_Spreadsheet!BD186:BD194)))</f>
        <v>0</v>
      </c>
      <c r="BE249" s="263">
        <f ca="1">-IF(SAP_Leadsheet!$E$21&lt;BE7,0,SAP_Leadsheet!$E$72*(-BE185+SUM(SAP_Spreadsheet!BD185:BD193)-SUM(SAP_Spreadsheet!BE186:BE194)))</f>
        <v>0</v>
      </c>
      <c r="BF249" s="263">
        <f ca="1">-IF(SAP_Leadsheet!$E$21&lt;BF7,0,SAP_Leadsheet!$E$72*(-BF185+SUM(SAP_Spreadsheet!BE185:BE193)-SUM(SAP_Spreadsheet!BF186:BF194)))</f>
        <v>0</v>
      </c>
      <c r="BG249" s="263">
        <f ca="1">-IF(SAP_Leadsheet!$E$21&lt;BG7,0,SAP_Leadsheet!$E$72*(-BG185+SUM(SAP_Spreadsheet!BF185:BF193)-SUM(SAP_Spreadsheet!BG186:BG194)))</f>
        <v>0</v>
      </c>
      <c r="BH249" s="263">
        <f ca="1">-IF(SAP_Leadsheet!$E$21&lt;BH7,0,SAP_Leadsheet!$E$72*(-BH185+SUM(SAP_Spreadsheet!BG185:BG193)-SUM(SAP_Spreadsheet!BH186:BH194)))</f>
        <v>0</v>
      </c>
      <c r="BI249" s="263">
        <f ca="1">-IF(SAP_Leadsheet!$E$21&lt;BI7,0,SAP_Leadsheet!$E$72*(-BI185+SUM(SAP_Spreadsheet!BH185:BH193)-SUM(SAP_Spreadsheet!BI186:BI194)))</f>
        <v>0</v>
      </c>
      <c r="BJ249" s="263">
        <f ca="1">-IF(SAP_Leadsheet!$E$21&lt;BJ7,0,SAP_Leadsheet!$E$72*(-BJ185+SUM(SAP_Spreadsheet!BI185:BI193)-SUM(SAP_Spreadsheet!BJ186:BJ194)))</f>
        <v>0</v>
      </c>
      <c r="BK249" s="263">
        <f ca="1">-IF(SAP_Leadsheet!$E$21&lt;BK7,0,SAP_Leadsheet!$E$72*(-BK185+SUM(SAP_Spreadsheet!BJ185:BJ193)-SUM(SAP_Spreadsheet!BK186:BK194)))</f>
        <v>0</v>
      </c>
      <c r="BL249" s="263">
        <f ca="1">-IF(SAP_Leadsheet!$E$21&lt;BL7,0,SAP_Leadsheet!$E$72*(-BL185+SUM(SAP_Spreadsheet!BK185:BK193)-SUM(SAP_Spreadsheet!BL186:BL194)))</f>
        <v>0</v>
      </c>
      <c r="BM249" s="263">
        <f ca="1">-IF(SAP_Leadsheet!$E$21&lt;BM7,0,SAP_Leadsheet!$E$72*(-BM185+SUM(SAP_Spreadsheet!BL185:BL193)-SUM(SAP_Spreadsheet!BM186:BM194)))</f>
        <v>0</v>
      </c>
      <c r="BN249" s="263">
        <f ca="1">-IF(SAP_Leadsheet!$E$21&lt;BN7,0,SAP_Leadsheet!$E$72*(-BN185+SUM(SAP_Spreadsheet!BM185:BM193)-SUM(SAP_Spreadsheet!BN186:BN194)))</f>
        <v>0</v>
      </c>
      <c r="BO249" s="263"/>
      <c r="BP249" s="263"/>
      <c r="BQ249" s="263"/>
      <c r="BR249" s="263"/>
      <c r="BS249" s="263"/>
      <c r="BT249" s="263"/>
      <c r="BU249" s="263"/>
      <c r="BV249" s="263"/>
      <c r="BW249" s="263"/>
      <c r="BX249" s="263"/>
      <c r="BY249" s="263"/>
      <c r="BZ249" s="263"/>
      <c r="CA249" s="263"/>
      <c r="CB249" s="263"/>
      <c r="CC249" s="263"/>
      <c r="CD249" s="263"/>
      <c r="CE249" s="263"/>
      <c r="CF249" s="263"/>
      <c r="CG249" s="263"/>
      <c r="CH249" s="263"/>
      <c r="CI249" s="263"/>
      <c r="CJ249" s="263"/>
      <c r="CK249" s="263"/>
      <c r="CL249" s="263"/>
      <c r="CM249" s="263"/>
      <c r="CN249" s="263"/>
      <c r="CO249" s="263"/>
      <c r="CP249" s="263"/>
      <c r="CQ249" s="263"/>
      <c r="CR249" s="263"/>
      <c r="CS249" s="263"/>
      <c r="CT249" s="263"/>
      <c r="CU249" s="263"/>
      <c r="CV249" s="263"/>
      <c r="CW249" s="263"/>
      <c r="CX249" s="263"/>
      <c r="CY249" s="263"/>
      <c r="CZ249" s="263"/>
      <c r="DA249" s="263"/>
      <c r="DB249" s="263"/>
      <c r="DC249" s="263"/>
      <c r="DD249" s="263"/>
      <c r="DE249" s="263"/>
      <c r="DF249" s="263"/>
      <c r="DG249" s="263"/>
      <c r="DH249" s="263"/>
      <c r="DI249" s="263"/>
      <c r="DJ249" s="263"/>
      <c r="DK249" s="263"/>
      <c r="DL249" s="263"/>
      <c r="DM249" s="263"/>
      <c r="DN249" s="263"/>
      <c r="DO249" s="263"/>
      <c r="DP249" s="263"/>
      <c r="DQ249" s="263"/>
      <c r="DR249" s="263"/>
      <c r="DS249" s="263"/>
      <c r="DT249" s="263"/>
      <c r="DU249" s="263"/>
      <c r="DV249" s="263"/>
      <c r="DW249" s="263"/>
      <c r="DX249" s="263"/>
      <c r="DY249" s="263"/>
      <c r="DZ249" s="263"/>
      <c r="EA249" s="263"/>
      <c r="EB249" s="263"/>
      <c r="EC249" s="263"/>
      <c r="ED249" s="263"/>
      <c r="EE249" s="263"/>
      <c r="EF249" s="263"/>
      <c r="EG249" s="263"/>
      <c r="EH249" s="263"/>
      <c r="EI249" s="263"/>
      <c r="EJ249" s="263"/>
      <c r="EK249" s="263"/>
      <c r="EL249" s="263"/>
      <c r="EM249" s="263"/>
      <c r="EN249" s="263"/>
      <c r="EO249" s="263"/>
      <c r="EP249" s="263"/>
      <c r="EQ249" s="263"/>
      <c r="ER249" s="263"/>
      <c r="ES249" s="263"/>
      <c r="ET249" s="263"/>
      <c r="EU249" s="263"/>
      <c r="EV249" s="263"/>
      <c r="EW249" s="263"/>
      <c r="EX249" s="263"/>
      <c r="EY249" s="263"/>
      <c r="EZ249" s="263"/>
      <c r="FA249" s="263"/>
      <c r="FB249" s="263"/>
      <c r="FC249" s="263"/>
      <c r="FD249" s="263"/>
      <c r="FE249" s="263"/>
      <c r="FF249" s="263"/>
      <c r="FG249" s="263"/>
      <c r="FH249" s="263"/>
      <c r="FI249" s="263"/>
      <c r="FJ249" s="263"/>
      <c r="FK249" s="263"/>
      <c r="FL249" s="263"/>
      <c r="FM249" s="263"/>
      <c r="FN249" s="263"/>
      <c r="FO249" s="263"/>
      <c r="FP249" s="263"/>
      <c r="FQ249" s="263"/>
      <c r="FR249" s="263"/>
      <c r="FS249" s="263"/>
      <c r="FT249" s="263"/>
      <c r="FU249" s="263"/>
      <c r="FV249" s="263"/>
      <c r="FW249" s="263"/>
      <c r="FX249" s="263"/>
      <c r="FY249" s="263"/>
      <c r="FZ249" s="263"/>
      <c r="GA249" s="263"/>
      <c r="GB249" s="263"/>
      <c r="GC249" s="263"/>
      <c r="GD249" s="263"/>
      <c r="GE249" s="263"/>
      <c r="GF249" s="263"/>
      <c r="GG249" s="263"/>
      <c r="GH249" s="263"/>
      <c r="GI249" s="263"/>
      <c r="GJ249" s="263"/>
      <c r="GK249" s="263"/>
      <c r="GL249" s="263"/>
      <c r="GM249" s="263"/>
      <c r="GN249" s="263"/>
      <c r="GO249" s="263"/>
      <c r="GP249" s="263"/>
      <c r="GQ249" s="263"/>
      <c r="GR249" s="263"/>
      <c r="GS249" s="263"/>
      <c r="GT249" s="263"/>
      <c r="GU249" s="263"/>
      <c r="GV249" s="263"/>
      <c r="GW249" s="263"/>
      <c r="GX249" s="263"/>
      <c r="GY249" s="263"/>
    </row>
    <row r="250" spans="1:207" x14ac:dyDescent="0.15">
      <c r="D250" s="26" t="s">
        <v>99</v>
      </c>
      <c r="F250" s="26" t="s">
        <v>341</v>
      </c>
      <c r="G250" s="263">
        <f>-SAP_Leadsheet!E73</f>
        <v>0</v>
      </c>
      <c r="H250" s="263"/>
      <c r="I250" s="263"/>
      <c r="J250" s="263"/>
      <c r="K250" s="263"/>
      <c r="L250" s="263"/>
      <c r="M250" s="263"/>
      <c r="N250" s="263"/>
      <c r="O250" s="263"/>
      <c r="P250" s="263"/>
      <c r="Q250" s="263"/>
      <c r="R250" s="263"/>
      <c r="S250" s="263"/>
      <c r="T250" s="263"/>
      <c r="U250" s="263"/>
      <c r="V250" s="263"/>
      <c r="W250" s="263"/>
      <c r="X250" s="263"/>
      <c r="Y250" s="263"/>
      <c r="Z250" s="263"/>
      <c r="AA250" s="263"/>
      <c r="AB250" s="263"/>
      <c r="AC250" s="263"/>
      <c r="AD250" s="263"/>
      <c r="AE250" s="263"/>
      <c r="AF250" s="263"/>
      <c r="AG250" s="263"/>
      <c r="AH250" s="263"/>
      <c r="AI250" s="263"/>
      <c r="AJ250" s="263"/>
      <c r="AK250" s="263"/>
      <c r="AL250" s="263"/>
      <c r="AM250" s="263"/>
      <c r="AN250" s="263"/>
      <c r="AO250" s="263"/>
      <c r="AP250" s="263"/>
      <c r="AQ250" s="263"/>
      <c r="AR250" s="263"/>
      <c r="AS250" s="263"/>
      <c r="AT250" s="263"/>
      <c r="AU250" s="263"/>
      <c r="AV250" s="263"/>
      <c r="AW250" s="263"/>
      <c r="AX250" s="263"/>
      <c r="AY250" s="263"/>
      <c r="AZ250" s="263"/>
      <c r="BA250" s="263"/>
      <c r="BB250" s="263"/>
      <c r="BC250" s="263"/>
      <c r="BD250" s="263"/>
      <c r="BE250" s="263"/>
      <c r="BF250" s="263"/>
      <c r="BG250" s="263"/>
      <c r="BH250" s="263"/>
      <c r="BI250" s="263"/>
      <c r="BJ250" s="263"/>
      <c r="BK250" s="263"/>
      <c r="BL250" s="263"/>
      <c r="BM250" s="263"/>
      <c r="BN250" s="263"/>
      <c r="BO250" s="263"/>
      <c r="BP250" s="263"/>
      <c r="BQ250" s="263"/>
      <c r="BR250" s="263"/>
      <c r="BS250" s="263"/>
      <c r="BT250" s="263"/>
      <c r="BU250" s="263"/>
      <c r="BV250" s="263"/>
      <c r="BW250" s="263"/>
      <c r="BX250" s="263"/>
      <c r="BY250" s="263"/>
      <c r="BZ250" s="263"/>
      <c r="CA250" s="263"/>
      <c r="CB250" s="263"/>
      <c r="CC250" s="263"/>
      <c r="CD250" s="263"/>
      <c r="CE250" s="263"/>
      <c r="CF250" s="263"/>
      <c r="CG250" s="263"/>
      <c r="CH250" s="263"/>
      <c r="CI250" s="263"/>
      <c r="CJ250" s="263"/>
      <c r="CK250" s="263"/>
      <c r="CL250" s="263"/>
      <c r="CM250" s="263"/>
      <c r="CN250" s="263"/>
      <c r="CO250" s="263"/>
      <c r="CP250" s="263"/>
      <c r="CQ250" s="263"/>
      <c r="CR250" s="263"/>
      <c r="CS250" s="263"/>
      <c r="CT250" s="263"/>
      <c r="CU250" s="263"/>
      <c r="CV250" s="263"/>
      <c r="CW250" s="263"/>
      <c r="CX250" s="263"/>
      <c r="CY250" s="263"/>
      <c r="CZ250" s="263"/>
      <c r="DA250" s="263"/>
      <c r="DB250" s="263"/>
      <c r="DC250" s="263"/>
      <c r="DD250" s="263"/>
      <c r="DE250" s="263"/>
      <c r="DF250" s="263"/>
      <c r="DG250" s="263"/>
      <c r="DH250" s="263"/>
      <c r="DI250" s="263"/>
      <c r="DJ250" s="263"/>
      <c r="DK250" s="263"/>
      <c r="DL250" s="263"/>
      <c r="DM250" s="263"/>
      <c r="DN250" s="263"/>
      <c r="DO250" s="263"/>
      <c r="DP250" s="263"/>
      <c r="DQ250" s="263"/>
      <c r="DR250" s="263"/>
      <c r="DS250" s="263"/>
      <c r="DT250" s="263"/>
      <c r="DU250" s="263"/>
      <c r="DV250" s="263"/>
      <c r="DW250" s="263"/>
      <c r="DX250" s="263"/>
      <c r="DY250" s="263"/>
      <c r="DZ250" s="263"/>
      <c r="EA250" s="263"/>
      <c r="EB250" s="263"/>
      <c r="EC250" s="263"/>
      <c r="ED250" s="263"/>
      <c r="EE250" s="263"/>
      <c r="EF250" s="263"/>
      <c r="EG250" s="263"/>
      <c r="EH250" s="263"/>
      <c r="EI250" s="263"/>
      <c r="EJ250" s="263"/>
      <c r="EK250" s="263"/>
      <c r="EL250" s="263"/>
      <c r="EM250" s="263"/>
      <c r="EN250" s="263"/>
      <c r="EO250" s="263"/>
      <c r="EP250" s="263"/>
      <c r="EQ250" s="263"/>
      <c r="ER250" s="263"/>
      <c r="ES250" s="263"/>
      <c r="ET250" s="263"/>
      <c r="EU250" s="263"/>
      <c r="EV250" s="263"/>
      <c r="EW250" s="263"/>
      <c r="EX250" s="263"/>
      <c r="EY250" s="263"/>
      <c r="EZ250" s="263"/>
      <c r="FA250" s="263"/>
      <c r="FB250" s="263"/>
      <c r="FC250" s="263"/>
      <c r="FD250" s="263"/>
      <c r="FE250" s="263"/>
      <c r="FF250" s="263"/>
      <c r="FG250" s="263"/>
      <c r="FH250" s="263"/>
      <c r="FI250" s="263"/>
      <c r="FJ250" s="263"/>
      <c r="FK250" s="263"/>
      <c r="FL250" s="263"/>
      <c r="FM250" s="263"/>
      <c r="FN250" s="263"/>
      <c r="FO250" s="263"/>
      <c r="FP250" s="263"/>
      <c r="FQ250" s="263"/>
      <c r="FR250" s="263"/>
      <c r="FS250" s="263"/>
      <c r="FT250" s="263"/>
      <c r="FU250" s="263"/>
      <c r="FV250" s="263"/>
      <c r="FW250" s="263"/>
      <c r="FX250" s="263"/>
      <c r="FY250" s="263"/>
      <c r="FZ250" s="263"/>
      <c r="GA250" s="263"/>
      <c r="GB250" s="263"/>
      <c r="GC250" s="263"/>
      <c r="GD250" s="263"/>
      <c r="GE250" s="263"/>
      <c r="GF250" s="263"/>
      <c r="GG250" s="263"/>
      <c r="GH250" s="263"/>
      <c r="GI250" s="263"/>
      <c r="GJ250" s="263"/>
      <c r="GK250" s="263"/>
      <c r="GL250" s="263"/>
      <c r="GM250" s="263"/>
      <c r="GN250" s="263"/>
      <c r="GO250" s="263"/>
      <c r="GP250" s="263"/>
      <c r="GQ250" s="263"/>
      <c r="GR250" s="263"/>
      <c r="GS250" s="263"/>
      <c r="GT250" s="263"/>
      <c r="GU250" s="263"/>
      <c r="GV250" s="263"/>
      <c r="GW250" s="263"/>
      <c r="GX250" s="263"/>
      <c r="GY250" s="263"/>
    </row>
    <row r="251" spans="1:207" x14ac:dyDescent="0.15">
      <c r="D251" s="26" t="s">
        <v>101</v>
      </c>
      <c r="F251" s="26" t="s">
        <v>341</v>
      </c>
      <c r="G251" s="263"/>
      <c r="H251" s="263"/>
      <c r="I251" s="263"/>
      <c r="J251" s="263"/>
      <c r="K251" s="263"/>
      <c r="L251" s="263"/>
      <c r="M251" s="263"/>
      <c r="N251" s="263"/>
      <c r="O251" s="263"/>
      <c r="P251" s="263"/>
      <c r="Q251" s="263"/>
      <c r="R251" s="263"/>
      <c r="S251" s="263"/>
      <c r="T251" s="263"/>
      <c r="U251" s="263"/>
      <c r="V251" s="263"/>
      <c r="W251" s="263"/>
      <c r="X251" s="263"/>
      <c r="Y251" s="263"/>
      <c r="Z251" s="263"/>
      <c r="AA251" s="263"/>
      <c r="AB251" s="263"/>
      <c r="AC251" s="263"/>
      <c r="AD251" s="263"/>
      <c r="AE251" s="263"/>
      <c r="AF251" s="263"/>
      <c r="AG251" s="263"/>
      <c r="AH251" s="263"/>
      <c r="AI251" s="263"/>
      <c r="AJ251" s="263"/>
      <c r="AK251" s="263"/>
      <c r="AL251" s="263"/>
      <c r="AM251" s="263"/>
      <c r="AN251" s="263"/>
      <c r="AO251" s="263"/>
      <c r="AP251" s="263"/>
      <c r="AQ251" s="263"/>
      <c r="AR251" s="263"/>
      <c r="AS251" s="263"/>
      <c r="AT251" s="263"/>
      <c r="AU251" s="263"/>
      <c r="AV251" s="263"/>
      <c r="AW251" s="263"/>
      <c r="AX251" s="263"/>
      <c r="AY251" s="263"/>
      <c r="AZ251" s="263"/>
      <c r="BA251" s="263"/>
      <c r="BB251" s="263"/>
      <c r="BC251" s="263"/>
      <c r="BD251" s="263"/>
      <c r="BE251" s="263"/>
      <c r="BF251" s="263"/>
      <c r="BG251" s="263"/>
      <c r="BH251" s="263"/>
      <c r="BI251" s="263"/>
      <c r="BJ251" s="263"/>
      <c r="BK251" s="263"/>
      <c r="BL251" s="263"/>
      <c r="BM251" s="263"/>
      <c r="BN251" s="263"/>
      <c r="BO251" s="263"/>
      <c r="BP251" s="263"/>
      <c r="BQ251" s="263"/>
      <c r="BR251" s="263"/>
      <c r="BS251" s="263"/>
      <c r="BT251" s="263"/>
      <c r="BU251" s="263"/>
      <c r="BV251" s="263"/>
      <c r="BW251" s="263"/>
      <c r="BX251" s="263"/>
      <c r="BY251" s="263"/>
      <c r="BZ251" s="263"/>
      <c r="CA251" s="263"/>
      <c r="CB251" s="263"/>
      <c r="CC251" s="263"/>
      <c r="CD251" s="263"/>
      <c r="CE251" s="263"/>
      <c r="CF251" s="263"/>
      <c r="CG251" s="263"/>
      <c r="CH251" s="263"/>
      <c r="CI251" s="263"/>
      <c r="CJ251" s="263"/>
      <c r="CK251" s="263"/>
      <c r="CL251" s="263"/>
      <c r="CM251" s="263"/>
      <c r="CN251" s="263"/>
      <c r="CO251" s="263"/>
      <c r="CP251" s="263"/>
      <c r="CQ251" s="263"/>
      <c r="CR251" s="263"/>
      <c r="CS251" s="263"/>
      <c r="CT251" s="263"/>
      <c r="CU251" s="263"/>
      <c r="CV251" s="263"/>
      <c r="CW251" s="263"/>
      <c r="CX251" s="263"/>
      <c r="CY251" s="263"/>
      <c r="CZ251" s="263"/>
      <c r="DA251" s="263"/>
      <c r="DB251" s="263"/>
      <c r="DC251" s="263"/>
      <c r="DD251" s="263"/>
      <c r="DE251" s="263"/>
      <c r="DF251" s="263"/>
      <c r="DG251" s="263"/>
      <c r="DH251" s="263"/>
      <c r="DI251" s="263"/>
      <c r="DJ251" s="263"/>
      <c r="DK251" s="263"/>
      <c r="DL251" s="263"/>
      <c r="DM251" s="263"/>
      <c r="DN251" s="263"/>
      <c r="DO251" s="263"/>
      <c r="DP251" s="263"/>
      <c r="DQ251" s="263"/>
      <c r="DR251" s="263"/>
      <c r="DS251" s="263"/>
      <c r="DT251" s="263"/>
      <c r="DU251" s="263"/>
      <c r="DV251" s="263"/>
      <c r="DW251" s="263"/>
      <c r="DX251" s="263"/>
      <c r="DY251" s="263"/>
      <c r="DZ251" s="263"/>
      <c r="EA251" s="263"/>
      <c r="EB251" s="263"/>
      <c r="EC251" s="263"/>
      <c r="ED251" s="263"/>
      <c r="EE251" s="263"/>
      <c r="EF251" s="263"/>
      <c r="EG251" s="263"/>
      <c r="EH251" s="263"/>
      <c r="EI251" s="263"/>
      <c r="EJ251" s="263"/>
      <c r="EK251" s="263"/>
      <c r="EL251" s="263"/>
      <c r="EM251" s="263"/>
      <c r="EN251" s="263"/>
      <c r="EO251" s="263"/>
      <c r="EP251" s="263"/>
      <c r="EQ251" s="263"/>
      <c r="ER251" s="263"/>
      <c r="ES251" s="263"/>
      <c r="ET251" s="263"/>
      <c r="EU251" s="263"/>
      <c r="EV251" s="263"/>
      <c r="EW251" s="263"/>
      <c r="EX251" s="263"/>
      <c r="EY251" s="263"/>
      <c r="EZ251" s="263"/>
      <c r="FA251" s="263"/>
      <c r="FB251" s="263"/>
      <c r="FC251" s="263"/>
      <c r="FD251" s="263"/>
      <c r="FE251" s="263"/>
      <c r="FF251" s="263"/>
      <c r="FG251" s="263"/>
      <c r="FH251" s="263"/>
      <c r="FI251" s="263"/>
      <c r="FJ251" s="263"/>
      <c r="FK251" s="263"/>
      <c r="FL251" s="263"/>
      <c r="FM251" s="263"/>
      <c r="FN251" s="263"/>
      <c r="FO251" s="263"/>
      <c r="FP251" s="263"/>
      <c r="FQ251" s="263"/>
      <c r="FR251" s="263"/>
      <c r="FS251" s="263"/>
      <c r="FT251" s="263"/>
      <c r="FU251" s="263"/>
      <c r="FV251" s="263"/>
      <c r="FW251" s="263"/>
      <c r="FX251" s="263"/>
      <c r="FY251" s="263"/>
      <c r="FZ251" s="263"/>
      <c r="GA251" s="263"/>
      <c r="GB251" s="263"/>
      <c r="GC251" s="263"/>
      <c r="GD251" s="263"/>
      <c r="GE251" s="263"/>
      <c r="GF251" s="263"/>
      <c r="GG251" s="263"/>
      <c r="GH251" s="263"/>
      <c r="GI251" s="263"/>
      <c r="GJ251" s="263"/>
      <c r="GK251" s="263"/>
      <c r="GL251" s="263"/>
      <c r="GM251" s="263"/>
      <c r="GN251" s="263"/>
      <c r="GO251" s="263"/>
      <c r="GP251" s="263"/>
      <c r="GQ251" s="263"/>
      <c r="GR251" s="263"/>
      <c r="GS251" s="263"/>
      <c r="GT251" s="263"/>
      <c r="GU251" s="263"/>
      <c r="GV251" s="263"/>
      <c r="GW251" s="263"/>
      <c r="GX251" s="263"/>
      <c r="GY251" s="263"/>
    </row>
    <row r="252" spans="1:207" x14ac:dyDescent="0.15">
      <c r="D252" s="23" t="s">
        <v>401</v>
      </c>
      <c r="E252" s="23"/>
      <c r="F252" s="23" t="s">
        <v>341</v>
      </c>
      <c r="G252" s="262">
        <f t="shared" ref="G252:BN252" ca="1" si="35">SUM(G244:G251)</f>
        <v>-7.7842844833439341E-3</v>
      </c>
      <c r="H252" s="262">
        <f t="shared" ca="1" si="35"/>
        <v>-7.9010270226368695E-3</v>
      </c>
      <c r="I252" s="262">
        <f t="shared" ca="1" si="35"/>
        <v>-9.4352121829038189E-3</v>
      </c>
      <c r="J252" s="262">
        <f t="shared" ca="1" si="35"/>
        <v>-1.0113012733360653E-2</v>
      </c>
      <c r="K252" s="262">
        <f t="shared" ca="1" si="35"/>
        <v>-2.2772416449748148E-4</v>
      </c>
      <c r="L252" s="262">
        <f t="shared" ca="1" si="35"/>
        <v>-2.325049488194211E-2</v>
      </c>
      <c r="M252" s="262">
        <f t="shared" ca="1" si="35"/>
        <v>0</v>
      </c>
      <c r="N252" s="262">
        <f t="shared" ca="1" si="35"/>
        <v>0</v>
      </c>
      <c r="O252" s="262">
        <f t="shared" ca="1" si="35"/>
        <v>0</v>
      </c>
      <c r="P252" s="262">
        <f t="shared" ca="1" si="35"/>
        <v>0</v>
      </c>
      <c r="Q252" s="262">
        <f t="shared" ca="1" si="35"/>
        <v>0</v>
      </c>
      <c r="R252" s="262">
        <f t="shared" ca="1" si="35"/>
        <v>0</v>
      </c>
      <c r="S252" s="262">
        <f t="shared" ca="1" si="35"/>
        <v>0</v>
      </c>
      <c r="T252" s="262">
        <f t="shared" ca="1" si="35"/>
        <v>0</v>
      </c>
      <c r="U252" s="262">
        <f t="shared" ca="1" si="35"/>
        <v>-2.8125661374246404E-2</v>
      </c>
      <c r="V252" s="262">
        <f t="shared" ca="1" si="35"/>
        <v>-7.0565423890178649E-4</v>
      </c>
      <c r="W252" s="262">
        <f t="shared" ca="1" si="35"/>
        <v>-4.78018003287409E-4</v>
      </c>
      <c r="X252" s="262">
        <f t="shared" ca="1" si="35"/>
        <v>0</v>
      </c>
      <c r="Y252" s="262">
        <f t="shared" ca="1" si="35"/>
        <v>0</v>
      </c>
      <c r="Z252" s="262">
        <f t="shared" ca="1" si="35"/>
        <v>0</v>
      </c>
      <c r="AA252" s="262">
        <f t="shared" ca="1" si="35"/>
        <v>0</v>
      </c>
      <c r="AB252" s="262">
        <f t="shared" ca="1" si="35"/>
        <v>0</v>
      </c>
      <c r="AC252" s="262">
        <f t="shared" ca="1" si="35"/>
        <v>0</v>
      </c>
      <c r="AD252" s="262">
        <f t="shared" ca="1" si="35"/>
        <v>-2.998618661168485E-2</v>
      </c>
      <c r="AE252" s="262">
        <f t="shared" ca="1" si="35"/>
        <v>0</v>
      </c>
      <c r="AF252" s="262">
        <f t="shared" ca="1" si="35"/>
        <v>0</v>
      </c>
      <c r="AG252" s="262">
        <f t="shared" ca="1" si="35"/>
        <v>0</v>
      </c>
      <c r="AH252" s="262">
        <f t="shared" ca="1" si="35"/>
        <v>0</v>
      </c>
      <c r="AI252" s="262">
        <f t="shared" ca="1" si="35"/>
        <v>0</v>
      </c>
      <c r="AJ252" s="262">
        <f t="shared" ca="1" si="35"/>
        <v>0</v>
      </c>
      <c r="AK252" s="262">
        <f t="shared" ca="1" si="35"/>
        <v>0</v>
      </c>
      <c r="AL252" s="262">
        <f t="shared" ca="1" si="35"/>
        <v>0</v>
      </c>
      <c r="AM252" s="262">
        <f t="shared" ca="1" si="35"/>
        <v>0</v>
      </c>
      <c r="AN252" s="262">
        <f t="shared" ca="1" si="35"/>
        <v>0</v>
      </c>
      <c r="AO252" s="262">
        <f t="shared" ca="1" si="35"/>
        <v>0</v>
      </c>
      <c r="AP252" s="262">
        <f t="shared" ca="1" si="35"/>
        <v>0</v>
      </c>
      <c r="AQ252" s="262">
        <f t="shared" ca="1" si="35"/>
        <v>0</v>
      </c>
      <c r="AR252" s="262">
        <f t="shared" ca="1" si="35"/>
        <v>0</v>
      </c>
      <c r="AS252" s="262">
        <f t="shared" ca="1" si="35"/>
        <v>0</v>
      </c>
      <c r="AT252" s="262">
        <f t="shared" ca="1" si="35"/>
        <v>0</v>
      </c>
      <c r="AU252" s="262">
        <f t="shared" ca="1" si="35"/>
        <v>0</v>
      </c>
      <c r="AV252" s="262">
        <f t="shared" ca="1" si="35"/>
        <v>0</v>
      </c>
      <c r="AW252" s="262">
        <f t="shared" ca="1" si="35"/>
        <v>0</v>
      </c>
      <c r="AX252" s="262">
        <f t="shared" ca="1" si="35"/>
        <v>0</v>
      </c>
      <c r="AY252" s="262">
        <f t="shared" ca="1" si="35"/>
        <v>0</v>
      </c>
      <c r="AZ252" s="262">
        <f t="shared" ca="1" si="35"/>
        <v>0</v>
      </c>
      <c r="BA252" s="262">
        <f t="shared" ca="1" si="35"/>
        <v>0</v>
      </c>
      <c r="BB252" s="262">
        <f t="shared" ca="1" si="35"/>
        <v>0</v>
      </c>
      <c r="BC252" s="262">
        <f t="shared" ca="1" si="35"/>
        <v>0</v>
      </c>
      <c r="BD252" s="262">
        <f t="shared" ca="1" si="35"/>
        <v>0</v>
      </c>
      <c r="BE252" s="262">
        <f t="shared" ca="1" si="35"/>
        <v>0</v>
      </c>
      <c r="BF252" s="262">
        <f t="shared" ca="1" si="35"/>
        <v>0</v>
      </c>
      <c r="BG252" s="262">
        <f t="shared" ca="1" si="35"/>
        <v>0</v>
      </c>
      <c r="BH252" s="262">
        <f t="shared" ca="1" si="35"/>
        <v>0</v>
      </c>
      <c r="BI252" s="262">
        <f t="shared" ca="1" si="35"/>
        <v>0</v>
      </c>
      <c r="BJ252" s="262">
        <f t="shared" ca="1" si="35"/>
        <v>0</v>
      </c>
      <c r="BK252" s="262">
        <f t="shared" ca="1" si="35"/>
        <v>0</v>
      </c>
      <c r="BL252" s="262">
        <f t="shared" ca="1" si="35"/>
        <v>0</v>
      </c>
      <c r="BM252" s="262">
        <f t="shared" ca="1" si="35"/>
        <v>0</v>
      </c>
      <c r="BN252" s="262">
        <f t="shared" ca="1" si="35"/>
        <v>0</v>
      </c>
      <c r="BO252" s="263"/>
      <c r="BP252" s="263"/>
      <c r="BQ252" s="263"/>
      <c r="BR252" s="263"/>
      <c r="BS252" s="263"/>
      <c r="BT252" s="263"/>
      <c r="BU252" s="263"/>
      <c r="BV252" s="263"/>
      <c r="BW252" s="263"/>
      <c r="BX252" s="263"/>
      <c r="BY252" s="263"/>
      <c r="BZ252" s="263"/>
      <c r="CA252" s="263"/>
      <c r="CB252" s="263"/>
      <c r="CC252" s="263"/>
      <c r="CD252" s="263"/>
      <c r="CE252" s="263"/>
      <c r="CF252" s="263"/>
      <c r="CG252" s="263"/>
      <c r="CH252" s="263"/>
      <c r="CI252" s="263"/>
      <c r="CJ252" s="263"/>
      <c r="CK252" s="263"/>
      <c r="CL252" s="263"/>
      <c r="CM252" s="263"/>
      <c r="CN252" s="263"/>
      <c r="CO252" s="263"/>
      <c r="CP252" s="263"/>
      <c r="CQ252" s="263"/>
      <c r="CR252" s="263"/>
      <c r="CS252" s="263"/>
      <c r="CT252" s="263"/>
      <c r="CU252" s="263"/>
      <c r="CV252" s="263"/>
      <c r="CW252" s="263"/>
      <c r="CX252" s="263"/>
      <c r="CY252" s="263"/>
      <c r="CZ252" s="263"/>
      <c r="DA252" s="263"/>
      <c r="DB252" s="263"/>
      <c r="DC252" s="263"/>
      <c r="DD252" s="263"/>
      <c r="DE252" s="263"/>
      <c r="DF252" s="263"/>
      <c r="DG252" s="263"/>
      <c r="DH252" s="263"/>
      <c r="DI252" s="263"/>
      <c r="DJ252" s="263"/>
      <c r="DK252" s="263"/>
      <c r="DL252" s="263"/>
      <c r="DM252" s="263"/>
      <c r="DN252" s="263"/>
      <c r="DO252" s="263"/>
      <c r="DP252" s="263"/>
      <c r="DQ252" s="263"/>
      <c r="DR252" s="263"/>
      <c r="DS252" s="263"/>
      <c r="DT252" s="263"/>
      <c r="DU252" s="263"/>
      <c r="DV252" s="263"/>
      <c r="DW252" s="263"/>
      <c r="DX252" s="263"/>
      <c r="DY252" s="263"/>
      <c r="DZ252" s="263"/>
      <c r="EA252" s="263"/>
      <c r="EB252" s="263"/>
      <c r="EC252" s="263"/>
      <c r="ED252" s="263"/>
      <c r="EE252" s="263"/>
      <c r="EF252" s="263"/>
      <c r="EG252" s="263"/>
      <c r="EH252" s="263"/>
      <c r="EI252" s="263"/>
      <c r="EJ252" s="263"/>
      <c r="EK252" s="263"/>
      <c r="EL252" s="263"/>
      <c r="EM252" s="263"/>
      <c r="EN252" s="263"/>
      <c r="EO252" s="263"/>
      <c r="EP252" s="263"/>
      <c r="EQ252" s="263"/>
      <c r="ER252" s="263"/>
      <c r="ES252" s="263"/>
      <c r="ET252" s="263"/>
      <c r="EU252" s="263"/>
      <c r="EV252" s="263"/>
      <c r="EW252" s="263"/>
      <c r="EX252" s="263"/>
      <c r="EY252" s="263"/>
      <c r="EZ252" s="263"/>
      <c r="FA252" s="263"/>
      <c r="FB252" s="263"/>
      <c r="FC252" s="263"/>
      <c r="FD252" s="263"/>
      <c r="FE252" s="263"/>
      <c r="FF252" s="263"/>
      <c r="FG252" s="263"/>
      <c r="FH252" s="263"/>
      <c r="FI252" s="263"/>
      <c r="FJ252" s="263"/>
      <c r="FK252" s="263"/>
      <c r="FL252" s="263"/>
      <c r="FM252" s="263"/>
      <c r="FN252" s="263"/>
      <c r="FO252" s="263"/>
      <c r="FP252" s="263"/>
      <c r="FQ252" s="263"/>
      <c r="FR252" s="263"/>
      <c r="FS252" s="263"/>
      <c r="FT252" s="263"/>
      <c r="FU252" s="263"/>
      <c r="FV252" s="263"/>
      <c r="FW252" s="263"/>
      <c r="FX252" s="263"/>
      <c r="FY252" s="263"/>
      <c r="FZ252" s="263"/>
      <c r="GA252" s="263"/>
      <c r="GB252" s="263"/>
      <c r="GC252" s="263"/>
      <c r="GD252" s="263"/>
      <c r="GE252" s="263"/>
      <c r="GF252" s="263"/>
      <c r="GG252" s="263"/>
      <c r="GH252" s="263"/>
      <c r="GI252" s="263"/>
      <c r="GJ252" s="263"/>
      <c r="GK252" s="263"/>
      <c r="GL252" s="263"/>
      <c r="GM252" s="263"/>
      <c r="GN252" s="263"/>
      <c r="GO252" s="263"/>
      <c r="GP252" s="263"/>
      <c r="GQ252" s="263"/>
      <c r="GR252" s="263"/>
      <c r="GS252" s="263"/>
      <c r="GT252" s="263"/>
      <c r="GU252" s="263"/>
      <c r="GV252" s="263"/>
      <c r="GW252" s="263"/>
      <c r="GX252" s="263"/>
      <c r="GY252" s="263"/>
    </row>
    <row r="253" spans="1:207" x14ac:dyDescent="0.15">
      <c r="G253" s="263"/>
      <c r="H253" s="263"/>
      <c r="I253" s="263"/>
      <c r="J253" s="263"/>
      <c r="K253" s="263"/>
      <c r="L253" s="263"/>
      <c r="M253" s="263"/>
      <c r="N253" s="263"/>
      <c r="O253" s="263"/>
      <c r="P253" s="263"/>
      <c r="Q253" s="263"/>
      <c r="R253" s="263"/>
      <c r="S253" s="263"/>
      <c r="T253" s="263"/>
      <c r="U253" s="263"/>
      <c r="V253" s="263"/>
      <c r="W253" s="263"/>
      <c r="X253" s="263"/>
      <c r="Y253" s="263"/>
      <c r="Z253" s="263"/>
      <c r="AA253" s="263"/>
      <c r="AB253" s="263"/>
      <c r="AC253" s="263"/>
      <c r="AD253" s="263"/>
      <c r="AE253" s="263"/>
      <c r="AF253" s="263"/>
      <c r="AG253" s="263"/>
      <c r="AH253" s="263"/>
      <c r="AI253" s="263"/>
      <c r="AJ253" s="263"/>
      <c r="AK253" s="263"/>
      <c r="AL253" s="263"/>
      <c r="AM253" s="263"/>
      <c r="AN253" s="263"/>
      <c r="AO253" s="263"/>
      <c r="AP253" s="263"/>
      <c r="AQ253" s="263"/>
      <c r="AR253" s="263"/>
      <c r="AS253" s="263"/>
      <c r="AT253" s="263"/>
      <c r="AU253" s="263"/>
      <c r="AV253" s="263"/>
      <c r="AW253" s="263"/>
      <c r="AX253" s="263"/>
      <c r="AY253" s="263"/>
      <c r="AZ253" s="263"/>
      <c r="BA253" s="263"/>
      <c r="BB253" s="263"/>
      <c r="BC253" s="263"/>
      <c r="BD253" s="263"/>
      <c r="BE253" s="263"/>
      <c r="BF253" s="263"/>
      <c r="BG253" s="263"/>
      <c r="BH253" s="263"/>
      <c r="BI253" s="263"/>
      <c r="BJ253" s="263"/>
      <c r="BK253" s="263"/>
      <c r="BL253" s="263"/>
      <c r="BM253" s="263"/>
      <c r="BN253" s="263"/>
      <c r="BO253" s="263"/>
      <c r="BP253" s="263"/>
      <c r="BQ253" s="263"/>
      <c r="BR253" s="263"/>
      <c r="BS253" s="263"/>
      <c r="BT253" s="263"/>
      <c r="BU253" s="263"/>
      <c r="BV253" s="263"/>
      <c r="BW253" s="263"/>
      <c r="BX253" s="263"/>
      <c r="BY253" s="263"/>
      <c r="BZ253" s="263"/>
      <c r="CA253" s="263"/>
      <c r="CB253" s="263"/>
      <c r="CC253" s="263"/>
      <c r="CD253" s="263"/>
      <c r="CE253" s="263"/>
      <c r="CF253" s="263"/>
      <c r="CG253" s="263"/>
      <c r="CH253" s="263"/>
      <c r="CI253" s="263"/>
      <c r="CJ253" s="263"/>
      <c r="CK253" s="263"/>
      <c r="CL253" s="263"/>
      <c r="CM253" s="263"/>
      <c r="CN253" s="263"/>
      <c r="CO253" s="263"/>
      <c r="CP253" s="263"/>
      <c r="CQ253" s="263"/>
      <c r="CR253" s="263"/>
      <c r="CS253" s="263"/>
      <c r="CT253" s="263"/>
      <c r="CU253" s="263"/>
      <c r="CV253" s="263"/>
      <c r="CW253" s="263"/>
      <c r="CX253" s="263"/>
      <c r="CY253" s="263"/>
      <c r="CZ253" s="263"/>
      <c r="DA253" s="263"/>
      <c r="DB253" s="263"/>
      <c r="DC253" s="263"/>
      <c r="DD253" s="263"/>
      <c r="DE253" s="263"/>
      <c r="DF253" s="263"/>
      <c r="DG253" s="263"/>
      <c r="DH253" s="263"/>
      <c r="DI253" s="263"/>
      <c r="DJ253" s="263"/>
      <c r="DK253" s="263"/>
      <c r="DL253" s="263"/>
      <c r="DM253" s="263"/>
      <c r="DN253" s="263"/>
      <c r="DO253" s="263"/>
      <c r="DP253" s="263"/>
      <c r="DQ253" s="263"/>
      <c r="DR253" s="263"/>
      <c r="DS253" s="263"/>
      <c r="DT253" s="263"/>
      <c r="DU253" s="263"/>
      <c r="DV253" s="263"/>
      <c r="DW253" s="263"/>
      <c r="DX253" s="263"/>
      <c r="DY253" s="263"/>
      <c r="DZ253" s="263"/>
      <c r="EA253" s="263"/>
      <c r="EB253" s="263"/>
      <c r="EC253" s="263"/>
      <c r="ED253" s="263"/>
      <c r="EE253" s="263"/>
      <c r="EF253" s="263"/>
      <c r="EG253" s="263"/>
      <c r="EH253" s="263"/>
      <c r="EI253" s="263"/>
      <c r="EJ253" s="263"/>
      <c r="EK253" s="263"/>
      <c r="EL253" s="263"/>
      <c r="EM253" s="263"/>
      <c r="EN253" s="263"/>
      <c r="EO253" s="263"/>
      <c r="EP253" s="263"/>
      <c r="EQ253" s="263"/>
      <c r="ER253" s="263"/>
      <c r="ES253" s="263"/>
      <c r="ET253" s="263"/>
      <c r="EU253" s="263"/>
      <c r="EV253" s="263"/>
      <c r="EW253" s="263"/>
      <c r="EX253" s="263"/>
      <c r="EY253" s="263"/>
      <c r="EZ253" s="263"/>
      <c r="FA253" s="263"/>
      <c r="FB253" s="263"/>
      <c r="FC253" s="263"/>
      <c r="FD253" s="263"/>
      <c r="FE253" s="263"/>
      <c r="FF253" s="263"/>
      <c r="FG253" s="263"/>
      <c r="FH253" s="263"/>
      <c r="FI253" s="263"/>
      <c r="FJ253" s="263"/>
      <c r="FK253" s="263"/>
      <c r="FL253" s="263"/>
      <c r="FM253" s="263"/>
      <c r="FN253" s="263"/>
      <c r="FO253" s="263"/>
      <c r="FP253" s="263"/>
      <c r="FQ253" s="263"/>
      <c r="FR253" s="263"/>
      <c r="FS253" s="263"/>
      <c r="FT253" s="263"/>
      <c r="FU253" s="263"/>
      <c r="FV253" s="263"/>
      <c r="FW253" s="263"/>
      <c r="FX253" s="263"/>
      <c r="FY253" s="263"/>
      <c r="FZ253" s="263"/>
      <c r="GA253" s="263"/>
      <c r="GB253" s="263"/>
      <c r="GC253" s="263"/>
      <c r="GD253" s="263"/>
      <c r="GE253" s="263"/>
      <c r="GF253" s="263"/>
      <c r="GG253" s="263"/>
      <c r="GH253" s="263"/>
      <c r="GI253" s="263"/>
      <c r="GJ253" s="263"/>
      <c r="GK253" s="263"/>
      <c r="GL253" s="263"/>
      <c r="GM253" s="263"/>
      <c r="GN253" s="263"/>
      <c r="GO253" s="263"/>
      <c r="GP253" s="263"/>
      <c r="GQ253" s="263"/>
      <c r="GR253" s="263"/>
      <c r="GS253" s="263"/>
      <c r="GT253" s="263"/>
      <c r="GU253" s="263"/>
      <c r="GV253" s="263"/>
      <c r="GW253" s="263"/>
      <c r="GX253" s="263"/>
      <c r="GY253" s="263"/>
    </row>
    <row r="254" spans="1:207" x14ac:dyDescent="0.15">
      <c r="C254" s="23" t="s">
        <v>103</v>
      </c>
      <c r="D254" s="26" t="s">
        <v>104</v>
      </c>
      <c r="F254" s="26" t="s">
        <v>341</v>
      </c>
      <c r="G254" s="263">
        <f>-SAP_Leadsheet!$E$79/SAP_Leadsheet!E80/SAP_Leadsheet!E81</f>
        <v>-5.668976320402408E-2</v>
      </c>
      <c r="H254" s="263"/>
      <c r="I254" s="263"/>
      <c r="J254" s="263"/>
      <c r="K254" s="263"/>
      <c r="L254" s="263"/>
      <c r="M254" s="263"/>
      <c r="N254" s="263"/>
      <c r="O254" s="263"/>
      <c r="P254" s="263"/>
      <c r="Q254" s="263"/>
      <c r="R254" s="263"/>
      <c r="S254" s="263"/>
      <c r="T254" s="263"/>
      <c r="U254" s="263"/>
      <c r="V254" s="263"/>
      <c r="W254" s="263"/>
      <c r="X254" s="263"/>
      <c r="Y254" s="263"/>
      <c r="Z254" s="263"/>
      <c r="AA254" s="263"/>
      <c r="AB254" s="263"/>
      <c r="AC254" s="263"/>
      <c r="AD254" s="263"/>
      <c r="AE254" s="263"/>
      <c r="AF254" s="263"/>
      <c r="AG254" s="263"/>
      <c r="AH254" s="263"/>
      <c r="AI254" s="263"/>
      <c r="AJ254" s="263"/>
      <c r="AK254" s="263"/>
      <c r="AL254" s="263"/>
      <c r="AM254" s="263"/>
      <c r="AN254" s="263"/>
      <c r="AO254" s="263"/>
      <c r="AP254" s="263"/>
      <c r="AQ254" s="263"/>
      <c r="AR254" s="263"/>
      <c r="AS254" s="263"/>
      <c r="AT254" s="263"/>
      <c r="AU254" s="263"/>
      <c r="AV254" s="263"/>
      <c r="AW254" s="263"/>
      <c r="AX254" s="263"/>
      <c r="AY254" s="263"/>
      <c r="AZ254" s="263"/>
      <c r="BA254" s="263"/>
      <c r="BB254" s="263"/>
      <c r="BC254" s="263"/>
      <c r="BD254" s="263"/>
      <c r="BE254" s="263"/>
      <c r="BF254" s="263"/>
      <c r="BG254" s="263"/>
      <c r="BH254" s="263"/>
      <c r="BI254" s="263"/>
      <c r="BJ254" s="263"/>
      <c r="BK254" s="263"/>
      <c r="BL254" s="263"/>
      <c r="BM254" s="263"/>
      <c r="BN254" s="263"/>
      <c r="BO254" s="263"/>
      <c r="BP254" s="263"/>
      <c r="BQ254" s="263"/>
      <c r="BR254" s="263"/>
      <c r="BS254" s="263"/>
      <c r="BT254" s="263"/>
      <c r="BU254" s="263"/>
      <c r="BV254" s="263"/>
      <c r="BW254" s="263"/>
      <c r="BX254" s="263"/>
      <c r="BY254" s="263"/>
      <c r="BZ254" s="263"/>
      <c r="CA254" s="263"/>
      <c r="CB254" s="263"/>
      <c r="CC254" s="263"/>
      <c r="CD254" s="263"/>
      <c r="CE254" s="263"/>
      <c r="CF254" s="263"/>
      <c r="CG254" s="263"/>
      <c r="CH254" s="263"/>
      <c r="CI254" s="263"/>
      <c r="CJ254" s="263"/>
      <c r="CK254" s="263"/>
      <c r="CL254" s="263"/>
      <c r="CM254" s="263"/>
      <c r="CN254" s="263"/>
      <c r="CO254" s="263"/>
      <c r="CP254" s="263"/>
      <c r="CQ254" s="263"/>
      <c r="CR254" s="263"/>
      <c r="CS254" s="263"/>
      <c r="CT254" s="263"/>
      <c r="CU254" s="263"/>
      <c r="CV254" s="263"/>
      <c r="CW254" s="263"/>
      <c r="CX254" s="263"/>
      <c r="CY254" s="263"/>
      <c r="CZ254" s="263"/>
      <c r="DA254" s="263"/>
      <c r="DB254" s="263"/>
      <c r="DC254" s="263"/>
      <c r="DD254" s="263"/>
      <c r="DE254" s="263"/>
      <c r="DF254" s="263"/>
      <c r="DG254" s="263"/>
      <c r="DH254" s="263"/>
      <c r="DI254" s="263"/>
      <c r="DJ254" s="263"/>
      <c r="DK254" s="263"/>
      <c r="DL254" s="263"/>
      <c r="DM254" s="263"/>
      <c r="DN254" s="263"/>
      <c r="DO254" s="263"/>
      <c r="DP254" s="263"/>
      <c r="DQ254" s="263"/>
      <c r="DR254" s="263"/>
      <c r="DS254" s="263"/>
      <c r="DT254" s="263"/>
      <c r="DU254" s="263"/>
      <c r="DV254" s="263"/>
      <c r="DW254" s="263"/>
      <c r="DX254" s="263"/>
      <c r="DY254" s="263"/>
      <c r="DZ254" s="263"/>
      <c r="EA254" s="263"/>
      <c r="EB254" s="263"/>
      <c r="EC254" s="263"/>
      <c r="ED254" s="263"/>
      <c r="EE254" s="263"/>
      <c r="EF254" s="263"/>
      <c r="EG254" s="263"/>
      <c r="EH254" s="263"/>
      <c r="EI254" s="263"/>
      <c r="EJ254" s="263"/>
      <c r="EK254" s="263"/>
      <c r="EL254" s="263"/>
      <c r="EM254" s="263"/>
      <c r="EN254" s="263"/>
      <c r="EO254" s="263"/>
      <c r="EP254" s="263"/>
      <c r="EQ254" s="263"/>
      <c r="ER254" s="263"/>
      <c r="ES254" s="263"/>
      <c r="ET254" s="263"/>
      <c r="EU254" s="263"/>
      <c r="EV254" s="263"/>
      <c r="EW254" s="263"/>
      <c r="EX254" s="263"/>
      <c r="EY254" s="263"/>
      <c r="EZ254" s="263"/>
      <c r="FA254" s="263"/>
      <c r="FB254" s="263"/>
      <c r="FC254" s="263"/>
      <c r="FD254" s="263"/>
      <c r="FE254" s="263"/>
      <c r="FF254" s="263"/>
      <c r="FG254" s="263"/>
      <c r="FH254" s="263"/>
      <c r="FI254" s="263"/>
      <c r="FJ254" s="263"/>
      <c r="FK254" s="263"/>
      <c r="FL254" s="263"/>
      <c r="FM254" s="263"/>
      <c r="FN254" s="263"/>
      <c r="FO254" s="263"/>
      <c r="FP254" s="263"/>
      <c r="FQ254" s="263"/>
      <c r="FR254" s="263"/>
      <c r="FS254" s="263"/>
      <c r="FT254" s="263"/>
      <c r="FU254" s="263"/>
      <c r="FV254" s="263"/>
      <c r="FW254" s="263"/>
      <c r="FX254" s="263"/>
      <c r="FY254" s="263"/>
      <c r="FZ254" s="263"/>
      <c r="GA254" s="263"/>
      <c r="GB254" s="263"/>
      <c r="GC254" s="263"/>
      <c r="GD254" s="263"/>
      <c r="GE254" s="263"/>
      <c r="GF254" s="263"/>
      <c r="GG254" s="263"/>
      <c r="GH254" s="263"/>
      <c r="GI254" s="263"/>
      <c r="GJ254" s="263"/>
      <c r="GK254" s="263"/>
      <c r="GL254" s="263"/>
      <c r="GM254" s="263"/>
      <c r="GN254" s="263"/>
      <c r="GO254" s="263"/>
      <c r="GP254" s="263"/>
      <c r="GQ254" s="263"/>
      <c r="GR254" s="263"/>
      <c r="GS254" s="263"/>
      <c r="GT254" s="263"/>
      <c r="GU254" s="263"/>
      <c r="GV254" s="263"/>
      <c r="GW254" s="263"/>
      <c r="GX254" s="263"/>
      <c r="GY254" s="263"/>
    </row>
    <row r="255" spans="1:207" x14ac:dyDescent="0.15">
      <c r="C255" s="23"/>
      <c r="D255" s="26" t="s">
        <v>232</v>
      </c>
      <c r="F255" s="26" t="s">
        <v>341</v>
      </c>
      <c r="G255" s="263">
        <f>-SAP_Leadsheet!E82</f>
        <v>-4.0000000000000001E-3</v>
      </c>
      <c r="H255" s="263"/>
      <c r="I255" s="263"/>
      <c r="J255" s="263"/>
      <c r="K255" s="263"/>
      <c r="L255" s="263"/>
      <c r="M255" s="263"/>
      <c r="N255" s="263"/>
      <c r="O255" s="263"/>
      <c r="P255" s="263"/>
      <c r="Q255" s="263"/>
      <c r="R255" s="263"/>
      <c r="S255" s="263"/>
      <c r="T255" s="263"/>
      <c r="U255" s="263"/>
      <c r="V255" s="263"/>
      <c r="W255" s="263"/>
      <c r="X255" s="263"/>
      <c r="Y255" s="263"/>
      <c r="Z255" s="263"/>
      <c r="AA255" s="263"/>
      <c r="AB255" s="263"/>
      <c r="AC255" s="263"/>
      <c r="AD255" s="263"/>
      <c r="AE255" s="263"/>
      <c r="AF255" s="263"/>
      <c r="AG255" s="263"/>
      <c r="AH255" s="263"/>
      <c r="AI255" s="263"/>
      <c r="AJ255" s="263"/>
      <c r="AK255" s="263"/>
      <c r="AL255" s="263"/>
      <c r="AM255" s="263"/>
      <c r="AN255" s="263"/>
      <c r="AO255" s="263"/>
      <c r="AP255" s="263"/>
      <c r="AQ255" s="263"/>
      <c r="AR255" s="263"/>
      <c r="AS255" s="263"/>
      <c r="AT255" s="263"/>
      <c r="AU255" s="263"/>
      <c r="AV255" s="263"/>
      <c r="AW255" s="263"/>
      <c r="AX255" s="263"/>
      <c r="AY255" s="263"/>
      <c r="AZ255" s="263"/>
      <c r="BA255" s="263"/>
      <c r="BB255" s="263"/>
      <c r="BC255" s="263"/>
      <c r="BD255" s="263"/>
      <c r="BE255" s="263"/>
      <c r="BF255" s="263"/>
      <c r="BG255" s="263"/>
      <c r="BH255" s="263"/>
      <c r="BI255" s="263"/>
      <c r="BJ255" s="263"/>
      <c r="BK255" s="263"/>
      <c r="BL255" s="263"/>
      <c r="BM255" s="263"/>
      <c r="BN255" s="263"/>
      <c r="BO255" s="263"/>
      <c r="BP255" s="263"/>
      <c r="BQ255" s="263"/>
      <c r="BR255" s="263"/>
      <c r="BS255" s="263"/>
      <c r="BT255" s="263"/>
      <c r="BU255" s="263"/>
      <c r="BV255" s="263"/>
      <c r="BW255" s="263"/>
      <c r="BX255" s="263"/>
      <c r="BY255" s="263"/>
      <c r="BZ255" s="263"/>
      <c r="CA255" s="263"/>
      <c r="CB255" s="263"/>
      <c r="CC255" s="263"/>
      <c r="CD255" s="263"/>
      <c r="CE255" s="263"/>
      <c r="CF255" s="263"/>
      <c r="CG255" s="263"/>
      <c r="CH255" s="263"/>
      <c r="CI255" s="263"/>
      <c r="CJ255" s="263"/>
      <c r="CK255" s="263"/>
      <c r="CL255" s="263"/>
      <c r="CM255" s="263"/>
      <c r="CN255" s="263"/>
      <c r="CO255" s="263"/>
      <c r="CP255" s="263"/>
      <c r="CQ255" s="263"/>
      <c r="CR255" s="263"/>
      <c r="CS255" s="263"/>
      <c r="CT255" s="263"/>
      <c r="CU255" s="263"/>
      <c r="CV255" s="263"/>
      <c r="CW255" s="263"/>
      <c r="CX255" s="263"/>
      <c r="CY255" s="263"/>
      <c r="CZ255" s="263"/>
      <c r="DA255" s="263"/>
      <c r="DB255" s="263"/>
      <c r="DC255" s="263"/>
      <c r="DD255" s="263"/>
      <c r="DE255" s="263"/>
      <c r="DF255" s="263"/>
      <c r="DG255" s="263"/>
      <c r="DH255" s="263"/>
      <c r="DI255" s="263"/>
      <c r="DJ255" s="263"/>
      <c r="DK255" s="263"/>
      <c r="DL255" s="263"/>
      <c r="DM255" s="263"/>
      <c r="DN255" s="263"/>
      <c r="DO255" s="263"/>
      <c r="DP255" s="263"/>
      <c r="DQ255" s="263"/>
      <c r="DR255" s="263"/>
      <c r="DS255" s="263"/>
      <c r="DT255" s="263"/>
      <c r="DU255" s="263"/>
      <c r="DV255" s="263"/>
      <c r="DW255" s="263"/>
      <c r="DX255" s="263"/>
      <c r="DY255" s="263"/>
      <c r="DZ255" s="263"/>
      <c r="EA255" s="263"/>
      <c r="EB255" s="263"/>
      <c r="EC255" s="263"/>
      <c r="ED255" s="263"/>
      <c r="EE255" s="263"/>
      <c r="EF255" s="263"/>
      <c r="EG255" s="263"/>
      <c r="EH255" s="263"/>
      <c r="EI255" s="263"/>
      <c r="EJ255" s="263"/>
      <c r="EK255" s="263"/>
      <c r="EL255" s="263"/>
      <c r="EM255" s="263"/>
      <c r="EN255" s="263"/>
      <c r="EO255" s="263"/>
      <c r="EP255" s="263"/>
      <c r="EQ255" s="263"/>
      <c r="ER255" s="263"/>
      <c r="ES255" s="263"/>
      <c r="ET255" s="263"/>
      <c r="EU255" s="263"/>
      <c r="EV255" s="263"/>
      <c r="EW255" s="263"/>
      <c r="EX255" s="263"/>
      <c r="EY255" s="263"/>
      <c r="EZ255" s="263"/>
      <c r="FA255" s="263"/>
      <c r="FB255" s="263"/>
      <c r="FC255" s="263"/>
      <c r="FD255" s="263"/>
      <c r="FE255" s="263"/>
      <c r="FF255" s="263"/>
      <c r="FG255" s="263"/>
      <c r="FH255" s="263"/>
      <c r="FI255" s="263"/>
      <c r="FJ255" s="263"/>
      <c r="FK255" s="263"/>
      <c r="FL255" s="263"/>
      <c r="FM255" s="263"/>
      <c r="FN255" s="263"/>
      <c r="FO255" s="263"/>
      <c r="FP255" s="263"/>
      <c r="FQ255" s="263"/>
      <c r="FR255" s="263"/>
      <c r="FS255" s="263"/>
      <c r="FT255" s="263"/>
      <c r="FU255" s="263"/>
      <c r="FV255" s="263"/>
      <c r="FW255" s="263"/>
      <c r="FX255" s="263"/>
      <c r="FY255" s="263"/>
      <c r="FZ255" s="263"/>
      <c r="GA255" s="263"/>
      <c r="GB255" s="263"/>
      <c r="GC255" s="263"/>
      <c r="GD255" s="263"/>
      <c r="GE255" s="263"/>
      <c r="GF255" s="263"/>
      <c r="GG255" s="263"/>
      <c r="GH255" s="263"/>
      <c r="GI255" s="263"/>
      <c r="GJ255" s="263"/>
      <c r="GK255" s="263"/>
      <c r="GL255" s="263"/>
      <c r="GM255" s="263"/>
      <c r="GN255" s="263"/>
      <c r="GO255" s="263"/>
      <c r="GP255" s="263"/>
      <c r="GQ255" s="263"/>
      <c r="GR255" s="263"/>
      <c r="GS255" s="263"/>
      <c r="GT255" s="263"/>
      <c r="GU255" s="263"/>
      <c r="GV255" s="263"/>
      <c r="GW255" s="263"/>
      <c r="GX255" s="263"/>
      <c r="GY255" s="263"/>
    </row>
    <row r="256" spans="1:207" x14ac:dyDescent="0.15">
      <c r="D256" s="289" t="s">
        <v>402</v>
      </c>
      <c r="E256" s="289"/>
      <c r="F256" s="23" t="s">
        <v>341</v>
      </c>
      <c r="G256" s="262">
        <f>SUM(G254:G255)</f>
        <v>-6.0689763204024083E-2</v>
      </c>
      <c r="H256" s="263"/>
      <c r="I256" s="263"/>
      <c r="J256" s="263"/>
      <c r="K256" s="263"/>
      <c r="L256" s="263"/>
      <c r="M256" s="263"/>
      <c r="N256" s="263"/>
      <c r="O256" s="263"/>
      <c r="P256" s="263"/>
      <c r="Q256" s="263"/>
      <c r="R256" s="263"/>
      <c r="S256" s="263"/>
      <c r="T256" s="263"/>
      <c r="U256" s="263"/>
      <c r="V256" s="263"/>
      <c r="W256" s="263"/>
      <c r="X256" s="263"/>
      <c r="Y256" s="263"/>
      <c r="Z256" s="263"/>
      <c r="AA256" s="263"/>
      <c r="AB256" s="263"/>
      <c r="AC256" s="263"/>
      <c r="AD256" s="263"/>
      <c r="AE256" s="263"/>
      <c r="AF256" s="263"/>
      <c r="AG256" s="263"/>
      <c r="AH256" s="263"/>
      <c r="AI256" s="263"/>
      <c r="AJ256" s="263"/>
      <c r="AK256" s="263"/>
      <c r="AL256" s="263"/>
      <c r="AM256" s="263"/>
      <c r="AN256" s="263"/>
      <c r="AO256" s="263"/>
      <c r="AP256" s="263"/>
      <c r="AQ256" s="263"/>
      <c r="AR256" s="263"/>
      <c r="AS256" s="263"/>
      <c r="AT256" s="263"/>
      <c r="AU256" s="263"/>
      <c r="AV256" s="263"/>
      <c r="AW256" s="263"/>
      <c r="AX256" s="263"/>
      <c r="AY256" s="263"/>
      <c r="AZ256" s="263"/>
      <c r="BA256" s="263"/>
      <c r="BB256" s="263"/>
      <c r="BC256" s="263"/>
      <c r="BD256" s="263"/>
      <c r="BE256" s="263"/>
      <c r="BF256" s="263"/>
      <c r="BG256" s="263"/>
      <c r="BH256" s="263"/>
      <c r="BI256" s="263"/>
      <c r="BJ256" s="263"/>
      <c r="BK256" s="263"/>
      <c r="BL256" s="263"/>
      <c r="BM256" s="263"/>
      <c r="BN256" s="263"/>
      <c r="BO256" s="263"/>
      <c r="BP256" s="263"/>
      <c r="BQ256" s="263"/>
      <c r="BR256" s="263"/>
      <c r="BS256" s="263"/>
      <c r="BT256" s="263"/>
      <c r="BU256" s="263"/>
      <c r="BV256" s="263"/>
      <c r="BW256" s="263"/>
      <c r="BX256" s="263"/>
      <c r="BY256" s="263"/>
      <c r="BZ256" s="263"/>
      <c r="CA256" s="263"/>
      <c r="CB256" s="263"/>
      <c r="CC256" s="263"/>
      <c r="CD256" s="263"/>
      <c r="CE256" s="263"/>
      <c r="CF256" s="263"/>
      <c r="CG256" s="263"/>
      <c r="CH256" s="263"/>
      <c r="CI256" s="263"/>
      <c r="CJ256" s="263"/>
      <c r="CK256" s="263"/>
      <c r="CL256" s="263"/>
      <c r="CM256" s="263"/>
      <c r="CN256" s="263"/>
      <c r="CO256" s="263"/>
      <c r="CP256" s="263"/>
      <c r="CQ256" s="263"/>
      <c r="CR256" s="263"/>
      <c r="CS256" s="263"/>
      <c r="CT256" s="263"/>
      <c r="CU256" s="263"/>
      <c r="CV256" s="263"/>
      <c r="CW256" s="263"/>
      <c r="CX256" s="263"/>
      <c r="CY256" s="263"/>
      <c r="CZ256" s="263"/>
      <c r="DA256" s="263"/>
      <c r="DB256" s="263"/>
      <c r="DC256" s="263"/>
      <c r="DD256" s="263"/>
      <c r="DE256" s="263"/>
      <c r="DF256" s="263"/>
      <c r="DG256" s="263"/>
      <c r="DH256" s="263"/>
      <c r="DI256" s="263"/>
      <c r="DJ256" s="263"/>
      <c r="DK256" s="263"/>
      <c r="DL256" s="263"/>
      <c r="DM256" s="263"/>
      <c r="DN256" s="263"/>
      <c r="DO256" s="263"/>
      <c r="DP256" s="263"/>
      <c r="DQ256" s="263"/>
      <c r="DR256" s="263"/>
      <c r="DS256" s="263"/>
      <c r="DT256" s="263"/>
      <c r="DU256" s="263"/>
      <c r="DV256" s="263"/>
      <c r="DW256" s="263"/>
      <c r="DX256" s="263"/>
      <c r="DY256" s="263"/>
      <c r="DZ256" s="263"/>
      <c r="EA256" s="263"/>
      <c r="EB256" s="263"/>
      <c r="EC256" s="263"/>
      <c r="ED256" s="263"/>
      <c r="EE256" s="263"/>
      <c r="EF256" s="263"/>
      <c r="EG256" s="263"/>
      <c r="EH256" s="263"/>
      <c r="EI256" s="263"/>
      <c r="EJ256" s="263"/>
      <c r="EK256" s="263"/>
      <c r="EL256" s="263"/>
      <c r="EM256" s="263"/>
      <c r="EN256" s="263"/>
      <c r="EO256" s="263"/>
      <c r="EP256" s="263"/>
      <c r="EQ256" s="263"/>
      <c r="ER256" s="263"/>
      <c r="ES256" s="263"/>
      <c r="ET256" s="263"/>
      <c r="EU256" s="263"/>
      <c r="EV256" s="263"/>
      <c r="EW256" s="263"/>
      <c r="EX256" s="263"/>
      <c r="EY256" s="263"/>
      <c r="EZ256" s="263"/>
      <c r="FA256" s="263"/>
      <c r="FB256" s="263"/>
      <c r="FC256" s="263"/>
      <c r="FD256" s="263"/>
      <c r="FE256" s="263"/>
      <c r="FF256" s="263"/>
      <c r="FG256" s="263"/>
      <c r="FH256" s="263"/>
      <c r="FI256" s="263"/>
      <c r="FJ256" s="263"/>
      <c r="FK256" s="263"/>
      <c r="FL256" s="263"/>
      <c r="FM256" s="263"/>
      <c r="FN256" s="263"/>
      <c r="FO256" s="263"/>
      <c r="FP256" s="263"/>
      <c r="FQ256" s="263"/>
      <c r="FR256" s="263"/>
      <c r="FS256" s="263"/>
      <c r="FT256" s="263"/>
      <c r="FU256" s="263"/>
      <c r="FV256" s="263"/>
      <c r="FW256" s="263"/>
      <c r="FX256" s="263"/>
      <c r="FY256" s="263"/>
      <c r="FZ256" s="263"/>
      <c r="GA256" s="263"/>
      <c r="GB256" s="263"/>
      <c r="GC256" s="263"/>
      <c r="GD256" s="263"/>
      <c r="GE256" s="263"/>
      <c r="GF256" s="263"/>
      <c r="GG256" s="263"/>
      <c r="GH256" s="263"/>
      <c r="GI256" s="263"/>
      <c r="GJ256" s="263"/>
      <c r="GK256" s="263"/>
      <c r="GL256" s="263"/>
      <c r="GM256" s="263"/>
      <c r="GN256" s="263"/>
      <c r="GO256" s="263"/>
      <c r="GP256" s="263"/>
      <c r="GQ256" s="263"/>
      <c r="GR256" s="263"/>
      <c r="GS256" s="263"/>
      <c r="GT256" s="263"/>
      <c r="GU256" s="263"/>
      <c r="GV256" s="263"/>
      <c r="GW256" s="263"/>
      <c r="GX256" s="263"/>
      <c r="GY256" s="263"/>
    </row>
    <row r="257" spans="1:207" x14ac:dyDescent="0.15">
      <c r="D257" s="289"/>
      <c r="E257" s="289"/>
      <c r="F257" s="23"/>
      <c r="G257" s="263"/>
      <c r="H257" s="263"/>
      <c r="I257" s="263"/>
      <c r="J257" s="263"/>
      <c r="K257" s="263"/>
      <c r="L257" s="263"/>
      <c r="M257" s="263"/>
      <c r="N257" s="263"/>
      <c r="O257" s="263"/>
      <c r="P257" s="263"/>
      <c r="Q257" s="263"/>
      <c r="R257" s="263"/>
      <c r="S257" s="263"/>
      <c r="T257" s="263"/>
      <c r="U257" s="263"/>
      <c r="V257" s="263"/>
      <c r="W257" s="263"/>
      <c r="X257" s="263"/>
      <c r="Y257" s="263"/>
      <c r="Z257" s="263"/>
      <c r="AA257" s="263"/>
      <c r="AB257" s="263"/>
      <c r="AC257" s="263"/>
      <c r="AD257" s="263"/>
      <c r="AE257" s="263"/>
      <c r="AF257" s="263"/>
      <c r="AG257" s="263"/>
      <c r="AH257" s="263"/>
      <c r="AI257" s="263"/>
      <c r="AJ257" s="263"/>
      <c r="AK257" s="263"/>
      <c r="AL257" s="263"/>
      <c r="AM257" s="263"/>
      <c r="AN257" s="263"/>
      <c r="AO257" s="263"/>
      <c r="AP257" s="263"/>
      <c r="AQ257" s="263"/>
      <c r="AR257" s="263"/>
      <c r="AS257" s="263"/>
      <c r="AT257" s="263"/>
      <c r="AU257" s="263"/>
      <c r="AV257" s="263"/>
      <c r="AW257" s="263"/>
      <c r="AX257" s="263"/>
      <c r="AY257" s="263"/>
      <c r="AZ257" s="263"/>
      <c r="BA257" s="263"/>
      <c r="BB257" s="263"/>
      <c r="BC257" s="263"/>
      <c r="BD257" s="263"/>
      <c r="BE257" s="263"/>
      <c r="BF257" s="263"/>
      <c r="BG257" s="263"/>
      <c r="BH257" s="263"/>
      <c r="BI257" s="263"/>
      <c r="BJ257" s="263"/>
      <c r="BK257" s="263"/>
      <c r="BL257" s="263"/>
      <c r="BM257" s="263"/>
      <c r="BN257" s="263"/>
      <c r="BO257" s="263"/>
      <c r="BP257" s="263"/>
      <c r="BQ257" s="263"/>
      <c r="BR257" s="263"/>
      <c r="BS257" s="263"/>
      <c r="BT257" s="263"/>
      <c r="BU257" s="263"/>
      <c r="BV257" s="263"/>
      <c r="BW257" s="263"/>
      <c r="BX257" s="263"/>
      <c r="BY257" s="263"/>
      <c r="BZ257" s="263"/>
      <c r="CA257" s="263"/>
      <c r="CB257" s="263"/>
      <c r="CC257" s="263"/>
      <c r="CD257" s="263"/>
      <c r="CE257" s="263"/>
      <c r="CF257" s="263"/>
      <c r="CG257" s="263"/>
      <c r="CH257" s="263"/>
      <c r="CI257" s="263"/>
      <c r="CJ257" s="263"/>
      <c r="CK257" s="263"/>
      <c r="CL257" s="263"/>
      <c r="CM257" s="263"/>
      <c r="CN257" s="263"/>
      <c r="CO257" s="263"/>
      <c r="CP257" s="263"/>
      <c r="CQ257" s="263"/>
      <c r="CR257" s="263"/>
      <c r="CS257" s="263"/>
      <c r="CT257" s="263"/>
      <c r="CU257" s="263"/>
      <c r="CV257" s="263"/>
      <c r="CW257" s="263"/>
      <c r="CX257" s="263"/>
      <c r="CY257" s="263"/>
      <c r="CZ257" s="263"/>
      <c r="DA257" s="263"/>
      <c r="DB257" s="263"/>
      <c r="DC257" s="263"/>
      <c r="DD257" s="263"/>
      <c r="DE257" s="263"/>
      <c r="DF257" s="263"/>
      <c r="DG257" s="263"/>
      <c r="DH257" s="263"/>
      <c r="DI257" s="263"/>
      <c r="DJ257" s="263"/>
      <c r="DK257" s="263"/>
      <c r="DL257" s="263"/>
      <c r="DM257" s="263"/>
      <c r="DN257" s="263"/>
      <c r="DO257" s="263"/>
      <c r="DP257" s="263"/>
      <c r="DQ257" s="263"/>
      <c r="DR257" s="263"/>
      <c r="DS257" s="263"/>
      <c r="DT257" s="263"/>
      <c r="DU257" s="263"/>
      <c r="DV257" s="263"/>
      <c r="DW257" s="263"/>
      <c r="DX257" s="263"/>
      <c r="DY257" s="263"/>
      <c r="DZ257" s="263"/>
      <c r="EA257" s="263"/>
      <c r="EB257" s="263"/>
      <c r="EC257" s="263"/>
      <c r="ED257" s="263"/>
      <c r="EE257" s="263"/>
      <c r="EF257" s="263"/>
      <c r="EG257" s="263"/>
      <c r="EH257" s="263"/>
      <c r="EI257" s="263"/>
      <c r="EJ257" s="263"/>
      <c r="EK257" s="263"/>
      <c r="EL257" s="263"/>
      <c r="EM257" s="263"/>
      <c r="EN257" s="263"/>
      <c r="EO257" s="263"/>
      <c r="EP257" s="263"/>
      <c r="EQ257" s="263"/>
      <c r="ER257" s="263"/>
      <c r="ES257" s="263"/>
      <c r="ET257" s="263"/>
      <c r="EU257" s="263"/>
      <c r="EV257" s="263"/>
      <c r="EW257" s="263"/>
      <c r="EX257" s="263"/>
      <c r="EY257" s="263"/>
      <c r="EZ257" s="263"/>
      <c r="FA257" s="263"/>
      <c r="FB257" s="263"/>
      <c r="FC257" s="263"/>
      <c r="FD257" s="263"/>
      <c r="FE257" s="263"/>
      <c r="FF257" s="263"/>
      <c r="FG257" s="263"/>
      <c r="FH257" s="263"/>
      <c r="FI257" s="263"/>
      <c r="FJ257" s="263"/>
      <c r="FK257" s="263"/>
      <c r="FL257" s="263"/>
      <c r="FM257" s="263"/>
      <c r="FN257" s="263"/>
      <c r="FO257" s="263"/>
      <c r="FP257" s="263"/>
      <c r="FQ257" s="263"/>
      <c r="FR257" s="263"/>
      <c r="FS257" s="263"/>
      <c r="FT257" s="263"/>
      <c r="FU257" s="263"/>
      <c r="FV257" s="263"/>
      <c r="FW257" s="263"/>
      <c r="FX257" s="263"/>
      <c r="FY257" s="263"/>
      <c r="FZ257" s="263"/>
      <c r="GA257" s="263"/>
      <c r="GB257" s="263"/>
      <c r="GC257" s="263"/>
      <c r="GD257" s="263"/>
      <c r="GE257" s="263"/>
      <c r="GF257" s="263"/>
      <c r="GG257" s="263"/>
      <c r="GH257" s="263"/>
      <c r="GI257" s="263"/>
      <c r="GJ257" s="263"/>
      <c r="GK257" s="263"/>
      <c r="GL257" s="263"/>
      <c r="GM257" s="263"/>
      <c r="GN257" s="263"/>
      <c r="GO257" s="263"/>
      <c r="GP257" s="263"/>
      <c r="GQ257" s="263"/>
      <c r="GR257" s="263"/>
      <c r="GS257" s="263"/>
      <c r="GT257" s="263"/>
      <c r="GU257" s="263"/>
      <c r="GV257" s="263"/>
      <c r="GW257" s="263"/>
      <c r="GX257" s="263"/>
      <c r="GY257" s="263"/>
    </row>
    <row r="258" spans="1:207" x14ac:dyDescent="0.15">
      <c r="C258" s="23" t="s">
        <v>403</v>
      </c>
      <c r="G258" s="263">
        <f>IF(G7&lt;=12,1,(1+SAP_Leadsheet!$E$66)^(ROUNDDOWN(SAP_Spreadsheet!G7/12,0)))</f>
        <v>1</v>
      </c>
      <c r="H258" s="263">
        <f>IF(H7&lt;=12,1,(1+SAP_Leadsheet!$E$66)^(ROUNDDOWN(SAP_Spreadsheet!H7/12,0)))</f>
        <v>1</v>
      </c>
      <c r="I258" s="263">
        <f>IF(I7&lt;=12,1,(1+SAP_Leadsheet!$E$66)^(ROUNDDOWN(SAP_Spreadsheet!I7/12,0)))</f>
        <v>1</v>
      </c>
      <c r="J258" s="263">
        <f>IF(J7&lt;=12,1,(1+SAP_Leadsheet!$E$66)^(ROUNDDOWN(SAP_Spreadsheet!J7/12,0)))</f>
        <v>1</v>
      </c>
      <c r="K258" s="263">
        <f>IF(K7&lt;=12,1,(1+SAP_Leadsheet!$E$66)^(ROUNDDOWN(SAP_Spreadsheet!K7/12,0)))</f>
        <v>1</v>
      </c>
      <c r="L258" s="263">
        <f>IF(L7&lt;=12,1,(1+SAP_Leadsheet!$E$66)^(ROUNDDOWN(SAP_Spreadsheet!L7/12,0)))</f>
        <v>1</v>
      </c>
      <c r="M258" s="263">
        <f>IF(M7&lt;=12,1,(1+SAP_Leadsheet!$E$66)^(ROUNDDOWN(SAP_Spreadsheet!M7/12,0)))</f>
        <v>1</v>
      </c>
      <c r="N258" s="263">
        <f>IF(N7&lt;=12,1,(1+SAP_Leadsheet!$E$66)^(ROUNDDOWN(SAP_Spreadsheet!N7/12,0)))</f>
        <v>1</v>
      </c>
      <c r="O258" s="263">
        <f>IF(O7&lt;=12,1,(1+SAP_Leadsheet!$E$66)^(ROUNDDOWN(SAP_Spreadsheet!O7/12,0)))</f>
        <v>1</v>
      </c>
      <c r="P258" s="263">
        <f>IF(P7&lt;=12,1,(1+SAP_Leadsheet!$E$66)^(ROUNDDOWN(SAP_Spreadsheet!P7/12,0)))</f>
        <v>1</v>
      </c>
      <c r="Q258" s="263">
        <f>IF(Q7&lt;=12,1,(1+SAP_Leadsheet!$E$66)^(ROUNDDOWN(SAP_Spreadsheet!Q7/12,0)))</f>
        <v>1</v>
      </c>
      <c r="R258" s="263">
        <f>IF(R7&lt;=12,1,(1+SAP_Leadsheet!$E$66)^(ROUNDDOWN(SAP_Spreadsheet!R7/12,0)))</f>
        <v>1</v>
      </c>
      <c r="S258" s="263">
        <f>IF(S7&lt;=12,1,(1+SAP_Leadsheet!$E$66)^(ROUNDDOWN(SAP_Spreadsheet!S7/12,0)))</f>
        <v>1.0349999999999999</v>
      </c>
      <c r="T258" s="263">
        <f>IF(T7&lt;=12,1,(1+SAP_Leadsheet!$E$66)^(ROUNDDOWN(SAP_Spreadsheet!T7/12,0)))</f>
        <v>1.0349999999999999</v>
      </c>
      <c r="U258" s="263">
        <f>IF(U7&lt;=12,1,(1+SAP_Leadsheet!$E$66)^(ROUNDDOWN(SAP_Spreadsheet!U7/12,0)))</f>
        <v>1.0349999999999999</v>
      </c>
      <c r="V258" s="263">
        <f>IF(V7&lt;=12,1,(1+SAP_Leadsheet!$E$66)^(ROUNDDOWN(SAP_Spreadsheet!V7/12,0)))</f>
        <v>1.0349999999999999</v>
      </c>
      <c r="W258" s="263">
        <f>IF(W7&lt;=12,1,(1+SAP_Leadsheet!$E$66)^(ROUNDDOWN(SAP_Spreadsheet!W7/12,0)))</f>
        <v>1.0349999999999999</v>
      </c>
      <c r="X258" s="263">
        <f>IF(X7&lt;=12,1,(1+SAP_Leadsheet!$E$66)^(ROUNDDOWN(SAP_Spreadsheet!X7/12,0)))</f>
        <v>1.0349999999999999</v>
      </c>
      <c r="Y258" s="263">
        <f>IF(Y7&lt;=12,1,(1+SAP_Leadsheet!$E$66)^(ROUNDDOWN(SAP_Spreadsheet!Y7/12,0)))</f>
        <v>1.0349999999999999</v>
      </c>
      <c r="Z258" s="263">
        <f>IF(Z7&lt;=12,1,(1+SAP_Leadsheet!$E$66)^(ROUNDDOWN(SAP_Spreadsheet!Z7/12,0)))</f>
        <v>1.0349999999999999</v>
      </c>
      <c r="AA258" s="263">
        <f>IF(AA7&lt;=12,1,(1+SAP_Leadsheet!$E$66)^(ROUNDDOWN(SAP_Spreadsheet!AA7/12,0)))</f>
        <v>1.0349999999999999</v>
      </c>
      <c r="AB258" s="263">
        <f>IF(AB7&lt;=12,1,(1+SAP_Leadsheet!$E$66)^(ROUNDDOWN(SAP_Spreadsheet!AB7/12,0)))</f>
        <v>1.0349999999999999</v>
      </c>
      <c r="AC258" s="263">
        <f>IF(AC7&lt;=12,1,(1+SAP_Leadsheet!$E$66)^(ROUNDDOWN(SAP_Spreadsheet!AC7/12,0)))</f>
        <v>1.0349999999999999</v>
      </c>
      <c r="AD258" s="263">
        <f>IF(AD7&lt;=12,1,(1+SAP_Leadsheet!$E$66)^(ROUNDDOWN(SAP_Spreadsheet!AD7/12,0)))</f>
        <v>1.0712249999999999</v>
      </c>
      <c r="AE258" s="263">
        <f>IF(AE7&lt;=12,1,(1+SAP_Leadsheet!$E$66)^(ROUNDDOWN(SAP_Spreadsheet!AE7/12,0)))</f>
        <v>1.0712249999999999</v>
      </c>
      <c r="AF258" s="263">
        <f>IF(AF7&lt;=12,1,(1+SAP_Leadsheet!$E$66)^(ROUNDDOWN(SAP_Spreadsheet!AF7/12,0)))</f>
        <v>1.0712249999999999</v>
      </c>
      <c r="AG258" s="263">
        <f>IF(AG7&lt;=12,1,(1+SAP_Leadsheet!$E$66)^(ROUNDDOWN(SAP_Spreadsheet!AG7/12,0)))</f>
        <v>1.0712249999999999</v>
      </c>
      <c r="AH258" s="263">
        <f>IF(AH7&lt;=12,1,(1+SAP_Leadsheet!$E$66)^(ROUNDDOWN(SAP_Spreadsheet!AH7/12,0)))</f>
        <v>1.0712249999999999</v>
      </c>
      <c r="AI258" s="263">
        <f>IF(AI7&lt;=12,1,(1+SAP_Leadsheet!$E$66)^(ROUNDDOWN(SAP_Spreadsheet!AI7/12,0)))</f>
        <v>1.0712249999999999</v>
      </c>
      <c r="AJ258" s="263">
        <f>IF(AJ7&lt;=12,1,(1+SAP_Leadsheet!$E$66)^(ROUNDDOWN(SAP_Spreadsheet!AJ7/12,0)))</f>
        <v>1.0712249999999999</v>
      </c>
      <c r="AK258" s="263">
        <f>IF(AK7&lt;=12,1,(1+SAP_Leadsheet!$E$66)^(ROUNDDOWN(SAP_Spreadsheet!AK7/12,0)))</f>
        <v>1.0712249999999999</v>
      </c>
      <c r="AL258" s="263">
        <f>IF(AL7&lt;=12,1,(1+SAP_Leadsheet!$E$66)^(ROUNDDOWN(SAP_Spreadsheet!AL7/12,0)))</f>
        <v>1.0712249999999999</v>
      </c>
      <c r="AM258" s="263">
        <f>IF(AM7&lt;=12,1,(1+SAP_Leadsheet!$E$66)^(ROUNDDOWN(SAP_Spreadsheet!AM7/12,0)))</f>
        <v>1.0712249999999999</v>
      </c>
      <c r="AN258" s="263">
        <f>IF(AN7&lt;=12,1,(1+SAP_Leadsheet!$E$66)^(ROUNDDOWN(SAP_Spreadsheet!AN7/12,0)))</f>
        <v>1.0712249999999999</v>
      </c>
      <c r="AO258" s="263">
        <f>IF(AO7&lt;=12,1,(1+SAP_Leadsheet!$E$66)^(ROUNDDOWN(SAP_Spreadsheet!AO7/12,0)))</f>
        <v>1.0712249999999999</v>
      </c>
      <c r="AP258" s="263">
        <f>IF(AP7&lt;=12,1,(1+SAP_Leadsheet!$E$66)^(ROUNDDOWN(SAP_Spreadsheet!AP7/12,0)))</f>
        <v>1.1087178749999997</v>
      </c>
      <c r="AQ258" s="263">
        <f>IF(AQ7&lt;=12,1,(1+SAP_Leadsheet!$E$66)^(ROUNDDOWN(SAP_Spreadsheet!AQ7/12,0)))</f>
        <v>1.1087178749999997</v>
      </c>
      <c r="AR258" s="263">
        <f>IF(AR7&lt;=12,1,(1+SAP_Leadsheet!$E$66)^(ROUNDDOWN(SAP_Spreadsheet!AR7/12,0)))</f>
        <v>1.1087178749999997</v>
      </c>
      <c r="AS258" s="263">
        <f>IF(AS7&lt;=12,1,(1+SAP_Leadsheet!$E$66)^(ROUNDDOWN(SAP_Spreadsheet!AS7/12,0)))</f>
        <v>1.1087178749999997</v>
      </c>
      <c r="AT258" s="263">
        <f>IF(AT7&lt;=12,1,(1+SAP_Leadsheet!$E$66)^(ROUNDDOWN(SAP_Spreadsheet!AT7/12,0)))</f>
        <v>1.1087178749999997</v>
      </c>
      <c r="AU258" s="263">
        <f>IF(AU7&lt;=12,1,(1+SAP_Leadsheet!$E$66)^(ROUNDDOWN(SAP_Spreadsheet!AU7/12,0)))</f>
        <v>1.1087178749999997</v>
      </c>
      <c r="AV258" s="263">
        <f>IF(AV7&lt;=12,1,(1+SAP_Leadsheet!$E$66)^(ROUNDDOWN(SAP_Spreadsheet!AV7/12,0)))</f>
        <v>1.1087178749999997</v>
      </c>
      <c r="AW258" s="263">
        <f>IF(AW7&lt;=12,1,(1+SAP_Leadsheet!$E$66)^(ROUNDDOWN(SAP_Spreadsheet!AW7/12,0)))</f>
        <v>1.1087178749999997</v>
      </c>
      <c r="AX258" s="263">
        <f>IF(AX7&lt;=12,1,(1+SAP_Leadsheet!$E$66)^(ROUNDDOWN(SAP_Spreadsheet!AX7/12,0)))</f>
        <v>1.1087178749999997</v>
      </c>
      <c r="AY258" s="263">
        <f>IF(AY7&lt;=12,1,(1+SAP_Leadsheet!$E$66)^(ROUNDDOWN(SAP_Spreadsheet!AY7/12,0)))</f>
        <v>1.1087178749999997</v>
      </c>
      <c r="AZ258" s="263">
        <f>IF(AZ7&lt;=12,1,(1+SAP_Leadsheet!$E$66)^(ROUNDDOWN(SAP_Spreadsheet!AZ7/12,0)))</f>
        <v>1.1087178749999997</v>
      </c>
      <c r="BA258" s="263">
        <f>IF(BA7&lt;=12,1,(1+SAP_Leadsheet!$E$66)^(ROUNDDOWN(SAP_Spreadsheet!BA7/12,0)))</f>
        <v>1.1087178749999997</v>
      </c>
      <c r="BB258" s="263">
        <f>IF(BB7&lt;=12,1,(1+SAP_Leadsheet!$E$66)^(ROUNDDOWN(SAP_Spreadsheet!BB7/12,0)))</f>
        <v>1.1475230006249997</v>
      </c>
      <c r="BC258" s="263">
        <f>IF(BC7&lt;=12,1,(1+SAP_Leadsheet!$E$66)^(ROUNDDOWN(SAP_Spreadsheet!BC7/12,0)))</f>
        <v>1.1475230006249997</v>
      </c>
      <c r="BD258" s="263">
        <f>IF(BD7&lt;=12,1,(1+SAP_Leadsheet!$E$66)^(ROUNDDOWN(SAP_Spreadsheet!BD7/12,0)))</f>
        <v>1.1475230006249997</v>
      </c>
      <c r="BE258" s="263">
        <f>IF(BE7&lt;=12,1,(1+SAP_Leadsheet!$E$66)^(ROUNDDOWN(SAP_Spreadsheet!BE7/12,0)))</f>
        <v>1.1475230006249997</v>
      </c>
      <c r="BF258" s="263">
        <f>IF(BF7&lt;=12,1,(1+SAP_Leadsheet!$E$66)^(ROUNDDOWN(SAP_Spreadsheet!BF7/12,0)))</f>
        <v>1.1475230006249997</v>
      </c>
      <c r="BG258" s="263">
        <f>IF(BG7&lt;=12,1,(1+SAP_Leadsheet!$E$66)^(ROUNDDOWN(SAP_Spreadsheet!BG7/12,0)))</f>
        <v>1.1475230006249997</v>
      </c>
      <c r="BH258" s="263">
        <f>IF(BH7&lt;=12,1,(1+SAP_Leadsheet!$E$66)^(ROUNDDOWN(SAP_Spreadsheet!BH7/12,0)))</f>
        <v>1.1475230006249997</v>
      </c>
      <c r="BI258" s="263">
        <f>IF(BI7&lt;=12,1,(1+SAP_Leadsheet!$E$66)^(ROUNDDOWN(SAP_Spreadsheet!BI7/12,0)))</f>
        <v>1.1475230006249997</v>
      </c>
      <c r="BJ258" s="263">
        <f>IF(BJ7&lt;=12,1,(1+SAP_Leadsheet!$E$66)^(ROUNDDOWN(SAP_Spreadsheet!BJ7/12,0)))</f>
        <v>1.1475230006249997</v>
      </c>
      <c r="BK258" s="263">
        <f>IF(BK7&lt;=12,1,(1+SAP_Leadsheet!$E$66)^(ROUNDDOWN(SAP_Spreadsheet!BK7/12,0)))</f>
        <v>1.1475230006249997</v>
      </c>
      <c r="BL258" s="263">
        <f>IF(BL7&lt;=12,1,(1+SAP_Leadsheet!$E$66)^(ROUNDDOWN(SAP_Spreadsheet!BL7/12,0)))</f>
        <v>1.1475230006249997</v>
      </c>
      <c r="BM258" s="263">
        <f>IF(BM7&lt;=12,1,(1+SAP_Leadsheet!$E$66)^(ROUNDDOWN(SAP_Spreadsheet!BM7/12,0)))</f>
        <v>1.1475230006249997</v>
      </c>
      <c r="BN258" s="263">
        <f>IF(BN7&lt;=12,1,(1+SAP_Leadsheet!$E$66)^(ROUNDDOWN(SAP_Spreadsheet!BN7/12,0)))</f>
        <v>1.1876863056468745</v>
      </c>
      <c r="BO258" s="263"/>
      <c r="BP258" s="263"/>
      <c r="BQ258" s="263"/>
      <c r="BR258" s="263"/>
      <c r="BS258" s="263"/>
      <c r="BT258" s="263"/>
      <c r="BU258" s="263"/>
      <c r="BV258" s="263"/>
      <c r="BW258" s="263"/>
      <c r="BX258" s="263"/>
      <c r="BY258" s="263"/>
      <c r="BZ258" s="263"/>
      <c r="CA258" s="263"/>
      <c r="CB258" s="263"/>
      <c r="CC258" s="263"/>
      <c r="CD258" s="263"/>
      <c r="CE258" s="263"/>
      <c r="CF258" s="263"/>
      <c r="CG258" s="263"/>
      <c r="CH258" s="263"/>
      <c r="CI258" s="263"/>
      <c r="CJ258" s="263"/>
      <c r="CK258" s="263"/>
      <c r="CL258" s="263"/>
      <c r="CM258" s="263"/>
      <c r="CN258" s="263"/>
      <c r="CO258" s="263"/>
      <c r="CP258" s="263"/>
      <c r="CQ258" s="263"/>
      <c r="CR258" s="263"/>
      <c r="CS258" s="263"/>
      <c r="CT258" s="263"/>
      <c r="CU258" s="263"/>
      <c r="CV258" s="263"/>
      <c r="CW258" s="263"/>
      <c r="CX258" s="263"/>
      <c r="CY258" s="263"/>
      <c r="CZ258" s="263"/>
      <c r="DA258" s="263"/>
      <c r="DB258" s="263"/>
      <c r="DC258" s="263"/>
      <c r="DD258" s="263"/>
      <c r="DE258" s="263"/>
      <c r="DF258" s="263"/>
      <c r="DG258" s="263"/>
      <c r="DH258" s="263"/>
      <c r="DI258" s="263"/>
      <c r="DJ258" s="263"/>
      <c r="DK258" s="263"/>
      <c r="DL258" s="263"/>
      <c r="DM258" s="263"/>
      <c r="DN258" s="263"/>
      <c r="DO258" s="263"/>
      <c r="DP258" s="263"/>
      <c r="DQ258" s="263"/>
      <c r="DR258" s="263"/>
      <c r="DS258" s="263"/>
      <c r="DT258" s="263"/>
      <c r="DU258" s="263"/>
      <c r="DV258" s="263"/>
      <c r="DW258" s="263"/>
      <c r="DX258" s="263"/>
      <c r="DY258" s="263"/>
      <c r="DZ258" s="263"/>
      <c r="EA258" s="263"/>
      <c r="EB258" s="263"/>
      <c r="EC258" s="263"/>
      <c r="ED258" s="263"/>
      <c r="EE258" s="263"/>
      <c r="EF258" s="263"/>
      <c r="EG258" s="263"/>
      <c r="EH258" s="263"/>
      <c r="EI258" s="263"/>
      <c r="EJ258" s="263"/>
      <c r="EK258" s="263"/>
      <c r="EL258" s="263"/>
      <c r="EM258" s="263"/>
      <c r="EN258" s="263"/>
      <c r="EO258" s="263"/>
      <c r="EP258" s="263"/>
      <c r="EQ258" s="263"/>
      <c r="ER258" s="263"/>
      <c r="ES258" s="263"/>
      <c r="ET258" s="263"/>
      <c r="EU258" s="263"/>
      <c r="EV258" s="263"/>
      <c r="EW258" s="263"/>
      <c r="EX258" s="263"/>
      <c r="EY258" s="263"/>
      <c r="EZ258" s="263"/>
      <c r="FA258" s="263"/>
      <c r="FB258" s="263"/>
      <c r="FC258" s="263"/>
      <c r="FD258" s="263"/>
      <c r="FE258" s="263"/>
      <c r="FF258" s="263"/>
      <c r="FG258" s="263"/>
      <c r="FH258" s="263"/>
      <c r="FI258" s="263"/>
      <c r="FJ258" s="263"/>
      <c r="FK258" s="263"/>
      <c r="FL258" s="263"/>
      <c r="FM258" s="263"/>
      <c r="FN258" s="263"/>
      <c r="FO258" s="263"/>
      <c r="FP258" s="263"/>
      <c r="FQ258" s="263"/>
      <c r="FR258" s="263"/>
      <c r="FS258" s="263"/>
      <c r="FT258" s="263"/>
      <c r="FU258" s="263"/>
      <c r="FV258" s="263"/>
      <c r="FW258" s="263"/>
      <c r="FX258" s="263"/>
      <c r="FY258" s="263"/>
      <c r="FZ258" s="263"/>
      <c r="GA258" s="263"/>
      <c r="GB258" s="263"/>
      <c r="GC258" s="263"/>
      <c r="GD258" s="263"/>
      <c r="GE258" s="263"/>
      <c r="GF258" s="263"/>
      <c r="GG258" s="263"/>
      <c r="GH258" s="263"/>
      <c r="GI258" s="263"/>
      <c r="GJ258" s="263"/>
      <c r="GK258" s="263"/>
      <c r="GL258" s="263"/>
      <c r="GM258" s="263"/>
      <c r="GN258" s="263"/>
      <c r="GO258" s="263"/>
      <c r="GP258" s="263"/>
      <c r="GQ258" s="263"/>
      <c r="GR258" s="263"/>
      <c r="GS258" s="263"/>
      <c r="GT258" s="263"/>
      <c r="GU258" s="263"/>
      <c r="GV258" s="263"/>
      <c r="GW258" s="263"/>
      <c r="GX258" s="263"/>
      <c r="GY258" s="263"/>
    </row>
    <row r="259" spans="1:207" x14ac:dyDescent="0.15">
      <c r="C259" s="23"/>
      <c r="G259" s="263"/>
      <c r="H259" s="263"/>
      <c r="I259" s="263"/>
      <c r="J259" s="263"/>
      <c r="K259" s="263"/>
      <c r="L259" s="263"/>
      <c r="M259" s="263"/>
      <c r="N259" s="263"/>
      <c r="O259" s="263"/>
      <c r="P259" s="263"/>
      <c r="Q259" s="263"/>
      <c r="R259" s="263"/>
      <c r="S259" s="263"/>
      <c r="T259" s="263"/>
      <c r="U259" s="263"/>
      <c r="V259" s="263"/>
      <c r="W259" s="263"/>
      <c r="X259" s="263"/>
      <c r="Y259" s="263"/>
      <c r="Z259" s="263"/>
      <c r="AA259" s="263"/>
      <c r="AB259" s="263"/>
      <c r="AC259" s="263"/>
      <c r="AD259" s="263"/>
      <c r="AE259" s="263"/>
      <c r="AF259" s="263"/>
      <c r="AG259" s="263"/>
      <c r="AH259" s="263"/>
      <c r="AI259" s="263"/>
      <c r="AJ259" s="263"/>
      <c r="AK259" s="263"/>
      <c r="AL259" s="263"/>
      <c r="AM259" s="263"/>
      <c r="AN259" s="263"/>
      <c r="AO259" s="263"/>
      <c r="AP259" s="263"/>
      <c r="AQ259" s="263"/>
      <c r="AR259" s="263"/>
      <c r="AS259" s="263"/>
      <c r="AT259" s="263"/>
      <c r="AU259" s="263"/>
      <c r="AV259" s="263"/>
      <c r="AW259" s="263"/>
      <c r="AX259" s="263"/>
      <c r="AY259" s="263"/>
      <c r="AZ259" s="263"/>
      <c r="BA259" s="263"/>
      <c r="BB259" s="263"/>
      <c r="BC259" s="263"/>
      <c r="BD259" s="263"/>
      <c r="BE259" s="263"/>
      <c r="BF259" s="263"/>
      <c r="BG259" s="263"/>
      <c r="BH259" s="263"/>
      <c r="BI259" s="263"/>
      <c r="BJ259" s="263"/>
      <c r="BK259" s="263"/>
      <c r="BL259" s="263"/>
      <c r="BM259" s="263"/>
      <c r="BN259" s="263"/>
      <c r="BO259" s="263"/>
      <c r="BP259" s="263"/>
      <c r="BQ259" s="263"/>
      <c r="BR259" s="263"/>
      <c r="BS259" s="263"/>
      <c r="BT259" s="263"/>
      <c r="BU259" s="263"/>
      <c r="BV259" s="263"/>
      <c r="BW259" s="263"/>
      <c r="BX259" s="263"/>
      <c r="BY259" s="263"/>
      <c r="BZ259" s="263"/>
      <c r="CA259" s="263"/>
      <c r="CB259" s="263"/>
      <c r="CC259" s="263"/>
      <c r="CD259" s="263"/>
      <c r="CE259" s="263"/>
      <c r="CF259" s="263"/>
      <c r="CG259" s="263"/>
      <c r="CH259" s="263"/>
      <c r="CI259" s="263"/>
      <c r="CJ259" s="263"/>
      <c r="CK259" s="263"/>
      <c r="CL259" s="263"/>
      <c r="CM259" s="263"/>
      <c r="CN259" s="263"/>
      <c r="CO259" s="263"/>
      <c r="CP259" s="263"/>
      <c r="CQ259" s="263"/>
      <c r="CR259" s="263"/>
      <c r="CS259" s="263"/>
      <c r="CT259" s="263"/>
      <c r="CU259" s="263"/>
      <c r="CV259" s="263"/>
      <c r="CW259" s="263"/>
      <c r="CX259" s="263"/>
      <c r="CY259" s="263"/>
      <c r="CZ259" s="263"/>
      <c r="DA259" s="263"/>
      <c r="DB259" s="263"/>
      <c r="DC259" s="263"/>
      <c r="DD259" s="263"/>
      <c r="DE259" s="263"/>
      <c r="DF259" s="263"/>
      <c r="DG259" s="263"/>
      <c r="DH259" s="263"/>
      <c r="DI259" s="263"/>
      <c r="DJ259" s="263"/>
      <c r="DK259" s="263"/>
      <c r="DL259" s="263"/>
      <c r="DM259" s="263"/>
      <c r="DN259" s="263"/>
      <c r="DO259" s="263"/>
      <c r="DP259" s="263"/>
      <c r="DQ259" s="263"/>
      <c r="DR259" s="263"/>
      <c r="DS259" s="263"/>
      <c r="DT259" s="263"/>
      <c r="DU259" s="263"/>
      <c r="DV259" s="263"/>
      <c r="DW259" s="263"/>
      <c r="DX259" s="263"/>
      <c r="DY259" s="263"/>
      <c r="DZ259" s="263"/>
      <c r="EA259" s="263"/>
      <c r="EB259" s="263"/>
      <c r="EC259" s="263"/>
      <c r="ED259" s="263"/>
      <c r="EE259" s="263"/>
      <c r="EF259" s="263"/>
      <c r="EG259" s="263"/>
      <c r="EH259" s="263"/>
      <c r="EI259" s="263"/>
      <c r="EJ259" s="263"/>
      <c r="EK259" s="263"/>
      <c r="EL259" s="263"/>
      <c r="EM259" s="263"/>
      <c r="EN259" s="263"/>
      <c r="EO259" s="263"/>
      <c r="EP259" s="263"/>
      <c r="EQ259" s="263"/>
      <c r="ER259" s="263"/>
      <c r="ES259" s="263"/>
      <c r="ET259" s="263"/>
      <c r="EU259" s="263"/>
      <c r="EV259" s="263"/>
      <c r="EW259" s="263"/>
      <c r="EX259" s="263"/>
      <c r="EY259" s="263"/>
      <c r="EZ259" s="263"/>
      <c r="FA259" s="263"/>
      <c r="FB259" s="263"/>
      <c r="FC259" s="263"/>
      <c r="FD259" s="263"/>
      <c r="FE259" s="263"/>
      <c r="FF259" s="263"/>
      <c r="FG259" s="263"/>
      <c r="FH259" s="263"/>
      <c r="FI259" s="263"/>
      <c r="FJ259" s="263"/>
      <c r="FK259" s="263"/>
      <c r="FL259" s="263"/>
      <c r="FM259" s="263"/>
      <c r="FN259" s="263"/>
      <c r="FO259" s="263"/>
      <c r="FP259" s="263"/>
      <c r="FQ259" s="263"/>
      <c r="FR259" s="263"/>
      <c r="FS259" s="263"/>
      <c r="FT259" s="263"/>
      <c r="FU259" s="263"/>
      <c r="FV259" s="263"/>
      <c r="FW259" s="263"/>
      <c r="FX259" s="263"/>
      <c r="FY259" s="263"/>
      <c r="FZ259" s="263"/>
      <c r="GA259" s="263"/>
      <c r="GB259" s="263"/>
      <c r="GC259" s="263"/>
      <c r="GD259" s="263"/>
      <c r="GE259" s="263"/>
      <c r="GF259" s="263"/>
      <c r="GG259" s="263"/>
      <c r="GH259" s="263"/>
      <c r="GI259" s="263"/>
      <c r="GJ259" s="263"/>
      <c r="GK259" s="263"/>
      <c r="GL259" s="263"/>
      <c r="GM259" s="263"/>
      <c r="GN259" s="263"/>
      <c r="GO259" s="263"/>
      <c r="GP259" s="263"/>
      <c r="GQ259" s="263"/>
      <c r="GR259" s="263"/>
      <c r="GS259" s="263"/>
      <c r="GT259" s="263"/>
      <c r="GU259" s="263"/>
      <c r="GV259" s="263"/>
      <c r="GW259" s="263"/>
      <c r="GX259" s="263"/>
      <c r="GY259" s="263"/>
    </row>
    <row r="260" spans="1:207" x14ac:dyDescent="0.15">
      <c r="C260" s="23" t="s">
        <v>275</v>
      </c>
      <c r="D260" s="26" t="s">
        <v>125</v>
      </c>
      <c r="F260" s="26" t="s">
        <v>341</v>
      </c>
      <c r="G260" s="263">
        <f>IF(G7&gt;SAP_Leadsheet!$E$21,0,-G11*SAP_Leadsheet!$E$90*G258)</f>
        <v>-4.6544568633175823E-4</v>
      </c>
      <c r="H260" s="263">
        <f ca="1">IF(H7&gt;SAP_Leadsheet!$E$21,0,-H11*SAP_Leadsheet!$E$90*H258)</f>
        <v>-4.4828538158558657E-4</v>
      </c>
      <c r="I260" s="263">
        <f ca="1">IF(I7&gt;SAP_Leadsheet!$E$21,0,-I11*SAP_Leadsheet!$E$90*I258)</f>
        <v>-4.3112507683941491E-4</v>
      </c>
      <c r="J260" s="263">
        <f ca="1">IF(J7&gt;SAP_Leadsheet!$E$21,0,-J11*SAP_Leadsheet!$E$90*J258)</f>
        <v>-4.1396477209324324E-4</v>
      </c>
      <c r="K260" s="263">
        <f ca="1">IF(K7&gt;SAP_Leadsheet!$E$21,0,-K11*SAP_Leadsheet!$E$90*K258)</f>
        <v>-3.9680446734707153E-4</v>
      </c>
      <c r="L260" s="263">
        <f ca="1">IF(L7&gt;SAP_Leadsheet!$E$21,0,-L11*SAP_Leadsheet!$E$90*L258)</f>
        <v>-3.7964416260089987E-4</v>
      </c>
      <c r="M260" s="263">
        <f ca="1">IF(M7&gt;SAP_Leadsheet!$E$21,0,-M11*SAP_Leadsheet!$E$90*M258)</f>
        <v>-3.624838578547282E-4</v>
      </c>
      <c r="N260" s="263">
        <f ca="1">IF(N7&gt;SAP_Leadsheet!$E$21,0,-N11*SAP_Leadsheet!$E$90*N258)</f>
        <v>-3.453235531085566E-4</v>
      </c>
      <c r="O260" s="263">
        <f ca="1">IF(O7&gt;SAP_Leadsheet!$E$21,0,-O11*SAP_Leadsheet!$E$90*O258)</f>
        <v>-3.2816324836238493E-4</v>
      </c>
      <c r="P260" s="263">
        <f ca="1">IF(P7&gt;SAP_Leadsheet!$E$21,0,-P11*SAP_Leadsheet!$E$90*P258)</f>
        <v>-3.1100294361621333E-4</v>
      </c>
      <c r="Q260" s="263">
        <f ca="1">IF(Q7&gt;SAP_Leadsheet!$E$21,0,-Q11*SAP_Leadsheet!$E$90*Q258)</f>
        <v>-2.9384263887004166E-4</v>
      </c>
      <c r="R260" s="263">
        <f ca="1">IF(R7&gt;SAP_Leadsheet!$E$21,0,-R11*SAP_Leadsheet!$E$90*R258)</f>
        <v>-2.7668233412387006E-4</v>
      </c>
      <c r="S260" s="263">
        <f ca="1">IF(S7&gt;SAP_Leadsheet!$E$21,0,-S11*SAP_Leadsheet!$E$90*S258)</f>
        <v>-2.7939746141384075E-4</v>
      </c>
      <c r="T260" s="263">
        <f ca="1">IF(T7&gt;SAP_Leadsheet!$E$21,0,-T11*SAP_Leadsheet!$E$90*T258)</f>
        <v>-2.7242870700947604E-4</v>
      </c>
      <c r="U260" s="263">
        <f ca="1">IF(U7&gt;SAP_Leadsheet!$E$21,0,-U11*SAP_Leadsheet!$E$90*U258)</f>
        <v>-2.6545995260511134E-4</v>
      </c>
      <c r="V260" s="263">
        <f ca="1">IF(V7&gt;SAP_Leadsheet!$E$21,0,-V11*SAP_Leadsheet!$E$90*V258)</f>
        <v>-2.5849119820074663E-4</v>
      </c>
      <c r="W260" s="263">
        <f ca="1">IF(W7&gt;SAP_Leadsheet!$E$21,0,-W11*SAP_Leadsheet!$E$90*W258)</f>
        <v>-2.5152244379638192E-4</v>
      </c>
      <c r="X260" s="263">
        <f ca="1">IF(X7&gt;SAP_Leadsheet!$E$21,0,-X11*SAP_Leadsheet!$E$90*X258)</f>
        <v>-2.4455368939201722E-4</v>
      </c>
      <c r="Y260" s="263">
        <f ca="1">IF(Y7&gt;SAP_Leadsheet!$E$21,0,-Y11*SAP_Leadsheet!$E$90*Y258)</f>
        <v>-2.3758493498765248E-4</v>
      </c>
      <c r="Z260" s="263">
        <f ca="1">IF(Z7&gt;SAP_Leadsheet!$E$21,0,-Z11*SAP_Leadsheet!$E$90*Z258)</f>
        <v>-2.3061618058328777E-4</v>
      </c>
      <c r="AA260" s="263">
        <f ca="1">IF(AA7&gt;SAP_Leadsheet!$E$21,0,-AA11*SAP_Leadsheet!$E$90*AA258)</f>
        <v>-2.2364742617892307E-4</v>
      </c>
      <c r="AB260" s="263">
        <f ca="1">IF(AB7&gt;SAP_Leadsheet!$E$21,0,-AB11*SAP_Leadsheet!$E$90*AB258)</f>
        <v>-2.1667867177455836E-4</v>
      </c>
      <c r="AC260" s="263">
        <f ca="1">IF(AC7&gt;SAP_Leadsheet!$E$21,0,-AC11*SAP_Leadsheet!$E$90*AC258)</f>
        <v>-2.0970991737019362E-4</v>
      </c>
      <c r="AD260" s="263">
        <f ca="1">IF(AD7&gt;SAP_Leadsheet!$E$21,0,-AD11*SAP_Leadsheet!$E$90*AD258)</f>
        <v>-2.0983710366963293E-4</v>
      </c>
      <c r="AE260" s="263">
        <f ca="1">IF(AE7&gt;SAP_Leadsheet!$E$21,0,-AE11*SAP_Leadsheet!$E$90*AE258)</f>
        <v>-2.0548149031574046E-4</v>
      </c>
      <c r="AF260" s="263">
        <f ca="1">IF(AF7&gt;SAP_Leadsheet!$E$21,0,-AF11*SAP_Leadsheet!$E$90*AF258)</f>
        <v>-2.01125876961848E-4</v>
      </c>
      <c r="AG260" s="263">
        <f ca="1">IF(AG7&gt;SAP_Leadsheet!$E$21,0,-AG11*SAP_Leadsheet!$E$90*AG258)</f>
        <v>-1.9677026360795556E-4</v>
      </c>
      <c r="AH260" s="263">
        <f ca="1">IF(AH7&gt;SAP_Leadsheet!$E$21,0,-AH11*SAP_Leadsheet!$E$90*AH258)</f>
        <v>-1.924146502540631E-4</v>
      </c>
      <c r="AI260" s="263">
        <f ca="1">IF(AI7&gt;SAP_Leadsheet!$E$21,0,-AI11*SAP_Leadsheet!$E$90*AI258)</f>
        <v>-1.8805903690017063E-4</v>
      </c>
      <c r="AJ260" s="263">
        <f ca="1">IF(AJ7&gt;SAP_Leadsheet!$E$21,0,-AJ11*SAP_Leadsheet!$E$90*AJ258)</f>
        <v>-1.8370342354627814E-4</v>
      </c>
      <c r="AK260" s="263">
        <f ca="1">IF(AK7&gt;SAP_Leadsheet!$E$21,0,-AK11*SAP_Leadsheet!$E$90*AK258)</f>
        <v>-1.7934781019238568E-4</v>
      </c>
      <c r="AL260" s="263">
        <f ca="1">IF(AL7&gt;SAP_Leadsheet!$E$21,0,-AL11*SAP_Leadsheet!$E$90*AL258)</f>
        <v>-1.7499219683849321E-4</v>
      </c>
      <c r="AM260" s="263">
        <f ca="1">IF(AM7&gt;SAP_Leadsheet!$E$21,0,-AM11*SAP_Leadsheet!$E$90*AM258)</f>
        <v>-1.7063658348460078E-4</v>
      </c>
      <c r="AN260" s="263">
        <f ca="1">IF(AN7&gt;SAP_Leadsheet!$E$21,0,-AN11*SAP_Leadsheet!$E$90*AN258)</f>
        <v>-1.6628097013070831E-4</v>
      </c>
      <c r="AO260" s="263">
        <f ca="1">IF(AO7&gt;SAP_Leadsheet!$E$21,0,-AO11*SAP_Leadsheet!$E$90*AO258)</f>
        <v>-1.6192535677681585E-4</v>
      </c>
      <c r="AP260" s="263">
        <f ca="1">IF(AP7&gt;SAP_Leadsheet!$E$21,0,-AP11*SAP_Leadsheet!$E$90*AP258)</f>
        <v>-1.6308468444272567E-4</v>
      </c>
      <c r="AQ260" s="263">
        <f ca="1">IF(AQ7&gt;SAP_Leadsheet!$E$21,0,-AQ11*SAP_Leadsheet!$E$90*AQ258)</f>
        <v>-1.5964562019721168E-4</v>
      </c>
      <c r="AR260" s="263">
        <f ca="1">IF(AR7&gt;SAP_Leadsheet!$E$21,0,-AR11*SAP_Leadsheet!$E$90*AR258)</f>
        <v>-1.5620655595169767E-4</v>
      </c>
      <c r="AS260" s="263">
        <f ca="1">IF(AS7&gt;SAP_Leadsheet!$E$21,0,-AS11*SAP_Leadsheet!$E$90*AS258)</f>
        <v>-1.5276749170618369E-4</v>
      </c>
      <c r="AT260" s="263">
        <f ca="1">IF(AT7&gt;SAP_Leadsheet!$E$21,0,-AT11*SAP_Leadsheet!$E$90*AT258)</f>
        <v>-1.493284274606697E-4</v>
      </c>
      <c r="AU260" s="263">
        <f ca="1">IF(AU7&gt;SAP_Leadsheet!$E$21,0,-AU11*SAP_Leadsheet!$E$90*AU258)</f>
        <v>-1.4588936321515569E-4</v>
      </c>
      <c r="AV260" s="263">
        <f ca="1">IF(AV7&gt;SAP_Leadsheet!$E$21,0,-AV11*SAP_Leadsheet!$E$90*AV258)</f>
        <v>-1.4245029896964171E-4</v>
      </c>
      <c r="AW260" s="263">
        <f ca="1">IF(AW7&gt;SAP_Leadsheet!$E$21,0,-AW11*SAP_Leadsheet!$E$90*AW258)</f>
        <v>-1.3901123472412772E-4</v>
      </c>
      <c r="AX260" s="263">
        <f ca="1">IF(AX7&gt;SAP_Leadsheet!$E$21,0,-AX11*SAP_Leadsheet!$E$90*AX258)</f>
        <v>-1.3557217047861374E-4</v>
      </c>
      <c r="AY260" s="263">
        <f ca="1">IF(AY7&gt;SAP_Leadsheet!$E$21,0,-AY11*SAP_Leadsheet!$E$90*AY258)</f>
        <v>-1.3213310623309973E-4</v>
      </c>
      <c r="AZ260" s="263">
        <f ca="1">IF(AZ7&gt;SAP_Leadsheet!$E$21,0,-AZ11*SAP_Leadsheet!$E$90*AZ258)</f>
        <v>-1.2869404198758574E-4</v>
      </c>
      <c r="BA260" s="263">
        <f ca="1">IF(BA7&gt;SAP_Leadsheet!$E$21,0,-BA11*SAP_Leadsheet!$E$90*BA258)</f>
        <v>-1.2525497774207176E-4</v>
      </c>
      <c r="BB260" s="263">
        <f ca="1">IF(BB7&gt;SAP_Leadsheet!$E$21,0,-BB11*SAP_Leadsheet!$E$90*BB258)</f>
        <v>-1.2607947046893727E-4</v>
      </c>
      <c r="BC260" s="263">
        <f ca="1">IF(BC7&gt;SAP_Leadsheet!$E$21,0,-BC11*SAP_Leadsheet!$E$90*BC258)</f>
        <v>-1.2274848847887055E-4</v>
      </c>
      <c r="BD260" s="263">
        <f ca="1">IF(BD7&gt;SAP_Leadsheet!$E$21,0,-BD11*SAP_Leadsheet!$E$90*BD258)</f>
        <v>-1.1941750648880383E-4</v>
      </c>
      <c r="BE260" s="263">
        <f ca="1">IF(BE7&gt;SAP_Leadsheet!$E$21,0,-BE11*SAP_Leadsheet!$E$90*BE258)</f>
        <v>-1.1608652449873711E-4</v>
      </c>
      <c r="BF260" s="263">
        <f ca="1">IF(BF7&gt;SAP_Leadsheet!$E$21,0,-BF11*SAP_Leadsheet!$E$90*BF258)</f>
        <v>-1.1275554250867038E-4</v>
      </c>
      <c r="BG260" s="263">
        <f ca="1">IF(BG7&gt;SAP_Leadsheet!$E$21,0,-BG11*SAP_Leadsheet!$E$90*BG258)</f>
        <v>-1.0942456051860366E-4</v>
      </c>
      <c r="BH260" s="263">
        <f ca="1">IF(BH7&gt;SAP_Leadsheet!$E$21,0,-BH11*SAP_Leadsheet!$E$90*BH258)</f>
        <v>-1.0609357852853694E-4</v>
      </c>
      <c r="BI260" s="263">
        <f ca="1">IF(BI7&gt;SAP_Leadsheet!$E$21,0,-BI11*SAP_Leadsheet!$E$90*BI258)</f>
        <v>-1.0276259653847022E-4</v>
      </c>
      <c r="BJ260" s="263">
        <f ca="1">IF(BJ7&gt;SAP_Leadsheet!$E$21,0,-BJ11*SAP_Leadsheet!$E$90*BJ258)</f>
        <v>-9.9431614548403516E-5</v>
      </c>
      <c r="BK260" s="263">
        <f ca="1">IF(BK7&gt;SAP_Leadsheet!$E$21,0,-BK11*SAP_Leadsheet!$E$90*BK258)</f>
        <v>-9.6100632558336797E-5</v>
      </c>
      <c r="BL260" s="263">
        <f ca="1">IF(BL7&gt;SAP_Leadsheet!$E$21,0,-BL11*SAP_Leadsheet!$E$90*BL258)</f>
        <v>-9.2769650568270078E-5</v>
      </c>
      <c r="BM260" s="263">
        <f ca="1">IF(BM7&gt;SAP_Leadsheet!$E$21,0,-BM11*SAP_Leadsheet!$E$90*BM258)</f>
        <v>-8.9438668578203372E-5</v>
      </c>
      <c r="BN260" s="263">
        <f ca="1">IF(BN7&gt;SAP_Leadsheet!$E$21,0,-BN11*SAP_Leadsheet!$E$90*BN258)</f>
        <v>-8.9121455618721424E-5</v>
      </c>
      <c r="BO260" s="263"/>
      <c r="BP260" s="263"/>
      <c r="BQ260" s="263"/>
      <c r="BR260" s="263"/>
      <c r="BS260" s="263"/>
      <c r="BT260" s="263"/>
      <c r="BU260" s="263"/>
      <c r="BV260" s="263"/>
      <c r="BW260" s="263"/>
      <c r="BX260" s="263"/>
      <c r="BY260" s="263"/>
      <c r="BZ260" s="263"/>
      <c r="CA260" s="263"/>
      <c r="CB260" s="263"/>
      <c r="CC260" s="263"/>
      <c r="CD260" s="263"/>
      <c r="CE260" s="263"/>
      <c r="CF260" s="263"/>
      <c r="CG260" s="263"/>
      <c r="CH260" s="263"/>
      <c r="CI260" s="263"/>
      <c r="CJ260" s="263"/>
      <c r="CK260" s="263"/>
      <c r="CL260" s="263"/>
      <c r="CM260" s="263"/>
      <c r="CN260" s="263"/>
      <c r="CO260" s="263"/>
      <c r="CP260" s="263"/>
      <c r="CQ260" s="263"/>
      <c r="CR260" s="263"/>
      <c r="CS260" s="263"/>
      <c r="CT260" s="263"/>
      <c r="CU260" s="263"/>
      <c r="CV260" s="263"/>
      <c r="CW260" s="263"/>
      <c r="CX260" s="263"/>
      <c r="CY260" s="263"/>
      <c r="CZ260" s="263"/>
      <c r="DA260" s="263"/>
      <c r="DB260" s="263"/>
      <c r="DC260" s="263"/>
      <c r="DD260" s="263"/>
      <c r="DE260" s="263"/>
      <c r="DF260" s="263"/>
      <c r="DG260" s="263"/>
      <c r="DH260" s="263"/>
      <c r="DI260" s="263"/>
      <c r="DJ260" s="263"/>
      <c r="DK260" s="263"/>
      <c r="DL260" s="263"/>
      <c r="DM260" s="263"/>
      <c r="DN260" s="263"/>
      <c r="DO260" s="263"/>
      <c r="DP260" s="263"/>
      <c r="DQ260" s="263"/>
      <c r="DR260" s="263"/>
      <c r="DS260" s="263"/>
      <c r="DT260" s="263"/>
      <c r="DU260" s="263"/>
      <c r="DV260" s="263"/>
      <c r="DW260" s="263"/>
      <c r="DX260" s="263"/>
      <c r="DY260" s="263"/>
      <c r="DZ260" s="263"/>
      <c r="EA260" s="263"/>
      <c r="EB260" s="263"/>
      <c r="EC260" s="263"/>
      <c r="ED260" s="263"/>
      <c r="EE260" s="263"/>
      <c r="EF260" s="263"/>
      <c r="EG260" s="263"/>
      <c r="EH260" s="263"/>
      <c r="EI260" s="263"/>
      <c r="EJ260" s="263"/>
      <c r="EK260" s="263"/>
      <c r="EL260" s="263"/>
      <c r="EM260" s="263"/>
      <c r="EN260" s="263"/>
      <c r="EO260" s="263"/>
      <c r="EP260" s="263"/>
      <c r="EQ260" s="263"/>
      <c r="ER260" s="263"/>
      <c r="ES260" s="263"/>
      <c r="ET260" s="263"/>
      <c r="EU260" s="263"/>
      <c r="EV260" s="263"/>
      <c r="EW260" s="263"/>
      <c r="EX260" s="263"/>
      <c r="EY260" s="263"/>
      <c r="EZ260" s="263"/>
      <c r="FA260" s="263"/>
      <c r="FB260" s="263"/>
      <c r="FC260" s="263"/>
      <c r="FD260" s="263"/>
      <c r="FE260" s="263"/>
      <c r="FF260" s="263"/>
      <c r="FG260" s="263"/>
      <c r="FH260" s="263"/>
      <c r="FI260" s="263"/>
      <c r="FJ260" s="263"/>
      <c r="FK260" s="263"/>
      <c r="FL260" s="263"/>
      <c r="FM260" s="263"/>
      <c r="FN260" s="263"/>
      <c r="FO260" s="263"/>
      <c r="FP260" s="263"/>
      <c r="FQ260" s="263"/>
      <c r="FR260" s="263"/>
      <c r="FS260" s="263"/>
      <c r="FT260" s="263"/>
      <c r="FU260" s="263"/>
      <c r="FV260" s="263"/>
      <c r="FW260" s="263"/>
      <c r="FX260" s="263"/>
      <c r="FY260" s="263"/>
      <c r="FZ260" s="263"/>
      <c r="GA260" s="263"/>
      <c r="GB260" s="263"/>
      <c r="GC260" s="263"/>
      <c r="GD260" s="263"/>
      <c r="GE260" s="263"/>
      <c r="GF260" s="263"/>
      <c r="GG260" s="263"/>
      <c r="GH260" s="263"/>
      <c r="GI260" s="263"/>
      <c r="GJ260" s="263"/>
      <c r="GK260" s="263"/>
      <c r="GL260" s="263"/>
      <c r="GM260" s="263"/>
      <c r="GN260" s="263"/>
      <c r="GO260" s="263"/>
      <c r="GP260" s="263"/>
      <c r="GQ260" s="263"/>
      <c r="GR260" s="263"/>
      <c r="GS260" s="263"/>
      <c r="GT260" s="263"/>
      <c r="GU260" s="263"/>
      <c r="GV260" s="263"/>
      <c r="GW260" s="263"/>
      <c r="GX260" s="263"/>
      <c r="GY260" s="263"/>
    </row>
    <row r="261" spans="1:207" hidden="1" x14ac:dyDescent="0.15">
      <c r="C261" s="23"/>
      <c r="D261" s="26" t="s">
        <v>127</v>
      </c>
      <c r="F261" s="26" t="s">
        <v>341</v>
      </c>
      <c r="G261" s="263"/>
      <c r="H261" s="263"/>
      <c r="I261" s="263"/>
      <c r="J261" s="263"/>
      <c r="K261" s="263"/>
      <c r="L261" s="263"/>
      <c r="M261" s="263"/>
      <c r="N261" s="263"/>
      <c r="O261" s="263"/>
      <c r="P261" s="263"/>
      <c r="Q261" s="263"/>
      <c r="R261" s="263"/>
      <c r="S261" s="263"/>
      <c r="T261" s="263"/>
      <c r="U261" s="263"/>
      <c r="V261" s="263"/>
      <c r="W261" s="263"/>
      <c r="X261" s="263"/>
      <c r="Y261" s="263"/>
      <c r="Z261" s="263"/>
      <c r="AA261" s="263"/>
      <c r="AB261" s="263"/>
      <c r="AC261" s="263"/>
      <c r="AD261" s="263"/>
      <c r="AE261" s="263"/>
      <c r="AF261" s="263"/>
      <c r="AG261" s="263"/>
      <c r="AH261" s="263"/>
      <c r="AI261" s="263"/>
      <c r="AJ261" s="263"/>
      <c r="AK261" s="263"/>
      <c r="AL261" s="263"/>
      <c r="AM261" s="263"/>
      <c r="AN261" s="263"/>
      <c r="AO261" s="263"/>
      <c r="AP261" s="263"/>
      <c r="AQ261" s="263"/>
      <c r="AR261" s="263"/>
      <c r="AS261" s="263"/>
      <c r="AT261" s="263"/>
      <c r="AU261" s="263"/>
      <c r="AV261" s="263"/>
      <c r="AW261" s="263"/>
      <c r="AX261" s="263"/>
      <c r="AY261" s="263"/>
      <c r="AZ261" s="263"/>
      <c r="BA261" s="263"/>
      <c r="BB261" s="263"/>
      <c r="BC261" s="263"/>
      <c r="BD261" s="263"/>
      <c r="BE261" s="263"/>
      <c r="BF261" s="263"/>
      <c r="BG261" s="263"/>
      <c r="BH261" s="263"/>
      <c r="BI261" s="263"/>
      <c r="BJ261" s="263"/>
      <c r="BK261" s="263"/>
      <c r="BL261" s="263"/>
      <c r="BM261" s="263"/>
      <c r="BN261" s="263"/>
      <c r="BO261" s="263"/>
      <c r="BP261" s="263"/>
      <c r="BQ261" s="263"/>
      <c r="BR261" s="263"/>
      <c r="BS261" s="263"/>
      <c r="BT261" s="263"/>
      <c r="BU261" s="263"/>
      <c r="BV261" s="263"/>
      <c r="BW261" s="263"/>
      <c r="BX261" s="263"/>
      <c r="BY261" s="263"/>
      <c r="BZ261" s="263"/>
      <c r="CA261" s="263"/>
      <c r="CB261" s="263"/>
      <c r="CC261" s="263"/>
      <c r="CD261" s="263"/>
      <c r="CE261" s="263"/>
      <c r="CF261" s="263"/>
      <c r="CG261" s="263"/>
      <c r="CH261" s="263"/>
      <c r="CI261" s="263"/>
      <c r="CJ261" s="263"/>
      <c r="CK261" s="263"/>
      <c r="CL261" s="263"/>
      <c r="CM261" s="263"/>
      <c r="CN261" s="263"/>
      <c r="CO261" s="263"/>
      <c r="CP261" s="263"/>
      <c r="CQ261" s="263"/>
      <c r="CR261" s="263"/>
      <c r="CS261" s="263"/>
      <c r="CT261" s="263"/>
      <c r="CU261" s="263"/>
      <c r="CV261" s="263"/>
      <c r="CW261" s="263"/>
      <c r="CX261" s="263"/>
      <c r="CY261" s="263"/>
      <c r="CZ261" s="263"/>
      <c r="DA261" s="263"/>
      <c r="DB261" s="263"/>
      <c r="DC261" s="263"/>
      <c r="DD261" s="263"/>
      <c r="DE261" s="263"/>
      <c r="DF261" s="263"/>
      <c r="DG261" s="263"/>
      <c r="DH261" s="263"/>
      <c r="DI261" s="263"/>
      <c r="DJ261" s="263"/>
      <c r="DK261" s="263"/>
      <c r="DL261" s="263"/>
      <c r="DM261" s="263"/>
      <c r="DN261" s="263"/>
      <c r="DO261" s="263"/>
      <c r="DP261" s="263"/>
      <c r="DQ261" s="263"/>
      <c r="DR261" s="263"/>
      <c r="DS261" s="263"/>
      <c r="DT261" s="263"/>
      <c r="DU261" s="263"/>
      <c r="DV261" s="263"/>
      <c r="DW261" s="263"/>
      <c r="DX261" s="263"/>
      <c r="DY261" s="263"/>
      <c r="DZ261" s="263"/>
      <c r="EA261" s="263"/>
      <c r="EB261" s="263"/>
      <c r="EC261" s="263"/>
      <c r="ED261" s="263"/>
      <c r="EE261" s="263"/>
      <c r="EF261" s="263"/>
      <c r="EG261" s="263"/>
      <c r="EH261" s="263"/>
      <c r="EI261" s="263"/>
      <c r="EJ261" s="263"/>
      <c r="EK261" s="263"/>
      <c r="EL261" s="263"/>
      <c r="EM261" s="263"/>
      <c r="EN261" s="263"/>
      <c r="EO261" s="263"/>
      <c r="EP261" s="263"/>
      <c r="EQ261" s="263"/>
      <c r="ER261" s="263"/>
      <c r="ES261" s="263"/>
      <c r="ET261" s="263"/>
      <c r="EU261" s="263"/>
      <c r="EV261" s="263"/>
      <c r="EW261" s="263"/>
      <c r="EX261" s="263"/>
      <c r="EY261" s="263"/>
      <c r="EZ261" s="263"/>
      <c r="FA261" s="263"/>
      <c r="FB261" s="263"/>
      <c r="FC261" s="263"/>
      <c r="FD261" s="263"/>
      <c r="FE261" s="263"/>
      <c r="FF261" s="263"/>
      <c r="FG261" s="263"/>
      <c r="FH261" s="263"/>
      <c r="FI261" s="263"/>
      <c r="FJ261" s="263"/>
      <c r="FK261" s="263"/>
      <c r="FL261" s="263"/>
      <c r="FM261" s="263"/>
      <c r="FN261" s="263"/>
      <c r="FO261" s="263"/>
      <c r="FP261" s="263"/>
      <c r="FQ261" s="263"/>
      <c r="FR261" s="263"/>
      <c r="FS261" s="263"/>
      <c r="FT261" s="263"/>
      <c r="FU261" s="263"/>
      <c r="FV261" s="263"/>
      <c r="FW261" s="263"/>
      <c r="FX261" s="263"/>
      <c r="FY261" s="263"/>
      <c r="FZ261" s="263"/>
      <c r="GA261" s="263"/>
      <c r="GB261" s="263"/>
      <c r="GC261" s="263"/>
      <c r="GD261" s="263"/>
      <c r="GE261" s="263"/>
      <c r="GF261" s="263"/>
      <c r="GG261" s="263"/>
      <c r="GH261" s="263"/>
      <c r="GI261" s="263"/>
      <c r="GJ261" s="263"/>
      <c r="GK261" s="263"/>
      <c r="GL261" s="263"/>
      <c r="GM261" s="263"/>
      <c r="GN261" s="263"/>
      <c r="GO261" s="263"/>
      <c r="GP261" s="263"/>
      <c r="GQ261" s="263"/>
      <c r="GR261" s="263"/>
      <c r="GS261" s="263"/>
      <c r="GT261" s="263"/>
      <c r="GU261" s="263"/>
      <c r="GV261" s="263"/>
      <c r="GW261" s="263"/>
      <c r="GX261" s="263"/>
      <c r="GY261" s="263"/>
    </row>
    <row r="262" spans="1:207" hidden="1" x14ac:dyDescent="0.15">
      <c r="C262" s="23"/>
      <c r="D262" s="26" t="s">
        <v>127</v>
      </c>
      <c r="F262" s="26" t="s">
        <v>341</v>
      </c>
      <c r="G262" s="263"/>
      <c r="H262" s="263"/>
      <c r="I262" s="263"/>
      <c r="J262" s="263"/>
      <c r="K262" s="263"/>
      <c r="L262" s="263"/>
      <c r="M262" s="263"/>
      <c r="N262" s="263"/>
      <c r="O262" s="263"/>
      <c r="P262" s="263"/>
      <c r="Q262" s="263"/>
      <c r="R262" s="263"/>
      <c r="S262" s="263"/>
      <c r="T262" s="263"/>
      <c r="U262" s="263"/>
      <c r="V262" s="263"/>
      <c r="W262" s="263"/>
      <c r="X262" s="263"/>
      <c r="Y262" s="263"/>
      <c r="Z262" s="263"/>
      <c r="AA262" s="263"/>
      <c r="AB262" s="263"/>
      <c r="AC262" s="263"/>
      <c r="AD262" s="263"/>
      <c r="AE262" s="263"/>
      <c r="AF262" s="263"/>
      <c r="AG262" s="263"/>
      <c r="AH262" s="263"/>
      <c r="AI262" s="263"/>
      <c r="AJ262" s="263"/>
      <c r="AK262" s="263"/>
      <c r="AL262" s="263"/>
      <c r="AM262" s="263"/>
      <c r="AN262" s="263"/>
      <c r="AO262" s="263"/>
      <c r="AP262" s="263"/>
      <c r="AQ262" s="263"/>
      <c r="AR262" s="263"/>
      <c r="AS262" s="263"/>
      <c r="AT262" s="263"/>
      <c r="AU262" s="263"/>
      <c r="AV262" s="263"/>
      <c r="AW262" s="263"/>
      <c r="AX262" s="263"/>
      <c r="AY262" s="263"/>
      <c r="AZ262" s="263"/>
      <c r="BA262" s="263"/>
      <c r="BB262" s="263"/>
      <c r="BC262" s="263"/>
      <c r="BD262" s="263"/>
      <c r="BE262" s="263"/>
      <c r="BF262" s="263"/>
      <c r="BG262" s="263"/>
      <c r="BH262" s="263"/>
      <c r="BI262" s="263"/>
      <c r="BJ262" s="263"/>
      <c r="BK262" s="263"/>
      <c r="BL262" s="263"/>
      <c r="BM262" s="263"/>
      <c r="BN262" s="263"/>
      <c r="BO262" s="263"/>
      <c r="BP262" s="263"/>
      <c r="BQ262" s="263"/>
      <c r="BR262" s="263"/>
      <c r="BS262" s="263"/>
      <c r="BT262" s="263"/>
      <c r="BU262" s="263"/>
      <c r="BV262" s="263"/>
      <c r="BW262" s="263"/>
      <c r="BX262" s="263"/>
      <c r="BY262" s="263"/>
      <c r="BZ262" s="263"/>
      <c r="CA262" s="263"/>
      <c r="CB262" s="263"/>
      <c r="CC262" s="263"/>
      <c r="CD262" s="263"/>
      <c r="CE262" s="263"/>
      <c r="CF262" s="263"/>
      <c r="CG262" s="263"/>
      <c r="CH262" s="263"/>
      <c r="CI262" s="263"/>
      <c r="CJ262" s="263"/>
      <c r="CK262" s="263"/>
      <c r="CL262" s="263"/>
      <c r="CM262" s="263"/>
      <c r="CN262" s="263"/>
      <c r="CO262" s="263"/>
      <c r="CP262" s="263"/>
      <c r="CQ262" s="263"/>
      <c r="CR262" s="263"/>
      <c r="CS262" s="263"/>
      <c r="CT262" s="263"/>
      <c r="CU262" s="263"/>
      <c r="CV262" s="263"/>
      <c r="CW262" s="263"/>
      <c r="CX262" s="263"/>
      <c r="CY262" s="263"/>
      <c r="CZ262" s="263"/>
      <c r="DA262" s="263"/>
      <c r="DB262" s="263"/>
      <c r="DC262" s="263"/>
      <c r="DD262" s="263"/>
      <c r="DE262" s="263"/>
      <c r="DF262" s="263"/>
      <c r="DG262" s="263"/>
      <c r="DH262" s="263"/>
      <c r="DI262" s="263"/>
      <c r="DJ262" s="263"/>
      <c r="DK262" s="263"/>
      <c r="DL262" s="263"/>
      <c r="DM262" s="263"/>
      <c r="DN262" s="263"/>
      <c r="DO262" s="263"/>
      <c r="DP262" s="263"/>
      <c r="DQ262" s="263"/>
      <c r="DR262" s="263"/>
      <c r="DS262" s="263"/>
      <c r="DT262" s="263"/>
      <c r="DU262" s="263"/>
      <c r="DV262" s="263"/>
      <c r="DW262" s="263"/>
      <c r="DX262" s="263"/>
      <c r="DY262" s="263"/>
      <c r="DZ262" s="263"/>
      <c r="EA262" s="263"/>
      <c r="EB262" s="263"/>
      <c r="EC262" s="263"/>
      <c r="ED262" s="263"/>
      <c r="EE262" s="263"/>
      <c r="EF262" s="263"/>
      <c r="EG262" s="263"/>
      <c r="EH262" s="263"/>
      <c r="EI262" s="263"/>
      <c r="EJ262" s="263"/>
      <c r="EK262" s="263"/>
      <c r="EL262" s="263"/>
      <c r="EM262" s="263"/>
      <c r="EN262" s="263"/>
      <c r="EO262" s="263"/>
      <c r="EP262" s="263"/>
      <c r="EQ262" s="263"/>
      <c r="ER262" s="263"/>
      <c r="ES262" s="263"/>
      <c r="ET262" s="263"/>
      <c r="EU262" s="263"/>
      <c r="EV262" s="263"/>
      <c r="EW262" s="263"/>
      <c r="EX262" s="263"/>
      <c r="EY262" s="263"/>
      <c r="EZ262" s="263"/>
      <c r="FA262" s="263"/>
      <c r="FB262" s="263"/>
      <c r="FC262" s="263"/>
      <c r="FD262" s="263"/>
      <c r="FE262" s="263"/>
      <c r="FF262" s="263"/>
      <c r="FG262" s="263"/>
      <c r="FH262" s="263"/>
      <c r="FI262" s="263"/>
      <c r="FJ262" s="263"/>
      <c r="FK262" s="263"/>
      <c r="FL262" s="263"/>
      <c r="FM262" s="263"/>
      <c r="FN262" s="263"/>
      <c r="FO262" s="263"/>
      <c r="FP262" s="263"/>
      <c r="FQ262" s="263"/>
      <c r="FR262" s="263"/>
      <c r="FS262" s="263"/>
      <c r="FT262" s="263"/>
      <c r="FU262" s="263"/>
      <c r="FV262" s="263"/>
      <c r="FW262" s="263"/>
      <c r="FX262" s="263"/>
      <c r="FY262" s="263"/>
      <c r="FZ262" s="263"/>
      <c r="GA262" s="263"/>
      <c r="GB262" s="263"/>
      <c r="GC262" s="263"/>
      <c r="GD262" s="263"/>
      <c r="GE262" s="263"/>
      <c r="GF262" s="263"/>
      <c r="GG262" s="263"/>
      <c r="GH262" s="263"/>
      <c r="GI262" s="263"/>
      <c r="GJ262" s="263"/>
      <c r="GK262" s="263"/>
      <c r="GL262" s="263"/>
      <c r="GM262" s="263"/>
      <c r="GN262" s="263"/>
      <c r="GO262" s="263"/>
      <c r="GP262" s="263"/>
      <c r="GQ262" s="263"/>
      <c r="GR262" s="263"/>
      <c r="GS262" s="263"/>
      <c r="GT262" s="263"/>
      <c r="GU262" s="263"/>
      <c r="GV262" s="263"/>
      <c r="GW262" s="263"/>
      <c r="GX262" s="263"/>
      <c r="GY262" s="263"/>
    </row>
    <row r="263" spans="1:207" x14ac:dyDescent="0.15">
      <c r="C263" s="23"/>
      <c r="D263" s="289" t="s">
        <v>404</v>
      </c>
      <c r="F263" s="23" t="s">
        <v>341</v>
      </c>
      <c r="G263" s="262">
        <f>SUM(G260:G262)</f>
        <v>-4.6544568633175823E-4</v>
      </c>
      <c r="H263" s="262">
        <f t="shared" ref="H263:AP263" ca="1" si="36">SUM(H260:H262)</f>
        <v>-4.4828538158558657E-4</v>
      </c>
      <c r="I263" s="262">
        <f t="shared" ca="1" si="36"/>
        <v>-4.3112507683941491E-4</v>
      </c>
      <c r="J263" s="262">
        <f t="shared" ca="1" si="36"/>
        <v>-4.1396477209324324E-4</v>
      </c>
      <c r="K263" s="262">
        <f t="shared" ca="1" si="36"/>
        <v>-3.9680446734707153E-4</v>
      </c>
      <c r="L263" s="262">
        <f t="shared" ca="1" si="36"/>
        <v>-3.7964416260089987E-4</v>
      </c>
      <c r="M263" s="262">
        <f t="shared" ca="1" si="36"/>
        <v>-3.624838578547282E-4</v>
      </c>
      <c r="N263" s="262">
        <f t="shared" ca="1" si="36"/>
        <v>-3.453235531085566E-4</v>
      </c>
      <c r="O263" s="262">
        <f t="shared" ca="1" si="36"/>
        <v>-3.2816324836238493E-4</v>
      </c>
      <c r="P263" s="262">
        <f t="shared" ca="1" si="36"/>
        <v>-3.1100294361621333E-4</v>
      </c>
      <c r="Q263" s="262">
        <f t="shared" ca="1" si="36"/>
        <v>-2.9384263887004166E-4</v>
      </c>
      <c r="R263" s="262">
        <f t="shared" ca="1" si="36"/>
        <v>-2.7668233412387006E-4</v>
      </c>
      <c r="S263" s="262">
        <f t="shared" ca="1" si="36"/>
        <v>-2.7939746141384075E-4</v>
      </c>
      <c r="T263" s="262">
        <f t="shared" ca="1" si="36"/>
        <v>-2.7242870700947604E-4</v>
      </c>
      <c r="U263" s="262">
        <f t="shared" ca="1" si="36"/>
        <v>-2.6545995260511134E-4</v>
      </c>
      <c r="V263" s="262">
        <f t="shared" ca="1" si="36"/>
        <v>-2.5849119820074663E-4</v>
      </c>
      <c r="W263" s="262">
        <f t="shared" ca="1" si="36"/>
        <v>-2.5152244379638192E-4</v>
      </c>
      <c r="X263" s="262">
        <f t="shared" ca="1" si="36"/>
        <v>-2.4455368939201722E-4</v>
      </c>
      <c r="Y263" s="262">
        <f t="shared" ca="1" si="36"/>
        <v>-2.3758493498765248E-4</v>
      </c>
      <c r="Z263" s="262">
        <f t="shared" ca="1" si="36"/>
        <v>-2.3061618058328777E-4</v>
      </c>
      <c r="AA263" s="262">
        <f t="shared" ca="1" si="36"/>
        <v>-2.2364742617892307E-4</v>
      </c>
      <c r="AB263" s="262">
        <f t="shared" ca="1" si="36"/>
        <v>-2.1667867177455836E-4</v>
      </c>
      <c r="AC263" s="262">
        <f t="shared" ca="1" si="36"/>
        <v>-2.0970991737019362E-4</v>
      </c>
      <c r="AD263" s="262">
        <f t="shared" ca="1" si="36"/>
        <v>-2.0983710366963293E-4</v>
      </c>
      <c r="AE263" s="262">
        <f t="shared" ca="1" si="36"/>
        <v>-2.0548149031574046E-4</v>
      </c>
      <c r="AF263" s="262">
        <f t="shared" ca="1" si="36"/>
        <v>-2.01125876961848E-4</v>
      </c>
      <c r="AG263" s="262">
        <f t="shared" ca="1" si="36"/>
        <v>-1.9677026360795556E-4</v>
      </c>
      <c r="AH263" s="262">
        <f t="shared" ca="1" si="36"/>
        <v>-1.924146502540631E-4</v>
      </c>
      <c r="AI263" s="262">
        <f t="shared" ca="1" si="36"/>
        <v>-1.8805903690017063E-4</v>
      </c>
      <c r="AJ263" s="262">
        <f t="shared" ca="1" si="36"/>
        <v>-1.8370342354627814E-4</v>
      </c>
      <c r="AK263" s="262">
        <f t="shared" ca="1" si="36"/>
        <v>-1.7934781019238568E-4</v>
      </c>
      <c r="AL263" s="262">
        <f t="shared" ca="1" si="36"/>
        <v>-1.7499219683849321E-4</v>
      </c>
      <c r="AM263" s="262">
        <f t="shared" ca="1" si="36"/>
        <v>-1.7063658348460078E-4</v>
      </c>
      <c r="AN263" s="262">
        <f t="shared" ca="1" si="36"/>
        <v>-1.6628097013070831E-4</v>
      </c>
      <c r="AO263" s="262">
        <f t="shared" ca="1" si="36"/>
        <v>-1.6192535677681585E-4</v>
      </c>
      <c r="AP263" s="262">
        <f t="shared" ca="1" si="36"/>
        <v>-1.6308468444272567E-4</v>
      </c>
      <c r="AQ263" s="262">
        <f ca="1">SUM(AQ260:AQ262)</f>
        <v>-1.5964562019721168E-4</v>
      </c>
      <c r="AR263" s="262">
        <f ca="1">SUM(AR260:AR262)</f>
        <v>-1.5620655595169767E-4</v>
      </c>
      <c r="AS263" s="262">
        <f t="shared" ref="AS263:BN263" ca="1" si="37">SUM(AS260:AS262)</f>
        <v>-1.5276749170618369E-4</v>
      </c>
      <c r="AT263" s="262">
        <f t="shared" ca="1" si="37"/>
        <v>-1.493284274606697E-4</v>
      </c>
      <c r="AU263" s="262">
        <f t="shared" ca="1" si="37"/>
        <v>-1.4588936321515569E-4</v>
      </c>
      <c r="AV263" s="262">
        <f t="shared" ca="1" si="37"/>
        <v>-1.4245029896964171E-4</v>
      </c>
      <c r="AW263" s="262">
        <f t="shared" ca="1" si="37"/>
        <v>-1.3901123472412772E-4</v>
      </c>
      <c r="AX263" s="262">
        <f t="shared" ca="1" si="37"/>
        <v>-1.3557217047861374E-4</v>
      </c>
      <c r="AY263" s="262">
        <f t="shared" ca="1" si="37"/>
        <v>-1.3213310623309973E-4</v>
      </c>
      <c r="AZ263" s="262">
        <f t="shared" ca="1" si="37"/>
        <v>-1.2869404198758574E-4</v>
      </c>
      <c r="BA263" s="262">
        <f t="shared" ca="1" si="37"/>
        <v>-1.2525497774207176E-4</v>
      </c>
      <c r="BB263" s="262">
        <f t="shared" ca="1" si="37"/>
        <v>-1.2607947046893727E-4</v>
      </c>
      <c r="BC263" s="262">
        <f t="shared" ca="1" si="37"/>
        <v>-1.2274848847887055E-4</v>
      </c>
      <c r="BD263" s="262">
        <f t="shared" ca="1" si="37"/>
        <v>-1.1941750648880383E-4</v>
      </c>
      <c r="BE263" s="262">
        <f t="shared" ca="1" si="37"/>
        <v>-1.1608652449873711E-4</v>
      </c>
      <c r="BF263" s="262">
        <f t="shared" ca="1" si="37"/>
        <v>-1.1275554250867038E-4</v>
      </c>
      <c r="BG263" s="262">
        <f t="shared" ca="1" si="37"/>
        <v>-1.0942456051860366E-4</v>
      </c>
      <c r="BH263" s="262">
        <f t="shared" ca="1" si="37"/>
        <v>-1.0609357852853694E-4</v>
      </c>
      <c r="BI263" s="262">
        <f t="shared" ca="1" si="37"/>
        <v>-1.0276259653847022E-4</v>
      </c>
      <c r="BJ263" s="262">
        <f t="shared" ca="1" si="37"/>
        <v>-9.9431614548403516E-5</v>
      </c>
      <c r="BK263" s="262">
        <f t="shared" ca="1" si="37"/>
        <v>-9.6100632558336797E-5</v>
      </c>
      <c r="BL263" s="262">
        <f t="shared" ca="1" si="37"/>
        <v>-9.2769650568270078E-5</v>
      </c>
      <c r="BM263" s="262">
        <f t="shared" ca="1" si="37"/>
        <v>-8.9438668578203372E-5</v>
      </c>
      <c r="BN263" s="262">
        <f t="shared" ca="1" si="37"/>
        <v>-8.9121455618721424E-5</v>
      </c>
      <c r="BO263" s="263"/>
      <c r="BP263" s="263"/>
      <c r="BQ263" s="263"/>
      <c r="BR263" s="263"/>
      <c r="BS263" s="263"/>
      <c r="BT263" s="263"/>
      <c r="BU263" s="263"/>
      <c r="BV263" s="263"/>
      <c r="BW263" s="263"/>
      <c r="BX263" s="263"/>
      <c r="BY263" s="263"/>
      <c r="BZ263" s="263"/>
      <c r="CA263" s="263"/>
      <c r="CB263" s="263"/>
      <c r="CC263" s="263"/>
      <c r="CD263" s="263"/>
      <c r="CE263" s="263"/>
      <c r="CF263" s="263"/>
      <c r="CG263" s="263"/>
      <c r="CH263" s="263"/>
      <c r="CI263" s="263"/>
      <c r="CJ263" s="263"/>
      <c r="CK263" s="263"/>
      <c r="CL263" s="263"/>
      <c r="CM263" s="263"/>
      <c r="CN263" s="263"/>
      <c r="CO263" s="263"/>
      <c r="CP263" s="263"/>
      <c r="CQ263" s="263"/>
      <c r="CR263" s="263"/>
      <c r="CS263" s="263"/>
      <c r="CT263" s="263"/>
      <c r="CU263" s="263"/>
      <c r="CV263" s="263"/>
      <c r="CW263" s="263"/>
      <c r="CX263" s="263"/>
      <c r="CY263" s="263"/>
      <c r="CZ263" s="263"/>
      <c r="DA263" s="263"/>
      <c r="DB263" s="263"/>
      <c r="DC263" s="263"/>
      <c r="DD263" s="263"/>
      <c r="DE263" s="263"/>
      <c r="DF263" s="263"/>
      <c r="DG263" s="263"/>
      <c r="DH263" s="263"/>
      <c r="DI263" s="263"/>
      <c r="DJ263" s="263"/>
      <c r="DK263" s="263"/>
      <c r="DL263" s="263"/>
      <c r="DM263" s="263"/>
      <c r="DN263" s="263"/>
      <c r="DO263" s="263"/>
      <c r="DP263" s="263"/>
      <c r="DQ263" s="263"/>
      <c r="DR263" s="263"/>
      <c r="DS263" s="263"/>
      <c r="DT263" s="263"/>
      <c r="DU263" s="263"/>
      <c r="DV263" s="263"/>
      <c r="DW263" s="263"/>
      <c r="DX263" s="263"/>
      <c r="DY263" s="263"/>
      <c r="DZ263" s="263"/>
      <c r="EA263" s="263"/>
      <c r="EB263" s="263"/>
      <c r="EC263" s="263"/>
      <c r="ED263" s="263"/>
      <c r="EE263" s="263"/>
      <c r="EF263" s="263"/>
      <c r="EG263" s="263"/>
      <c r="EH263" s="263"/>
      <c r="EI263" s="263"/>
      <c r="EJ263" s="263"/>
      <c r="EK263" s="263"/>
      <c r="EL263" s="263"/>
      <c r="EM263" s="263"/>
      <c r="EN263" s="263"/>
      <c r="EO263" s="263"/>
      <c r="EP263" s="263"/>
      <c r="EQ263" s="263"/>
      <c r="ER263" s="263"/>
      <c r="ES263" s="263"/>
      <c r="ET263" s="263"/>
      <c r="EU263" s="263"/>
      <c r="EV263" s="263"/>
      <c r="EW263" s="263"/>
      <c r="EX263" s="263"/>
      <c r="EY263" s="263"/>
      <c r="EZ263" s="263"/>
      <c r="FA263" s="263"/>
      <c r="FB263" s="263"/>
      <c r="FC263" s="263"/>
      <c r="FD263" s="263"/>
      <c r="FE263" s="263"/>
      <c r="FF263" s="263"/>
      <c r="FG263" s="263"/>
      <c r="FH263" s="263"/>
      <c r="FI263" s="263"/>
      <c r="FJ263" s="263"/>
      <c r="FK263" s="263"/>
      <c r="FL263" s="263"/>
      <c r="FM263" s="263"/>
      <c r="FN263" s="263"/>
      <c r="FO263" s="263"/>
      <c r="FP263" s="263"/>
      <c r="FQ263" s="263"/>
      <c r="FR263" s="263"/>
      <c r="FS263" s="263"/>
      <c r="FT263" s="263"/>
      <c r="FU263" s="263"/>
      <c r="FV263" s="263"/>
      <c r="FW263" s="263"/>
      <c r="FX263" s="263"/>
      <c r="FY263" s="263"/>
      <c r="FZ263" s="263"/>
      <c r="GA263" s="263"/>
      <c r="GB263" s="263"/>
      <c r="GC263" s="263"/>
      <c r="GD263" s="263"/>
      <c r="GE263" s="263"/>
      <c r="GF263" s="263"/>
      <c r="GG263" s="263"/>
      <c r="GH263" s="263"/>
      <c r="GI263" s="263"/>
      <c r="GJ263" s="263"/>
      <c r="GK263" s="263"/>
      <c r="GL263" s="263"/>
      <c r="GM263" s="263"/>
      <c r="GN263" s="263"/>
      <c r="GO263" s="263"/>
      <c r="GP263" s="263"/>
      <c r="GQ263" s="263"/>
      <c r="GR263" s="263"/>
      <c r="GS263" s="263"/>
      <c r="GT263" s="263"/>
      <c r="GU263" s="263"/>
      <c r="GV263" s="263"/>
      <c r="GW263" s="263"/>
      <c r="GX263" s="263"/>
      <c r="GY263" s="263"/>
    </row>
    <row r="264" spans="1:207" x14ac:dyDescent="0.15">
      <c r="C264" s="23"/>
      <c r="G264" s="263"/>
      <c r="H264" s="263"/>
      <c r="I264" s="263"/>
      <c r="J264" s="263"/>
      <c r="K264" s="263"/>
      <c r="L264" s="263"/>
      <c r="M264" s="263"/>
      <c r="N264" s="263"/>
      <c r="O264" s="263"/>
      <c r="P264" s="263"/>
      <c r="Q264" s="263"/>
      <c r="R264" s="263"/>
      <c r="S264" s="263"/>
      <c r="T264" s="263"/>
      <c r="U264" s="263"/>
      <c r="V264" s="263"/>
      <c r="W264" s="263"/>
      <c r="X264" s="263"/>
      <c r="Y264" s="263"/>
      <c r="Z264" s="263"/>
      <c r="AA264" s="263"/>
      <c r="AB264" s="263"/>
      <c r="AC264" s="263"/>
      <c r="AD264" s="263"/>
      <c r="AE264" s="263"/>
      <c r="AF264" s="263"/>
      <c r="AG264" s="263"/>
      <c r="AH264" s="263"/>
      <c r="AI264" s="263"/>
      <c r="AJ264" s="263"/>
      <c r="AK264" s="263"/>
      <c r="AL264" s="263"/>
      <c r="AM264" s="263"/>
      <c r="AN264" s="263"/>
      <c r="AO264" s="263"/>
      <c r="AP264" s="263"/>
      <c r="AQ264" s="263"/>
      <c r="AR264" s="263"/>
      <c r="AS264" s="263"/>
      <c r="AT264" s="263"/>
      <c r="AU264" s="263"/>
      <c r="AV264" s="263"/>
      <c r="AW264" s="263"/>
      <c r="AX264" s="263"/>
      <c r="AY264" s="263"/>
      <c r="AZ264" s="263"/>
      <c r="BA264" s="263"/>
      <c r="BB264" s="263"/>
      <c r="BC264" s="263"/>
      <c r="BD264" s="263"/>
      <c r="BE264" s="263"/>
      <c r="BF264" s="263"/>
      <c r="BG264" s="263"/>
      <c r="BH264" s="263"/>
      <c r="BI264" s="263"/>
      <c r="BJ264" s="263"/>
      <c r="BK264" s="263"/>
      <c r="BL264" s="263"/>
      <c r="BM264" s="263"/>
      <c r="BN264" s="263"/>
      <c r="BO264" s="263"/>
      <c r="BP264" s="263"/>
      <c r="BQ264" s="263"/>
      <c r="BR264" s="263"/>
      <c r="BS264" s="263"/>
      <c r="BT264" s="263"/>
      <c r="BU264" s="263"/>
      <c r="BV264" s="263"/>
      <c r="BW264" s="263"/>
      <c r="BX264" s="263"/>
      <c r="BY264" s="263"/>
      <c r="BZ264" s="263"/>
      <c r="CA264" s="263"/>
      <c r="CB264" s="263"/>
      <c r="CC264" s="263"/>
      <c r="CD264" s="263"/>
      <c r="CE264" s="263"/>
      <c r="CF264" s="263"/>
      <c r="CG264" s="263"/>
      <c r="CH264" s="263"/>
      <c r="CI264" s="263"/>
      <c r="CJ264" s="263"/>
      <c r="CK264" s="263"/>
      <c r="CL264" s="263"/>
      <c r="CM264" s="263"/>
      <c r="CN264" s="263"/>
      <c r="CO264" s="263"/>
      <c r="CP264" s="263"/>
      <c r="CQ264" s="263"/>
      <c r="CR264" s="263"/>
      <c r="CS264" s="263"/>
      <c r="CT264" s="263"/>
      <c r="CU264" s="263"/>
      <c r="CV264" s="263"/>
      <c r="CW264" s="263"/>
      <c r="CX264" s="263"/>
      <c r="CY264" s="263"/>
      <c r="CZ264" s="263"/>
      <c r="DA264" s="263"/>
      <c r="DB264" s="263"/>
      <c r="DC264" s="263"/>
      <c r="DD264" s="263"/>
      <c r="DE264" s="263"/>
      <c r="DF264" s="263"/>
      <c r="DG264" s="263"/>
      <c r="DH264" s="263"/>
      <c r="DI264" s="263"/>
      <c r="DJ264" s="263"/>
      <c r="DK264" s="263"/>
      <c r="DL264" s="263"/>
      <c r="DM264" s="263"/>
      <c r="DN264" s="263"/>
      <c r="DO264" s="263"/>
      <c r="DP264" s="263"/>
      <c r="DQ264" s="263"/>
      <c r="DR264" s="263"/>
      <c r="DS264" s="263"/>
      <c r="DT264" s="263"/>
      <c r="DU264" s="263"/>
      <c r="DV264" s="263"/>
      <c r="DW264" s="263"/>
      <c r="DX264" s="263"/>
      <c r="DY264" s="263"/>
      <c r="DZ264" s="263"/>
      <c r="EA264" s="263"/>
      <c r="EB264" s="263"/>
      <c r="EC264" s="263"/>
      <c r="ED264" s="263"/>
      <c r="EE264" s="263"/>
      <c r="EF264" s="263"/>
      <c r="EG264" s="263"/>
      <c r="EH264" s="263"/>
      <c r="EI264" s="263"/>
      <c r="EJ264" s="263"/>
      <c r="EK264" s="263"/>
      <c r="EL264" s="263"/>
      <c r="EM264" s="263"/>
      <c r="EN264" s="263"/>
      <c r="EO264" s="263"/>
      <c r="EP264" s="263"/>
      <c r="EQ264" s="263"/>
      <c r="ER264" s="263"/>
      <c r="ES264" s="263"/>
      <c r="ET264" s="263"/>
      <c r="EU264" s="263"/>
      <c r="EV264" s="263"/>
      <c r="EW264" s="263"/>
      <c r="EX264" s="263"/>
      <c r="EY264" s="263"/>
      <c r="EZ264" s="263"/>
      <c r="FA264" s="263"/>
      <c r="FB264" s="263"/>
      <c r="FC264" s="263"/>
      <c r="FD264" s="263"/>
      <c r="FE264" s="263"/>
      <c r="FF264" s="263"/>
      <c r="FG264" s="263"/>
      <c r="FH264" s="263"/>
      <c r="FI264" s="263"/>
      <c r="FJ264" s="263"/>
      <c r="FK264" s="263"/>
      <c r="FL264" s="263"/>
      <c r="FM264" s="263"/>
      <c r="FN264" s="263"/>
      <c r="FO264" s="263"/>
      <c r="FP264" s="263"/>
      <c r="FQ264" s="263"/>
      <c r="FR264" s="263"/>
      <c r="FS264" s="263"/>
      <c r="FT264" s="263"/>
      <c r="FU264" s="263"/>
      <c r="FV264" s="263"/>
      <c r="FW264" s="263"/>
      <c r="FX264" s="263"/>
      <c r="FY264" s="263"/>
      <c r="FZ264" s="263"/>
      <c r="GA264" s="263"/>
      <c r="GB264" s="263"/>
      <c r="GC264" s="263"/>
      <c r="GD264" s="263"/>
      <c r="GE264" s="263"/>
      <c r="GF264" s="263"/>
      <c r="GG264" s="263"/>
      <c r="GH264" s="263"/>
      <c r="GI264" s="263"/>
      <c r="GJ264" s="263"/>
      <c r="GK264" s="263"/>
      <c r="GL264" s="263"/>
      <c r="GM264" s="263"/>
      <c r="GN264" s="263"/>
      <c r="GO264" s="263"/>
      <c r="GP264" s="263"/>
      <c r="GQ264" s="263"/>
      <c r="GR264" s="263"/>
      <c r="GS264" s="263"/>
      <c r="GT264" s="263"/>
      <c r="GU264" s="263"/>
      <c r="GV264" s="263"/>
      <c r="GW264" s="263"/>
      <c r="GX264" s="263"/>
      <c r="GY264" s="263"/>
    </row>
    <row r="265" spans="1:207" x14ac:dyDescent="0.15">
      <c r="A265" s="298"/>
      <c r="C265" s="299" t="s">
        <v>121</v>
      </c>
      <c r="D265" s="26" t="s">
        <v>405</v>
      </c>
      <c r="F265" s="26" t="s">
        <v>341</v>
      </c>
      <c r="G265" s="263">
        <f>IF(G7&gt;SAP_Leadsheet!$E$21,0,-G11*SAP_Leadsheet!$E$85)</f>
        <v>-5.3193792723629516E-3</v>
      </c>
      <c r="H265" s="263">
        <f ca="1">IF(H7&gt;SAP_Leadsheet!$E$21,0,-H11*SAP_Leadsheet!$E$85)</f>
        <v>-5.1232615038352752E-3</v>
      </c>
      <c r="I265" s="263">
        <f ca="1">IF(I7&gt;SAP_Leadsheet!$E$21,0,-I11*SAP_Leadsheet!$E$85)</f>
        <v>-4.9271437353075988E-3</v>
      </c>
      <c r="J265" s="263">
        <f ca="1">IF(J7&gt;SAP_Leadsheet!$E$21,0,-J11*SAP_Leadsheet!$E$85)</f>
        <v>-4.7310259667799224E-3</v>
      </c>
      <c r="K265" s="263">
        <f ca="1">IF(K7&gt;SAP_Leadsheet!$E$21,0,-K11*SAP_Leadsheet!$E$85)</f>
        <v>-4.534908198252246E-3</v>
      </c>
      <c r="L265" s="263">
        <f ca="1">IF(L7&gt;SAP_Leadsheet!$E$21,0,-L11*SAP_Leadsheet!$E$85)</f>
        <v>-4.3387904297245705E-3</v>
      </c>
      <c r="M265" s="263">
        <f ca="1">IF(M7&gt;SAP_Leadsheet!$E$21,0,-M11*SAP_Leadsheet!$E$85)</f>
        <v>-4.1426726611968941E-3</v>
      </c>
      <c r="N265" s="263">
        <f ca="1">IF(N7&gt;SAP_Leadsheet!$E$21,0,-N11*SAP_Leadsheet!$E$85)</f>
        <v>-3.9465548926692177E-3</v>
      </c>
      <c r="O265" s="263">
        <f ca="1">IF(O7&gt;SAP_Leadsheet!$E$21,0,-O11*SAP_Leadsheet!$E$85)</f>
        <v>-3.7504371241415422E-3</v>
      </c>
      <c r="P265" s="263">
        <f ca="1">IF(P7&gt;SAP_Leadsheet!$E$21,0,-P11*SAP_Leadsheet!$E$85)</f>
        <v>-3.5543193556138663E-3</v>
      </c>
      <c r="Q265" s="263">
        <f ca="1">IF(Q7&gt;SAP_Leadsheet!$E$21,0,-Q11*SAP_Leadsheet!$E$85)</f>
        <v>-3.3582015870861908E-3</v>
      </c>
      <c r="R265" s="263">
        <f ca="1">IF(R7&gt;SAP_Leadsheet!$E$21,0,-R11*SAP_Leadsheet!$E$85)</f>
        <v>-3.1620838185585148E-3</v>
      </c>
      <c r="S265" s="263">
        <f ca="1">IF(S7&gt;SAP_Leadsheet!$E$21,0,-S11*SAP_Leadsheet!$E$85)</f>
        <v>-3.0851341494972065E-3</v>
      </c>
      <c r="T265" s="263">
        <f ca="1">IF(T7&gt;SAP_Leadsheet!$E$21,0,-T11*SAP_Leadsheet!$E$85)</f>
        <v>-3.0081844804358986E-3</v>
      </c>
      <c r="U265" s="263">
        <f ca="1">IF(U7&gt;SAP_Leadsheet!$E$21,0,-U11*SAP_Leadsheet!$E$85)</f>
        <v>-2.9312348113745908E-3</v>
      </c>
      <c r="V265" s="263">
        <f ca="1">IF(V7&gt;SAP_Leadsheet!$E$21,0,-V11*SAP_Leadsheet!$E$85)</f>
        <v>-2.8542851423132825E-3</v>
      </c>
      <c r="W265" s="263">
        <f ca="1">IF(W7&gt;SAP_Leadsheet!$E$21,0,-W11*SAP_Leadsheet!$E$85)</f>
        <v>-2.7773354732519746E-3</v>
      </c>
      <c r="X265" s="263">
        <f ca="1">IF(X7&gt;SAP_Leadsheet!$E$21,0,-X11*SAP_Leadsheet!$E$85)</f>
        <v>-2.7003858041906663E-3</v>
      </c>
      <c r="Y265" s="263">
        <f ca="1">IF(Y7&gt;SAP_Leadsheet!$E$21,0,-Y11*SAP_Leadsheet!$E$85)</f>
        <v>-2.6234361351293585E-3</v>
      </c>
      <c r="Z265" s="263">
        <f ca="1">IF(Z7&gt;SAP_Leadsheet!$E$21,0,-Z11*SAP_Leadsheet!$E$85)</f>
        <v>-2.5464864660680502E-3</v>
      </c>
      <c r="AA265" s="263">
        <f ca="1">IF(AA7&gt;SAP_Leadsheet!$E$21,0,-AA11*SAP_Leadsheet!$E$85)</f>
        <v>-2.4695367970067423E-3</v>
      </c>
      <c r="AB265" s="263">
        <f ca="1">IF(AB7&gt;SAP_Leadsheet!$E$21,0,-AB11*SAP_Leadsheet!$E$85)</f>
        <v>-2.392587127945434E-3</v>
      </c>
      <c r="AC265" s="263">
        <f ca="1">IF(AC7&gt;SAP_Leadsheet!$E$21,0,-AC11*SAP_Leadsheet!$E$85)</f>
        <v>-2.3156374588841262E-3</v>
      </c>
      <c r="AD265" s="263">
        <f ca="1">IF(AD7&gt;SAP_Leadsheet!$E$21,0,-AD11*SAP_Leadsheet!$E$85)</f>
        <v>-2.2386877898228179E-3</v>
      </c>
      <c r="AE265" s="263">
        <f ca="1">IF(AE7&gt;SAP_Leadsheet!$E$21,0,-AE11*SAP_Leadsheet!$E$85)</f>
        <v>-2.1922190849940474E-3</v>
      </c>
      <c r="AF265" s="263">
        <f ca="1">IF(AF7&gt;SAP_Leadsheet!$E$21,0,-AF11*SAP_Leadsheet!$E$85)</f>
        <v>-2.145750380165277E-3</v>
      </c>
      <c r="AG265" s="263">
        <f ca="1">IF(AG7&gt;SAP_Leadsheet!$E$21,0,-AG11*SAP_Leadsheet!$E$85)</f>
        <v>-2.0992816753365069E-3</v>
      </c>
      <c r="AH265" s="263">
        <f ca="1">IF(AH7&gt;SAP_Leadsheet!$E$21,0,-AH11*SAP_Leadsheet!$E$85)</f>
        <v>-2.0528129705077365E-3</v>
      </c>
      <c r="AI265" s="263">
        <f ca="1">IF(AI7&gt;SAP_Leadsheet!$E$21,0,-AI11*SAP_Leadsheet!$E$85)</f>
        <v>-2.006344265678966E-3</v>
      </c>
      <c r="AJ265" s="263">
        <f ca="1">IF(AJ7&gt;SAP_Leadsheet!$E$21,0,-AJ11*SAP_Leadsheet!$E$85)</f>
        <v>-1.9598755608501955E-3</v>
      </c>
      <c r="AK265" s="263">
        <f ca="1">IF(AK7&gt;SAP_Leadsheet!$E$21,0,-AK11*SAP_Leadsheet!$E$85)</f>
        <v>-1.9134068560214251E-3</v>
      </c>
      <c r="AL265" s="263">
        <f ca="1">IF(AL7&gt;SAP_Leadsheet!$E$21,0,-AL11*SAP_Leadsheet!$E$85)</f>
        <v>-1.8669381511926546E-3</v>
      </c>
      <c r="AM265" s="263">
        <f ca="1">IF(AM7&gt;SAP_Leadsheet!$E$21,0,-AM11*SAP_Leadsheet!$E$85)</f>
        <v>-1.8204694463638841E-3</v>
      </c>
      <c r="AN265" s="263">
        <f ca="1">IF(AN7&gt;SAP_Leadsheet!$E$21,0,-AN11*SAP_Leadsheet!$E$85)</f>
        <v>-1.7740007415351139E-3</v>
      </c>
      <c r="AO265" s="263">
        <f ca="1">IF(AO7&gt;SAP_Leadsheet!$E$21,0,-AO11*SAP_Leadsheet!$E$85)</f>
        <v>-1.7275320367063434E-3</v>
      </c>
      <c r="AP265" s="263">
        <f ca="1">IF(AP7&gt;SAP_Leadsheet!$E$21,0,-AP11*SAP_Leadsheet!$E$85)</f>
        <v>-1.681063331877573E-3</v>
      </c>
      <c r="AQ265" s="263">
        <f ca="1">IF(AQ7&gt;SAP_Leadsheet!$E$21,0,-AQ11*SAP_Leadsheet!$E$85)</f>
        <v>-1.6456137443282581E-3</v>
      </c>
      <c r="AR265" s="263">
        <f ca="1">IF(AR7&gt;SAP_Leadsheet!$E$21,0,-AR11*SAP_Leadsheet!$E$85)</f>
        <v>-1.6101641567789434E-3</v>
      </c>
      <c r="AS265" s="263">
        <f ca="1">IF(AS7&gt;SAP_Leadsheet!$E$21,0,-AS11*SAP_Leadsheet!$E$85)</f>
        <v>-1.5747145692296286E-3</v>
      </c>
      <c r="AT265" s="263">
        <f ca="1">IF(AT7&gt;SAP_Leadsheet!$E$21,0,-AT11*SAP_Leadsheet!$E$85)</f>
        <v>-1.5392649816803137E-3</v>
      </c>
      <c r="AU265" s="263">
        <f ca="1">IF(AU7&gt;SAP_Leadsheet!$E$21,0,-AU11*SAP_Leadsheet!$E$85)</f>
        <v>-1.5038153941309988E-3</v>
      </c>
      <c r="AV265" s="263">
        <f ca="1">IF(AV7&gt;SAP_Leadsheet!$E$21,0,-AV11*SAP_Leadsheet!$E$85)</f>
        <v>-1.4683658065816842E-3</v>
      </c>
      <c r="AW265" s="263">
        <f ca="1">IF(AW7&gt;SAP_Leadsheet!$E$21,0,-AW11*SAP_Leadsheet!$E$85)</f>
        <v>-1.4329162190323693E-3</v>
      </c>
      <c r="AX265" s="263">
        <f ca="1">IF(AX7&gt;SAP_Leadsheet!$E$21,0,-AX11*SAP_Leadsheet!$E$85)</f>
        <v>-1.3974666314830544E-3</v>
      </c>
      <c r="AY265" s="263">
        <f ca="1">IF(AY7&gt;SAP_Leadsheet!$E$21,0,-AY11*SAP_Leadsheet!$E$85)</f>
        <v>-1.3620170439337395E-3</v>
      </c>
      <c r="AZ265" s="263">
        <f ca="1">IF(AZ7&gt;SAP_Leadsheet!$E$21,0,-AZ11*SAP_Leadsheet!$E$85)</f>
        <v>-1.3265674563844247E-3</v>
      </c>
      <c r="BA265" s="263">
        <f ca="1">IF(BA7&gt;SAP_Leadsheet!$E$21,0,-BA11*SAP_Leadsheet!$E$85)</f>
        <v>-1.29111786883511E-3</v>
      </c>
      <c r="BB265" s="263">
        <f ca="1">IF(BB7&gt;SAP_Leadsheet!$E$21,0,-BB11*SAP_Leadsheet!$E$85)</f>
        <v>-1.2556682812857952E-3</v>
      </c>
      <c r="BC265" s="263">
        <f ca="1">IF(BC7&gt;SAP_Leadsheet!$E$21,0,-BC11*SAP_Leadsheet!$E$85)</f>
        <v>-1.222493899961823E-3</v>
      </c>
      <c r="BD265" s="263">
        <f ca="1">IF(BD7&gt;SAP_Leadsheet!$E$21,0,-BD11*SAP_Leadsheet!$E$85)</f>
        <v>-1.1893195186378506E-3</v>
      </c>
      <c r="BE265" s="263">
        <f ca="1">IF(BE7&gt;SAP_Leadsheet!$E$21,0,-BE11*SAP_Leadsheet!$E$85)</f>
        <v>-1.1561451373138785E-3</v>
      </c>
      <c r="BF265" s="263">
        <f ca="1">IF(BF7&gt;SAP_Leadsheet!$E$21,0,-BF11*SAP_Leadsheet!$E$85)</f>
        <v>-1.1229707559899064E-3</v>
      </c>
      <c r="BG265" s="263">
        <f ca="1">IF(BG7&gt;SAP_Leadsheet!$E$21,0,-BG11*SAP_Leadsheet!$E$85)</f>
        <v>-1.089796374665934E-3</v>
      </c>
      <c r="BH265" s="263">
        <f ca="1">IF(BH7&gt;SAP_Leadsheet!$E$21,0,-BH11*SAP_Leadsheet!$E$85)</f>
        <v>-1.0566219933419618E-3</v>
      </c>
      <c r="BI265" s="263">
        <f ca="1">IF(BI7&gt;SAP_Leadsheet!$E$21,0,-BI11*SAP_Leadsheet!$E$85)</f>
        <v>-1.0234476120179897E-3</v>
      </c>
      <c r="BJ265" s="263">
        <f ca="1">IF(BJ7&gt;SAP_Leadsheet!$E$21,0,-BJ11*SAP_Leadsheet!$E$85)</f>
        <v>-9.9027323069401756E-4</v>
      </c>
      <c r="BK265" s="263">
        <f ca="1">IF(BK7&gt;SAP_Leadsheet!$E$21,0,-BK11*SAP_Leadsheet!$E$85)</f>
        <v>-9.5709884937004541E-4</v>
      </c>
      <c r="BL265" s="263">
        <f ca="1">IF(BL7&gt;SAP_Leadsheet!$E$21,0,-BL11*SAP_Leadsheet!$E$85)</f>
        <v>-9.2392446804607337E-4</v>
      </c>
      <c r="BM265" s="263">
        <f ca="1">IF(BM7&gt;SAP_Leadsheet!$E$21,0,-BM11*SAP_Leadsheet!$E$85)</f>
        <v>-8.9075008672210123E-4</v>
      </c>
      <c r="BN265" s="263">
        <f ca="1">IF(BN7&gt;SAP_Leadsheet!$E$21,0,-BN11*SAP_Leadsheet!$E$85)</f>
        <v>-8.5757570539812908E-4</v>
      </c>
      <c r="BO265" s="263"/>
      <c r="BP265" s="263"/>
      <c r="BQ265" s="263"/>
      <c r="BR265" s="263"/>
      <c r="BS265" s="263"/>
      <c r="BT265" s="263"/>
      <c r="BU265" s="263"/>
      <c r="BV265" s="263"/>
      <c r="BW265" s="263"/>
      <c r="BX265" s="263"/>
      <c r="BY265" s="263"/>
      <c r="BZ265" s="263"/>
      <c r="CA265" s="263"/>
      <c r="CB265" s="263"/>
      <c r="CC265" s="263"/>
      <c r="CD265" s="263"/>
      <c r="CE265" s="263"/>
      <c r="CF265" s="263"/>
      <c r="CG265" s="263"/>
      <c r="CH265" s="263"/>
      <c r="CI265" s="263"/>
      <c r="CJ265" s="263"/>
      <c r="CK265" s="263"/>
      <c r="CL265" s="263"/>
      <c r="CM265" s="263"/>
      <c r="CN265" s="263"/>
      <c r="CO265" s="263"/>
      <c r="CP265" s="263"/>
      <c r="CQ265" s="263"/>
      <c r="CR265" s="263"/>
      <c r="CS265" s="263"/>
      <c r="CT265" s="263"/>
      <c r="CU265" s="263"/>
      <c r="CV265" s="263"/>
      <c r="CW265" s="263"/>
      <c r="CX265" s="263"/>
      <c r="CY265" s="263"/>
      <c r="CZ265" s="263"/>
      <c r="DA265" s="263"/>
      <c r="DB265" s="263"/>
      <c r="DC265" s="263"/>
      <c r="DD265" s="263"/>
      <c r="DE265" s="263"/>
      <c r="DF265" s="263"/>
      <c r="DG265" s="263"/>
      <c r="DH265" s="263"/>
      <c r="DI265" s="263"/>
      <c r="DJ265" s="263"/>
      <c r="DK265" s="263"/>
      <c r="DL265" s="263"/>
      <c r="DM265" s="263"/>
      <c r="DN265" s="263"/>
      <c r="DO265" s="263"/>
      <c r="DP265" s="263"/>
      <c r="DQ265" s="263"/>
      <c r="DR265" s="263"/>
      <c r="DS265" s="263"/>
      <c r="DT265" s="263"/>
      <c r="DU265" s="263"/>
      <c r="DV265" s="263"/>
      <c r="DW265" s="263"/>
      <c r="DX265" s="263"/>
      <c r="DY265" s="263"/>
      <c r="DZ265" s="263"/>
      <c r="EA265" s="263"/>
      <c r="EB265" s="263"/>
      <c r="EC265" s="263"/>
      <c r="ED265" s="263"/>
      <c r="EE265" s="263"/>
      <c r="EF265" s="263"/>
      <c r="EG265" s="263"/>
      <c r="EH265" s="263"/>
      <c r="EI265" s="263"/>
      <c r="EJ265" s="263"/>
      <c r="EK265" s="263"/>
      <c r="EL265" s="263"/>
      <c r="EM265" s="263"/>
      <c r="EN265" s="263"/>
      <c r="EO265" s="263"/>
      <c r="EP265" s="263"/>
      <c r="EQ265" s="263"/>
      <c r="ER265" s="263"/>
      <c r="ES265" s="263"/>
      <c r="ET265" s="263"/>
      <c r="EU265" s="263"/>
      <c r="EV265" s="263"/>
      <c r="EW265" s="263"/>
      <c r="EX265" s="263"/>
      <c r="EY265" s="263"/>
      <c r="EZ265" s="263"/>
      <c r="FA265" s="263"/>
      <c r="FB265" s="263"/>
      <c r="FC265" s="263"/>
      <c r="FD265" s="263"/>
      <c r="FE265" s="263"/>
      <c r="FF265" s="263"/>
      <c r="FG265" s="263"/>
      <c r="FH265" s="263"/>
      <c r="FI265" s="263"/>
      <c r="FJ265" s="263"/>
      <c r="FK265" s="263"/>
      <c r="FL265" s="263"/>
      <c r="FM265" s="263"/>
      <c r="FN265" s="263"/>
      <c r="FO265" s="263"/>
      <c r="FP265" s="263"/>
      <c r="FQ265" s="263"/>
      <c r="FR265" s="263"/>
      <c r="FS265" s="263"/>
      <c r="FT265" s="263"/>
      <c r="FU265" s="263"/>
      <c r="FV265" s="263"/>
      <c r="FW265" s="263"/>
      <c r="FX265" s="263"/>
      <c r="FY265" s="263"/>
      <c r="FZ265" s="263"/>
      <c r="GA265" s="263"/>
      <c r="GB265" s="263"/>
      <c r="GC265" s="263"/>
      <c r="GD265" s="263"/>
      <c r="GE265" s="263"/>
      <c r="GF265" s="263"/>
      <c r="GG265" s="263"/>
      <c r="GH265" s="263"/>
      <c r="GI265" s="263"/>
      <c r="GJ265" s="263"/>
      <c r="GK265" s="263"/>
      <c r="GL265" s="263"/>
      <c r="GM265" s="263"/>
      <c r="GN265" s="263"/>
      <c r="GO265" s="263"/>
      <c r="GP265" s="263"/>
      <c r="GQ265" s="263"/>
      <c r="GR265" s="263"/>
      <c r="GS265" s="263"/>
      <c r="GT265" s="263"/>
      <c r="GU265" s="263"/>
      <c r="GV265" s="263"/>
      <c r="GW265" s="263"/>
      <c r="GX265" s="263"/>
      <c r="GY265" s="263"/>
    </row>
    <row r="266" spans="1:207" x14ac:dyDescent="0.15">
      <c r="D266" s="26" t="s">
        <v>236</v>
      </c>
      <c r="F266" s="26" t="s">
        <v>341</v>
      </c>
      <c r="G266" s="263"/>
      <c r="H266" s="263"/>
      <c r="I266" s="263"/>
      <c r="J266" s="263"/>
      <c r="K266" s="263"/>
      <c r="L266" s="263"/>
      <c r="M266" s="263"/>
      <c r="N266" s="263"/>
      <c r="O266" s="263"/>
      <c r="P266" s="263"/>
      <c r="Q266" s="263"/>
      <c r="R266" s="263"/>
      <c r="S266" s="263"/>
      <c r="T266" s="263"/>
      <c r="U266" s="263"/>
      <c r="V266" s="263"/>
      <c r="W266" s="263"/>
      <c r="X266" s="263"/>
      <c r="Y266" s="263"/>
      <c r="Z266" s="263"/>
      <c r="AA266" s="263"/>
      <c r="AB266" s="263"/>
      <c r="AC266" s="263"/>
      <c r="AD266" s="263"/>
      <c r="AE266" s="263"/>
      <c r="AF266" s="263"/>
      <c r="AG266" s="263"/>
      <c r="AH266" s="263"/>
      <c r="AI266" s="263"/>
      <c r="AJ266" s="263"/>
      <c r="AK266" s="263"/>
      <c r="AL266" s="263"/>
      <c r="AM266" s="263"/>
      <c r="AN266" s="263"/>
      <c r="AO266" s="263"/>
      <c r="AP266" s="263"/>
      <c r="AQ266" s="263"/>
      <c r="AR266" s="263"/>
      <c r="AS266" s="263"/>
      <c r="AT266" s="263"/>
      <c r="AU266" s="263"/>
      <c r="AV266" s="263"/>
      <c r="AW266" s="263"/>
      <c r="AX266" s="263"/>
      <c r="AY266" s="263"/>
      <c r="AZ266" s="263"/>
      <c r="BA266" s="263"/>
      <c r="BB266" s="263"/>
      <c r="BC266" s="263"/>
      <c r="BD266" s="263"/>
      <c r="BE266" s="263"/>
      <c r="BF266" s="263"/>
      <c r="BG266" s="263"/>
      <c r="BH266" s="263"/>
      <c r="BI266" s="263"/>
      <c r="BJ266" s="263"/>
      <c r="BK266" s="263"/>
      <c r="BL266" s="263"/>
      <c r="BM266" s="263"/>
      <c r="BN266" s="263"/>
      <c r="BO266" s="263"/>
      <c r="BP266" s="263"/>
      <c r="BQ266" s="263"/>
      <c r="BR266" s="263"/>
      <c r="BS266" s="263"/>
      <c r="BT266" s="263"/>
      <c r="BU266" s="263"/>
      <c r="BV266" s="263"/>
      <c r="BW266" s="263"/>
      <c r="BX266" s="263"/>
      <c r="BY266" s="263"/>
      <c r="BZ266" s="263"/>
      <c r="CA266" s="263"/>
      <c r="CB266" s="263"/>
      <c r="CC266" s="263"/>
      <c r="CD266" s="263"/>
      <c r="CE266" s="263"/>
      <c r="CF266" s="263"/>
      <c r="CG266" s="263"/>
      <c r="CH266" s="263"/>
      <c r="CI266" s="263"/>
      <c r="CJ266" s="263"/>
      <c r="CK266" s="263"/>
      <c r="CL266" s="263"/>
      <c r="CM266" s="263"/>
      <c r="CN266" s="263"/>
      <c r="CO266" s="263"/>
      <c r="CP266" s="263"/>
      <c r="CQ266" s="263"/>
      <c r="CR266" s="263"/>
      <c r="CS266" s="263"/>
      <c r="CT266" s="263"/>
      <c r="CU266" s="263"/>
      <c r="CV266" s="263"/>
      <c r="CW266" s="263"/>
      <c r="CX266" s="263"/>
      <c r="CY266" s="263"/>
      <c r="CZ266" s="263"/>
      <c r="DA266" s="263"/>
      <c r="DB266" s="263"/>
      <c r="DC266" s="263"/>
      <c r="DD266" s="263"/>
      <c r="DE266" s="263"/>
      <c r="DF266" s="263"/>
      <c r="DG266" s="263"/>
      <c r="DH266" s="263"/>
      <c r="DI266" s="263"/>
      <c r="DJ266" s="263"/>
      <c r="DK266" s="263"/>
      <c r="DL266" s="263"/>
      <c r="DM266" s="263"/>
      <c r="DN266" s="263"/>
      <c r="DO266" s="263"/>
      <c r="DP266" s="263"/>
      <c r="DQ266" s="263"/>
      <c r="DR266" s="263"/>
      <c r="DS266" s="263"/>
      <c r="DT266" s="263"/>
      <c r="DU266" s="263"/>
      <c r="DV266" s="263"/>
      <c r="DW266" s="263"/>
      <c r="DX266" s="263"/>
      <c r="DY266" s="263"/>
      <c r="DZ266" s="263"/>
      <c r="EA266" s="263"/>
      <c r="EB266" s="263"/>
      <c r="EC266" s="263"/>
      <c r="ED266" s="263"/>
      <c r="EE266" s="263"/>
      <c r="EF266" s="263"/>
      <c r="EG266" s="263"/>
      <c r="EH266" s="263"/>
      <c r="EI266" s="263"/>
      <c r="EJ266" s="263"/>
      <c r="EK266" s="263"/>
      <c r="EL266" s="263"/>
      <c r="EM266" s="263"/>
      <c r="EN266" s="263"/>
      <c r="EO266" s="263"/>
      <c r="EP266" s="263"/>
      <c r="EQ266" s="263"/>
      <c r="ER266" s="263"/>
      <c r="ES266" s="263"/>
      <c r="ET266" s="263"/>
      <c r="EU266" s="263"/>
      <c r="EV266" s="263"/>
      <c r="EW266" s="263"/>
      <c r="EX266" s="263"/>
      <c r="EY266" s="263"/>
      <c r="EZ266" s="263"/>
      <c r="FA266" s="263"/>
      <c r="FB266" s="263"/>
      <c r="FC266" s="263"/>
      <c r="FD266" s="263"/>
      <c r="FE266" s="263"/>
      <c r="FF266" s="263"/>
      <c r="FG266" s="263"/>
      <c r="FH266" s="263"/>
      <c r="FI266" s="263"/>
      <c r="FJ266" s="263"/>
      <c r="FK266" s="263"/>
      <c r="FL266" s="263"/>
      <c r="FM266" s="263"/>
      <c r="FN266" s="263"/>
      <c r="FO266" s="263"/>
      <c r="FP266" s="263"/>
      <c r="FQ266" s="263"/>
      <c r="FR266" s="263"/>
      <c r="FS266" s="263"/>
      <c r="FT266" s="263"/>
      <c r="FU266" s="263"/>
      <c r="FV266" s="263"/>
      <c r="FW266" s="263"/>
      <c r="FX266" s="263"/>
      <c r="FY266" s="263"/>
      <c r="FZ266" s="263"/>
      <c r="GA266" s="263"/>
      <c r="GB266" s="263"/>
      <c r="GC266" s="263"/>
      <c r="GD266" s="263"/>
      <c r="GE266" s="263"/>
      <c r="GF266" s="263"/>
      <c r="GG266" s="263"/>
      <c r="GH266" s="263"/>
      <c r="GI266" s="263"/>
      <c r="GJ266" s="263"/>
      <c r="GK266" s="263"/>
      <c r="GL266" s="263"/>
      <c r="GM266" s="263"/>
      <c r="GN266" s="263"/>
      <c r="GO266" s="263"/>
      <c r="GP266" s="263"/>
      <c r="GQ266" s="263"/>
      <c r="GR266" s="263"/>
      <c r="GS266" s="263"/>
      <c r="GT266" s="263"/>
      <c r="GU266" s="263"/>
      <c r="GV266" s="263"/>
      <c r="GW266" s="263"/>
      <c r="GX266" s="263"/>
      <c r="GY266" s="263"/>
    </row>
    <row r="267" spans="1:207" x14ac:dyDescent="0.15">
      <c r="D267" s="289" t="s">
        <v>406</v>
      </c>
      <c r="E267" s="289"/>
      <c r="F267" s="23" t="s">
        <v>341</v>
      </c>
      <c r="G267" s="262">
        <f t="shared" ref="G267:BN267" si="38">SUM(G265:G266)</f>
        <v>-5.3193792723629516E-3</v>
      </c>
      <c r="H267" s="262">
        <f t="shared" ca="1" si="38"/>
        <v>-5.1232615038352752E-3</v>
      </c>
      <c r="I267" s="262">
        <f t="shared" ca="1" si="38"/>
        <v>-4.9271437353075988E-3</v>
      </c>
      <c r="J267" s="262">
        <f t="shared" ca="1" si="38"/>
        <v>-4.7310259667799224E-3</v>
      </c>
      <c r="K267" s="262">
        <f t="shared" ca="1" si="38"/>
        <v>-4.534908198252246E-3</v>
      </c>
      <c r="L267" s="262">
        <f t="shared" ca="1" si="38"/>
        <v>-4.3387904297245705E-3</v>
      </c>
      <c r="M267" s="262">
        <f t="shared" ca="1" si="38"/>
        <v>-4.1426726611968941E-3</v>
      </c>
      <c r="N267" s="262">
        <f t="shared" ca="1" si="38"/>
        <v>-3.9465548926692177E-3</v>
      </c>
      <c r="O267" s="262">
        <f t="shared" ca="1" si="38"/>
        <v>-3.7504371241415422E-3</v>
      </c>
      <c r="P267" s="262">
        <f t="shared" ca="1" si="38"/>
        <v>-3.5543193556138663E-3</v>
      </c>
      <c r="Q267" s="262">
        <f t="shared" ca="1" si="38"/>
        <v>-3.3582015870861908E-3</v>
      </c>
      <c r="R267" s="262">
        <f t="shared" ca="1" si="38"/>
        <v>-3.1620838185585148E-3</v>
      </c>
      <c r="S267" s="262">
        <f t="shared" ca="1" si="38"/>
        <v>-3.0851341494972065E-3</v>
      </c>
      <c r="T267" s="262">
        <f t="shared" ca="1" si="38"/>
        <v>-3.0081844804358986E-3</v>
      </c>
      <c r="U267" s="262">
        <f t="shared" ca="1" si="38"/>
        <v>-2.9312348113745908E-3</v>
      </c>
      <c r="V267" s="262">
        <f t="shared" ca="1" si="38"/>
        <v>-2.8542851423132825E-3</v>
      </c>
      <c r="W267" s="262">
        <f t="shared" ca="1" si="38"/>
        <v>-2.7773354732519746E-3</v>
      </c>
      <c r="X267" s="262">
        <f t="shared" ca="1" si="38"/>
        <v>-2.7003858041906663E-3</v>
      </c>
      <c r="Y267" s="262">
        <f t="shared" ca="1" si="38"/>
        <v>-2.6234361351293585E-3</v>
      </c>
      <c r="Z267" s="262">
        <f t="shared" ca="1" si="38"/>
        <v>-2.5464864660680502E-3</v>
      </c>
      <c r="AA267" s="262">
        <f t="shared" ca="1" si="38"/>
        <v>-2.4695367970067423E-3</v>
      </c>
      <c r="AB267" s="262">
        <f t="shared" ca="1" si="38"/>
        <v>-2.392587127945434E-3</v>
      </c>
      <c r="AC267" s="262">
        <f t="shared" ca="1" si="38"/>
        <v>-2.3156374588841262E-3</v>
      </c>
      <c r="AD267" s="262">
        <f t="shared" ca="1" si="38"/>
        <v>-2.2386877898228179E-3</v>
      </c>
      <c r="AE267" s="262">
        <f t="shared" ca="1" si="38"/>
        <v>-2.1922190849940474E-3</v>
      </c>
      <c r="AF267" s="262">
        <f t="shared" ca="1" si="38"/>
        <v>-2.145750380165277E-3</v>
      </c>
      <c r="AG267" s="262">
        <f t="shared" ca="1" si="38"/>
        <v>-2.0992816753365069E-3</v>
      </c>
      <c r="AH267" s="262">
        <f t="shared" ca="1" si="38"/>
        <v>-2.0528129705077365E-3</v>
      </c>
      <c r="AI267" s="262">
        <f t="shared" ca="1" si="38"/>
        <v>-2.006344265678966E-3</v>
      </c>
      <c r="AJ267" s="262">
        <f t="shared" ca="1" si="38"/>
        <v>-1.9598755608501955E-3</v>
      </c>
      <c r="AK267" s="262">
        <f t="shared" ca="1" si="38"/>
        <v>-1.9134068560214251E-3</v>
      </c>
      <c r="AL267" s="262">
        <f t="shared" ca="1" si="38"/>
        <v>-1.8669381511926546E-3</v>
      </c>
      <c r="AM267" s="262">
        <f t="shared" ca="1" si="38"/>
        <v>-1.8204694463638841E-3</v>
      </c>
      <c r="AN267" s="262">
        <f t="shared" ca="1" si="38"/>
        <v>-1.7740007415351139E-3</v>
      </c>
      <c r="AO267" s="262">
        <f t="shared" ca="1" si="38"/>
        <v>-1.7275320367063434E-3</v>
      </c>
      <c r="AP267" s="262">
        <f t="shared" ca="1" si="38"/>
        <v>-1.681063331877573E-3</v>
      </c>
      <c r="AQ267" s="262">
        <f t="shared" ca="1" si="38"/>
        <v>-1.6456137443282581E-3</v>
      </c>
      <c r="AR267" s="262">
        <f t="shared" ca="1" si="38"/>
        <v>-1.6101641567789434E-3</v>
      </c>
      <c r="AS267" s="262">
        <f t="shared" ca="1" si="38"/>
        <v>-1.5747145692296286E-3</v>
      </c>
      <c r="AT267" s="262">
        <f t="shared" ca="1" si="38"/>
        <v>-1.5392649816803137E-3</v>
      </c>
      <c r="AU267" s="262">
        <f t="shared" ca="1" si="38"/>
        <v>-1.5038153941309988E-3</v>
      </c>
      <c r="AV267" s="262">
        <f t="shared" ca="1" si="38"/>
        <v>-1.4683658065816842E-3</v>
      </c>
      <c r="AW267" s="262">
        <f t="shared" ca="1" si="38"/>
        <v>-1.4329162190323693E-3</v>
      </c>
      <c r="AX267" s="262">
        <f t="shared" ca="1" si="38"/>
        <v>-1.3974666314830544E-3</v>
      </c>
      <c r="AY267" s="262">
        <f t="shared" ca="1" si="38"/>
        <v>-1.3620170439337395E-3</v>
      </c>
      <c r="AZ267" s="262">
        <f t="shared" ca="1" si="38"/>
        <v>-1.3265674563844247E-3</v>
      </c>
      <c r="BA267" s="262">
        <f t="shared" ca="1" si="38"/>
        <v>-1.29111786883511E-3</v>
      </c>
      <c r="BB267" s="262">
        <f t="shared" ca="1" si="38"/>
        <v>-1.2556682812857952E-3</v>
      </c>
      <c r="BC267" s="262">
        <f t="shared" ca="1" si="38"/>
        <v>-1.222493899961823E-3</v>
      </c>
      <c r="BD267" s="262">
        <f t="shared" ca="1" si="38"/>
        <v>-1.1893195186378506E-3</v>
      </c>
      <c r="BE267" s="262">
        <f t="shared" ca="1" si="38"/>
        <v>-1.1561451373138785E-3</v>
      </c>
      <c r="BF267" s="262">
        <f t="shared" ca="1" si="38"/>
        <v>-1.1229707559899064E-3</v>
      </c>
      <c r="BG267" s="262">
        <f t="shared" ca="1" si="38"/>
        <v>-1.089796374665934E-3</v>
      </c>
      <c r="BH267" s="262">
        <f t="shared" ca="1" si="38"/>
        <v>-1.0566219933419618E-3</v>
      </c>
      <c r="BI267" s="262">
        <f t="shared" ca="1" si="38"/>
        <v>-1.0234476120179897E-3</v>
      </c>
      <c r="BJ267" s="262">
        <f t="shared" ca="1" si="38"/>
        <v>-9.9027323069401756E-4</v>
      </c>
      <c r="BK267" s="262">
        <f t="shared" ca="1" si="38"/>
        <v>-9.5709884937004541E-4</v>
      </c>
      <c r="BL267" s="262">
        <f t="shared" ca="1" si="38"/>
        <v>-9.2392446804607337E-4</v>
      </c>
      <c r="BM267" s="262">
        <f t="shared" ca="1" si="38"/>
        <v>-8.9075008672210123E-4</v>
      </c>
      <c r="BN267" s="262">
        <f t="shared" ca="1" si="38"/>
        <v>-8.5757570539812908E-4</v>
      </c>
      <c r="BO267" s="263"/>
      <c r="BP267" s="263"/>
      <c r="BQ267" s="263"/>
      <c r="BR267" s="263"/>
      <c r="BS267" s="263"/>
      <c r="BT267" s="263"/>
      <c r="BU267" s="263"/>
      <c r="BV267" s="263"/>
      <c r="BW267" s="263"/>
      <c r="BX267" s="263"/>
      <c r="BY267" s="263"/>
      <c r="BZ267" s="263"/>
      <c r="CA267" s="263"/>
      <c r="CB267" s="263"/>
      <c r="CC267" s="263"/>
      <c r="CD267" s="263"/>
      <c r="CE267" s="263"/>
      <c r="CF267" s="263"/>
      <c r="CG267" s="263"/>
      <c r="CH267" s="263"/>
      <c r="CI267" s="263"/>
      <c r="CJ267" s="263"/>
      <c r="CK267" s="263"/>
      <c r="CL267" s="263"/>
      <c r="CM267" s="263"/>
      <c r="CN267" s="263"/>
      <c r="CO267" s="263"/>
      <c r="CP267" s="263"/>
      <c r="CQ267" s="263"/>
      <c r="CR267" s="263"/>
      <c r="CS267" s="263"/>
      <c r="CT267" s="263"/>
      <c r="CU267" s="263"/>
      <c r="CV267" s="263"/>
      <c r="CW267" s="263"/>
      <c r="CX267" s="263"/>
      <c r="CY267" s="263"/>
      <c r="CZ267" s="263"/>
      <c r="DA267" s="263"/>
      <c r="DB267" s="263"/>
      <c r="DC267" s="263"/>
      <c r="DD267" s="263"/>
      <c r="DE267" s="263"/>
      <c r="DF267" s="263"/>
      <c r="DG267" s="263"/>
      <c r="DH267" s="263"/>
      <c r="DI267" s="263"/>
      <c r="DJ267" s="263"/>
      <c r="DK267" s="263"/>
      <c r="DL267" s="263"/>
      <c r="DM267" s="263"/>
      <c r="DN267" s="263"/>
      <c r="DO267" s="263"/>
      <c r="DP267" s="263"/>
      <c r="DQ267" s="263"/>
      <c r="DR267" s="263"/>
      <c r="DS267" s="263"/>
      <c r="DT267" s="263"/>
      <c r="DU267" s="263"/>
      <c r="DV267" s="263"/>
      <c r="DW267" s="263"/>
      <c r="DX267" s="263"/>
      <c r="DY267" s="263"/>
      <c r="DZ267" s="263"/>
      <c r="EA267" s="263"/>
      <c r="EB267" s="263"/>
      <c r="EC267" s="263"/>
      <c r="ED267" s="263"/>
      <c r="EE267" s="263"/>
      <c r="EF267" s="263"/>
      <c r="EG267" s="263"/>
      <c r="EH267" s="263"/>
      <c r="EI267" s="263"/>
      <c r="EJ267" s="263"/>
      <c r="EK267" s="263"/>
      <c r="EL267" s="263"/>
      <c r="EM267" s="263"/>
      <c r="EN267" s="263"/>
      <c r="EO267" s="263"/>
      <c r="EP267" s="263"/>
      <c r="EQ267" s="263"/>
      <c r="ER267" s="263"/>
      <c r="ES267" s="263"/>
      <c r="ET267" s="263"/>
      <c r="EU267" s="263"/>
      <c r="EV267" s="263"/>
      <c r="EW267" s="263"/>
      <c r="EX267" s="263"/>
      <c r="EY267" s="263"/>
      <c r="EZ267" s="263"/>
      <c r="FA267" s="263"/>
      <c r="FB267" s="263"/>
      <c r="FC267" s="263"/>
      <c r="FD267" s="263"/>
      <c r="FE267" s="263"/>
      <c r="FF267" s="263"/>
      <c r="FG267" s="263"/>
      <c r="FH267" s="263"/>
      <c r="FI267" s="263"/>
      <c r="FJ267" s="263"/>
      <c r="FK267" s="263"/>
      <c r="FL267" s="263"/>
      <c r="FM267" s="263"/>
      <c r="FN267" s="263"/>
      <c r="FO267" s="263"/>
      <c r="FP267" s="263"/>
      <c r="FQ267" s="263"/>
      <c r="FR267" s="263"/>
      <c r="FS267" s="263"/>
      <c r="FT267" s="263"/>
      <c r="FU267" s="263"/>
      <c r="FV267" s="263"/>
      <c r="FW267" s="263"/>
      <c r="FX267" s="263"/>
      <c r="FY267" s="263"/>
      <c r="FZ267" s="263"/>
      <c r="GA267" s="263"/>
      <c r="GB267" s="263"/>
      <c r="GC267" s="263"/>
      <c r="GD267" s="263"/>
      <c r="GE267" s="263"/>
      <c r="GF267" s="263"/>
      <c r="GG267" s="263"/>
      <c r="GH267" s="263"/>
      <c r="GI267" s="263"/>
      <c r="GJ267" s="263"/>
      <c r="GK267" s="263"/>
      <c r="GL267" s="263"/>
      <c r="GM267" s="263"/>
      <c r="GN267" s="263"/>
      <c r="GO267" s="263"/>
      <c r="GP267" s="263"/>
      <c r="GQ267" s="263"/>
      <c r="GR267" s="263"/>
      <c r="GS267" s="263"/>
      <c r="GT267" s="263"/>
      <c r="GU267" s="263"/>
      <c r="GV267" s="263"/>
      <c r="GW267" s="263"/>
      <c r="GX267" s="263"/>
      <c r="GY267" s="263"/>
    </row>
    <row r="268" spans="1:207" x14ac:dyDescent="0.15">
      <c r="G268" s="263"/>
      <c r="H268" s="263"/>
      <c r="I268" s="263"/>
      <c r="J268" s="263"/>
      <c r="K268" s="263"/>
      <c r="L268" s="263"/>
      <c r="M268" s="263"/>
      <c r="N268" s="263"/>
      <c r="O268" s="263"/>
      <c r="P268" s="263"/>
      <c r="Q268" s="263"/>
      <c r="R268" s="263"/>
      <c r="S268" s="263"/>
      <c r="T268" s="263"/>
      <c r="U268" s="263"/>
      <c r="V268" s="263"/>
      <c r="W268" s="263"/>
      <c r="X268" s="263"/>
      <c r="Y268" s="263"/>
      <c r="Z268" s="263"/>
      <c r="AA268" s="263"/>
      <c r="AB268" s="263"/>
      <c r="AC268" s="263"/>
      <c r="AD268" s="263"/>
      <c r="AE268" s="263"/>
      <c r="AF268" s="263"/>
      <c r="AG268" s="263"/>
      <c r="AH268" s="263"/>
      <c r="AI268" s="263"/>
      <c r="AJ268" s="263"/>
      <c r="AK268" s="263"/>
      <c r="AL268" s="263"/>
      <c r="AM268" s="263"/>
      <c r="AN268" s="263"/>
      <c r="AO268" s="263"/>
      <c r="AP268" s="263"/>
      <c r="AQ268" s="263"/>
      <c r="AR268" s="263"/>
      <c r="AS268" s="263"/>
      <c r="AT268" s="263"/>
      <c r="AU268" s="263"/>
      <c r="AV268" s="263"/>
      <c r="AW268" s="263"/>
      <c r="AX268" s="263"/>
      <c r="AY268" s="263"/>
      <c r="AZ268" s="263"/>
      <c r="BA268" s="263"/>
      <c r="BB268" s="263"/>
      <c r="BC268" s="263"/>
      <c r="BD268" s="263"/>
      <c r="BE268" s="263"/>
      <c r="BF268" s="263"/>
      <c r="BG268" s="263"/>
      <c r="BH268" s="263"/>
      <c r="BI268" s="263"/>
      <c r="BJ268" s="263"/>
      <c r="BK268" s="263"/>
      <c r="BL268" s="263"/>
      <c r="BM268" s="263"/>
      <c r="BN268" s="263"/>
      <c r="BO268" s="263"/>
      <c r="BP268" s="263"/>
      <c r="BQ268" s="263"/>
      <c r="BR268" s="263"/>
      <c r="BS268" s="263"/>
      <c r="BT268" s="263"/>
      <c r="BU268" s="263"/>
      <c r="BV268" s="263"/>
      <c r="BW268" s="263"/>
      <c r="BX268" s="263"/>
      <c r="BY268" s="263"/>
      <c r="BZ268" s="263"/>
      <c r="CA268" s="263"/>
      <c r="CB268" s="263"/>
      <c r="CC268" s="263"/>
      <c r="CD268" s="263"/>
      <c r="CE268" s="263"/>
      <c r="CF268" s="263"/>
      <c r="CG268" s="263"/>
      <c r="CH268" s="263"/>
      <c r="CI268" s="263"/>
      <c r="CJ268" s="263"/>
      <c r="CK268" s="263"/>
      <c r="CL268" s="263"/>
      <c r="CM268" s="263"/>
      <c r="CN268" s="263"/>
      <c r="CO268" s="263"/>
      <c r="CP268" s="263"/>
      <c r="CQ268" s="263"/>
      <c r="CR268" s="263"/>
      <c r="CS268" s="263"/>
      <c r="CT268" s="263"/>
      <c r="CU268" s="263"/>
      <c r="CV268" s="263"/>
      <c r="CW268" s="263"/>
      <c r="CX268" s="263"/>
      <c r="CY268" s="263"/>
      <c r="CZ268" s="263"/>
      <c r="DA268" s="263"/>
      <c r="DB268" s="263"/>
      <c r="DC268" s="263"/>
      <c r="DD268" s="263"/>
      <c r="DE268" s="263"/>
      <c r="DF268" s="263"/>
      <c r="DG268" s="263"/>
      <c r="DH268" s="263"/>
      <c r="DI268" s="263"/>
      <c r="DJ268" s="263"/>
      <c r="DK268" s="263"/>
      <c r="DL268" s="263"/>
      <c r="DM268" s="263"/>
      <c r="DN268" s="263"/>
      <c r="DO268" s="263"/>
      <c r="DP268" s="263"/>
      <c r="DQ268" s="263"/>
      <c r="DR268" s="263"/>
      <c r="DS268" s="263"/>
      <c r="DT268" s="263"/>
      <c r="DU268" s="263"/>
      <c r="DV268" s="263"/>
      <c r="DW268" s="263"/>
      <c r="DX268" s="263"/>
      <c r="DY268" s="263"/>
      <c r="DZ268" s="263"/>
      <c r="EA268" s="263"/>
      <c r="EB268" s="263"/>
      <c r="EC268" s="263"/>
      <c r="ED268" s="263"/>
      <c r="EE268" s="263"/>
      <c r="EF268" s="263"/>
      <c r="EG268" s="263"/>
      <c r="EH268" s="263"/>
      <c r="EI268" s="263"/>
      <c r="EJ268" s="263"/>
      <c r="EK268" s="263"/>
      <c r="EL268" s="263"/>
      <c r="EM268" s="263"/>
      <c r="EN268" s="263"/>
      <c r="EO268" s="263"/>
      <c r="EP268" s="263"/>
      <c r="EQ268" s="263"/>
      <c r="ER268" s="263"/>
      <c r="ES268" s="263"/>
      <c r="ET268" s="263"/>
      <c r="EU268" s="263"/>
      <c r="EV268" s="263"/>
      <c r="EW268" s="263"/>
      <c r="EX268" s="263"/>
      <c r="EY268" s="263"/>
      <c r="EZ268" s="263"/>
      <c r="FA268" s="263"/>
      <c r="FB268" s="263"/>
      <c r="FC268" s="263"/>
      <c r="FD268" s="263"/>
      <c r="FE268" s="263"/>
      <c r="FF268" s="263"/>
      <c r="FG268" s="263"/>
      <c r="FH268" s="263"/>
      <c r="FI268" s="263"/>
      <c r="FJ268" s="263"/>
      <c r="FK268" s="263"/>
      <c r="FL268" s="263"/>
      <c r="FM268" s="263"/>
      <c r="FN268" s="263"/>
      <c r="FO268" s="263"/>
      <c r="FP268" s="263"/>
      <c r="FQ268" s="263"/>
      <c r="FR268" s="263"/>
      <c r="FS268" s="263"/>
      <c r="FT268" s="263"/>
      <c r="FU268" s="263"/>
      <c r="FV268" s="263"/>
      <c r="FW268" s="263"/>
      <c r="FX268" s="263"/>
      <c r="FY268" s="263"/>
      <c r="FZ268" s="263"/>
      <c r="GA268" s="263"/>
      <c r="GB268" s="263"/>
      <c r="GC268" s="263"/>
      <c r="GD268" s="263"/>
      <c r="GE268" s="263"/>
      <c r="GF268" s="263"/>
      <c r="GG268" s="263"/>
      <c r="GH268" s="263"/>
      <c r="GI268" s="263"/>
      <c r="GJ268" s="263"/>
      <c r="GK268" s="263"/>
      <c r="GL268" s="263"/>
      <c r="GM268" s="263"/>
      <c r="GN268" s="263"/>
      <c r="GO268" s="263"/>
      <c r="GP268" s="263"/>
      <c r="GQ268" s="263"/>
      <c r="GR268" s="263"/>
      <c r="GS268" s="263"/>
      <c r="GT268" s="263"/>
      <c r="GU268" s="263"/>
      <c r="GV268" s="263"/>
      <c r="GW268" s="263"/>
      <c r="GX268" s="263"/>
      <c r="GY268" s="263"/>
    </row>
    <row r="269" spans="1:207" x14ac:dyDescent="0.15">
      <c r="C269" s="23" t="s">
        <v>407</v>
      </c>
      <c r="D269" s="26" t="s">
        <v>278</v>
      </c>
      <c r="F269" s="26" t="s">
        <v>341</v>
      </c>
      <c r="G269" s="263">
        <f>IF(G7&gt;SAP_Leadsheet!$E$21,0,-SAP_Leadsheet!$E95*G$11*SAP_Spreadsheet!G$258)</f>
        <v>-7.1692437450888188E-4</v>
      </c>
      <c r="H269" s="263">
        <f ca="1">IF(H7&gt;SAP_Leadsheet!$E$21,0,-SAP_Leadsheet!$E95*H$11*SAP_Spreadsheet!H$258)</f>
        <v>-6.9049241669337448E-4</v>
      </c>
      <c r="I269" s="263">
        <f ca="1">IF(I7&gt;SAP_Leadsheet!$E$21,0,-SAP_Leadsheet!$E95*I$11*SAP_Spreadsheet!I$258)</f>
        <v>-6.6406045887786708E-4</v>
      </c>
      <c r="J269" s="263">
        <f ca="1">IF(J7&gt;SAP_Leadsheet!$E$21,0,-SAP_Leadsheet!$E95*J$11*SAP_Spreadsheet!J$258)</f>
        <v>-6.3762850106235968E-4</v>
      </c>
      <c r="K269" s="263">
        <f ca="1">IF(K7&gt;SAP_Leadsheet!$E$21,0,-SAP_Leadsheet!$E95*K$11*SAP_Spreadsheet!K$258)</f>
        <v>-6.1119654324685228E-4</v>
      </c>
      <c r="L269" s="263">
        <f ca="1">IF(L7&gt;SAP_Leadsheet!$E$21,0,-SAP_Leadsheet!$E95*L$11*SAP_Spreadsheet!L$258)</f>
        <v>-5.8476458543134488E-4</v>
      </c>
      <c r="M269" s="263">
        <f ca="1">IF(M7&gt;SAP_Leadsheet!$E$21,0,-SAP_Leadsheet!$E95*M$11*SAP_Spreadsheet!M$258)</f>
        <v>-5.5833262761583748E-4</v>
      </c>
      <c r="N269" s="263">
        <f ca="1">IF(N7&gt;SAP_Leadsheet!$E$21,0,-SAP_Leadsheet!$E95*N$11*SAP_Spreadsheet!N$258)</f>
        <v>-5.3190066980033008E-4</v>
      </c>
      <c r="O269" s="263">
        <f ca="1">IF(O7&gt;SAP_Leadsheet!$E$21,0,-SAP_Leadsheet!$E95*O$11*SAP_Spreadsheet!O$258)</f>
        <v>-5.0546871198482279E-4</v>
      </c>
      <c r="P269" s="263">
        <f ca="1">IF(P7&gt;SAP_Leadsheet!$E$21,0,-SAP_Leadsheet!$E95*P$11*SAP_Spreadsheet!P$258)</f>
        <v>-4.7903675416931544E-4</v>
      </c>
      <c r="Q269" s="263">
        <f ca="1">IF(Q7&gt;SAP_Leadsheet!$E$21,0,-SAP_Leadsheet!$E95*Q$11*SAP_Spreadsheet!Q$258)</f>
        <v>-4.526047963538081E-4</v>
      </c>
      <c r="R269" s="263">
        <f ca="1">IF(R7&gt;SAP_Leadsheet!$E$21,0,-SAP_Leadsheet!$E95*R$11*SAP_Spreadsheet!R$258)</f>
        <v>-4.2617283853830075E-4</v>
      </c>
      <c r="S269" s="263">
        <f ca="1">IF(S7&gt;SAP_Leadsheet!$E$21,0,-SAP_Leadsheet!$E95*S$11*SAP_Spreadsheet!S$258)</f>
        <v>-4.3035493967541775E-4</v>
      </c>
      <c r="T269" s="263">
        <f ca="1">IF(T7&gt;SAP_Leadsheet!$E$21,0,-SAP_Leadsheet!$E95*T$11*SAP_Spreadsheet!T$258)</f>
        <v>-4.1962099146369429E-4</v>
      </c>
      <c r="U269" s="263">
        <f ca="1">IF(U7&gt;SAP_Leadsheet!$E$21,0,-SAP_Leadsheet!$E95*U$11*SAP_Spreadsheet!U$258)</f>
        <v>-4.0888704325197077E-4</v>
      </c>
      <c r="V269" s="263">
        <f ca="1">IF(V7&gt;SAP_Leadsheet!$E$21,0,-SAP_Leadsheet!$E95*V$11*SAP_Spreadsheet!V$258)</f>
        <v>-3.9815309504024731E-4</v>
      </c>
      <c r="W269" s="263">
        <f ca="1">IF(W7&gt;SAP_Leadsheet!$E$21,0,-SAP_Leadsheet!$E95*W$11*SAP_Spreadsheet!W$258)</f>
        <v>-3.8741914682852385E-4</v>
      </c>
      <c r="X269" s="263">
        <f ca="1">IF(X7&gt;SAP_Leadsheet!$E$21,0,-SAP_Leadsheet!$E95*X$11*SAP_Spreadsheet!X$258)</f>
        <v>-3.7668519861680034E-4</v>
      </c>
      <c r="Y269" s="263">
        <f ca="1">IF(Y7&gt;SAP_Leadsheet!$E$21,0,-SAP_Leadsheet!$E95*Y$11*SAP_Spreadsheet!Y$258)</f>
        <v>-3.6595125040507688E-4</v>
      </c>
      <c r="Z269" s="263">
        <f ca="1">IF(Z7&gt;SAP_Leadsheet!$E$21,0,-SAP_Leadsheet!$E95*Z$11*SAP_Spreadsheet!Z$258)</f>
        <v>-3.5521730219335336E-4</v>
      </c>
      <c r="AA269" s="263">
        <f ca="1">IF(AA7&gt;SAP_Leadsheet!$E$21,0,-SAP_Leadsheet!$E95*AA$11*SAP_Spreadsheet!AA$258)</f>
        <v>-3.444833539816299E-4</v>
      </c>
      <c r="AB269" s="263">
        <f ca="1">IF(AB7&gt;SAP_Leadsheet!$E$21,0,-SAP_Leadsheet!$E95*AB$11*SAP_Spreadsheet!AB$258)</f>
        <v>-3.3374940576990638E-4</v>
      </c>
      <c r="AC269" s="263">
        <f ca="1">IF(AC7&gt;SAP_Leadsheet!$E$21,0,-SAP_Leadsheet!$E95*AC$11*SAP_Spreadsheet!AC$258)</f>
        <v>-3.2301545755818292E-4</v>
      </c>
      <c r="AD269" s="263">
        <f ca="1">IF(AD7&gt;SAP_Leadsheet!$E$21,0,-SAP_Leadsheet!$E95*AD$11*SAP_Spreadsheet!AD$258)</f>
        <v>-3.2321136217358551E-4</v>
      </c>
      <c r="AE269" s="263">
        <f ca="1">IF(AE7&gt;SAP_Leadsheet!$E$21,0,-SAP_Leadsheet!$E95*AE$11*SAP_Spreadsheet!AE$258)</f>
        <v>-3.1650242604840215E-4</v>
      </c>
      <c r="AF269" s="263">
        <f ca="1">IF(AF7&gt;SAP_Leadsheet!$E$21,0,-SAP_Leadsheet!$E95*AF$11*SAP_Spreadsheet!AF$258)</f>
        <v>-3.0979348992321879E-4</v>
      </c>
      <c r="AG269" s="263">
        <f ca="1">IF(AG7&gt;SAP_Leadsheet!$E$21,0,-SAP_Leadsheet!$E95*AG$11*SAP_Spreadsheet!AG$258)</f>
        <v>-3.0308455379803549E-4</v>
      </c>
      <c r="AH269" s="263">
        <f ca="1">IF(AH7&gt;SAP_Leadsheet!$E$21,0,-SAP_Leadsheet!$E95*AH$11*SAP_Spreadsheet!AH$258)</f>
        <v>-2.9637561767285214E-4</v>
      </c>
      <c r="AI269" s="263">
        <f ca="1">IF(AI7&gt;SAP_Leadsheet!$E$21,0,-SAP_Leadsheet!$E95*AI$11*SAP_Spreadsheet!AI$258)</f>
        <v>-2.8966668154766883E-4</v>
      </c>
      <c r="AJ269" s="263">
        <f ca="1">IF(AJ7&gt;SAP_Leadsheet!$E$21,0,-SAP_Leadsheet!$E95*AJ$11*SAP_Spreadsheet!AJ$258)</f>
        <v>-2.8295774542248542E-4</v>
      </c>
      <c r="AK269" s="263">
        <f ca="1">IF(AK7&gt;SAP_Leadsheet!$E$21,0,-SAP_Leadsheet!$E95*AK$11*SAP_Spreadsheet!AK$258)</f>
        <v>-2.7624880929730212E-4</v>
      </c>
      <c r="AL269" s="263">
        <f ca="1">IF(AL7&gt;SAP_Leadsheet!$E$21,0,-SAP_Leadsheet!$E95*AL$11*SAP_Spreadsheet!AL$258)</f>
        <v>-2.6953987317211877E-4</v>
      </c>
      <c r="AM269" s="263">
        <f ca="1">IF(AM7&gt;SAP_Leadsheet!$E$21,0,-SAP_Leadsheet!$E95*AM$11*SAP_Spreadsheet!AM$258)</f>
        <v>-2.6283093704693541E-4</v>
      </c>
      <c r="AN269" s="263">
        <f ca="1">IF(AN7&gt;SAP_Leadsheet!$E$21,0,-SAP_Leadsheet!$E95*AN$11*SAP_Spreadsheet!AN$258)</f>
        <v>-2.5612200092175211E-4</v>
      </c>
      <c r="AO269" s="263">
        <f ca="1">IF(AO7&gt;SAP_Leadsheet!$E$21,0,-SAP_Leadsheet!$E95*AO$11*SAP_Spreadsheet!AO$258)</f>
        <v>-2.4941306479656875E-4</v>
      </c>
      <c r="AP269" s="263">
        <f ca="1">IF(AP7&gt;SAP_Leadsheet!$E$21,0,-SAP_Leadsheet!$E95*AP$11*SAP_Spreadsheet!AP$258)</f>
        <v>-2.5119877317488387E-4</v>
      </c>
      <c r="AQ269" s="263">
        <f ca="1">IF(AQ7&gt;SAP_Leadsheet!$E$21,0,-SAP_Leadsheet!$E95*AQ$11*SAP_Spreadsheet!AQ$258)</f>
        <v>-2.4590159445884009E-4</v>
      </c>
      <c r="AR269" s="263">
        <f ca="1">IF(AR7&gt;SAP_Leadsheet!$E$21,0,-SAP_Leadsheet!$E95*AR$11*SAP_Spreadsheet!AR$258)</f>
        <v>-2.4060441574279628E-4</v>
      </c>
      <c r="AS269" s="263">
        <f ca="1">IF(AS7&gt;SAP_Leadsheet!$E$21,0,-SAP_Leadsheet!$E95*AS$11*SAP_Spreadsheet!AS$258)</f>
        <v>-2.3530723702675253E-4</v>
      </c>
      <c r="AT269" s="263">
        <f ca="1">IF(AT7&gt;SAP_Leadsheet!$E$21,0,-SAP_Leadsheet!$E95*AT$11*SAP_Spreadsheet!AT$258)</f>
        <v>-2.3001005831070872E-4</v>
      </c>
      <c r="AU269" s="263">
        <f ca="1">IF(AU7&gt;SAP_Leadsheet!$E$21,0,-SAP_Leadsheet!$E95*AU$11*SAP_Spreadsheet!AU$258)</f>
        <v>-2.2471287959466497E-4</v>
      </c>
      <c r="AV269" s="263">
        <f ca="1">IF(AV7&gt;SAP_Leadsheet!$E$21,0,-SAP_Leadsheet!$E95*AV$11*SAP_Spreadsheet!AV$258)</f>
        <v>-2.1941570087862118E-4</v>
      </c>
      <c r="AW269" s="263">
        <f ca="1">IF(AW7&gt;SAP_Leadsheet!$E$21,0,-SAP_Leadsheet!$E95*AW$11*SAP_Spreadsheet!AW$258)</f>
        <v>-2.141185221625774E-4</v>
      </c>
      <c r="AX269" s="263">
        <f ca="1">IF(AX7&gt;SAP_Leadsheet!$E$21,0,-SAP_Leadsheet!$E95*AX$11*SAP_Spreadsheet!AX$258)</f>
        <v>-2.0882134344653362E-4</v>
      </c>
      <c r="AY269" s="263">
        <f ca="1">IF(AY7&gt;SAP_Leadsheet!$E$21,0,-SAP_Leadsheet!$E95*AY$11*SAP_Spreadsheet!AY$258)</f>
        <v>-2.0352416473048984E-4</v>
      </c>
      <c r="AZ269" s="263">
        <f ca="1">IF(AZ7&gt;SAP_Leadsheet!$E$21,0,-SAP_Leadsheet!$E95*AZ$11*SAP_Spreadsheet!AZ$258)</f>
        <v>-1.9822698601444606E-4</v>
      </c>
      <c r="BA269" s="263">
        <f ca="1">IF(BA7&gt;SAP_Leadsheet!$E$21,0,-SAP_Leadsheet!$E95*BA$11*SAP_Spreadsheet!BA$258)</f>
        <v>-1.9292980729840228E-4</v>
      </c>
      <c r="BB269" s="263">
        <f ca="1">IF(BB7&gt;SAP_Leadsheet!$E$21,0,-SAP_Leadsheet!$E95*BB$11*SAP_Spreadsheet!BB$258)</f>
        <v>-1.9419977058274102E-4</v>
      </c>
      <c r="BC269" s="263">
        <f ca="1">IF(BC7&gt;SAP_Leadsheet!$E$21,0,-SAP_Leadsheet!$E95*BC$11*SAP_Spreadsheet!BC$258)</f>
        <v>-1.8906907058947314E-4</v>
      </c>
      <c r="BD269" s="263">
        <f ca="1">IF(BD7&gt;SAP_Leadsheet!$E$21,0,-SAP_Leadsheet!$E95*BD$11*SAP_Spreadsheet!BD$258)</f>
        <v>-1.839383705962052E-4</v>
      </c>
      <c r="BE269" s="263">
        <f ca="1">IF(BE7&gt;SAP_Leadsheet!$E$21,0,-SAP_Leadsheet!$E95*BE$11*SAP_Spreadsheet!BE$258)</f>
        <v>-1.7880767060293729E-4</v>
      </c>
      <c r="BF269" s="263">
        <f ca="1">IF(BF7&gt;SAP_Leadsheet!$E$21,0,-SAP_Leadsheet!$E95*BF$11*SAP_Spreadsheet!BF$258)</f>
        <v>-1.7367697060966935E-4</v>
      </c>
      <c r="BG269" s="263">
        <f ca="1">IF(BG7&gt;SAP_Leadsheet!$E$21,0,-SAP_Leadsheet!$E95*BG$11*SAP_Spreadsheet!BG$258)</f>
        <v>-1.6854627061640141E-4</v>
      </c>
      <c r="BH269" s="263">
        <f ca="1">IF(BH7&gt;SAP_Leadsheet!$E$21,0,-SAP_Leadsheet!$E95*BH$11*SAP_Spreadsheet!BH$258)</f>
        <v>-1.6341557062313352E-4</v>
      </c>
      <c r="BI269" s="263">
        <f ca="1">IF(BI7&gt;SAP_Leadsheet!$E$21,0,-SAP_Leadsheet!$E95*BI$11*SAP_Spreadsheet!BI$258)</f>
        <v>-1.5828487062986558E-4</v>
      </c>
      <c r="BJ269" s="263">
        <f ca="1">IF(BJ7&gt;SAP_Leadsheet!$E$21,0,-SAP_Leadsheet!$E95*BJ$11*SAP_Spreadsheet!BJ$258)</f>
        <v>-1.5315417063659767E-4</v>
      </c>
      <c r="BK269" s="263">
        <f ca="1">IF(BK7&gt;SAP_Leadsheet!$E$21,0,-SAP_Leadsheet!$E95*BK$11*SAP_Spreadsheet!BK$258)</f>
        <v>-1.4802347064332976E-4</v>
      </c>
      <c r="BL269" s="263">
        <f ca="1">IF(BL7&gt;SAP_Leadsheet!$E$21,0,-SAP_Leadsheet!$E95*BL$11*SAP_Spreadsheet!BL$258)</f>
        <v>-1.4289277065006187E-4</v>
      </c>
      <c r="BM269" s="263">
        <f ca="1">IF(BM7&gt;SAP_Leadsheet!$E$21,0,-SAP_Leadsheet!$E95*BM$11*SAP_Spreadsheet!BM$258)</f>
        <v>-1.3776207065679396E-4</v>
      </c>
      <c r="BN269" s="263">
        <f ca="1">IF(BN7&gt;SAP_Leadsheet!$E$21,0,-SAP_Leadsheet!$E95*BN$11*SAP_Spreadsheet!BN$258)</f>
        <v>-1.3727346863674945E-4</v>
      </c>
      <c r="BO269" s="263"/>
      <c r="BP269" s="263"/>
      <c r="BQ269" s="263"/>
      <c r="BR269" s="263"/>
      <c r="BS269" s="263"/>
      <c r="BT269" s="263"/>
      <c r="BU269" s="263"/>
      <c r="BV269" s="263"/>
      <c r="BW269" s="263"/>
      <c r="BX269" s="263"/>
      <c r="BY269" s="263"/>
      <c r="BZ269" s="263"/>
      <c r="CA269" s="263"/>
      <c r="CB269" s="263"/>
      <c r="CC269" s="263"/>
      <c r="CD269" s="263"/>
      <c r="CE269" s="263"/>
      <c r="CF269" s="263"/>
      <c r="CG269" s="263"/>
      <c r="CH269" s="263"/>
      <c r="CI269" s="263"/>
      <c r="CJ269" s="263"/>
      <c r="CK269" s="263"/>
      <c r="CL269" s="263"/>
      <c r="CM269" s="263"/>
      <c r="CN269" s="263"/>
      <c r="CO269" s="263"/>
      <c r="CP269" s="263"/>
      <c r="CQ269" s="263"/>
      <c r="CR269" s="263"/>
      <c r="CS269" s="263"/>
      <c r="CT269" s="263"/>
      <c r="CU269" s="263"/>
      <c r="CV269" s="263"/>
      <c r="CW269" s="263"/>
      <c r="CX269" s="263"/>
      <c r="CY269" s="263"/>
      <c r="CZ269" s="263"/>
      <c r="DA269" s="263"/>
      <c r="DB269" s="263"/>
      <c r="DC269" s="263"/>
      <c r="DD269" s="263"/>
      <c r="DE269" s="263"/>
      <c r="DF269" s="263"/>
      <c r="DG269" s="263"/>
      <c r="DH269" s="263"/>
      <c r="DI269" s="263"/>
      <c r="DJ269" s="263"/>
      <c r="DK269" s="263"/>
      <c r="DL269" s="263"/>
      <c r="DM269" s="263"/>
      <c r="DN269" s="263"/>
      <c r="DO269" s="263"/>
      <c r="DP269" s="263"/>
      <c r="DQ269" s="263"/>
      <c r="DR269" s="263"/>
      <c r="DS269" s="263"/>
      <c r="DT269" s="263"/>
      <c r="DU269" s="263"/>
      <c r="DV269" s="263"/>
      <c r="DW269" s="263"/>
      <c r="DX269" s="263"/>
      <c r="DY269" s="263"/>
      <c r="DZ269" s="263"/>
      <c r="EA269" s="263"/>
      <c r="EB269" s="263"/>
      <c r="EC269" s="263"/>
      <c r="ED269" s="263"/>
      <c r="EE269" s="263"/>
      <c r="EF269" s="263"/>
      <c r="EG269" s="263"/>
      <c r="EH269" s="263"/>
      <c r="EI269" s="263"/>
      <c r="EJ269" s="263"/>
      <c r="EK269" s="263"/>
      <c r="EL269" s="263"/>
      <c r="EM269" s="263"/>
      <c r="EN269" s="263"/>
      <c r="EO269" s="263"/>
      <c r="EP269" s="263"/>
      <c r="EQ269" s="263"/>
      <c r="ER269" s="263"/>
      <c r="ES269" s="263"/>
      <c r="ET269" s="263"/>
      <c r="EU269" s="263"/>
      <c r="EV269" s="263"/>
      <c r="EW269" s="263"/>
      <c r="EX269" s="263"/>
      <c r="EY269" s="263"/>
      <c r="EZ269" s="263"/>
      <c r="FA269" s="263"/>
      <c r="FB269" s="263"/>
      <c r="FC269" s="263"/>
      <c r="FD269" s="263"/>
      <c r="FE269" s="263"/>
      <c r="FF269" s="263"/>
      <c r="FG269" s="263"/>
      <c r="FH269" s="263"/>
      <c r="FI269" s="263"/>
      <c r="FJ269" s="263"/>
      <c r="FK269" s="263"/>
      <c r="FL269" s="263"/>
      <c r="FM269" s="263"/>
      <c r="FN269" s="263"/>
      <c r="FO269" s="263"/>
      <c r="FP269" s="263"/>
      <c r="FQ269" s="263"/>
      <c r="FR269" s="263"/>
      <c r="FS269" s="263"/>
      <c r="FT269" s="263"/>
      <c r="FU269" s="263"/>
      <c r="FV269" s="263"/>
      <c r="FW269" s="263"/>
      <c r="FX269" s="263"/>
      <c r="FY269" s="263"/>
      <c r="FZ269" s="263"/>
      <c r="GA269" s="263"/>
      <c r="GB269" s="263"/>
      <c r="GC269" s="263"/>
      <c r="GD269" s="263"/>
      <c r="GE269" s="263"/>
      <c r="GF269" s="263"/>
      <c r="GG269" s="263"/>
      <c r="GH269" s="263"/>
      <c r="GI269" s="263"/>
      <c r="GJ269" s="263"/>
      <c r="GK269" s="263"/>
      <c r="GL269" s="263"/>
      <c r="GM269" s="263"/>
      <c r="GN269" s="263"/>
      <c r="GO269" s="263"/>
      <c r="GP269" s="263"/>
      <c r="GQ269" s="263"/>
      <c r="GR269" s="263"/>
      <c r="GS269" s="263"/>
      <c r="GT269" s="263"/>
      <c r="GU269" s="263"/>
      <c r="GV269" s="263"/>
      <c r="GW269" s="263"/>
      <c r="GX269" s="263"/>
      <c r="GY269" s="263"/>
    </row>
    <row r="270" spans="1:207" x14ac:dyDescent="0.15">
      <c r="C270" s="23"/>
      <c r="D270" s="26" t="s">
        <v>280</v>
      </c>
      <c r="F270" s="26" t="s">
        <v>341</v>
      </c>
      <c r="G270" s="263">
        <f>IF(G8&gt;SAP_Leadsheet!$E$21,0,-SAP_Leadsheet!$E96*G$11*SAP_Spreadsheet!G$258)</f>
        <v>-4.216557105810745E-4</v>
      </c>
      <c r="H270" s="263">
        <f ca="1">IF(H8&gt;SAP_Leadsheet!$E$21,0,-SAP_Leadsheet!$E96*H$11*SAP_Spreadsheet!H$258)</f>
        <v>-4.0610987848074787E-4</v>
      </c>
      <c r="I270" s="263">
        <f ca="1">IF(I8&gt;SAP_Leadsheet!$E$21,0,-SAP_Leadsheet!$E96*I$11*SAP_Spreadsheet!I$258)</f>
        <v>-3.905640463804213E-4</v>
      </c>
      <c r="J270" s="263">
        <f ca="1">IF(J8&gt;SAP_Leadsheet!$E$21,0,-SAP_Leadsheet!$E96*J$11*SAP_Spreadsheet!J$258)</f>
        <v>-3.7501821428009466E-4</v>
      </c>
      <c r="K270" s="263">
        <f ca="1">IF(K8&gt;SAP_Leadsheet!$E$21,0,-SAP_Leadsheet!$E96*K$11*SAP_Spreadsheet!K$258)</f>
        <v>-3.5947238217976803E-4</v>
      </c>
      <c r="L270" s="263">
        <f ca="1">IF(L8&gt;SAP_Leadsheet!$E$21,0,-SAP_Leadsheet!$E96*L$11*SAP_Spreadsheet!L$258)</f>
        <v>-3.439265500794414E-4</v>
      </c>
      <c r="M270" s="263">
        <f ca="1">IF(M8&gt;SAP_Leadsheet!$E$21,0,-SAP_Leadsheet!$E96*M$11*SAP_Spreadsheet!M$258)</f>
        <v>-3.2838071797911477E-4</v>
      </c>
      <c r="N270" s="263">
        <f ca="1">IF(N8&gt;SAP_Leadsheet!$E$21,0,-SAP_Leadsheet!$E96*N$11*SAP_Spreadsheet!N$258)</f>
        <v>-3.1283488587878819E-4</v>
      </c>
      <c r="O270" s="263">
        <f ca="1">IF(O8&gt;SAP_Leadsheet!$E$21,0,-SAP_Leadsheet!$E96*O$11*SAP_Spreadsheet!O$258)</f>
        <v>-2.9728905377846162E-4</v>
      </c>
      <c r="P270" s="263">
        <f ca="1">IF(P8&gt;SAP_Leadsheet!$E$21,0,-SAP_Leadsheet!$E96*P$11*SAP_Spreadsheet!P$258)</f>
        <v>-2.8174322167813504E-4</v>
      </c>
      <c r="Q270" s="263">
        <f ca="1">IF(Q8&gt;SAP_Leadsheet!$E$21,0,-SAP_Leadsheet!$E96*Q$11*SAP_Spreadsheet!Q$258)</f>
        <v>-2.6619738957780846E-4</v>
      </c>
      <c r="R270" s="263">
        <f ca="1">IF(R8&gt;SAP_Leadsheet!$E$21,0,-SAP_Leadsheet!$E96*R$11*SAP_Spreadsheet!R$258)</f>
        <v>-2.5065155747748188E-4</v>
      </c>
      <c r="S270" s="263">
        <f ca="1">IF(S8&gt;SAP_Leadsheet!$E$21,0,-SAP_Leadsheet!$E96*S$11*SAP_Spreadsheet!S$258)</f>
        <v>-2.5311124065940878E-4</v>
      </c>
      <c r="T270" s="263">
        <f ca="1">IF(T8&gt;SAP_Leadsheet!$E$21,0,-SAP_Leadsheet!$E96*T$11*SAP_Spreadsheet!T$258)</f>
        <v>-2.4679811932962393E-4</v>
      </c>
      <c r="U270" s="263">
        <f ca="1">IF(U8&gt;SAP_Leadsheet!$E$21,0,-SAP_Leadsheet!$E96*U$11*SAP_Spreadsheet!U$258)</f>
        <v>-2.4048499799983903E-4</v>
      </c>
      <c r="V270" s="263">
        <f ca="1">IF(V8&gt;SAP_Leadsheet!$E$21,0,-SAP_Leadsheet!$E96*V$11*SAP_Spreadsheet!V$258)</f>
        <v>-2.3417187667005413E-4</v>
      </c>
      <c r="W270" s="263">
        <f ca="1">IF(W8&gt;SAP_Leadsheet!$E$21,0,-SAP_Leadsheet!$E96*W$11*SAP_Spreadsheet!W$258)</f>
        <v>-2.2785875534026923E-4</v>
      </c>
      <c r="X270" s="263">
        <f ca="1">IF(X8&gt;SAP_Leadsheet!$E$21,0,-SAP_Leadsheet!$E96*X$11*SAP_Spreadsheet!X$258)</f>
        <v>-2.2154563401048432E-4</v>
      </c>
      <c r="Y270" s="263">
        <f ca="1">IF(Y8&gt;SAP_Leadsheet!$E$21,0,-SAP_Leadsheet!$E96*Y$11*SAP_Spreadsheet!Y$258)</f>
        <v>-2.1523251268069942E-4</v>
      </c>
      <c r="Z270" s="263">
        <f ca="1">IF(Z8&gt;SAP_Leadsheet!$E$21,0,-SAP_Leadsheet!$E96*Z$11*SAP_Spreadsheet!Z$258)</f>
        <v>-2.0891939135091452E-4</v>
      </c>
      <c r="AA270" s="263">
        <f ca="1">IF(AA8&gt;SAP_Leadsheet!$E$21,0,-SAP_Leadsheet!$E96*AA$11*SAP_Spreadsheet!AA$258)</f>
        <v>-2.0260627002112959E-4</v>
      </c>
      <c r="AB270" s="263">
        <f ca="1">IF(AB8&gt;SAP_Leadsheet!$E$21,0,-SAP_Leadsheet!$E96*AB$11*SAP_Spreadsheet!AB$258)</f>
        <v>-1.9629314869134472E-4</v>
      </c>
      <c r="AC270" s="263">
        <f ca="1">IF(AC8&gt;SAP_Leadsheet!$E$21,0,-SAP_Leadsheet!$E96*AC$11*SAP_Spreadsheet!AC$258)</f>
        <v>-1.8998002736155982E-4</v>
      </c>
      <c r="AD270" s="263">
        <f ca="1">IF(AD8&gt;SAP_Leadsheet!$E$21,0,-SAP_Leadsheet!$E96*AD$11*SAP_Spreadsheet!AD$258)</f>
        <v>-1.9009524774288701E-4</v>
      </c>
      <c r="AE270" s="263">
        <f ca="1">IF(AE8&gt;SAP_Leadsheet!$E$21,0,-SAP_Leadsheet!$E96*AE$11*SAP_Spreadsheet!AE$258)</f>
        <v>-1.8614941840622222E-4</v>
      </c>
      <c r="AF270" s="263">
        <f ca="1">IF(AF8&gt;SAP_Leadsheet!$E$21,0,-SAP_Leadsheet!$E96*AF$11*SAP_Spreadsheet!AF$258)</f>
        <v>-1.8220358906955741E-4</v>
      </c>
      <c r="AG270" s="263">
        <f ca="1">IF(AG8&gt;SAP_Leadsheet!$E$21,0,-SAP_Leadsheet!$E96*AG$11*SAP_Spreadsheet!AG$258)</f>
        <v>-1.7825775973289256E-4</v>
      </c>
      <c r="AH270" s="263">
        <f ca="1">IF(AH8&gt;SAP_Leadsheet!$E$21,0,-SAP_Leadsheet!$E96*AH$11*SAP_Spreadsheet!AH$258)</f>
        <v>-1.7431193039622774E-4</v>
      </c>
      <c r="AI270" s="263">
        <f ca="1">IF(AI8&gt;SAP_Leadsheet!$E$21,0,-SAP_Leadsheet!$E96*AI$11*SAP_Spreadsheet!AI$258)</f>
        <v>-1.7036610105956293E-4</v>
      </c>
      <c r="AJ270" s="263">
        <f ca="1">IF(AJ8&gt;SAP_Leadsheet!$E$21,0,-SAP_Leadsheet!$E96*AJ$11*SAP_Spreadsheet!AJ$258)</f>
        <v>-1.6642027172289811E-4</v>
      </c>
      <c r="AK270" s="263">
        <f ca="1">IF(AK8&gt;SAP_Leadsheet!$E$21,0,-SAP_Leadsheet!$E96*AK$11*SAP_Spreadsheet!AK$258)</f>
        <v>-1.6247444238623329E-4</v>
      </c>
      <c r="AL270" s="263">
        <f ca="1">IF(AL8&gt;SAP_Leadsheet!$E$21,0,-SAP_Leadsheet!$E96*AL$11*SAP_Spreadsheet!AL$258)</f>
        <v>-1.5852861304956845E-4</v>
      </c>
      <c r="AM270" s="263">
        <f ca="1">IF(AM8&gt;SAP_Leadsheet!$E$21,0,-SAP_Leadsheet!$E96*AM$11*SAP_Spreadsheet!AM$258)</f>
        <v>-1.5458278371290366E-4</v>
      </c>
      <c r="AN270" s="263">
        <f ca="1">IF(AN8&gt;SAP_Leadsheet!$E$21,0,-SAP_Leadsheet!$E96*AN$11*SAP_Spreadsheet!AN$258)</f>
        <v>-1.5063695437623882E-4</v>
      </c>
      <c r="AO270" s="263">
        <f ca="1">IF(AO8&gt;SAP_Leadsheet!$E$21,0,-SAP_Leadsheet!$E96*AO$11*SAP_Spreadsheet!AO$258)</f>
        <v>-1.46691125039574E-4</v>
      </c>
      <c r="AP270" s="263">
        <f ca="1">IF(AP8&gt;SAP_Leadsheet!$E$21,0,-SAP_Leadsheet!$E96*AP$11*SAP_Spreadsheet!AP$258)</f>
        <v>-1.47741381052511E-4</v>
      </c>
      <c r="AQ270" s="263">
        <f ca="1">IF(AQ8&gt;SAP_Leadsheet!$E$21,0,-SAP_Leadsheet!$E96*AQ$11*SAP_Spreadsheet!AQ$258)</f>
        <v>-1.4462587021900296E-4</v>
      </c>
      <c r="AR270" s="263">
        <f ca="1">IF(AR8&gt;SAP_Leadsheet!$E$21,0,-SAP_Leadsheet!$E96*AR$11*SAP_Spreadsheet!AR$258)</f>
        <v>-1.4151035938549493E-4</v>
      </c>
      <c r="AS270" s="263">
        <f ca="1">IF(AS8&gt;SAP_Leadsheet!$E$21,0,-SAP_Leadsheet!$E96*AS$11*SAP_Spreadsheet!AS$258)</f>
        <v>-1.3839484855198691E-4</v>
      </c>
      <c r="AT270" s="263">
        <f ca="1">IF(AT8&gt;SAP_Leadsheet!$E$21,0,-SAP_Leadsheet!$E96*AT$11*SAP_Spreadsheet!AT$258)</f>
        <v>-1.3527933771847892E-4</v>
      </c>
      <c r="AU270" s="263">
        <f ca="1">IF(AU8&gt;SAP_Leadsheet!$E$21,0,-SAP_Leadsheet!$E96*AU$11*SAP_Spreadsheet!AU$258)</f>
        <v>-1.321638268849709E-4</v>
      </c>
      <c r="AV270" s="263">
        <f ca="1">IF(AV8&gt;SAP_Leadsheet!$E$21,0,-SAP_Leadsheet!$E96*AV$11*SAP_Spreadsheet!AV$258)</f>
        <v>-1.2904831605146285E-4</v>
      </c>
      <c r="AW270" s="263">
        <f ca="1">IF(AW8&gt;SAP_Leadsheet!$E$21,0,-SAP_Leadsheet!$E96*AW$11*SAP_Spreadsheet!AW$258)</f>
        <v>-1.2593280521795483E-4</v>
      </c>
      <c r="AX270" s="263">
        <f ca="1">IF(AX8&gt;SAP_Leadsheet!$E$21,0,-SAP_Leadsheet!$E96*AX$11*SAP_Spreadsheet!AX$258)</f>
        <v>-1.2281729438444681E-4</v>
      </c>
      <c r="AY270" s="263">
        <f ca="1">IF(AY8&gt;SAP_Leadsheet!$E$21,0,-SAP_Leadsheet!$E96*AY$11*SAP_Spreadsheet!AY$258)</f>
        <v>-1.1970178355093878E-4</v>
      </c>
      <c r="AZ270" s="263">
        <f ca="1">IF(AZ8&gt;SAP_Leadsheet!$E$21,0,-SAP_Leadsheet!$E96*AZ$11*SAP_Spreadsheet!AZ$258)</f>
        <v>-1.1658627271743078E-4</v>
      </c>
      <c r="BA270" s="263">
        <f ca="1">IF(BA8&gt;SAP_Leadsheet!$E$21,0,-SAP_Leadsheet!$E96*BA$11*SAP_Spreadsheet!BA$258)</f>
        <v>-1.1347076188392275E-4</v>
      </c>
      <c r="BB270" s="263">
        <f ca="1">IF(BB8&gt;SAP_Leadsheet!$E$21,0,-SAP_Leadsheet!$E96*BB$11*SAP_Spreadsheet!BB$258)</f>
        <v>-1.1421768483717924E-4</v>
      </c>
      <c r="BC270" s="263">
        <f ca="1">IF(BC8&gt;SAP_Leadsheet!$E$21,0,-SAP_Leadsheet!$E96*BC$11*SAP_Spreadsheet!BC$258)</f>
        <v>-1.1120008768417171E-4</v>
      </c>
      <c r="BD270" s="263">
        <f ca="1">IF(BD8&gt;SAP_Leadsheet!$E$21,0,-SAP_Leadsheet!$E96*BD$11*SAP_Spreadsheet!BD$258)</f>
        <v>-1.0818249053116419E-4</v>
      </c>
      <c r="BE270" s="263">
        <f ca="1">IF(BE8&gt;SAP_Leadsheet!$E$21,0,-SAP_Leadsheet!$E96*BE$11*SAP_Spreadsheet!BE$258)</f>
        <v>-1.0516489337815667E-4</v>
      </c>
      <c r="BF270" s="263">
        <f ca="1">IF(BF8&gt;SAP_Leadsheet!$E$21,0,-SAP_Leadsheet!$E96*BF$11*SAP_Spreadsheet!BF$258)</f>
        <v>-1.0214729622514914E-4</v>
      </c>
      <c r="BG270" s="263">
        <f ca="1">IF(BG8&gt;SAP_Leadsheet!$E$21,0,-SAP_Leadsheet!$E96*BG$11*SAP_Spreadsheet!BG$258)</f>
        <v>-9.9129699072141625E-5</v>
      </c>
      <c r="BH270" s="263">
        <f ca="1">IF(BH8&gt;SAP_Leadsheet!$E$21,0,-SAP_Leadsheet!$E96*BH$11*SAP_Spreadsheet!BH$258)</f>
        <v>-9.6112101919134106E-5</v>
      </c>
      <c r="BI270" s="263">
        <f ca="1">IF(BI8&gt;SAP_Leadsheet!$E$21,0,-SAP_Leadsheet!$E96*BI$11*SAP_Spreadsheet!BI$258)</f>
        <v>-9.3094504766126588E-5</v>
      </c>
      <c r="BJ270" s="263">
        <f ca="1">IF(BJ8&gt;SAP_Leadsheet!$E$21,0,-SAP_Leadsheet!$E96*BJ$11*SAP_Spreadsheet!BJ$258)</f>
        <v>-9.007690761311907E-5</v>
      </c>
      <c r="BK270" s="263">
        <f ca="1">IF(BK8&gt;SAP_Leadsheet!$E$21,0,-SAP_Leadsheet!$E96*BK$11*SAP_Spreadsheet!BK$258)</f>
        <v>-8.7059310460111566E-5</v>
      </c>
      <c r="BL270" s="263">
        <f ca="1">IF(BL8&gt;SAP_Leadsheet!$E$21,0,-SAP_Leadsheet!$E96*BL$11*SAP_Spreadsheet!BL$258)</f>
        <v>-8.4041713307104061E-5</v>
      </c>
      <c r="BM270" s="263">
        <f ca="1">IF(BM8&gt;SAP_Leadsheet!$E$21,0,-SAP_Leadsheet!$E96*BM$11*SAP_Spreadsheet!BM$258)</f>
        <v>-8.1024116154096529E-5</v>
      </c>
      <c r="BN270" s="263">
        <f ca="1">IF(BN8&gt;SAP_Leadsheet!$E$21,0,-SAP_Leadsheet!$E96*BN$11*SAP_Spreadsheet!BN$258)</f>
        <v>-8.0736747166127126E-5</v>
      </c>
      <c r="BO270" s="263"/>
      <c r="BP270" s="263"/>
      <c r="BQ270" s="263"/>
      <c r="BR270" s="263"/>
      <c r="BS270" s="263"/>
      <c r="BT270" s="263"/>
      <c r="BU270" s="263"/>
      <c r="BV270" s="263"/>
      <c r="BW270" s="263"/>
      <c r="BX270" s="263"/>
      <c r="BY270" s="263"/>
      <c r="BZ270" s="263"/>
      <c r="CA270" s="263"/>
      <c r="CB270" s="263"/>
      <c r="CC270" s="263"/>
      <c r="CD270" s="263"/>
      <c r="CE270" s="263"/>
      <c r="CF270" s="263"/>
      <c r="CG270" s="263"/>
      <c r="CH270" s="263"/>
      <c r="CI270" s="263"/>
      <c r="CJ270" s="263"/>
      <c r="CK270" s="263"/>
      <c r="CL270" s="263"/>
      <c r="CM270" s="263"/>
      <c r="CN270" s="263"/>
      <c r="CO270" s="263"/>
      <c r="CP270" s="263"/>
      <c r="CQ270" s="263"/>
      <c r="CR270" s="263"/>
      <c r="CS270" s="263"/>
      <c r="CT270" s="263"/>
      <c r="CU270" s="263"/>
      <c r="CV270" s="263"/>
      <c r="CW270" s="263"/>
      <c r="CX270" s="263"/>
      <c r="CY270" s="263"/>
      <c r="CZ270" s="263"/>
      <c r="DA270" s="263"/>
      <c r="DB270" s="263"/>
      <c r="DC270" s="263"/>
      <c r="DD270" s="263"/>
      <c r="DE270" s="263"/>
      <c r="DF270" s="263"/>
      <c r="DG270" s="263"/>
      <c r="DH270" s="263"/>
      <c r="DI270" s="263"/>
      <c r="DJ270" s="263"/>
      <c r="DK270" s="263"/>
      <c r="DL270" s="263"/>
      <c r="DM270" s="263"/>
      <c r="DN270" s="263"/>
      <c r="DO270" s="263"/>
      <c r="DP270" s="263"/>
      <c r="DQ270" s="263"/>
      <c r="DR270" s="263"/>
      <c r="DS270" s="263"/>
      <c r="DT270" s="263"/>
      <c r="DU270" s="263"/>
      <c r="DV270" s="263"/>
      <c r="DW270" s="263"/>
      <c r="DX270" s="263"/>
      <c r="DY270" s="263"/>
      <c r="DZ270" s="263"/>
      <c r="EA270" s="263"/>
      <c r="EB270" s="263"/>
      <c r="EC270" s="263"/>
      <c r="ED270" s="263"/>
      <c r="EE270" s="263"/>
      <c r="EF270" s="263"/>
      <c r="EG270" s="263"/>
      <c r="EH270" s="263"/>
      <c r="EI270" s="263"/>
      <c r="EJ270" s="263"/>
      <c r="EK270" s="263"/>
      <c r="EL270" s="263"/>
      <c r="EM270" s="263"/>
      <c r="EN270" s="263"/>
      <c r="EO270" s="263"/>
      <c r="EP270" s="263"/>
      <c r="EQ270" s="263"/>
      <c r="ER270" s="263"/>
      <c r="ES270" s="263"/>
      <c r="ET270" s="263"/>
      <c r="EU270" s="263"/>
      <c r="EV270" s="263"/>
      <c r="EW270" s="263"/>
      <c r="EX270" s="263"/>
      <c r="EY270" s="263"/>
      <c r="EZ270" s="263"/>
      <c r="FA270" s="263"/>
      <c r="FB270" s="263"/>
      <c r="FC270" s="263"/>
      <c r="FD270" s="263"/>
      <c r="FE270" s="263"/>
      <c r="FF270" s="263"/>
      <c r="FG270" s="263"/>
      <c r="FH270" s="263"/>
      <c r="FI270" s="263"/>
      <c r="FJ270" s="263"/>
      <c r="FK270" s="263"/>
      <c r="FL270" s="263"/>
      <c r="FM270" s="263"/>
      <c r="FN270" s="263"/>
      <c r="FO270" s="263"/>
      <c r="FP270" s="263"/>
      <c r="FQ270" s="263"/>
      <c r="FR270" s="263"/>
      <c r="FS270" s="263"/>
      <c r="FT270" s="263"/>
      <c r="FU270" s="263"/>
      <c r="FV270" s="263"/>
      <c r="FW270" s="263"/>
      <c r="FX270" s="263"/>
      <c r="FY270" s="263"/>
      <c r="FZ270" s="263"/>
      <c r="GA270" s="263"/>
      <c r="GB270" s="263"/>
      <c r="GC270" s="263"/>
      <c r="GD270" s="263"/>
      <c r="GE270" s="263"/>
      <c r="GF270" s="263"/>
      <c r="GG270" s="263"/>
      <c r="GH270" s="263"/>
      <c r="GI270" s="263"/>
      <c r="GJ270" s="263"/>
      <c r="GK270" s="263"/>
      <c r="GL270" s="263"/>
      <c r="GM270" s="263"/>
      <c r="GN270" s="263"/>
      <c r="GO270" s="263"/>
      <c r="GP270" s="263"/>
      <c r="GQ270" s="263"/>
      <c r="GR270" s="263"/>
      <c r="GS270" s="263"/>
      <c r="GT270" s="263"/>
      <c r="GU270" s="263"/>
      <c r="GV270" s="263"/>
      <c r="GW270" s="263"/>
      <c r="GX270" s="263"/>
      <c r="GY270" s="263"/>
    </row>
    <row r="271" spans="1:207" x14ac:dyDescent="0.15">
      <c r="C271" s="23"/>
      <c r="D271" s="26" t="s">
        <v>134</v>
      </c>
      <c r="F271" s="26" t="s">
        <v>341</v>
      </c>
      <c r="G271" s="263">
        <f>IF(G9&gt;SAP_Leadsheet!$E$21,0,-SAP_Leadsheet!$E97*G$11*SAP_Spreadsheet!G$258)</f>
        <v>-4.9660361700796629E-4</v>
      </c>
      <c r="H271" s="263">
        <f ca="1">IF(H9&gt;SAP_Leadsheet!$E$21,0,-SAP_Leadsheet!$E97*H$11*SAP_Spreadsheet!H$258)</f>
        <v>-4.7829456472504606E-4</v>
      </c>
      <c r="I271" s="263">
        <f ca="1">IF(I9&gt;SAP_Leadsheet!$E$21,0,-SAP_Leadsheet!$E97*I$11*SAP_Spreadsheet!I$258)</f>
        <v>-4.5998551244212589E-4</v>
      </c>
      <c r="J271" s="263">
        <f ca="1">IF(J9&gt;SAP_Leadsheet!$E$21,0,-SAP_Leadsheet!$E97*J$11*SAP_Spreadsheet!J$258)</f>
        <v>-4.4167646015920572E-4</v>
      </c>
      <c r="K271" s="263">
        <f ca="1">IF(K9&gt;SAP_Leadsheet!$E$21,0,-SAP_Leadsheet!$E97*K$11*SAP_Spreadsheet!K$258)</f>
        <v>-4.233674078762856E-4</v>
      </c>
      <c r="L271" s="263">
        <f ca="1">IF(L9&gt;SAP_Leadsheet!$E$21,0,-SAP_Leadsheet!$E97*L$11*SAP_Spreadsheet!L$258)</f>
        <v>-4.0505835559336543E-4</v>
      </c>
      <c r="M271" s="263">
        <f ca="1">IF(M9&gt;SAP_Leadsheet!$E$21,0,-SAP_Leadsheet!$E97*M$11*SAP_Spreadsheet!M$258)</f>
        <v>-3.8674930331044526E-4</v>
      </c>
      <c r="N271" s="263">
        <f ca="1">IF(N9&gt;SAP_Leadsheet!$E$21,0,-SAP_Leadsheet!$E97*N$11*SAP_Spreadsheet!N$258)</f>
        <v>-3.6844025102752509E-4</v>
      </c>
      <c r="O271" s="263">
        <f ca="1">IF(O9&gt;SAP_Leadsheet!$E$21,0,-SAP_Leadsheet!$E97*O$11*SAP_Spreadsheet!O$258)</f>
        <v>-3.5013119874460497E-4</v>
      </c>
      <c r="P271" s="263">
        <f ca="1">IF(P9&gt;SAP_Leadsheet!$E$21,0,-SAP_Leadsheet!$E97*P$11*SAP_Spreadsheet!P$258)</f>
        <v>-3.3182214646168486E-4</v>
      </c>
      <c r="Q271" s="263">
        <f ca="1">IF(Q9&gt;SAP_Leadsheet!$E$21,0,-SAP_Leadsheet!$E97*Q$11*SAP_Spreadsheet!Q$258)</f>
        <v>-3.1351309417876474E-4</v>
      </c>
      <c r="R271" s="263">
        <f ca="1">IF(R9&gt;SAP_Leadsheet!$E$21,0,-SAP_Leadsheet!$E97*R$11*SAP_Spreadsheet!R$258)</f>
        <v>-2.9520404189584462E-4</v>
      </c>
      <c r="S271" s="263">
        <f ca="1">IF(S9&gt;SAP_Leadsheet!$E$21,0,-SAP_Leadsheet!$E97*S$11*SAP_Spreadsheet!S$258)</f>
        <v>-2.9810092561919146E-4</v>
      </c>
      <c r="T271" s="263">
        <f ca="1">IF(T9&gt;SAP_Leadsheet!$E$21,0,-SAP_Leadsheet!$E97*T$11*SAP_Spreadsheet!T$258)</f>
        <v>-2.9066566787618384E-4</v>
      </c>
      <c r="U271" s="263">
        <f ca="1">IF(U9&gt;SAP_Leadsheet!$E$21,0,-SAP_Leadsheet!$E97*U$11*SAP_Spreadsheet!U$258)</f>
        <v>-2.8323041013317626E-4</v>
      </c>
      <c r="V271" s="263">
        <f ca="1">IF(V9&gt;SAP_Leadsheet!$E$21,0,-SAP_Leadsheet!$E97*V$11*SAP_Spreadsheet!V$258)</f>
        <v>-2.7579515239016858E-4</v>
      </c>
      <c r="W271" s="263">
        <f ca="1">IF(W9&gt;SAP_Leadsheet!$E$21,0,-SAP_Leadsheet!$E97*W$11*SAP_Spreadsheet!W$258)</f>
        <v>-2.6835989464716096E-4</v>
      </c>
      <c r="X271" s="263">
        <f ca="1">IF(X9&gt;SAP_Leadsheet!$E$21,0,-SAP_Leadsheet!$E97*X$11*SAP_Spreadsheet!X$258)</f>
        <v>-2.6092463690415333E-4</v>
      </c>
      <c r="Y271" s="263">
        <f ca="1">IF(Y9&gt;SAP_Leadsheet!$E$21,0,-SAP_Leadsheet!$E97*Y$11*SAP_Spreadsheet!Y$258)</f>
        <v>-2.5348937916114565E-4</v>
      </c>
      <c r="Z271" s="263">
        <f ca="1">IF(Z9&gt;SAP_Leadsheet!$E$21,0,-SAP_Leadsheet!$E97*Z$11*SAP_Spreadsheet!Z$258)</f>
        <v>-2.4605412141813802E-4</v>
      </c>
      <c r="AA271" s="263">
        <f ca="1">IF(AA9&gt;SAP_Leadsheet!$E$21,0,-SAP_Leadsheet!$E97*AA$11*SAP_Spreadsheet!AA$258)</f>
        <v>-2.3861886367513037E-4</v>
      </c>
      <c r="AB271" s="263">
        <f ca="1">IF(AB9&gt;SAP_Leadsheet!$E$21,0,-SAP_Leadsheet!$E97*AB$11*SAP_Spreadsheet!AB$258)</f>
        <v>-2.3118360593212271E-4</v>
      </c>
      <c r="AC271" s="263">
        <f ca="1">IF(AC9&gt;SAP_Leadsheet!$E$21,0,-SAP_Leadsheet!$E97*AC$11*SAP_Spreadsheet!AC$258)</f>
        <v>-2.2374834818911511E-4</v>
      </c>
      <c r="AD271" s="263">
        <f ca="1">IF(AD9&gt;SAP_Leadsheet!$E$21,0,-SAP_Leadsheet!$E97*AD$11*SAP_Spreadsheet!AD$258)</f>
        <v>-2.2388404861172122E-4</v>
      </c>
      <c r="AE271" s="263">
        <f ca="1">IF(AE9&gt;SAP_Leadsheet!$E$21,0,-SAP_Leadsheet!$E97*AE$11*SAP_Spreadsheet!AE$258)</f>
        <v>-2.192368611753563E-4</v>
      </c>
      <c r="AF271" s="263">
        <f ca="1">IF(AF9&gt;SAP_Leadsheet!$E$21,0,-SAP_Leadsheet!$E97*AF$11*SAP_Spreadsheet!AF$258)</f>
        <v>-2.1458967373899136E-4</v>
      </c>
      <c r="AG271" s="263">
        <f ca="1">IF(AG9&gt;SAP_Leadsheet!$E$21,0,-SAP_Leadsheet!$E97*AG$11*SAP_Spreadsheet!AG$258)</f>
        <v>-2.0994248630262644E-4</v>
      </c>
      <c r="AH271" s="263">
        <f ca="1">IF(AH9&gt;SAP_Leadsheet!$E$21,0,-SAP_Leadsheet!$E97*AH$11*SAP_Spreadsheet!AH$258)</f>
        <v>-2.052952988662615E-4</v>
      </c>
      <c r="AI271" s="263">
        <f ca="1">IF(AI9&gt;SAP_Leadsheet!$E$21,0,-SAP_Leadsheet!$E97*AI$11*SAP_Spreadsheet!AI$258)</f>
        <v>-2.0064811142989661E-4</v>
      </c>
      <c r="AJ271" s="263">
        <f ca="1">IF(AJ9&gt;SAP_Leadsheet!$E$21,0,-SAP_Leadsheet!$E97*AJ$11*SAP_Spreadsheet!AJ$258)</f>
        <v>-1.9600092399353166E-4</v>
      </c>
      <c r="AK271" s="263">
        <f ca="1">IF(AK9&gt;SAP_Leadsheet!$E$21,0,-SAP_Leadsheet!$E97*AK$11*SAP_Spreadsheet!AK$258)</f>
        <v>-1.9135373655716675E-4</v>
      </c>
      <c r="AL271" s="263">
        <f ca="1">IF(AL9&gt;SAP_Leadsheet!$E$21,0,-SAP_Leadsheet!$E97*AL$11*SAP_Spreadsheet!AL$258)</f>
        <v>-1.8670654912080181E-4</v>
      </c>
      <c r="AM271" s="263">
        <f ca="1">IF(AM9&gt;SAP_Leadsheet!$E$21,0,-SAP_Leadsheet!$E97*AM$11*SAP_Spreadsheet!AM$258)</f>
        <v>-1.8205936168443689E-4</v>
      </c>
      <c r="AN271" s="263">
        <f ca="1">IF(AN9&gt;SAP_Leadsheet!$E$21,0,-SAP_Leadsheet!$E97*AN$11*SAP_Spreadsheet!AN$258)</f>
        <v>-1.7741217424807195E-4</v>
      </c>
      <c r="AO271" s="263">
        <f ca="1">IF(AO9&gt;SAP_Leadsheet!$E$21,0,-SAP_Leadsheet!$E97*AO$11*SAP_Spreadsheet!AO$258)</f>
        <v>-1.7276498681170706E-4</v>
      </c>
      <c r="AP271" s="263">
        <f ca="1">IF(AP9&gt;SAP_Leadsheet!$E$21,0,-SAP_Leadsheet!$E97*AP$11*SAP_Spreadsheet!AP$258)</f>
        <v>-1.7400192235347907E-4</v>
      </c>
      <c r="AQ271" s="263">
        <f ca="1">IF(AQ9&gt;SAP_Leadsheet!$E$21,0,-SAP_Leadsheet!$E97*AQ$11*SAP_Spreadsheet!AQ$258)</f>
        <v>-1.7033263978496964E-4</v>
      </c>
      <c r="AR271" s="263">
        <f ca="1">IF(AR9&gt;SAP_Leadsheet!$E$21,0,-SAP_Leadsheet!$E97*AR$11*SAP_Spreadsheet!AR$258)</f>
        <v>-1.6666335721646021E-4</v>
      </c>
      <c r="AS271" s="263">
        <f ca="1">IF(AS9&gt;SAP_Leadsheet!$E$21,0,-SAP_Leadsheet!$E97*AS$11*SAP_Spreadsheet!AS$258)</f>
        <v>-1.6299407464795084E-4</v>
      </c>
      <c r="AT271" s="263">
        <f ca="1">IF(AT9&gt;SAP_Leadsheet!$E$21,0,-SAP_Leadsheet!$E97*AT$11*SAP_Spreadsheet!AT$258)</f>
        <v>-1.5932479207944142E-4</v>
      </c>
      <c r="AU271" s="263">
        <f ca="1">IF(AU9&gt;SAP_Leadsheet!$E$21,0,-SAP_Leadsheet!$E97*AU$11*SAP_Spreadsheet!AU$258)</f>
        <v>-1.5565550951093202E-4</v>
      </c>
      <c r="AV271" s="263">
        <f ca="1">IF(AV9&gt;SAP_Leadsheet!$E$21,0,-SAP_Leadsheet!$E97*AV$11*SAP_Spreadsheet!AV$258)</f>
        <v>-1.519862269424226E-4</v>
      </c>
      <c r="AW271" s="263">
        <f ca="1">IF(AW9&gt;SAP_Leadsheet!$E$21,0,-SAP_Leadsheet!$E97*AW$11*SAP_Spreadsheet!AW$258)</f>
        <v>-1.4831694437391317E-4</v>
      </c>
      <c r="AX271" s="263">
        <f ca="1">IF(AX9&gt;SAP_Leadsheet!$E$21,0,-SAP_Leadsheet!$E97*AX$11*SAP_Spreadsheet!AX$258)</f>
        <v>-1.4464766180540377E-4</v>
      </c>
      <c r="AY271" s="263">
        <f ca="1">IF(AY9&gt;SAP_Leadsheet!$E$21,0,-SAP_Leadsheet!$E97*AY$11*SAP_Spreadsheet!AY$258)</f>
        <v>-1.4097837923689435E-4</v>
      </c>
      <c r="AZ271" s="263">
        <f ca="1">IF(AZ9&gt;SAP_Leadsheet!$E$21,0,-SAP_Leadsheet!$E97*AZ$11*SAP_Spreadsheet!AZ$258)</f>
        <v>-1.3730909666838492E-4</v>
      </c>
      <c r="BA271" s="263">
        <f ca="1">IF(BA9&gt;SAP_Leadsheet!$E$21,0,-SAP_Leadsheet!$E97*BA$11*SAP_Spreadsheet!BA$258)</f>
        <v>-1.3363981409987552E-4</v>
      </c>
      <c r="BB271" s="263">
        <f ca="1">IF(BB9&gt;SAP_Leadsheet!$E$21,0,-SAP_Leadsheet!$E97*BB$11*SAP_Spreadsheet!BB$258)</f>
        <v>-1.345195001349639E-4</v>
      </c>
      <c r="BC271" s="263">
        <f ca="1">IF(BC9&gt;SAP_Leadsheet!$E$21,0,-SAP_Leadsheet!$E97*BC$11*SAP_Spreadsheet!BC$258)</f>
        <v>-1.3096553507946552E-4</v>
      </c>
      <c r="BD271" s="263">
        <f ca="1">IF(BD9&gt;SAP_Leadsheet!$E$21,0,-SAP_Leadsheet!$E97*BD$11*SAP_Spreadsheet!BD$258)</f>
        <v>-1.2741157002396715E-4</v>
      </c>
      <c r="BE271" s="263">
        <f ca="1">IF(BE9&gt;SAP_Leadsheet!$E$21,0,-SAP_Leadsheet!$E97*BE$11*SAP_Spreadsheet!BE$258)</f>
        <v>-1.2385760496846877E-4</v>
      </c>
      <c r="BF271" s="263">
        <f ca="1">IF(BF9&gt;SAP_Leadsheet!$E$21,0,-SAP_Leadsheet!$E97*BF$11*SAP_Spreadsheet!BF$258)</f>
        <v>-1.2030363991297038E-4</v>
      </c>
      <c r="BG271" s="263">
        <f ca="1">IF(BG9&gt;SAP_Leadsheet!$E$21,0,-SAP_Leadsheet!$E97*BG$11*SAP_Spreadsheet!BG$258)</f>
        <v>-1.1674967485747202E-4</v>
      </c>
      <c r="BH271" s="263">
        <f ca="1">IF(BH9&gt;SAP_Leadsheet!$E$21,0,-SAP_Leadsheet!$E97*BH$11*SAP_Spreadsheet!BH$258)</f>
        <v>-1.1319570980197363E-4</v>
      </c>
      <c r="BI271" s="263">
        <f ca="1">IF(BI9&gt;SAP_Leadsheet!$E$21,0,-SAP_Leadsheet!$E97*BI$11*SAP_Spreadsheet!BI$258)</f>
        <v>-1.0964174474647525E-4</v>
      </c>
      <c r="BJ271" s="263">
        <f ca="1">IF(BJ9&gt;SAP_Leadsheet!$E$21,0,-SAP_Leadsheet!$E97*BJ$11*SAP_Spreadsheet!BJ$258)</f>
        <v>-1.0608777969097688E-4</v>
      </c>
      <c r="BK271" s="263">
        <f ca="1">IF(BK9&gt;SAP_Leadsheet!$E$21,0,-SAP_Leadsheet!$E97*BK$11*SAP_Spreadsheet!BK$258)</f>
        <v>-1.0253381463547852E-4</v>
      </c>
      <c r="BL271" s="263">
        <f ca="1">IF(BL9&gt;SAP_Leadsheet!$E$21,0,-SAP_Leadsheet!$E97*BL$11*SAP_Spreadsheet!BL$258)</f>
        <v>-9.8979849579980154E-5</v>
      </c>
      <c r="BM271" s="263">
        <f ca="1">IF(BM9&gt;SAP_Leadsheet!$E$21,0,-SAP_Leadsheet!$E97*BM$11*SAP_Spreadsheet!BM$258)</f>
        <v>-9.5425884524481791E-5</v>
      </c>
      <c r="BN271" s="263">
        <f ca="1">IF(BN9&gt;SAP_Leadsheet!$E$21,0,-SAP_Leadsheet!$E97*BN$11*SAP_Spreadsheet!BN$258)</f>
        <v>-9.5087436650397825E-5</v>
      </c>
      <c r="BO271" s="263"/>
      <c r="BP271" s="263"/>
      <c r="BQ271" s="263"/>
      <c r="BR271" s="263"/>
      <c r="BS271" s="263"/>
      <c r="BT271" s="263"/>
      <c r="BU271" s="263"/>
      <c r="BV271" s="263"/>
      <c r="BW271" s="263"/>
      <c r="BX271" s="263"/>
      <c r="BY271" s="263"/>
      <c r="BZ271" s="263"/>
      <c r="CA271" s="263"/>
      <c r="CB271" s="263"/>
      <c r="CC271" s="263"/>
      <c r="CD271" s="263"/>
      <c r="CE271" s="263"/>
      <c r="CF271" s="263"/>
      <c r="CG271" s="263"/>
      <c r="CH271" s="263"/>
      <c r="CI271" s="263"/>
      <c r="CJ271" s="263"/>
      <c r="CK271" s="263"/>
      <c r="CL271" s="263"/>
      <c r="CM271" s="263"/>
      <c r="CN271" s="263"/>
      <c r="CO271" s="263"/>
      <c r="CP271" s="263"/>
      <c r="CQ271" s="263"/>
      <c r="CR271" s="263"/>
      <c r="CS271" s="263"/>
      <c r="CT271" s="263"/>
      <c r="CU271" s="263"/>
      <c r="CV271" s="263"/>
      <c r="CW271" s="263"/>
      <c r="CX271" s="263"/>
      <c r="CY271" s="263"/>
      <c r="CZ271" s="263"/>
      <c r="DA271" s="263"/>
      <c r="DB271" s="263"/>
      <c r="DC271" s="263"/>
      <c r="DD271" s="263"/>
      <c r="DE271" s="263"/>
      <c r="DF271" s="263"/>
      <c r="DG271" s="263"/>
      <c r="DH271" s="263"/>
      <c r="DI271" s="263"/>
      <c r="DJ271" s="263"/>
      <c r="DK271" s="263"/>
      <c r="DL271" s="263"/>
      <c r="DM271" s="263"/>
      <c r="DN271" s="263"/>
      <c r="DO271" s="263"/>
      <c r="DP271" s="263"/>
      <c r="DQ271" s="263"/>
      <c r="DR271" s="263"/>
      <c r="DS271" s="263"/>
      <c r="DT271" s="263"/>
      <c r="DU271" s="263"/>
      <c r="DV271" s="263"/>
      <c r="DW271" s="263"/>
      <c r="DX271" s="263"/>
      <c r="DY271" s="263"/>
      <c r="DZ271" s="263"/>
      <c r="EA271" s="263"/>
      <c r="EB271" s="263"/>
      <c r="EC271" s="263"/>
      <c r="ED271" s="263"/>
      <c r="EE271" s="263"/>
      <c r="EF271" s="263"/>
      <c r="EG271" s="263"/>
      <c r="EH271" s="263"/>
      <c r="EI271" s="263"/>
      <c r="EJ271" s="263"/>
      <c r="EK271" s="263"/>
      <c r="EL271" s="263"/>
      <c r="EM271" s="263"/>
      <c r="EN271" s="263"/>
      <c r="EO271" s="263"/>
      <c r="EP271" s="263"/>
      <c r="EQ271" s="263"/>
      <c r="ER271" s="263"/>
      <c r="ES271" s="263"/>
      <c r="ET271" s="263"/>
      <c r="EU271" s="263"/>
      <c r="EV271" s="263"/>
      <c r="EW271" s="263"/>
      <c r="EX271" s="263"/>
      <c r="EY271" s="263"/>
      <c r="EZ271" s="263"/>
      <c r="FA271" s="263"/>
      <c r="FB271" s="263"/>
      <c r="FC271" s="263"/>
      <c r="FD271" s="263"/>
      <c r="FE271" s="263"/>
      <c r="FF271" s="263"/>
      <c r="FG271" s="263"/>
      <c r="FH271" s="263"/>
      <c r="FI271" s="263"/>
      <c r="FJ271" s="263"/>
      <c r="FK271" s="263"/>
      <c r="FL271" s="263"/>
      <c r="FM271" s="263"/>
      <c r="FN271" s="263"/>
      <c r="FO271" s="263"/>
      <c r="FP271" s="263"/>
      <c r="FQ271" s="263"/>
      <c r="FR271" s="263"/>
      <c r="FS271" s="263"/>
      <c r="FT271" s="263"/>
      <c r="FU271" s="263"/>
      <c r="FV271" s="263"/>
      <c r="FW271" s="263"/>
      <c r="FX271" s="263"/>
      <c r="FY271" s="263"/>
      <c r="FZ271" s="263"/>
      <c r="GA271" s="263"/>
      <c r="GB271" s="263"/>
      <c r="GC271" s="263"/>
      <c r="GD271" s="263"/>
      <c r="GE271" s="263"/>
      <c r="GF271" s="263"/>
      <c r="GG271" s="263"/>
      <c r="GH271" s="263"/>
      <c r="GI271" s="263"/>
      <c r="GJ271" s="263"/>
      <c r="GK271" s="263"/>
      <c r="GL271" s="263"/>
      <c r="GM271" s="263"/>
      <c r="GN271" s="263"/>
      <c r="GO271" s="263"/>
      <c r="GP271" s="263"/>
      <c r="GQ271" s="263"/>
      <c r="GR271" s="263"/>
      <c r="GS271" s="263"/>
      <c r="GT271" s="263"/>
      <c r="GU271" s="263"/>
      <c r="GV271" s="263"/>
      <c r="GW271" s="263"/>
      <c r="GX271" s="263"/>
      <c r="GY271" s="263"/>
    </row>
    <row r="272" spans="1:207" x14ac:dyDescent="0.15">
      <c r="C272" s="23"/>
      <c r="D272" s="26" t="s">
        <v>136</v>
      </c>
      <c r="F272" s="26" t="s">
        <v>341</v>
      </c>
      <c r="G272" s="263">
        <f>IF(G10&gt;SAP_Leadsheet!$E$21,0,-SAP_Leadsheet!$E98*G$11*SAP_Spreadsheet!G$258)</f>
        <v>-6.5812217523511117E-4</v>
      </c>
      <c r="H272" s="263">
        <f ca="1">IF(H10&gt;SAP_Leadsheet!$E$21,0,-SAP_Leadsheet!$E98*H$11*SAP_Spreadsheet!H$258)</f>
        <v>-6.3385816888830379E-4</v>
      </c>
      <c r="I272" s="263">
        <f ca="1">IF(I10&gt;SAP_Leadsheet!$E$21,0,-SAP_Leadsheet!$E98*I$11*SAP_Spreadsheet!I$258)</f>
        <v>-6.0959416254149641E-4</v>
      </c>
      <c r="J272" s="263">
        <f ca="1">IF(J10&gt;SAP_Leadsheet!$E$21,0,-SAP_Leadsheet!$E98*J$11*SAP_Spreadsheet!J$258)</f>
        <v>-5.8533015619468892E-4</v>
      </c>
      <c r="K272" s="263">
        <f ca="1">IF(K10&gt;SAP_Leadsheet!$E$21,0,-SAP_Leadsheet!$E98*K$11*SAP_Spreadsheet!K$258)</f>
        <v>-5.6106614984788154E-4</v>
      </c>
      <c r="L272" s="263">
        <f ca="1">IF(L10&gt;SAP_Leadsheet!$E$21,0,-SAP_Leadsheet!$E98*L$11*SAP_Spreadsheet!L$258)</f>
        <v>-5.3680214350107416E-4</v>
      </c>
      <c r="M272" s="263">
        <f ca="1">IF(M10&gt;SAP_Leadsheet!$E$21,0,-SAP_Leadsheet!$E98*M$11*SAP_Spreadsheet!M$258)</f>
        <v>-5.1253813715426678E-4</v>
      </c>
      <c r="N272" s="263">
        <f ca="1">IF(N10&gt;SAP_Leadsheet!$E$21,0,-SAP_Leadsheet!$E98*N$11*SAP_Spreadsheet!N$258)</f>
        <v>-4.8827413080745945E-4</v>
      </c>
      <c r="O272" s="263">
        <f ca="1">IF(O10&gt;SAP_Leadsheet!$E$21,0,-SAP_Leadsheet!$E98*O$11*SAP_Spreadsheet!O$258)</f>
        <v>-4.6401012446065212E-4</v>
      </c>
      <c r="P272" s="263">
        <f ca="1">IF(P10&gt;SAP_Leadsheet!$E$21,0,-SAP_Leadsheet!$E98*P$11*SAP_Spreadsheet!P$258)</f>
        <v>-4.397461181138448E-4</v>
      </c>
      <c r="Q272" s="263">
        <f ca="1">IF(Q10&gt;SAP_Leadsheet!$E$21,0,-SAP_Leadsheet!$E98*Q$11*SAP_Spreadsheet!Q$258)</f>
        <v>-4.1548211176703747E-4</v>
      </c>
      <c r="R272" s="263">
        <f ca="1">IF(R10&gt;SAP_Leadsheet!$E$21,0,-SAP_Leadsheet!$E98*R$11*SAP_Spreadsheet!R$258)</f>
        <v>-3.9121810542023014E-4</v>
      </c>
      <c r="S272" s="263">
        <f ca="1">IF(S10&gt;SAP_Leadsheet!$E$21,0,-SAP_Leadsheet!$E98*S$11*SAP_Spreadsheet!S$258)</f>
        <v>-3.9505719025996396E-4</v>
      </c>
      <c r="T272" s="263">
        <f ca="1">IF(T10&gt;SAP_Leadsheet!$E$21,0,-SAP_Leadsheet!$E98*T$11*SAP_Spreadsheet!T$258)</f>
        <v>-3.8520364140998966E-4</v>
      </c>
      <c r="U272" s="263">
        <f ca="1">IF(U10&gt;SAP_Leadsheet!$E$21,0,-SAP_Leadsheet!$E98*U$11*SAP_Spreadsheet!U$258)</f>
        <v>-3.7535009256001547E-4</v>
      </c>
      <c r="V272" s="263">
        <f ca="1">IF(V10&gt;SAP_Leadsheet!$E$21,0,-SAP_Leadsheet!$E98*V$11*SAP_Spreadsheet!V$258)</f>
        <v>-3.6549654371004117E-4</v>
      </c>
      <c r="W272" s="263">
        <f ca="1">IF(W10&gt;SAP_Leadsheet!$E$21,0,-SAP_Leadsheet!$E98*W$11*SAP_Spreadsheet!W$258)</f>
        <v>-3.5564299486006698E-4</v>
      </c>
      <c r="X272" s="263">
        <f ca="1">IF(X10&gt;SAP_Leadsheet!$E$21,0,-SAP_Leadsheet!$E98*X$11*SAP_Spreadsheet!X$258)</f>
        <v>-3.4578944601009278E-4</v>
      </c>
      <c r="Y272" s="263">
        <f ca="1">IF(Y10&gt;SAP_Leadsheet!$E$21,0,-SAP_Leadsheet!$E98*Y$11*SAP_Spreadsheet!Y$258)</f>
        <v>-3.3593589716011848E-4</v>
      </c>
      <c r="Z272" s="263">
        <f ca="1">IF(Z10&gt;SAP_Leadsheet!$E$21,0,-SAP_Leadsheet!$E98*Z$11*SAP_Spreadsheet!Z$258)</f>
        <v>-3.2608234831014429E-4</v>
      </c>
      <c r="AA272" s="263">
        <f ca="1">IF(AA10&gt;SAP_Leadsheet!$E$21,0,-SAP_Leadsheet!$E98*AA$11*SAP_Spreadsheet!AA$258)</f>
        <v>-3.1622879946017004E-4</v>
      </c>
      <c r="AB272" s="263">
        <f ca="1">IF(AB10&gt;SAP_Leadsheet!$E$21,0,-SAP_Leadsheet!$E98*AB$11*SAP_Spreadsheet!AB$258)</f>
        <v>-3.063752506101958E-4</v>
      </c>
      <c r="AC272" s="263">
        <f ca="1">IF(AC10&gt;SAP_Leadsheet!$E$21,0,-SAP_Leadsheet!$E98*AC$11*SAP_Spreadsheet!AC$258)</f>
        <v>-2.9652170176022155E-4</v>
      </c>
      <c r="AD272" s="263">
        <f ca="1">IF(AD10&gt;SAP_Leadsheet!$E$21,0,-SAP_Leadsheet!$E98*AD$11*SAP_Spreadsheet!AD$258)</f>
        <v>-2.9670153826210602E-4</v>
      </c>
      <c r="AE272" s="263">
        <f ca="1">IF(AE10&gt;SAP_Leadsheet!$E$21,0,-SAP_Leadsheet!$E98*AE$11*SAP_Spreadsheet!AE$258)</f>
        <v>-2.9054286965881894E-4</v>
      </c>
      <c r="AF272" s="263">
        <f ca="1">IF(AF10&gt;SAP_Leadsheet!$E$21,0,-SAP_Leadsheet!$E98*AF$11*SAP_Spreadsheet!AF$258)</f>
        <v>-2.8438420105553186E-4</v>
      </c>
      <c r="AG272" s="263">
        <f ca="1">IF(AG10&gt;SAP_Leadsheet!$E$21,0,-SAP_Leadsheet!$E98*AG$11*SAP_Spreadsheet!AG$258)</f>
        <v>-2.7822553245224473E-4</v>
      </c>
      <c r="AH272" s="263">
        <f ca="1">IF(AH10&gt;SAP_Leadsheet!$E$21,0,-SAP_Leadsheet!$E98*AH$11*SAP_Spreadsheet!AH$258)</f>
        <v>-2.7206686384895765E-4</v>
      </c>
      <c r="AI272" s="263">
        <f ca="1">IF(AI10&gt;SAP_Leadsheet!$E$21,0,-SAP_Leadsheet!$E98*AI$11*SAP_Spreadsheet!AI$258)</f>
        <v>-2.6590819524567057E-4</v>
      </c>
      <c r="AJ272" s="263">
        <f ca="1">IF(AJ10&gt;SAP_Leadsheet!$E$21,0,-SAP_Leadsheet!$E98*AJ$11*SAP_Spreadsheet!AJ$258)</f>
        <v>-2.5974952664238349E-4</v>
      </c>
      <c r="AK272" s="263">
        <f ca="1">IF(AK10&gt;SAP_Leadsheet!$E$21,0,-SAP_Leadsheet!$E98*AK$11*SAP_Spreadsheet!AK$258)</f>
        <v>-2.5359085803909642E-4</v>
      </c>
      <c r="AL272" s="263">
        <f ca="1">IF(AL10&gt;SAP_Leadsheet!$E$21,0,-SAP_Leadsheet!$E98*AL$11*SAP_Spreadsheet!AL$258)</f>
        <v>-2.4743218943580934E-4</v>
      </c>
      <c r="AM272" s="263">
        <f ca="1">IF(AM10&gt;SAP_Leadsheet!$E$21,0,-SAP_Leadsheet!$E98*AM$11*SAP_Spreadsheet!AM$258)</f>
        <v>-2.4127352083252226E-4</v>
      </c>
      <c r="AN272" s="263">
        <f ca="1">IF(AN10&gt;SAP_Leadsheet!$E$21,0,-SAP_Leadsheet!$E98*AN$11*SAP_Spreadsheet!AN$258)</f>
        <v>-2.3511485222923518E-4</v>
      </c>
      <c r="AO272" s="263">
        <f ca="1">IF(AO10&gt;SAP_Leadsheet!$E$21,0,-SAP_Leadsheet!$E98*AO$11*SAP_Spreadsheet!AO$258)</f>
        <v>-2.289561836259481E-4</v>
      </c>
      <c r="AP272" s="263">
        <f ca="1">IF(AP10&gt;SAP_Leadsheet!$E$21,0,-SAP_Leadsheet!$E98*AP$11*SAP_Spreadsheet!AP$258)</f>
        <v>-2.3059542804845413E-4</v>
      </c>
      <c r="AQ272" s="263">
        <f ca="1">IF(AQ10&gt;SAP_Leadsheet!$E$21,0,-SAP_Leadsheet!$E98*AQ$11*SAP_Spreadsheet!AQ$258)</f>
        <v>-2.2573272438936872E-4</v>
      </c>
      <c r="AR272" s="263">
        <f ca="1">IF(AR10&gt;SAP_Leadsheet!$E$21,0,-SAP_Leadsheet!$E98*AR$11*SAP_Spreadsheet!AR$258)</f>
        <v>-2.2087002073028329E-4</v>
      </c>
      <c r="AS272" s="263">
        <f ca="1">IF(AS10&gt;SAP_Leadsheet!$E$21,0,-SAP_Leadsheet!$E98*AS$11*SAP_Spreadsheet!AS$258)</f>
        <v>-2.1600731707119788E-4</v>
      </c>
      <c r="AT272" s="263">
        <f ca="1">IF(AT10&gt;SAP_Leadsheet!$E$21,0,-SAP_Leadsheet!$E98*AT$11*SAP_Spreadsheet!AT$258)</f>
        <v>-2.1114461341211247E-4</v>
      </c>
      <c r="AU272" s="263">
        <f ca="1">IF(AU10&gt;SAP_Leadsheet!$E$21,0,-SAP_Leadsheet!$E98*AU$11*SAP_Spreadsheet!AU$258)</f>
        <v>-2.0628190975302703E-4</v>
      </c>
      <c r="AV272" s="263">
        <f ca="1">IF(AV10&gt;SAP_Leadsheet!$E$21,0,-SAP_Leadsheet!$E98*AV$11*SAP_Spreadsheet!AV$258)</f>
        <v>-2.014192060939416E-4</v>
      </c>
      <c r="AW272" s="263">
        <f ca="1">IF(AW10&gt;SAP_Leadsheet!$E$21,0,-SAP_Leadsheet!$E98*AW$11*SAP_Spreadsheet!AW$258)</f>
        <v>-1.9655650243485619E-4</v>
      </c>
      <c r="AX272" s="263">
        <f ca="1">IF(AX10&gt;SAP_Leadsheet!$E$21,0,-SAP_Leadsheet!$E98*AX$11*SAP_Spreadsheet!AX$258)</f>
        <v>-1.9169379877577078E-4</v>
      </c>
      <c r="AY272" s="263">
        <f ca="1">IF(AY10&gt;SAP_Leadsheet!$E$21,0,-SAP_Leadsheet!$E98*AY$11*SAP_Spreadsheet!AY$258)</f>
        <v>-1.8683109511668538E-4</v>
      </c>
      <c r="AZ272" s="263">
        <f ca="1">IF(AZ10&gt;SAP_Leadsheet!$E$21,0,-SAP_Leadsheet!$E98*AZ$11*SAP_Spreadsheet!AZ$258)</f>
        <v>-1.8196839145759991E-4</v>
      </c>
      <c r="BA272" s="263">
        <f ca="1">IF(BA10&gt;SAP_Leadsheet!$E$21,0,-SAP_Leadsheet!$E98*BA$11*SAP_Spreadsheet!BA$258)</f>
        <v>-1.7710568779851451E-4</v>
      </c>
      <c r="BB272" s="263">
        <f ca="1">IF(BB10&gt;SAP_Leadsheet!$E$21,0,-SAP_Leadsheet!$E98*BB$11*SAP_Spreadsheet!BB$258)</f>
        <v>-1.7827148858430911E-4</v>
      </c>
      <c r="BC272" s="263">
        <f ca="1">IF(BC10&gt;SAP_Leadsheet!$E$21,0,-SAP_Leadsheet!$E98*BC$11*SAP_Spreadsheet!BC$258)</f>
        <v>-1.7356160904874251E-4</v>
      </c>
      <c r="BD272" s="263">
        <f ca="1">IF(BD10&gt;SAP_Leadsheet!$E$21,0,-SAP_Leadsheet!$E98*BD$11*SAP_Spreadsheet!BD$258)</f>
        <v>-1.6885172951317594E-4</v>
      </c>
      <c r="BE272" s="263">
        <f ca="1">IF(BE10&gt;SAP_Leadsheet!$E$21,0,-SAP_Leadsheet!$E98*BE$11*SAP_Spreadsheet!BE$258)</f>
        <v>-1.6414184997760935E-4</v>
      </c>
      <c r="BF272" s="263">
        <f ca="1">IF(BF10&gt;SAP_Leadsheet!$E$21,0,-SAP_Leadsheet!$E98*BF$11*SAP_Spreadsheet!BF$258)</f>
        <v>-1.5943197044204278E-4</v>
      </c>
      <c r="BG272" s="263">
        <f ca="1">IF(BG10&gt;SAP_Leadsheet!$E$21,0,-SAP_Leadsheet!$E98*BG$11*SAP_Spreadsheet!BG$258)</f>
        <v>-1.5472209090647618E-4</v>
      </c>
      <c r="BH272" s="263">
        <f ca="1">IF(BH10&gt;SAP_Leadsheet!$E$21,0,-SAP_Leadsheet!$E98*BH$11*SAP_Spreadsheet!BH$258)</f>
        <v>-1.5001221137090961E-4</v>
      </c>
      <c r="BI272" s="263">
        <f ca="1">IF(BI10&gt;SAP_Leadsheet!$E$21,0,-SAP_Leadsheet!$E98*BI$11*SAP_Spreadsheet!BI$258)</f>
        <v>-1.4530233183534302E-4</v>
      </c>
      <c r="BJ272" s="263">
        <f ca="1">IF(BJ10&gt;SAP_Leadsheet!$E$21,0,-SAP_Leadsheet!$E98*BJ$11*SAP_Spreadsheet!BJ$258)</f>
        <v>-1.4059245229977645E-4</v>
      </c>
      <c r="BK272" s="263">
        <f ca="1">IF(BK10&gt;SAP_Leadsheet!$E$21,0,-SAP_Leadsheet!$E98*BK$11*SAP_Spreadsheet!BK$258)</f>
        <v>-1.3588257276420991E-4</v>
      </c>
      <c r="BL272" s="263">
        <f ca="1">IF(BL10&gt;SAP_Leadsheet!$E$21,0,-SAP_Leadsheet!$E98*BL$11*SAP_Spreadsheet!BL$258)</f>
        <v>-1.3117269322864334E-4</v>
      </c>
      <c r="BM272" s="263">
        <f ca="1">IF(BM10&gt;SAP_Leadsheet!$E$21,0,-SAP_Leadsheet!$E98*BM$11*SAP_Spreadsheet!BM$258)</f>
        <v>-1.2646281369307677E-4</v>
      </c>
      <c r="BN272" s="263">
        <f ca="1">IF(BN10&gt;SAP_Leadsheet!$E$21,0,-SAP_Leadsheet!$E98*BN$11*SAP_Spreadsheet!BN$258)</f>
        <v>-1.2601428685302303E-4</v>
      </c>
      <c r="BO272" s="263"/>
      <c r="BP272" s="263"/>
      <c r="BQ272" s="263"/>
      <c r="BR272" s="263"/>
      <c r="BS272" s="263"/>
      <c r="BT272" s="263"/>
      <c r="BU272" s="263"/>
      <c r="BV272" s="263"/>
      <c r="BW272" s="263"/>
      <c r="BX272" s="263"/>
      <c r="BY272" s="263"/>
      <c r="BZ272" s="263"/>
      <c r="CA272" s="263"/>
      <c r="CB272" s="263"/>
      <c r="CC272" s="263"/>
      <c r="CD272" s="263"/>
      <c r="CE272" s="263"/>
      <c r="CF272" s="263"/>
      <c r="CG272" s="263"/>
      <c r="CH272" s="263"/>
      <c r="CI272" s="263"/>
      <c r="CJ272" s="263"/>
      <c r="CK272" s="263"/>
      <c r="CL272" s="263"/>
      <c r="CM272" s="263"/>
      <c r="CN272" s="263"/>
      <c r="CO272" s="263"/>
      <c r="CP272" s="263"/>
      <c r="CQ272" s="263"/>
      <c r="CR272" s="263"/>
      <c r="CS272" s="263"/>
      <c r="CT272" s="263"/>
      <c r="CU272" s="263"/>
      <c r="CV272" s="263"/>
      <c r="CW272" s="263"/>
      <c r="CX272" s="263"/>
      <c r="CY272" s="263"/>
      <c r="CZ272" s="263"/>
      <c r="DA272" s="263"/>
      <c r="DB272" s="263"/>
      <c r="DC272" s="263"/>
      <c r="DD272" s="263"/>
      <c r="DE272" s="263"/>
      <c r="DF272" s="263"/>
      <c r="DG272" s="263"/>
      <c r="DH272" s="263"/>
      <c r="DI272" s="263"/>
      <c r="DJ272" s="263"/>
      <c r="DK272" s="263"/>
      <c r="DL272" s="263"/>
      <c r="DM272" s="263"/>
      <c r="DN272" s="263"/>
      <c r="DO272" s="263"/>
      <c r="DP272" s="263"/>
      <c r="DQ272" s="263"/>
      <c r="DR272" s="263"/>
      <c r="DS272" s="263"/>
      <c r="DT272" s="263"/>
      <c r="DU272" s="263"/>
      <c r="DV272" s="263"/>
      <c r="DW272" s="263"/>
      <c r="DX272" s="263"/>
      <c r="DY272" s="263"/>
      <c r="DZ272" s="263"/>
      <c r="EA272" s="263"/>
      <c r="EB272" s="263"/>
      <c r="EC272" s="263"/>
      <c r="ED272" s="263"/>
      <c r="EE272" s="263"/>
      <c r="EF272" s="263"/>
      <c r="EG272" s="263"/>
      <c r="EH272" s="263"/>
      <c r="EI272" s="263"/>
      <c r="EJ272" s="263"/>
      <c r="EK272" s="263"/>
      <c r="EL272" s="263"/>
      <c r="EM272" s="263"/>
      <c r="EN272" s="263"/>
      <c r="EO272" s="263"/>
      <c r="EP272" s="263"/>
      <c r="EQ272" s="263"/>
      <c r="ER272" s="263"/>
      <c r="ES272" s="263"/>
      <c r="ET272" s="263"/>
      <c r="EU272" s="263"/>
      <c r="EV272" s="263"/>
      <c r="EW272" s="263"/>
      <c r="EX272" s="263"/>
      <c r="EY272" s="263"/>
      <c r="EZ272" s="263"/>
      <c r="FA272" s="263"/>
      <c r="FB272" s="263"/>
      <c r="FC272" s="263"/>
      <c r="FD272" s="263"/>
      <c r="FE272" s="263"/>
      <c r="FF272" s="263"/>
      <c r="FG272" s="263"/>
      <c r="FH272" s="263"/>
      <c r="FI272" s="263"/>
      <c r="FJ272" s="263"/>
      <c r="FK272" s="263"/>
      <c r="FL272" s="263"/>
      <c r="FM272" s="263"/>
      <c r="FN272" s="263"/>
      <c r="FO272" s="263"/>
      <c r="FP272" s="263"/>
      <c r="FQ272" s="263"/>
      <c r="FR272" s="263"/>
      <c r="FS272" s="263"/>
      <c r="FT272" s="263"/>
      <c r="FU272" s="263"/>
      <c r="FV272" s="263"/>
      <c r="FW272" s="263"/>
      <c r="FX272" s="263"/>
      <c r="FY272" s="263"/>
      <c r="FZ272" s="263"/>
      <c r="GA272" s="263"/>
      <c r="GB272" s="263"/>
      <c r="GC272" s="263"/>
      <c r="GD272" s="263"/>
      <c r="GE272" s="263"/>
      <c r="GF272" s="263"/>
      <c r="GG272" s="263"/>
      <c r="GH272" s="263"/>
      <c r="GI272" s="263"/>
      <c r="GJ272" s="263"/>
      <c r="GK272" s="263"/>
      <c r="GL272" s="263"/>
      <c r="GM272" s="263"/>
      <c r="GN272" s="263"/>
      <c r="GO272" s="263"/>
      <c r="GP272" s="263"/>
      <c r="GQ272" s="263"/>
      <c r="GR272" s="263"/>
      <c r="GS272" s="263"/>
      <c r="GT272" s="263"/>
      <c r="GU272" s="263"/>
      <c r="GV272" s="263"/>
      <c r="GW272" s="263"/>
      <c r="GX272" s="263"/>
      <c r="GY272" s="263"/>
    </row>
    <row r="273" spans="1:207" x14ac:dyDescent="0.15">
      <c r="C273" s="23"/>
      <c r="D273" s="289" t="s">
        <v>408</v>
      </c>
      <c r="E273" s="289"/>
      <c r="F273" s="23" t="s">
        <v>341</v>
      </c>
      <c r="G273" s="262">
        <f t="shared" ref="G273:BN273" si="39">SUM(G269:G272)</f>
        <v>-2.2933058773330342E-3</v>
      </c>
      <c r="H273" s="262">
        <f t="shared" ca="1" si="39"/>
        <v>-2.2087550287874722E-3</v>
      </c>
      <c r="I273" s="262">
        <f t="shared" ca="1" si="39"/>
        <v>-2.1242041802419106E-3</v>
      </c>
      <c r="J273" s="262">
        <f t="shared" ca="1" si="39"/>
        <v>-2.039653331696349E-3</v>
      </c>
      <c r="K273" s="262">
        <f t="shared" ca="1" si="39"/>
        <v>-1.9551024831507878E-3</v>
      </c>
      <c r="L273" s="262">
        <f t="shared" ca="1" si="39"/>
        <v>-1.8705516346052258E-3</v>
      </c>
      <c r="M273" s="262">
        <f t="shared" ca="1" si="39"/>
        <v>-1.7860007860596645E-3</v>
      </c>
      <c r="N273" s="262">
        <f t="shared" ca="1" si="39"/>
        <v>-1.7014499375141027E-3</v>
      </c>
      <c r="O273" s="262">
        <f t="shared" ca="1" si="39"/>
        <v>-1.6168990889685415E-3</v>
      </c>
      <c r="P273" s="262">
        <f t="shared" ca="1" si="39"/>
        <v>-1.5323482404229801E-3</v>
      </c>
      <c r="Q273" s="262">
        <f t="shared" ca="1" si="39"/>
        <v>-1.4477973918774188E-3</v>
      </c>
      <c r="R273" s="262">
        <f t="shared" ca="1" si="39"/>
        <v>-1.3632465433318574E-3</v>
      </c>
      <c r="S273" s="262">
        <f t="shared" ca="1" si="39"/>
        <v>-1.3766242962139818E-3</v>
      </c>
      <c r="T273" s="262">
        <f t="shared" ca="1" si="39"/>
        <v>-1.3422884200794917E-3</v>
      </c>
      <c r="U273" s="262">
        <f t="shared" ca="1" si="39"/>
        <v>-1.3079525439450015E-3</v>
      </c>
      <c r="V273" s="262">
        <f t="shared" ca="1" si="39"/>
        <v>-1.2736166678105113E-3</v>
      </c>
      <c r="W273" s="262">
        <f t="shared" ca="1" si="39"/>
        <v>-1.2392807916760209E-3</v>
      </c>
      <c r="X273" s="262">
        <f t="shared" ca="1" si="39"/>
        <v>-1.2049449155415307E-3</v>
      </c>
      <c r="Y273" s="262">
        <f t="shared" ca="1" si="39"/>
        <v>-1.1706090394070403E-3</v>
      </c>
      <c r="Z273" s="262">
        <f t="shared" ca="1" si="39"/>
        <v>-1.1362731632725501E-3</v>
      </c>
      <c r="AA273" s="262">
        <f t="shared" ca="1" si="39"/>
        <v>-1.1019372871380597E-3</v>
      </c>
      <c r="AB273" s="262">
        <f t="shared" ca="1" si="39"/>
        <v>-1.0676014110035696E-3</v>
      </c>
      <c r="AC273" s="262">
        <f t="shared" ca="1" si="39"/>
        <v>-1.0332655348690794E-3</v>
      </c>
      <c r="AD273" s="262">
        <f t="shared" ca="1" si="39"/>
        <v>-1.0338921967902998E-3</v>
      </c>
      <c r="AE273" s="262">
        <f t="shared" ca="1" si="39"/>
        <v>-1.0124315752887997E-3</v>
      </c>
      <c r="AF273" s="262">
        <f t="shared" ca="1" si="39"/>
        <v>-9.9097095378729945E-4</v>
      </c>
      <c r="AG273" s="262">
        <f t="shared" ca="1" si="39"/>
        <v>-9.6951033228579928E-4</v>
      </c>
      <c r="AH273" s="262">
        <f t="shared" ca="1" si="39"/>
        <v>-9.4804971078429911E-4</v>
      </c>
      <c r="AI273" s="262">
        <f t="shared" ca="1" si="39"/>
        <v>-9.2658908928279894E-4</v>
      </c>
      <c r="AJ273" s="262">
        <f t="shared" ca="1" si="39"/>
        <v>-9.0512846778129877E-4</v>
      </c>
      <c r="AK273" s="262">
        <f t="shared" ca="1" si="39"/>
        <v>-8.8366784627979861E-4</v>
      </c>
      <c r="AL273" s="262">
        <f t="shared" ca="1" si="39"/>
        <v>-8.6220722477829844E-4</v>
      </c>
      <c r="AM273" s="262">
        <f t="shared" ca="1" si="39"/>
        <v>-8.4074660327679816E-4</v>
      </c>
      <c r="AN273" s="262">
        <f t="shared" ca="1" si="39"/>
        <v>-8.192859817752981E-4</v>
      </c>
      <c r="AO273" s="262">
        <f t="shared" ca="1" si="39"/>
        <v>-7.9782536027379794E-4</v>
      </c>
      <c r="AP273" s="262">
        <f t="shared" ca="1" si="39"/>
        <v>-8.0353750462932802E-4</v>
      </c>
      <c r="AQ273" s="262">
        <f t="shared" ca="1" si="39"/>
        <v>-7.8659282885218135E-4</v>
      </c>
      <c r="AR273" s="262">
        <f t="shared" ca="1" si="39"/>
        <v>-7.696481530750348E-4</v>
      </c>
      <c r="AS273" s="262">
        <f t="shared" ca="1" si="39"/>
        <v>-7.5270347729788824E-4</v>
      </c>
      <c r="AT273" s="262">
        <f t="shared" ca="1" si="39"/>
        <v>-7.3575880152074147E-4</v>
      </c>
      <c r="AU273" s="262">
        <f t="shared" ca="1" si="39"/>
        <v>-7.1881412574359492E-4</v>
      </c>
      <c r="AV273" s="262">
        <f t="shared" ca="1" si="39"/>
        <v>-7.0186944996644815E-4</v>
      </c>
      <c r="AW273" s="262">
        <f t="shared" ca="1" si="39"/>
        <v>-6.8492477418930159E-4</v>
      </c>
      <c r="AX273" s="262">
        <f t="shared" ca="1" si="39"/>
        <v>-6.6798009841215504E-4</v>
      </c>
      <c r="AY273" s="262">
        <f t="shared" ca="1" si="39"/>
        <v>-6.5103542263500837E-4</v>
      </c>
      <c r="AZ273" s="262">
        <f t="shared" ca="1" si="39"/>
        <v>-6.3409074685786171E-4</v>
      </c>
      <c r="BA273" s="262">
        <f t="shared" ca="1" si="39"/>
        <v>-6.1714607108071505E-4</v>
      </c>
      <c r="BB273" s="262">
        <f t="shared" ca="1" si="39"/>
        <v>-6.2120844413919324E-4</v>
      </c>
      <c r="BC273" s="262">
        <f t="shared" ca="1" si="39"/>
        <v>-6.0479630240185291E-4</v>
      </c>
      <c r="BD273" s="262">
        <f t="shared" ca="1" si="39"/>
        <v>-5.8838416066451247E-4</v>
      </c>
      <c r="BE273" s="262">
        <f t="shared" ca="1" si="39"/>
        <v>-5.7197201892717213E-4</v>
      </c>
      <c r="BF273" s="262">
        <f t="shared" ca="1" si="39"/>
        <v>-5.5555987718983158E-4</v>
      </c>
      <c r="BG273" s="262">
        <f t="shared" ca="1" si="39"/>
        <v>-5.3914773545249125E-4</v>
      </c>
      <c r="BH273" s="262">
        <f t="shared" ca="1" si="39"/>
        <v>-5.227355937151508E-4</v>
      </c>
      <c r="BI273" s="262">
        <f t="shared" ca="1" si="39"/>
        <v>-5.0632345197781047E-4</v>
      </c>
      <c r="BJ273" s="262">
        <f t="shared" ca="1" si="39"/>
        <v>-4.8991131024047002E-4</v>
      </c>
      <c r="BK273" s="262">
        <f t="shared" ca="1" si="39"/>
        <v>-4.7349916850312974E-4</v>
      </c>
      <c r="BL273" s="262">
        <f t="shared" ca="1" si="39"/>
        <v>-4.5708702676578946E-4</v>
      </c>
      <c r="BM273" s="262">
        <f t="shared" ca="1" si="39"/>
        <v>-4.4067488502844908E-4</v>
      </c>
      <c r="BN273" s="262">
        <f t="shared" ca="1" si="39"/>
        <v>-4.3911193930629741E-4</v>
      </c>
      <c r="BO273" s="263"/>
      <c r="BP273" s="263"/>
      <c r="BQ273" s="263"/>
      <c r="BR273" s="263"/>
      <c r="BS273" s="263"/>
      <c r="BT273" s="263"/>
      <c r="BU273" s="263"/>
      <c r="BV273" s="263"/>
      <c r="BW273" s="263"/>
      <c r="BX273" s="263"/>
      <c r="BY273" s="263"/>
      <c r="BZ273" s="263"/>
      <c r="CA273" s="263"/>
      <c r="CB273" s="263"/>
      <c r="CC273" s="263"/>
      <c r="CD273" s="263"/>
      <c r="CE273" s="263"/>
      <c r="CF273" s="263"/>
      <c r="CG273" s="263"/>
      <c r="CH273" s="263"/>
      <c r="CI273" s="263"/>
      <c r="CJ273" s="263"/>
      <c r="CK273" s="263"/>
      <c r="CL273" s="263"/>
      <c r="CM273" s="263"/>
      <c r="CN273" s="263"/>
      <c r="CO273" s="263"/>
      <c r="CP273" s="263"/>
      <c r="CQ273" s="263"/>
      <c r="CR273" s="263"/>
      <c r="CS273" s="263"/>
      <c r="CT273" s="263"/>
      <c r="CU273" s="263"/>
      <c r="CV273" s="263"/>
      <c r="CW273" s="263"/>
      <c r="CX273" s="263"/>
      <c r="CY273" s="263"/>
      <c r="CZ273" s="263"/>
      <c r="DA273" s="263"/>
      <c r="DB273" s="263"/>
      <c r="DC273" s="263"/>
      <c r="DD273" s="263"/>
      <c r="DE273" s="263"/>
      <c r="DF273" s="263"/>
      <c r="DG273" s="263"/>
      <c r="DH273" s="263"/>
      <c r="DI273" s="263"/>
      <c r="DJ273" s="263"/>
      <c r="DK273" s="263"/>
      <c r="DL273" s="263"/>
      <c r="DM273" s="263"/>
      <c r="DN273" s="263"/>
      <c r="DO273" s="263"/>
      <c r="DP273" s="263"/>
      <c r="DQ273" s="263"/>
      <c r="DR273" s="263"/>
      <c r="DS273" s="263"/>
      <c r="DT273" s="263"/>
      <c r="DU273" s="263"/>
      <c r="DV273" s="263"/>
      <c r="DW273" s="263"/>
      <c r="DX273" s="263"/>
      <c r="DY273" s="263"/>
      <c r="DZ273" s="263"/>
      <c r="EA273" s="263"/>
      <c r="EB273" s="263"/>
      <c r="EC273" s="263"/>
      <c r="ED273" s="263"/>
      <c r="EE273" s="263"/>
      <c r="EF273" s="263"/>
      <c r="EG273" s="263"/>
      <c r="EH273" s="263"/>
      <c r="EI273" s="263"/>
      <c r="EJ273" s="263"/>
      <c r="EK273" s="263"/>
      <c r="EL273" s="263"/>
      <c r="EM273" s="263"/>
      <c r="EN273" s="263"/>
      <c r="EO273" s="263"/>
      <c r="EP273" s="263"/>
      <c r="EQ273" s="263"/>
      <c r="ER273" s="263"/>
      <c r="ES273" s="263"/>
      <c r="ET273" s="263"/>
      <c r="EU273" s="263"/>
      <c r="EV273" s="263"/>
      <c r="EW273" s="263"/>
      <c r="EX273" s="263"/>
      <c r="EY273" s="263"/>
      <c r="EZ273" s="263"/>
      <c r="FA273" s="263"/>
      <c r="FB273" s="263"/>
      <c r="FC273" s="263"/>
      <c r="FD273" s="263"/>
      <c r="FE273" s="263"/>
      <c r="FF273" s="263"/>
      <c r="FG273" s="263"/>
      <c r="FH273" s="263"/>
      <c r="FI273" s="263"/>
      <c r="FJ273" s="263"/>
      <c r="FK273" s="263"/>
      <c r="FL273" s="263"/>
      <c r="FM273" s="263"/>
      <c r="FN273" s="263"/>
      <c r="FO273" s="263"/>
      <c r="FP273" s="263"/>
      <c r="FQ273" s="263"/>
      <c r="FR273" s="263"/>
      <c r="FS273" s="263"/>
      <c r="FT273" s="263"/>
      <c r="FU273" s="263"/>
      <c r="FV273" s="263"/>
      <c r="FW273" s="263"/>
      <c r="FX273" s="263"/>
      <c r="FY273" s="263"/>
      <c r="FZ273" s="263"/>
      <c r="GA273" s="263"/>
      <c r="GB273" s="263"/>
      <c r="GC273" s="263"/>
      <c r="GD273" s="263"/>
      <c r="GE273" s="263"/>
      <c r="GF273" s="263"/>
      <c r="GG273" s="263"/>
      <c r="GH273" s="263"/>
      <c r="GI273" s="263"/>
      <c r="GJ273" s="263"/>
      <c r="GK273" s="263"/>
      <c r="GL273" s="263"/>
      <c r="GM273" s="263"/>
      <c r="GN273" s="263"/>
      <c r="GO273" s="263"/>
      <c r="GP273" s="263"/>
      <c r="GQ273" s="263"/>
      <c r="GR273" s="263"/>
      <c r="GS273" s="263"/>
      <c r="GT273" s="263"/>
      <c r="GU273" s="263"/>
      <c r="GV273" s="263"/>
      <c r="GW273" s="263"/>
      <c r="GX273" s="263"/>
      <c r="GY273" s="263"/>
    </row>
    <row r="274" spans="1:207" x14ac:dyDescent="0.15">
      <c r="G274" s="263"/>
      <c r="H274" s="263"/>
      <c r="I274" s="263"/>
      <c r="J274" s="263"/>
      <c r="K274" s="263"/>
      <c r="L274" s="263"/>
      <c r="M274" s="263"/>
      <c r="N274" s="263"/>
      <c r="O274" s="263"/>
      <c r="P274" s="263"/>
      <c r="Q274" s="263"/>
      <c r="R274" s="263"/>
      <c r="S274" s="263"/>
      <c r="T274" s="263"/>
      <c r="U274" s="263"/>
      <c r="V274" s="263"/>
      <c r="W274" s="263"/>
      <c r="X274" s="263"/>
      <c r="Y274" s="263"/>
      <c r="Z274" s="263"/>
      <c r="AA274" s="263"/>
      <c r="AB274" s="263"/>
      <c r="AC274" s="263"/>
      <c r="AD274" s="263"/>
      <c r="AE274" s="263"/>
      <c r="AF274" s="263"/>
      <c r="AG274" s="263"/>
      <c r="AH274" s="263"/>
      <c r="AI274" s="263"/>
      <c r="AJ274" s="263"/>
      <c r="AK274" s="263"/>
      <c r="AL274" s="263"/>
      <c r="AM274" s="263"/>
      <c r="AN274" s="263"/>
      <c r="AO274" s="263"/>
      <c r="AP274" s="263"/>
      <c r="AQ274" s="263"/>
      <c r="AR274" s="263"/>
      <c r="AS274" s="263"/>
      <c r="AT274" s="263"/>
      <c r="AU274" s="263"/>
      <c r="AV274" s="263"/>
      <c r="AW274" s="263"/>
      <c r="AX274" s="263"/>
      <c r="AY274" s="263"/>
      <c r="AZ274" s="263"/>
      <c r="BA274" s="263"/>
      <c r="BB274" s="263"/>
      <c r="BC274" s="263"/>
      <c r="BD274" s="263"/>
      <c r="BE274" s="263"/>
      <c r="BF274" s="263"/>
      <c r="BG274" s="263"/>
      <c r="BH274" s="263"/>
      <c r="BI274" s="263"/>
      <c r="BJ274" s="263"/>
      <c r="BK274" s="263"/>
      <c r="BL274" s="263"/>
      <c r="BM274" s="263"/>
      <c r="BN274" s="263"/>
      <c r="BO274" s="263"/>
      <c r="BP274" s="263"/>
      <c r="BQ274" s="263"/>
      <c r="BR274" s="263"/>
      <c r="BS274" s="263"/>
      <c r="BT274" s="263"/>
      <c r="BU274" s="263"/>
      <c r="BV274" s="263"/>
      <c r="BW274" s="263"/>
      <c r="BX274" s="263"/>
      <c r="BY274" s="263"/>
      <c r="BZ274" s="263"/>
      <c r="CA274" s="263"/>
      <c r="CB274" s="263"/>
      <c r="CC274" s="263"/>
      <c r="CD274" s="263"/>
      <c r="CE274" s="263"/>
      <c r="CF274" s="263"/>
      <c r="CG274" s="263"/>
      <c r="CH274" s="263"/>
      <c r="CI274" s="263"/>
      <c r="CJ274" s="263"/>
      <c r="CK274" s="263"/>
      <c r="CL274" s="263"/>
      <c r="CM274" s="263"/>
      <c r="CN274" s="263"/>
      <c r="CO274" s="263"/>
      <c r="CP274" s="263"/>
      <c r="CQ274" s="263"/>
      <c r="CR274" s="263"/>
      <c r="CS274" s="263"/>
      <c r="CT274" s="263"/>
      <c r="CU274" s="263"/>
      <c r="CV274" s="263"/>
      <c r="CW274" s="263"/>
      <c r="CX274" s="263"/>
      <c r="CY274" s="263"/>
      <c r="CZ274" s="263"/>
      <c r="DA274" s="263"/>
      <c r="DB274" s="263"/>
      <c r="DC274" s="263"/>
      <c r="DD274" s="263"/>
      <c r="DE274" s="263"/>
      <c r="DF274" s="263"/>
      <c r="DG274" s="263"/>
      <c r="DH274" s="263"/>
      <c r="DI274" s="263"/>
      <c r="DJ274" s="263"/>
      <c r="DK274" s="263"/>
      <c r="DL274" s="263"/>
      <c r="DM274" s="263"/>
      <c r="DN274" s="263"/>
      <c r="DO274" s="263"/>
      <c r="DP274" s="263"/>
      <c r="DQ274" s="263"/>
      <c r="DR274" s="263"/>
      <c r="DS274" s="263"/>
      <c r="DT274" s="263"/>
      <c r="DU274" s="263"/>
      <c r="DV274" s="263"/>
      <c r="DW274" s="263"/>
      <c r="DX274" s="263"/>
      <c r="DY274" s="263"/>
      <c r="DZ274" s="263"/>
      <c r="EA274" s="263"/>
      <c r="EB274" s="263"/>
      <c r="EC274" s="263"/>
      <c r="ED274" s="263"/>
      <c r="EE274" s="263"/>
      <c r="EF274" s="263"/>
      <c r="EG274" s="263"/>
      <c r="EH274" s="263"/>
      <c r="EI274" s="263"/>
      <c r="EJ274" s="263"/>
      <c r="EK274" s="263"/>
      <c r="EL274" s="263"/>
      <c r="EM274" s="263"/>
      <c r="EN274" s="263"/>
      <c r="EO274" s="263"/>
      <c r="EP274" s="263"/>
      <c r="EQ274" s="263"/>
      <c r="ER274" s="263"/>
      <c r="ES274" s="263"/>
      <c r="ET274" s="263"/>
      <c r="EU274" s="263"/>
      <c r="EV274" s="263"/>
      <c r="EW274" s="263"/>
      <c r="EX274" s="263"/>
      <c r="EY274" s="263"/>
      <c r="EZ274" s="263"/>
      <c r="FA274" s="263"/>
      <c r="FB274" s="263"/>
      <c r="FC274" s="263"/>
      <c r="FD274" s="263"/>
      <c r="FE274" s="263"/>
      <c r="FF274" s="263"/>
      <c r="FG274" s="263"/>
      <c r="FH274" s="263"/>
      <c r="FI274" s="263"/>
      <c r="FJ274" s="263"/>
      <c r="FK274" s="263"/>
      <c r="FL274" s="263"/>
      <c r="FM274" s="263"/>
      <c r="FN274" s="263"/>
      <c r="FO274" s="263"/>
      <c r="FP274" s="263"/>
      <c r="FQ274" s="263"/>
      <c r="FR274" s="263"/>
      <c r="FS274" s="263"/>
      <c r="FT274" s="263"/>
      <c r="FU274" s="263"/>
      <c r="FV274" s="263"/>
      <c r="FW274" s="263"/>
      <c r="FX274" s="263"/>
      <c r="FY274" s="263"/>
      <c r="FZ274" s="263"/>
      <c r="GA274" s="263"/>
      <c r="GB274" s="263"/>
      <c r="GC274" s="263"/>
      <c r="GD274" s="263"/>
      <c r="GE274" s="263"/>
      <c r="GF274" s="263"/>
      <c r="GG274" s="263"/>
      <c r="GH274" s="263"/>
      <c r="GI274" s="263"/>
      <c r="GJ274" s="263"/>
      <c r="GK274" s="263"/>
      <c r="GL274" s="263"/>
      <c r="GM274" s="263"/>
      <c r="GN274" s="263"/>
      <c r="GO274" s="263"/>
      <c r="GP274" s="263"/>
      <c r="GQ274" s="263"/>
      <c r="GR274" s="263"/>
      <c r="GS274" s="263"/>
      <c r="GT274" s="263"/>
      <c r="GU274" s="263"/>
      <c r="GV274" s="263"/>
      <c r="GW274" s="263"/>
      <c r="GX274" s="263"/>
      <c r="GY274" s="263"/>
    </row>
    <row r="275" spans="1:207" x14ac:dyDescent="0.15">
      <c r="D275" s="23" t="s">
        <v>409</v>
      </c>
      <c r="F275" s="23" t="s">
        <v>341</v>
      </c>
      <c r="G275" s="262">
        <f ca="1">G252+G256+G267+G273+G263</f>
        <v>-7.655217852339577E-2</v>
      </c>
      <c r="H275" s="262">
        <f t="shared" ref="H275:BN275" ca="1" si="40">H252+H256+H267+H273+H263</f>
        <v>-1.5681328936845203E-2</v>
      </c>
      <c r="I275" s="262">
        <f t="shared" ca="1" si="40"/>
        <v>-1.691768517529274E-2</v>
      </c>
      <c r="J275" s="262">
        <f t="shared" ca="1" si="40"/>
        <v>-1.7297656803930167E-2</v>
      </c>
      <c r="K275" s="262">
        <f t="shared" ca="1" si="40"/>
        <v>-7.1145393132475863E-3</v>
      </c>
      <c r="L275" s="262">
        <f ca="1">L252+L256+L267+L273+L263</f>
        <v>-2.9839481108872804E-2</v>
      </c>
      <c r="M275" s="262">
        <f t="shared" ca="1" si="40"/>
        <v>-6.2911573051112873E-3</v>
      </c>
      <c r="N275" s="262">
        <f t="shared" ca="1" si="40"/>
        <v>-5.9933283832918766E-3</v>
      </c>
      <c r="O275" s="262">
        <f t="shared" ca="1" si="40"/>
        <v>-5.6954994614724684E-3</v>
      </c>
      <c r="P275" s="262">
        <f t="shared" ca="1" si="40"/>
        <v>-5.3976705396530595E-3</v>
      </c>
      <c r="Q275" s="262">
        <f t="shared" ca="1" si="40"/>
        <v>-5.0998416178336513E-3</v>
      </c>
      <c r="R275" s="262">
        <f t="shared" ca="1" si="40"/>
        <v>-4.8020126960142424E-3</v>
      </c>
      <c r="S275" s="262">
        <f t="shared" ca="1" si="40"/>
        <v>-4.7411559071250291E-3</v>
      </c>
      <c r="T275" s="262">
        <f t="shared" ca="1" si="40"/>
        <v>-4.6229016075248668E-3</v>
      </c>
      <c r="U275" s="262">
        <f t="shared" ca="1" si="40"/>
        <v>-3.2630308682171108E-2</v>
      </c>
      <c r="V275" s="262">
        <f t="shared" ca="1" si="40"/>
        <v>-5.0920472472263268E-3</v>
      </c>
      <c r="W275" s="262">
        <f t="shared" ca="1" si="40"/>
        <v>-4.7461567120117868E-3</v>
      </c>
      <c r="X275" s="262">
        <f t="shared" ca="1" si="40"/>
        <v>-4.1498844091242141E-3</v>
      </c>
      <c r="Y275" s="262">
        <f t="shared" ca="1" si="40"/>
        <v>-4.0316301095240509E-3</v>
      </c>
      <c r="Z275" s="262">
        <f t="shared" ca="1" si="40"/>
        <v>-3.9133758099238877E-3</v>
      </c>
      <c r="AA275" s="262">
        <f t="shared" ca="1" si="40"/>
        <v>-3.7951215103237249E-3</v>
      </c>
      <c r="AB275" s="262">
        <f t="shared" ca="1" si="40"/>
        <v>-3.6768672107235622E-3</v>
      </c>
      <c r="AC275" s="262">
        <f t="shared" ca="1" si="40"/>
        <v>-3.558612911123399E-3</v>
      </c>
      <c r="AD275" s="262">
        <f t="shared" ca="1" si="40"/>
        <v>-3.3468603701967602E-2</v>
      </c>
      <c r="AE275" s="262">
        <f t="shared" ca="1" si="40"/>
        <v>-3.410132150598588E-3</v>
      </c>
      <c r="AF275" s="262">
        <f t="shared" ca="1" si="40"/>
        <v>-3.3378472109144245E-3</v>
      </c>
      <c r="AG275" s="262">
        <f t="shared" ca="1" si="40"/>
        <v>-3.2655622712302618E-3</v>
      </c>
      <c r="AH275" s="262">
        <f t="shared" ca="1" si="40"/>
        <v>-3.1932773315460987E-3</v>
      </c>
      <c r="AI275" s="262">
        <f t="shared" ca="1" si="40"/>
        <v>-3.1209923918619356E-3</v>
      </c>
      <c r="AJ275" s="262">
        <f t="shared" ca="1" si="40"/>
        <v>-3.0487074521777725E-3</v>
      </c>
      <c r="AK275" s="262">
        <f t="shared" ca="1" si="40"/>
        <v>-2.9764225124936095E-3</v>
      </c>
      <c r="AL275" s="262">
        <f t="shared" ca="1" si="40"/>
        <v>-2.9041375728094459E-3</v>
      </c>
      <c r="AM275" s="262">
        <f t="shared" ca="1" si="40"/>
        <v>-2.8318526331252833E-3</v>
      </c>
      <c r="AN275" s="262">
        <f t="shared" ca="1" si="40"/>
        <v>-2.7595676934411202E-3</v>
      </c>
      <c r="AO275" s="262">
        <f t="shared" ca="1" si="40"/>
        <v>-2.6872827537569571E-3</v>
      </c>
      <c r="AP275" s="262">
        <f t="shared" ca="1" si="40"/>
        <v>-2.6476855209496266E-3</v>
      </c>
      <c r="AQ275" s="262">
        <f t="shared" ca="1" si="40"/>
        <v>-2.5918521933776511E-3</v>
      </c>
      <c r="AR275" s="262">
        <f t="shared" ca="1" si="40"/>
        <v>-2.536018865805676E-3</v>
      </c>
      <c r="AS275" s="262">
        <f t="shared" ca="1" si="40"/>
        <v>-2.4801855382337004E-3</v>
      </c>
      <c r="AT275" s="262">
        <f t="shared" ca="1" si="40"/>
        <v>-2.4243522106617249E-3</v>
      </c>
      <c r="AU275" s="262">
        <f t="shared" ca="1" si="40"/>
        <v>-2.3685188830897493E-3</v>
      </c>
      <c r="AV275" s="262">
        <f t="shared" ca="1" si="40"/>
        <v>-2.3126855555177738E-3</v>
      </c>
      <c r="AW275" s="262">
        <f t="shared" ca="1" si="40"/>
        <v>-2.2568522279457987E-3</v>
      </c>
      <c r="AX275" s="262">
        <f t="shared" ca="1" si="40"/>
        <v>-2.2010189003738236E-3</v>
      </c>
      <c r="AY275" s="262">
        <f t="shared" ca="1" si="40"/>
        <v>-2.1451855728018476E-3</v>
      </c>
      <c r="AZ275" s="262">
        <f t="shared" ca="1" si="40"/>
        <v>-2.089352245229872E-3</v>
      </c>
      <c r="BA275" s="262">
        <f t="shared" ca="1" si="40"/>
        <v>-2.0335189176578969E-3</v>
      </c>
      <c r="BB275" s="262">
        <f t="shared" ca="1" si="40"/>
        <v>-2.0029561958939254E-3</v>
      </c>
      <c r="BC275" s="262">
        <f t="shared" ca="1" si="40"/>
        <v>-1.9500386908425464E-3</v>
      </c>
      <c r="BD275" s="262">
        <f t="shared" ca="1" si="40"/>
        <v>-1.8971211857911671E-3</v>
      </c>
      <c r="BE275" s="262">
        <f t="shared" ca="1" si="40"/>
        <v>-1.8442036807397877E-3</v>
      </c>
      <c r="BF275" s="262">
        <f t="shared" ca="1" si="40"/>
        <v>-1.7912861756884083E-3</v>
      </c>
      <c r="BG275" s="262">
        <f t="shared" ca="1" si="40"/>
        <v>-1.7383686706370289E-3</v>
      </c>
      <c r="BH275" s="262">
        <f t="shared" ca="1" si="40"/>
        <v>-1.6854511655856495E-3</v>
      </c>
      <c r="BI275" s="262">
        <f t="shared" ca="1" si="40"/>
        <v>-1.6325336605342703E-3</v>
      </c>
      <c r="BJ275" s="262">
        <f t="shared" ca="1" si="40"/>
        <v>-1.5796161554828912E-3</v>
      </c>
      <c r="BK275" s="262">
        <f t="shared" ca="1" si="40"/>
        <v>-1.526698650431512E-3</v>
      </c>
      <c r="BL275" s="262">
        <f t="shared" ca="1" si="40"/>
        <v>-1.4737811453801328E-3</v>
      </c>
      <c r="BM275" s="262">
        <f t="shared" ca="1" si="40"/>
        <v>-1.4208636403287536E-3</v>
      </c>
      <c r="BN275" s="262">
        <f t="shared" ca="1" si="40"/>
        <v>-1.385809100323148E-3</v>
      </c>
      <c r="BO275" s="263"/>
      <c r="BP275" s="263"/>
      <c r="BQ275" s="263"/>
      <c r="BR275" s="263"/>
      <c r="BS275" s="263"/>
      <c r="BT275" s="263"/>
      <c r="BU275" s="263"/>
      <c r="BV275" s="263"/>
      <c r="BW275" s="263"/>
      <c r="BX275" s="263"/>
      <c r="BY275" s="263"/>
      <c r="BZ275" s="263"/>
      <c r="CA275" s="263"/>
      <c r="CB275" s="263"/>
      <c r="CC275" s="263"/>
      <c r="CD275" s="263"/>
      <c r="CE275" s="263"/>
      <c r="CF275" s="263"/>
      <c r="CG275" s="263"/>
      <c r="CH275" s="263"/>
      <c r="CI275" s="263"/>
      <c r="CJ275" s="263"/>
      <c r="CK275" s="263"/>
      <c r="CL275" s="263"/>
      <c r="CM275" s="263"/>
      <c r="CN275" s="263"/>
      <c r="CO275" s="263"/>
      <c r="CP275" s="263"/>
      <c r="CQ275" s="263"/>
      <c r="CR275" s="263"/>
      <c r="CS275" s="263"/>
      <c r="CT275" s="263"/>
      <c r="CU275" s="263"/>
      <c r="CV275" s="263"/>
      <c r="CW275" s="263"/>
      <c r="CX275" s="263"/>
      <c r="CY275" s="263"/>
      <c r="CZ275" s="263"/>
      <c r="DA275" s="263"/>
      <c r="DB275" s="263"/>
      <c r="DC275" s="263"/>
      <c r="DD275" s="263"/>
      <c r="DE275" s="263"/>
      <c r="DF275" s="263"/>
      <c r="DG275" s="263"/>
      <c r="DH275" s="263"/>
      <c r="DI275" s="263"/>
      <c r="DJ275" s="263"/>
      <c r="DK275" s="263"/>
      <c r="DL275" s="263"/>
      <c r="DM275" s="263"/>
      <c r="DN275" s="263"/>
      <c r="DO275" s="263"/>
      <c r="DP275" s="263"/>
      <c r="DQ275" s="263"/>
      <c r="DR275" s="263"/>
      <c r="DS275" s="263"/>
      <c r="DT275" s="263"/>
      <c r="DU275" s="263"/>
      <c r="DV275" s="263"/>
      <c r="DW275" s="263"/>
      <c r="DX275" s="263"/>
      <c r="DY275" s="263"/>
      <c r="DZ275" s="263"/>
      <c r="EA275" s="263"/>
      <c r="EB275" s="263"/>
      <c r="EC275" s="263"/>
      <c r="ED275" s="263"/>
      <c r="EE275" s="263"/>
      <c r="EF275" s="263"/>
      <c r="EG275" s="263"/>
      <c r="EH275" s="263"/>
      <c r="EI275" s="263"/>
      <c r="EJ275" s="263"/>
      <c r="EK275" s="263"/>
      <c r="EL275" s="263"/>
      <c r="EM275" s="263"/>
      <c r="EN275" s="263"/>
      <c r="EO275" s="263"/>
      <c r="EP275" s="263"/>
      <c r="EQ275" s="263"/>
      <c r="ER275" s="263"/>
      <c r="ES275" s="263"/>
      <c r="ET275" s="263"/>
      <c r="EU275" s="263"/>
      <c r="EV275" s="263"/>
      <c r="EW275" s="263"/>
      <c r="EX275" s="263"/>
      <c r="EY275" s="263"/>
      <c r="EZ275" s="263"/>
      <c r="FA275" s="263"/>
      <c r="FB275" s="263"/>
      <c r="FC275" s="263"/>
      <c r="FD275" s="263"/>
      <c r="FE275" s="263"/>
      <c r="FF275" s="263"/>
      <c r="FG275" s="263"/>
      <c r="FH275" s="263"/>
      <c r="FI275" s="263"/>
      <c r="FJ275" s="263"/>
      <c r="FK275" s="263"/>
      <c r="FL275" s="263"/>
      <c r="FM275" s="263"/>
      <c r="FN275" s="263"/>
      <c r="FO275" s="263"/>
      <c r="FP275" s="263"/>
      <c r="FQ275" s="263"/>
      <c r="FR275" s="263"/>
      <c r="FS275" s="263"/>
      <c r="FT275" s="263"/>
      <c r="FU275" s="263"/>
      <c r="FV275" s="263"/>
      <c r="FW275" s="263"/>
      <c r="FX275" s="263"/>
      <c r="FY275" s="263"/>
      <c r="FZ275" s="263"/>
      <c r="GA275" s="263"/>
      <c r="GB275" s="263"/>
      <c r="GC275" s="263"/>
      <c r="GD275" s="263"/>
      <c r="GE275" s="263"/>
      <c r="GF275" s="263"/>
      <c r="GG275" s="263"/>
      <c r="GH275" s="263"/>
      <c r="GI275" s="263"/>
      <c r="GJ275" s="263"/>
      <c r="GK275" s="263"/>
      <c r="GL275" s="263"/>
      <c r="GM275" s="263"/>
      <c r="GN275" s="263"/>
      <c r="GO275" s="263"/>
      <c r="GP275" s="263"/>
      <c r="GQ275" s="263"/>
      <c r="GR275" s="263"/>
      <c r="GS275" s="263"/>
      <c r="GT275" s="263"/>
      <c r="GU275" s="263"/>
      <c r="GV275" s="263"/>
      <c r="GW275" s="263"/>
      <c r="GX275" s="263"/>
      <c r="GY275" s="263"/>
    </row>
    <row r="276" spans="1:207" x14ac:dyDescent="0.15">
      <c r="G276" s="263"/>
      <c r="H276" s="263"/>
      <c r="I276" s="263"/>
      <c r="J276" s="263"/>
      <c r="K276" s="263"/>
      <c r="L276" s="263"/>
      <c r="M276" s="263"/>
      <c r="N276" s="263"/>
      <c r="O276" s="263"/>
      <c r="P276" s="263"/>
      <c r="Q276" s="263"/>
      <c r="R276" s="263"/>
      <c r="S276" s="263"/>
      <c r="T276" s="263"/>
      <c r="U276" s="263"/>
      <c r="V276" s="263"/>
      <c r="W276" s="263"/>
      <c r="X276" s="263"/>
      <c r="Y276" s="263"/>
      <c r="Z276" s="263"/>
      <c r="AA276" s="263"/>
      <c r="AB276" s="263"/>
      <c r="AC276" s="263"/>
      <c r="AD276" s="263"/>
      <c r="AE276" s="263"/>
      <c r="AF276" s="263"/>
      <c r="AG276" s="263"/>
      <c r="AH276" s="263"/>
      <c r="AI276" s="263"/>
      <c r="AJ276" s="263"/>
      <c r="AK276" s="263"/>
      <c r="AL276" s="263"/>
      <c r="AM276" s="263"/>
      <c r="AN276" s="263"/>
      <c r="AO276" s="263"/>
      <c r="AP276" s="263"/>
      <c r="AQ276" s="263"/>
      <c r="AR276" s="263"/>
      <c r="AS276" s="263"/>
      <c r="AT276" s="263"/>
      <c r="AU276" s="263"/>
      <c r="AV276" s="263"/>
      <c r="AW276" s="263"/>
      <c r="AX276" s="263"/>
      <c r="AY276" s="263"/>
      <c r="AZ276" s="263"/>
      <c r="BA276" s="263"/>
      <c r="BB276" s="263"/>
      <c r="BC276" s="263"/>
      <c r="BD276" s="263"/>
      <c r="BE276" s="263"/>
      <c r="BF276" s="263"/>
      <c r="BG276" s="263"/>
      <c r="BH276" s="263"/>
      <c r="BI276" s="263"/>
      <c r="BJ276" s="263"/>
      <c r="BK276" s="263"/>
      <c r="BL276" s="263"/>
      <c r="BM276" s="263"/>
      <c r="BN276" s="263"/>
      <c r="BO276" s="263"/>
      <c r="BP276" s="263"/>
      <c r="BQ276" s="263"/>
      <c r="BR276" s="263"/>
      <c r="BS276" s="263"/>
      <c r="BT276" s="263"/>
      <c r="BU276" s="263"/>
      <c r="BV276" s="263"/>
      <c r="BW276" s="263"/>
      <c r="BX276" s="263"/>
      <c r="BY276" s="263"/>
      <c r="BZ276" s="263"/>
      <c r="CA276" s="263"/>
      <c r="CB276" s="263"/>
      <c r="CC276" s="263"/>
      <c r="CD276" s="263"/>
      <c r="CE276" s="263"/>
      <c r="CF276" s="263"/>
      <c r="CG276" s="263"/>
      <c r="CH276" s="263"/>
      <c r="CI276" s="263"/>
      <c r="CJ276" s="263"/>
      <c r="CK276" s="263"/>
      <c r="CL276" s="263"/>
      <c r="CM276" s="263"/>
      <c r="CN276" s="263"/>
      <c r="CO276" s="263"/>
      <c r="CP276" s="263"/>
      <c r="CQ276" s="263"/>
      <c r="CR276" s="263"/>
      <c r="CS276" s="263"/>
      <c r="CT276" s="263"/>
      <c r="CU276" s="263"/>
      <c r="CV276" s="263"/>
      <c r="CW276" s="263"/>
      <c r="CX276" s="263"/>
      <c r="CY276" s="263"/>
      <c r="CZ276" s="263"/>
      <c r="DA276" s="263"/>
      <c r="DB276" s="263"/>
      <c r="DC276" s="263"/>
      <c r="DD276" s="263"/>
      <c r="DE276" s="263"/>
      <c r="DF276" s="263"/>
      <c r="DG276" s="263"/>
      <c r="DH276" s="263"/>
      <c r="DI276" s="263"/>
      <c r="DJ276" s="263"/>
      <c r="DK276" s="263"/>
      <c r="DL276" s="263"/>
      <c r="DM276" s="263"/>
      <c r="DN276" s="263"/>
      <c r="DO276" s="263"/>
      <c r="DP276" s="263"/>
      <c r="DQ276" s="263"/>
      <c r="DR276" s="263"/>
      <c r="DS276" s="263"/>
      <c r="DT276" s="263"/>
      <c r="DU276" s="263"/>
      <c r="DV276" s="263"/>
      <c r="DW276" s="263"/>
      <c r="DX276" s="263"/>
      <c r="DY276" s="263"/>
      <c r="DZ276" s="263"/>
      <c r="EA276" s="263"/>
      <c r="EB276" s="263"/>
      <c r="EC276" s="263"/>
      <c r="ED276" s="263"/>
      <c r="EE276" s="263"/>
      <c r="EF276" s="263"/>
      <c r="EG276" s="263"/>
      <c r="EH276" s="263"/>
      <c r="EI276" s="263"/>
      <c r="EJ276" s="263"/>
      <c r="EK276" s="263"/>
      <c r="EL276" s="263"/>
      <c r="EM276" s="263"/>
      <c r="EN276" s="263"/>
      <c r="EO276" s="263"/>
      <c r="EP276" s="263"/>
      <c r="EQ276" s="263"/>
      <c r="ER276" s="263"/>
      <c r="ES276" s="263"/>
      <c r="ET276" s="263"/>
      <c r="EU276" s="263"/>
      <c r="EV276" s="263"/>
      <c r="EW276" s="263"/>
      <c r="EX276" s="263"/>
      <c r="EY276" s="263"/>
      <c r="EZ276" s="263"/>
      <c r="FA276" s="263"/>
      <c r="FB276" s="263"/>
      <c r="FC276" s="263"/>
      <c r="FD276" s="263"/>
      <c r="FE276" s="263"/>
      <c r="FF276" s="263"/>
      <c r="FG276" s="263"/>
      <c r="FH276" s="263"/>
      <c r="FI276" s="263"/>
      <c r="FJ276" s="263"/>
      <c r="FK276" s="263"/>
      <c r="FL276" s="263"/>
      <c r="FM276" s="263"/>
      <c r="FN276" s="263"/>
      <c r="FO276" s="263"/>
      <c r="FP276" s="263"/>
      <c r="FQ276" s="263"/>
      <c r="FR276" s="263"/>
      <c r="FS276" s="263"/>
      <c r="FT276" s="263"/>
      <c r="FU276" s="263"/>
      <c r="FV276" s="263"/>
      <c r="FW276" s="263"/>
      <c r="FX276" s="263"/>
      <c r="FY276" s="263"/>
      <c r="FZ276" s="263"/>
      <c r="GA276" s="263"/>
      <c r="GB276" s="263"/>
      <c r="GC276" s="263"/>
      <c r="GD276" s="263"/>
      <c r="GE276" s="263"/>
      <c r="GF276" s="263"/>
      <c r="GG276" s="263"/>
      <c r="GH276" s="263"/>
      <c r="GI276" s="263"/>
      <c r="GJ276" s="263"/>
      <c r="GK276" s="263"/>
      <c r="GL276" s="263"/>
      <c r="GM276" s="263"/>
      <c r="GN276" s="263"/>
      <c r="GO276" s="263"/>
      <c r="GP276" s="263"/>
      <c r="GQ276" s="263"/>
      <c r="GR276" s="263"/>
      <c r="GS276" s="263"/>
      <c r="GT276" s="263"/>
      <c r="GU276" s="263"/>
      <c r="GV276" s="263"/>
      <c r="GW276" s="263"/>
      <c r="GX276" s="263"/>
      <c r="GY276" s="263"/>
    </row>
    <row r="277" spans="1:207" ht="14" thickBot="1" x14ac:dyDescent="0.2">
      <c r="A277" s="250">
        <v>6</v>
      </c>
      <c r="B277" s="251" t="s">
        <v>164</v>
      </c>
      <c r="C277" s="252"/>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c r="AA277" s="252"/>
      <c r="AB277" s="252"/>
      <c r="AC277" s="252"/>
      <c r="AD277" s="252"/>
      <c r="AE277" s="252"/>
      <c r="AF277" s="252"/>
      <c r="AG277" s="252"/>
      <c r="AH277" s="252"/>
      <c r="AI277" s="252"/>
      <c r="AJ277" s="252"/>
      <c r="AK277" s="252"/>
      <c r="AL277" s="252"/>
      <c r="AM277" s="252"/>
      <c r="AN277" s="252"/>
      <c r="AO277" s="252"/>
      <c r="AP277" s="252"/>
      <c r="AQ277" s="252"/>
      <c r="AR277" s="252"/>
      <c r="AS277" s="252"/>
      <c r="AT277" s="252"/>
      <c r="AU277" s="252"/>
      <c r="AV277" s="252"/>
      <c r="AW277" s="252"/>
      <c r="AX277" s="252"/>
      <c r="AY277" s="252"/>
      <c r="AZ277" s="252"/>
      <c r="BA277" s="252"/>
      <c r="BB277" s="252"/>
      <c r="BC277" s="252"/>
      <c r="BD277" s="252"/>
      <c r="BE277" s="252"/>
      <c r="BF277" s="252"/>
      <c r="BG277" s="252"/>
      <c r="BH277" s="252"/>
      <c r="BI277" s="252"/>
      <c r="BJ277" s="252"/>
      <c r="BK277" s="252"/>
      <c r="BL277" s="252"/>
      <c r="BM277" s="252"/>
      <c r="BN277" s="252"/>
      <c r="BO277" s="252"/>
      <c r="BP277" s="252"/>
      <c r="BQ277" s="252"/>
      <c r="BR277" s="252"/>
      <c r="BS277" s="252"/>
      <c r="BT277" s="252"/>
      <c r="BU277" s="252"/>
      <c r="BV277" s="252"/>
      <c r="BW277" s="252"/>
      <c r="BX277" s="252"/>
      <c r="BY277" s="252"/>
      <c r="BZ277" s="252"/>
      <c r="CA277" s="263"/>
      <c r="CB277" s="263"/>
      <c r="CC277" s="263"/>
      <c r="CD277" s="263"/>
      <c r="CE277" s="263"/>
      <c r="CF277" s="263"/>
      <c r="CG277" s="263"/>
      <c r="CH277" s="263"/>
      <c r="CI277" s="263"/>
      <c r="CJ277" s="263"/>
      <c r="CK277" s="263"/>
      <c r="CL277" s="263"/>
      <c r="CM277" s="263"/>
      <c r="CN277" s="263"/>
      <c r="CO277" s="263"/>
      <c r="CP277" s="263"/>
      <c r="CQ277" s="263"/>
      <c r="CR277" s="263"/>
      <c r="CS277" s="263"/>
      <c r="CT277" s="263"/>
      <c r="CU277" s="263"/>
      <c r="CV277" s="263"/>
      <c r="CW277" s="263"/>
      <c r="CX277" s="263"/>
      <c r="CY277" s="263"/>
      <c r="CZ277" s="263"/>
      <c r="DA277" s="263"/>
      <c r="DB277" s="263"/>
      <c r="DC277" s="263"/>
      <c r="DD277" s="263"/>
      <c r="DE277" s="263"/>
      <c r="DF277" s="263"/>
      <c r="DG277" s="263"/>
      <c r="DH277" s="263"/>
      <c r="DI277" s="263"/>
      <c r="DJ277" s="263"/>
      <c r="DK277" s="263"/>
      <c r="DL277" s="263"/>
      <c r="DM277" s="263"/>
      <c r="DN277" s="263"/>
      <c r="DO277" s="263"/>
      <c r="DP277" s="263"/>
      <c r="DQ277" s="263"/>
      <c r="DR277" s="263"/>
      <c r="DS277" s="263"/>
      <c r="DT277" s="263"/>
      <c r="DU277" s="263"/>
      <c r="DV277" s="263"/>
      <c r="DW277" s="263"/>
      <c r="DX277" s="263"/>
      <c r="DY277" s="263"/>
      <c r="DZ277" s="263"/>
      <c r="EA277" s="263"/>
      <c r="EB277" s="263"/>
      <c r="EC277" s="263"/>
      <c r="ED277" s="263"/>
      <c r="EE277" s="263"/>
      <c r="EF277" s="263"/>
      <c r="EG277" s="263"/>
      <c r="EH277" s="263"/>
      <c r="EI277" s="263"/>
      <c r="EJ277" s="263"/>
      <c r="EK277" s="263"/>
      <c r="EL277" s="263"/>
      <c r="EM277" s="263"/>
      <c r="EN277" s="263"/>
      <c r="EO277" s="263"/>
      <c r="EP277" s="263"/>
      <c r="EQ277" s="263"/>
      <c r="ER277" s="263"/>
      <c r="ES277" s="263"/>
      <c r="ET277" s="263"/>
      <c r="EU277" s="263"/>
      <c r="EV277" s="263"/>
      <c r="EW277" s="263"/>
      <c r="EX277" s="263"/>
      <c r="EY277" s="263"/>
      <c r="EZ277" s="263"/>
      <c r="FA277" s="263"/>
      <c r="FB277" s="263"/>
      <c r="FC277" s="263"/>
      <c r="FD277" s="263"/>
      <c r="FE277" s="263"/>
      <c r="FF277" s="263"/>
      <c r="FG277" s="263"/>
      <c r="FH277" s="263"/>
      <c r="FI277" s="263"/>
      <c r="FJ277" s="263"/>
      <c r="FK277" s="263"/>
      <c r="FL277" s="263"/>
      <c r="FM277" s="263"/>
      <c r="FN277" s="263"/>
      <c r="FO277" s="263"/>
      <c r="FP277" s="263"/>
      <c r="FQ277" s="263"/>
      <c r="FR277" s="263"/>
      <c r="FS277" s="263"/>
      <c r="FT277" s="263"/>
      <c r="FU277" s="263"/>
      <c r="FV277" s="263"/>
      <c r="FW277" s="263"/>
      <c r="FX277" s="263"/>
      <c r="FY277" s="263"/>
      <c r="FZ277" s="263"/>
      <c r="GA277" s="263"/>
      <c r="GB277" s="263"/>
      <c r="GC277" s="263"/>
      <c r="GD277" s="263"/>
      <c r="GE277" s="263"/>
      <c r="GF277" s="263"/>
      <c r="GG277" s="263"/>
      <c r="GH277" s="263"/>
      <c r="GI277" s="263"/>
      <c r="GJ277" s="263"/>
      <c r="GK277" s="263"/>
      <c r="GL277" s="263"/>
      <c r="GM277" s="263"/>
      <c r="GN277" s="263"/>
      <c r="GO277" s="263"/>
      <c r="GP277" s="263"/>
      <c r="GQ277" s="263"/>
      <c r="GR277" s="263"/>
      <c r="GS277" s="263"/>
      <c r="GT277" s="263"/>
      <c r="GU277" s="263"/>
      <c r="GV277" s="263"/>
      <c r="GW277" s="263"/>
      <c r="GX277" s="263"/>
      <c r="GY277" s="263"/>
    </row>
    <row r="278" spans="1:207" ht="14" thickTop="1" x14ac:dyDescent="0.15">
      <c r="G278" s="263"/>
      <c r="H278" s="263"/>
      <c r="I278" s="263"/>
      <c r="J278" s="263"/>
      <c r="K278" s="263"/>
      <c r="L278" s="263"/>
      <c r="M278" s="263"/>
      <c r="N278" s="263"/>
      <c r="O278" s="263"/>
      <c r="P278" s="263"/>
      <c r="Q278" s="263"/>
      <c r="R278" s="263"/>
      <c r="S278" s="263"/>
      <c r="T278" s="263"/>
      <c r="U278" s="263"/>
      <c r="V278" s="263"/>
      <c r="W278" s="263"/>
      <c r="X278" s="263"/>
      <c r="Y278" s="263"/>
      <c r="Z278" s="263"/>
      <c r="AA278" s="263"/>
      <c r="AB278" s="263"/>
      <c r="AC278" s="263"/>
      <c r="AD278" s="263"/>
      <c r="AE278" s="263"/>
      <c r="AF278" s="263"/>
      <c r="AG278" s="263"/>
      <c r="AH278" s="263"/>
      <c r="AI278" s="263"/>
      <c r="AJ278" s="263"/>
      <c r="AK278" s="263"/>
      <c r="AL278" s="263"/>
      <c r="AM278" s="263"/>
      <c r="AN278" s="263"/>
      <c r="AO278" s="263"/>
      <c r="AP278" s="263"/>
      <c r="AQ278" s="263"/>
      <c r="AR278" s="263"/>
      <c r="AS278" s="263"/>
      <c r="AT278" s="263"/>
      <c r="AU278" s="263"/>
      <c r="AV278" s="263"/>
      <c r="AW278" s="263"/>
      <c r="AX278" s="263"/>
      <c r="AY278" s="263"/>
      <c r="AZ278" s="263"/>
      <c r="BA278" s="263"/>
      <c r="BB278" s="263"/>
      <c r="BC278" s="263"/>
      <c r="BD278" s="263"/>
      <c r="BE278" s="263"/>
      <c r="BF278" s="263"/>
      <c r="BG278" s="263"/>
      <c r="BH278" s="263"/>
      <c r="BI278" s="263"/>
      <c r="BJ278" s="263"/>
      <c r="BK278" s="263"/>
      <c r="BL278" s="263"/>
      <c r="BM278" s="263"/>
      <c r="BN278" s="263"/>
      <c r="BO278" s="263"/>
      <c r="BP278" s="263"/>
      <c r="BQ278" s="263"/>
      <c r="BR278" s="263"/>
      <c r="BS278" s="263"/>
      <c r="BT278" s="263"/>
      <c r="BU278" s="263"/>
      <c r="BV278" s="263"/>
      <c r="BW278" s="263"/>
      <c r="BX278" s="263"/>
      <c r="BY278" s="263"/>
      <c r="BZ278" s="263"/>
      <c r="CA278" s="263"/>
      <c r="CB278" s="263"/>
      <c r="CC278" s="263"/>
      <c r="CD278" s="263"/>
      <c r="CE278" s="263"/>
      <c r="CF278" s="263"/>
      <c r="CG278" s="263"/>
      <c r="CH278" s="263"/>
      <c r="CI278" s="263"/>
      <c r="CJ278" s="263"/>
      <c r="CK278" s="263"/>
      <c r="CL278" s="263"/>
      <c r="CM278" s="263"/>
      <c r="CN278" s="263"/>
      <c r="CO278" s="263"/>
      <c r="CP278" s="263"/>
      <c r="CQ278" s="263"/>
      <c r="CR278" s="263"/>
      <c r="CS278" s="263"/>
      <c r="CT278" s="263"/>
      <c r="CU278" s="263"/>
      <c r="CV278" s="263"/>
      <c r="CW278" s="263"/>
      <c r="CX278" s="263"/>
      <c r="CY278" s="263"/>
      <c r="CZ278" s="263"/>
      <c r="DA278" s="263"/>
      <c r="DB278" s="263"/>
      <c r="DC278" s="263"/>
      <c r="DD278" s="263"/>
      <c r="DE278" s="263"/>
      <c r="DF278" s="263"/>
      <c r="DG278" s="263"/>
      <c r="DH278" s="263"/>
      <c r="DI278" s="263"/>
      <c r="DJ278" s="263"/>
      <c r="DK278" s="263"/>
      <c r="DL278" s="263"/>
      <c r="DM278" s="263"/>
      <c r="DN278" s="263"/>
      <c r="DO278" s="263"/>
      <c r="DP278" s="263"/>
      <c r="DQ278" s="263"/>
      <c r="DR278" s="263"/>
      <c r="DS278" s="263"/>
      <c r="DT278" s="263"/>
      <c r="DU278" s="263"/>
      <c r="DV278" s="263"/>
      <c r="DW278" s="263"/>
      <c r="DX278" s="263"/>
      <c r="DY278" s="263"/>
      <c r="DZ278" s="263"/>
      <c r="EA278" s="263"/>
      <c r="EB278" s="263"/>
      <c r="EC278" s="263"/>
      <c r="ED278" s="263"/>
      <c r="EE278" s="263"/>
      <c r="EF278" s="263"/>
      <c r="EG278" s="263"/>
      <c r="EH278" s="263"/>
      <c r="EI278" s="263"/>
      <c r="EJ278" s="263"/>
      <c r="EK278" s="263"/>
      <c r="EL278" s="263"/>
      <c r="EM278" s="263"/>
      <c r="EN278" s="263"/>
      <c r="EO278" s="263"/>
      <c r="EP278" s="263"/>
      <c r="EQ278" s="263"/>
      <c r="ER278" s="263"/>
      <c r="ES278" s="263"/>
      <c r="ET278" s="263"/>
      <c r="EU278" s="263"/>
      <c r="EV278" s="263"/>
      <c r="EW278" s="263"/>
      <c r="EX278" s="263"/>
      <c r="EY278" s="263"/>
      <c r="EZ278" s="263"/>
      <c r="FA278" s="263"/>
      <c r="FB278" s="263"/>
      <c r="FC278" s="263"/>
      <c r="FD278" s="263"/>
      <c r="FE278" s="263"/>
      <c r="FF278" s="263"/>
      <c r="FG278" s="263"/>
      <c r="FH278" s="263"/>
      <c r="FI278" s="263"/>
      <c r="FJ278" s="263"/>
      <c r="FK278" s="263"/>
      <c r="FL278" s="263"/>
      <c r="FM278" s="263"/>
      <c r="FN278" s="263"/>
      <c r="FO278" s="263"/>
      <c r="FP278" s="263"/>
      <c r="FQ278" s="263"/>
      <c r="FR278" s="263"/>
      <c r="FS278" s="263"/>
      <c r="FT278" s="263"/>
      <c r="FU278" s="263"/>
      <c r="FV278" s="263"/>
      <c r="FW278" s="263"/>
      <c r="FX278" s="263"/>
      <c r="FY278" s="263"/>
      <c r="FZ278" s="263"/>
      <c r="GA278" s="263"/>
      <c r="GB278" s="263"/>
      <c r="GC278" s="263"/>
      <c r="GD278" s="263"/>
      <c r="GE278" s="263"/>
      <c r="GF278" s="263"/>
      <c r="GG278" s="263"/>
      <c r="GH278" s="263"/>
      <c r="GI278" s="263"/>
      <c r="GJ278" s="263"/>
      <c r="GK278" s="263"/>
      <c r="GL278" s="263"/>
      <c r="GM278" s="263"/>
      <c r="GN278" s="263"/>
      <c r="GO278" s="263"/>
      <c r="GP278" s="263"/>
      <c r="GQ278" s="263"/>
      <c r="GR278" s="263"/>
      <c r="GS278" s="263"/>
      <c r="GT278" s="263"/>
      <c r="GU278" s="263"/>
      <c r="GV278" s="263"/>
      <c r="GW278" s="263"/>
      <c r="GX278" s="263"/>
      <c r="GY278" s="263"/>
    </row>
    <row r="279" spans="1:207" x14ac:dyDescent="0.15">
      <c r="C279" s="23" t="s">
        <v>410</v>
      </c>
      <c r="G279" s="263"/>
      <c r="H279" s="281"/>
      <c r="I279" s="263"/>
      <c r="J279" s="263"/>
      <c r="K279" s="263"/>
      <c r="L279" s="263"/>
      <c r="M279" s="263"/>
      <c r="N279" s="263"/>
      <c r="O279" s="263"/>
      <c r="P279" s="263"/>
      <c r="Q279" s="263"/>
      <c r="R279" s="263"/>
      <c r="S279" s="263"/>
      <c r="T279" s="263"/>
      <c r="U279" s="263"/>
      <c r="V279" s="263"/>
      <c r="W279" s="263"/>
      <c r="X279" s="263"/>
      <c r="Y279" s="263"/>
      <c r="Z279" s="263"/>
      <c r="AA279" s="263"/>
      <c r="AB279" s="263"/>
      <c r="AC279" s="263"/>
      <c r="AD279" s="263"/>
      <c r="AE279" s="263"/>
      <c r="AF279" s="263"/>
      <c r="AG279" s="263"/>
      <c r="AH279" s="263"/>
      <c r="AI279" s="263"/>
      <c r="AJ279" s="263"/>
      <c r="AK279" s="263"/>
      <c r="AL279" s="263"/>
      <c r="AM279" s="263"/>
      <c r="AN279" s="263"/>
      <c r="AO279" s="263"/>
      <c r="AP279" s="263"/>
      <c r="AQ279" s="263"/>
      <c r="AR279" s="263"/>
      <c r="AS279" s="263"/>
      <c r="AT279" s="263"/>
      <c r="AU279" s="263"/>
      <c r="AV279" s="263"/>
      <c r="AW279" s="263"/>
      <c r="AX279" s="263"/>
      <c r="AY279" s="263"/>
      <c r="AZ279" s="263"/>
      <c r="BA279" s="263"/>
      <c r="BB279" s="263"/>
      <c r="BC279" s="263"/>
      <c r="BD279" s="263"/>
      <c r="BE279" s="263"/>
      <c r="BF279" s="263"/>
      <c r="BG279" s="263"/>
      <c r="BH279" s="263"/>
      <c r="BI279" s="263"/>
      <c r="BJ279" s="263"/>
      <c r="BK279" s="263"/>
      <c r="BL279" s="263"/>
      <c r="BM279" s="263"/>
      <c r="BN279" s="263"/>
      <c r="BO279" s="263"/>
      <c r="BP279" s="263"/>
      <c r="BQ279" s="263"/>
      <c r="BR279" s="263"/>
      <c r="BS279" s="263"/>
      <c r="BT279" s="263"/>
      <c r="BU279" s="263"/>
      <c r="BV279" s="263"/>
      <c r="BW279" s="263"/>
      <c r="BX279" s="263"/>
      <c r="BY279" s="263"/>
      <c r="BZ279" s="263"/>
      <c r="CA279" s="263"/>
      <c r="CB279" s="263"/>
      <c r="CC279" s="263"/>
      <c r="CD279" s="263"/>
      <c r="CE279" s="263"/>
      <c r="CF279" s="263"/>
      <c r="CG279" s="263"/>
      <c r="CH279" s="263"/>
      <c r="CI279" s="263"/>
      <c r="CJ279" s="263"/>
      <c r="CK279" s="263"/>
      <c r="CL279" s="263"/>
      <c r="CM279" s="263"/>
      <c r="CN279" s="263"/>
      <c r="CO279" s="263"/>
      <c r="CP279" s="263"/>
      <c r="CQ279" s="263"/>
      <c r="CR279" s="263"/>
      <c r="CS279" s="263"/>
      <c r="CT279" s="263"/>
      <c r="CU279" s="263"/>
      <c r="CV279" s="263"/>
      <c r="CW279" s="263"/>
      <c r="CX279" s="263"/>
      <c r="CY279" s="263"/>
      <c r="CZ279" s="263"/>
      <c r="DA279" s="263"/>
      <c r="DB279" s="263"/>
      <c r="DC279" s="263"/>
      <c r="DD279" s="263"/>
      <c r="DE279" s="263"/>
      <c r="DF279" s="263"/>
      <c r="DG279" s="263"/>
      <c r="DH279" s="263"/>
      <c r="DI279" s="263"/>
      <c r="DJ279" s="263"/>
      <c r="DK279" s="263"/>
      <c r="DL279" s="263"/>
      <c r="DM279" s="263"/>
      <c r="DN279" s="263"/>
      <c r="DO279" s="263"/>
      <c r="DP279" s="263"/>
      <c r="DQ279" s="263"/>
      <c r="DR279" s="263"/>
      <c r="DS279" s="263"/>
      <c r="DT279" s="263"/>
      <c r="DU279" s="263"/>
      <c r="DV279" s="263"/>
      <c r="DW279" s="263"/>
      <c r="DX279" s="263"/>
      <c r="DY279" s="263"/>
      <c r="DZ279" s="263"/>
      <c r="EA279" s="263"/>
      <c r="EB279" s="263"/>
      <c r="EC279" s="263"/>
      <c r="ED279" s="263"/>
      <c r="EE279" s="263"/>
      <c r="EF279" s="263"/>
      <c r="EG279" s="263"/>
      <c r="EH279" s="263"/>
      <c r="EI279" s="263"/>
      <c r="EJ279" s="263"/>
      <c r="EK279" s="263"/>
      <c r="EL279" s="263"/>
      <c r="EM279" s="263"/>
      <c r="EN279" s="263"/>
      <c r="EO279" s="263"/>
      <c r="EP279" s="263"/>
      <c r="EQ279" s="263"/>
      <c r="ER279" s="263"/>
      <c r="ES279" s="263"/>
      <c r="ET279" s="263"/>
      <c r="EU279" s="263"/>
      <c r="EV279" s="263"/>
      <c r="EW279" s="263"/>
      <c r="EX279" s="263"/>
      <c r="EY279" s="263"/>
      <c r="EZ279" s="263"/>
      <c r="FA279" s="263"/>
      <c r="FB279" s="263"/>
      <c r="FC279" s="263"/>
      <c r="FD279" s="263"/>
      <c r="FE279" s="263"/>
      <c r="FF279" s="263"/>
      <c r="FG279" s="263"/>
      <c r="FH279" s="263"/>
      <c r="FI279" s="263"/>
      <c r="FJ279" s="263"/>
      <c r="FK279" s="263"/>
      <c r="FL279" s="263"/>
      <c r="FM279" s="263"/>
      <c r="FN279" s="263"/>
      <c r="FO279" s="263"/>
      <c r="FP279" s="263"/>
      <c r="FQ279" s="263"/>
      <c r="FR279" s="263"/>
      <c r="FS279" s="263"/>
      <c r="FT279" s="263"/>
      <c r="FU279" s="263"/>
      <c r="FV279" s="263"/>
      <c r="FW279" s="263"/>
      <c r="FX279" s="263"/>
      <c r="FY279" s="263"/>
      <c r="FZ279" s="263"/>
      <c r="GA279" s="263"/>
      <c r="GB279" s="263"/>
      <c r="GC279" s="263"/>
      <c r="GD279" s="263"/>
      <c r="GE279" s="263"/>
      <c r="GF279" s="263"/>
      <c r="GG279" s="263"/>
      <c r="GH279" s="263"/>
      <c r="GI279" s="263"/>
      <c r="GJ279" s="263"/>
      <c r="GK279" s="263"/>
      <c r="GL279" s="263"/>
      <c r="GM279" s="263"/>
      <c r="GN279" s="263"/>
      <c r="GO279" s="263"/>
      <c r="GP279" s="263"/>
      <c r="GQ279" s="263"/>
      <c r="GR279" s="263"/>
      <c r="GS279" s="263"/>
      <c r="GT279" s="263"/>
      <c r="GU279" s="263"/>
      <c r="GV279" s="263"/>
      <c r="GW279" s="263"/>
      <c r="GX279" s="263"/>
      <c r="GY279" s="263"/>
    </row>
    <row r="280" spans="1:207" x14ac:dyDescent="0.15">
      <c r="A280" s="300"/>
      <c r="C280" s="23"/>
      <c r="D280" s="26" t="s">
        <v>411</v>
      </c>
      <c r="F280" s="80"/>
      <c r="G280" s="263">
        <f ca="1">IF(G$7&gt;SAP_Leadsheet!$E$21,0,G181*SAP_Leadsheet!$S103)</f>
        <v>2.4311080044447108E-2</v>
      </c>
      <c r="H280" s="263">
        <f ca="1">IF(H$7&gt;SAP_Leadsheet!$E$21,0,H181*SAP_Leadsheet!$S103)</f>
        <v>4.2854189764466775E-2</v>
      </c>
      <c r="I280" s="263">
        <f ca="1">IF(I$7&gt;SAP_Leadsheet!$E$21,0,I181*SAP_Leadsheet!$S103)</f>
        <v>5.0409684538960997E-2</v>
      </c>
      <c r="J280" s="263">
        <f ca="1">IF(J$7&gt;SAP_Leadsheet!$E$21,0,J181*SAP_Leadsheet!$S103)</f>
        <v>5.0145547592013104E-2</v>
      </c>
      <c r="K280" s="263">
        <f ca="1">IF(K$7&gt;SAP_Leadsheet!$E$21,0,K181*SAP_Leadsheet!$S103)</f>
        <v>4.6109849549855225E-2</v>
      </c>
      <c r="L280" s="263">
        <f ca="1">IF(L$7&gt;SAP_Leadsheet!$E$21,0,L181*SAP_Leadsheet!$S103)</f>
        <v>4.096544853072031E-2</v>
      </c>
      <c r="M280" s="263">
        <f ca="1">IF(M$7&gt;SAP_Leadsheet!$E$21,0,M181*SAP_Leadsheet!$S103)</f>
        <v>3.4714778078176044E-2</v>
      </c>
      <c r="N280" s="263">
        <f ca="1">IF(N$7&gt;SAP_Leadsheet!$E$21,0,N181*SAP_Leadsheet!$S103)</f>
        <v>3.0112125367962324E-2</v>
      </c>
      <c r="O280" s="263">
        <f ca="1">IF(O$7&gt;SAP_Leadsheet!$E$21,0,O181*SAP_Leadsheet!$S103)</f>
        <v>2.636074675991994E-2</v>
      </c>
      <c r="P280" s="263">
        <f ca="1">IF(P$7&gt;SAP_Leadsheet!$E$21,0,P181*SAP_Leadsheet!$S103)</f>
        <v>2.324670918667578E-2</v>
      </c>
      <c r="Q280" s="263">
        <f ca="1">IF(Q$7&gt;SAP_Leadsheet!$E$21,0,Q181*SAP_Leadsheet!$S103)</f>
        <v>2.0964810244355914E-2</v>
      </c>
      <c r="R280" s="263">
        <f ca="1">IF(R$7&gt;SAP_Leadsheet!$E$21,0,R181*SAP_Leadsheet!$S103)</f>
        <v>1.9554006874405075E-2</v>
      </c>
      <c r="S280" s="263">
        <f ca="1">IF(S$7&gt;SAP_Leadsheet!$E$21,0,S181*SAP_Leadsheet!$S103)</f>
        <v>2.0073554193240129E-2</v>
      </c>
      <c r="T280" s="263">
        <f ca="1">IF(T$7&gt;SAP_Leadsheet!$E$21,0,T181*SAP_Leadsheet!$S103)</f>
        <v>2.3099985946618121E-2</v>
      </c>
      <c r="U280" s="263">
        <f ca="1">IF(U$7&gt;SAP_Leadsheet!$E$21,0,U181*SAP_Leadsheet!$S103)</f>
        <v>2.382145374192805E-2</v>
      </c>
      <c r="V280" s="263">
        <f ca="1">IF(V$7&gt;SAP_Leadsheet!$E$21,0,V181*SAP_Leadsheet!$S103)</f>
        <v>2.2681511527870405E-2</v>
      </c>
      <c r="W280" s="263">
        <f ca="1">IF(W$7&gt;SAP_Leadsheet!$E$21,0,W181*SAP_Leadsheet!$S103)</f>
        <v>2.2969180171762259E-2</v>
      </c>
      <c r="X280" s="263">
        <f ca="1">IF(X$7&gt;SAP_Leadsheet!$E$21,0,X181*SAP_Leadsheet!$S103)</f>
        <v>2.3541988362850583E-2</v>
      </c>
      <c r="Y280" s="263">
        <f ca="1">IF(Y$7&gt;SAP_Leadsheet!$E$21,0,Y181*SAP_Leadsheet!$S103)</f>
        <v>2.384880161464336E-2</v>
      </c>
      <c r="Z280" s="263">
        <f ca="1">IF(Z$7&gt;SAP_Leadsheet!$E$21,0,Z181*SAP_Leadsheet!$S103)</f>
        <v>2.3769362704961741E-2</v>
      </c>
      <c r="AA280" s="263">
        <f ca="1">IF(AA$7&gt;SAP_Leadsheet!$E$21,0,AA181*SAP_Leadsheet!$S103)</f>
        <v>2.3269292421849403E-2</v>
      </c>
      <c r="AB280" s="263">
        <f ca="1">IF(AB$7&gt;SAP_Leadsheet!$E$21,0,AB181*SAP_Leadsheet!$S103)</f>
        <v>2.2471604310999323E-2</v>
      </c>
      <c r="AC280" s="263">
        <f ca="1">IF(AC$7&gt;SAP_Leadsheet!$E$21,0,AC181*SAP_Leadsheet!$S103)</f>
        <v>2.2467194483985882E-2</v>
      </c>
      <c r="AD280" s="263">
        <f ca="1">IF(AD$7&gt;SAP_Leadsheet!$E$21,0,AD181*SAP_Leadsheet!$S103)</f>
        <v>2.1444507239070203E-2</v>
      </c>
      <c r="AE280" s="263">
        <f ca="1">IF(AE$7&gt;SAP_Leadsheet!$E$21,0,AE181*SAP_Leadsheet!$S103)</f>
        <v>2.1882626541383718E-2</v>
      </c>
      <c r="AF280" s="263">
        <f ca="1">IF(AF$7&gt;SAP_Leadsheet!$E$21,0,AF181*SAP_Leadsheet!$S103)</f>
        <v>2.322842986196182E-2</v>
      </c>
      <c r="AG280" s="263">
        <f ca="1">IF(AG$7&gt;SAP_Leadsheet!$E$21,0,AG181*SAP_Leadsheet!$S103)</f>
        <v>2.4059704978208335E-2</v>
      </c>
      <c r="AH280" s="263">
        <f ca="1">IF(AH$7&gt;SAP_Leadsheet!$E$21,0,AH181*SAP_Leadsheet!$S103)</f>
        <v>2.4178055585388051E-2</v>
      </c>
      <c r="AI280" s="263">
        <f ca="1">IF(AI$7&gt;SAP_Leadsheet!$E$21,0,AI181*SAP_Leadsheet!$S103)</f>
        <v>2.3830002257003727E-2</v>
      </c>
      <c r="AJ280" s="263">
        <f ca="1">IF(AJ$7&gt;SAP_Leadsheet!$E$21,0,AJ181*SAP_Leadsheet!$S103)</f>
        <v>2.327578063604854E-2</v>
      </c>
      <c r="AK280" s="263">
        <f ca="1">IF(AK$7&gt;SAP_Leadsheet!$E$21,0,AK181*SAP_Leadsheet!$S103)</f>
        <v>2.2664384808057964E-2</v>
      </c>
      <c r="AL280" s="263">
        <f ca="1">IF(AL$7&gt;SAP_Leadsheet!$E$21,0,AL181*SAP_Leadsheet!$S103)</f>
        <v>2.2810762743740141E-2</v>
      </c>
      <c r="AM280" s="263">
        <f ca="1">IF(AM$7&gt;SAP_Leadsheet!$E$21,0,AM181*SAP_Leadsheet!$S103)</f>
        <v>2.2095369978774718E-2</v>
      </c>
      <c r="AN280" s="263">
        <f ca="1">IF(AN$7&gt;SAP_Leadsheet!$E$21,0,AN181*SAP_Leadsheet!$S103)</f>
        <v>2.1191519252767278E-2</v>
      </c>
      <c r="AO280" s="263">
        <f ca="1">IF(AO$7&gt;SAP_Leadsheet!$E$21,0,AO181*SAP_Leadsheet!$S103)</f>
        <v>2.0358092350247357E-2</v>
      </c>
      <c r="AP280" s="263">
        <f ca="1">IF(AP$7&gt;SAP_Leadsheet!$E$21,0,AP181*SAP_Leadsheet!$S103)</f>
        <v>1.9647930770073947E-2</v>
      </c>
      <c r="AQ280" s="263">
        <f ca="1">IF(AQ$7&gt;SAP_Leadsheet!$E$21,0,AQ181*SAP_Leadsheet!$S103)</f>
        <v>1.921301486806247E-2</v>
      </c>
      <c r="AR280" s="263">
        <f ca="1">IF(AR$7&gt;SAP_Leadsheet!$E$21,0,AR181*SAP_Leadsheet!$S103)</f>
        <v>1.8857588982867827E-2</v>
      </c>
      <c r="AS280" s="263">
        <f ca="1">IF(AS$7&gt;SAP_Leadsheet!$E$21,0,AS181*SAP_Leadsheet!$S103)</f>
        <v>1.8540624302763261E-2</v>
      </c>
      <c r="AT280" s="263">
        <f ca="1">IF(AT$7&gt;SAP_Leadsheet!$E$21,0,AT181*SAP_Leadsheet!$S103)</f>
        <v>1.8231388855276393E-2</v>
      </c>
      <c r="AU280" s="263">
        <f ca="1">IF(AU$7&gt;SAP_Leadsheet!$E$21,0,AU181*SAP_Leadsheet!$S103)</f>
        <v>1.7918132513360198E-2</v>
      </c>
      <c r="AV280" s="263">
        <f ca="1">IF(AV$7&gt;SAP_Leadsheet!$E$21,0,AV181*SAP_Leadsheet!$S103)</f>
        <v>1.7599168820319283E-2</v>
      </c>
      <c r="AW280" s="263">
        <f ca="1">IF(AW$7&gt;SAP_Leadsheet!$E$21,0,AW181*SAP_Leadsheet!$S103)</f>
        <v>1.7271915909993406E-2</v>
      </c>
      <c r="AX280" s="263">
        <f ca="1">IF(AX$7&gt;SAP_Leadsheet!$E$21,0,AX181*SAP_Leadsheet!$S103)</f>
        <v>1.6932353036780534E-2</v>
      </c>
      <c r="AY280" s="263">
        <f ca="1">IF(AY$7&gt;SAP_Leadsheet!$E$21,0,AY181*SAP_Leadsheet!$S103)</f>
        <v>1.6567337156799183E-2</v>
      </c>
      <c r="AZ280" s="263">
        <f ca="1">IF(AZ$7&gt;SAP_Leadsheet!$E$21,0,AZ181*SAP_Leadsheet!$S103)</f>
        <v>1.6164682346867083E-2</v>
      </c>
      <c r="BA280" s="263">
        <f ca="1">IF(BA$7&gt;SAP_Leadsheet!$E$21,0,BA181*SAP_Leadsheet!$S103)</f>
        <v>1.5736563570298123E-2</v>
      </c>
      <c r="BB280" s="263">
        <f ca="1">IF(BB$7&gt;SAP_Leadsheet!$E$21,0,BB181*SAP_Leadsheet!$S103)</f>
        <v>1.5296957833960729E-2</v>
      </c>
      <c r="BC280" s="263">
        <f ca="1">IF(BC$7&gt;SAP_Leadsheet!$E$21,0,BC181*SAP_Leadsheet!$S103)</f>
        <v>1.4913551161233066E-2</v>
      </c>
      <c r="BD280" s="263">
        <f ca="1">IF(BD$7&gt;SAP_Leadsheet!$E$21,0,BD181*SAP_Leadsheet!$S103)</f>
        <v>1.4531091607963505E-2</v>
      </c>
      <c r="BE280" s="263">
        <f ca="1">IF(BE$7&gt;SAP_Leadsheet!$E$21,0,BE181*SAP_Leadsheet!$S103)</f>
        <v>1.4152017601787753E-2</v>
      </c>
      <c r="BF280" s="263">
        <f ca="1">IF(BF$7&gt;SAP_Leadsheet!$E$21,0,BF181*SAP_Leadsheet!$S103)</f>
        <v>1.3774732074004939E-2</v>
      </c>
      <c r="BG280" s="263">
        <f ca="1">IF(BG$7&gt;SAP_Leadsheet!$E$21,0,BG181*SAP_Leadsheet!$S103)</f>
        <v>1.3398255511543325E-2</v>
      </c>
      <c r="BH280" s="263">
        <f ca="1">IF(BH$7&gt;SAP_Leadsheet!$E$21,0,BH181*SAP_Leadsheet!$S103)</f>
        <v>1.302140427825073E-2</v>
      </c>
      <c r="BI280" s="263">
        <f ca="1">IF(BI$7&gt;SAP_Leadsheet!$E$21,0,BI181*SAP_Leadsheet!$S103)</f>
        <v>1.2643604437282381E-2</v>
      </c>
      <c r="BJ280" s="263">
        <f ca="1">IF(BJ$7&gt;SAP_Leadsheet!$E$21,0,BJ181*SAP_Leadsheet!$S103)</f>
        <v>1.2264766942980631E-2</v>
      </c>
      <c r="BK280" s="263">
        <f ca="1">IF(BK$7&gt;SAP_Leadsheet!$E$21,0,BK181*SAP_Leadsheet!$S103)</f>
        <v>1.1880433368048454E-2</v>
      </c>
      <c r="BL280" s="263">
        <f ca="1">IF(BL$7&gt;SAP_Leadsheet!$E$21,0,BL181*SAP_Leadsheet!$S103)</f>
        <v>1.1483347152274719E-2</v>
      </c>
      <c r="BM280" s="263">
        <f ca="1">IF(BM$7&gt;SAP_Leadsheet!$E$21,0,BM181*SAP_Leadsheet!$S103)</f>
        <v>1.1076912558691945E-2</v>
      </c>
      <c r="BN280" s="263">
        <f ca="1">IF(BN$7&gt;SAP_Leadsheet!$E$21,0,BN181*SAP_Leadsheet!$S103)</f>
        <v>1.0665918773052719E-2</v>
      </c>
      <c r="BO280" s="263"/>
      <c r="BP280" s="263"/>
      <c r="BQ280" s="263"/>
      <c r="BR280" s="263"/>
      <c r="BS280" s="263"/>
      <c r="BT280" s="263"/>
      <c r="BU280" s="263"/>
      <c r="BV280" s="263"/>
      <c r="BW280" s="263"/>
      <c r="BX280" s="263"/>
      <c r="BY280" s="263"/>
      <c r="BZ280" s="263"/>
      <c r="CA280" s="263"/>
      <c r="CB280" s="263"/>
      <c r="CC280" s="263"/>
      <c r="CD280" s="263"/>
      <c r="CE280" s="263"/>
      <c r="CF280" s="263"/>
      <c r="CG280" s="263"/>
      <c r="CH280" s="263"/>
      <c r="CI280" s="263"/>
      <c r="CJ280" s="263"/>
      <c r="CK280" s="263"/>
      <c r="CL280" s="263"/>
      <c r="CM280" s="263"/>
      <c r="CN280" s="263"/>
      <c r="CO280" s="263"/>
      <c r="CP280" s="263"/>
      <c r="CQ280" s="263"/>
      <c r="CR280" s="263"/>
      <c r="CS280" s="263"/>
      <c r="CT280" s="263"/>
      <c r="CU280" s="263"/>
      <c r="CV280" s="263"/>
      <c r="CW280" s="263"/>
      <c r="CX280" s="263"/>
      <c r="CY280" s="263"/>
      <c r="CZ280" s="263"/>
      <c r="DA280" s="263"/>
      <c r="DB280" s="263"/>
      <c r="DC280" s="263"/>
      <c r="DD280" s="263"/>
      <c r="DE280" s="263"/>
      <c r="DF280" s="263"/>
      <c r="DG280" s="263"/>
      <c r="DH280" s="263"/>
      <c r="DI280" s="263"/>
      <c r="DJ280" s="263"/>
      <c r="DK280" s="263"/>
      <c r="DL280" s="263"/>
      <c r="DM280" s="263"/>
      <c r="DN280" s="263"/>
      <c r="DO280" s="263"/>
      <c r="DP280" s="263"/>
      <c r="DQ280" s="263"/>
      <c r="DR280" s="263"/>
      <c r="DS280" s="263"/>
      <c r="DT280" s="263"/>
      <c r="DU280" s="263"/>
      <c r="DV280" s="263"/>
      <c r="DW280" s="263"/>
      <c r="DX280" s="263"/>
      <c r="DY280" s="263"/>
      <c r="DZ280" s="263"/>
      <c r="EA280" s="263"/>
      <c r="EB280" s="263"/>
      <c r="EC280" s="263"/>
      <c r="ED280" s="263"/>
      <c r="EE280" s="263"/>
      <c r="EF280" s="263"/>
      <c r="EG280" s="263"/>
      <c r="EH280" s="263"/>
      <c r="EI280" s="263"/>
      <c r="EJ280" s="263"/>
      <c r="EK280" s="263"/>
      <c r="EL280" s="263"/>
      <c r="EM280" s="263"/>
      <c r="EN280" s="263"/>
      <c r="EO280" s="263"/>
      <c r="EP280" s="263"/>
      <c r="EQ280" s="263"/>
      <c r="ER280" s="263"/>
      <c r="ES280" s="263"/>
      <c r="ET280" s="263"/>
      <c r="EU280" s="263"/>
      <c r="EV280" s="263"/>
      <c r="EW280" s="263"/>
      <c r="EX280" s="263"/>
      <c r="EY280" s="263"/>
      <c r="EZ280" s="263"/>
      <c r="FA280" s="263"/>
      <c r="FB280" s="263"/>
      <c r="FC280" s="263"/>
      <c r="FD280" s="263"/>
      <c r="FE280" s="263"/>
      <c r="FF280" s="263"/>
      <c r="FG280" s="263"/>
      <c r="FH280" s="263"/>
      <c r="FI280" s="263"/>
      <c r="FJ280" s="263"/>
      <c r="FK280" s="263"/>
      <c r="FL280" s="263"/>
      <c r="FM280" s="263"/>
      <c r="FN280" s="263"/>
      <c r="FO280" s="263"/>
      <c r="FP280" s="263"/>
      <c r="FQ280" s="263"/>
      <c r="FR280" s="263"/>
      <c r="FS280" s="263"/>
      <c r="FT280" s="263"/>
      <c r="FU280" s="263"/>
      <c r="FV280" s="263"/>
      <c r="FW280" s="263"/>
      <c r="FX280" s="263"/>
      <c r="FY280" s="263"/>
      <c r="FZ280" s="263"/>
      <c r="GA280" s="263"/>
      <c r="GB280" s="263"/>
      <c r="GC280" s="263"/>
      <c r="GD280" s="263"/>
      <c r="GE280" s="263"/>
      <c r="GF280" s="263"/>
      <c r="GG280" s="263"/>
      <c r="GH280" s="263"/>
      <c r="GI280" s="263"/>
      <c r="GJ280" s="263"/>
      <c r="GK280" s="263"/>
      <c r="GL280" s="263"/>
      <c r="GM280" s="263"/>
      <c r="GN280" s="263"/>
      <c r="GO280" s="263"/>
      <c r="GP280" s="263"/>
      <c r="GQ280" s="263"/>
      <c r="GR280" s="263"/>
      <c r="GS280" s="263"/>
      <c r="GT280" s="263"/>
      <c r="GU280" s="263"/>
      <c r="GV280" s="263"/>
      <c r="GW280" s="263"/>
      <c r="GX280" s="263"/>
      <c r="GY280" s="263"/>
    </row>
    <row r="281" spans="1:207" x14ac:dyDescent="0.15">
      <c r="A281" s="62"/>
      <c r="C281" s="23"/>
      <c r="D281" s="26" t="s">
        <v>412</v>
      </c>
      <c r="F281" s="80"/>
      <c r="G281" s="301">
        <f>IF(G$7&gt;SAP_Leadsheet!$E$21,0,G182*SAP_Leadsheet!$S104)</f>
        <v>0</v>
      </c>
      <c r="H281" s="263">
        <f ca="1">IF(H$7&gt;SAP_Leadsheet!$E$21,0,H182*SAP_Leadsheet!$S104)</f>
        <v>2.4311080044447105E-2</v>
      </c>
      <c r="I281" s="263">
        <f ca="1">IF(I$7&gt;SAP_Leadsheet!$E$21,0,I182*SAP_Leadsheet!$S104)</f>
        <v>4.2854189764466775E-2</v>
      </c>
      <c r="J281" s="263">
        <f ca="1">IF(J$7&gt;SAP_Leadsheet!$E$21,0,J182*SAP_Leadsheet!$S104)</f>
        <v>5.0409684538960997E-2</v>
      </c>
      <c r="K281" s="263">
        <f ca="1">IF(K$7&gt;SAP_Leadsheet!$E$21,0,K182*SAP_Leadsheet!$S104)</f>
        <v>5.0145547592013097E-2</v>
      </c>
      <c r="L281" s="263">
        <f ca="1">IF(L$7&gt;SAP_Leadsheet!$E$21,0,L182*SAP_Leadsheet!$S104)</f>
        <v>4.6109849549855225E-2</v>
      </c>
      <c r="M281" s="263">
        <f ca="1">IF(M$7&gt;SAP_Leadsheet!$E$21,0,M182*SAP_Leadsheet!$S104)</f>
        <v>4.0965448530720303E-2</v>
      </c>
      <c r="N281" s="263">
        <f ca="1">IF(N$7&gt;SAP_Leadsheet!$E$21,0,N182*SAP_Leadsheet!$S104)</f>
        <v>3.4714778078176037E-2</v>
      </c>
      <c r="O281" s="263">
        <f ca="1">IF(O$7&gt;SAP_Leadsheet!$E$21,0,O182*SAP_Leadsheet!$S104)</f>
        <v>3.011212536796232E-2</v>
      </c>
      <c r="P281" s="263">
        <f ca="1">IF(P$7&gt;SAP_Leadsheet!$E$21,0,P182*SAP_Leadsheet!$S104)</f>
        <v>2.636074675991994E-2</v>
      </c>
      <c r="Q281" s="263">
        <f ca="1">IF(Q$7&gt;SAP_Leadsheet!$E$21,0,Q182*SAP_Leadsheet!$S104)</f>
        <v>2.3246709186675776E-2</v>
      </c>
      <c r="R281" s="263">
        <f ca="1">IF(R$7&gt;SAP_Leadsheet!$E$21,0,R182*SAP_Leadsheet!$S104)</f>
        <v>2.0964810244355911E-2</v>
      </c>
      <c r="S281" s="263">
        <f ca="1">IF(S$7&gt;SAP_Leadsheet!$E$21,0,S182*SAP_Leadsheet!$S104)</f>
        <v>1.0529080624679657E-2</v>
      </c>
      <c r="T281" s="263">
        <f ca="1">IF(T$7&gt;SAP_Leadsheet!$E$21,0,T182*SAP_Leadsheet!$S104)</f>
        <v>1.0808836873283146E-2</v>
      </c>
      <c r="U281" s="263">
        <f ca="1">IF(U$7&gt;SAP_Leadsheet!$E$21,0,U182*SAP_Leadsheet!$S104)</f>
        <v>1.2438453971255911E-2</v>
      </c>
      <c r="V281" s="263">
        <f ca="1">IF(V$7&gt;SAP_Leadsheet!$E$21,0,V182*SAP_Leadsheet!$S104)</f>
        <v>1.2826936630268949E-2</v>
      </c>
      <c r="W281" s="263">
        <f ca="1">IF(W$7&gt;SAP_Leadsheet!$E$21,0,W182*SAP_Leadsheet!$S104)</f>
        <v>1.2213121591930219E-2</v>
      </c>
      <c r="X281" s="263">
        <f ca="1">IF(X$7&gt;SAP_Leadsheet!$E$21,0,X182*SAP_Leadsheet!$S104)</f>
        <v>1.2368020092487371E-2</v>
      </c>
      <c r="Y281" s="263">
        <f ca="1">IF(Y$7&gt;SAP_Leadsheet!$E$21,0,Y182*SAP_Leadsheet!$S104)</f>
        <v>1.2676455272304162E-2</v>
      </c>
      <c r="Z281" s="263">
        <f ca="1">IF(Z$7&gt;SAP_Leadsheet!$E$21,0,Z182*SAP_Leadsheet!$S104)</f>
        <v>1.2841662407884886E-2</v>
      </c>
      <c r="AA281" s="263">
        <f ca="1">IF(AA$7&gt;SAP_Leadsheet!$E$21,0,AA182*SAP_Leadsheet!$S104)</f>
        <v>1.2798887610364015E-2</v>
      </c>
      <c r="AB281" s="263">
        <f ca="1">IF(AB$7&gt;SAP_Leadsheet!$E$21,0,AB182*SAP_Leadsheet!$S104)</f>
        <v>1.2529618996380448E-2</v>
      </c>
      <c r="AC281" s="263">
        <f ca="1">IF(AC$7&gt;SAP_Leadsheet!$E$21,0,AC182*SAP_Leadsheet!$S104)</f>
        <v>1.2100094628999634E-2</v>
      </c>
      <c r="AD281" s="263">
        <f ca="1">IF(AD$7&gt;SAP_Leadsheet!$E$21,0,AD182*SAP_Leadsheet!$S104)</f>
        <v>1.2097720106761628E-2</v>
      </c>
      <c r="AE281" s="263">
        <f ca="1">IF(AE$7&gt;SAP_Leadsheet!$E$21,0,AE182*SAP_Leadsheet!$S104)</f>
        <v>9.8974648795708605E-3</v>
      </c>
      <c r="AF281" s="263">
        <f ca="1">IF(AF$7&gt;SAP_Leadsheet!$E$21,0,AF182*SAP_Leadsheet!$S104)</f>
        <v>1.0099673788330946E-2</v>
      </c>
      <c r="AG281" s="263">
        <f ca="1">IF(AG$7&gt;SAP_Leadsheet!$E$21,0,AG182*SAP_Leadsheet!$S104)</f>
        <v>1.0720813782443914E-2</v>
      </c>
      <c r="AH281" s="263">
        <f ca="1">IF(AH$7&gt;SAP_Leadsheet!$E$21,0,AH182*SAP_Leadsheet!$S104)</f>
        <v>1.1104479220711538E-2</v>
      </c>
      <c r="AI281" s="263">
        <f ca="1">IF(AI$7&gt;SAP_Leadsheet!$E$21,0,AI182*SAP_Leadsheet!$S104)</f>
        <v>1.1159102577871406E-2</v>
      </c>
      <c r="AJ281" s="263">
        <f ca="1">IF(AJ$7&gt;SAP_Leadsheet!$E$21,0,AJ182*SAP_Leadsheet!$S104)</f>
        <v>1.0998462580155565E-2</v>
      </c>
      <c r="AK281" s="263">
        <f ca="1">IF(AK$7&gt;SAP_Leadsheet!$E$21,0,AK182*SAP_Leadsheet!$S104)</f>
        <v>1.0742667985868554E-2</v>
      </c>
      <c r="AL281" s="263">
        <f ca="1">IF(AL$7&gt;SAP_Leadsheet!$E$21,0,AL182*SAP_Leadsheet!$S104)</f>
        <v>1.046048529602675E-2</v>
      </c>
      <c r="AM281" s="263">
        <f ca="1">IF(AM$7&gt;SAP_Leadsheet!$E$21,0,AM182*SAP_Leadsheet!$S104)</f>
        <v>1.0528044343264679E-2</v>
      </c>
      <c r="AN281" s="263">
        <f ca="1">IF(AN$7&gt;SAP_Leadsheet!$E$21,0,AN182*SAP_Leadsheet!$S104)</f>
        <v>1.019786306712679E-2</v>
      </c>
      <c r="AO281" s="263">
        <f ca="1">IF(AO$7&gt;SAP_Leadsheet!$E$21,0,AO182*SAP_Leadsheet!$S104)</f>
        <v>9.7807011935848974E-3</v>
      </c>
      <c r="AP281" s="263">
        <f ca="1">IF(AP$7&gt;SAP_Leadsheet!$E$21,0,AP182*SAP_Leadsheet!$S104)</f>
        <v>9.3960426231910858E-3</v>
      </c>
      <c r="AQ281" s="263">
        <f ca="1">IF(AQ$7&gt;SAP_Leadsheet!$E$21,0,AQ182*SAP_Leadsheet!$S104)</f>
        <v>7.5568964500284394E-3</v>
      </c>
      <c r="AR281" s="263">
        <f ca="1">IF(AR$7&gt;SAP_Leadsheet!$E$21,0,AR182*SAP_Leadsheet!$S104)</f>
        <v>7.3896211031009486E-3</v>
      </c>
      <c r="AS281" s="263">
        <f ca="1">IF(AS$7&gt;SAP_Leadsheet!$E$21,0,AS182*SAP_Leadsheet!$S104)</f>
        <v>7.2529188395645487E-3</v>
      </c>
      <c r="AT281" s="263">
        <f ca="1">IF(AT$7&gt;SAP_Leadsheet!$E$21,0,AT182*SAP_Leadsheet!$S104)</f>
        <v>7.131009347216638E-3</v>
      </c>
      <c r="AU281" s="263">
        <f ca="1">IF(AU$7&gt;SAP_Leadsheet!$E$21,0,AU182*SAP_Leadsheet!$S104)</f>
        <v>7.0120726366447667E-3</v>
      </c>
      <c r="AV281" s="263">
        <f ca="1">IF(AV$7&gt;SAP_Leadsheet!$E$21,0,AV182*SAP_Leadsheet!$S104)</f>
        <v>6.8915894282154605E-3</v>
      </c>
      <c r="AW281" s="263">
        <f ca="1">IF(AW$7&gt;SAP_Leadsheet!$E$21,0,AW182*SAP_Leadsheet!$S104)</f>
        <v>6.7689110847381851E-3</v>
      </c>
      <c r="AX281" s="263">
        <f ca="1">IF(AX$7&gt;SAP_Leadsheet!$E$21,0,AX182*SAP_Leadsheet!$S104)</f>
        <v>6.643044580766695E-3</v>
      </c>
      <c r="AY281" s="263">
        <f ca="1">IF(AY$7&gt;SAP_Leadsheet!$E$21,0,AY182*SAP_Leadsheet!$S104)</f>
        <v>6.5124434756848211E-3</v>
      </c>
      <c r="AZ281" s="263">
        <f ca="1">IF(AZ$7&gt;SAP_Leadsheet!$E$21,0,AZ182*SAP_Leadsheet!$S104)</f>
        <v>6.3720527526150697E-3</v>
      </c>
      <c r="BA281" s="263">
        <f ca="1">IF(BA$7&gt;SAP_Leadsheet!$E$21,0,BA182*SAP_Leadsheet!$S104)</f>
        <v>6.2171855180258011E-3</v>
      </c>
      <c r="BB281" s="263">
        <f ca="1">IF(BB$7&gt;SAP_Leadsheet!$E$21,0,BB182*SAP_Leadsheet!$S104)</f>
        <v>6.0525244501146627E-3</v>
      </c>
      <c r="BC281" s="263">
        <f ca="1">IF(BC$7&gt;SAP_Leadsheet!$E$21,0,BC182*SAP_Leadsheet!$S104)</f>
        <v>5.1774318822636299E-3</v>
      </c>
      <c r="BD281" s="263">
        <f ca="1">IF(BD$7&gt;SAP_Leadsheet!$E$21,0,BD182*SAP_Leadsheet!$S104)</f>
        <v>5.047663469955806E-3</v>
      </c>
      <c r="BE281" s="263">
        <f ca="1">IF(BE$7&gt;SAP_Leadsheet!$E$21,0,BE182*SAP_Leadsheet!$S104)</f>
        <v>4.9182156211568786E-3</v>
      </c>
      <c r="BF281" s="263">
        <f ca="1">IF(BF$7&gt;SAP_Leadsheet!$E$21,0,BF182*SAP_Leadsheet!$S104)</f>
        <v>4.7899136498358542E-3</v>
      </c>
      <c r="BG281" s="263">
        <f ca="1">IF(BG$7&gt;SAP_Leadsheet!$E$21,0,BG182*SAP_Leadsheet!$S104)</f>
        <v>4.6622170096632092E-3</v>
      </c>
      <c r="BH281" s="263">
        <f ca="1">IF(BH$7&gt;SAP_Leadsheet!$E$21,0,BH182*SAP_Leadsheet!$S104)</f>
        <v>4.5347941731377394E-3</v>
      </c>
      <c r="BI281" s="263">
        <f ca="1">IF(BI$7&gt;SAP_Leadsheet!$E$21,0,BI182*SAP_Leadsheet!$S104)</f>
        <v>4.4072445249464E-3</v>
      </c>
      <c r="BJ281" s="263">
        <f ca="1">IF(BJ$7&gt;SAP_Leadsheet!$E$21,0,BJ182*SAP_Leadsheet!$S104)</f>
        <v>4.2793738095417283E-3</v>
      </c>
      <c r="BK281" s="263">
        <f ca="1">IF(BK$7&gt;SAP_Leadsheet!$E$21,0,BK182*SAP_Leadsheet!$S104)</f>
        <v>4.1511518883934435E-3</v>
      </c>
      <c r="BL281" s="263">
        <f ca="1">IF(BL$7&gt;SAP_Leadsheet!$E$21,0,BL182*SAP_Leadsheet!$S104)</f>
        <v>4.0210697553394762E-3</v>
      </c>
      <c r="BM281" s="263">
        <f ca="1">IF(BM$7&gt;SAP_Leadsheet!$E$21,0,BM182*SAP_Leadsheet!$S104)</f>
        <v>3.8866713438468273E-3</v>
      </c>
      <c r="BN281" s="263">
        <f ca="1">IF(BN$7&gt;SAP_Leadsheet!$E$21,0,BN182*SAP_Leadsheet!$S104)</f>
        <v>3.749108866018811E-3</v>
      </c>
      <c r="BO281" s="263"/>
      <c r="BP281" s="263"/>
      <c r="BQ281" s="263"/>
      <c r="BR281" s="263"/>
      <c r="BS281" s="263"/>
      <c r="BT281" s="263"/>
      <c r="BU281" s="263"/>
      <c r="BV281" s="263"/>
      <c r="BW281" s="263"/>
      <c r="BX281" s="263"/>
      <c r="BY281" s="263"/>
      <c r="BZ281" s="263"/>
      <c r="CA281" s="263"/>
      <c r="CB281" s="263"/>
      <c r="CC281" s="263"/>
      <c r="CD281" s="263"/>
      <c r="CE281" s="263"/>
      <c r="CF281" s="263"/>
      <c r="CG281" s="263"/>
      <c r="CH281" s="263"/>
      <c r="CI281" s="263"/>
      <c r="CJ281" s="263"/>
      <c r="CK281" s="263"/>
      <c r="CL281" s="263"/>
      <c r="CM281" s="263"/>
      <c r="CN281" s="263"/>
      <c r="CO281" s="263"/>
      <c r="CP281" s="263"/>
      <c r="CQ281" s="263"/>
      <c r="CR281" s="263"/>
      <c r="CS281" s="263"/>
      <c r="CT281" s="263"/>
      <c r="CU281" s="263"/>
      <c r="CV281" s="263"/>
      <c r="CW281" s="263"/>
      <c r="CX281" s="263"/>
      <c r="CY281" s="263"/>
      <c r="CZ281" s="263"/>
      <c r="DA281" s="263"/>
      <c r="DB281" s="263"/>
      <c r="DC281" s="263"/>
      <c r="DD281" s="263"/>
      <c r="DE281" s="263"/>
      <c r="DF281" s="263"/>
      <c r="DG281" s="263"/>
      <c r="DH281" s="263"/>
      <c r="DI281" s="263"/>
      <c r="DJ281" s="263"/>
      <c r="DK281" s="263"/>
      <c r="DL281" s="263"/>
      <c r="DM281" s="263"/>
      <c r="DN281" s="263"/>
      <c r="DO281" s="263"/>
      <c r="DP281" s="263"/>
      <c r="DQ281" s="263"/>
      <c r="DR281" s="263"/>
      <c r="DS281" s="263"/>
      <c r="DT281" s="263"/>
      <c r="DU281" s="263"/>
      <c r="DV281" s="263"/>
      <c r="DW281" s="263"/>
      <c r="DX281" s="263"/>
      <c r="DY281" s="263"/>
      <c r="DZ281" s="263"/>
      <c r="EA281" s="263"/>
      <c r="EB281" s="263"/>
      <c r="EC281" s="263"/>
      <c r="ED281" s="263"/>
      <c r="EE281" s="263"/>
      <c r="EF281" s="263"/>
      <c r="EG281" s="263"/>
      <c r="EH281" s="263"/>
      <c r="EI281" s="263"/>
      <c r="EJ281" s="263"/>
      <c r="EK281" s="263"/>
      <c r="EL281" s="263"/>
      <c r="EM281" s="263"/>
      <c r="EN281" s="263"/>
      <c r="EO281" s="263"/>
      <c r="EP281" s="263"/>
      <c r="EQ281" s="263"/>
      <c r="ER281" s="263"/>
      <c r="ES281" s="263"/>
      <c r="ET281" s="263"/>
      <c r="EU281" s="263"/>
      <c r="EV281" s="263"/>
      <c r="EW281" s="263"/>
      <c r="EX281" s="263"/>
      <c r="EY281" s="263"/>
      <c r="EZ281" s="263"/>
      <c r="FA281" s="263"/>
      <c r="FB281" s="263"/>
      <c r="FC281" s="263"/>
      <c r="FD281" s="263"/>
      <c r="FE281" s="263"/>
      <c r="FF281" s="263"/>
      <c r="FG281" s="263"/>
      <c r="FH281" s="263"/>
      <c r="FI281" s="263"/>
      <c r="FJ281" s="263"/>
      <c r="FK281" s="263"/>
      <c r="FL281" s="263"/>
      <c r="FM281" s="263"/>
      <c r="FN281" s="263"/>
      <c r="FO281" s="263"/>
      <c r="FP281" s="263"/>
      <c r="FQ281" s="263"/>
      <c r="FR281" s="263"/>
      <c r="FS281" s="263"/>
      <c r="FT281" s="263"/>
      <c r="FU281" s="263"/>
      <c r="FV281" s="263"/>
      <c r="FW281" s="263"/>
      <c r="FX281" s="263"/>
      <c r="FY281" s="263"/>
      <c r="FZ281" s="263"/>
      <c r="GA281" s="263"/>
      <c r="GB281" s="263"/>
      <c r="GC281" s="263"/>
      <c r="GD281" s="263"/>
      <c r="GE281" s="263"/>
      <c r="GF281" s="263"/>
      <c r="GG281" s="263"/>
      <c r="GH281" s="263"/>
      <c r="GI281" s="263"/>
      <c r="GJ281" s="263"/>
      <c r="GK281" s="263"/>
      <c r="GL281" s="263"/>
      <c r="GM281" s="263"/>
      <c r="GN281" s="263"/>
      <c r="GO281" s="263"/>
      <c r="GP281" s="263"/>
      <c r="GQ281" s="263"/>
      <c r="GR281" s="263"/>
      <c r="GS281" s="263"/>
      <c r="GT281" s="263"/>
      <c r="GU281" s="263"/>
      <c r="GV281" s="263"/>
      <c r="GW281" s="263"/>
      <c r="GX281" s="263"/>
      <c r="GY281" s="263"/>
    </row>
    <row r="282" spans="1:207" x14ac:dyDescent="0.15">
      <c r="A282" s="62"/>
      <c r="C282" s="23"/>
      <c r="D282" s="26" t="s">
        <v>413</v>
      </c>
      <c r="F282" s="80"/>
      <c r="G282" s="263">
        <f>IF(G$7&gt;SAP_Leadsheet!$E$21,0,G183*SAP_Leadsheet!$S105)</f>
        <v>0</v>
      </c>
      <c r="H282" s="263">
        <f ca="1">IF(H$7&gt;SAP_Leadsheet!$E$21,0,H183*SAP_Leadsheet!$S105)</f>
        <v>0</v>
      </c>
      <c r="I282" s="263">
        <f ca="1">IF(I$7&gt;SAP_Leadsheet!$E$21,0,I183*SAP_Leadsheet!$S105)</f>
        <v>2.4311080044447108E-2</v>
      </c>
      <c r="J282" s="263">
        <f ca="1">IF(J$7&gt;SAP_Leadsheet!$E$21,0,J183*SAP_Leadsheet!$S105)</f>
        <v>4.2854189764466775E-2</v>
      </c>
      <c r="K282" s="263">
        <f ca="1">IF(K$7&gt;SAP_Leadsheet!$E$21,0,K183*SAP_Leadsheet!$S105)</f>
        <v>5.0409684538961004E-2</v>
      </c>
      <c r="L282" s="263">
        <f ca="1">IF(L$7&gt;SAP_Leadsheet!$E$21,0,L183*SAP_Leadsheet!$S105)</f>
        <v>5.0145547592013111E-2</v>
      </c>
      <c r="M282" s="263">
        <f ca="1">IF(M$7&gt;SAP_Leadsheet!$E$21,0,M183*SAP_Leadsheet!$S105)</f>
        <v>4.6109849549855232E-2</v>
      </c>
      <c r="N282" s="263">
        <f ca="1">IF(N$7&gt;SAP_Leadsheet!$E$21,0,N183*SAP_Leadsheet!$S105)</f>
        <v>4.0965448530720316E-2</v>
      </c>
      <c r="O282" s="263">
        <f ca="1">IF(O$7&gt;SAP_Leadsheet!$E$21,0,O183*SAP_Leadsheet!$S105)</f>
        <v>3.4714778078176044E-2</v>
      </c>
      <c r="P282" s="263">
        <f ca="1">IF(P$7&gt;SAP_Leadsheet!$E$21,0,P183*SAP_Leadsheet!$S105)</f>
        <v>3.0112125367962324E-2</v>
      </c>
      <c r="Q282" s="263">
        <f ca="1">IF(Q$7&gt;SAP_Leadsheet!$E$21,0,Q183*SAP_Leadsheet!$S105)</f>
        <v>2.6360746759919944E-2</v>
      </c>
      <c r="R282" s="263">
        <f ca="1">IF(R$7&gt;SAP_Leadsheet!$E$21,0,R183*SAP_Leadsheet!$S105)</f>
        <v>2.324670918667578E-2</v>
      </c>
      <c r="S282" s="263">
        <f ca="1">IF(S$7&gt;SAP_Leadsheet!$E$21,0,S183*SAP_Leadsheet!$S105)</f>
        <v>1.9862643127997019E-2</v>
      </c>
      <c r="T282" s="263">
        <f ca="1">IF(T$7&gt;SAP_Leadsheet!$E$21,0,T183*SAP_Leadsheet!$S105)</f>
        <v>9.9755432306010399E-3</v>
      </c>
      <c r="U282" s="263">
        <f ca="1">IF(U$7&gt;SAP_Leadsheet!$E$21,0,U183*SAP_Leadsheet!$S105)</f>
        <v>1.0240592065485405E-2</v>
      </c>
      <c r="V282" s="263">
        <f ca="1">IF(V$7&gt;SAP_Leadsheet!$E$21,0,V183*SAP_Leadsheet!$S105)</f>
        <v>1.1784536536007351E-2</v>
      </c>
      <c r="W282" s="263">
        <f ca="1">IF(W$7&gt;SAP_Leadsheet!$E$21,0,W183*SAP_Leadsheet!$S105)</f>
        <v>1.2152595789940674E-2</v>
      </c>
      <c r="X282" s="263">
        <f ca="1">IF(X$7&gt;SAP_Leadsheet!$E$21,0,X183*SAP_Leadsheet!$S105)</f>
        <v>1.157105038547405E-2</v>
      </c>
      <c r="Y282" s="263">
        <f ca="1">IF(Y$7&gt;SAP_Leadsheet!$E$21,0,Y183*SAP_Leadsheet!$S105)</f>
        <v>1.1717805524288475E-2</v>
      </c>
      <c r="Z282" s="263">
        <f ca="1">IF(Z$7&gt;SAP_Leadsheet!$E$21,0,Z183*SAP_Leadsheet!$S105)</f>
        <v>1.2010025574621143E-2</v>
      </c>
      <c r="AA282" s="263">
        <f ca="1">IF(AA$7&gt;SAP_Leadsheet!$E$21,0,AA183*SAP_Leadsheet!$S105)</f>
        <v>1.2166547400384959E-2</v>
      </c>
      <c r="AB282" s="263">
        <f ca="1">IF(AB$7&gt;SAP_Leadsheet!$E$21,0,AB183*SAP_Leadsheet!$S105)</f>
        <v>1.2126021369949834E-2</v>
      </c>
      <c r="AC282" s="263">
        <f ca="1">IF(AC$7&gt;SAP_Leadsheet!$E$21,0,AC183*SAP_Leadsheet!$S105)</f>
        <v>1.1870908811200781E-2</v>
      </c>
      <c r="AD282" s="263">
        <f ca="1">IF(AD$7&gt;SAP_Leadsheet!$E$21,0,AD183*SAP_Leadsheet!$S105)</f>
        <v>1.1463965503599865E-2</v>
      </c>
      <c r="AE282" s="263">
        <f ca="1">IF(AE$7&gt;SAP_Leadsheet!$E$21,0,AE183*SAP_Leadsheet!$S105)</f>
        <v>1.1156786320680168E-2</v>
      </c>
      <c r="AF282" s="263">
        <f ca="1">IF(AF$7&gt;SAP_Leadsheet!$E$21,0,AF183*SAP_Leadsheet!$S105)</f>
        <v>9.1276620556042382E-3</v>
      </c>
      <c r="AG282" s="263">
        <f ca="1">IF(AG$7&gt;SAP_Leadsheet!$E$21,0,AG183*SAP_Leadsheet!$S105)</f>
        <v>9.3141436047940954E-3</v>
      </c>
      <c r="AH282" s="263">
        <f ca="1">IF(AH$7&gt;SAP_Leadsheet!$E$21,0,AH183*SAP_Leadsheet!$S105)</f>
        <v>9.8869727104760538E-3</v>
      </c>
      <c r="AI282" s="263">
        <f ca="1">IF(AI$7&gt;SAP_Leadsheet!$E$21,0,AI183*SAP_Leadsheet!$S105)</f>
        <v>1.0240797503545087E-2</v>
      </c>
      <c r="AJ282" s="263">
        <f ca="1">IF(AJ$7&gt;SAP_Leadsheet!$E$21,0,AJ183*SAP_Leadsheet!$S105)</f>
        <v>1.0291172377370298E-2</v>
      </c>
      <c r="AK282" s="263">
        <f ca="1">IF(AK$7&gt;SAP_Leadsheet!$E$21,0,AK183*SAP_Leadsheet!$S105)</f>
        <v>1.0143026601699022E-2</v>
      </c>
      <c r="AL282" s="263">
        <f ca="1">IF(AL$7&gt;SAP_Leadsheet!$E$21,0,AL183*SAP_Leadsheet!$S105)</f>
        <v>9.9071271425232241E-3</v>
      </c>
      <c r="AM282" s="263">
        <f ca="1">IF(AM$7&gt;SAP_Leadsheet!$E$21,0,AM183*SAP_Leadsheet!$S105)</f>
        <v>9.6468919952246712E-3</v>
      </c>
      <c r="AN282" s="263">
        <f ca="1">IF(AN$7&gt;SAP_Leadsheet!$E$21,0,AN183*SAP_Leadsheet!$S105)</f>
        <v>9.7091964498996503E-3</v>
      </c>
      <c r="AO282" s="263">
        <f ca="1">IF(AO$7&gt;SAP_Leadsheet!$E$21,0,AO183*SAP_Leadsheet!$S105)</f>
        <v>9.4046959396835959E-3</v>
      </c>
      <c r="AP282" s="263">
        <f ca="1">IF(AP$7&gt;SAP_Leadsheet!$E$21,0,AP183*SAP_Leadsheet!$S105)</f>
        <v>9.019979989639406E-3</v>
      </c>
      <c r="AQ282" s="263">
        <f ca="1">IF(AQ$7&gt;SAP_Leadsheet!$E$21,0,AQ183*SAP_Leadsheet!$S105)</f>
        <v>8.3520378872809671E-3</v>
      </c>
      <c r="AR282" s="263">
        <f ca="1">IF(AR$7&gt;SAP_Leadsheet!$E$21,0,AR183*SAP_Leadsheet!$S105)</f>
        <v>6.7172412889141692E-3</v>
      </c>
      <c r="AS282" s="263">
        <f ca="1">IF(AS$7&gt;SAP_Leadsheet!$E$21,0,AS183*SAP_Leadsheet!$S105)</f>
        <v>6.5685520916452887E-3</v>
      </c>
      <c r="AT282" s="263">
        <f ca="1">IF(AT$7&gt;SAP_Leadsheet!$E$21,0,AT183*SAP_Leadsheet!$S105)</f>
        <v>6.4470389685018217E-3</v>
      </c>
      <c r="AU282" s="263">
        <f ca="1">IF(AU$7&gt;SAP_Leadsheet!$E$21,0,AU183*SAP_Leadsheet!$S105)</f>
        <v>6.3386749753036788E-3</v>
      </c>
      <c r="AV282" s="263">
        <f ca="1">IF(AV$7&gt;SAP_Leadsheet!$E$21,0,AV183*SAP_Leadsheet!$S105)</f>
        <v>6.2329534547953484E-3</v>
      </c>
      <c r="AW282" s="263">
        <f ca="1">IF(AW$7&gt;SAP_Leadsheet!$E$21,0,AW183*SAP_Leadsheet!$S105)</f>
        <v>6.1258572695248549E-3</v>
      </c>
      <c r="AX282" s="263">
        <f ca="1">IF(AX$7&gt;SAP_Leadsheet!$E$21,0,AX183*SAP_Leadsheet!$S105)</f>
        <v>6.0168098531006098E-3</v>
      </c>
      <c r="AY282" s="263">
        <f ca="1">IF(AY$7&gt;SAP_Leadsheet!$E$21,0,AY183*SAP_Leadsheet!$S105)</f>
        <v>5.9049285162370629E-3</v>
      </c>
      <c r="AZ282" s="263">
        <f ca="1">IF(AZ$7&gt;SAP_Leadsheet!$E$21,0,AZ183*SAP_Leadsheet!$S105)</f>
        <v>5.7888386450531759E-3</v>
      </c>
      <c r="BA282" s="263">
        <f ca="1">IF(BA$7&gt;SAP_Leadsheet!$E$21,0,BA183*SAP_Leadsheet!$S105)</f>
        <v>5.6640468912133963E-3</v>
      </c>
      <c r="BB282" s="263">
        <f ca="1">IF(BB$7&gt;SAP_Leadsheet!$E$21,0,BB183*SAP_Leadsheet!$S105)</f>
        <v>5.5263871271340461E-3</v>
      </c>
      <c r="BC282" s="263">
        <f ca="1">IF(BC$7&gt;SAP_Leadsheet!$E$21,0,BC183*SAP_Leadsheet!$S105)</f>
        <v>5.3800217334352566E-3</v>
      </c>
      <c r="BD282" s="263">
        <f ca="1">IF(BD$7&gt;SAP_Leadsheet!$E$21,0,BD183*SAP_Leadsheet!$S105)</f>
        <v>4.6021616731232277E-3</v>
      </c>
      <c r="BE282" s="263">
        <f ca="1">IF(BE$7&gt;SAP_Leadsheet!$E$21,0,BE183*SAP_Leadsheet!$S105)</f>
        <v>4.4868119732940507E-3</v>
      </c>
      <c r="BF282" s="263">
        <f ca="1">IF(BF$7&gt;SAP_Leadsheet!$E$21,0,BF183*SAP_Leadsheet!$S105)</f>
        <v>4.3717472188061143E-3</v>
      </c>
      <c r="BG282" s="263">
        <f ca="1">IF(BG$7&gt;SAP_Leadsheet!$E$21,0,BG183*SAP_Leadsheet!$S105)</f>
        <v>4.2577010220763156E-3</v>
      </c>
      <c r="BH282" s="263">
        <f ca="1">IF(BH$7&gt;SAP_Leadsheet!$E$21,0,BH183*SAP_Leadsheet!$S105)</f>
        <v>4.144192897478409E-3</v>
      </c>
      <c r="BI282" s="263">
        <f ca="1">IF(BI$7&gt;SAP_Leadsheet!$E$21,0,BI183*SAP_Leadsheet!$S105)</f>
        <v>4.0309281539002133E-3</v>
      </c>
      <c r="BJ282" s="263">
        <f ca="1">IF(BJ$7&gt;SAP_Leadsheet!$E$21,0,BJ183*SAP_Leadsheet!$S105)</f>
        <v>3.917550688841245E-3</v>
      </c>
      <c r="BK282" s="263">
        <f ca="1">IF(BK$7&gt;SAP_Leadsheet!$E$21,0,BK183*SAP_Leadsheet!$S105)</f>
        <v>3.803887830703759E-3</v>
      </c>
      <c r="BL282" s="263">
        <f ca="1">IF(BL$7&gt;SAP_Leadsheet!$E$21,0,BL183*SAP_Leadsheet!$S105)</f>
        <v>3.689912789683062E-3</v>
      </c>
      <c r="BM282" s="263">
        <f ca="1">IF(BM$7&gt;SAP_Leadsheet!$E$21,0,BM183*SAP_Leadsheet!$S105)</f>
        <v>3.5742842269684241E-3</v>
      </c>
      <c r="BN282" s="263">
        <f ca="1">IF(BN$7&gt;SAP_Leadsheet!$E$21,0,BN183*SAP_Leadsheet!$S105)</f>
        <v>3.4548189723082913E-3</v>
      </c>
      <c r="BO282" s="263"/>
      <c r="BP282" s="263"/>
      <c r="BQ282" s="263"/>
      <c r="BR282" s="263"/>
      <c r="BS282" s="263"/>
      <c r="BT282" s="263"/>
      <c r="BU282" s="263"/>
      <c r="BV282" s="263"/>
      <c r="BW282" s="263"/>
      <c r="BX282" s="263"/>
      <c r="BY282" s="263"/>
      <c r="BZ282" s="263"/>
      <c r="CA282" s="263"/>
      <c r="CB282" s="263"/>
      <c r="CC282" s="263"/>
      <c r="CD282" s="263"/>
      <c r="CE282" s="263"/>
      <c r="CF282" s="263"/>
      <c r="CG282" s="263"/>
      <c r="CH282" s="263"/>
      <c r="CI282" s="263"/>
      <c r="CJ282" s="263"/>
      <c r="CK282" s="263"/>
      <c r="CL282" s="263"/>
      <c r="CM282" s="263"/>
      <c r="CN282" s="263"/>
      <c r="CO282" s="263"/>
      <c r="CP282" s="263"/>
      <c r="CQ282" s="263"/>
      <c r="CR282" s="263"/>
      <c r="CS282" s="263"/>
      <c r="CT282" s="263"/>
      <c r="CU282" s="263"/>
      <c r="CV282" s="263"/>
      <c r="CW282" s="263"/>
      <c r="CX282" s="263"/>
      <c r="CY282" s="263"/>
      <c r="CZ282" s="263"/>
      <c r="DA282" s="263"/>
      <c r="DB282" s="263"/>
      <c r="DC282" s="263"/>
      <c r="DD282" s="263"/>
      <c r="DE282" s="263"/>
      <c r="DF282" s="263"/>
      <c r="DG282" s="263"/>
      <c r="DH282" s="263"/>
      <c r="DI282" s="263"/>
      <c r="DJ282" s="263"/>
      <c r="DK282" s="263"/>
      <c r="DL282" s="263"/>
      <c r="DM282" s="263"/>
      <c r="DN282" s="263"/>
      <c r="DO282" s="263"/>
      <c r="DP282" s="263"/>
      <c r="DQ282" s="263"/>
      <c r="DR282" s="263"/>
      <c r="DS282" s="263"/>
      <c r="DT282" s="263"/>
      <c r="DU282" s="263"/>
      <c r="DV282" s="263"/>
      <c r="DW282" s="263"/>
      <c r="DX282" s="263"/>
      <c r="DY282" s="263"/>
      <c r="DZ282" s="263"/>
      <c r="EA282" s="263"/>
      <c r="EB282" s="263"/>
      <c r="EC282" s="263"/>
      <c r="ED282" s="263"/>
      <c r="EE282" s="263"/>
      <c r="EF282" s="263"/>
      <c r="EG282" s="263"/>
      <c r="EH282" s="263"/>
      <c r="EI282" s="263"/>
      <c r="EJ282" s="263"/>
      <c r="EK282" s="263"/>
      <c r="EL282" s="263"/>
      <c r="EM282" s="263"/>
      <c r="EN282" s="263"/>
      <c r="EO282" s="263"/>
      <c r="EP282" s="263"/>
      <c r="EQ282" s="263"/>
      <c r="ER282" s="263"/>
      <c r="ES282" s="263"/>
      <c r="ET282" s="263"/>
      <c r="EU282" s="263"/>
      <c r="EV282" s="263"/>
      <c r="EW282" s="263"/>
      <c r="EX282" s="263"/>
      <c r="EY282" s="263"/>
      <c r="EZ282" s="263"/>
      <c r="FA282" s="263"/>
      <c r="FB282" s="263"/>
      <c r="FC282" s="263"/>
      <c r="FD282" s="263"/>
      <c r="FE282" s="263"/>
      <c r="FF282" s="263"/>
      <c r="FG282" s="263"/>
      <c r="FH282" s="263"/>
      <c r="FI282" s="263"/>
      <c r="FJ282" s="263"/>
      <c r="FK282" s="263"/>
      <c r="FL282" s="263"/>
      <c r="FM282" s="263"/>
      <c r="FN282" s="263"/>
      <c r="FO282" s="263"/>
      <c r="FP282" s="263"/>
      <c r="FQ282" s="263"/>
      <c r="FR282" s="263"/>
      <c r="FS282" s="263"/>
      <c r="FT282" s="263"/>
      <c r="FU282" s="263"/>
      <c r="FV282" s="263"/>
      <c r="FW282" s="263"/>
      <c r="FX282" s="263"/>
      <c r="FY282" s="263"/>
      <c r="FZ282" s="263"/>
      <c r="GA282" s="263"/>
      <c r="GB282" s="263"/>
      <c r="GC282" s="263"/>
      <c r="GD282" s="263"/>
      <c r="GE282" s="263"/>
      <c r="GF282" s="263"/>
      <c r="GG282" s="263"/>
      <c r="GH282" s="263"/>
      <c r="GI282" s="263"/>
      <c r="GJ282" s="263"/>
      <c r="GK282" s="263"/>
      <c r="GL282" s="263"/>
      <c r="GM282" s="263"/>
      <c r="GN282" s="263"/>
      <c r="GO282" s="263"/>
      <c r="GP282" s="263"/>
      <c r="GQ282" s="263"/>
      <c r="GR282" s="263"/>
      <c r="GS282" s="263"/>
      <c r="GT282" s="263"/>
      <c r="GU282" s="263"/>
      <c r="GV282" s="263"/>
      <c r="GW282" s="263"/>
      <c r="GX282" s="263"/>
      <c r="GY282" s="263"/>
    </row>
    <row r="283" spans="1:207" x14ac:dyDescent="0.15">
      <c r="A283" s="62"/>
      <c r="C283" s="23"/>
      <c r="D283" s="26" t="s">
        <v>414</v>
      </c>
      <c r="F283" s="80"/>
      <c r="G283" s="263">
        <f>IF(G$7&gt;SAP_Leadsheet!$E$21,0,G184*SAP_Leadsheet!$S106)</f>
        <v>0</v>
      </c>
      <c r="H283" s="263">
        <f ca="1">IF(H$7&gt;SAP_Leadsheet!$E$21,0,H184*SAP_Leadsheet!$S106)</f>
        <v>0</v>
      </c>
      <c r="I283" s="263">
        <f ca="1">IF(I$7&gt;SAP_Leadsheet!$E$21,0,I184*SAP_Leadsheet!$S106)</f>
        <v>0</v>
      </c>
      <c r="J283" s="263">
        <f ca="1">IF(J$7&gt;SAP_Leadsheet!$E$21,0,J184*SAP_Leadsheet!$S106)</f>
        <v>2.4311080044447108E-2</v>
      </c>
      <c r="K283" s="263">
        <f ca="1">IF(K$7&gt;SAP_Leadsheet!$E$21,0,K184*SAP_Leadsheet!$S106)</f>
        <v>4.2854189764466775E-2</v>
      </c>
      <c r="L283" s="263">
        <f ca="1">IF(L$7&gt;SAP_Leadsheet!$E$21,0,L184*SAP_Leadsheet!$S106)</f>
        <v>5.0409684538960997E-2</v>
      </c>
      <c r="M283" s="263">
        <f ca="1">IF(M$7&gt;SAP_Leadsheet!$E$21,0,M184*SAP_Leadsheet!$S106)</f>
        <v>5.0145547592013104E-2</v>
      </c>
      <c r="N283" s="263">
        <f ca="1">IF(N$7&gt;SAP_Leadsheet!$E$21,0,N184*SAP_Leadsheet!$S106)</f>
        <v>4.6109849549855225E-2</v>
      </c>
      <c r="O283" s="263">
        <f ca="1">IF(O$7&gt;SAP_Leadsheet!$E$21,0,O184*SAP_Leadsheet!$S106)</f>
        <v>4.096544853072031E-2</v>
      </c>
      <c r="P283" s="263">
        <f ca="1">IF(P$7&gt;SAP_Leadsheet!$E$21,0,P184*SAP_Leadsheet!$S106)</f>
        <v>3.4714778078176037E-2</v>
      </c>
      <c r="Q283" s="263">
        <f ca="1">IF(Q$7&gt;SAP_Leadsheet!$E$21,0,Q184*SAP_Leadsheet!$S106)</f>
        <v>3.0112125367962324E-2</v>
      </c>
      <c r="R283" s="263">
        <f ca="1">IF(R$7&gt;SAP_Leadsheet!$E$21,0,R184*SAP_Leadsheet!$S106)</f>
        <v>2.6360746759919944E-2</v>
      </c>
      <c r="S283" s="263">
        <f ca="1">IF(S$7&gt;SAP_Leadsheet!$E$21,0,S184*SAP_Leadsheet!$S106)</f>
        <v>2.244705020585035E-2</v>
      </c>
      <c r="T283" s="263">
        <f ca="1">IF(T$7&gt;SAP_Leadsheet!$E$21,0,T184*SAP_Leadsheet!$S106)</f>
        <v>1.917939197048105E-2</v>
      </c>
      <c r="U283" s="263">
        <f ca="1">IF(U$7&gt;SAP_Leadsheet!$E$21,0,U184*SAP_Leadsheet!$S106)</f>
        <v>9.6323964794241199E-3</v>
      </c>
      <c r="V283" s="263">
        <f ca="1">IF(V$7&gt;SAP_Leadsheet!$E$21,0,V184*SAP_Leadsheet!$S106)</f>
        <v>9.8883279515251943E-3</v>
      </c>
      <c r="W283" s="263">
        <f ca="1">IF(W$7&gt;SAP_Leadsheet!$E$21,0,W184*SAP_Leadsheet!$S106)</f>
        <v>1.1379162579624529E-2</v>
      </c>
      <c r="X283" s="263">
        <f ca="1">IF(X$7&gt;SAP_Leadsheet!$E$21,0,X184*SAP_Leadsheet!$S106)</f>
        <v>1.1734561035613496E-2</v>
      </c>
      <c r="Y283" s="263">
        <f ca="1">IF(Y$7&gt;SAP_Leadsheet!$E$21,0,Y184*SAP_Leadsheet!$S106)</f>
        <v>1.1173020097228722E-2</v>
      </c>
      <c r="Z283" s="263">
        <f ca="1">IF(Z$7&gt;SAP_Leadsheet!$E$21,0,Z184*SAP_Leadsheet!$S106)</f>
        <v>1.1314727034863666E-2</v>
      </c>
      <c r="AA283" s="263">
        <f ca="1">IF(AA$7&gt;SAP_Leadsheet!$E$21,0,AA184*SAP_Leadsheet!$S106)</f>
        <v>1.1596895065112576E-2</v>
      </c>
      <c r="AB283" s="263">
        <f ca="1">IF(AB$7&gt;SAP_Leadsheet!$E$21,0,AB184*SAP_Leadsheet!$S106)</f>
        <v>1.1748032727351906E-2</v>
      </c>
      <c r="AC283" s="263">
        <f ca="1">IF(AC$7&gt;SAP_Leadsheet!$E$21,0,AC184*SAP_Leadsheet!$S106)</f>
        <v>1.1708900743873466E-2</v>
      </c>
      <c r="AD283" s="263">
        <f ca="1">IF(AD$7&gt;SAP_Leadsheet!$E$21,0,AD184*SAP_Leadsheet!$S106)</f>
        <v>1.1462563751897623E-2</v>
      </c>
      <c r="AE283" s="263">
        <f ca="1">IF(AE$7&gt;SAP_Leadsheet!$E$21,0,AE184*SAP_Leadsheet!$S106)</f>
        <v>1.0747467659624874E-2</v>
      </c>
      <c r="AF283" s="263">
        <f ca="1">IF(AF$7&gt;SAP_Leadsheet!$E$21,0,AF184*SAP_Leadsheet!$S106)</f>
        <v>1.0459487175637657E-2</v>
      </c>
      <c r="AG283" s="263">
        <f ca="1">IF(AG$7&gt;SAP_Leadsheet!$E$21,0,AG184*SAP_Leadsheet!$S106)</f>
        <v>8.5571831771289724E-3</v>
      </c>
      <c r="AH283" s="263">
        <f ca="1">IF(AH$7&gt;SAP_Leadsheet!$E$21,0,AH184*SAP_Leadsheet!$S106)</f>
        <v>8.7320096294944641E-3</v>
      </c>
      <c r="AI283" s="263">
        <f ca="1">IF(AI$7&gt;SAP_Leadsheet!$E$21,0,AI184*SAP_Leadsheet!$S106)</f>
        <v>9.2690369160713017E-3</v>
      </c>
      <c r="AJ283" s="263">
        <f ca="1">IF(AJ$7&gt;SAP_Leadsheet!$E$21,0,AJ184*SAP_Leadsheet!$S106)</f>
        <v>9.6007476595735171E-3</v>
      </c>
      <c r="AK283" s="263">
        <f ca="1">IF(AK$7&gt;SAP_Leadsheet!$E$21,0,AK184*SAP_Leadsheet!$S106)</f>
        <v>9.6479741037846529E-3</v>
      </c>
      <c r="AL283" s="263">
        <f ca="1">IF(AL$7&gt;SAP_Leadsheet!$E$21,0,AL184*SAP_Leadsheet!$S106)</f>
        <v>9.5090874390928327E-3</v>
      </c>
      <c r="AM283" s="263">
        <f ca="1">IF(AM$7&gt;SAP_Leadsheet!$E$21,0,AM184*SAP_Leadsheet!$S106)</f>
        <v>9.2879316961155221E-3</v>
      </c>
      <c r="AN283" s="263">
        <f ca="1">IF(AN$7&gt;SAP_Leadsheet!$E$21,0,AN184*SAP_Leadsheet!$S106)</f>
        <v>9.0439612455231275E-3</v>
      </c>
      <c r="AO283" s="263">
        <f ca="1">IF(AO$7&gt;SAP_Leadsheet!$E$21,0,AO184*SAP_Leadsheet!$S106)</f>
        <v>9.1023716717809223E-3</v>
      </c>
      <c r="AP283" s="263">
        <f ca="1">IF(AP$7&gt;SAP_Leadsheet!$E$21,0,AP184*SAP_Leadsheet!$S106)</f>
        <v>8.816902443453371E-3</v>
      </c>
      <c r="AQ283" s="263">
        <f ca="1">IF(AQ$7&gt;SAP_Leadsheet!$E$21,0,AQ184*SAP_Leadsheet!$S106)</f>
        <v>8.4562312402869429E-3</v>
      </c>
      <c r="AR283" s="263">
        <f ca="1">IF(AR$7&gt;SAP_Leadsheet!$E$21,0,AR184*SAP_Leadsheet!$S106)</f>
        <v>7.830035519325906E-3</v>
      </c>
      <c r="AS283" s="263">
        <f ca="1">IF(AS$7&gt;SAP_Leadsheet!$E$21,0,AS184*SAP_Leadsheet!$S106)</f>
        <v>6.2974137083570336E-3</v>
      </c>
      <c r="AT283" s="263">
        <f ca="1">IF(AT$7&gt;SAP_Leadsheet!$E$21,0,AT184*SAP_Leadsheet!$S106)</f>
        <v>6.1580175859174578E-3</v>
      </c>
      <c r="AU283" s="263">
        <f ca="1">IF(AU$7&gt;SAP_Leadsheet!$E$21,0,AU184*SAP_Leadsheet!$S106)</f>
        <v>6.0440990329704578E-3</v>
      </c>
      <c r="AV283" s="263">
        <f ca="1">IF(AV$7&gt;SAP_Leadsheet!$E$21,0,AV184*SAP_Leadsheet!$S106)</f>
        <v>5.9425077893471984E-3</v>
      </c>
      <c r="AW283" s="263">
        <f ca="1">IF(AW$7&gt;SAP_Leadsheet!$E$21,0,AW184*SAP_Leadsheet!$S106)</f>
        <v>5.8433938638706396E-3</v>
      </c>
      <c r="AX283" s="263">
        <f ca="1">IF(AX$7&gt;SAP_Leadsheet!$E$21,0,AX184*SAP_Leadsheet!$S106)</f>
        <v>5.7429911901795512E-3</v>
      </c>
      <c r="AY283" s="263">
        <f ca="1">IF(AY$7&gt;SAP_Leadsheet!$E$21,0,AY184*SAP_Leadsheet!$S106)</f>
        <v>5.6407592372818222E-3</v>
      </c>
      <c r="AZ283" s="263">
        <f ca="1">IF(AZ$7&gt;SAP_Leadsheet!$E$21,0,AZ184*SAP_Leadsheet!$S106)</f>
        <v>5.5358704839722469E-3</v>
      </c>
      <c r="BA283" s="263">
        <f ca="1">IF(BA$7&gt;SAP_Leadsheet!$E$21,0,BA184*SAP_Leadsheet!$S106)</f>
        <v>5.4270362297373521E-3</v>
      </c>
      <c r="BB283" s="263">
        <f ca="1">IF(BB$7&gt;SAP_Leadsheet!$E$21,0,BB184*SAP_Leadsheet!$S106)</f>
        <v>5.3100439605125596E-3</v>
      </c>
      <c r="BC283" s="263">
        <f ca="1">IF(BC$7&gt;SAP_Leadsheet!$E$21,0,BC184*SAP_Leadsheet!$S106)</f>
        <v>5.1809879316881682E-3</v>
      </c>
      <c r="BD283" s="263">
        <f ca="1">IF(BD$7&gt;SAP_Leadsheet!$E$21,0,BD184*SAP_Leadsheet!$S106)</f>
        <v>5.0437703750955531E-3</v>
      </c>
      <c r="BE283" s="263">
        <f ca="1">IF(BE$7&gt;SAP_Leadsheet!$E$21,0,BE184*SAP_Leadsheet!$S106)</f>
        <v>4.3145265685530267E-3</v>
      </c>
      <c r="BF283" s="263">
        <f ca="1">IF(BF$7&gt;SAP_Leadsheet!$E$21,0,BF184*SAP_Leadsheet!$S106)</f>
        <v>4.2063862249631725E-3</v>
      </c>
      <c r="BG283" s="263">
        <f ca="1">IF(BG$7&gt;SAP_Leadsheet!$E$21,0,BG184*SAP_Leadsheet!$S106)</f>
        <v>4.0985130176307318E-3</v>
      </c>
      <c r="BH283" s="263">
        <f ca="1">IF(BH$7&gt;SAP_Leadsheet!$E$21,0,BH184*SAP_Leadsheet!$S106)</f>
        <v>3.991594708196545E-3</v>
      </c>
      <c r="BI283" s="263">
        <f ca="1">IF(BI$7&gt;SAP_Leadsheet!$E$21,0,BI184*SAP_Leadsheet!$S106)</f>
        <v>3.8851808413860084E-3</v>
      </c>
      <c r="BJ283" s="263">
        <f ca="1">IF(BJ$7&gt;SAP_Leadsheet!$E$21,0,BJ184*SAP_Leadsheet!$S106)</f>
        <v>3.7789951442814503E-3</v>
      </c>
      <c r="BK283" s="263">
        <f ca="1">IF(BK$7&gt;SAP_Leadsheet!$E$21,0,BK184*SAP_Leadsheet!$S106)</f>
        <v>3.6727037707886671E-3</v>
      </c>
      <c r="BL283" s="263">
        <f ca="1">IF(BL$7&gt;SAP_Leadsheet!$E$21,0,BL184*SAP_Leadsheet!$S106)</f>
        <v>3.5661448412847739E-3</v>
      </c>
      <c r="BM283" s="263">
        <f ca="1">IF(BM$7&gt;SAP_Leadsheet!$E$21,0,BM184*SAP_Leadsheet!$S106)</f>
        <v>3.4592932403278705E-3</v>
      </c>
      <c r="BN283" s="263">
        <f ca="1">IF(BN$7&gt;SAP_Leadsheet!$E$21,0,BN184*SAP_Leadsheet!$S106)</f>
        <v>3.3508914627828974E-3</v>
      </c>
      <c r="BO283" s="263"/>
      <c r="BP283" s="263"/>
      <c r="BQ283" s="263"/>
      <c r="BR283" s="263"/>
      <c r="BS283" s="263"/>
      <c r="BT283" s="263"/>
      <c r="BU283" s="263"/>
      <c r="BV283" s="263"/>
      <c r="BW283" s="263"/>
      <c r="BX283" s="263"/>
      <c r="BY283" s="263"/>
      <c r="BZ283" s="263"/>
      <c r="CA283" s="263"/>
      <c r="CB283" s="263"/>
      <c r="CC283" s="263"/>
      <c r="CD283" s="263"/>
      <c r="CE283" s="263"/>
      <c r="CF283" s="263"/>
      <c r="CG283" s="263"/>
      <c r="CH283" s="263"/>
      <c r="CI283" s="263"/>
      <c r="CJ283" s="263"/>
      <c r="CK283" s="263"/>
      <c r="CL283" s="263"/>
      <c r="CM283" s="263"/>
      <c r="CN283" s="263"/>
      <c r="CO283" s="263"/>
      <c r="CP283" s="263"/>
      <c r="CQ283" s="263"/>
      <c r="CR283" s="263"/>
      <c r="CS283" s="263"/>
      <c r="CT283" s="263"/>
      <c r="CU283" s="263"/>
      <c r="CV283" s="263"/>
      <c r="CW283" s="263"/>
      <c r="CX283" s="263"/>
      <c r="CY283" s="263"/>
      <c r="CZ283" s="263"/>
      <c r="DA283" s="263"/>
      <c r="DB283" s="263"/>
      <c r="DC283" s="263"/>
      <c r="DD283" s="263"/>
      <c r="DE283" s="263"/>
      <c r="DF283" s="263"/>
      <c r="DG283" s="263"/>
      <c r="DH283" s="263"/>
      <c r="DI283" s="263"/>
      <c r="DJ283" s="263"/>
      <c r="DK283" s="263"/>
      <c r="DL283" s="263"/>
      <c r="DM283" s="263"/>
      <c r="DN283" s="263"/>
      <c r="DO283" s="263"/>
      <c r="DP283" s="263"/>
      <c r="DQ283" s="263"/>
      <c r="DR283" s="263"/>
      <c r="DS283" s="263"/>
      <c r="DT283" s="263"/>
      <c r="DU283" s="263"/>
      <c r="DV283" s="263"/>
      <c r="DW283" s="263"/>
      <c r="DX283" s="263"/>
      <c r="DY283" s="263"/>
      <c r="DZ283" s="263"/>
      <c r="EA283" s="263"/>
      <c r="EB283" s="263"/>
      <c r="EC283" s="263"/>
      <c r="ED283" s="263"/>
      <c r="EE283" s="263"/>
      <c r="EF283" s="263"/>
      <c r="EG283" s="263"/>
      <c r="EH283" s="263"/>
      <c r="EI283" s="263"/>
      <c r="EJ283" s="263"/>
      <c r="EK283" s="263"/>
      <c r="EL283" s="263"/>
      <c r="EM283" s="263"/>
      <c r="EN283" s="263"/>
      <c r="EO283" s="263"/>
      <c r="EP283" s="263"/>
      <c r="EQ283" s="263"/>
      <c r="ER283" s="263"/>
      <c r="ES283" s="263"/>
      <c r="ET283" s="263"/>
      <c r="EU283" s="263"/>
      <c r="EV283" s="263"/>
      <c r="EW283" s="263"/>
      <c r="EX283" s="263"/>
      <c r="EY283" s="263"/>
      <c r="EZ283" s="263"/>
      <c r="FA283" s="263"/>
      <c r="FB283" s="263"/>
      <c r="FC283" s="263"/>
      <c r="FD283" s="263"/>
      <c r="FE283" s="263"/>
      <c r="FF283" s="263"/>
      <c r="FG283" s="263"/>
      <c r="FH283" s="263"/>
      <c r="FI283" s="263"/>
      <c r="FJ283" s="263"/>
      <c r="FK283" s="263"/>
      <c r="FL283" s="263"/>
      <c r="FM283" s="263"/>
      <c r="FN283" s="263"/>
      <c r="FO283" s="263"/>
      <c r="FP283" s="263"/>
      <c r="FQ283" s="263"/>
      <c r="FR283" s="263"/>
      <c r="FS283" s="263"/>
      <c r="FT283" s="263"/>
      <c r="FU283" s="263"/>
      <c r="FV283" s="263"/>
      <c r="FW283" s="263"/>
      <c r="FX283" s="263"/>
      <c r="FY283" s="263"/>
      <c r="FZ283" s="263"/>
      <c r="GA283" s="263"/>
      <c r="GB283" s="263"/>
      <c r="GC283" s="263"/>
      <c r="GD283" s="263"/>
      <c r="GE283" s="263"/>
      <c r="GF283" s="263"/>
      <c r="GG283" s="263"/>
      <c r="GH283" s="263"/>
      <c r="GI283" s="263"/>
      <c r="GJ283" s="263"/>
      <c r="GK283" s="263"/>
      <c r="GL283" s="263"/>
      <c r="GM283" s="263"/>
      <c r="GN283" s="263"/>
      <c r="GO283" s="263"/>
      <c r="GP283" s="263"/>
      <c r="GQ283" s="263"/>
      <c r="GR283" s="263"/>
      <c r="GS283" s="263"/>
      <c r="GT283" s="263"/>
      <c r="GU283" s="263"/>
      <c r="GV283" s="263"/>
      <c r="GW283" s="263"/>
      <c r="GX283" s="263"/>
      <c r="GY283" s="263"/>
    </row>
    <row r="284" spans="1:207" x14ac:dyDescent="0.15">
      <c r="A284" s="62"/>
      <c r="C284" s="23"/>
      <c r="D284" s="26" t="s">
        <v>415</v>
      </c>
      <c r="F284" s="80"/>
      <c r="G284" s="263">
        <f>IF(G$7&gt;SAP_Leadsheet!$E$21,0,G185*SAP_Leadsheet!$S107)</f>
        <v>0</v>
      </c>
      <c r="H284" s="263">
        <f ca="1">IF(H$7&gt;SAP_Leadsheet!$E$21,0,H185*SAP_Leadsheet!$S107)</f>
        <v>0</v>
      </c>
      <c r="I284" s="263">
        <f ca="1">IF(I$7&gt;SAP_Leadsheet!$E$21,0,I185*SAP_Leadsheet!$S107)</f>
        <v>0</v>
      </c>
      <c r="J284" s="263">
        <f ca="1">IF(J$7&gt;SAP_Leadsheet!$E$21,0,J185*SAP_Leadsheet!$S107)</f>
        <v>0</v>
      </c>
      <c r="K284" s="263">
        <f ca="1">IF(K$7&gt;SAP_Leadsheet!$E$21,0,K185*SAP_Leadsheet!$S107)</f>
        <v>2.4311080044447108E-2</v>
      </c>
      <c r="L284" s="263">
        <f ca="1">IF(L$7&gt;SAP_Leadsheet!$E$21,0,L185*SAP_Leadsheet!$S107)</f>
        <v>4.2854189764466775E-2</v>
      </c>
      <c r="M284" s="263">
        <f ca="1">IF(M$7&gt;SAP_Leadsheet!$E$21,0,M185*SAP_Leadsheet!$S107)</f>
        <v>5.0409684538960997E-2</v>
      </c>
      <c r="N284" s="263">
        <f ca="1">IF(N$7&gt;SAP_Leadsheet!$E$21,0,N185*SAP_Leadsheet!$S107)</f>
        <v>5.0145547592013097E-2</v>
      </c>
      <c r="O284" s="263">
        <f ca="1">IF(O$7&gt;SAP_Leadsheet!$E$21,0,O185*SAP_Leadsheet!$S107)</f>
        <v>4.6109849549855232E-2</v>
      </c>
      <c r="P284" s="263">
        <f ca="1">IF(P$7&gt;SAP_Leadsheet!$E$21,0,P185*SAP_Leadsheet!$S107)</f>
        <v>4.096544853072031E-2</v>
      </c>
      <c r="Q284" s="263">
        <f ca="1">IF(Q$7&gt;SAP_Leadsheet!$E$21,0,Q185*SAP_Leadsheet!$S107)</f>
        <v>3.4714778078176037E-2</v>
      </c>
      <c r="R284" s="263">
        <f ca="1">IF(R$7&gt;SAP_Leadsheet!$E$21,0,R185*SAP_Leadsheet!$S107)</f>
        <v>3.0112125367962327E-2</v>
      </c>
      <c r="S284" s="263">
        <f ca="1">IF(S$7&gt;SAP_Leadsheet!$E$21,0,S185*SAP_Leadsheet!$S107)</f>
        <v>2.5863212206384517E-2</v>
      </c>
      <c r="T284" s="263">
        <f ca="1">IF(T$7&gt;SAP_Leadsheet!$E$21,0,T185*SAP_Leadsheet!$S107)</f>
        <v>2.2023383031165616E-2</v>
      </c>
      <c r="U284" s="263">
        <f ca="1">IF(U$7&gt;SAP_Leadsheet!$E$21,0,U185*SAP_Leadsheet!$S107)</f>
        <v>1.8817398802835929E-2</v>
      </c>
      <c r="V284" s="263">
        <f ca="1">IF(V$7&gt;SAP_Leadsheet!$E$21,0,V185*SAP_Leadsheet!$S107)</f>
        <v>9.4505939635275218E-3</v>
      </c>
      <c r="W284" s="263">
        <f ca="1">IF(W$7&gt;SAP_Leadsheet!$E$21,0,W185*SAP_Leadsheet!$S107)</f>
        <v>9.701694967362005E-3</v>
      </c>
      <c r="X284" s="263">
        <f ca="1">IF(X$7&gt;SAP_Leadsheet!$E$21,0,X185*SAP_Leadsheet!$S107)</f>
        <v>1.1164391479806196E-2</v>
      </c>
      <c r="Y284" s="263">
        <f ca="1">IF(Y$7&gt;SAP_Leadsheet!$E$21,0,Y185*SAP_Leadsheet!$S107)</f>
        <v>1.1513082120810328E-2</v>
      </c>
      <c r="Z284" s="263">
        <f ca="1">IF(Z$7&gt;SAP_Leadsheet!$E$21,0,Z185*SAP_Leadsheet!$S107)</f>
        <v>1.0962139744849282E-2</v>
      </c>
      <c r="AA284" s="263">
        <f ca="1">IF(AA$7&gt;SAP_Leadsheet!$E$21,0,AA185*SAP_Leadsheet!$S107)</f>
        <v>1.1101172095963929E-2</v>
      </c>
      <c r="AB284" s="263">
        <f ca="1">IF(AB$7&gt;SAP_Leadsheet!$E$21,0,AB185*SAP_Leadsheet!$S107)</f>
        <v>1.1378014467337145E-2</v>
      </c>
      <c r="AC284" s="263">
        <f ca="1">IF(AC$7&gt;SAP_Leadsheet!$E$21,0,AC185*SAP_Leadsheet!$S107)</f>
        <v>1.1526299546909169E-2</v>
      </c>
      <c r="AD284" s="263">
        <f ca="1">IF(AD$7&gt;SAP_Leadsheet!$E$21,0,AD185*SAP_Leadsheet!$S107)</f>
        <v>1.1487906143187449E-2</v>
      </c>
      <c r="AE284" s="263">
        <f ca="1">IF(AE$7&gt;SAP_Leadsheet!$E$21,0,AE185*SAP_Leadsheet!$S107)</f>
        <v>1.1088813456019567E-2</v>
      </c>
      <c r="AF284" s="263">
        <f ca="1">IF(AF$7&gt;SAP_Leadsheet!$E$21,0,AF185*SAP_Leadsheet!$S107)</f>
        <v>1.0397033908095278E-2</v>
      </c>
      <c r="AG284" s="263">
        <f ca="1">IF(AG$7&gt;SAP_Leadsheet!$E$21,0,AG185*SAP_Leadsheet!$S107)</f>
        <v>1.0118443364563532E-2</v>
      </c>
      <c r="AH284" s="263">
        <f ca="1">IF(AH$7&gt;SAP_Leadsheet!$E$21,0,AH185*SAP_Leadsheet!$S107)</f>
        <v>8.2781662125511139E-3</v>
      </c>
      <c r="AI284" s="263">
        <f ca="1">IF(AI$7&gt;SAP_Leadsheet!$E$21,0,AI185*SAP_Leadsheet!$S107)</f>
        <v>8.4472922439886855E-3</v>
      </c>
      <c r="AJ284" s="263">
        <f ca="1">IF(AJ$7&gt;SAP_Leadsheet!$E$21,0,AJ185*SAP_Leadsheet!$S107)</f>
        <v>8.9668091278670477E-3</v>
      </c>
      <c r="AK284" s="263">
        <f ca="1">IF(AK$7&gt;SAP_Leadsheet!$E$21,0,AK185*SAP_Leadsheet!$S107)</f>
        <v>9.2877040546625218E-3</v>
      </c>
      <c r="AL284" s="263">
        <f ca="1">IF(AL$7&gt;SAP_Leadsheet!$E$21,0,AL185*SAP_Leadsheet!$S107)</f>
        <v>9.3333906254317953E-3</v>
      </c>
      <c r="AM284" s="263">
        <f ca="1">IF(AM$7&gt;SAP_Leadsheet!$E$21,0,AM185*SAP_Leadsheet!$S107)</f>
        <v>9.1990325228614722E-3</v>
      </c>
      <c r="AN284" s="263">
        <f ca="1">IF(AN$7&gt;SAP_Leadsheet!$E$21,0,AN185*SAP_Leadsheet!$S107)</f>
        <v>8.9850878215116704E-3</v>
      </c>
      <c r="AO284" s="263">
        <f ca="1">IF(AO$7&gt;SAP_Leadsheet!$E$21,0,AO185*SAP_Leadsheet!$S107)</f>
        <v>8.7490723127689393E-3</v>
      </c>
      <c r="AP284" s="263">
        <f ca="1">IF(AP$7&gt;SAP_Leadsheet!$E$21,0,AP185*SAP_Leadsheet!$S107)</f>
        <v>8.8055781987712769E-3</v>
      </c>
      <c r="AQ284" s="263">
        <f ca="1">IF(AQ$7&gt;SAP_Leadsheet!$E$21,0,AQ185*SAP_Leadsheet!$S107)</f>
        <v>8.5294170284716565E-3</v>
      </c>
      <c r="AR284" s="263">
        <f ca="1">IF(AR$7&gt;SAP_Leadsheet!$E$21,0,AR185*SAP_Leadsheet!$S107)</f>
        <v>8.1805059316667587E-3</v>
      </c>
      <c r="AS284" s="263">
        <f ca="1">IF(AS$7&gt;SAP_Leadsheet!$E$21,0,AS185*SAP_Leadsheet!$S107)</f>
        <v>7.5747280544841717E-3</v>
      </c>
      <c r="AT284" s="263">
        <f ca="1">IF(AT$7&gt;SAP_Leadsheet!$E$21,0,AT185*SAP_Leadsheet!$S107)</f>
        <v>6.0920791699667614E-3</v>
      </c>
      <c r="AU284" s="263">
        <f ca="1">IF(AU$7&gt;SAP_Leadsheet!$E$21,0,AU185*SAP_Leadsheet!$S107)</f>
        <v>5.9572282211143267E-3</v>
      </c>
      <c r="AV284" s="263">
        <f ca="1">IF(AV$7&gt;SAP_Leadsheet!$E$21,0,AV185*SAP_Leadsheet!$S107)</f>
        <v>5.8470241158067463E-3</v>
      </c>
      <c r="AW284" s="263">
        <f ca="1">IF(AW$7&gt;SAP_Leadsheet!$E$21,0,AW185*SAP_Leadsheet!$S107)</f>
        <v>5.7487453734863941E-3</v>
      </c>
      <c r="AX284" s="263">
        <f ca="1">IF(AX$7&gt;SAP_Leadsheet!$E$21,0,AX185*SAP_Leadsheet!$S107)</f>
        <v>5.6528631734575011E-3</v>
      </c>
      <c r="AY284" s="263">
        <f ca="1">IF(AY$7&gt;SAP_Leadsheet!$E$21,0,AY185*SAP_Leadsheet!$S107)</f>
        <v>5.5557342463567229E-3</v>
      </c>
      <c r="AZ284" s="263">
        <f ca="1">IF(AZ$7&gt;SAP_Leadsheet!$E$21,0,AZ185*SAP_Leadsheet!$S107)</f>
        <v>5.4568356858370644E-3</v>
      </c>
      <c r="BA284" s="263">
        <f ca="1">IF(BA$7&gt;SAP_Leadsheet!$E$21,0,BA185*SAP_Leadsheet!$S107)</f>
        <v>5.3553669529899477E-3</v>
      </c>
      <c r="BB284" s="263">
        <f ca="1">IF(BB$7&gt;SAP_Leadsheet!$E$21,0,BB185*SAP_Leadsheet!$S107)</f>
        <v>5.2500813668891989E-3</v>
      </c>
      <c r="BC284" s="263">
        <f ca="1">IF(BC$7&gt;SAP_Leadsheet!$E$21,0,BC185*SAP_Leadsheet!$S107)</f>
        <v>5.1369037674175817E-3</v>
      </c>
      <c r="BD284" s="263">
        <f ca="1">IF(BD$7&gt;SAP_Leadsheet!$E$21,0,BD185*SAP_Leadsheet!$S107)</f>
        <v>5.0120557613359193E-3</v>
      </c>
      <c r="BE284" s="263">
        <f ca="1">IF(BE$7&gt;SAP_Leadsheet!$E$21,0,BE185*SAP_Leadsheet!$S107)</f>
        <v>4.8793123436433085E-3</v>
      </c>
      <c r="BF284" s="263">
        <f ca="1">IF(BF$7&gt;SAP_Leadsheet!$E$21,0,BF185*SAP_Leadsheet!$S107)</f>
        <v>4.1738463842178703E-3</v>
      </c>
      <c r="BG284" s="263">
        <f ca="1">IF(BG$7&gt;SAP_Leadsheet!$E$21,0,BG185*SAP_Leadsheet!$S107)</f>
        <v>4.0692320829940959E-3</v>
      </c>
      <c r="BH284" s="263">
        <f ca="1">IF(BH$7&gt;SAP_Leadsheet!$E$21,0,BH185*SAP_Leadsheet!$S107)</f>
        <v>3.9648762077376613E-3</v>
      </c>
      <c r="BI284" s="263">
        <f ca="1">IF(BI$7&gt;SAP_Leadsheet!$E$21,0,BI185*SAP_Leadsheet!$S107)</f>
        <v>3.8614440948168149E-3</v>
      </c>
      <c r="BJ284" s="263">
        <f ca="1">IF(BJ$7&gt;SAP_Leadsheet!$E$21,0,BJ185*SAP_Leadsheet!$S107)</f>
        <v>3.7584999765779602E-3</v>
      </c>
      <c r="BK284" s="263">
        <f ca="1">IF(BK$7&gt;SAP_Leadsheet!$E$21,0,BK185*SAP_Leadsheet!$S107)</f>
        <v>3.655776588304991E-3</v>
      </c>
      <c r="BL284" s="263">
        <f ca="1">IF(BL$7&gt;SAP_Leadsheet!$E$21,0,BL185*SAP_Leadsheet!$S107)</f>
        <v>3.5529509693460171E-3</v>
      </c>
      <c r="BM284" s="263">
        <f ca="1">IF(BM$7&gt;SAP_Leadsheet!$E$21,0,BM185*SAP_Leadsheet!$S107)</f>
        <v>3.4498665183525646E-3</v>
      </c>
      <c r="BN284" s="263">
        <f ca="1">IF(BN$7&gt;SAP_Leadsheet!$E$21,0,BN185*SAP_Leadsheet!$S107)</f>
        <v>3.3464989388010888E-3</v>
      </c>
      <c r="BO284" s="263"/>
      <c r="BP284" s="263"/>
      <c r="BQ284" s="263"/>
      <c r="BR284" s="263"/>
      <c r="BS284" s="263"/>
      <c r="BT284" s="263"/>
      <c r="BU284" s="263"/>
      <c r="BV284" s="263"/>
      <c r="BW284" s="263"/>
      <c r="BX284" s="263"/>
      <c r="BY284" s="263"/>
      <c r="BZ284" s="263"/>
      <c r="CA284" s="263"/>
      <c r="CB284" s="263"/>
      <c r="CC284" s="263"/>
      <c r="CD284" s="263"/>
      <c r="CE284" s="263"/>
      <c r="CF284" s="263"/>
      <c r="CG284" s="263"/>
      <c r="CH284" s="263"/>
      <c r="CI284" s="263"/>
      <c r="CJ284" s="263"/>
      <c r="CK284" s="263"/>
      <c r="CL284" s="263"/>
      <c r="CM284" s="263"/>
      <c r="CN284" s="263"/>
      <c r="CO284" s="263"/>
      <c r="CP284" s="263"/>
      <c r="CQ284" s="263"/>
      <c r="CR284" s="263"/>
      <c r="CS284" s="263"/>
      <c r="CT284" s="263"/>
      <c r="CU284" s="263"/>
      <c r="CV284" s="263"/>
      <c r="CW284" s="263"/>
      <c r="CX284" s="263"/>
      <c r="CY284" s="263"/>
      <c r="CZ284" s="263"/>
      <c r="DA284" s="263"/>
      <c r="DB284" s="263"/>
      <c r="DC284" s="263"/>
      <c r="DD284" s="263"/>
      <c r="DE284" s="263"/>
      <c r="DF284" s="263"/>
      <c r="DG284" s="263"/>
      <c r="DH284" s="263"/>
      <c r="DI284" s="263"/>
      <c r="DJ284" s="263"/>
      <c r="DK284" s="263"/>
      <c r="DL284" s="263"/>
      <c r="DM284" s="263"/>
      <c r="DN284" s="263"/>
      <c r="DO284" s="263"/>
      <c r="DP284" s="263"/>
      <c r="DQ284" s="263"/>
      <c r="DR284" s="263"/>
      <c r="DS284" s="263"/>
      <c r="DT284" s="263"/>
      <c r="DU284" s="263"/>
      <c r="DV284" s="263"/>
      <c r="DW284" s="263"/>
      <c r="DX284" s="263"/>
      <c r="DY284" s="263"/>
      <c r="DZ284" s="263"/>
      <c r="EA284" s="263"/>
      <c r="EB284" s="263"/>
      <c r="EC284" s="263"/>
      <c r="ED284" s="263"/>
      <c r="EE284" s="263"/>
      <c r="EF284" s="263"/>
      <c r="EG284" s="263"/>
      <c r="EH284" s="263"/>
      <c r="EI284" s="263"/>
      <c r="EJ284" s="263"/>
      <c r="EK284" s="263"/>
      <c r="EL284" s="263"/>
      <c r="EM284" s="263"/>
      <c r="EN284" s="263"/>
      <c r="EO284" s="263"/>
      <c r="EP284" s="263"/>
      <c r="EQ284" s="263"/>
      <c r="ER284" s="263"/>
      <c r="ES284" s="263"/>
      <c r="ET284" s="263"/>
      <c r="EU284" s="263"/>
      <c r="EV284" s="263"/>
      <c r="EW284" s="263"/>
      <c r="EX284" s="263"/>
      <c r="EY284" s="263"/>
      <c r="EZ284" s="263"/>
      <c r="FA284" s="263"/>
      <c r="FB284" s="263"/>
      <c r="FC284" s="263"/>
      <c r="FD284" s="263"/>
      <c r="FE284" s="263"/>
      <c r="FF284" s="263"/>
      <c r="FG284" s="263"/>
      <c r="FH284" s="263"/>
      <c r="FI284" s="263"/>
      <c r="FJ284" s="263"/>
      <c r="FK284" s="263"/>
      <c r="FL284" s="263"/>
      <c r="FM284" s="263"/>
      <c r="FN284" s="263"/>
      <c r="FO284" s="263"/>
      <c r="FP284" s="263"/>
      <c r="FQ284" s="263"/>
      <c r="FR284" s="263"/>
      <c r="FS284" s="263"/>
      <c r="FT284" s="263"/>
      <c r="FU284" s="263"/>
      <c r="FV284" s="263"/>
      <c r="FW284" s="263"/>
      <c r="FX284" s="263"/>
      <c r="FY284" s="263"/>
      <c r="FZ284" s="263"/>
      <c r="GA284" s="263"/>
      <c r="GB284" s="263"/>
      <c r="GC284" s="263"/>
      <c r="GD284" s="263"/>
      <c r="GE284" s="263"/>
      <c r="GF284" s="263"/>
      <c r="GG284" s="263"/>
      <c r="GH284" s="263"/>
      <c r="GI284" s="263"/>
      <c r="GJ284" s="263"/>
      <c r="GK284" s="263"/>
      <c r="GL284" s="263"/>
      <c r="GM284" s="263"/>
      <c r="GN284" s="263"/>
      <c r="GO284" s="263"/>
      <c r="GP284" s="263"/>
      <c r="GQ284" s="263"/>
      <c r="GR284" s="263"/>
      <c r="GS284" s="263"/>
      <c r="GT284" s="263"/>
      <c r="GU284" s="263"/>
      <c r="GV284" s="263"/>
      <c r="GW284" s="263"/>
      <c r="GX284" s="263"/>
      <c r="GY284" s="263"/>
    </row>
    <row r="285" spans="1:207" x14ac:dyDescent="0.15">
      <c r="A285" s="62"/>
      <c r="C285" s="23"/>
      <c r="D285" s="26" t="s">
        <v>416</v>
      </c>
      <c r="F285" s="80"/>
      <c r="G285" s="263">
        <f>IF(G$7&gt;SAP_Leadsheet!$E$21,0,G186*SAP_Leadsheet!$S108)</f>
        <v>0</v>
      </c>
      <c r="H285" s="263">
        <f ca="1">IF(H$7&gt;SAP_Leadsheet!$E$21,0,H186*SAP_Leadsheet!$S108)</f>
        <v>0</v>
      </c>
      <c r="I285" s="263">
        <f ca="1">IF(I$7&gt;SAP_Leadsheet!$E$21,0,I186*SAP_Leadsheet!$S108)</f>
        <v>0</v>
      </c>
      <c r="J285" s="263">
        <f ca="1">IF(J$7&gt;SAP_Leadsheet!$E$21,0,J186*SAP_Leadsheet!$S108)</f>
        <v>0</v>
      </c>
      <c r="K285" s="263">
        <f ca="1">IF(K$7&gt;SAP_Leadsheet!$E$21,0,K186*SAP_Leadsheet!$S108)</f>
        <v>0</v>
      </c>
      <c r="L285" s="263">
        <f ca="1">IF(L$7&gt;SAP_Leadsheet!$E$21,0,L186*SAP_Leadsheet!$S108)</f>
        <v>2.4311080044447108E-2</v>
      </c>
      <c r="M285" s="263">
        <f ca="1">IF(M$7&gt;SAP_Leadsheet!$E$21,0,M186*SAP_Leadsheet!$S108)</f>
        <v>4.2854189764466775E-2</v>
      </c>
      <c r="N285" s="263">
        <f ca="1">IF(N$7&gt;SAP_Leadsheet!$E$21,0,N186*SAP_Leadsheet!$S108)</f>
        <v>5.0409684538960997E-2</v>
      </c>
      <c r="O285" s="263">
        <f ca="1">IF(O$7&gt;SAP_Leadsheet!$E$21,0,O186*SAP_Leadsheet!$S108)</f>
        <v>5.0145547592013097E-2</v>
      </c>
      <c r="P285" s="263">
        <f ca="1">IF(P$7&gt;SAP_Leadsheet!$E$21,0,P186*SAP_Leadsheet!$S108)</f>
        <v>4.6109849549855225E-2</v>
      </c>
      <c r="Q285" s="263">
        <f ca="1">IF(Q$7&gt;SAP_Leadsheet!$E$21,0,Q186*SAP_Leadsheet!$S108)</f>
        <v>4.0965448530720303E-2</v>
      </c>
      <c r="R285" s="263">
        <f ca="1">IF(R$7&gt;SAP_Leadsheet!$E$21,0,R186*SAP_Leadsheet!$S108)</f>
        <v>3.4714778078176037E-2</v>
      </c>
      <c r="S285" s="263">
        <f ca="1">IF(S$7&gt;SAP_Leadsheet!$E$21,0,S186*SAP_Leadsheet!$S108)</f>
        <v>2.9828805533338706E-2</v>
      </c>
      <c r="T285" s="263">
        <f ca="1">IF(T$7&gt;SAP_Leadsheet!$E$21,0,T186*SAP_Leadsheet!$S108)</f>
        <v>2.5619869668599235E-2</v>
      </c>
      <c r="U285" s="263">
        <f ca="1">IF(U$7&gt;SAP_Leadsheet!$E$21,0,U186*SAP_Leadsheet!$S108)</f>
        <v>2.1816168788995879E-2</v>
      </c>
      <c r="V285" s="263">
        <f ca="1">IF(V$7&gt;SAP_Leadsheet!$E$21,0,V186*SAP_Leadsheet!$S108)</f>
        <v>1.8640349117643718E-2</v>
      </c>
      <c r="W285" s="263">
        <f ca="1">IF(W$7&gt;SAP_Leadsheet!$E$21,0,W186*SAP_Leadsheet!$S108)</f>
        <v>9.3616749421657711E-3</v>
      </c>
      <c r="X285" s="263">
        <f ca="1">IF(X$7&gt;SAP_Leadsheet!$E$21,0,X186*SAP_Leadsheet!$S108)</f>
        <v>9.6104133796250518E-3</v>
      </c>
      <c r="Y285" s="263">
        <f ca="1">IF(Y$7&gt;SAP_Leadsheet!$E$21,0,Y186*SAP_Leadsheet!$S108)</f>
        <v>1.1059347630888863E-2</v>
      </c>
      <c r="Z285" s="263">
        <f ca="1">IF(Z$7&gt;SAP_Leadsheet!$E$21,0,Z186*SAP_Leadsheet!$S108)</f>
        <v>1.1404757501321776E-2</v>
      </c>
      <c r="AA285" s="263">
        <f ca="1">IF(AA$7&gt;SAP_Leadsheet!$E$21,0,AA186*SAP_Leadsheet!$S108)</f>
        <v>1.0858998847895656E-2</v>
      </c>
      <c r="AB285" s="263">
        <f ca="1">IF(AB$7&gt;SAP_Leadsheet!$E$21,0,AB186*SAP_Leadsheet!$S108)</f>
        <v>1.0996723067410697E-2</v>
      </c>
      <c r="AC285" s="263">
        <f ca="1">IF(AC$7&gt;SAP_Leadsheet!$E$21,0,AC186*SAP_Leadsheet!$S108)</f>
        <v>1.1270960676286553E-2</v>
      </c>
      <c r="AD285" s="263">
        <f ca="1">IF(AD$7&gt;SAP_Leadsheet!$E$21,0,AD186*SAP_Leadsheet!$S108)</f>
        <v>1.1417850566920294E-2</v>
      </c>
      <c r="AE285" s="263">
        <f ca="1">IF(AE$7&gt;SAP_Leadsheet!$E$21,0,AE186*SAP_Leadsheet!$S108)</f>
        <v>1.1546436852863636E-2</v>
      </c>
      <c r="AF285" s="263">
        <f ca="1">IF(AF$7&gt;SAP_Leadsheet!$E$21,0,AF186*SAP_Leadsheet!$S108)</f>
        <v>1.1145310794434241E-2</v>
      </c>
      <c r="AG285" s="263">
        <f ca="1">IF(AG$7&gt;SAP_Leadsheet!$E$21,0,AG186*SAP_Leadsheet!$S108)</f>
        <v>1.0450006640078214E-2</v>
      </c>
      <c r="AH285" s="263">
        <f ca="1">IF(AH$7&gt;SAP_Leadsheet!$E$21,0,AH186*SAP_Leadsheet!$S108)</f>
        <v>1.0169996681901296E-2</v>
      </c>
      <c r="AI285" s="263">
        <f ca="1">IF(AI$7&gt;SAP_Leadsheet!$E$21,0,AI186*SAP_Leadsheet!$S108)</f>
        <v>8.3203433453722577E-3</v>
      </c>
      <c r="AJ285" s="263">
        <f ca="1">IF(AJ$7&gt;SAP_Leadsheet!$E$21,0,AJ186*SAP_Leadsheet!$S108)</f>
        <v>8.4903310714059873E-3</v>
      </c>
      <c r="AK285" s="263">
        <f ca="1">IF(AK$7&gt;SAP_Leadsheet!$E$21,0,AK186*SAP_Leadsheet!$S108)</f>
        <v>9.0124948860237867E-3</v>
      </c>
      <c r="AL285" s="263">
        <f ca="1">IF(AL$7&gt;SAP_Leadsheet!$E$21,0,AL186*SAP_Leadsheet!$S108)</f>
        <v>9.3350247676633122E-3</v>
      </c>
      <c r="AM285" s="263">
        <f ca="1">IF(AM$7&gt;SAP_Leadsheet!$E$21,0,AM186*SAP_Leadsheet!$S108)</f>
        <v>9.3809441108261334E-3</v>
      </c>
      <c r="AN285" s="263">
        <f ca="1">IF(AN$7&gt;SAP_Leadsheet!$E$21,0,AN186*SAP_Leadsheet!$S108)</f>
        <v>9.2459014557363019E-3</v>
      </c>
      <c r="AO285" s="263">
        <f ca="1">IF(AO$7&gt;SAP_Leadsheet!$E$21,0,AO186*SAP_Leadsheet!$S108)</f>
        <v>9.0308667093386575E-3</v>
      </c>
      <c r="AP285" s="263">
        <f ca="1">IF(AP$7&gt;SAP_Leadsheet!$E$21,0,AP186*SAP_Leadsheet!$S108)</f>
        <v>8.7936487051151029E-3</v>
      </c>
      <c r="AQ285" s="263">
        <f ca="1">IF(AQ$7&gt;SAP_Leadsheet!$E$21,0,AQ186*SAP_Leadsheet!$S108)</f>
        <v>8.8504424877599956E-3</v>
      </c>
      <c r="AR285" s="263">
        <f ca="1">IF(AR$7&gt;SAP_Leadsheet!$E$21,0,AR186*SAP_Leadsheet!$S108)</f>
        <v>8.5728742804354226E-3</v>
      </c>
      <c r="AS285" s="263">
        <f ca="1">IF(AS$7&gt;SAP_Leadsheet!$E$21,0,AS186*SAP_Leadsheet!$S108)</f>
        <v>8.2221854868200408E-3</v>
      </c>
      <c r="AT285" s="263">
        <f ca="1">IF(AT$7&gt;SAP_Leadsheet!$E$21,0,AT186*SAP_Leadsheet!$S108)</f>
        <v>7.6133211804295811E-3</v>
      </c>
      <c r="AU285" s="263">
        <f ca="1">IF(AU$7&gt;SAP_Leadsheet!$E$21,0,AU186*SAP_Leadsheet!$S108)</f>
        <v>6.1231182220600911E-3</v>
      </c>
      <c r="AV285" s="263">
        <f ca="1">IF(AV$7&gt;SAP_Leadsheet!$E$21,0,AV186*SAP_Leadsheet!$S108)</f>
        <v>5.9875802096437253E-3</v>
      </c>
      <c r="AW285" s="263">
        <f ca="1">IF(AW$7&gt;SAP_Leadsheet!$E$21,0,AW186*SAP_Leadsheet!$S108)</f>
        <v>5.8768146160707918E-3</v>
      </c>
      <c r="AX285" s="263">
        <f ca="1">IF(AX$7&gt;SAP_Leadsheet!$E$21,0,AX186*SAP_Leadsheet!$S108)</f>
        <v>5.7780351450308284E-3</v>
      </c>
      <c r="AY285" s="263">
        <f ca="1">IF(AY$7&gt;SAP_Leadsheet!$E$21,0,AY186*SAP_Leadsheet!$S108)</f>
        <v>5.681664426629391E-3</v>
      </c>
      <c r="AZ285" s="263">
        <f ca="1">IF(AZ$7&gt;SAP_Leadsheet!$E$21,0,AZ186*SAP_Leadsheet!$S108)</f>
        <v>5.584040629100318E-3</v>
      </c>
      <c r="BA285" s="263">
        <f ca="1">IF(BA$7&gt;SAP_Leadsheet!$E$21,0,BA186*SAP_Leadsheet!$S108)</f>
        <v>5.4846381818966098E-3</v>
      </c>
      <c r="BB285" s="263">
        <f ca="1">IF(BB$7&gt;SAP_Leadsheet!$E$21,0,BB186*SAP_Leadsheet!$S108)</f>
        <v>5.3826524673759434E-3</v>
      </c>
      <c r="BC285" s="263">
        <f ca="1">IF(BC$7&gt;SAP_Leadsheet!$E$21,0,BC186*SAP_Leadsheet!$S108)</f>
        <v>5.2768304527915045E-3</v>
      </c>
      <c r="BD285" s="263">
        <f ca="1">IF(BD$7&gt;SAP_Leadsheet!$E$21,0,BD186*SAP_Leadsheet!$S108)</f>
        <v>5.16307621514632E-3</v>
      </c>
      <c r="BE285" s="263">
        <f ca="1">IF(BE$7&gt;SAP_Leadsheet!$E$21,0,BE186*SAP_Leadsheet!$S108)</f>
        <v>5.0375921103442698E-3</v>
      </c>
      <c r="BF285" s="263">
        <f ca="1">IF(BF$7&gt;SAP_Leadsheet!$E$21,0,BF186*SAP_Leadsheet!$S108)</f>
        <v>4.9041723669274104E-3</v>
      </c>
      <c r="BG285" s="263">
        <f ca="1">IF(BG$7&gt;SAP_Leadsheet!$E$21,0,BG186*SAP_Leadsheet!$S108)</f>
        <v>4.1951120690087006E-3</v>
      </c>
      <c r="BH285" s="263">
        <f ca="1">IF(BH$7&gt;SAP_Leadsheet!$E$21,0,BH186*SAP_Leadsheet!$S108)</f>
        <v>4.0899647594876262E-3</v>
      </c>
      <c r="BI285" s="263">
        <f ca="1">IF(BI$7&gt;SAP_Leadsheet!$E$21,0,BI186*SAP_Leadsheet!$S108)</f>
        <v>3.9850771926103253E-3</v>
      </c>
      <c r="BJ285" s="263">
        <f ca="1">IF(BJ$7&gt;SAP_Leadsheet!$E$21,0,BJ186*SAP_Leadsheet!$S108)</f>
        <v>3.881118094623871E-3</v>
      </c>
      <c r="BK285" s="263">
        <f ca="1">IF(BK$7&gt;SAP_Leadsheet!$E$21,0,BK186*SAP_Leadsheet!$S108)</f>
        <v>3.7776494776450018E-3</v>
      </c>
      <c r="BL285" s="263">
        <f ca="1">IF(BL$7&gt;SAP_Leadsheet!$E$21,0,BL186*SAP_Leadsheet!$S108)</f>
        <v>3.6744027152478872E-3</v>
      </c>
      <c r="BM285" s="263">
        <f ca="1">IF(BM$7&gt;SAP_Leadsheet!$E$21,0,BM186*SAP_Leadsheet!$S108)</f>
        <v>3.5710532013009536E-3</v>
      </c>
      <c r="BN285" s="263">
        <f ca="1">IF(BN$7&gt;SAP_Leadsheet!$E$21,0,BN186*SAP_Leadsheet!$S108)</f>
        <v>3.4674435365742045E-3</v>
      </c>
      <c r="BO285" s="263"/>
      <c r="BP285" s="263"/>
      <c r="BQ285" s="263"/>
      <c r="BR285" s="263"/>
      <c r="BS285" s="263"/>
      <c r="BT285" s="263"/>
      <c r="BU285" s="263"/>
      <c r="BV285" s="263"/>
      <c r="BW285" s="263"/>
      <c r="BX285" s="263"/>
      <c r="BY285" s="263"/>
      <c r="BZ285" s="263"/>
      <c r="CA285" s="263"/>
      <c r="CB285" s="263"/>
      <c r="CC285" s="263"/>
      <c r="CD285" s="263"/>
      <c r="CE285" s="263"/>
      <c r="CF285" s="263"/>
      <c r="CG285" s="263"/>
      <c r="CH285" s="263"/>
      <c r="CI285" s="263"/>
      <c r="CJ285" s="263"/>
      <c r="CK285" s="263"/>
      <c r="CL285" s="263"/>
      <c r="CM285" s="263"/>
      <c r="CN285" s="263"/>
      <c r="CO285" s="263"/>
      <c r="CP285" s="263"/>
      <c r="CQ285" s="263"/>
      <c r="CR285" s="263"/>
      <c r="CS285" s="263"/>
      <c r="CT285" s="263"/>
      <c r="CU285" s="263"/>
      <c r="CV285" s="263"/>
      <c r="CW285" s="263"/>
      <c r="CX285" s="263"/>
      <c r="CY285" s="263"/>
      <c r="CZ285" s="263"/>
      <c r="DA285" s="263"/>
      <c r="DB285" s="263"/>
      <c r="DC285" s="263"/>
      <c r="DD285" s="263"/>
      <c r="DE285" s="263"/>
      <c r="DF285" s="263"/>
      <c r="DG285" s="263"/>
      <c r="DH285" s="263"/>
      <c r="DI285" s="263"/>
      <c r="DJ285" s="263"/>
      <c r="DK285" s="263"/>
      <c r="DL285" s="263"/>
      <c r="DM285" s="263"/>
      <c r="DN285" s="263"/>
      <c r="DO285" s="263"/>
      <c r="DP285" s="263"/>
      <c r="DQ285" s="263"/>
      <c r="DR285" s="263"/>
      <c r="DS285" s="263"/>
      <c r="DT285" s="263"/>
      <c r="DU285" s="263"/>
      <c r="DV285" s="263"/>
      <c r="DW285" s="263"/>
      <c r="DX285" s="263"/>
      <c r="DY285" s="263"/>
      <c r="DZ285" s="263"/>
      <c r="EA285" s="263"/>
      <c r="EB285" s="263"/>
      <c r="EC285" s="263"/>
      <c r="ED285" s="263"/>
      <c r="EE285" s="263"/>
      <c r="EF285" s="263"/>
      <c r="EG285" s="263"/>
      <c r="EH285" s="263"/>
      <c r="EI285" s="263"/>
      <c r="EJ285" s="263"/>
      <c r="EK285" s="263"/>
      <c r="EL285" s="263"/>
      <c r="EM285" s="263"/>
      <c r="EN285" s="263"/>
      <c r="EO285" s="263"/>
      <c r="EP285" s="263"/>
      <c r="EQ285" s="263"/>
      <c r="ER285" s="263"/>
      <c r="ES285" s="263"/>
      <c r="ET285" s="263"/>
      <c r="EU285" s="263"/>
      <c r="EV285" s="263"/>
      <c r="EW285" s="263"/>
      <c r="EX285" s="263"/>
      <c r="EY285" s="263"/>
      <c r="EZ285" s="263"/>
      <c r="FA285" s="263"/>
      <c r="FB285" s="263"/>
      <c r="FC285" s="263"/>
      <c r="FD285" s="263"/>
      <c r="FE285" s="263"/>
      <c r="FF285" s="263"/>
      <c r="FG285" s="263"/>
      <c r="FH285" s="263"/>
      <c r="FI285" s="263"/>
      <c r="FJ285" s="263"/>
      <c r="FK285" s="263"/>
      <c r="FL285" s="263"/>
      <c r="FM285" s="263"/>
      <c r="FN285" s="263"/>
      <c r="FO285" s="263"/>
      <c r="FP285" s="263"/>
      <c r="FQ285" s="263"/>
      <c r="FR285" s="263"/>
      <c r="FS285" s="263"/>
      <c r="FT285" s="263"/>
      <c r="FU285" s="263"/>
      <c r="FV285" s="263"/>
      <c r="FW285" s="263"/>
      <c r="FX285" s="263"/>
      <c r="FY285" s="263"/>
      <c r="FZ285" s="263"/>
      <c r="GA285" s="263"/>
      <c r="GB285" s="263"/>
      <c r="GC285" s="263"/>
      <c r="GD285" s="263"/>
      <c r="GE285" s="263"/>
      <c r="GF285" s="263"/>
      <c r="GG285" s="263"/>
      <c r="GH285" s="263"/>
      <c r="GI285" s="263"/>
      <c r="GJ285" s="263"/>
      <c r="GK285" s="263"/>
      <c r="GL285" s="263"/>
      <c r="GM285" s="263"/>
      <c r="GN285" s="263"/>
      <c r="GO285" s="263"/>
      <c r="GP285" s="263"/>
      <c r="GQ285" s="263"/>
      <c r="GR285" s="263"/>
      <c r="GS285" s="263"/>
      <c r="GT285" s="263"/>
      <c r="GU285" s="263"/>
      <c r="GV285" s="263"/>
      <c r="GW285" s="263"/>
      <c r="GX285" s="263"/>
      <c r="GY285" s="263"/>
    </row>
    <row r="286" spans="1:207" x14ac:dyDescent="0.15">
      <c r="A286" s="62"/>
      <c r="C286" s="23"/>
      <c r="D286" s="26" t="s">
        <v>417</v>
      </c>
      <c r="F286" s="80"/>
      <c r="G286" s="263">
        <f>IF(G$7&gt;SAP_Leadsheet!$E$21,0,G187*SAP_Leadsheet!$S109)</f>
        <v>0</v>
      </c>
      <c r="H286" s="263">
        <f ca="1">IF(H$7&gt;SAP_Leadsheet!$E$21,0,H187*SAP_Leadsheet!$S109)</f>
        <v>0</v>
      </c>
      <c r="I286" s="263">
        <f ca="1">IF(I$7&gt;SAP_Leadsheet!$E$21,0,I187*SAP_Leadsheet!$S109)</f>
        <v>0</v>
      </c>
      <c r="J286" s="263">
        <f ca="1">IF(J$7&gt;SAP_Leadsheet!$E$21,0,J187*SAP_Leadsheet!$S109)</f>
        <v>0</v>
      </c>
      <c r="K286" s="263">
        <f ca="1">IF(K$7&gt;SAP_Leadsheet!$E$21,0,K187*SAP_Leadsheet!$S109)</f>
        <v>0</v>
      </c>
      <c r="L286" s="263">
        <f ca="1">IF(L$7&gt;SAP_Leadsheet!$E$21,0,L187*SAP_Leadsheet!$S109)</f>
        <v>0</v>
      </c>
      <c r="M286" s="263">
        <f ca="1">IF(M$7&gt;SAP_Leadsheet!$E$21,0,M187*SAP_Leadsheet!$S109)</f>
        <v>2.4311080044447108E-2</v>
      </c>
      <c r="N286" s="263">
        <f ca="1">IF(N$7&gt;SAP_Leadsheet!$E$21,0,N187*SAP_Leadsheet!$S109)</f>
        <v>4.2854189764466775E-2</v>
      </c>
      <c r="O286" s="263">
        <f ca="1">IF(O$7&gt;SAP_Leadsheet!$E$21,0,O187*SAP_Leadsheet!$S109)</f>
        <v>5.0409684538960997E-2</v>
      </c>
      <c r="P286" s="263">
        <f ca="1">IF(P$7&gt;SAP_Leadsheet!$E$21,0,P187*SAP_Leadsheet!$S109)</f>
        <v>5.0145547592013104E-2</v>
      </c>
      <c r="Q286" s="263">
        <f ca="1">IF(Q$7&gt;SAP_Leadsheet!$E$21,0,Q187*SAP_Leadsheet!$S109)</f>
        <v>4.6109849549855225E-2</v>
      </c>
      <c r="R286" s="263">
        <f ca="1">IF(R$7&gt;SAP_Leadsheet!$E$21,0,R187*SAP_Leadsheet!$S109)</f>
        <v>4.0965448530720303E-2</v>
      </c>
      <c r="S286" s="263">
        <f ca="1">IF(S$7&gt;SAP_Leadsheet!$E$21,0,S187*SAP_Leadsheet!$S109)</f>
        <v>3.4649986365371338E-2</v>
      </c>
      <c r="T286" s="263">
        <f ca="1">IF(T$7&gt;SAP_Leadsheet!$E$21,0,T187*SAP_Leadsheet!$S109)</f>
        <v>2.9773133006869689E-2</v>
      </c>
      <c r="U286" s="263">
        <f ca="1">IF(U$7&gt;SAP_Leadsheet!$E$21,0,U187*SAP_Leadsheet!$S109)</f>
        <v>2.5572052706211532E-2</v>
      </c>
      <c r="V286" s="263">
        <f ca="1">IF(V$7&gt;SAP_Leadsheet!$E$21,0,V187*SAP_Leadsheet!$S109)</f>
        <v>2.1775451059517892E-2</v>
      </c>
      <c r="W286" s="263">
        <f ca="1">IF(W$7&gt;SAP_Leadsheet!$E$21,0,W187*SAP_Leadsheet!$S109)</f>
        <v>1.8605558742665951E-2</v>
      </c>
      <c r="X286" s="263">
        <f ca="1">IF(X$7&gt;SAP_Leadsheet!$E$21,0,X187*SAP_Leadsheet!$S109)</f>
        <v>9.3442022983004445E-3</v>
      </c>
      <c r="Y286" s="263">
        <f ca="1">IF(Y$7&gt;SAP_Leadsheet!$E$21,0,Y187*SAP_Leadsheet!$S109)</f>
        <v>9.5924764899746311E-3</v>
      </c>
      <c r="Z286" s="263">
        <f ca="1">IF(Z$7&gt;SAP_Leadsheet!$E$21,0,Z187*SAP_Leadsheet!$S109)</f>
        <v>1.1038706448223249E-2</v>
      </c>
      <c r="AA286" s="263">
        <f ca="1">IF(AA$7&gt;SAP_Leadsheet!$E$21,0,AA187*SAP_Leadsheet!$S109)</f>
        <v>1.1383471645166544E-2</v>
      </c>
      <c r="AB286" s="263">
        <f ca="1">IF(AB$7&gt;SAP_Leadsheet!$E$21,0,AB187*SAP_Leadsheet!$S109)</f>
        <v>1.0838731596492953E-2</v>
      </c>
      <c r="AC286" s="263">
        <f ca="1">IF(AC$7&gt;SAP_Leadsheet!$E$21,0,AC187*SAP_Leadsheet!$S109)</f>
        <v>1.097619876732236E-2</v>
      </c>
      <c r="AD286" s="263">
        <f ca="1">IF(AD$7&gt;SAP_Leadsheet!$E$21,0,AD187*SAP_Leadsheet!$S109)</f>
        <v>1.1249924538722127E-2</v>
      </c>
      <c r="AE286" s="263">
        <f ca="1">IF(AE$7&gt;SAP_Leadsheet!$E$21,0,AE187*SAP_Leadsheet!$S109)</f>
        <v>1.1472506007750825E-2</v>
      </c>
      <c r="AF286" s="263">
        <f ca="1">IF(AF$7&gt;SAP_Leadsheet!$E$21,0,AF187*SAP_Leadsheet!$S109)</f>
        <v>1.1601707815862877E-2</v>
      </c>
      <c r="AG286" s="263">
        <f ca="1">IF(AG$7&gt;SAP_Leadsheet!$E$21,0,AG187*SAP_Leadsheet!$S109)</f>
        <v>1.1198661630573915E-2</v>
      </c>
      <c r="AH286" s="263">
        <f ca="1">IF(AH$7&gt;SAP_Leadsheet!$E$21,0,AH187*SAP_Leadsheet!$S109)</f>
        <v>1.0500029165443028E-2</v>
      </c>
      <c r="AI286" s="263">
        <f ca="1">IF(AI$7&gt;SAP_Leadsheet!$E$21,0,AI187*SAP_Leadsheet!$S109)</f>
        <v>1.0218678843980446E-2</v>
      </c>
      <c r="AJ286" s="263">
        <f ca="1">IF(AJ$7&gt;SAP_Leadsheet!$E$21,0,AJ187*SAP_Leadsheet!$S109)</f>
        <v>8.3601715101163463E-3</v>
      </c>
      <c r="AK286" s="263">
        <f ca="1">IF(AK$7&gt;SAP_Leadsheet!$E$21,0,AK187*SAP_Leadsheet!$S109)</f>
        <v>8.5309729404499969E-3</v>
      </c>
      <c r="AL286" s="263">
        <f ca="1">IF(AL$7&gt;SAP_Leadsheet!$E$21,0,AL187*SAP_Leadsheet!$S109)</f>
        <v>9.0556362704806489E-3</v>
      </c>
      <c r="AM286" s="263">
        <f ca="1">IF(AM$7&gt;SAP_Leadsheet!$E$21,0,AM187*SAP_Leadsheet!$S109)</f>
        <v>9.3797100515396591E-3</v>
      </c>
      <c r="AN286" s="263">
        <f ca="1">IF(AN$7&gt;SAP_Leadsheet!$E$21,0,AN187*SAP_Leadsheet!$S109)</f>
        <v>9.4258492033195678E-3</v>
      </c>
      <c r="AO286" s="263">
        <f ca="1">IF(AO$7&gt;SAP_Leadsheet!$E$21,0,AO187*SAP_Leadsheet!$S109)</f>
        <v>9.2901601204453104E-3</v>
      </c>
      <c r="AP286" s="263">
        <f ca="1">IF(AP$7&gt;SAP_Leadsheet!$E$21,0,AP187*SAP_Leadsheet!$S109)</f>
        <v>9.074096036801628E-3</v>
      </c>
      <c r="AQ286" s="263">
        <f ca="1">IF(AQ$7&gt;SAP_Leadsheet!$E$21,0,AQ187*SAP_Leadsheet!$S109)</f>
        <v>8.8357425075930706E-3</v>
      </c>
      <c r="AR286" s="263">
        <f ca="1">IF(AR$7&gt;SAP_Leadsheet!$E$21,0,AR187*SAP_Leadsheet!$S109)</f>
        <v>8.8928081530731517E-3</v>
      </c>
      <c r="AS286" s="263">
        <f ca="1">IF(AS$7&gt;SAP_Leadsheet!$E$21,0,AS187*SAP_Leadsheet!$S109)</f>
        <v>8.6139112707372036E-3</v>
      </c>
      <c r="AT286" s="263">
        <f ca="1">IF(AT$7&gt;SAP_Leadsheet!$E$21,0,AT187*SAP_Leadsheet!$S109)</f>
        <v>8.2615437854541545E-3</v>
      </c>
      <c r="AU286" s="263">
        <f ca="1">IF(AU$7&gt;SAP_Leadsheet!$E$21,0,AU187*SAP_Leadsheet!$S109)</f>
        <v>7.6497649421395416E-3</v>
      </c>
      <c r="AV286" s="263">
        <f ca="1">IF(AV$7&gt;SAP_Leadsheet!$E$21,0,AV187*SAP_Leadsheet!$S109)</f>
        <v>6.1524286184190796E-3</v>
      </c>
      <c r="AW286" s="263">
        <f ca="1">IF(AW$7&gt;SAP_Leadsheet!$E$21,0,AW187*SAP_Leadsheet!$S109)</f>
        <v>6.016241807021286E-3</v>
      </c>
      <c r="AX286" s="263">
        <f ca="1">IF(AX$7&gt;SAP_Leadsheet!$E$21,0,AX187*SAP_Leadsheet!$S109)</f>
        <v>5.904945996109274E-3</v>
      </c>
      <c r="AY286" s="263">
        <f ca="1">IF(AY$7&gt;SAP_Leadsheet!$E$21,0,AY187*SAP_Leadsheet!$S109)</f>
        <v>5.8056936833988894E-3</v>
      </c>
      <c r="AZ286" s="263">
        <f ca="1">IF(AZ$7&gt;SAP_Leadsheet!$E$21,0,AZ187*SAP_Leadsheet!$S109)</f>
        <v>5.7088616536441006E-3</v>
      </c>
      <c r="BA286" s="263">
        <f ca="1">IF(BA$7&gt;SAP_Leadsheet!$E$21,0,BA187*SAP_Leadsheet!$S109)</f>
        <v>5.6107705464705174E-3</v>
      </c>
      <c r="BB286" s="263">
        <f ca="1">IF(BB$7&gt;SAP_Leadsheet!$E$21,0,BB187*SAP_Leadsheet!$S109)</f>
        <v>5.5108922755082385E-3</v>
      </c>
      <c r="BC286" s="263">
        <f ca="1">IF(BC$7&gt;SAP_Leadsheet!$E$21,0,BC187*SAP_Leadsheet!$S109)</f>
        <v>5.4084183715378256E-3</v>
      </c>
      <c r="BD286" s="263">
        <f ca="1">IF(BD$7&gt;SAP_Leadsheet!$E$21,0,BD187*SAP_Leadsheet!$S109)</f>
        <v>5.3020898037433248E-3</v>
      </c>
      <c r="BE286" s="263">
        <f ca="1">IF(BE$7&gt;SAP_Leadsheet!$E$21,0,BE187*SAP_Leadsheet!$S109)</f>
        <v>5.1877910425936159E-3</v>
      </c>
      <c r="BF286" s="263">
        <f ca="1">IF(BF$7&gt;SAP_Leadsheet!$E$21,0,BF187*SAP_Leadsheet!$S109)</f>
        <v>5.0617062652722512E-3</v>
      </c>
      <c r="BG286" s="263">
        <f ca="1">IF(BG$7&gt;SAP_Leadsheet!$E$21,0,BG187*SAP_Leadsheet!$S109)</f>
        <v>4.9276478626919E-3</v>
      </c>
      <c r="BH286" s="263">
        <f ca="1">IF(BH$7&gt;SAP_Leadsheet!$E$21,0,BH187*SAP_Leadsheet!$S109)</f>
        <v>4.2151934055195701E-3</v>
      </c>
      <c r="BI286" s="263">
        <f ca="1">IF(BI$7&gt;SAP_Leadsheet!$E$21,0,BI187*SAP_Leadsheet!$S109)</f>
        <v>4.1095427724946237E-3</v>
      </c>
      <c r="BJ286" s="263">
        <f ca="1">IF(BJ$7&gt;SAP_Leadsheet!$E$21,0,BJ187*SAP_Leadsheet!$S109)</f>
        <v>4.0041531254603156E-3</v>
      </c>
      <c r="BK286" s="263">
        <f ca="1">IF(BK$7&gt;SAP_Leadsheet!$E$21,0,BK187*SAP_Leadsheet!$S109)</f>
        <v>3.8996963917502657E-3</v>
      </c>
      <c r="BL286" s="263">
        <f ca="1">IF(BL$7&gt;SAP_Leadsheet!$E$21,0,BL187*SAP_Leadsheet!$S109)</f>
        <v>3.7957324869026363E-3</v>
      </c>
      <c r="BM286" s="263">
        <f ca="1">IF(BM$7&gt;SAP_Leadsheet!$E$21,0,BM187*SAP_Leadsheet!$S109)</f>
        <v>3.691991498619479E-3</v>
      </c>
      <c r="BN286" s="263">
        <f ca="1">IF(BN$7&gt;SAP_Leadsheet!$E$21,0,BN187*SAP_Leadsheet!$S109)</f>
        <v>3.5881472669311207E-3</v>
      </c>
      <c r="BO286" s="263"/>
      <c r="BP286" s="263"/>
      <c r="BQ286" s="263"/>
      <c r="BR286" s="263"/>
      <c r="BS286" s="263"/>
      <c r="BT286" s="263"/>
      <c r="BU286" s="263"/>
      <c r="BV286" s="263"/>
      <c r="BW286" s="263"/>
      <c r="BX286" s="263"/>
      <c r="BY286" s="263"/>
      <c r="BZ286" s="263"/>
      <c r="CA286" s="263"/>
      <c r="CB286" s="263"/>
      <c r="CC286" s="263"/>
      <c r="CD286" s="263"/>
      <c r="CE286" s="263"/>
      <c r="CF286" s="263"/>
      <c r="CG286" s="263"/>
      <c r="CH286" s="263"/>
      <c r="CI286" s="263"/>
      <c r="CJ286" s="263"/>
      <c r="CK286" s="263"/>
      <c r="CL286" s="263"/>
      <c r="CM286" s="263"/>
      <c r="CN286" s="263"/>
      <c r="CO286" s="263"/>
      <c r="CP286" s="263"/>
      <c r="CQ286" s="263"/>
      <c r="CR286" s="263"/>
      <c r="CS286" s="263"/>
      <c r="CT286" s="263"/>
      <c r="CU286" s="263"/>
      <c r="CV286" s="263"/>
      <c r="CW286" s="263"/>
      <c r="CX286" s="263"/>
      <c r="CY286" s="263"/>
      <c r="CZ286" s="263"/>
      <c r="DA286" s="263"/>
      <c r="DB286" s="263"/>
      <c r="DC286" s="263"/>
      <c r="DD286" s="263"/>
      <c r="DE286" s="263"/>
      <c r="DF286" s="263"/>
      <c r="DG286" s="263"/>
      <c r="DH286" s="263"/>
      <c r="DI286" s="263"/>
      <c r="DJ286" s="263"/>
      <c r="DK286" s="263"/>
      <c r="DL286" s="263"/>
      <c r="DM286" s="263"/>
      <c r="DN286" s="263"/>
      <c r="DO286" s="263"/>
      <c r="DP286" s="263"/>
      <c r="DQ286" s="263"/>
      <c r="DR286" s="263"/>
      <c r="DS286" s="263"/>
      <c r="DT286" s="263"/>
      <c r="DU286" s="263"/>
      <c r="DV286" s="263"/>
      <c r="DW286" s="263"/>
      <c r="DX286" s="263"/>
      <c r="DY286" s="263"/>
      <c r="DZ286" s="263"/>
      <c r="EA286" s="263"/>
      <c r="EB286" s="263"/>
      <c r="EC286" s="263"/>
      <c r="ED286" s="263"/>
      <c r="EE286" s="263"/>
      <c r="EF286" s="263"/>
      <c r="EG286" s="263"/>
      <c r="EH286" s="263"/>
      <c r="EI286" s="263"/>
      <c r="EJ286" s="263"/>
      <c r="EK286" s="263"/>
      <c r="EL286" s="263"/>
      <c r="EM286" s="263"/>
      <c r="EN286" s="263"/>
      <c r="EO286" s="263"/>
      <c r="EP286" s="263"/>
      <c r="EQ286" s="263"/>
      <c r="ER286" s="263"/>
      <c r="ES286" s="263"/>
      <c r="ET286" s="263"/>
      <c r="EU286" s="263"/>
      <c r="EV286" s="263"/>
      <c r="EW286" s="263"/>
      <c r="EX286" s="263"/>
      <c r="EY286" s="263"/>
      <c r="EZ286" s="263"/>
      <c r="FA286" s="263"/>
      <c r="FB286" s="263"/>
      <c r="FC286" s="263"/>
      <c r="FD286" s="263"/>
      <c r="FE286" s="263"/>
      <c r="FF286" s="263"/>
      <c r="FG286" s="263"/>
      <c r="FH286" s="263"/>
      <c r="FI286" s="263"/>
      <c r="FJ286" s="263"/>
      <c r="FK286" s="263"/>
      <c r="FL286" s="263"/>
      <c r="FM286" s="263"/>
      <c r="FN286" s="263"/>
      <c r="FO286" s="263"/>
      <c r="FP286" s="263"/>
      <c r="FQ286" s="263"/>
      <c r="FR286" s="263"/>
      <c r="FS286" s="263"/>
      <c r="FT286" s="263"/>
      <c r="FU286" s="263"/>
      <c r="FV286" s="263"/>
      <c r="FW286" s="263"/>
      <c r="FX286" s="263"/>
      <c r="FY286" s="263"/>
      <c r="FZ286" s="263"/>
      <c r="GA286" s="263"/>
      <c r="GB286" s="263"/>
      <c r="GC286" s="263"/>
      <c r="GD286" s="263"/>
      <c r="GE286" s="263"/>
      <c r="GF286" s="263"/>
      <c r="GG286" s="263"/>
      <c r="GH286" s="263"/>
      <c r="GI286" s="263"/>
      <c r="GJ286" s="263"/>
      <c r="GK286" s="263"/>
      <c r="GL286" s="263"/>
      <c r="GM286" s="263"/>
      <c r="GN286" s="263"/>
      <c r="GO286" s="263"/>
      <c r="GP286" s="263"/>
      <c r="GQ286" s="263"/>
      <c r="GR286" s="263"/>
      <c r="GS286" s="263"/>
      <c r="GT286" s="263"/>
      <c r="GU286" s="263"/>
      <c r="GV286" s="263"/>
      <c r="GW286" s="263"/>
      <c r="GX286" s="263"/>
      <c r="GY286" s="263"/>
    </row>
    <row r="287" spans="1:207" x14ac:dyDescent="0.15">
      <c r="A287" s="62"/>
      <c r="C287" s="23"/>
      <c r="D287" s="26" t="s">
        <v>418</v>
      </c>
      <c r="F287" s="80"/>
      <c r="G287" s="263">
        <f>IF(G$7&gt;SAP_Leadsheet!$E$21,0,G188*SAP_Leadsheet!$S110)</f>
        <v>0</v>
      </c>
      <c r="H287" s="263">
        <f ca="1">IF(H$7&gt;SAP_Leadsheet!$E$21,0,H188*SAP_Leadsheet!$S110)</f>
        <v>0</v>
      </c>
      <c r="I287" s="263">
        <f ca="1">IF(I$7&gt;SAP_Leadsheet!$E$21,0,I188*SAP_Leadsheet!$S110)</f>
        <v>0</v>
      </c>
      <c r="J287" s="263">
        <f ca="1">IF(J$7&gt;SAP_Leadsheet!$E$21,0,J188*SAP_Leadsheet!$S110)</f>
        <v>0</v>
      </c>
      <c r="K287" s="263">
        <f ca="1">IF(K$7&gt;SAP_Leadsheet!$E$21,0,K188*SAP_Leadsheet!$S110)</f>
        <v>0</v>
      </c>
      <c r="L287" s="263">
        <f ca="1">IF(L$7&gt;SAP_Leadsheet!$E$21,0,L188*SAP_Leadsheet!$S110)</f>
        <v>0</v>
      </c>
      <c r="M287" s="263">
        <f ca="1">IF(M$7&gt;SAP_Leadsheet!$E$21,0,M188*SAP_Leadsheet!$S110)</f>
        <v>0</v>
      </c>
      <c r="N287" s="263">
        <f ca="1">IF(N$7&gt;SAP_Leadsheet!$E$21,0,N188*SAP_Leadsheet!$S110)</f>
        <v>2.4311080044447108E-2</v>
      </c>
      <c r="O287" s="263">
        <f ca="1">IF(O$7&gt;SAP_Leadsheet!$E$21,0,O188*SAP_Leadsheet!$S110)</f>
        <v>4.2854189764466775E-2</v>
      </c>
      <c r="P287" s="263">
        <f ca="1">IF(P$7&gt;SAP_Leadsheet!$E$21,0,P188*SAP_Leadsheet!$S110)</f>
        <v>5.0409684538960997E-2</v>
      </c>
      <c r="Q287" s="263">
        <f ca="1">IF(Q$7&gt;SAP_Leadsheet!$E$21,0,Q188*SAP_Leadsheet!$S110)</f>
        <v>5.0145547592013104E-2</v>
      </c>
      <c r="R287" s="263">
        <f ca="1">IF(R$7&gt;SAP_Leadsheet!$E$21,0,R188*SAP_Leadsheet!$S110)</f>
        <v>4.6109849549855225E-2</v>
      </c>
      <c r="S287" s="263">
        <f ca="1">IF(S$7&gt;SAP_Leadsheet!$E$21,0,S188*SAP_Leadsheet!$S110)</f>
        <v>4.06945807410109E-2</v>
      </c>
      <c r="T287" s="263">
        <f ca="1">IF(T$7&gt;SAP_Leadsheet!$E$21,0,T188*SAP_Leadsheet!$S110)</f>
        <v>3.4420877065781695E-2</v>
      </c>
      <c r="U287" s="263">
        <f ca="1">IF(U$7&gt;SAP_Leadsheet!$E$21,0,U188*SAP_Leadsheet!$S110)</f>
        <v>2.9576269966928918E-2</v>
      </c>
      <c r="V287" s="263">
        <f ca="1">IF(V$7&gt;SAP_Leadsheet!$E$21,0,V188*SAP_Leadsheet!$S110)</f>
        <v>2.5402967644451022E-2</v>
      </c>
      <c r="W287" s="263">
        <f ca="1">IF(W$7&gt;SAP_Leadsheet!$E$21,0,W188*SAP_Leadsheet!$S110)</f>
        <v>2.1631469521173605E-2</v>
      </c>
      <c r="X287" s="263">
        <f ca="1">IF(X$7&gt;SAP_Leadsheet!$E$21,0,X188*SAP_Leadsheet!$S110)</f>
        <v>1.8482536860721828E-2</v>
      </c>
      <c r="Y287" s="263">
        <f ca="1">IF(Y$7&gt;SAP_Leadsheet!$E$21,0,Y188*SAP_Leadsheet!$S110)</f>
        <v>9.2824174646438558E-3</v>
      </c>
      <c r="Z287" s="263">
        <f ca="1">IF(Z$7&gt;SAP_Leadsheet!$E$21,0,Z188*SAP_Leadsheet!$S110)</f>
        <v>9.5290500416414618E-3</v>
      </c>
      <c r="AA287" s="263">
        <f ca="1">IF(AA$7&gt;SAP_Leadsheet!$E$21,0,AA188*SAP_Leadsheet!$S110)</f>
        <v>1.0965717377576583E-2</v>
      </c>
      <c r="AB287" s="263">
        <f ca="1">IF(AB$7&gt;SAP_Leadsheet!$E$21,0,AB188*SAP_Leadsheet!$S110)</f>
        <v>1.1308202951319981E-2</v>
      </c>
      <c r="AC287" s="263">
        <f ca="1">IF(AC$7&gt;SAP_Leadsheet!$E$21,0,AC188*SAP_Leadsheet!$S110)</f>
        <v>1.0767064780283341E-2</v>
      </c>
      <c r="AD287" s="263">
        <f ca="1">IF(AD$7&gt;SAP_Leadsheet!$E$21,0,AD188*SAP_Leadsheet!$S110)</f>
        <v>1.0903623003937612E-2</v>
      </c>
      <c r="AE287" s="263">
        <f ca="1">IF(AE$7&gt;SAP_Leadsheet!$E$21,0,AE188*SAP_Leadsheet!$S110)</f>
        <v>1.121341386829695E-2</v>
      </c>
      <c r="AF287" s="263">
        <f ca="1">IF(AF$7&gt;SAP_Leadsheet!$E$21,0,AF188*SAP_Leadsheet!$S110)</f>
        <v>1.1435272968155037E-2</v>
      </c>
      <c r="AG287" s="263">
        <f ca="1">IF(AG$7&gt;SAP_Leadsheet!$E$21,0,AG188*SAP_Leadsheet!$S110)</f>
        <v>1.1564055462820312E-2</v>
      </c>
      <c r="AH287" s="263">
        <f ca="1">IF(AH$7&gt;SAP_Leadsheet!$E$21,0,AH188*SAP_Leadsheet!$S110)</f>
        <v>1.1162317329544194E-2</v>
      </c>
      <c r="AI287" s="263">
        <f ca="1">IF(AI$7&gt;SAP_Leadsheet!$E$21,0,AI188*SAP_Leadsheet!$S110)</f>
        <v>1.046595221648264E-2</v>
      </c>
      <c r="AJ287" s="263">
        <f ca="1">IF(AJ$7&gt;SAP_Leadsheet!$E$21,0,AJ188*SAP_Leadsheet!$S110)</f>
        <v>1.0185514993488017E-2</v>
      </c>
      <c r="AK287" s="263">
        <f ca="1">IF(AK$7&gt;SAP_Leadsheet!$E$21,0,AK188*SAP_Leadsheet!$S110)</f>
        <v>8.3330392866375839E-3</v>
      </c>
      <c r="AL287" s="263">
        <f ca="1">IF(AL$7&gt;SAP_Leadsheet!$E$21,0,AL188*SAP_Leadsheet!$S110)</f>
        <v>8.5032863954991583E-3</v>
      </c>
      <c r="AM287" s="263">
        <f ca="1">IF(AM$7&gt;SAP_Leadsheet!$E$21,0,AM188*SAP_Leadsheet!$S110)</f>
        <v>9.0262469754481527E-3</v>
      </c>
      <c r="AN287" s="263">
        <f ca="1">IF(AN$7&gt;SAP_Leadsheet!$E$21,0,AN188*SAP_Leadsheet!$S110)</f>
        <v>9.349269002695575E-3</v>
      </c>
      <c r="AO287" s="263">
        <f ca="1">IF(AO$7&gt;SAP_Leadsheet!$E$21,0,AO188*SAP_Leadsheet!$S110)</f>
        <v>9.3952584137942437E-3</v>
      </c>
      <c r="AP287" s="263">
        <f ca="1">IF(AP$7&gt;SAP_Leadsheet!$E$21,0,AP188*SAP_Leadsheet!$S110)</f>
        <v>9.2600096982636132E-3</v>
      </c>
      <c r="AQ287" s="263">
        <f ca="1">IF(AQ$7&gt;SAP_Leadsheet!$E$21,0,AQ188*SAP_Leadsheet!$S110)</f>
        <v>9.0446468321722338E-3</v>
      </c>
      <c r="AR287" s="263">
        <f ca="1">IF(AR$7&gt;SAP_Leadsheet!$E$21,0,AR188*SAP_Leadsheet!$S110)</f>
        <v>8.807066859010176E-3</v>
      </c>
      <c r="AS287" s="263">
        <f ca="1">IF(AS$7&gt;SAP_Leadsheet!$E$21,0,AS188*SAP_Leadsheet!$S110)</f>
        <v>8.8639473028057879E-3</v>
      </c>
      <c r="AT287" s="263">
        <f ca="1">IF(AT$7&gt;SAP_Leadsheet!$E$21,0,AT188*SAP_Leadsheet!$S110)</f>
        <v>8.5859555565104013E-3</v>
      </c>
      <c r="AU287" s="263">
        <f ca="1">IF(AU$7&gt;SAP_Leadsheet!$E$21,0,AU188*SAP_Leadsheet!$S110)</f>
        <v>8.2347316498424302E-3</v>
      </c>
      <c r="AV287" s="263">
        <f ca="1">IF(AV$7&gt;SAP_Leadsheet!$E$21,0,AV188*SAP_Leadsheet!$S110)</f>
        <v>7.6249382825765199E-3</v>
      </c>
      <c r="AW287" s="263">
        <f ca="1">IF(AW$7&gt;SAP_Leadsheet!$E$21,0,AW188*SAP_Leadsheet!$S110)</f>
        <v>6.1324614361656909E-3</v>
      </c>
      <c r="AX287" s="263">
        <f ca="1">IF(AX$7&gt;SAP_Leadsheet!$E$21,0,AX188*SAP_Leadsheet!$S110)</f>
        <v>5.9967166074469894E-3</v>
      </c>
      <c r="AY287" s="263">
        <f ca="1">IF(AY$7&gt;SAP_Leadsheet!$E$21,0,AY188*SAP_Leadsheet!$S110)</f>
        <v>5.8857819975952977E-3</v>
      </c>
      <c r="AZ287" s="263">
        <f ca="1">IF(AZ$7&gt;SAP_Leadsheet!$E$21,0,AZ188*SAP_Leadsheet!$S110)</f>
        <v>5.78685179979918E-3</v>
      </c>
      <c r="BA287" s="263">
        <f ca="1">IF(BA$7&gt;SAP_Leadsheet!$E$21,0,BA188*SAP_Leadsheet!$S110)</f>
        <v>5.6903340301367863E-3</v>
      </c>
      <c r="BB287" s="263">
        <f ca="1">IF(BB$7&gt;SAP_Leadsheet!$E$21,0,BB188*SAP_Leadsheet!$S110)</f>
        <v>5.5925612692839573E-3</v>
      </c>
      <c r="BC287" s="263">
        <f ca="1">IF(BC$7&gt;SAP_Leadsheet!$E$21,0,BC188*SAP_Leadsheet!$S110)</f>
        <v>5.4930071447300546E-3</v>
      </c>
      <c r="BD287" s="263">
        <f ca="1">IF(BD$7&gt;SAP_Leadsheet!$E$21,0,BD188*SAP_Leadsheet!$S110)</f>
        <v>5.3908658110735285E-3</v>
      </c>
      <c r="BE287" s="263">
        <f ca="1">IF(BE$7&gt;SAP_Leadsheet!$E$21,0,BE188*SAP_Leadsheet!$S110)</f>
        <v>5.2848823235755373E-3</v>
      </c>
      <c r="BF287" s="263">
        <f ca="1">IF(BF$7&gt;SAP_Leadsheet!$E$21,0,BF188*SAP_Leadsheet!$S110)</f>
        <v>5.1709545093049812E-3</v>
      </c>
      <c r="BG287" s="263">
        <f ca="1">IF(BG$7&gt;SAP_Leadsheet!$E$21,0,BG188*SAP_Leadsheet!$S110)</f>
        <v>5.0452789293728584E-3</v>
      </c>
      <c r="BH287" s="263">
        <f ca="1">IF(BH$7&gt;SAP_Leadsheet!$E$21,0,BH188*SAP_Leadsheet!$S110)</f>
        <v>4.911655601902344E-3</v>
      </c>
      <c r="BI287" s="263">
        <f ca="1">IF(BI$7&gt;SAP_Leadsheet!$E$21,0,BI188*SAP_Leadsheet!$S110)</f>
        <v>4.2015133548954442E-3</v>
      </c>
      <c r="BJ287" s="263">
        <f ca="1">IF(BJ$7&gt;SAP_Leadsheet!$E$21,0,BJ188*SAP_Leadsheet!$S110)</f>
        <v>4.0962056019875435E-3</v>
      </c>
      <c r="BK287" s="263">
        <f ca="1">IF(BK$7&gt;SAP_Leadsheet!$E$21,0,BK188*SAP_Leadsheet!$S110)</f>
        <v>3.9911579880625115E-3</v>
      </c>
      <c r="BL287" s="263">
        <f ca="1">IF(BL$7&gt;SAP_Leadsheet!$E$21,0,BL188*SAP_Leadsheet!$S110)</f>
        <v>3.8870402597711243E-3</v>
      </c>
      <c r="BM287" s="263">
        <f ca="1">IF(BM$7&gt;SAP_Leadsheet!$E$21,0,BM188*SAP_Leadsheet!$S110)</f>
        <v>3.7834137609081254E-3</v>
      </c>
      <c r="BN287" s="263">
        <f ca="1">IF(BN$7&gt;SAP_Leadsheet!$E$21,0,BN188*SAP_Leadsheet!$S110)</f>
        <v>3.6800094551529042E-3</v>
      </c>
      <c r="BO287" s="263"/>
      <c r="BP287" s="263"/>
      <c r="BQ287" s="263"/>
      <c r="BR287" s="263"/>
      <c r="BS287" s="263"/>
      <c r="BT287" s="263"/>
      <c r="BU287" s="263"/>
      <c r="BV287" s="263"/>
      <c r="BW287" s="263"/>
      <c r="BX287" s="263"/>
      <c r="BY287" s="263"/>
      <c r="BZ287" s="263"/>
      <c r="CA287" s="263"/>
      <c r="CB287" s="263"/>
      <c r="CC287" s="263"/>
      <c r="CD287" s="263"/>
      <c r="CE287" s="263"/>
      <c r="CF287" s="263"/>
      <c r="CG287" s="263"/>
      <c r="CH287" s="263"/>
      <c r="CI287" s="263"/>
      <c r="CJ287" s="263"/>
      <c r="CK287" s="263"/>
      <c r="CL287" s="263"/>
      <c r="CM287" s="263"/>
      <c r="CN287" s="263"/>
      <c r="CO287" s="263"/>
      <c r="CP287" s="263"/>
      <c r="CQ287" s="263"/>
      <c r="CR287" s="263"/>
      <c r="CS287" s="263"/>
      <c r="CT287" s="263"/>
      <c r="CU287" s="263"/>
      <c r="CV287" s="263"/>
      <c r="CW287" s="263"/>
      <c r="CX287" s="263"/>
      <c r="CY287" s="263"/>
      <c r="CZ287" s="263"/>
      <c r="DA287" s="263"/>
      <c r="DB287" s="263"/>
      <c r="DC287" s="263"/>
      <c r="DD287" s="263"/>
      <c r="DE287" s="263"/>
      <c r="DF287" s="263"/>
      <c r="DG287" s="263"/>
      <c r="DH287" s="263"/>
      <c r="DI287" s="263"/>
      <c r="DJ287" s="263"/>
      <c r="DK287" s="263"/>
      <c r="DL287" s="263"/>
      <c r="DM287" s="263"/>
      <c r="DN287" s="263"/>
      <c r="DO287" s="263"/>
      <c r="DP287" s="263"/>
      <c r="DQ287" s="263"/>
      <c r="DR287" s="263"/>
      <c r="DS287" s="263"/>
      <c r="DT287" s="263"/>
      <c r="DU287" s="263"/>
      <c r="DV287" s="263"/>
      <c r="DW287" s="263"/>
      <c r="DX287" s="263"/>
      <c r="DY287" s="263"/>
      <c r="DZ287" s="263"/>
      <c r="EA287" s="263"/>
      <c r="EB287" s="263"/>
      <c r="EC287" s="263"/>
      <c r="ED287" s="263"/>
      <c r="EE287" s="263"/>
      <c r="EF287" s="263"/>
      <c r="EG287" s="263"/>
      <c r="EH287" s="263"/>
      <c r="EI287" s="263"/>
      <c r="EJ287" s="263"/>
      <c r="EK287" s="263"/>
      <c r="EL287" s="263"/>
      <c r="EM287" s="263"/>
      <c r="EN287" s="263"/>
      <c r="EO287" s="263"/>
      <c r="EP287" s="263"/>
      <c r="EQ287" s="263"/>
      <c r="ER287" s="263"/>
      <c r="ES287" s="263"/>
      <c r="ET287" s="263"/>
      <c r="EU287" s="263"/>
      <c r="EV287" s="263"/>
      <c r="EW287" s="263"/>
      <c r="EX287" s="263"/>
      <c r="EY287" s="263"/>
      <c r="EZ287" s="263"/>
      <c r="FA287" s="263"/>
      <c r="FB287" s="263"/>
      <c r="FC287" s="263"/>
      <c r="FD287" s="263"/>
      <c r="FE287" s="263"/>
      <c r="FF287" s="263"/>
      <c r="FG287" s="263"/>
      <c r="FH287" s="263"/>
      <c r="FI287" s="263"/>
      <c r="FJ287" s="263"/>
      <c r="FK287" s="263"/>
      <c r="FL287" s="263"/>
      <c r="FM287" s="263"/>
      <c r="FN287" s="263"/>
      <c r="FO287" s="263"/>
      <c r="FP287" s="263"/>
      <c r="FQ287" s="263"/>
      <c r="FR287" s="263"/>
      <c r="FS287" s="263"/>
      <c r="FT287" s="263"/>
      <c r="FU287" s="263"/>
      <c r="FV287" s="263"/>
      <c r="FW287" s="263"/>
      <c r="FX287" s="263"/>
      <c r="FY287" s="263"/>
      <c r="FZ287" s="263"/>
      <c r="GA287" s="263"/>
      <c r="GB287" s="263"/>
      <c r="GC287" s="263"/>
      <c r="GD287" s="263"/>
      <c r="GE287" s="263"/>
      <c r="GF287" s="263"/>
      <c r="GG287" s="263"/>
      <c r="GH287" s="263"/>
      <c r="GI287" s="263"/>
      <c r="GJ287" s="263"/>
      <c r="GK287" s="263"/>
      <c r="GL287" s="263"/>
      <c r="GM287" s="263"/>
      <c r="GN287" s="263"/>
      <c r="GO287" s="263"/>
      <c r="GP287" s="263"/>
      <c r="GQ287" s="263"/>
      <c r="GR287" s="263"/>
      <c r="GS287" s="263"/>
      <c r="GT287" s="263"/>
      <c r="GU287" s="263"/>
      <c r="GV287" s="263"/>
      <c r="GW287" s="263"/>
      <c r="GX287" s="263"/>
      <c r="GY287" s="263"/>
    </row>
    <row r="288" spans="1:207" x14ac:dyDescent="0.15">
      <c r="A288" s="62"/>
      <c r="D288" s="26" t="s">
        <v>419</v>
      </c>
      <c r="F288" s="80"/>
      <c r="G288" s="263">
        <f>IF(G$7&gt;SAP_Leadsheet!$E$21,0,G189*SAP_Leadsheet!$S111)</f>
        <v>0</v>
      </c>
      <c r="H288" s="263">
        <f ca="1">IF(H$7&gt;SAP_Leadsheet!$E$21,0,H189*SAP_Leadsheet!$S111)</f>
        <v>0</v>
      </c>
      <c r="I288" s="263">
        <f ca="1">IF(I$7&gt;SAP_Leadsheet!$E$21,0,I189*SAP_Leadsheet!$S111)</f>
        <v>0</v>
      </c>
      <c r="J288" s="263">
        <f ca="1">IF(J$7&gt;SAP_Leadsheet!$E$21,0,J189*SAP_Leadsheet!$S111)</f>
        <v>0</v>
      </c>
      <c r="K288" s="263">
        <f ca="1">IF(K$7&gt;SAP_Leadsheet!$E$21,0,K189*SAP_Leadsheet!$S111)</f>
        <v>0</v>
      </c>
      <c r="L288" s="263">
        <f ca="1">IF(L$7&gt;SAP_Leadsheet!$E$21,0,L189*SAP_Leadsheet!$S111)</f>
        <v>0</v>
      </c>
      <c r="M288" s="263">
        <f ca="1">IF(M$7&gt;SAP_Leadsheet!$E$21,0,M189*SAP_Leadsheet!$S111)</f>
        <v>0</v>
      </c>
      <c r="N288" s="263">
        <f ca="1">IF(N$7&gt;SAP_Leadsheet!$E$21,0,N189*SAP_Leadsheet!$S111)</f>
        <v>0</v>
      </c>
      <c r="O288" s="263">
        <f ca="1">IF(O$7&gt;SAP_Leadsheet!$E$21,0,O189*SAP_Leadsheet!$S111)</f>
        <v>2.4311080044447108E-2</v>
      </c>
      <c r="P288" s="263">
        <f ca="1">IF(P$7&gt;SAP_Leadsheet!$E$21,0,P189*SAP_Leadsheet!$S111)</f>
        <v>4.2854189764466775E-2</v>
      </c>
      <c r="Q288" s="263">
        <f ca="1">IF(Q$7&gt;SAP_Leadsheet!$E$21,0,Q189*SAP_Leadsheet!$S111)</f>
        <v>5.0409684538960997E-2</v>
      </c>
      <c r="R288" s="263">
        <f ca="1">IF(R$7&gt;SAP_Leadsheet!$E$21,0,R189*SAP_Leadsheet!$S111)</f>
        <v>5.0145547592013104E-2</v>
      </c>
      <c r="S288" s="263">
        <f ca="1">IF(S$7&gt;SAP_Leadsheet!$E$21,0,S189*SAP_Leadsheet!$S111)</f>
        <v>4.6109849549855225E-2</v>
      </c>
      <c r="T288" s="263">
        <f ca="1">IF(T$7&gt;SAP_Leadsheet!$E$21,0,T189*SAP_Leadsheet!$S111)</f>
        <v>4.06945807410109E-2</v>
      </c>
      <c r="U288" s="263">
        <f ca="1">IF(U$7&gt;SAP_Leadsheet!$E$21,0,U189*SAP_Leadsheet!$S111)</f>
        <v>3.4420877065781695E-2</v>
      </c>
      <c r="V288" s="263">
        <f ca="1">IF(V$7&gt;SAP_Leadsheet!$E$21,0,V189*SAP_Leadsheet!$S111)</f>
        <v>2.9576269966928918E-2</v>
      </c>
      <c r="W288" s="263">
        <f ca="1">IF(W$7&gt;SAP_Leadsheet!$E$21,0,W189*SAP_Leadsheet!$S111)</f>
        <v>2.5402967644451022E-2</v>
      </c>
      <c r="X288" s="263">
        <f ca="1">IF(X$7&gt;SAP_Leadsheet!$E$21,0,X189*SAP_Leadsheet!$S111)</f>
        <v>2.1631469521173605E-2</v>
      </c>
      <c r="Y288" s="263">
        <f ca="1">IF(Y$7&gt;SAP_Leadsheet!$E$21,0,Y189*SAP_Leadsheet!$S111)</f>
        <v>1.8482536860721828E-2</v>
      </c>
      <c r="Z288" s="263">
        <f ca="1">IF(Z$7&gt;SAP_Leadsheet!$E$21,0,Z189*SAP_Leadsheet!$S111)</f>
        <v>9.2824174646438558E-3</v>
      </c>
      <c r="AA288" s="263">
        <f ca="1">IF(AA$7&gt;SAP_Leadsheet!$E$21,0,AA189*SAP_Leadsheet!$S111)</f>
        <v>9.5290500416414618E-3</v>
      </c>
      <c r="AB288" s="263">
        <f ca="1">IF(AB$7&gt;SAP_Leadsheet!$E$21,0,AB189*SAP_Leadsheet!$S111)</f>
        <v>1.0965717377576583E-2</v>
      </c>
      <c r="AC288" s="263">
        <f ca="1">IF(AC$7&gt;SAP_Leadsheet!$E$21,0,AC189*SAP_Leadsheet!$S111)</f>
        <v>1.1308202951319981E-2</v>
      </c>
      <c r="AD288" s="263">
        <f ca="1">IF(AD$7&gt;SAP_Leadsheet!$E$21,0,AD189*SAP_Leadsheet!$S111)</f>
        <v>1.0767064780283341E-2</v>
      </c>
      <c r="AE288" s="263">
        <f ca="1">IF(AE$7&gt;SAP_Leadsheet!$E$21,0,AE189*SAP_Leadsheet!$S111)</f>
        <v>1.0903623003937612E-2</v>
      </c>
      <c r="AF288" s="263">
        <f ca="1">IF(AF$7&gt;SAP_Leadsheet!$E$21,0,AF189*SAP_Leadsheet!$S111)</f>
        <v>1.121341386829695E-2</v>
      </c>
      <c r="AG288" s="263">
        <f ca="1">IF(AG$7&gt;SAP_Leadsheet!$E$21,0,AG189*SAP_Leadsheet!$S111)</f>
        <v>1.1435272968155037E-2</v>
      </c>
      <c r="AH288" s="263">
        <f ca="1">IF(AH$7&gt;SAP_Leadsheet!$E$21,0,AH189*SAP_Leadsheet!$S111)</f>
        <v>1.1564055462820312E-2</v>
      </c>
      <c r="AI288" s="263">
        <f ca="1">IF(AI$7&gt;SAP_Leadsheet!$E$21,0,AI189*SAP_Leadsheet!$S111)</f>
        <v>1.1162317329544194E-2</v>
      </c>
      <c r="AJ288" s="263">
        <f ca="1">IF(AJ$7&gt;SAP_Leadsheet!$E$21,0,AJ189*SAP_Leadsheet!$S111)</f>
        <v>1.046595221648264E-2</v>
      </c>
      <c r="AK288" s="263">
        <f ca="1">IF(AK$7&gt;SAP_Leadsheet!$E$21,0,AK189*SAP_Leadsheet!$S111)</f>
        <v>1.0185514993488017E-2</v>
      </c>
      <c r="AL288" s="263">
        <f ca="1">IF(AL$7&gt;SAP_Leadsheet!$E$21,0,AL189*SAP_Leadsheet!$S111)</f>
        <v>8.3330392866375839E-3</v>
      </c>
      <c r="AM288" s="263">
        <f ca="1">IF(AM$7&gt;SAP_Leadsheet!$E$21,0,AM189*SAP_Leadsheet!$S111)</f>
        <v>8.5032863954991583E-3</v>
      </c>
      <c r="AN288" s="263">
        <f ca="1">IF(AN$7&gt;SAP_Leadsheet!$E$21,0,AN189*SAP_Leadsheet!$S111)</f>
        <v>9.0262469754481527E-3</v>
      </c>
      <c r="AO288" s="263">
        <f ca="1">IF(AO$7&gt;SAP_Leadsheet!$E$21,0,AO189*SAP_Leadsheet!$S111)</f>
        <v>9.349269002695575E-3</v>
      </c>
      <c r="AP288" s="263">
        <f ca="1">IF(AP$7&gt;SAP_Leadsheet!$E$21,0,AP189*SAP_Leadsheet!$S111)</f>
        <v>9.3952584137942437E-3</v>
      </c>
      <c r="AQ288" s="263">
        <f ca="1">IF(AQ$7&gt;SAP_Leadsheet!$E$21,0,AQ189*SAP_Leadsheet!$S111)</f>
        <v>9.2600096982636132E-3</v>
      </c>
      <c r="AR288" s="263">
        <f ca="1">IF(AR$7&gt;SAP_Leadsheet!$E$21,0,AR189*SAP_Leadsheet!$S111)</f>
        <v>9.0446468321722338E-3</v>
      </c>
      <c r="AS288" s="263">
        <f ca="1">IF(AS$7&gt;SAP_Leadsheet!$E$21,0,AS189*SAP_Leadsheet!$S111)</f>
        <v>8.807066859010176E-3</v>
      </c>
      <c r="AT288" s="263">
        <f ca="1">IF(AT$7&gt;SAP_Leadsheet!$E$21,0,AT189*SAP_Leadsheet!$S111)</f>
        <v>8.8639473028057879E-3</v>
      </c>
      <c r="AU288" s="263">
        <f ca="1">IF(AU$7&gt;SAP_Leadsheet!$E$21,0,AU189*SAP_Leadsheet!$S111)</f>
        <v>8.5859555565104013E-3</v>
      </c>
      <c r="AV288" s="263">
        <f ca="1">IF(AV$7&gt;SAP_Leadsheet!$E$21,0,AV189*SAP_Leadsheet!$S111)</f>
        <v>8.2347316498424302E-3</v>
      </c>
      <c r="AW288" s="263">
        <f ca="1">IF(AW$7&gt;SAP_Leadsheet!$E$21,0,AW189*SAP_Leadsheet!$S111)</f>
        <v>7.6249382825765199E-3</v>
      </c>
      <c r="AX288" s="263">
        <f ca="1">IF(AX$7&gt;SAP_Leadsheet!$E$21,0,AX189*SAP_Leadsheet!$S111)</f>
        <v>6.1324614361656909E-3</v>
      </c>
      <c r="AY288" s="263">
        <f ca="1">IF(AY$7&gt;SAP_Leadsheet!$E$21,0,AY189*SAP_Leadsheet!$S111)</f>
        <v>5.9967166074469894E-3</v>
      </c>
      <c r="AZ288" s="263">
        <f ca="1">IF(AZ$7&gt;SAP_Leadsheet!$E$21,0,AZ189*SAP_Leadsheet!$S111)</f>
        <v>5.8857819975952977E-3</v>
      </c>
      <c r="BA288" s="263">
        <f ca="1">IF(BA$7&gt;SAP_Leadsheet!$E$21,0,BA189*SAP_Leadsheet!$S111)</f>
        <v>5.78685179979918E-3</v>
      </c>
      <c r="BB288" s="263">
        <f ca="1">IF(BB$7&gt;SAP_Leadsheet!$E$21,0,BB189*SAP_Leadsheet!$S111)</f>
        <v>5.6903340301367863E-3</v>
      </c>
      <c r="BC288" s="263">
        <f ca="1">IF(BC$7&gt;SAP_Leadsheet!$E$21,0,BC189*SAP_Leadsheet!$S111)</f>
        <v>5.5925612692839573E-3</v>
      </c>
      <c r="BD288" s="263">
        <f ca="1">IF(BD$7&gt;SAP_Leadsheet!$E$21,0,BD189*SAP_Leadsheet!$S111)</f>
        <v>5.4930071447300546E-3</v>
      </c>
      <c r="BE288" s="263">
        <f ca="1">IF(BE$7&gt;SAP_Leadsheet!$E$21,0,BE189*SAP_Leadsheet!$S111)</f>
        <v>5.3908658110735285E-3</v>
      </c>
      <c r="BF288" s="263">
        <f ca="1">IF(BF$7&gt;SAP_Leadsheet!$E$21,0,BF189*SAP_Leadsheet!$S111)</f>
        <v>5.2848823235755373E-3</v>
      </c>
      <c r="BG288" s="263">
        <f ca="1">IF(BG$7&gt;SAP_Leadsheet!$E$21,0,BG189*SAP_Leadsheet!$S111)</f>
        <v>5.1709545093049812E-3</v>
      </c>
      <c r="BH288" s="263">
        <f ca="1">IF(BH$7&gt;SAP_Leadsheet!$E$21,0,BH189*SAP_Leadsheet!$S111)</f>
        <v>5.0452789293728584E-3</v>
      </c>
      <c r="BI288" s="263">
        <f ca="1">IF(BI$7&gt;SAP_Leadsheet!$E$21,0,BI189*SAP_Leadsheet!$S111)</f>
        <v>4.911655601902344E-3</v>
      </c>
      <c r="BJ288" s="263">
        <f ca="1">IF(BJ$7&gt;SAP_Leadsheet!$E$21,0,BJ189*SAP_Leadsheet!$S111)</f>
        <v>4.2015133548954442E-3</v>
      </c>
      <c r="BK288" s="263">
        <f ca="1">IF(BK$7&gt;SAP_Leadsheet!$E$21,0,BK189*SAP_Leadsheet!$S111)</f>
        <v>4.0962056019875435E-3</v>
      </c>
      <c r="BL288" s="263">
        <f ca="1">IF(BL$7&gt;SAP_Leadsheet!$E$21,0,BL189*SAP_Leadsheet!$S111)</f>
        <v>3.9911579880625115E-3</v>
      </c>
      <c r="BM288" s="263">
        <f ca="1">IF(BM$7&gt;SAP_Leadsheet!$E$21,0,BM189*SAP_Leadsheet!$S111)</f>
        <v>3.8870402597711243E-3</v>
      </c>
      <c r="BN288" s="263">
        <f ca="1">IF(BN$7&gt;SAP_Leadsheet!$E$21,0,BN189*SAP_Leadsheet!$S111)</f>
        <v>3.7834137609081254E-3</v>
      </c>
      <c r="BO288" s="263"/>
      <c r="BP288" s="263"/>
      <c r="BQ288" s="263"/>
      <c r="BR288" s="263"/>
      <c r="BS288" s="263"/>
      <c r="BT288" s="263"/>
      <c r="BU288" s="263"/>
      <c r="BV288" s="263"/>
      <c r="BW288" s="263"/>
      <c r="BX288" s="263"/>
      <c r="BY288" s="263"/>
      <c r="BZ288" s="263"/>
      <c r="CA288" s="263"/>
      <c r="CB288" s="263"/>
      <c r="CC288" s="263"/>
      <c r="CD288" s="263"/>
      <c r="CE288" s="263"/>
      <c r="CF288" s="263"/>
      <c r="CG288" s="263"/>
      <c r="CH288" s="263"/>
      <c r="CI288" s="263"/>
      <c r="CJ288" s="263"/>
      <c r="CK288" s="263"/>
      <c r="CL288" s="263"/>
      <c r="CM288" s="263"/>
      <c r="CN288" s="263"/>
      <c r="CO288" s="263"/>
      <c r="CP288" s="263"/>
      <c r="CQ288" s="263"/>
      <c r="CR288" s="263"/>
      <c r="CS288" s="263"/>
      <c r="CT288" s="263"/>
      <c r="CU288" s="263"/>
      <c r="CV288" s="263"/>
      <c r="CW288" s="263"/>
      <c r="CX288" s="263"/>
      <c r="CY288" s="263"/>
      <c r="CZ288" s="263"/>
      <c r="DA288" s="263"/>
      <c r="DB288" s="263"/>
      <c r="DC288" s="263"/>
      <c r="DD288" s="263"/>
      <c r="DE288" s="263"/>
      <c r="DF288" s="263"/>
      <c r="DG288" s="263"/>
      <c r="DH288" s="263"/>
      <c r="DI288" s="263"/>
      <c r="DJ288" s="263"/>
      <c r="DK288" s="263"/>
      <c r="DL288" s="263"/>
      <c r="DM288" s="263"/>
      <c r="DN288" s="263"/>
      <c r="DO288" s="263"/>
      <c r="DP288" s="263"/>
      <c r="DQ288" s="263"/>
      <c r="DR288" s="263"/>
      <c r="DS288" s="263"/>
      <c r="DT288" s="263"/>
      <c r="DU288" s="263"/>
      <c r="DV288" s="263"/>
      <c r="DW288" s="263"/>
      <c r="DX288" s="263"/>
      <c r="DY288" s="263"/>
      <c r="DZ288" s="263"/>
      <c r="EA288" s="263"/>
      <c r="EB288" s="263"/>
      <c r="EC288" s="263"/>
      <c r="ED288" s="263"/>
      <c r="EE288" s="263"/>
      <c r="EF288" s="263"/>
      <c r="EG288" s="263"/>
      <c r="EH288" s="263"/>
      <c r="EI288" s="263"/>
      <c r="EJ288" s="263"/>
      <c r="EK288" s="263"/>
      <c r="EL288" s="263"/>
      <c r="EM288" s="263"/>
      <c r="EN288" s="263"/>
      <c r="EO288" s="263"/>
      <c r="EP288" s="263"/>
      <c r="EQ288" s="263"/>
      <c r="ER288" s="263"/>
      <c r="ES288" s="263"/>
      <c r="ET288" s="263"/>
      <c r="EU288" s="263"/>
      <c r="EV288" s="263"/>
      <c r="EW288" s="263"/>
      <c r="EX288" s="263"/>
      <c r="EY288" s="263"/>
      <c r="EZ288" s="263"/>
      <c r="FA288" s="263"/>
      <c r="FB288" s="263"/>
      <c r="FC288" s="263"/>
      <c r="FD288" s="263"/>
      <c r="FE288" s="263"/>
      <c r="FF288" s="263"/>
      <c r="FG288" s="263"/>
      <c r="FH288" s="263"/>
      <c r="FI288" s="263"/>
      <c r="FJ288" s="263"/>
      <c r="FK288" s="263"/>
      <c r="FL288" s="263"/>
      <c r="FM288" s="263"/>
      <c r="FN288" s="263"/>
      <c r="FO288" s="263"/>
      <c r="FP288" s="263"/>
      <c r="FQ288" s="263"/>
      <c r="FR288" s="263"/>
      <c r="FS288" s="263"/>
      <c r="FT288" s="263"/>
      <c r="FU288" s="263"/>
      <c r="FV288" s="263"/>
      <c r="FW288" s="263"/>
      <c r="FX288" s="263"/>
      <c r="FY288" s="263"/>
      <c r="FZ288" s="263"/>
      <c r="GA288" s="263"/>
      <c r="GB288" s="263"/>
      <c r="GC288" s="263"/>
      <c r="GD288" s="263"/>
      <c r="GE288" s="263"/>
      <c r="GF288" s="263"/>
      <c r="GG288" s="263"/>
      <c r="GH288" s="263"/>
      <c r="GI288" s="263"/>
      <c r="GJ288" s="263"/>
      <c r="GK288" s="263"/>
      <c r="GL288" s="263"/>
      <c r="GM288" s="263"/>
      <c r="GN288" s="263"/>
      <c r="GO288" s="263"/>
      <c r="GP288" s="263"/>
      <c r="GQ288" s="263"/>
      <c r="GR288" s="263"/>
      <c r="GS288" s="263"/>
      <c r="GT288" s="263"/>
      <c r="GU288" s="263"/>
      <c r="GV288" s="263"/>
      <c r="GW288" s="263"/>
      <c r="GX288" s="263"/>
      <c r="GY288" s="263"/>
    </row>
    <row r="289" spans="1:207" x14ac:dyDescent="0.15">
      <c r="A289" s="62"/>
      <c r="D289" s="26" t="s">
        <v>420</v>
      </c>
      <c r="F289" s="80"/>
      <c r="G289" s="263">
        <f>IF(G$7&gt;SAP_Leadsheet!$E$21,0,G190*SAP_Leadsheet!$S112)</f>
        <v>0</v>
      </c>
      <c r="H289" s="263">
        <f ca="1">IF(H$7&gt;SAP_Leadsheet!$E$21,0,H190*SAP_Leadsheet!$S112)</f>
        <v>0</v>
      </c>
      <c r="I289" s="263">
        <f ca="1">IF(I$7&gt;SAP_Leadsheet!$E$21,0,I190*SAP_Leadsheet!$S112)</f>
        <v>0</v>
      </c>
      <c r="J289" s="263">
        <f ca="1">IF(J$7&gt;SAP_Leadsheet!$E$21,0,J190*SAP_Leadsheet!$S112)</f>
        <v>0</v>
      </c>
      <c r="K289" s="263">
        <f ca="1">IF(K$7&gt;SAP_Leadsheet!$E$21,0,K190*SAP_Leadsheet!$S112)</f>
        <v>0</v>
      </c>
      <c r="L289" s="263">
        <f ca="1">IF(L$7&gt;SAP_Leadsheet!$E$21,0,L190*SAP_Leadsheet!$S112)</f>
        <v>0</v>
      </c>
      <c r="M289" s="263">
        <f ca="1">IF(M$7&gt;SAP_Leadsheet!$E$21,0,M190*SAP_Leadsheet!$S112)</f>
        <v>0</v>
      </c>
      <c r="N289" s="263">
        <f ca="1">IF(N$7&gt;SAP_Leadsheet!$E$21,0,N190*SAP_Leadsheet!$S112)</f>
        <v>0</v>
      </c>
      <c r="O289" s="263">
        <f ca="1">IF(O$7&gt;SAP_Leadsheet!$E$21,0,O190*SAP_Leadsheet!$S112)</f>
        <v>0</v>
      </c>
      <c r="P289" s="263">
        <f ca="1">IF(P$7&gt;SAP_Leadsheet!$E$21,0,P190*SAP_Leadsheet!$S112)</f>
        <v>2.4311080044447108E-2</v>
      </c>
      <c r="Q289" s="263">
        <f ca="1">IF(Q$7&gt;SAP_Leadsheet!$E$21,0,Q190*SAP_Leadsheet!$S112)</f>
        <v>4.2854189764466775E-2</v>
      </c>
      <c r="R289" s="263">
        <f ca="1">IF(R$7&gt;SAP_Leadsheet!$E$21,0,R190*SAP_Leadsheet!$S112)</f>
        <v>5.0409684538960997E-2</v>
      </c>
      <c r="S289" s="263">
        <f ca="1">IF(S$7&gt;SAP_Leadsheet!$E$21,0,S190*SAP_Leadsheet!$S112)</f>
        <v>5.0145547592013104E-2</v>
      </c>
      <c r="T289" s="263">
        <f ca="1">IF(T$7&gt;SAP_Leadsheet!$E$21,0,T190*SAP_Leadsheet!$S112)</f>
        <v>4.6109849549855225E-2</v>
      </c>
      <c r="U289" s="263">
        <f ca="1">IF(U$7&gt;SAP_Leadsheet!$E$21,0,U190*SAP_Leadsheet!$S112)</f>
        <v>4.06945807410109E-2</v>
      </c>
      <c r="V289" s="263">
        <f ca="1">IF(V$7&gt;SAP_Leadsheet!$E$21,0,V190*SAP_Leadsheet!$S112)</f>
        <v>3.4420877065781695E-2</v>
      </c>
      <c r="W289" s="263">
        <f ca="1">IF(W$7&gt;SAP_Leadsheet!$E$21,0,W190*SAP_Leadsheet!$S112)</f>
        <v>2.9576269966928918E-2</v>
      </c>
      <c r="X289" s="263">
        <f ca="1">IF(X$7&gt;SAP_Leadsheet!$E$21,0,X190*SAP_Leadsheet!$S112)</f>
        <v>2.5402967644451022E-2</v>
      </c>
      <c r="Y289" s="263">
        <f ca="1">IF(Y$7&gt;SAP_Leadsheet!$E$21,0,Y190*SAP_Leadsheet!$S112)</f>
        <v>2.1631469521173605E-2</v>
      </c>
      <c r="Z289" s="263">
        <f ca="1">IF(Z$7&gt;SAP_Leadsheet!$E$21,0,Z190*SAP_Leadsheet!$S112)</f>
        <v>1.8482536860721828E-2</v>
      </c>
      <c r="AA289" s="263">
        <f ca="1">IF(AA$7&gt;SAP_Leadsheet!$E$21,0,AA190*SAP_Leadsheet!$S112)</f>
        <v>9.2824174646438558E-3</v>
      </c>
      <c r="AB289" s="263">
        <f ca="1">IF(AB$7&gt;SAP_Leadsheet!$E$21,0,AB190*SAP_Leadsheet!$S112)</f>
        <v>9.5290500416414618E-3</v>
      </c>
      <c r="AC289" s="263">
        <f ca="1">IF(AC$7&gt;SAP_Leadsheet!$E$21,0,AC190*SAP_Leadsheet!$S112)</f>
        <v>1.0965717377576583E-2</v>
      </c>
      <c r="AD289" s="263">
        <f ca="1">IF(AD$7&gt;SAP_Leadsheet!$E$21,0,AD190*SAP_Leadsheet!$S112)</f>
        <v>1.1308202951319981E-2</v>
      </c>
      <c r="AE289" s="263">
        <f ca="1">IF(AE$7&gt;SAP_Leadsheet!$E$21,0,AE190*SAP_Leadsheet!$S112)</f>
        <v>1.0767064780283341E-2</v>
      </c>
      <c r="AF289" s="263">
        <f ca="1">IF(AF$7&gt;SAP_Leadsheet!$E$21,0,AF190*SAP_Leadsheet!$S112)</f>
        <v>1.0903623003937612E-2</v>
      </c>
      <c r="AG289" s="263">
        <f ca="1">IF(AG$7&gt;SAP_Leadsheet!$E$21,0,AG190*SAP_Leadsheet!$S112)</f>
        <v>1.121341386829695E-2</v>
      </c>
      <c r="AH289" s="263">
        <f ca="1">IF(AH$7&gt;SAP_Leadsheet!$E$21,0,AH190*SAP_Leadsheet!$S112)</f>
        <v>1.1435272968155037E-2</v>
      </c>
      <c r="AI289" s="263">
        <f ca="1">IF(AI$7&gt;SAP_Leadsheet!$E$21,0,AI190*SAP_Leadsheet!$S112)</f>
        <v>1.1564055462820312E-2</v>
      </c>
      <c r="AJ289" s="263">
        <f ca="1">IF(AJ$7&gt;SAP_Leadsheet!$E$21,0,AJ190*SAP_Leadsheet!$S112)</f>
        <v>1.1162317329544194E-2</v>
      </c>
      <c r="AK289" s="263">
        <f ca="1">IF(AK$7&gt;SAP_Leadsheet!$E$21,0,AK190*SAP_Leadsheet!$S112)</f>
        <v>1.046595221648264E-2</v>
      </c>
      <c r="AL289" s="263">
        <f ca="1">IF(AL$7&gt;SAP_Leadsheet!$E$21,0,AL190*SAP_Leadsheet!$S112)</f>
        <v>1.0185514993488017E-2</v>
      </c>
      <c r="AM289" s="263">
        <f ca="1">IF(AM$7&gt;SAP_Leadsheet!$E$21,0,AM190*SAP_Leadsheet!$S112)</f>
        <v>8.3330392866375839E-3</v>
      </c>
      <c r="AN289" s="263">
        <f ca="1">IF(AN$7&gt;SAP_Leadsheet!$E$21,0,AN190*SAP_Leadsheet!$S112)</f>
        <v>8.5032863954991583E-3</v>
      </c>
      <c r="AO289" s="263">
        <f ca="1">IF(AO$7&gt;SAP_Leadsheet!$E$21,0,AO190*SAP_Leadsheet!$S112)</f>
        <v>9.0262469754481527E-3</v>
      </c>
      <c r="AP289" s="263">
        <f ca="1">IF(AP$7&gt;SAP_Leadsheet!$E$21,0,AP190*SAP_Leadsheet!$S112)</f>
        <v>9.349269002695575E-3</v>
      </c>
      <c r="AQ289" s="263">
        <f ca="1">IF(AQ$7&gt;SAP_Leadsheet!$E$21,0,AQ190*SAP_Leadsheet!$S112)</f>
        <v>9.3952584137942437E-3</v>
      </c>
      <c r="AR289" s="263">
        <f ca="1">IF(AR$7&gt;SAP_Leadsheet!$E$21,0,AR190*SAP_Leadsheet!$S112)</f>
        <v>9.2600096982636132E-3</v>
      </c>
      <c r="AS289" s="263">
        <f ca="1">IF(AS$7&gt;SAP_Leadsheet!$E$21,0,AS190*SAP_Leadsheet!$S112)</f>
        <v>9.0446468321722338E-3</v>
      </c>
      <c r="AT289" s="263">
        <f ca="1">IF(AT$7&gt;SAP_Leadsheet!$E$21,0,AT190*SAP_Leadsheet!$S112)</f>
        <v>8.807066859010176E-3</v>
      </c>
      <c r="AU289" s="263">
        <f ca="1">IF(AU$7&gt;SAP_Leadsheet!$E$21,0,AU190*SAP_Leadsheet!$S112)</f>
        <v>8.8639473028057879E-3</v>
      </c>
      <c r="AV289" s="263">
        <f ca="1">IF(AV$7&gt;SAP_Leadsheet!$E$21,0,AV190*SAP_Leadsheet!$S112)</f>
        <v>8.5859555565104013E-3</v>
      </c>
      <c r="AW289" s="263">
        <f ca="1">IF(AW$7&gt;SAP_Leadsheet!$E$21,0,AW190*SAP_Leadsheet!$S112)</f>
        <v>8.2347316498424302E-3</v>
      </c>
      <c r="AX289" s="263">
        <f ca="1">IF(AX$7&gt;SAP_Leadsheet!$E$21,0,AX190*SAP_Leadsheet!$S112)</f>
        <v>7.6249382825765199E-3</v>
      </c>
      <c r="AY289" s="263">
        <f ca="1">IF(AY$7&gt;SAP_Leadsheet!$E$21,0,AY190*SAP_Leadsheet!$S112)</f>
        <v>6.1324614361656909E-3</v>
      </c>
      <c r="AZ289" s="263">
        <f ca="1">IF(AZ$7&gt;SAP_Leadsheet!$E$21,0,AZ190*SAP_Leadsheet!$S112)</f>
        <v>5.9967166074469894E-3</v>
      </c>
      <c r="BA289" s="263">
        <f ca="1">IF(BA$7&gt;SAP_Leadsheet!$E$21,0,BA190*SAP_Leadsheet!$S112)</f>
        <v>5.8857819975952977E-3</v>
      </c>
      <c r="BB289" s="263">
        <f ca="1">IF(BB$7&gt;SAP_Leadsheet!$E$21,0,BB190*SAP_Leadsheet!$S112)</f>
        <v>5.78685179979918E-3</v>
      </c>
      <c r="BC289" s="263">
        <f ca="1">IF(BC$7&gt;SAP_Leadsheet!$E$21,0,BC190*SAP_Leadsheet!$S112)</f>
        <v>5.6903340301367863E-3</v>
      </c>
      <c r="BD289" s="263">
        <f ca="1">IF(BD$7&gt;SAP_Leadsheet!$E$21,0,BD190*SAP_Leadsheet!$S112)</f>
        <v>5.5925612692839573E-3</v>
      </c>
      <c r="BE289" s="263">
        <f ca="1">IF(BE$7&gt;SAP_Leadsheet!$E$21,0,BE190*SAP_Leadsheet!$S112)</f>
        <v>5.4930071447300546E-3</v>
      </c>
      <c r="BF289" s="263">
        <f ca="1">IF(BF$7&gt;SAP_Leadsheet!$E$21,0,BF190*SAP_Leadsheet!$S112)</f>
        <v>5.3908658110735285E-3</v>
      </c>
      <c r="BG289" s="263">
        <f ca="1">IF(BG$7&gt;SAP_Leadsheet!$E$21,0,BG190*SAP_Leadsheet!$S112)</f>
        <v>5.2848823235755373E-3</v>
      </c>
      <c r="BH289" s="263">
        <f ca="1">IF(BH$7&gt;SAP_Leadsheet!$E$21,0,BH190*SAP_Leadsheet!$S112)</f>
        <v>5.1709545093049812E-3</v>
      </c>
      <c r="BI289" s="263">
        <f ca="1">IF(BI$7&gt;SAP_Leadsheet!$E$21,0,BI190*SAP_Leadsheet!$S112)</f>
        <v>5.0452789293728584E-3</v>
      </c>
      <c r="BJ289" s="263">
        <f ca="1">IF(BJ$7&gt;SAP_Leadsheet!$E$21,0,BJ190*SAP_Leadsheet!$S112)</f>
        <v>4.911655601902344E-3</v>
      </c>
      <c r="BK289" s="263">
        <f ca="1">IF(BK$7&gt;SAP_Leadsheet!$E$21,0,BK190*SAP_Leadsheet!$S112)</f>
        <v>4.2015133548954442E-3</v>
      </c>
      <c r="BL289" s="263">
        <f ca="1">IF(BL$7&gt;SAP_Leadsheet!$E$21,0,BL190*SAP_Leadsheet!$S112)</f>
        <v>4.0962056019875435E-3</v>
      </c>
      <c r="BM289" s="263">
        <f ca="1">IF(BM$7&gt;SAP_Leadsheet!$E$21,0,BM190*SAP_Leadsheet!$S112)</f>
        <v>3.9911579880625115E-3</v>
      </c>
      <c r="BN289" s="263">
        <f ca="1">IF(BN$7&gt;SAP_Leadsheet!$E$21,0,BN190*SAP_Leadsheet!$S112)</f>
        <v>3.8870402597711243E-3</v>
      </c>
      <c r="BO289" s="263"/>
      <c r="BP289" s="263"/>
      <c r="BQ289" s="263"/>
      <c r="BR289" s="263"/>
      <c r="BS289" s="263"/>
      <c r="BT289" s="263"/>
      <c r="BU289" s="263"/>
      <c r="BV289" s="263"/>
      <c r="BW289" s="263"/>
      <c r="BX289" s="263"/>
      <c r="BY289" s="263"/>
      <c r="BZ289" s="263"/>
      <c r="CA289" s="263"/>
      <c r="CB289" s="263"/>
      <c r="CC289" s="263"/>
      <c r="CD289" s="263"/>
      <c r="CE289" s="263"/>
      <c r="CF289" s="263"/>
      <c r="CG289" s="263"/>
      <c r="CH289" s="263"/>
      <c r="CI289" s="263"/>
      <c r="CJ289" s="263"/>
      <c r="CK289" s="263"/>
      <c r="CL289" s="263"/>
      <c r="CM289" s="263"/>
      <c r="CN289" s="263"/>
      <c r="CO289" s="263"/>
      <c r="CP289" s="263"/>
      <c r="CQ289" s="263"/>
      <c r="CR289" s="263"/>
      <c r="CS289" s="263"/>
      <c r="CT289" s="263"/>
      <c r="CU289" s="263"/>
      <c r="CV289" s="263"/>
      <c r="CW289" s="263"/>
      <c r="CX289" s="263"/>
      <c r="CY289" s="263"/>
      <c r="CZ289" s="263"/>
      <c r="DA289" s="263"/>
      <c r="DB289" s="263"/>
      <c r="DC289" s="263"/>
      <c r="DD289" s="263"/>
      <c r="DE289" s="263"/>
      <c r="DF289" s="263"/>
      <c r="DG289" s="263"/>
      <c r="DH289" s="263"/>
      <c r="DI289" s="263"/>
      <c r="DJ289" s="263"/>
      <c r="DK289" s="263"/>
      <c r="DL289" s="263"/>
      <c r="DM289" s="263"/>
      <c r="DN289" s="263"/>
      <c r="DO289" s="263"/>
      <c r="DP289" s="263"/>
      <c r="DQ289" s="263"/>
      <c r="DR289" s="263"/>
      <c r="DS289" s="263"/>
      <c r="DT289" s="263"/>
      <c r="DU289" s="263"/>
      <c r="DV289" s="263"/>
      <c r="DW289" s="263"/>
      <c r="DX289" s="263"/>
      <c r="DY289" s="263"/>
      <c r="DZ289" s="263"/>
      <c r="EA289" s="263"/>
      <c r="EB289" s="263"/>
      <c r="EC289" s="263"/>
      <c r="ED289" s="263"/>
      <c r="EE289" s="263"/>
      <c r="EF289" s="263"/>
      <c r="EG289" s="263"/>
      <c r="EH289" s="263"/>
      <c r="EI289" s="263"/>
      <c r="EJ289" s="263"/>
      <c r="EK289" s="263"/>
      <c r="EL289" s="263"/>
      <c r="EM289" s="263"/>
      <c r="EN289" s="263"/>
      <c r="EO289" s="263"/>
      <c r="EP289" s="263"/>
      <c r="EQ289" s="263"/>
      <c r="ER289" s="263"/>
      <c r="ES289" s="263"/>
      <c r="ET289" s="263"/>
      <c r="EU289" s="263"/>
      <c r="EV289" s="263"/>
      <c r="EW289" s="263"/>
      <c r="EX289" s="263"/>
      <c r="EY289" s="263"/>
      <c r="EZ289" s="263"/>
      <c r="FA289" s="263"/>
      <c r="FB289" s="263"/>
      <c r="FC289" s="263"/>
      <c r="FD289" s="263"/>
      <c r="FE289" s="263"/>
      <c r="FF289" s="263"/>
      <c r="FG289" s="263"/>
      <c r="FH289" s="263"/>
      <c r="FI289" s="263"/>
      <c r="FJ289" s="263"/>
      <c r="FK289" s="263"/>
      <c r="FL289" s="263"/>
      <c r="FM289" s="263"/>
      <c r="FN289" s="263"/>
      <c r="FO289" s="263"/>
      <c r="FP289" s="263"/>
      <c r="FQ289" s="263"/>
      <c r="FR289" s="263"/>
      <c r="FS289" s="263"/>
      <c r="FT289" s="263"/>
      <c r="FU289" s="263"/>
      <c r="FV289" s="263"/>
      <c r="FW289" s="263"/>
      <c r="FX289" s="263"/>
      <c r="FY289" s="263"/>
      <c r="FZ289" s="263"/>
      <c r="GA289" s="263"/>
      <c r="GB289" s="263"/>
      <c r="GC289" s="263"/>
      <c r="GD289" s="263"/>
      <c r="GE289" s="263"/>
      <c r="GF289" s="263"/>
      <c r="GG289" s="263"/>
      <c r="GH289" s="263"/>
      <c r="GI289" s="263"/>
      <c r="GJ289" s="263"/>
      <c r="GK289" s="263"/>
      <c r="GL289" s="263"/>
      <c r="GM289" s="263"/>
      <c r="GN289" s="263"/>
      <c r="GO289" s="263"/>
      <c r="GP289" s="263"/>
      <c r="GQ289" s="263"/>
      <c r="GR289" s="263"/>
      <c r="GS289" s="263"/>
      <c r="GT289" s="263"/>
      <c r="GU289" s="263"/>
      <c r="GV289" s="263"/>
      <c r="GW289" s="263"/>
      <c r="GX289" s="263"/>
      <c r="GY289" s="263"/>
    </row>
    <row r="290" spans="1:207" x14ac:dyDescent="0.15">
      <c r="A290" s="62"/>
      <c r="D290" s="26" t="s">
        <v>292</v>
      </c>
      <c r="F290" s="80"/>
      <c r="G290" s="263">
        <f>IF(G$7&gt;SAP_Leadsheet!$E$21,0,G191*SAP_Leadsheet!$S113)</f>
        <v>0</v>
      </c>
      <c r="H290" s="263">
        <f ca="1">IF(H$7&gt;SAP_Leadsheet!$E$21,0,H191*SAP_Leadsheet!$S113)</f>
        <v>0</v>
      </c>
      <c r="I290" s="263">
        <f ca="1">IF(I$7&gt;SAP_Leadsheet!$E$21,0,I191*SAP_Leadsheet!$S113)</f>
        <v>0</v>
      </c>
      <c r="J290" s="263">
        <f ca="1">IF(J$7&gt;SAP_Leadsheet!$E$21,0,J191*SAP_Leadsheet!$S113)</f>
        <v>0</v>
      </c>
      <c r="K290" s="263">
        <f ca="1">IF(K$7&gt;SAP_Leadsheet!$E$21,0,K191*SAP_Leadsheet!$S113)</f>
        <v>0</v>
      </c>
      <c r="L290" s="263">
        <f ca="1">IF(L$7&gt;SAP_Leadsheet!$E$21,0,L191*SAP_Leadsheet!$S113)</f>
        <v>0</v>
      </c>
      <c r="M290" s="263">
        <f ca="1">IF(M$7&gt;SAP_Leadsheet!$E$21,0,M191*SAP_Leadsheet!$S113)</f>
        <v>0</v>
      </c>
      <c r="N290" s="263">
        <f ca="1">IF(N$7&gt;SAP_Leadsheet!$E$21,0,N191*SAP_Leadsheet!$S113)</f>
        <v>0</v>
      </c>
      <c r="O290" s="263">
        <f ca="1">IF(O$7&gt;SAP_Leadsheet!$E$21,0,O191*SAP_Leadsheet!$S113)</f>
        <v>0</v>
      </c>
      <c r="P290" s="263">
        <f ca="1">IF(P$7&gt;SAP_Leadsheet!$E$21,0,P191*SAP_Leadsheet!$S113)</f>
        <v>0</v>
      </c>
      <c r="Q290" s="263">
        <f ca="1">IF(Q$7&gt;SAP_Leadsheet!$E$21,0,Q191*SAP_Leadsheet!$S113)</f>
        <v>2.4311080044447108E-2</v>
      </c>
      <c r="R290" s="263">
        <f ca="1">IF(R$7&gt;SAP_Leadsheet!$E$21,0,R191*SAP_Leadsheet!$S113)</f>
        <v>4.2854189764466775E-2</v>
      </c>
      <c r="S290" s="263">
        <f ca="1">IF(S$7&gt;SAP_Leadsheet!$E$21,0,S191*SAP_Leadsheet!$S113)</f>
        <v>5.0409684538960997E-2</v>
      </c>
      <c r="T290" s="263">
        <f ca="1">IF(T$7&gt;SAP_Leadsheet!$E$21,0,T191*SAP_Leadsheet!$S113)</f>
        <v>5.0145547592013104E-2</v>
      </c>
      <c r="U290" s="263">
        <f ca="1">IF(U$7&gt;SAP_Leadsheet!$E$21,0,U191*SAP_Leadsheet!$S113)</f>
        <v>4.6109849549855225E-2</v>
      </c>
      <c r="V290" s="263">
        <f ca="1">IF(V$7&gt;SAP_Leadsheet!$E$21,0,V191*SAP_Leadsheet!$S113)</f>
        <v>4.06945807410109E-2</v>
      </c>
      <c r="W290" s="263">
        <f ca="1">IF(W$7&gt;SAP_Leadsheet!$E$21,0,W191*SAP_Leadsheet!$S113)</f>
        <v>3.4420877065781695E-2</v>
      </c>
      <c r="X290" s="263">
        <f ca="1">IF(X$7&gt;SAP_Leadsheet!$E$21,0,X191*SAP_Leadsheet!$S113)</f>
        <v>2.9576269966928918E-2</v>
      </c>
      <c r="Y290" s="263">
        <f ca="1">IF(Y$7&gt;SAP_Leadsheet!$E$21,0,Y191*SAP_Leadsheet!$S113)</f>
        <v>2.5402967644451022E-2</v>
      </c>
      <c r="Z290" s="263">
        <f ca="1">IF(Z$7&gt;SAP_Leadsheet!$E$21,0,Z191*SAP_Leadsheet!$S113)</f>
        <v>2.1631469521173605E-2</v>
      </c>
      <c r="AA290" s="263">
        <f ca="1">IF(AA$7&gt;SAP_Leadsheet!$E$21,0,AA191*SAP_Leadsheet!$S113)</f>
        <v>1.8482536860721828E-2</v>
      </c>
      <c r="AB290" s="263">
        <f ca="1">IF(AB$7&gt;SAP_Leadsheet!$E$21,0,AB191*SAP_Leadsheet!$S113)</f>
        <v>9.2824174646438558E-3</v>
      </c>
      <c r="AC290" s="263">
        <f ca="1">IF(AC$7&gt;SAP_Leadsheet!$E$21,0,AC191*SAP_Leadsheet!$S113)</f>
        <v>9.5290500416414618E-3</v>
      </c>
      <c r="AD290" s="263">
        <f ca="1">IF(AD$7&gt;SAP_Leadsheet!$E$21,0,AD191*SAP_Leadsheet!$S113)</f>
        <v>1.0965717377576583E-2</v>
      </c>
      <c r="AE290" s="263">
        <f ca="1">IF(AE$7&gt;SAP_Leadsheet!$E$21,0,AE191*SAP_Leadsheet!$S113)</f>
        <v>1.1308202951319981E-2</v>
      </c>
      <c r="AF290" s="263">
        <f ca="1">IF(AF$7&gt;SAP_Leadsheet!$E$21,0,AF191*SAP_Leadsheet!$S113)</f>
        <v>1.0767064780283341E-2</v>
      </c>
      <c r="AG290" s="263">
        <f ca="1">IF(AG$7&gt;SAP_Leadsheet!$E$21,0,AG191*SAP_Leadsheet!$S113)</f>
        <v>1.0903623003937612E-2</v>
      </c>
      <c r="AH290" s="263">
        <f ca="1">IF(AH$7&gt;SAP_Leadsheet!$E$21,0,AH191*SAP_Leadsheet!$S113)</f>
        <v>1.121341386829695E-2</v>
      </c>
      <c r="AI290" s="263">
        <f ca="1">IF(AI$7&gt;SAP_Leadsheet!$E$21,0,AI191*SAP_Leadsheet!$S113)</f>
        <v>1.1435272968155037E-2</v>
      </c>
      <c r="AJ290" s="263">
        <f ca="1">IF(AJ$7&gt;SAP_Leadsheet!$E$21,0,AJ191*SAP_Leadsheet!$S113)</f>
        <v>1.1564055462820312E-2</v>
      </c>
      <c r="AK290" s="263">
        <f ca="1">IF(AK$7&gt;SAP_Leadsheet!$E$21,0,AK191*SAP_Leadsheet!$S113)</f>
        <v>1.1162317329544194E-2</v>
      </c>
      <c r="AL290" s="263">
        <f ca="1">IF(AL$7&gt;SAP_Leadsheet!$E$21,0,AL191*SAP_Leadsheet!$S113)</f>
        <v>1.046595221648264E-2</v>
      </c>
      <c r="AM290" s="263">
        <f ca="1">IF(AM$7&gt;SAP_Leadsheet!$E$21,0,AM191*SAP_Leadsheet!$S113)</f>
        <v>1.0185514993488017E-2</v>
      </c>
      <c r="AN290" s="263">
        <f ca="1">IF(AN$7&gt;SAP_Leadsheet!$E$21,0,AN191*SAP_Leadsheet!$S113)</f>
        <v>8.3330392866375839E-3</v>
      </c>
      <c r="AO290" s="263">
        <f ca="1">IF(AO$7&gt;SAP_Leadsheet!$E$21,0,AO191*SAP_Leadsheet!$S113)</f>
        <v>8.5032863954991583E-3</v>
      </c>
      <c r="AP290" s="263">
        <f ca="1">IF(AP$7&gt;SAP_Leadsheet!$E$21,0,AP191*SAP_Leadsheet!$S113)</f>
        <v>9.0262469754481527E-3</v>
      </c>
      <c r="AQ290" s="263">
        <f ca="1">IF(AQ$7&gt;SAP_Leadsheet!$E$21,0,AQ191*SAP_Leadsheet!$S113)</f>
        <v>9.349269002695575E-3</v>
      </c>
      <c r="AR290" s="263">
        <f ca="1">IF(AR$7&gt;SAP_Leadsheet!$E$21,0,AR191*SAP_Leadsheet!$S113)</f>
        <v>9.3952584137942437E-3</v>
      </c>
      <c r="AS290" s="263">
        <f ca="1">IF(AS$7&gt;SAP_Leadsheet!$E$21,0,AS191*SAP_Leadsheet!$S113)</f>
        <v>9.2600096982636132E-3</v>
      </c>
      <c r="AT290" s="263">
        <f ca="1">IF(AT$7&gt;SAP_Leadsheet!$E$21,0,AT191*SAP_Leadsheet!$S113)</f>
        <v>9.0446468321722338E-3</v>
      </c>
      <c r="AU290" s="263">
        <f ca="1">IF(AU$7&gt;SAP_Leadsheet!$E$21,0,AU191*SAP_Leadsheet!$S113)</f>
        <v>8.807066859010176E-3</v>
      </c>
      <c r="AV290" s="263">
        <f ca="1">IF(AV$7&gt;SAP_Leadsheet!$E$21,0,AV191*SAP_Leadsheet!$S113)</f>
        <v>8.8639473028057879E-3</v>
      </c>
      <c r="AW290" s="263">
        <f ca="1">IF(AW$7&gt;SAP_Leadsheet!$E$21,0,AW191*SAP_Leadsheet!$S113)</f>
        <v>8.5859555565104013E-3</v>
      </c>
      <c r="AX290" s="263">
        <f ca="1">IF(AX$7&gt;SAP_Leadsheet!$E$21,0,AX191*SAP_Leadsheet!$S113)</f>
        <v>8.2347316498424302E-3</v>
      </c>
      <c r="AY290" s="263">
        <f ca="1">IF(AY$7&gt;SAP_Leadsheet!$E$21,0,AY191*SAP_Leadsheet!$S113)</f>
        <v>7.6249382825765199E-3</v>
      </c>
      <c r="AZ290" s="263">
        <f ca="1">IF(AZ$7&gt;SAP_Leadsheet!$E$21,0,AZ191*SAP_Leadsheet!$S113)</f>
        <v>6.1324614361656909E-3</v>
      </c>
      <c r="BA290" s="263">
        <f ca="1">IF(BA$7&gt;SAP_Leadsheet!$E$21,0,BA191*SAP_Leadsheet!$S113)</f>
        <v>5.9967166074469894E-3</v>
      </c>
      <c r="BB290" s="263">
        <f ca="1">IF(BB$7&gt;SAP_Leadsheet!$E$21,0,BB191*SAP_Leadsheet!$S113)</f>
        <v>5.8857819975952977E-3</v>
      </c>
      <c r="BC290" s="263">
        <f ca="1">IF(BC$7&gt;SAP_Leadsheet!$E$21,0,BC191*SAP_Leadsheet!$S113)</f>
        <v>5.78685179979918E-3</v>
      </c>
      <c r="BD290" s="263">
        <f ca="1">IF(BD$7&gt;SAP_Leadsheet!$E$21,0,BD191*SAP_Leadsheet!$S113)</f>
        <v>5.6903340301367863E-3</v>
      </c>
      <c r="BE290" s="263">
        <f ca="1">IF(BE$7&gt;SAP_Leadsheet!$E$21,0,BE191*SAP_Leadsheet!$S113)</f>
        <v>5.5925612692839573E-3</v>
      </c>
      <c r="BF290" s="263">
        <f ca="1">IF(BF$7&gt;SAP_Leadsheet!$E$21,0,BF191*SAP_Leadsheet!$S113)</f>
        <v>5.4930071447300546E-3</v>
      </c>
      <c r="BG290" s="263">
        <f ca="1">IF(BG$7&gt;SAP_Leadsheet!$E$21,0,BG191*SAP_Leadsheet!$S113)</f>
        <v>5.3908658110735285E-3</v>
      </c>
      <c r="BH290" s="263">
        <f ca="1">IF(BH$7&gt;SAP_Leadsheet!$E$21,0,BH191*SAP_Leadsheet!$S113)</f>
        <v>5.2848823235755373E-3</v>
      </c>
      <c r="BI290" s="263">
        <f ca="1">IF(BI$7&gt;SAP_Leadsheet!$E$21,0,BI191*SAP_Leadsheet!$S113)</f>
        <v>5.1709545093049812E-3</v>
      </c>
      <c r="BJ290" s="263">
        <f ca="1">IF(BJ$7&gt;SAP_Leadsheet!$E$21,0,BJ191*SAP_Leadsheet!$S113)</f>
        <v>5.0452789293728584E-3</v>
      </c>
      <c r="BK290" s="263">
        <f ca="1">IF(BK$7&gt;SAP_Leadsheet!$E$21,0,BK191*SAP_Leadsheet!$S113)</f>
        <v>4.911655601902344E-3</v>
      </c>
      <c r="BL290" s="263">
        <f ca="1">IF(BL$7&gt;SAP_Leadsheet!$E$21,0,BL191*SAP_Leadsheet!$S113)</f>
        <v>4.2015133548954442E-3</v>
      </c>
      <c r="BM290" s="263">
        <f ca="1">IF(BM$7&gt;SAP_Leadsheet!$E$21,0,BM191*SAP_Leadsheet!$S113)</f>
        <v>4.0962056019875435E-3</v>
      </c>
      <c r="BN290" s="263">
        <f ca="1">IF(BN$7&gt;SAP_Leadsheet!$E$21,0,BN191*SAP_Leadsheet!$S113)</f>
        <v>3.9911579880625115E-3</v>
      </c>
      <c r="BO290" s="263"/>
      <c r="BP290" s="263"/>
      <c r="BQ290" s="263"/>
      <c r="BR290" s="263"/>
      <c r="BS290" s="263"/>
      <c r="BT290" s="263"/>
      <c r="BU290" s="263"/>
      <c r="BV290" s="263"/>
      <c r="BW290" s="263"/>
      <c r="BX290" s="263"/>
      <c r="BY290" s="263"/>
      <c r="BZ290" s="263"/>
      <c r="CA290" s="263"/>
      <c r="CB290" s="263"/>
      <c r="CC290" s="263"/>
      <c r="CD290" s="263"/>
      <c r="CE290" s="263"/>
      <c r="CF290" s="263"/>
      <c r="CG290" s="263"/>
      <c r="CH290" s="263"/>
      <c r="CI290" s="263"/>
      <c r="CJ290" s="263"/>
      <c r="CK290" s="263"/>
      <c r="CL290" s="263"/>
      <c r="CM290" s="263"/>
      <c r="CN290" s="263"/>
      <c r="CO290" s="263"/>
      <c r="CP290" s="263"/>
      <c r="CQ290" s="263"/>
      <c r="CR290" s="263"/>
      <c r="CS290" s="263"/>
      <c r="CT290" s="263"/>
      <c r="CU290" s="263"/>
      <c r="CV290" s="263"/>
      <c r="CW290" s="263"/>
      <c r="CX290" s="263"/>
      <c r="CY290" s="263"/>
      <c r="CZ290" s="263"/>
      <c r="DA290" s="263"/>
      <c r="DB290" s="263"/>
      <c r="DC290" s="263"/>
      <c r="DD290" s="263"/>
      <c r="DE290" s="263"/>
      <c r="DF290" s="263"/>
      <c r="DG290" s="263"/>
      <c r="DH290" s="263"/>
      <c r="DI290" s="263"/>
      <c r="DJ290" s="263"/>
      <c r="DK290" s="263"/>
      <c r="DL290" s="263"/>
      <c r="DM290" s="263"/>
      <c r="DN290" s="263"/>
      <c r="DO290" s="263"/>
      <c r="DP290" s="263"/>
      <c r="DQ290" s="263"/>
      <c r="DR290" s="263"/>
      <c r="DS290" s="263"/>
      <c r="DT290" s="263"/>
      <c r="DU290" s="263"/>
      <c r="DV290" s="263"/>
      <c r="DW290" s="263"/>
      <c r="DX290" s="263"/>
      <c r="DY290" s="263"/>
      <c r="DZ290" s="263"/>
      <c r="EA290" s="263"/>
      <c r="EB290" s="263"/>
      <c r="EC290" s="263"/>
      <c r="ED290" s="263"/>
      <c r="EE290" s="263"/>
      <c r="EF290" s="263"/>
      <c r="EG290" s="263"/>
      <c r="EH290" s="263"/>
      <c r="EI290" s="263"/>
      <c r="EJ290" s="263"/>
      <c r="EK290" s="263"/>
      <c r="EL290" s="263"/>
      <c r="EM290" s="263"/>
      <c r="EN290" s="263"/>
      <c r="EO290" s="263"/>
      <c r="EP290" s="263"/>
      <c r="EQ290" s="263"/>
      <c r="ER290" s="263"/>
      <c r="ES290" s="263"/>
      <c r="ET290" s="263"/>
      <c r="EU290" s="263"/>
      <c r="EV290" s="263"/>
      <c r="EW290" s="263"/>
      <c r="EX290" s="263"/>
      <c r="EY290" s="263"/>
      <c r="EZ290" s="263"/>
      <c r="FA290" s="263"/>
      <c r="FB290" s="263"/>
      <c r="FC290" s="263"/>
      <c r="FD290" s="263"/>
      <c r="FE290" s="263"/>
      <c r="FF290" s="263"/>
      <c r="FG290" s="263"/>
      <c r="FH290" s="263"/>
      <c r="FI290" s="263"/>
      <c r="FJ290" s="263"/>
      <c r="FK290" s="263"/>
      <c r="FL290" s="263"/>
      <c r="FM290" s="263"/>
      <c r="FN290" s="263"/>
      <c r="FO290" s="263"/>
      <c r="FP290" s="263"/>
      <c r="FQ290" s="263"/>
      <c r="FR290" s="263"/>
      <c r="FS290" s="263"/>
      <c r="FT290" s="263"/>
      <c r="FU290" s="263"/>
      <c r="FV290" s="263"/>
      <c r="FW290" s="263"/>
      <c r="FX290" s="263"/>
      <c r="FY290" s="263"/>
      <c r="FZ290" s="263"/>
      <c r="GA290" s="263"/>
      <c r="GB290" s="263"/>
      <c r="GC290" s="263"/>
      <c r="GD290" s="263"/>
      <c r="GE290" s="263"/>
      <c r="GF290" s="263"/>
      <c r="GG290" s="263"/>
      <c r="GH290" s="263"/>
      <c r="GI290" s="263"/>
      <c r="GJ290" s="263"/>
      <c r="GK290" s="263"/>
      <c r="GL290" s="263"/>
      <c r="GM290" s="263"/>
      <c r="GN290" s="263"/>
      <c r="GO290" s="263"/>
      <c r="GP290" s="263"/>
      <c r="GQ290" s="263"/>
      <c r="GR290" s="263"/>
      <c r="GS290" s="263"/>
      <c r="GT290" s="263"/>
      <c r="GU290" s="263"/>
      <c r="GV290" s="263"/>
      <c r="GW290" s="263"/>
      <c r="GX290" s="263"/>
      <c r="GY290" s="263"/>
    </row>
    <row r="291" spans="1:207" x14ac:dyDescent="0.15">
      <c r="A291" s="62"/>
      <c r="D291" s="26" t="s">
        <v>293</v>
      </c>
      <c r="F291" s="80"/>
      <c r="G291" s="263">
        <f>IF(G$7&gt;SAP_Leadsheet!$E$21,0,G192*SAP_Leadsheet!$S114)</f>
        <v>0</v>
      </c>
      <c r="H291" s="263">
        <f ca="1">IF(H$7&gt;SAP_Leadsheet!$E$21,0,H192*SAP_Leadsheet!$S114)</f>
        <v>0</v>
      </c>
      <c r="I291" s="263">
        <f ca="1">IF(I$7&gt;SAP_Leadsheet!$E$21,0,I192*SAP_Leadsheet!$S114)</f>
        <v>0</v>
      </c>
      <c r="J291" s="263">
        <f ca="1">IF(J$7&gt;SAP_Leadsheet!$E$21,0,J192*SAP_Leadsheet!$S114)</f>
        <v>0</v>
      </c>
      <c r="K291" s="263">
        <f ca="1">IF(K$7&gt;SAP_Leadsheet!$E$21,0,K192*SAP_Leadsheet!$S114)</f>
        <v>0</v>
      </c>
      <c r="L291" s="263">
        <f ca="1">IF(L$7&gt;SAP_Leadsheet!$E$21,0,L192*SAP_Leadsheet!$S114)</f>
        <v>0</v>
      </c>
      <c r="M291" s="263">
        <f ca="1">IF(M$7&gt;SAP_Leadsheet!$E$21,0,M192*SAP_Leadsheet!$S114)</f>
        <v>0</v>
      </c>
      <c r="N291" s="263">
        <f ca="1">IF(N$7&gt;SAP_Leadsheet!$E$21,0,N192*SAP_Leadsheet!$S114)</f>
        <v>0</v>
      </c>
      <c r="O291" s="263">
        <f ca="1">IF(O$7&gt;SAP_Leadsheet!$E$21,0,O192*SAP_Leadsheet!$S114)</f>
        <v>0</v>
      </c>
      <c r="P291" s="263">
        <f ca="1">IF(P$7&gt;SAP_Leadsheet!$E$21,0,P192*SAP_Leadsheet!$S114)</f>
        <v>0</v>
      </c>
      <c r="Q291" s="263">
        <f ca="1">IF(Q$7&gt;SAP_Leadsheet!$E$21,0,Q192*SAP_Leadsheet!$S114)</f>
        <v>0</v>
      </c>
      <c r="R291" s="263">
        <f ca="1">IF(R$7&gt;SAP_Leadsheet!$E$21,0,R192*SAP_Leadsheet!$S114)</f>
        <v>2.4311080044447108E-2</v>
      </c>
      <c r="S291" s="263">
        <f ca="1">IF(S$7&gt;SAP_Leadsheet!$E$21,0,S192*SAP_Leadsheet!$S114)</f>
        <v>4.2854189764466775E-2</v>
      </c>
      <c r="T291" s="263">
        <f ca="1">IF(T$7&gt;SAP_Leadsheet!$E$21,0,T192*SAP_Leadsheet!$S114)</f>
        <v>5.0409684538960997E-2</v>
      </c>
      <c r="U291" s="263">
        <f ca="1">IF(U$7&gt;SAP_Leadsheet!$E$21,0,U192*SAP_Leadsheet!$S114)</f>
        <v>5.0145547592013104E-2</v>
      </c>
      <c r="V291" s="263">
        <f ca="1">IF(V$7&gt;SAP_Leadsheet!$E$21,0,V192*SAP_Leadsheet!$S114)</f>
        <v>4.6109849549855225E-2</v>
      </c>
      <c r="W291" s="263">
        <f ca="1">IF(W$7&gt;SAP_Leadsheet!$E$21,0,W192*SAP_Leadsheet!$S114)</f>
        <v>4.06945807410109E-2</v>
      </c>
      <c r="X291" s="263">
        <f ca="1">IF(X$7&gt;SAP_Leadsheet!$E$21,0,X192*SAP_Leadsheet!$S114)</f>
        <v>3.4420877065781695E-2</v>
      </c>
      <c r="Y291" s="263">
        <f ca="1">IF(Y$7&gt;SAP_Leadsheet!$E$21,0,Y192*SAP_Leadsheet!$S114)</f>
        <v>2.9576269966928918E-2</v>
      </c>
      <c r="Z291" s="263">
        <f ca="1">IF(Z$7&gt;SAP_Leadsheet!$E$21,0,Z192*SAP_Leadsheet!$S114)</f>
        <v>2.5402967644451022E-2</v>
      </c>
      <c r="AA291" s="263">
        <f ca="1">IF(AA$7&gt;SAP_Leadsheet!$E$21,0,AA192*SAP_Leadsheet!$S114)</f>
        <v>2.1631469521173605E-2</v>
      </c>
      <c r="AB291" s="263">
        <f ca="1">IF(AB$7&gt;SAP_Leadsheet!$E$21,0,AB192*SAP_Leadsheet!$S114)</f>
        <v>1.8482536860721828E-2</v>
      </c>
      <c r="AC291" s="263">
        <f ca="1">IF(AC$7&gt;SAP_Leadsheet!$E$21,0,AC192*SAP_Leadsheet!$S114)</f>
        <v>9.2824174646438558E-3</v>
      </c>
      <c r="AD291" s="263">
        <f ca="1">IF(AD$7&gt;SAP_Leadsheet!$E$21,0,AD192*SAP_Leadsheet!$S114)</f>
        <v>9.5290500416414618E-3</v>
      </c>
      <c r="AE291" s="263">
        <f ca="1">IF(AE$7&gt;SAP_Leadsheet!$E$21,0,AE192*SAP_Leadsheet!$S114)</f>
        <v>1.0965717377576583E-2</v>
      </c>
      <c r="AF291" s="263">
        <f ca="1">IF(AF$7&gt;SAP_Leadsheet!$E$21,0,AF192*SAP_Leadsheet!$S114)</f>
        <v>1.1308202951319981E-2</v>
      </c>
      <c r="AG291" s="263">
        <f ca="1">IF(AG$7&gt;SAP_Leadsheet!$E$21,0,AG192*SAP_Leadsheet!$S114)</f>
        <v>1.0767064780283341E-2</v>
      </c>
      <c r="AH291" s="263">
        <f ca="1">IF(AH$7&gt;SAP_Leadsheet!$E$21,0,AH192*SAP_Leadsheet!$S114)</f>
        <v>1.0903623003937612E-2</v>
      </c>
      <c r="AI291" s="263">
        <f ca="1">IF(AI$7&gt;SAP_Leadsheet!$E$21,0,AI192*SAP_Leadsheet!$S114)</f>
        <v>1.121341386829695E-2</v>
      </c>
      <c r="AJ291" s="263">
        <f ca="1">IF(AJ$7&gt;SAP_Leadsheet!$E$21,0,AJ192*SAP_Leadsheet!$S114)</f>
        <v>1.1435272968155037E-2</v>
      </c>
      <c r="AK291" s="263">
        <f ca="1">IF(AK$7&gt;SAP_Leadsheet!$E$21,0,AK192*SAP_Leadsheet!$S114)</f>
        <v>1.1564055462820312E-2</v>
      </c>
      <c r="AL291" s="263">
        <f ca="1">IF(AL$7&gt;SAP_Leadsheet!$E$21,0,AL192*SAP_Leadsheet!$S114)</f>
        <v>1.1162317329544194E-2</v>
      </c>
      <c r="AM291" s="263">
        <f ca="1">IF(AM$7&gt;SAP_Leadsheet!$E$21,0,AM192*SAP_Leadsheet!$S114)</f>
        <v>1.046595221648264E-2</v>
      </c>
      <c r="AN291" s="263">
        <f ca="1">IF(AN$7&gt;SAP_Leadsheet!$E$21,0,AN192*SAP_Leadsheet!$S114)</f>
        <v>1.0185514993488017E-2</v>
      </c>
      <c r="AO291" s="263">
        <f ca="1">IF(AO$7&gt;SAP_Leadsheet!$E$21,0,AO192*SAP_Leadsheet!$S114)</f>
        <v>8.3330392866375839E-3</v>
      </c>
      <c r="AP291" s="263">
        <f ca="1">IF(AP$7&gt;SAP_Leadsheet!$E$21,0,AP192*SAP_Leadsheet!$S114)</f>
        <v>8.5032863954991583E-3</v>
      </c>
      <c r="AQ291" s="263">
        <f ca="1">IF(AQ$7&gt;SAP_Leadsheet!$E$21,0,AQ192*SAP_Leadsheet!$S114)</f>
        <v>9.0262469754481527E-3</v>
      </c>
      <c r="AR291" s="263">
        <f ca="1">IF(AR$7&gt;SAP_Leadsheet!$E$21,0,AR192*SAP_Leadsheet!$S114)</f>
        <v>9.349269002695575E-3</v>
      </c>
      <c r="AS291" s="263">
        <f ca="1">IF(AS$7&gt;SAP_Leadsheet!$E$21,0,AS192*SAP_Leadsheet!$S114)</f>
        <v>9.3952584137942437E-3</v>
      </c>
      <c r="AT291" s="263">
        <f ca="1">IF(AT$7&gt;SAP_Leadsheet!$E$21,0,AT192*SAP_Leadsheet!$S114)</f>
        <v>9.2600096982636132E-3</v>
      </c>
      <c r="AU291" s="263">
        <f ca="1">IF(AU$7&gt;SAP_Leadsheet!$E$21,0,AU192*SAP_Leadsheet!$S114)</f>
        <v>9.0446468321722338E-3</v>
      </c>
      <c r="AV291" s="263">
        <f ca="1">IF(AV$7&gt;SAP_Leadsheet!$E$21,0,AV192*SAP_Leadsheet!$S114)</f>
        <v>8.807066859010176E-3</v>
      </c>
      <c r="AW291" s="263">
        <f ca="1">IF(AW$7&gt;SAP_Leadsheet!$E$21,0,AW192*SAP_Leadsheet!$S114)</f>
        <v>8.8639473028057879E-3</v>
      </c>
      <c r="AX291" s="263">
        <f ca="1">IF(AX$7&gt;SAP_Leadsheet!$E$21,0,AX192*SAP_Leadsheet!$S114)</f>
        <v>8.5859555565104013E-3</v>
      </c>
      <c r="AY291" s="263">
        <f ca="1">IF(AY$7&gt;SAP_Leadsheet!$E$21,0,AY192*SAP_Leadsheet!$S114)</f>
        <v>8.2347316498424302E-3</v>
      </c>
      <c r="AZ291" s="263">
        <f ca="1">IF(AZ$7&gt;SAP_Leadsheet!$E$21,0,AZ192*SAP_Leadsheet!$S114)</f>
        <v>7.6249382825765199E-3</v>
      </c>
      <c r="BA291" s="263">
        <f ca="1">IF(BA$7&gt;SAP_Leadsheet!$E$21,0,BA192*SAP_Leadsheet!$S114)</f>
        <v>6.1324614361656909E-3</v>
      </c>
      <c r="BB291" s="263">
        <f ca="1">IF(BB$7&gt;SAP_Leadsheet!$E$21,0,BB192*SAP_Leadsheet!$S114)</f>
        <v>5.9967166074469894E-3</v>
      </c>
      <c r="BC291" s="263">
        <f ca="1">IF(BC$7&gt;SAP_Leadsheet!$E$21,0,BC192*SAP_Leadsheet!$S114)</f>
        <v>5.8857819975952977E-3</v>
      </c>
      <c r="BD291" s="263">
        <f ca="1">IF(BD$7&gt;SAP_Leadsheet!$E$21,0,BD192*SAP_Leadsheet!$S114)</f>
        <v>5.78685179979918E-3</v>
      </c>
      <c r="BE291" s="263">
        <f ca="1">IF(BE$7&gt;SAP_Leadsheet!$E$21,0,BE192*SAP_Leadsheet!$S114)</f>
        <v>5.6903340301367863E-3</v>
      </c>
      <c r="BF291" s="263">
        <f ca="1">IF(BF$7&gt;SAP_Leadsheet!$E$21,0,BF192*SAP_Leadsheet!$S114)</f>
        <v>5.5925612692839573E-3</v>
      </c>
      <c r="BG291" s="263">
        <f ca="1">IF(BG$7&gt;SAP_Leadsheet!$E$21,0,BG192*SAP_Leadsheet!$S114)</f>
        <v>5.4930071447300546E-3</v>
      </c>
      <c r="BH291" s="263">
        <f ca="1">IF(BH$7&gt;SAP_Leadsheet!$E$21,0,BH192*SAP_Leadsheet!$S114)</f>
        <v>5.3908658110735285E-3</v>
      </c>
      <c r="BI291" s="263">
        <f ca="1">IF(BI$7&gt;SAP_Leadsheet!$E$21,0,BI192*SAP_Leadsheet!$S114)</f>
        <v>5.2848823235755373E-3</v>
      </c>
      <c r="BJ291" s="263">
        <f ca="1">IF(BJ$7&gt;SAP_Leadsheet!$E$21,0,BJ192*SAP_Leadsheet!$S114)</f>
        <v>5.1709545093049812E-3</v>
      </c>
      <c r="BK291" s="263">
        <f ca="1">IF(BK$7&gt;SAP_Leadsheet!$E$21,0,BK192*SAP_Leadsheet!$S114)</f>
        <v>5.0452789293728584E-3</v>
      </c>
      <c r="BL291" s="263">
        <f ca="1">IF(BL$7&gt;SAP_Leadsheet!$E$21,0,BL192*SAP_Leadsheet!$S114)</f>
        <v>4.911655601902344E-3</v>
      </c>
      <c r="BM291" s="263">
        <f ca="1">IF(BM$7&gt;SAP_Leadsheet!$E$21,0,BM192*SAP_Leadsheet!$S114)</f>
        <v>4.2015133548954442E-3</v>
      </c>
      <c r="BN291" s="263">
        <f ca="1">IF(BN$7&gt;SAP_Leadsheet!$E$21,0,BN192*SAP_Leadsheet!$S114)</f>
        <v>4.0962056019875435E-3</v>
      </c>
      <c r="BO291" s="263"/>
      <c r="BP291" s="263"/>
      <c r="BQ291" s="263"/>
      <c r="BR291" s="263"/>
      <c r="BS291" s="263"/>
      <c r="BT291" s="263"/>
      <c r="BU291" s="263"/>
      <c r="BV291" s="263"/>
      <c r="BW291" s="263"/>
      <c r="BX291" s="263"/>
      <c r="BY291" s="263"/>
      <c r="BZ291" s="263"/>
      <c r="CA291" s="263"/>
      <c r="CB291" s="263"/>
      <c r="CC291" s="263"/>
      <c r="CD291" s="263"/>
      <c r="CE291" s="263"/>
      <c r="CF291" s="263"/>
      <c r="CG291" s="263"/>
      <c r="CH291" s="263"/>
      <c r="CI291" s="263"/>
      <c r="CJ291" s="263"/>
      <c r="CK291" s="263"/>
      <c r="CL291" s="263"/>
      <c r="CM291" s="263"/>
      <c r="CN291" s="263"/>
      <c r="CO291" s="263"/>
      <c r="CP291" s="263"/>
      <c r="CQ291" s="263"/>
      <c r="CR291" s="263"/>
      <c r="CS291" s="263"/>
      <c r="CT291" s="263"/>
      <c r="CU291" s="263"/>
      <c r="CV291" s="263"/>
      <c r="CW291" s="263"/>
      <c r="CX291" s="263"/>
      <c r="CY291" s="263"/>
      <c r="CZ291" s="263"/>
      <c r="DA291" s="263"/>
      <c r="DB291" s="263"/>
      <c r="DC291" s="263"/>
      <c r="DD291" s="263"/>
      <c r="DE291" s="263"/>
      <c r="DF291" s="263"/>
      <c r="DG291" s="263"/>
      <c r="DH291" s="263"/>
      <c r="DI291" s="263"/>
      <c r="DJ291" s="263"/>
      <c r="DK291" s="263"/>
      <c r="DL291" s="263"/>
      <c r="DM291" s="263"/>
      <c r="DN291" s="263"/>
      <c r="DO291" s="263"/>
      <c r="DP291" s="263"/>
      <c r="DQ291" s="263"/>
      <c r="DR291" s="263"/>
      <c r="DS291" s="263"/>
      <c r="DT291" s="263"/>
      <c r="DU291" s="263"/>
      <c r="DV291" s="263"/>
      <c r="DW291" s="263"/>
      <c r="DX291" s="263"/>
      <c r="DY291" s="263"/>
      <c r="DZ291" s="263"/>
      <c r="EA291" s="263"/>
      <c r="EB291" s="263"/>
      <c r="EC291" s="263"/>
      <c r="ED291" s="263"/>
      <c r="EE291" s="263"/>
      <c r="EF291" s="263"/>
      <c r="EG291" s="263"/>
      <c r="EH291" s="263"/>
      <c r="EI291" s="263"/>
      <c r="EJ291" s="263"/>
      <c r="EK291" s="263"/>
      <c r="EL291" s="263"/>
      <c r="EM291" s="263"/>
      <c r="EN291" s="263"/>
      <c r="EO291" s="263"/>
      <c r="EP291" s="263"/>
      <c r="EQ291" s="263"/>
      <c r="ER291" s="263"/>
      <c r="ES291" s="263"/>
      <c r="ET291" s="263"/>
      <c r="EU291" s="263"/>
      <c r="EV291" s="263"/>
      <c r="EW291" s="263"/>
      <c r="EX291" s="263"/>
      <c r="EY291" s="263"/>
      <c r="EZ291" s="263"/>
      <c r="FA291" s="263"/>
      <c r="FB291" s="263"/>
      <c r="FC291" s="263"/>
      <c r="FD291" s="263"/>
      <c r="FE291" s="263"/>
      <c r="FF291" s="263"/>
      <c r="FG291" s="263"/>
      <c r="FH291" s="263"/>
      <c r="FI291" s="263"/>
      <c r="FJ291" s="263"/>
      <c r="FK291" s="263"/>
      <c r="FL291" s="263"/>
      <c r="FM291" s="263"/>
      <c r="FN291" s="263"/>
      <c r="FO291" s="263"/>
      <c r="FP291" s="263"/>
      <c r="FQ291" s="263"/>
      <c r="FR291" s="263"/>
      <c r="FS291" s="263"/>
      <c r="FT291" s="263"/>
      <c r="FU291" s="263"/>
      <c r="FV291" s="263"/>
      <c r="FW291" s="263"/>
      <c r="FX291" s="263"/>
      <c r="FY291" s="263"/>
      <c r="FZ291" s="263"/>
      <c r="GA291" s="263"/>
      <c r="GB291" s="263"/>
      <c r="GC291" s="263"/>
      <c r="GD291" s="263"/>
      <c r="GE291" s="263"/>
      <c r="GF291" s="263"/>
      <c r="GG291" s="263"/>
      <c r="GH291" s="263"/>
      <c r="GI291" s="263"/>
      <c r="GJ291" s="263"/>
      <c r="GK291" s="263"/>
      <c r="GL291" s="263"/>
      <c r="GM291" s="263"/>
      <c r="GN291" s="263"/>
      <c r="GO291" s="263"/>
      <c r="GP291" s="263"/>
      <c r="GQ291" s="263"/>
      <c r="GR291" s="263"/>
      <c r="GS291" s="263"/>
      <c r="GT291" s="263"/>
      <c r="GU291" s="263"/>
      <c r="GV291" s="263"/>
      <c r="GW291" s="263"/>
      <c r="GX291" s="263"/>
      <c r="GY291" s="263"/>
    </row>
    <row r="292" spans="1:207" x14ac:dyDescent="0.15">
      <c r="A292" s="62"/>
      <c r="D292" s="26" t="s">
        <v>294</v>
      </c>
      <c r="F292" s="80"/>
      <c r="G292" s="263">
        <f>IF(G$7&gt;SAP_Leadsheet!$E$21,0,G193*SAP_Leadsheet!$S115)</f>
        <v>0</v>
      </c>
      <c r="H292" s="263">
        <f ca="1">IF(H$7&gt;SAP_Leadsheet!$E$21,0,H193*SAP_Leadsheet!$S115)</f>
        <v>0</v>
      </c>
      <c r="I292" s="263">
        <f ca="1">IF(I$7&gt;SAP_Leadsheet!$E$21,0,I193*SAP_Leadsheet!$S115)</f>
        <v>0</v>
      </c>
      <c r="J292" s="263">
        <f ca="1">IF(J$7&gt;SAP_Leadsheet!$E$21,0,J193*SAP_Leadsheet!$S115)</f>
        <v>0</v>
      </c>
      <c r="K292" s="263">
        <f ca="1">IF(K$7&gt;SAP_Leadsheet!$E$21,0,K193*SAP_Leadsheet!$S115)</f>
        <v>0</v>
      </c>
      <c r="L292" s="263">
        <f ca="1">IF(L$7&gt;SAP_Leadsheet!$E$21,0,L193*SAP_Leadsheet!$S115)</f>
        <v>0</v>
      </c>
      <c r="M292" s="263">
        <f ca="1">IF(M$7&gt;SAP_Leadsheet!$E$21,0,M193*SAP_Leadsheet!$S115)</f>
        <v>0</v>
      </c>
      <c r="N292" s="263">
        <f ca="1">IF(N$7&gt;SAP_Leadsheet!$E$21,0,N193*SAP_Leadsheet!$S115)</f>
        <v>0</v>
      </c>
      <c r="O292" s="263">
        <f ca="1">IF(O$7&gt;SAP_Leadsheet!$E$21,0,O193*SAP_Leadsheet!$S115)</f>
        <v>0</v>
      </c>
      <c r="P292" s="263">
        <f ca="1">IF(P$7&gt;SAP_Leadsheet!$E$21,0,P193*SAP_Leadsheet!$S115)</f>
        <v>0</v>
      </c>
      <c r="Q292" s="263">
        <f ca="1">IF(Q$7&gt;SAP_Leadsheet!$E$21,0,Q193*SAP_Leadsheet!$S115)</f>
        <v>0</v>
      </c>
      <c r="R292" s="263">
        <f ca="1">IF(R$7&gt;SAP_Leadsheet!$E$21,0,R193*SAP_Leadsheet!$S115)</f>
        <v>0</v>
      </c>
      <c r="S292" s="263">
        <f ca="1">IF(S$7&gt;SAP_Leadsheet!$E$21,0,S193*SAP_Leadsheet!$S115)</f>
        <v>2.4311080044447108E-2</v>
      </c>
      <c r="T292" s="263">
        <f ca="1">IF(T$7&gt;SAP_Leadsheet!$E$21,0,T193*SAP_Leadsheet!$S115)</f>
        <v>4.2854189764466775E-2</v>
      </c>
      <c r="U292" s="263">
        <f ca="1">IF(U$7&gt;SAP_Leadsheet!$E$21,0,U193*SAP_Leadsheet!$S115)</f>
        <v>5.0409684538960997E-2</v>
      </c>
      <c r="V292" s="263">
        <f ca="1">IF(V$7&gt;SAP_Leadsheet!$E$21,0,V193*SAP_Leadsheet!$S115)</f>
        <v>5.0145547592013104E-2</v>
      </c>
      <c r="W292" s="263">
        <f ca="1">IF(W$7&gt;SAP_Leadsheet!$E$21,0,W193*SAP_Leadsheet!$S115)</f>
        <v>4.6109849549855225E-2</v>
      </c>
      <c r="X292" s="263">
        <f ca="1">IF(X$7&gt;SAP_Leadsheet!$E$21,0,X193*SAP_Leadsheet!$S115)</f>
        <v>4.06945807410109E-2</v>
      </c>
      <c r="Y292" s="263">
        <f ca="1">IF(Y$7&gt;SAP_Leadsheet!$E$21,0,Y193*SAP_Leadsheet!$S115)</f>
        <v>3.4420877065781695E-2</v>
      </c>
      <c r="Z292" s="263">
        <f ca="1">IF(Z$7&gt;SAP_Leadsheet!$E$21,0,Z193*SAP_Leadsheet!$S115)</f>
        <v>2.9576269966928918E-2</v>
      </c>
      <c r="AA292" s="263">
        <f ca="1">IF(AA$7&gt;SAP_Leadsheet!$E$21,0,AA193*SAP_Leadsheet!$S115)</f>
        <v>2.5402967644451022E-2</v>
      </c>
      <c r="AB292" s="263">
        <f ca="1">IF(AB$7&gt;SAP_Leadsheet!$E$21,0,AB193*SAP_Leadsheet!$S115)</f>
        <v>2.1631469521173605E-2</v>
      </c>
      <c r="AC292" s="263">
        <f ca="1">IF(AC$7&gt;SAP_Leadsheet!$E$21,0,AC193*SAP_Leadsheet!$S115)</f>
        <v>1.8482536860721828E-2</v>
      </c>
      <c r="AD292" s="263">
        <f ca="1">IF(AD$7&gt;SAP_Leadsheet!$E$21,0,AD193*SAP_Leadsheet!$S115)</f>
        <v>9.2824174646438558E-3</v>
      </c>
      <c r="AE292" s="263">
        <f ca="1">IF(AE$7&gt;SAP_Leadsheet!$E$21,0,AE193*SAP_Leadsheet!$S115)</f>
        <v>9.5290500416414618E-3</v>
      </c>
      <c r="AF292" s="263">
        <f ca="1">IF(AF$7&gt;SAP_Leadsheet!$E$21,0,AF193*SAP_Leadsheet!$S115)</f>
        <v>1.0965717377576583E-2</v>
      </c>
      <c r="AG292" s="263">
        <f ca="1">IF(AG$7&gt;SAP_Leadsheet!$E$21,0,AG193*SAP_Leadsheet!$S115)</f>
        <v>1.1308202951319981E-2</v>
      </c>
      <c r="AH292" s="263">
        <f ca="1">IF(AH$7&gt;SAP_Leadsheet!$E$21,0,AH193*SAP_Leadsheet!$S115)</f>
        <v>1.0767064780283341E-2</v>
      </c>
      <c r="AI292" s="263">
        <f ca="1">IF(AI$7&gt;SAP_Leadsheet!$E$21,0,AI193*SAP_Leadsheet!$S115)</f>
        <v>1.0903623003937612E-2</v>
      </c>
      <c r="AJ292" s="263">
        <f ca="1">IF(AJ$7&gt;SAP_Leadsheet!$E$21,0,AJ193*SAP_Leadsheet!$S115)</f>
        <v>1.121341386829695E-2</v>
      </c>
      <c r="AK292" s="263">
        <f ca="1">IF(AK$7&gt;SAP_Leadsheet!$E$21,0,AK193*SAP_Leadsheet!$S115)</f>
        <v>1.1435272968155037E-2</v>
      </c>
      <c r="AL292" s="263">
        <f ca="1">IF(AL$7&gt;SAP_Leadsheet!$E$21,0,AL193*SAP_Leadsheet!$S115)</f>
        <v>1.1564055462820312E-2</v>
      </c>
      <c r="AM292" s="263">
        <f ca="1">IF(AM$7&gt;SAP_Leadsheet!$E$21,0,AM193*SAP_Leadsheet!$S115)</f>
        <v>1.1162317329544194E-2</v>
      </c>
      <c r="AN292" s="263">
        <f ca="1">IF(AN$7&gt;SAP_Leadsheet!$E$21,0,AN193*SAP_Leadsheet!$S115)</f>
        <v>1.046595221648264E-2</v>
      </c>
      <c r="AO292" s="263">
        <f ca="1">IF(AO$7&gt;SAP_Leadsheet!$E$21,0,AO193*SAP_Leadsheet!$S115)</f>
        <v>1.0185514993488017E-2</v>
      </c>
      <c r="AP292" s="263">
        <f ca="1">IF(AP$7&gt;SAP_Leadsheet!$E$21,0,AP193*SAP_Leadsheet!$S115)</f>
        <v>8.3330392866375839E-3</v>
      </c>
      <c r="AQ292" s="263">
        <f ca="1">IF(AQ$7&gt;SAP_Leadsheet!$E$21,0,AQ193*SAP_Leadsheet!$S115)</f>
        <v>8.5032863954991583E-3</v>
      </c>
      <c r="AR292" s="263">
        <f ca="1">IF(AR$7&gt;SAP_Leadsheet!$E$21,0,AR193*SAP_Leadsheet!$S115)</f>
        <v>9.0262469754481527E-3</v>
      </c>
      <c r="AS292" s="263">
        <f ca="1">IF(AS$7&gt;SAP_Leadsheet!$E$21,0,AS193*SAP_Leadsheet!$S115)</f>
        <v>9.349269002695575E-3</v>
      </c>
      <c r="AT292" s="263">
        <f ca="1">IF(AT$7&gt;SAP_Leadsheet!$E$21,0,AT193*SAP_Leadsheet!$S115)</f>
        <v>9.3952584137942437E-3</v>
      </c>
      <c r="AU292" s="263">
        <f ca="1">IF(AU$7&gt;SAP_Leadsheet!$E$21,0,AU193*SAP_Leadsheet!$S115)</f>
        <v>9.2600096982636132E-3</v>
      </c>
      <c r="AV292" s="263">
        <f ca="1">IF(AV$7&gt;SAP_Leadsheet!$E$21,0,AV193*SAP_Leadsheet!$S115)</f>
        <v>9.0446468321722338E-3</v>
      </c>
      <c r="AW292" s="263">
        <f ca="1">IF(AW$7&gt;SAP_Leadsheet!$E$21,0,AW193*SAP_Leadsheet!$S115)</f>
        <v>8.807066859010176E-3</v>
      </c>
      <c r="AX292" s="263">
        <f ca="1">IF(AX$7&gt;SAP_Leadsheet!$E$21,0,AX193*SAP_Leadsheet!$S115)</f>
        <v>8.8639473028057879E-3</v>
      </c>
      <c r="AY292" s="263">
        <f ca="1">IF(AY$7&gt;SAP_Leadsheet!$E$21,0,AY193*SAP_Leadsheet!$S115)</f>
        <v>8.5859555565104013E-3</v>
      </c>
      <c r="AZ292" s="263">
        <f ca="1">IF(AZ$7&gt;SAP_Leadsheet!$E$21,0,AZ193*SAP_Leadsheet!$S115)</f>
        <v>8.2347316498424302E-3</v>
      </c>
      <c r="BA292" s="263">
        <f ca="1">IF(BA$7&gt;SAP_Leadsheet!$E$21,0,BA193*SAP_Leadsheet!$S115)</f>
        <v>7.6249382825765199E-3</v>
      </c>
      <c r="BB292" s="263">
        <f ca="1">IF(BB$7&gt;SAP_Leadsheet!$E$21,0,BB193*SAP_Leadsheet!$S115)</f>
        <v>6.1324614361656909E-3</v>
      </c>
      <c r="BC292" s="263">
        <f ca="1">IF(BC$7&gt;SAP_Leadsheet!$E$21,0,BC193*SAP_Leadsheet!$S115)</f>
        <v>5.9967166074469894E-3</v>
      </c>
      <c r="BD292" s="263">
        <f ca="1">IF(BD$7&gt;SAP_Leadsheet!$E$21,0,BD193*SAP_Leadsheet!$S115)</f>
        <v>5.8857819975952977E-3</v>
      </c>
      <c r="BE292" s="263">
        <f ca="1">IF(BE$7&gt;SAP_Leadsheet!$E$21,0,BE193*SAP_Leadsheet!$S115)</f>
        <v>5.78685179979918E-3</v>
      </c>
      <c r="BF292" s="263">
        <f ca="1">IF(BF$7&gt;SAP_Leadsheet!$E$21,0,BF193*SAP_Leadsheet!$S115)</f>
        <v>5.6903340301367863E-3</v>
      </c>
      <c r="BG292" s="263">
        <f ca="1">IF(BG$7&gt;SAP_Leadsheet!$E$21,0,BG193*SAP_Leadsheet!$S115)</f>
        <v>5.5925612692839573E-3</v>
      </c>
      <c r="BH292" s="263">
        <f ca="1">IF(BH$7&gt;SAP_Leadsheet!$E$21,0,BH193*SAP_Leadsheet!$S115)</f>
        <v>5.4930071447300546E-3</v>
      </c>
      <c r="BI292" s="263">
        <f ca="1">IF(BI$7&gt;SAP_Leadsheet!$E$21,0,BI193*SAP_Leadsheet!$S115)</f>
        <v>5.3908658110735285E-3</v>
      </c>
      <c r="BJ292" s="263">
        <f ca="1">IF(BJ$7&gt;SAP_Leadsheet!$E$21,0,BJ193*SAP_Leadsheet!$S115)</f>
        <v>5.2848823235755373E-3</v>
      </c>
      <c r="BK292" s="263">
        <f ca="1">IF(BK$7&gt;SAP_Leadsheet!$E$21,0,BK193*SAP_Leadsheet!$S115)</f>
        <v>5.1709545093049812E-3</v>
      </c>
      <c r="BL292" s="263">
        <f ca="1">IF(BL$7&gt;SAP_Leadsheet!$E$21,0,BL193*SAP_Leadsheet!$S115)</f>
        <v>5.0452789293728584E-3</v>
      </c>
      <c r="BM292" s="263">
        <f ca="1">IF(BM$7&gt;SAP_Leadsheet!$E$21,0,BM193*SAP_Leadsheet!$S115)</f>
        <v>4.911655601902344E-3</v>
      </c>
      <c r="BN292" s="263">
        <f ca="1">IF(BN$7&gt;SAP_Leadsheet!$E$21,0,BN193*SAP_Leadsheet!$S115)</f>
        <v>4.2015133548954442E-3</v>
      </c>
      <c r="BO292" s="263"/>
      <c r="BP292" s="263"/>
      <c r="BQ292" s="263"/>
      <c r="BR292" s="263"/>
      <c r="BS292" s="263"/>
      <c r="BT292" s="263"/>
      <c r="BU292" s="263"/>
      <c r="BV292" s="263"/>
      <c r="BW292" s="263"/>
      <c r="BX292" s="263"/>
      <c r="BY292" s="263"/>
      <c r="BZ292" s="263"/>
      <c r="CA292" s="263"/>
      <c r="CB292" s="263"/>
      <c r="CC292" s="263"/>
      <c r="CD292" s="263"/>
      <c r="CE292" s="263"/>
      <c r="CF292" s="263"/>
      <c r="CG292" s="263"/>
      <c r="CH292" s="263"/>
      <c r="CI292" s="263"/>
      <c r="CJ292" s="263"/>
      <c r="CK292" s="263"/>
      <c r="CL292" s="263"/>
      <c r="CM292" s="263"/>
      <c r="CN292" s="263"/>
      <c r="CO292" s="263"/>
      <c r="CP292" s="263"/>
      <c r="CQ292" s="263"/>
      <c r="CR292" s="263"/>
      <c r="CS292" s="263"/>
      <c r="CT292" s="263"/>
      <c r="CU292" s="263"/>
      <c r="CV292" s="263"/>
      <c r="CW292" s="263"/>
      <c r="CX292" s="263"/>
      <c r="CY292" s="263"/>
      <c r="CZ292" s="263"/>
      <c r="DA292" s="263"/>
      <c r="DB292" s="263"/>
      <c r="DC292" s="263"/>
      <c r="DD292" s="263"/>
      <c r="DE292" s="263"/>
      <c r="DF292" s="263"/>
      <c r="DG292" s="263"/>
      <c r="DH292" s="263"/>
      <c r="DI292" s="263"/>
      <c r="DJ292" s="263"/>
      <c r="DK292" s="263"/>
      <c r="DL292" s="263"/>
      <c r="DM292" s="263"/>
      <c r="DN292" s="263"/>
      <c r="DO292" s="263"/>
      <c r="DP292" s="263"/>
      <c r="DQ292" s="263"/>
      <c r="DR292" s="263"/>
      <c r="DS292" s="263"/>
      <c r="DT292" s="263"/>
      <c r="DU292" s="263"/>
      <c r="DV292" s="263"/>
      <c r="DW292" s="263"/>
      <c r="DX292" s="263"/>
      <c r="DY292" s="263"/>
      <c r="DZ292" s="263"/>
      <c r="EA292" s="263"/>
      <c r="EB292" s="263"/>
      <c r="EC292" s="263"/>
      <c r="ED292" s="263"/>
      <c r="EE292" s="263"/>
      <c r="EF292" s="263"/>
      <c r="EG292" s="263"/>
      <c r="EH292" s="263"/>
      <c r="EI292" s="263"/>
      <c r="EJ292" s="263"/>
      <c r="EK292" s="263"/>
      <c r="EL292" s="263"/>
      <c r="EM292" s="263"/>
      <c r="EN292" s="263"/>
      <c r="EO292" s="263"/>
      <c r="EP292" s="263"/>
      <c r="EQ292" s="263"/>
      <c r="ER292" s="263"/>
      <c r="ES292" s="263"/>
      <c r="ET292" s="263"/>
      <c r="EU292" s="263"/>
      <c r="EV292" s="263"/>
      <c r="EW292" s="263"/>
      <c r="EX292" s="263"/>
      <c r="EY292" s="263"/>
      <c r="EZ292" s="263"/>
      <c r="FA292" s="263"/>
      <c r="FB292" s="263"/>
      <c r="FC292" s="263"/>
      <c r="FD292" s="263"/>
      <c r="FE292" s="263"/>
      <c r="FF292" s="263"/>
      <c r="FG292" s="263"/>
      <c r="FH292" s="263"/>
      <c r="FI292" s="263"/>
      <c r="FJ292" s="263"/>
      <c r="FK292" s="263"/>
      <c r="FL292" s="263"/>
      <c r="FM292" s="263"/>
      <c r="FN292" s="263"/>
      <c r="FO292" s="263"/>
      <c r="FP292" s="263"/>
      <c r="FQ292" s="263"/>
      <c r="FR292" s="263"/>
      <c r="FS292" s="263"/>
      <c r="FT292" s="263"/>
      <c r="FU292" s="263"/>
      <c r="FV292" s="263"/>
      <c r="FW292" s="263"/>
      <c r="FX292" s="263"/>
      <c r="FY292" s="263"/>
      <c r="FZ292" s="263"/>
      <c r="GA292" s="263"/>
      <c r="GB292" s="263"/>
      <c r="GC292" s="263"/>
      <c r="GD292" s="263"/>
      <c r="GE292" s="263"/>
      <c r="GF292" s="263"/>
      <c r="GG292" s="263"/>
      <c r="GH292" s="263"/>
      <c r="GI292" s="263"/>
      <c r="GJ292" s="263"/>
      <c r="GK292" s="263"/>
      <c r="GL292" s="263"/>
      <c r="GM292" s="263"/>
      <c r="GN292" s="263"/>
      <c r="GO292" s="263"/>
      <c r="GP292" s="263"/>
      <c r="GQ292" s="263"/>
      <c r="GR292" s="263"/>
      <c r="GS292" s="263"/>
      <c r="GT292" s="263"/>
      <c r="GU292" s="263"/>
      <c r="GV292" s="263"/>
      <c r="GW292" s="263"/>
      <c r="GX292" s="263"/>
      <c r="GY292" s="263"/>
    </row>
    <row r="293" spans="1:207" x14ac:dyDescent="0.15">
      <c r="A293" s="62"/>
      <c r="D293" s="26" t="s">
        <v>373</v>
      </c>
      <c r="F293" s="80"/>
      <c r="G293" s="263">
        <f>IF(G$7&gt;SAP_Leadsheet!$E$21,0,G194*SAP_Leadsheet!$S116)</f>
        <v>0</v>
      </c>
      <c r="H293" s="263">
        <f ca="1">IF(H$7&gt;SAP_Leadsheet!$E$21,0,H194*SAP_Leadsheet!$S116)</f>
        <v>0</v>
      </c>
      <c r="I293" s="263">
        <f ca="1">IF(I$7&gt;SAP_Leadsheet!$E$21,0,I194*SAP_Leadsheet!$S116)</f>
        <v>0</v>
      </c>
      <c r="J293" s="263">
        <f ca="1">IF(J$7&gt;SAP_Leadsheet!$E$21,0,J194*SAP_Leadsheet!$S116)</f>
        <v>0</v>
      </c>
      <c r="K293" s="263">
        <f ca="1">IF(K$7&gt;SAP_Leadsheet!$E$21,0,K194*SAP_Leadsheet!$S116)</f>
        <v>0</v>
      </c>
      <c r="L293" s="263">
        <f ca="1">IF(L$7&gt;SAP_Leadsheet!$E$21,0,L194*SAP_Leadsheet!$S116)</f>
        <v>0</v>
      </c>
      <c r="M293" s="263">
        <f ca="1">IF(M$7&gt;SAP_Leadsheet!$E$21,0,M194*SAP_Leadsheet!$S116)</f>
        <v>0</v>
      </c>
      <c r="N293" s="263">
        <f ca="1">IF(N$7&gt;SAP_Leadsheet!$E$21,0,N194*SAP_Leadsheet!$S116)</f>
        <v>0</v>
      </c>
      <c r="O293" s="263">
        <f ca="1">IF(O$7&gt;SAP_Leadsheet!$E$21,0,O194*SAP_Leadsheet!$S116)</f>
        <v>0</v>
      </c>
      <c r="P293" s="263">
        <f ca="1">IF(P$7&gt;SAP_Leadsheet!$E$21,0,P194*SAP_Leadsheet!$S116)</f>
        <v>0</v>
      </c>
      <c r="Q293" s="263">
        <f ca="1">IF(Q$7&gt;SAP_Leadsheet!$E$21,0,Q194*SAP_Leadsheet!$S116)</f>
        <v>0</v>
      </c>
      <c r="R293" s="263">
        <f ca="1">IF(R$7&gt;SAP_Leadsheet!$E$21,0,R194*SAP_Leadsheet!$S116)</f>
        <v>0</v>
      </c>
      <c r="S293" s="263">
        <f ca="1">IF(S$7&gt;SAP_Leadsheet!$E$21,0,S194*SAP_Leadsheet!$S116)</f>
        <v>0</v>
      </c>
      <c r="T293" s="263">
        <f ca="1">IF(T$7&gt;SAP_Leadsheet!$E$21,0,T194*SAP_Leadsheet!$S116)</f>
        <v>2.4311080044447108E-2</v>
      </c>
      <c r="U293" s="263">
        <f ca="1">IF(U$7&gt;SAP_Leadsheet!$E$21,0,U194*SAP_Leadsheet!$S116)</f>
        <v>4.2854189764466775E-2</v>
      </c>
      <c r="V293" s="263">
        <f ca="1">IF(V$7&gt;SAP_Leadsheet!$E$21,0,V194*SAP_Leadsheet!$S116)</f>
        <v>5.0409684538960997E-2</v>
      </c>
      <c r="W293" s="263">
        <f ca="1">IF(W$7&gt;SAP_Leadsheet!$E$21,0,W194*SAP_Leadsheet!$S116)</f>
        <v>5.0145547592013104E-2</v>
      </c>
      <c r="X293" s="263">
        <f ca="1">IF(X$7&gt;SAP_Leadsheet!$E$21,0,X194*SAP_Leadsheet!$S116)</f>
        <v>4.6109849549855225E-2</v>
      </c>
      <c r="Y293" s="263">
        <f ca="1">IF(Y$7&gt;SAP_Leadsheet!$E$21,0,Y194*SAP_Leadsheet!$S116)</f>
        <v>4.06945807410109E-2</v>
      </c>
      <c r="Z293" s="263">
        <f ca="1">IF(Z$7&gt;SAP_Leadsheet!$E$21,0,Z194*SAP_Leadsheet!$S116)</f>
        <v>3.4420877065781695E-2</v>
      </c>
      <c r="AA293" s="263">
        <f ca="1">IF(AA$7&gt;SAP_Leadsheet!$E$21,0,AA194*SAP_Leadsheet!$S116)</f>
        <v>2.9576269966928918E-2</v>
      </c>
      <c r="AB293" s="263">
        <f ca="1">IF(AB$7&gt;SAP_Leadsheet!$E$21,0,AB194*SAP_Leadsheet!$S116)</f>
        <v>2.5402967644451022E-2</v>
      </c>
      <c r="AC293" s="263">
        <f ca="1">IF(AC$7&gt;SAP_Leadsheet!$E$21,0,AC194*SAP_Leadsheet!$S116)</f>
        <v>2.1631469521173605E-2</v>
      </c>
      <c r="AD293" s="263">
        <f ca="1">IF(AD$7&gt;SAP_Leadsheet!$E$21,0,AD194*SAP_Leadsheet!$S116)</f>
        <v>1.8482536860721828E-2</v>
      </c>
      <c r="AE293" s="263">
        <f ca="1">IF(AE$7&gt;SAP_Leadsheet!$E$21,0,AE194*SAP_Leadsheet!$S116)</f>
        <v>9.2824174646438558E-3</v>
      </c>
      <c r="AF293" s="263">
        <f ca="1">IF(AF$7&gt;SAP_Leadsheet!$E$21,0,AF194*SAP_Leadsheet!$S116)</f>
        <v>9.5290500416414618E-3</v>
      </c>
      <c r="AG293" s="263">
        <f ca="1">IF(AG$7&gt;SAP_Leadsheet!$E$21,0,AG194*SAP_Leadsheet!$S116)</f>
        <v>1.0965717377576583E-2</v>
      </c>
      <c r="AH293" s="263">
        <f ca="1">IF(AH$7&gt;SAP_Leadsheet!$E$21,0,AH194*SAP_Leadsheet!$S116)</f>
        <v>1.1308202951319981E-2</v>
      </c>
      <c r="AI293" s="263">
        <f ca="1">IF(AI$7&gt;SAP_Leadsheet!$E$21,0,AI194*SAP_Leadsheet!$S116)</f>
        <v>1.0767064780283341E-2</v>
      </c>
      <c r="AJ293" s="263">
        <f ca="1">IF(AJ$7&gt;SAP_Leadsheet!$E$21,0,AJ194*SAP_Leadsheet!$S116)</f>
        <v>1.0903623003937612E-2</v>
      </c>
      <c r="AK293" s="263">
        <f ca="1">IF(AK$7&gt;SAP_Leadsheet!$E$21,0,AK194*SAP_Leadsheet!$S116)</f>
        <v>1.121341386829695E-2</v>
      </c>
      <c r="AL293" s="263">
        <f ca="1">IF(AL$7&gt;SAP_Leadsheet!$E$21,0,AL194*SAP_Leadsheet!$S116)</f>
        <v>1.1435272968155037E-2</v>
      </c>
      <c r="AM293" s="263">
        <f ca="1">IF(AM$7&gt;SAP_Leadsheet!$E$21,0,AM194*SAP_Leadsheet!$S116)</f>
        <v>1.1564055462820312E-2</v>
      </c>
      <c r="AN293" s="263">
        <f ca="1">IF(AN$7&gt;SAP_Leadsheet!$E$21,0,AN194*SAP_Leadsheet!$S116)</f>
        <v>1.1162317329544194E-2</v>
      </c>
      <c r="AO293" s="263">
        <f ca="1">IF(AO$7&gt;SAP_Leadsheet!$E$21,0,AO194*SAP_Leadsheet!$S116)</f>
        <v>1.046595221648264E-2</v>
      </c>
      <c r="AP293" s="263">
        <f ca="1">IF(AP$7&gt;SAP_Leadsheet!$E$21,0,AP194*SAP_Leadsheet!$S116)</f>
        <v>1.0185514993488017E-2</v>
      </c>
      <c r="AQ293" s="263">
        <f ca="1">IF(AQ$7&gt;SAP_Leadsheet!$E$21,0,AQ194*SAP_Leadsheet!$S116)</f>
        <v>8.3330392866375839E-3</v>
      </c>
      <c r="AR293" s="263">
        <f ca="1">IF(AR$7&gt;SAP_Leadsheet!$E$21,0,AR194*SAP_Leadsheet!$S116)</f>
        <v>8.5032863954991583E-3</v>
      </c>
      <c r="AS293" s="263">
        <f ca="1">IF(AS$7&gt;SAP_Leadsheet!$E$21,0,AS194*SAP_Leadsheet!$S116)</f>
        <v>9.0262469754481527E-3</v>
      </c>
      <c r="AT293" s="263">
        <f ca="1">IF(AT$7&gt;SAP_Leadsheet!$E$21,0,AT194*SAP_Leadsheet!$S116)</f>
        <v>9.349269002695575E-3</v>
      </c>
      <c r="AU293" s="263">
        <f ca="1">IF(AU$7&gt;SAP_Leadsheet!$E$21,0,AU194*SAP_Leadsheet!$S116)</f>
        <v>9.3952584137942437E-3</v>
      </c>
      <c r="AV293" s="263">
        <f ca="1">IF(AV$7&gt;SAP_Leadsheet!$E$21,0,AV194*SAP_Leadsheet!$S116)</f>
        <v>9.2600096982636132E-3</v>
      </c>
      <c r="AW293" s="263">
        <f ca="1">IF(AW$7&gt;SAP_Leadsheet!$E$21,0,AW194*SAP_Leadsheet!$S116)</f>
        <v>9.0446468321722338E-3</v>
      </c>
      <c r="AX293" s="263">
        <f ca="1">IF(AX$7&gt;SAP_Leadsheet!$E$21,0,AX194*SAP_Leadsheet!$S116)</f>
        <v>8.807066859010176E-3</v>
      </c>
      <c r="AY293" s="263">
        <f ca="1">IF(AY$7&gt;SAP_Leadsheet!$E$21,0,AY194*SAP_Leadsheet!$S116)</f>
        <v>8.8639473028057879E-3</v>
      </c>
      <c r="AZ293" s="263">
        <f ca="1">IF(AZ$7&gt;SAP_Leadsheet!$E$21,0,AZ194*SAP_Leadsheet!$S116)</f>
        <v>8.5859555565104013E-3</v>
      </c>
      <c r="BA293" s="263">
        <f ca="1">IF(BA$7&gt;SAP_Leadsheet!$E$21,0,BA194*SAP_Leadsheet!$S116)</f>
        <v>8.2347316498424302E-3</v>
      </c>
      <c r="BB293" s="263">
        <f ca="1">IF(BB$7&gt;SAP_Leadsheet!$E$21,0,BB194*SAP_Leadsheet!$S116)</f>
        <v>7.6249382825765199E-3</v>
      </c>
      <c r="BC293" s="263">
        <f ca="1">IF(BC$7&gt;SAP_Leadsheet!$E$21,0,BC194*SAP_Leadsheet!$S116)</f>
        <v>6.1324614361656909E-3</v>
      </c>
      <c r="BD293" s="263">
        <f ca="1">IF(BD$7&gt;SAP_Leadsheet!$E$21,0,BD194*SAP_Leadsheet!$S116)</f>
        <v>5.9967166074469894E-3</v>
      </c>
      <c r="BE293" s="263">
        <f ca="1">IF(BE$7&gt;SAP_Leadsheet!$E$21,0,BE194*SAP_Leadsheet!$S116)</f>
        <v>5.8857819975952977E-3</v>
      </c>
      <c r="BF293" s="263">
        <f ca="1">IF(BF$7&gt;SAP_Leadsheet!$E$21,0,BF194*SAP_Leadsheet!$S116)</f>
        <v>5.78685179979918E-3</v>
      </c>
      <c r="BG293" s="263">
        <f ca="1">IF(BG$7&gt;SAP_Leadsheet!$E$21,0,BG194*SAP_Leadsheet!$S116)</f>
        <v>5.6903340301367863E-3</v>
      </c>
      <c r="BH293" s="263">
        <f ca="1">IF(BH$7&gt;SAP_Leadsheet!$E$21,0,BH194*SAP_Leadsheet!$S116)</f>
        <v>5.5925612692839573E-3</v>
      </c>
      <c r="BI293" s="263">
        <f ca="1">IF(BI$7&gt;SAP_Leadsheet!$E$21,0,BI194*SAP_Leadsheet!$S116)</f>
        <v>5.4930071447300546E-3</v>
      </c>
      <c r="BJ293" s="263">
        <f ca="1">IF(BJ$7&gt;SAP_Leadsheet!$E$21,0,BJ194*SAP_Leadsheet!$S116)</f>
        <v>5.3908658110735285E-3</v>
      </c>
      <c r="BK293" s="263">
        <f ca="1">IF(BK$7&gt;SAP_Leadsheet!$E$21,0,BK194*SAP_Leadsheet!$S116)</f>
        <v>5.2848823235755373E-3</v>
      </c>
      <c r="BL293" s="263">
        <f ca="1">IF(BL$7&gt;SAP_Leadsheet!$E$21,0,BL194*SAP_Leadsheet!$S116)</f>
        <v>5.1709545093049812E-3</v>
      </c>
      <c r="BM293" s="263">
        <f ca="1">IF(BM$7&gt;SAP_Leadsheet!$E$21,0,BM194*SAP_Leadsheet!$S116)</f>
        <v>5.0452789293728584E-3</v>
      </c>
      <c r="BN293" s="263">
        <f ca="1">IF(BN$7&gt;SAP_Leadsheet!$E$21,0,BN194*SAP_Leadsheet!$S116)</f>
        <v>4.911655601902344E-3</v>
      </c>
      <c r="BO293" s="263"/>
      <c r="BP293" s="263"/>
      <c r="BQ293" s="263"/>
      <c r="BR293" s="263"/>
      <c r="BS293" s="263"/>
      <c r="BT293" s="263"/>
      <c r="BU293" s="263"/>
      <c r="BV293" s="263"/>
      <c r="BW293" s="263"/>
      <c r="BX293" s="263"/>
      <c r="BY293" s="263"/>
      <c r="BZ293" s="263"/>
      <c r="CA293" s="263"/>
      <c r="CB293" s="263"/>
      <c r="CC293" s="263"/>
      <c r="CD293" s="263"/>
      <c r="CE293" s="263"/>
      <c r="CF293" s="263"/>
      <c r="CG293" s="263"/>
      <c r="CH293" s="263"/>
      <c r="CI293" s="263"/>
      <c r="CJ293" s="263"/>
      <c r="CK293" s="263"/>
      <c r="CL293" s="263"/>
      <c r="CM293" s="263"/>
      <c r="CN293" s="263"/>
      <c r="CO293" s="263"/>
      <c r="CP293" s="263"/>
      <c r="CQ293" s="263"/>
      <c r="CR293" s="263"/>
      <c r="CS293" s="263"/>
      <c r="CT293" s="263"/>
      <c r="CU293" s="263"/>
      <c r="CV293" s="263"/>
      <c r="CW293" s="263"/>
      <c r="CX293" s="263"/>
      <c r="CY293" s="263"/>
      <c r="CZ293" s="263"/>
      <c r="DA293" s="263"/>
      <c r="DB293" s="263"/>
      <c r="DC293" s="263"/>
      <c r="DD293" s="263"/>
      <c r="DE293" s="263"/>
      <c r="DF293" s="263"/>
      <c r="DG293" s="263"/>
      <c r="DH293" s="263"/>
      <c r="DI293" s="263"/>
      <c r="DJ293" s="263"/>
      <c r="DK293" s="263"/>
      <c r="DL293" s="263"/>
      <c r="DM293" s="263"/>
      <c r="DN293" s="263"/>
      <c r="DO293" s="263"/>
      <c r="DP293" s="263"/>
      <c r="DQ293" s="263"/>
      <c r="DR293" s="263"/>
      <c r="DS293" s="263"/>
      <c r="DT293" s="263"/>
      <c r="DU293" s="263"/>
      <c r="DV293" s="263"/>
      <c r="DW293" s="263"/>
      <c r="DX293" s="263"/>
      <c r="DY293" s="263"/>
      <c r="DZ293" s="263"/>
      <c r="EA293" s="263"/>
      <c r="EB293" s="263"/>
      <c r="EC293" s="263"/>
      <c r="ED293" s="263"/>
      <c r="EE293" s="263"/>
      <c r="EF293" s="263"/>
      <c r="EG293" s="263"/>
      <c r="EH293" s="263"/>
      <c r="EI293" s="263"/>
      <c r="EJ293" s="263"/>
      <c r="EK293" s="263"/>
      <c r="EL293" s="263"/>
      <c r="EM293" s="263"/>
      <c r="EN293" s="263"/>
      <c r="EO293" s="263"/>
      <c r="EP293" s="263"/>
      <c r="EQ293" s="263"/>
      <c r="ER293" s="263"/>
      <c r="ES293" s="263"/>
      <c r="ET293" s="263"/>
      <c r="EU293" s="263"/>
      <c r="EV293" s="263"/>
      <c r="EW293" s="263"/>
      <c r="EX293" s="263"/>
      <c r="EY293" s="263"/>
      <c r="EZ293" s="263"/>
      <c r="FA293" s="263"/>
      <c r="FB293" s="263"/>
      <c r="FC293" s="263"/>
      <c r="FD293" s="263"/>
      <c r="FE293" s="263"/>
      <c r="FF293" s="263"/>
      <c r="FG293" s="263"/>
      <c r="FH293" s="263"/>
      <c r="FI293" s="263"/>
      <c r="FJ293" s="263"/>
      <c r="FK293" s="263"/>
      <c r="FL293" s="263"/>
      <c r="FM293" s="263"/>
      <c r="FN293" s="263"/>
      <c r="FO293" s="263"/>
      <c r="FP293" s="263"/>
      <c r="FQ293" s="263"/>
      <c r="FR293" s="263"/>
      <c r="FS293" s="263"/>
      <c r="FT293" s="263"/>
      <c r="FU293" s="263"/>
      <c r="FV293" s="263"/>
      <c r="FW293" s="263"/>
      <c r="FX293" s="263"/>
      <c r="FY293" s="263"/>
      <c r="FZ293" s="263"/>
      <c r="GA293" s="263"/>
      <c r="GB293" s="263"/>
      <c r="GC293" s="263"/>
      <c r="GD293" s="263"/>
      <c r="GE293" s="263"/>
      <c r="GF293" s="263"/>
      <c r="GG293" s="263"/>
      <c r="GH293" s="263"/>
      <c r="GI293" s="263"/>
      <c r="GJ293" s="263"/>
      <c r="GK293" s="263"/>
      <c r="GL293" s="263"/>
      <c r="GM293" s="263"/>
      <c r="GN293" s="263"/>
      <c r="GO293" s="263"/>
      <c r="GP293" s="263"/>
      <c r="GQ293" s="263"/>
      <c r="GR293" s="263"/>
      <c r="GS293" s="263"/>
      <c r="GT293" s="263"/>
      <c r="GU293" s="263"/>
      <c r="GV293" s="263"/>
      <c r="GW293" s="263"/>
      <c r="GX293" s="263"/>
      <c r="GY293" s="263"/>
    </row>
    <row r="294" spans="1:207" x14ac:dyDescent="0.15">
      <c r="A294" s="62"/>
      <c r="D294" s="26" t="s">
        <v>374</v>
      </c>
      <c r="F294" s="80"/>
      <c r="G294" s="263">
        <f>IF(G$7&gt;SAP_Leadsheet!$E$21,0,G195*SAP_Leadsheet!$S117)</f>
        <v>0</v>
      </c>
      <c r="H294" s="263">
        <f>IF(H$7&gt;SAP_Leadsheet!$E$21,0,H195*SAP_Leadsheet!$S117)</f>
        <v>0</v>
      </c>
      <c r="I294" s="263">
        <f ca="1">IF(I$7&gt;SAP_Leadsheet!$E$21,0,I195*SAP_Leadsheet!$S117)</f>
        <v>0</v>
      </c>
      <c r="J294" s="263">
        <f ca="1">IF(J$7&gt;SAP_Leadsheet!$E$21,0,J195*SAP_Leadsheet!$S117)</f>
        <v>0</v>
      </c>
      <c r="K294" s="263">
        <f ca="1">IF(K$7&gt;SAP_Leadsheet!$E$21,0,K195*SAP_Leadsheet!$S117)</f>
        <v>0</v>
      </c>
      <c r="L294" s="263">
        <f ca="1">IF(L$7&gt;SAP_Leadsheet!$E$21,0,L195*SAP_Leadsheet!$S117)</f>
        <v>0</v>
      </c>
      <c r="M294" s="263">
        <f ca="1">IF(M$7&gt;SAP_Leadsheet!$E$21,0,M195*SAP_Leadsheet!$S117)</f>
        <v>0</v>
      </c>
      <c r="N294" s="263">
        <f ca="1">IF(N$7&gt;SAP_Leadsheet!$E$21,0,N195*SAP_Leadsheet!$S117)</f>
        <v>0</v>
      </c>
      <c r="O294" s="263">
        <f ca="1">IF(O$7&gt;SAP_Leadsheet!$E$21,0,O195*SAP_Leadsheet!$S117)</f>
        <v>0</v>
      </c>
      <c r="P294" s="263">
        <f ca="1">IF(P$7&gt;SAP_Leadsheet!$E$21,0,P195*SAP_Leadsheet!$S117)</f>
        <v>0</v>
      </c>
      <c r="Q294" s="263">
        <f ca="1">IF(Q$7&gt;SAP_Leadsheet!$E$21,0,Q195*SAP_Leadsheet!$S117)</f>
        <v>0</v>
      </c>
      <c r="R294" s="263">
        <f ca="1">IF(R$7&gt;SAP_Leadsheet!$E$21,0,R195*SAP_Leadsheet!$S117)</f>
        <v>0</v>
      </c>
      <c r="S294" s="263">
        <f ca="1">IF(S$7&gt;SAP_Leadsheet!$E$21,0,S195*SAP_Leadsheet!$S117)</f>
        <v>0</v>
      </c>
      <c r="T294" s="263">
        <f ca="1">IF(T$7&gt;SAP_Leadsheet!$E$21,0,T195*SAP_Leadsheet!$S117)</f>
        <v>0</v>
      </c>
      <c r="U294" s="263">
        <f ca="1">IF(U$7&gt;SAP_Leadsheet!$E$21,0,U195*SAP_Leadsheet!$S117)</f>
        <v>2.4311080044447108E-2</v>
      </c>
      <c r="V294" s="263">
        <f ca="1">IF(V$7&gt;SAP_Leadsheet!$E$21,0,V195*SAP_Leadsheet!$S117)</f>
        <v>6.716526980891388E-2</v>
      </c>
      <c r="W294" s="263">
        <f ca="1">IF(W$7&gt;SAP_Leadsheet!$E$21,0,W195*SAP_Leadsheet!$S117)</f>
        <v>0.11757495434787488</v>
      </c>
      <c r="X294" s="263">
        <f ca="1">IF(X$7&gt;SAP_Leadsheet!$E$21,0,X195*SAP_Leadsheet!$S117)</f>
        <v>0.16772050193988797</v>
      </c>
      <c r="Y294" s="263">
        <f ca="1">IF(Y$7&gt;SAP_Leadsheet!$E$21,0,Y195*SAP_Leadsheet!$S117)</f>
        <v>0.21383035148974319</v>
      </c>
      <c r="Z294" s="263">
        <f ca="1">IF(Z$7&gt;SAP_Leadsheet!$E$21,0,Z195*SAP_Leadsheet!$S117)</f>
        <v>0.25452493223075412</v>
      </c>
      <c r="AA294" s="263">
        <f ca="1">IF(AA$7&gt;SAP_Leadsheet!$E$21,0,AA195*SAP_Leadsheet!$S117)</f>
        <v>0.28894580929653579</v>
      </c>
      <c r="AB294" s="263">
        <f ca="1">IF(AB$7&gt;SAP_Leadsheet!$E$21,0,AB195*SAP_Leadsheet!$S117)</f>
        <v>0.31852207926346471</v>
      </c>
      <c r="AC294" s="263">
        <f ca="1">IF(AC$7&gt;SAP_Leadsheet!$E$21,0,AC195*SAP_Leadsheet!$S117)</f>
        <v>0.34392504690791575</v>
      </c>
      <c r="AD294" s="263">
        <f ca="1">IF(AD$7&gt;SAP_Leadsheet!$E$21,0,AD195*SAP_Leadsheet!$S117)</f>
        <v>0.36555651642908937</v>
      </c>
      <c r="AE294" s="263">
        <f ca="1">IF(AE$7&gt;SAP_Leadsheet!$E$21,0,AE195*SAP_Leadsheet!$S117)</f>
        <v>0.38403905328981119</v>
      </c>
      <c r="AF294" s="263">
        <f ca="1">IF(AF$7&gt;SAP_Leadsheet!$E$21,0,AF195*SAP_Leadsheet!$S117)</f>
        <v>0.39332147075445506</v>
      </c>
      <c r="AG294" s="263">
        <f ca="1">IF(AG$7&gt;SAP_Leadsheet!$E$21,0,AG195*SAP_Leadsheet!$S117)</f>
        <v>0.40285052079609651</v>
      </c>
      <c r="AH294" s="263">
        <f ca="1">IF(AH$7&gt;SAP_Leadsheet!$E$21,0,AH195*SAP_Leadsheet!$S117)</f>
        <v>0.41381623817367308</v>
      </c>
      <c r="AI294" s="263">
        <f ca="1">IF(AI$7&gt;SAP_Leadsheet!$E$21,0,AI195*SAP_Leadsheet!$S117)</f>
        <v>0.42512444112499304</v>
      </c>
      <c r="AJ294" s="263">
        <f ca="1">IF(AJ$7&gt;SAP_Leadsheet!$E$21,0,AJ195*SAP_Leadsheet!$S117)</f>
        <v>0.43589150590527637</v>
      </c>
      <c r="AK294" s="263">
        <f ca="1">IF(AK$7&gt;SAP_Leadsheet!$E$21,0,AK195*SAP_Leadsheet!$S117)</f>
        <v>0.44679512890921397</v>
      </c>
      <c r="AL294" s="263">
        <f ca="1">IF(AL$7&gt;SAP_Leadsheet!$E$21,0,AL195*SAP_Leadsheet!$S117)</f>
        <v>0.45800854277751091</v>
      </c>
      <c r="AM294" s="263">
        <f ca="1">IF(AM$7&gt;SAP_Leadsheet!$E$21,0,AM195*SAP_Leadsheet!$S117)</f>
        <v>0.46944381574566596</v>
      </c>
      <c r="AN294" s="263">
        <f ca="1">IF(AN$7&gt;SAP_Leadsheet!$E$21,0,AN195*SAP_Leadsheet!$S117)</f>
        <v>0.48100787120848626</v>
      </c>
      <c r="AO294" s="263">
        <f ca="1">IF(AO$7&gt;SAP_Leadsheet!$E$21,0,AO195*SAP_Leadsheet!$S117)</f>
        <v>0.49217018853803046</v>
      </c>
      <c r="AP294" s="263">
        <f ca="1">IF(AP$7&gt;SAP_Leadsheet!$E$21,0,AP195*SAP_Leadsheet!$S117)</f>
        <v>0.50263614075451313</v>
      </c>
      <c r="AQ294" s="263">
        <f ca="1">IF(AQ$7&gt;SAP_Leadsheet!$E$21,0,AQ195*SAP_Leadsheet!$S117)</f>
        <v>0.51282165574800109</v>
      </c>
      <c r="AR294" s="263">
        <f ca="1">IF(AR$7&gt;SAP_Leadsheet!$E$21,0,AR195*SAP_Leadsheet!$S117)</f>
        <v>0.52115469503463863</v>
      </c>
      <c r="AS294" s="263">
        <f ca="1">IF(AS$7&gt;SAP_Leadsheet!$E$21,0,AS195*SAP_Leadsheet!$S117)</f>
        <v>0.52965798143013776</v>
      </c>
      <c r="AT294" s="263">
        <f ca="1">IF(AT$7&gt;SAP_Leadsheet!$E$21,0,AT195*SAP_Leadsheet!$S117)</f>
        <v>0.53868422840558594</v>
      </c>
      <c r="AU294" s="263">
        <f ca="1">IF(AU$7&gt;SAP_Leadsheet!$E$21,0,AU195*SAP_Leadsheet!$S117)</f>
        <v>0.54803349740828156</v>
      </c>
      <c r="AV294" s="263">
        <f ca="1">IF(AV$7&gt;SAP_Leadsheet!$E$21,0,AV195*SAP_Leadsheet!$S117)</f>
        <v>0.55742875582207585</v>
      </c>
      <c r="AW294" s="263">
        <f ca="1">IF(AW$7&gt;SAP_Leadsheet!$E$21,0,AW195*SAP_Leadsheet!$S117)</f>
        <v>0.56668876552033942</v>
      </c>
      <c r="AX294" s="263">
        <f ca="1">IF(AX$7&gt;SAP_Leadsheet!$E$21,0,AX195*SAP_Leadsheet!$S117)</f>
        <v>0.57573341235251163</v>
      </c>
      <c r="AY294" s="263">
        <f ca="1">IF(AY$7&gt;SAP_Leadsheet!$E$21,0,AY195*SAP_Leadsheet!$S117)</f>
        <v>0.58454047921152186</v>
      </c>
      <c r="AZ294" s="263">
        <f ca="1">IF(AZ$7&gt;SAP_Leadsheet!$E$21,0,AZ195*SAP_Leadsheet!$S117)</f>
        <v>0.59340442651432768</v>
      </c>
      <c r="BA294" s="263">
        <f ca="1">IF(BA$7&gt;SAP_Leadsheet!$E$21,0,BA195*SAP_Leadsheet!$S117)</f>
        <v>0.6019903820708381</v>
      </c>
      <c r="BB294" s="263">
        <f ca="1">IF(BB$7&gt;SAP_Leadsheet!$E$21,0,BB195*SAP_Leadsheet!$S117)</f>
        <v>0.61022511372068056</v>
      </c>
      <c r="BC294" s="263">
        <f ca="1">IF(BC$7&gt;SAP_Leadsheet!$E$21,0,BC195*SAP_Leadsheet!$S117)</f>
        <v>0.61785005200325704</v>
      </c>
      <c r="BD294" s="263">
        <f ca="1">IF(BD$7&gt;SAP_Leadsheet!$E$21,0,BD195*SAP_Leadsheet!$S117)</f>
        <v>0.62398251343942268</v>
      </c>
      <c r="BE294" s="263">
        <f ca="1">IF(BE$7&gt;SAP_Leadsheet!$E$21,0,BE195*SAP_Leadsheet!$S117)</f>
        <v>0.62997923004686962</v>
      </c>
      <c r="BF294" s="263">
        <f ca="1">IF(BF$7&gt;SAP_Leadsheet!$E$21,0,BF195*SAP_Leadsheet!$S117)</f>
        <v>0.63586501204446488</v>
      </c>
      <c r="BG294" s="263">
        <f ca="1">IF(BG$7&gt;SAP_Leadsheet!$E$21,0,BG195*SAP_Leadsheet!$S117)</f>
        <v>0.64165186384426409</v>
      </c>
      <c r="BH294" s="263">
        <f ca="1">IF(BH$7&gt;SAP_Leadsheet!$E$21,0,BH195*SAP_Leadsheet!$S117)</f>
        <v>0.64734219787440084</v>
      </c>
      <c r="BI294" s="263">
        <f ca="1">IF(BI$7&gt;SAP_Leadsheet!$E$21,0,BI195*SAP_Leadsheet!$S117)</f>
        <v>0.65293475914368482</v>
      </c>
      <c r="BJ294" s="263">
        <f ca="1">IF(BJ$7&gt;SAP_Leadsheet!$E$21,0,BJ195*SAP_Leadsheet!$S117)</f>
        <v>0.65842776628841482</v>
      </c>
      <c r="BK294" s="263">
        <f ca="1">IF(BK$7&gt;SAP_Leadsheet!$E$21,0,BK195*SAP_Leadsheet!$S117)</f>
        <v>0.66381863209948833</v>
      </c>
      <c r="BL294" s="263">
        <f ca="1">IF(BL$7&gt;SAP_Leadsheet!$E$21,0,BL195*SAP_Leadsheet!$S117)</f>
        <v>0.66910351442306382</v>
      </c>
      <c r="BM294" s="263">
        <f ca="1">IF(BM$7&gt;SAP_Leadsheet!$E$21,0,BM195*SAP_Leadsheet!$S117)</f>
        <v>0.67427446893236875</v>
      </c>
      <c r="BN294" s="263">
        <f ca="1">IF(BN$7&gt;SAP_Leadsheet!$E$21,0,BN195*SAP_Leadsheet!$S117)</f>
        <v>0.67931974786174165</v>
      </c>
      <c r="BO294" s="263"/>
      <c r="BP294" s="263"/>
      <c r="BQ294" s="263"/>
      <c r="BR294" s="263"/>
      <c r="BS294" s="263"/>
      <c r="BT294" s="263"/>
      <c r="BU294" s="263"/>
      <c r="BV294" s="263"/>
      <c r="BW294" s="263"/>
      <c r="BX294" s="263"/>
      <c r="BY294" s="263"/>
      <c r="BZ294" s="263"/>
      <c r="CA294" s="263"/>
      <c r="CB294" s="263"/>
      <c r="CC294" s="263"/>
      <c r="CD294" s="263"/>
      <c r="CE294" s="263"/>
      <c r="CF294" s="263"/>
      <c r="CG294" s="263"/>
      <c r="CH294" s="263"/>
      <c r="CI294" s="263"/>
      <c r="CJ294" s="263"/>
      <c r="CK294" s="263"/>
      <c r="CL294" s="263"/>
      <c r="CM294" s="263"/>
      <c r="CN294" s="263"/>
      <c r="CO294" s="263"/>
      <c r="CP294" s="263"/>
      <c r="CQ294" s="263"/>
      <c r="CR294" s="263"/>
      <c r="CS294" s="263"/>
      <c r="CT294" s="263"/>
      <c r="CU294" s="263"/>
      <c r="CV294" s="263"/>
      <c r="CW294" s="263"/>
      <c r="CX294" s="263"/>
      <c r="CY294" s="263"/>
      <c r="CZ294" s="263"/>
      <c r="DA294" s="263"/>
      <c r="DB294" s="263"/>
      <c r="DC294" s="263"/>
      <c r="DD294" s="263"/>
      <c r="DE294" s="263"/>
      <c r="DF294" s="263"/>
      <c r="DG294" s="263"/>
      <c r="DH294" s="263"/>
      <c r="DI294" s="263"/>
      <c r="DJ294" s="263"/>
      <c r="DK294" s="263"/>
      <c r="DL294" s="263"/>
      <c r="DM294" s="263"/>
      <c r="DN294" s="263"/>
      <c r="DO294" s="263"/>
      <c r="DP294" s="263"/>
      <c r="DQ294" s="263"/>
      <c r="DR294" s="263"/>
      <c r="DS294" s="263"/>
      <c r="DT294" s="263"/>
      <c r="DU294" s="263"/>
      <c r="DV294" s="263"/>
      <c r="DW294" s="263"/>
      <c r="DX294" s="263"/>
      <c r="DY294" s="263"/>
      <c r="DZ294" s="263"/>
      <c r="EA294" s="263"/>
      <c r="EB294" s="263"/>
      <c r="EC294" s="263"/>
      <c r="ED294" s="263"/>
      <c r="EE294" s="263"/>
      <c r="EF294" s="263"/>
      <c r="EG294" s="263"/>
      <c r="EH294" s="263"/>
      <c r="EI294" s="263"/>
      <c r="EJ294" s="263"/>
      <c r="EK294" s="263"/>
      <c r="EL294" s="263"/>
      <c r="EM294" s="263"/>
      <c r="EN294" s="263"/>
      <c r="EO294" s="263"/>
      <c r="EP294" s="263"/>
      <c r="EQ294" s="263"/>
      <c r="ER294" s="263"/>
      <c r="ES294" s="263"/>
      <c r="ET294" s="263"/>
      <c r="EU294" s="263"/>
      <c r="EV294" s="263"/>
      <c r="EW294" s="263"/>
      <c r="EX294" s="263"/>
      <c r="EY294" s="263"/>
      <c r="EZ294" s="263"/>
      <c r="FA294" s="263"/>
      <c r="FB294" s="263"/>
      <c r="FC294" s="263"/>
      <c r="FD294" s="263"/>
      <c r="FE294" s="263"/>
      <c r="FF294" s="263"/>
      <c r="FG294" s="263"/>
      <c r="FH294" s="263"/>
      <c r="FI294" s="263"/>
      <c r="FJ294" s="263"/>
      <c r="FK294" s="263"/>
      <c r="FL294" s="263"/>
      <c r="FM294" s="263"/>
      <c r="FN294" s="263"/>
      <c r="FO294" s="263"/>
      <c r="FP294" s="263"/>
      <c r="FQ294" s="263"/>
      <c r="FR294" s="263"/>
      <c r="FS294" s="263"/>
      <c r="FT294" s="263"/>
      <c r="FU294" s="263"/>
      <c r="FV294" s="263"/>
      <c r="FW294" s="263"/>
      <c r="FX294" s="263"/>
      <c r="FY294" s="263"/>
      <c r="FZ294" s="263"/>
      <c r="GA294" s="263"/>
      <c r="GB294" s="263"/>
      <c r="GC294" s="263"/>
      <c r="GD294" s="263"/>
      <c r="GE294" s="263"/>
      <c r="GF294" s="263"/>
      <c r="GG294" s="263"/>
      <c r="GH294" s="263"/>
      <c r="GI294" s="263"/>
      <c r="GJ294" s="263"/>
      <c r="GK294" s="263"/>
      <c r="GL294" s="263"/>
      <c r="GM294" s="263"/>
      <c r="GN294" s="263"/>
      <c r="GO294" s="263"/>
      <c r="GP294" s="263"/>
      <c r="GQ294" s="263"/>
      <c r="GR294" s="263"/>
      <c r="GS294" s="263"/>
      <c r="GT294" s="263"/>
      <c r="GU294" s="263"/>
      <c r="GV294" s="263"/>
      <c r="GW294" s="263"/>
      <c r="GX294" s="263"/>
      <c r="GY294" s="263"/>
    </row>
    <row r="295" spans="1:207" x14ac:dyDescent="0.15">
      <c r="A295" s="62"/>
      <c r="F295" s="80"/>
      <c r="G295" s="263"/>
      <c r="H295" s="263"/>
      <c r="I295" s="263"/>
      <c r="J295" s="263"/>
      <c r="K295" s="263"/>
      <c r="L295" s="263"/>
      <c r="M295" s="263"/>
      <c r="N295" s="263"/>
      <c r="O295" s="263"/>
      <c r="P295" s="263"/>
      <c r="Q295" s="263"/>
      <c r="R295" s="263"/>
      <c r="S295" s="263"/>
      <c r="T295" s="263"/>
      <c r="U295" s="263"/>
      <c r="V295" s="263"/>
      <c r="W295" s="263"/>
      <c r="X295" s="263"/>
      <c r="Y295" s="263"/>
      <c r="Z295" s="263"/>
      <c r="AA295" s="263"/>
      <c r="AB295" s="263"/>
      <c r="AC295" s="263"/>
      <c r="AD295" s="263"/>
      <c r="AE295" s="263"/>
      <c r="AF295" s="263"/>
      <c r="AG295" s="263"/>
      <c r="AH295" s="263"/>
      <c r="AI295" s="263"/>
      <c r="AJ295" s="263"/>
      <c r="AK295" s="263"/>
      <c r="AL295" s="263"/>
      <c r="AM295" s="263"/>
      <c r="AN295" s="263"/>
      <c r="AO295" s="263"/>
      <c r="AP295" s="263"/>
      <c r="AQ295" s="263"/>
      <c r="AR295" s="263"/>
      <c r="AS295" s="263"/>
      <c r="AT295" s="263"/>
      <c r="AU295" s="263"/>
      <c r="AV295" s="263"/>
      <c r="AW295" s="263"/>
      <c r="AX295" s="263"/>
      <c r="AY295" s="263"/>
      <c r="AZ295" s="263"/>
      <c r="BA295" s="263"/>
      <c r="BB295" s="263"/>
      <c r="BC295" s="263"/>
      <c r="BD295" s="263"/>
      <c r="BE295" s="263"/>
      <c r="BF295" s="263"/>
      <c r="BG295" s="263"/>
      <c r="BH295" s="263"/>
      <c r="BI295" s="263"/>
      <c r="BJ295" s="263"/>
      <c r="BK295" s="263"/>
      <c r="BL295" s="263"/>
      <c r="BM295" s="263"/>
      <c r="BN295" s="263"/>
      <c r="BO295" s="263"/>
      <c r="BP295" s="263"/>
      <c r="BQ295" s="263"/>
      <c r="BR295" s="263"/>
      <c r="BS295" s="263"/>
      <c r="BT295" s="263"/>
      <c r="BU295" s="263"/>
      <c r="BV295" s="263"/>
      <c r="BW295" s="263"/>
      <c r="BX295" s="263"/>
      <c r="BY295" s="263"/>
      <c r="BZ295" s="263"/>
      <c r="CA295" s="263"/>
      <c r="CB295" s="263"/>
      <c r="CC295" s="263"/>
      <c r="CD295" s="263"/>
      <c r="CE295" s="263"/>
      <c r="CF295" s="263"/>
      <c r="CG295" s="263"/>
      <c r="CH295" s="263"/>
      <c r="CI295" s="263"/>
      <c r="CJ295" s="263"/>
      <c r="CK295" s="263"/>
      <c r="CL295" s="263"/>
      <c r="CM295" s="263"/>
      <c r="CN295" s="263"/>
      <c r="CO295" s="263"/>
      <c r="CP295" s="263"/>
      <c r="CQ295" s="263"/>
      <c r="CR295" s="263"/>
      <c r="CS295" s="263"/>
      <c r="CT295" s="263"/>
      <c r="CU295" s="263"/>
      <c r="CV295" s="263"/>
      <c r="CW295" s="263"/>
      <c r="CX295" s="263"/>
      <c r="CY295" s="263"/>
      <c r="CZ295" s="263"/>
      <c r="DA295" s="263"/>
      <c r="DB295" s="263"/>
      <c r="DC295" s="263"/>
      <c r="DD295" s="263"/>
      <c r="DE295" s="263"/>
      <c r="DF295" s="263"/>
      <c r="DG295" s="263"/>
      <c r="DH295" s="263"/>
      <c r="DI295" s="263"/>
      <c r="DJ295" s="263"/>
      <c r="DK295" s="263"/>
      <c r="DL295" s="263"/>
      <c r="DM295" s="263"/>
      <c r="DN295" s="263"/>
      <c r="DO295" s="263"/>
      <c r="DP295" s="263"/>
      <c r="DQ295" s="263"/>
      <c r="DR295" s="263"/>
      <c r="DS295" s="263"/>
      <c r="DT295" s="263"/>
      <c r="DU295" s="263"/>
      <c r="DV295" s="263"/>
      <c r="DW295" s="263"/>
      <c r="DX295" s="263"/>
      <c r="DY295" s="263"/>
      <c r="DZ295" s="263"/>
      <c r="EA295" s="263"/>
      <c r="EB295" s="263"/>
      <c r="EC295" s="263"/>
      <c r="ED295" s="263"/>
      <c r="EE295" s="263"/>
      <c r="EF295" s="263"/>
      <c r="EG295" s="263"/>
      <c r="EH295" s="263"/>
      <c r="EI295" s="263"/>
      <c r="EJ295" s="263"/>
      <c r="EK295" s="263"/>
      <c r="EL295" s="263"/>
      <c r="EM295" s="263"/>
      <c r="EN295" s="263"/>
      <c r="EO295" s="263"/>
      <c r="EP295" s="263"/>
      <c r="EQ295" s="263"/>
      <c r="ER295" s="263"/>
      <c r="ES295" s="263"/>
      <c r="ET295" s="263"/>
      <c r="EU295" s="263"/>
      <c r="EV295" s="263"/>
      <c r="EW295" s="263"/>
      <c r="EX295" s="263"/>
      <c r="EY295" s="263"/>
      <c r="EZ295" s="263"/>
      <c r="FA295" s="263"/>
      <c r="FB295" s="263"/>
      <c r="FC295" s="263"/>
      <c r="FD295" s="263"/>
      <c r="FE295" s="263"/>
      <c r="FF295" s="263"/>
      <c r="FG295" s="263"/>
      <c r="FH295" s="263"/>
      <c r="FI295" s="263"/>
      <c r="FJ295" s="263"/>
      <c r="FK295" s="263"/>
      <c r="FL295" s="263"/>
      <c r="FM295" s="263"/>
      <c r="FN295" s="263"/>
      <c r="FO295" s="263"/>
      <c r="FP295" s="263"/>
      <c r="FQ295" s="263"/>
      <c r="FR295" s="263"/>
      <c r="FS295" s="263"/>
      <c r="FT295" s="263"/>
      <c r="FU295" s="263"/>
      <c r="FV295" s="263"/>
      <c r="FW295" s="263"/>
      <c r="FX295" s="263"/>
      <c r="FY295" s="263"/>
      <c r="FZ295" s="263"/>
      <c r="GA295" s="263"/>
      <c r="GB295" s="263"/>
      <c r="GC295" s="263"/>
      <c r="GD295" s="263"/>
      <c r="GE295" s="263"/>
      <c r="GF295" s="263"/>
      <c r="GG295" s="263"/>
      <c r="GH295" s="263"/>
      <c r="GI295" s="263"/>
      <c r="GJ295" s="263"/>
      <c r="GK295" s="263"/>
      <c r="GL295" s="263"/>
      <c r="GM295" s="263"/>
      <c r="GN295" s="263"/>
      <c r="GO295" s="263"/>
      <c r="GP295" s="263"/>
      <c r="GQ295" s="263"/>
      <c r="GR295" s="263"/>
      <c r="GS295" s="263"/>
      <c r="GT295" s="263"/>
      <c r="GU295" s="263"/>
      <c r="GV295" s="263"/>
      <c r="GW295" s="263"/>
      <c r="GX295" s="263"/>
      <c r="GY295" s="263"/>
    </row>
    <row r="296" spans="1:207" x14ac:dyDescent="0.15">
      <c r="A296" s="62"/>
      <c r="D296" s="26" t="s">
        <v>421</v>
      </c>
      <c r="F296" s="80"/>
      <c r="G296" s="263">
        <f t="shared" ref="G296:BN296" ca="1" si="41">SUM(G280:G294)</f>
        <v>2.4311080044447108E-2</v>
      </c>
      <c r="H296" s="263">
        <f ca="1">SUM(H280:H294)</f>
        <v>6.716526980891388E-2</v>
      </c>
      <c r="I296" s="263">
        <f t="shared" ca="1" si="41"/>
        <v>0.11757495434787489</v>
      </c>
      <c r="J296" s="263">
        <f t="shared" ca="1" si="41"/>
        <v>0.16772050193988797</v>
      </c>
      <c r="K296" s="263">
        <f t="shared" ca="1" si="41"/>
        <v>0.21383035148974319</v>
      </c>
      <c r="L296" s="263">
        <f t="shared" ca="1" si="41"/>
        <v>0.25479580002046354</v>
      </c>
      <c r="M296" s="263">
        <f t="shared" ca="1" si="41"/>
        <v>0.2895105780986395</v>
      </c>
      <c r="N296" s="263">
        <f t="shared" ca="1" si="41"/>
        <v>0.31962270346660188</v>
      </c>
      <c r="O296" s="263">
        <f t="shared" ca="1" si="41"/>
        <v>0.34598345022652177</v>
      </c>
      <c r="P296" s="263">
        <f t="shared" ca="1" si="41"/>
        <v>0.36923015941319759</v>
      </c>
      <c r="Q296" s="263">
        <f t="shared" ca="1" si="41"/>
        <v>0.39019496965755346</v>
      </c>
      <c r="R296" s="263">
        <f t="shared" ca="1" si="41"/>
        <v>0.40974897653195852</v>
      </c>
      <c r="S296" s="263">
        <f t="shared" ca="1" si="41"/>
        <v>0.41777926448761582</v>
      </c>
      <c r="T296" s="263">
        <f t="shared" ca="1" si="41"/>
        <v>0.42942595302415365</v>
      </c>
      <c r="U296" s="263">
        <f t="shared" ca="1" si="41"/>
        <v>0.44086059581960158</v>
      </c>
      <c r="V296" s="263">
        <f t="shared" ca="1" si="41"/>
        <v>0.45097275369427681</v>
      </c>
      <c r="W296" s="263">
        <f t="shared" ca="1" si="41"/>
        <v>0.46193950521454075</v>
      </c>
      <c r="X296" s="263">
        <f t="shared" ca="1" si="41"/>
        <v>0.47337368032396832</v>
      </c>
      <c r="Y296" s="263">
        <f t="shared" ca="1" si="41"/>
        <v>0.48490245950459354</v>
      </c>
      <c r="Z296" s="263">
        <f t="shared" ca="1" si="41"/>
        <v>0.49619190221282222</v>
      </c>
      <c r="AA296" s="263">
        <f t="shared" ca="1" si="41"/>
        <v>0.50699150326041009</v>
      </c>
      <c r="AB296" s="263">
        <f t="shared" ca="1" si="41"/>
        <v>0.5172131876609154</v>
      </c>
      <c r="AC296" s="263">
        <f t="shared" ca="1" si="41"/>
        <v>0.52781206356385424</v>
      </c>
      <c r="AD296" s="263">
        <f t="shared" ca="1" si="41"/>
        <v>0.5374195667593733</v>
      </c>
      <c r="AE296" s="263">
        <f t="shared" ca="1" si="41"/>
        <v>0.54580064449540466</v>
      </c>
      <c r="AF296" s="263">
        <f t="shared" ca="1" si="41"/>
        <v>0.55550312114559308</v>
      </c>
      <c r="AG296" s="263">
        <f t="shared" ca="1" si="41"/>
        <v>0.56542682838627734</v>
      </c>
      <c r="AH296" s="263">
        <f t="shared" ca="1" si="41"/>
        <v>0.57501989774399598</v>
      </c>
      <c r="AI296" s="263">
        <f t="shared" ca="1" si="41"/>
        <v>0.58412139444234601</v>
      </c>
      <c r="AJ296" s="263">
        <f t="shared" ca="1" si="41"/>
        <v>0.59280513071053842</v>
      </c>
      <c r="AK296" s="263">
        <f t="shared" ca="1" si="41"/>
        <v>0.6011839204151852</v>
      </c>
      <c r="AL296" s="263">
        <f t="shared" ca="1" si="41"/>
        <v>0.6100694957150965</v>
      </c>
      <c r="AM296" s="263">
        <f t="shared" ca="1" si="41"/>
        <v>0.61820215310419291</v>
      </c>
      <c r="AN296" s="263">
        <f t="shared" ca="1" si="41"/>
        <v>0.62583287590416603</v>
      </c>
      <c r="AO296" s="263">
        <f t="shared" ca="1" si="41"/>
        <v>0.63314471611992551</v>
      </c>
      <c r="AP296" s="263">
        <f t="shared" ca="1" si="41"/>
        <v>0.64024294428738526</v>
      </c>
      <c r="AQ296" s="263">
        <f t="shared" ca="1" si="41"/>
        <v>0.64552719482199516</v>
      </c>
      <c r="AR296" s="263">
        <f t="shared" ca="1" si="41"/>
        <v>0.65098115447090599</v>
      </c>
      <c r="AS296" s="263">
        <f t="shared" ca="1" si="41"/>
        <v>0.65647476026869911</v>
      </c>
      <c r="AT296" s="263">
        <f t="shared" ca="1" si="41"/>
        <v>0.66192478096360075</v>
      </c>
      <c r="AU296" s="263">
        <f t="shared" ca="1" si="41"/>
        <v>0.66726820426427347</v>
      </c>
      <c r="AV296" s="263">
        <f t="shared" ca="1" si="41"/>
        <v>0.67250330443980388</v>
      </c>
      <c r="AW296" s="263">
        <f t="shared" ca="1" si="41"/>
        <v>0.67763439336412823</v>
      </c>
      <c r="AX296" s="263">
        <f t="shared" ca="1" si="41"/>
        <v>0.68265027302229464</v>
      </c>
      <c r="AY296" s="263">
        <f t="shared" ca="1" si="41"/>
        <v>0.6875335727868529</v>
      </c>
      <c r="AZ296" s="263">
        <f t="shared" ca="1" si="41"/>
        <v>0.69226304604135325</v>
      </c>
      <c r="BA296" s="263">
        <f t="shared" ca="1" si="41"/>
        <v>0.69683780576503274</v>
      </c>
      <c r="BB296" s="263">
        <f t="shared" ca="1" si="41"/>
        <v>0.70126429862518036</v>
      </c>
      <c r="BC296" s="263">
        <f t="shared" ca="1" si="41"/>
        <v>0.70490191158878202</v>
      </c>
      <c r="BD296" s="263">
        <f t="shared" ca="1" si="41"/>
        <v>0.70852054100585216</v>
      </c>
      <c r="BE296" s="263">
        <f t="shared" ca="1" si="41"/>
        <v>0.71207978168443686</v>
      </c>
      <c r="BF296" s="263">
        <f t="shared" ca="1" si="41"/>
        <v>0.71555697311639654</v>
      </c>
      <c r="BG296" s="263">
        <f t="shared" ca="1" si="41"/>
        <v>0.71892842643735011</v>
      </c>
      <c r="BH296" s="263">
        <f t="shared" ca="1" si="41"/>
        <v>0.72219342389345242</v>
      </c>
      <c r="BI296" s="263">
        <f t="shared" ca="1" si="41"/>
        <v>0.72535593883597638</v>
      </c>
      <c r="BJ296" s="263">
        <f t="shared" ca="1" si="41"/>
        <v>0.7284135802028342</v>
      </c>
      <c r="BK296" s="263">
        <f t="shared" ca="1" si="41"/>
        <v>0.73136157972422411</v>
      </c>
      <c r="BL296" s="263">
        <f t="shared" ca="1" si="41"/>
        <v>0.73419088137843924</v>
      </c>
      <c r="BM296" s="263">
        <f t="shared" ca="1" si="41"/>
        <v>0.73690080701737681</v>
      </c>
      <c r="BN296" s="263">
        <f t="shared" ca="1" si="41"/>
        <v>0.73949357170089081</v>
      </c>
      <c r="BO296" s="263"/>
      <c r="BP296" s="263"/>
      <c r="BQ296" s="263"/>
      <c r="BR296" s="263"/>
      <c r="BS296" s="263"/>
      <c r="BT296" s="263"/>
      <c r="BU296" s="263"/>
      <c r="BV296" s="263"/>
      <c r="BW296" s="263"/>
      <c r="BX296" s="263"/>
      <c r="BY296" s="263"/>
      <c r="BZ296" s="263"/>
      <c r="CA296" s="263"/>
      <c r="CB296" s="263"/>
      <c r="CC296" s="263"/>
      <c r="CD296" s="263"/>
      <c r="CE296" s="263"/>
      <c r="CF296" s="263"/>
      <c r="CG296" s="263"/>
      <c r="CH296" s="263"/>
      <c r="CI296" s="263"/>
      <c r="CJ296" s="263"/>
      <c r="CK296" s="263"/>
      <c r="CL296" s="263"/>
      <c r="CM296" s="263"/>
      <c r="CN296" s="263"/>
      <c r="CO296" s="263"/>
      <c r="CP296" s="263"/>
      <c r="CQ296" s="263"/>
      <c r="CR296" s="263"/>
      <c r="CS296" s="263"/>
      <c r="CT296" s="263"/>
      <c r="CU296" s="263"/>
      <c r="CV296" s="263"/>
      <c r="CW296" s="263"/>
      <c r="CX296" s="263"/>
      <c r="CY296" s="263"/>
      <c r="CZ296" s="263"/>
      <c r="DA296" s="263"/>
      <c r="DB296" s="263"/>
      <c r="DC296" s="263"/>
      <c r="DD296" s="263"/>
      <c r="DE296" s="263"/>
      <c r="DF296" s="263"/>
      <c r="DG296" s="263"/>
      <c r="DH296" s="263"/>
      <c r="DI296" s="263"/>
      <c r="DJ296" s="263"/>
      <c r="DK296" s="263"/>
      <c r="DL296" s="263"/>
      <c r="DM296" s="263"/>
      <c r="DN296" s="263"/>
      <c r="DO296" s="263"/>
      <c r="DP296" s="263"/>
      <c r="DQ296" s="263"/>
      <c r="DR296" s="263"/>
      <c r="DS296" s="263"/>
      <c r="DT296" s="263"/>
      <c r="DU296" s="263"/>
      <c r="DV296" s="263"/>
      <c r="DW296" s="263"/>
      <c r="DX296" s="263"/>
      <c r="DY296" s="263"/>
      <c r="DZ296" s="263"/>
      <c r="EA296" s="263"/>
      <c r="EB296" s="263"/>
      <c r="EC296" s="263"/>
      <c r="ED296" s="263"/>
      <c r="EE296" s="263"/>
      <c r="EF296" s="263"/>
      <c r="EG296" s="263"/>
      <c r="EH296" s="263"/>
      <c r="EI296" s="263"/>
      <c r="EJ296" s="263"/>
      <c r="EK296" s="263"/>
      <c r="EL296" s="263"/>
      <c r="EM296" s="263"/>
      <c r="EN296" s="263"/>
      <c r="EO296" s="263"/>
      <c r="EP296" s="263"/>
      <c r="EQ296" s="263"/>
      <c r="ER296" s="263"/>
      <c r="ES296" s="263"/>
      <c r="ET296" s="263"/>
      <c r="EU296" s="263"/>
      <c r="EV296" s="263"/>
      <c r="EW296" s="263"/>
      <c r="EX296" s="263"/>
      <c r="EY296" s="263"/>
      <c r="EZ296" s="263"/>
      <c r="FA296" s="263"/>
      <c r="FB296" s="263"/>
      <c r="FC296" s="263"/>
      <c r="FD296" s="263"/>
      <c r="FE296" s="263"/>
      <c r="FF296" s="263"/>
      <c r="FG296" s="263"/>
      <c r="FH296" s="263"/>
      <c r="FI296" s="263"/>
      <c r="FJ296" s="263"/>
      <c r="FK296" s="263"/>
      <c r="FL296" s="263"/>
      <c r="FM296" s="263"/>
      <c r="FN296" s="263"/>
      <c r="FO296" s="263"/>
      <c r="FP296" s="263"/>
      <c r="FQ296" s="263"/>
      <c r="FR296" s="263"/>
      <c r="FS296" s="263"/>
      <c r="FT296" s="263"/>
      <c r="FU296" s="263"/>
      <c r="FV296" s="263"/>
      <c r="FW296" s="263"/>
      <c r="FX296" s="263"/>
      <c r="FY296" s="263"/>
      <c r="FZ296" s="263"/>
      <c r="GA296" s="263"/>
      <c r="GB296" s="263"/>
      <c r="GC296" s="263"/>
      <c r="GD296" s="263"/>
      <c r="GE296" s="263"/>
      <c r="GF296" s="263"/>
      <c r="GG296" s="263"/>
      <c r="GH296" s="263"/>
      <c r="GI296" s="263"/>
      <c r="GJ296" s="263"/>
      <c r="GK296" s="263"/>
      <c r="GL296" s="263"/>
      <c r="GM296" s="263"/>
      <c r="GN296" s="263"/>
      <c r="GO296" s="263"/>
      <c r="GP296" s="263"/>
      <c r="GQ296" s="263"/>
      <c r="GR296" s="263"/>
      <c r="GS296" s="263"/>
      <c r="GT296" s="263"/>
      <c r="GU296" s="263"/>
      <c r="GV296" s="263"/>
      <c r="GW296" s="263"/>
      <c r="GX296" s="263"/>
      <c r="GY296" s="263"/>
    </row>
    <row r="297" spans="1:207" x14ac:dyDescent="0.15">
      <c r="A297" s="62"/>
      <c r="D297" s="26" t="s">
        <v>261</v>
      </c>
      <c r="F297" s="80"/>
      <c r="G297" s="262">
        <f ca="1">G296</f>
        <v>2.4311080044447108E-2</v>
      </c>
      <c r="H297" s="262">
        <f ca="1">IF(SAP_Spreadsheet!H7&gt;SAP_Leadsheet!$E$21,0,SAP_Spreadsheet!H296-SAP_Spreadsheet!G296)</f>
        <v>4.2854189764466769E-2</v>
      </c>
      <c r="I297" s="262">
        <f ca="1">IF(SAP_Spreadsheet!I7&gt;SAP_Leadsheet!$E$21,0,SAP_Spreadsheet!I296-SAP_Spreadsheet!H296)</f>
        <v>5.0409684538961011E-2</v>
      </c>
      <c r="J297" s="262">
        <f ca="1">IF(SAP_Spreadsheet!J7&gt;SAP_Leadsheet!$E$21,0,SAP_Spreadsheet!J296-SAP_Spreadsheet!I296)</f>
        <v>5.0145547592013076E-2</v>
      </c>
      <c r="K297" s="262">
        <f ca="1">IF(SAP_Spreadsheet!K7&gt;SAP_Leadsheet!$E$21,0,SAP_Spreadsheet!K296-SAP_Spreadsheet!J296)</f>
        <v>4.6109849549855225E-2</v>
      </c>
      <c r="L297" s="262">
        <f ca="1">IF(SAP_Spreadsheet!L7&gt;SAP_Leadsheet!$E$21,0,SAP_Spreadsheet!L296-SAP_Spreadsheet!K296)</f>
        <v>4.0965448530720344E-2</v>
      </c>
      <c r="M297" s="262">
        <f ca="1">IF(SAP_Spreadsheet!M7&gt;SAP_Leadsheet!$E$21,0,SAP_Spreadsheet!M296-SAP_Spreadsheet!L296)</f>
        <v>3.4714778078175967E-2</v>
      </c>
      <c r="N297" s="262">
        <f ca="1">IF(SAP_Spreadsheet!N7&gt;SAP_Leadsheet!$E$21,0,SAP_Spreadsheet!N296-SAP_Spreadsheet!M296)</f>
        <v>3.0112125367962372E-2</v>
      </c>
      <c r="O297" s="262">
        <f ca="1">IF(SAP_Spreadsheet!O7&gt;SAP_Leadsheet!$E$21,0,SAP_Spreadsheet!O296-SAP_Spreadsheet!N296)</f>
        <v>2.6360746759919895E-2</v>
      </c>
      <c r="P297" s="262">
        <f ca="1">IF(SAP_Spreadsheet!P7&gt;SAP_Leadsheet!$E$21,0,SAP_Spreadsheet!P296-SAP_Spreadsheet!O296)</f>
        <v>2.3246709186675818E-2</v>
      </c>
      <c r="Q297" s="262">
        <f ca="1">IF(SAP_Spreadsheet!Q7&gt;SAP_Leadsheet!$E$21,0,SAP_Spreadsheet!Q296-SAP_Spreadsheet!P296)</f>
        <v>2.0964810244355869E-2</v>
      </c>
      <c r="R297" s="262">
        <f ca="1">IF(SAP_Spreadsheet!R7&gt;SAP_Leadsheet!$E$21,0,SAP_Spreadsheet!R296-SAP_Spreadsheet!Q296)</f>
        <v>1.9554006874405061E-2</v>
      </c>
      <c r="S297" s="262">
        <f ca="1">IF(SAP_Spreadsheet!S7&gt;SAP_Leadsheet!$E$21,0,SAP_Spreadsheet!S296-SAP_Spreadsheet!R296)</f>
        <v>8.0302879556573004E-3</v>
      </c>
      <c r="T297" s="262">
        <f ca="1">IF(SAP_Spreadsheet!T7&gt;SAP_Leadsheet!$E$21,0,SAP_Spreadsheet!T296-SAP_Spreadsheet!S296)</f>
        <v>1.164668853653783E-2</v>
      </c>
      <c r="U297" s="262">
        <f ca="1">IF(SAP_Spreadsheet!U7&gt;SAP_Leadsheet!$E$21,0,SAP_Spreadsheet!U296-SAP_Spreadsheet!T296)</f>
        <v>1.1434642795447925E-2</v>
      </c>
      <c r="V297" s="262">
        <f ca="1">IF(SAP_Spreadsheet!V7&gt;SAP_Leadsheet!$E$21,0,SAP_Spreadsheet!V296-SAP_Spreadsheet!U296)</f>
        <v>1.0112157874675232E-2</v>
      </c>
      <c r="W297" s="262">
        <f ca="1">IF(SAP_Spreadsheet!W7&gt;SAP_Leadsheet!$E$21,0,SAP_Spreadsheet!W296-SAP_Spreadsheet!V296)</f>
        <v>1.096675152026394E-2</v>
      </c>
      <c r="X297" s="262">
        <f ca="1">IF(SAP_Spreadsheet!X7&gt;SAP_Leadsheet!$E$21,0,SAP_Spreadsheet!X296-SAP_Spreadsheet!W296)</f>
        <v>1.1434175109427569E-2</v>
      </c>
      <c r="Y297" s="262">
        <f ca="1">IF(SAP_Spreadsheet!Y7&gt;SAP_Leadsheet!$E$21,0,SAP_Spreadsheet!Y296-SAP_Spreadsheet!X296)</f>
        <v>1.1528779180625226E-2</v>
      </c>
      <c r="Z297" s="262">
        <f ca="1">IF(SAP_Spreadsheet!Z7&gt;SAP_Leadsheet!$E$21,0,SAP_Spreadsheet!Z296-SAP_Spreadsheet!Y296)</f>
        <v>1.1289442708228681E-2</v>
      </c>
      <c r="AA297" s="262">
        <f ca="1">IF(SAP_Spreadsheet!AA7&gt;SAP_Leadsheet!$E$21,0,SAP_Spreadsheet!AA296-SAP_Spreadsheet!Z296)</f>
        <v>1.079960104758787E-2</v>
      </c>
      <c r="AB297" s="262">
        <f ca="1">IF(SAP_Spreadsheet!AB7&gt;SAP_Leadsheet!$E$21,0,SAP_Spreadsheet!AB296-SAP_Spreadsheet!AA296)</f>
        <v>1.0221684400505304E-2</v>
      </c>
      <c r="AC297" s="262">
        <f ca="1">IF(SAP_Spreadsheet!AC7&gt;SAP_Leadsheet!$E$21,0,SAP_Spreadsheet!AC296-SAP_Spreadsheet!AB296)</f>
        <v>1.0598875902938842E-2</v>
      </c>
      <c r="AD297" s="262">
        <f ca="1">IF(SAP_Spreadsheet!AD7&gt;SAP_Leadsheet!$E$21,0,SAP_Spreadsheet!AD296-SAP_Spreadsheet!AC296)</f>
        <v>9.6075031955190626E-3</v>
      </c>
      <c r="AE297" s="262">
        <f ca="1">IF(SAP_Spreadsheet!AE7&gt;SAP_Leadsheet!$E$21,0,SAP_Spreadsheet!AE296-SAP_Spreadsheet!AD296)</f>
        <v>8.3810777360313615E-3</v>
      </c>
      <c r="AF297" s="262">
        <f ca="1">IF(SAP_Spreadsheet!AF7&gt;SAP_Leadsheet!$E$21,0,SAP_Spreadsheet!AF296-SAP_Spreadsheet!AE296)</f>
        <v>9.7024766501884185E-3</v>
      </c>
      <c r="AG297" s="262">
        <f ca="1">IF(SAP_Spreadsheet!AG7&gt;SAP_Leadsheet!$E$21,0,SAP_Spreadsheet!AG296-SAP_Spreadsheet!AF296)</f>
        <v>9.9237072406842541E-3</v>
      </c>
      <c r="AH297" s="262">
        <f ca="1">IF(SAP_Spreadsheet!AH7&gt;SAP_Leadsheet!$E$21,0,SAP_Spreadsheet!AH296-SAP_Spreadsheet!AG296)</f>
        <v>9.5930693577186421E-3</v>
      </c>
      <c r="AI297" s="262">
        <f ca="1">IF(SAP_Spreadsheet!AI7&gt;SAP_Leadsheet!$E$21,0,SAP_Spreadsheet!AI296-SAP_Spreadsheet!AH296)</f>
        <v>9.1014966983500312E-3</v>
      </c>
      <c r="AJ297" s="262">
        <f ca="1">IF(SAP_Spreadsheet!AJ7&gt;SAP_Leadsheet!$E$21,0,SAP_Spreadsheet!AJ296-SAP_Spreadsheet!AI296)</f>
        <v>8.6837362681924102E-3</v>
      </c>
      <c r="AK297" s="262">
        <f ca="1">IF(SAP_Spreadsheet!AK7&gt;SAP_Leadsheet!$E$21,0,SAP_Spreadsheet!AK296-SAP_Spreadsheet!AJ296)</f>
        <v>8.378789704646783E-3</v>
      </c>
      <c r="AL297" s="262">
        <f ca="1">IF(SAP_Spreadsheet!AL7&gt;SAP_Leadsheet!$E$21,0,SAP_Spreadsheet!AL296-SAP_Spreadsheet!AK296)</f>
        <v>8.8855752999112969E-3</v>
      </c>
      <c r="AM297" s="262">
        <f ca="1">IF(SAP_Spreadsheet!AM7&gt;SAP_Leadsheet!$E$21,0,SAP_Spreadsheet!AM296-SAP_Spreadsheet!AL296)</f>
        <v>8.1326573890964093E-3</v>
      </c>
      <c r="AN297" s="262">
        <f ca="1">IF(SAP_Spreadsheet!AN7&gt;SAP_Leadsheet!$E$21,0,SAP_Spreadsheet!AN296-SAP_Spreadsheet!AM296)</f>
        <v>7.630722799973122E-3</v>
      </c>
      <c r="AO297" s="262">
        <f ca="1">IF(SAP_Spreadsheet!AO7&gt;SAP_Leadsheet!$E$21,0,SAP_Spreadsheet!AO296-SAP_Spreadsheet!AN296)</f>
        <v>7.3118402157594797E-3</v>
      </c>
      <c r="AP297" s="262">
        <f ca="1">IF(SAP_Spreadsheet!AP7&gt;SAP_Leadsheet!$E$21,0,SAP_Spreadsheet!AP296-SAP_Spreadsheet!AO296)</f>
        <v>7.0982281674597525E-3</v>
      </c>
      <c r="AQ297" s="262">
        <f ca="1">IF(SAP_Spreadsheet!AQ7&gt;SAP_Leadsheet!$E$21,0,SAP_Spreadsheet!AQ296-SAP_Spreadsheet!AP296)</f>
        <v>5.2842505346099022E-3</v>
      </c>
      <c r="AR297" s="262">
        <f ca="1">IF(SAP_Spreadsheet!AR7&gt;SAP_Leadsheet!$E$21,0,SAP_Spreadsheet!AR296-SAP_Spreadsheet!AQ296)</f>
        <v>5.4539596489108222E-3</v>
      </c>
      <c r="AS297" s="262">
        <f ca="1">IF(SAP_Spreadsheet!AS7&gt;SAP_Leadsheet!$E$21,0,SAP_Spreadsheet!AS296-SAP_Spreadsheet!AR296)</f>
        <v>5.4936057977931219E-3</v>
      </c>
      <c r="AT297" s="262">
        <f ca="1">IF(SAP_Spreadsheet!AT7&gt;SAP_Leadsheet!$E$21,0,SAP_Spreadsheet!AT296-SAP_Spreadsheet!AS296)</f>
        <v>5.4500206949016361E-3</v>
      </c>
      <c r="AU297" s="262">
        <f ca="1">IF(SAP_Spreadsheet!AU7&gt;SAP_Leadsheet!$E$21,0,SAP_Spreadsheet!AU296-SAP_Spreadsheet!AT296)</f>
        <v>5.3434233006727228E-3</v>
      </c>
      <c r="AV297" s="262">
        <f ca="1">IF(SAP_Spreadsheet!AV7&gt;SAP_Leadsheet!$E$21,0,SAP_Spreadsheet!AV296-SAP_Spreadsheet!AU296)</f>
        <v>5.2351001755304161E-3</v>
      </c>
      <c r="AW297" s="262">
        <f ca="1">IF(SAP_Spreadsheet!AW7&gt;SAP_Leadsheet!$E$21,0,SAP_Spreadsheet!AW296-SAP_Spreadsheet!AV296)</f>
        <v>5.1310889243243452E-3</v>
      </c>
      <c r="AX297" s="262">
        <f ca="1">IF(SAP_Spreadsheet!AX7&gt;SAP_Leadsheet!$E$21,0,SAP_Spreadsheet!AX296-SAP_Spreadsheet!AW296)</f>
        <v>5.0158796581664111E-3</v>
      </c>
      <c r="AY297" s="262">
        <f ca="1">IF(SAP_Spreadsheet!AY7&gt;SAP_Leadsheet!$E$21,0,SAP_Spreadsheet!AY296-SAP_Spreadsheet!AX296)</f>
        <v>4.8832997645582576E-3</v>
      </c>
      <c r="AZ297" s="262">
        <f ca="1">IF(SAP_Spreadsheet!AZ7&gt;SAP_Leadsheet!$E$21,0,SAP_Spreadsheet!AZ296-SAP_Spreadsheet!AY296)</f>
        <v>4.7294732545003493E-3</v>
      </c>
      <c r="BA297" s="262">
        <f ca="1">IF(SAP_Spreadsheet!BA7&gt;SAP_Leadsheet!$E$21,0,SAP_Spreadsheet!BA296-SAP_Spreadsheet!AZ296)</f>
        <v>4.574759723679489E-3</v>
      </c>
      <c r="BB297" s="262">
        <f ca="1">IF(SAP_Spreadsheet!BB7&gt;SAP_Leadsheet!$E$21,0,SAP_Spreadsheet!BB296-SAP_Spreadsheet!BA296)</f>
        <v>4.4264928601476239E-3</v>
      </c>
      <c r="BC297" s="262">
        <f ca="1">IF(SAP_Spreadsheet!BC7&gt;SAP_Leadsheet!$E$21,0,SAP_Spreadsheet!BC296-SAP_Spreadsheet!BB296)</f>
        <v>3.6376129636016552E-3</v>
      </c>
      <c r="BD297" s="262">
        <f ca="1">IF(SAP_Spreadsheet!BD7&gt;SAP_Leadsheet!$E$21,0,SAP_Spreadsheet!BD296-SAP_Spreadsheet!BC296)</f>
        <v>3.6186294170701405E-3</v>
      </c>
      <c r="BE297" s="262">
        <f ca="1">IF(SAP_Spreadsheet!BE7&gt;SAP_Leadsheet!$E$21,0,SAP_Spreadsheet!BE296-SAP_Spreadsheet!BD296)</f>
        <v>3.5592406785847075E-3</v>
      </c>
      <c r="BF297" s="262">
        <f ca="1">IF(SAP_Spreadsheet!BF7&gt;SAP_Leadsheet!$E$21,0,SAP_Spreadsheet!BF296-SAP_Spreadsheet!BE296)</f>
        <v>3.4771914319596808E-3</v>
      </c>
      <c r="BG297" s="262">
        <f ca="1">IF(SAP_Spreadsheet!BG7&gt;SAP_Leadsheet!$E$21,0,SAP_Spreadsheet!BG296-SAP_Spreadsheet!BF296)</f>
        <v>3.3714533209535658E-3</v>
      </c>
      <c r="BH297" s="262">
        <f ca="1">IF(SAP_Spreadsheet!BH7&gt;SAP_Leadsheet!$E$21,0,SAP_Spreadsheet!BH296-SAP_Spreadsheet!BG296)</f>
        <v>3.2649974561023143E-3</v>
      </c>
      <c r="BI297" s="262">
        <f ca="1">IF(SAP_Spreadsheet!BI7&gt;SAP_Leadsheet!$E$21,0,SAP_Spreadsheet!BI296-SAP_Spreadsheet!BH296)</f>
        <v>3.1625149425239529E-3</v>
      </c>
      <c r="BJ297" s="262">
        <f ca="1">IF(SAP_Spreadsheet!BJ7&gt;SAP_Leadsheet!$E$21,0,SAP_Spreadsheet!BJ296-SAP_Spreadsheet!BI296)</f>
        <v>3.0576413668578217E-3</v>
      </c>
      <c r="BK297" s="262">
        <f ca="1">IF(SAP_Spreadsheet!BK7&gt;SAP_Leadsheet!$E$21,0,SAP_Spreadsheet!BK296-SAP_Spreadsheet!BJ296)</f>
        <v>2.9479995213899102E-3</v>
      </c>
      <c r="BL297" s="262">
        <f ca="1">IF(SAP_Spreadsheet!BL7&gt;SAP_Leadsheet!$E$21,0,SAP_Spreadsheet!BL296-SAP_Spreadsheet!BK296)</f>
        <v>2.8293016542151328E-3</v>
      </c>
      <c r="BM297" s="262">
        <f ca="1">IF(SAP_Spreadsheet!BM7&gt;SAP_Leadsheet!$E$21,0,SAP_Spreadsheet!BM296-SAP_Spreadsheet!BL296)</f>
        <v>2.7099256389375714E-3</v>
      </c>
      <c r="BN297" s="262">
        <f ca="1">IF(SAP_Spreadsheet!BN7&gt;SAP_Leadsheet!$E$21,0,SAP_Spreadsheet!BN296-SAP_Spreadsheet!BM296)</f>
        <v>2.5927646835139928E-3</v>
      </c>
      <c r="BO297" s="263"/>
      <c r="BP297" s="263"/>
      <c r="BQ297" s="263"/>
      <c r="BR297" s="263"/>
      <c r="BS297" s="263"/>
      <c r="BT297" s="263"/>
      <c r="BU297" s="263"/>
      <c r="BV297" s="263"/>
      <c r="BW297" s="263"/>
      <c r="BX297" s="263"/>
      <c r="BY297" s="263"/>
      <c r="BZ297" s="263"/>
      <c r="CA297" s="263"/>
      <c r="CB297" s="263"/>
      <c r="CC297" s="263"/>
      <c r="CD297" s="263"/>
      <c r="CE297" s="263"/>
      <c r="CF297" s="263"/>
      <c r="CG297" s="263"/>
      <c r="CH297" s="263"/>
      <c r="CI297" s="263"/>
      <c r="CJ297" s="263"/>
      <c r="CK297" s="263"/>
      <c r="CL297" s="263"/>
      <c r="CM297" s="263"/>
      <c r="CN297" s="263"/>
      <c r="CO297" s="263"/>
      <c r="CP297" s="263"/>
      <c r="CQ297" s="263"/>
      <c r="CR297" s="263"/>
      <c r="CS297" s="263"/>
      <c r="CT297" s="263"/>
      <c r="CU297" s="263"/>
      <c r="CV297" s="263"/>
      <c r="CW297" s="263"/>
      <c r="CX297" s="263"/>
      <c r="CY297" s="263"/>
      <c r="CZ297" s="263"/>
      <c r="DA297" s="263"/>
      <c r="DB297" s="263"/>
      <c r="DC297" s="263"/>
      <c r="DD297" s="263"/>
      <c r="DE297" s="263"/>
      <c r="DF297" s="263"/>
      <c r="DG297" s="263"/>
      <c r="DH297" s="263"/>
      <c r="DI297" s="263"/>
      <c r="DJ297" s="263"/>
      <c r="DK297" s="263"/>
      <c r="DL297" s="263"/>
      <c r="DM297" s="263"/>
      <c r="DN297" s="263"/>
      <c r="DO297" s="263"/>
      <c r="DP297" s="263"/>
      <c r="DQ297" s="263"/>
      <c r="DR297" s="263"/>
      <c r="DS297" s="263"/>
      <c r="DT297" s="263"/>
      <c r="DU297" s="263"/>
      <c r="DV297" s="263"/>
      <c r="DW297" s="263"/>
      <c r="DX297" s="263"/>
      <c r="DY297" s="263"/>
      <c r="DZ297" s="263"/>
      <c r="EA297" s="263"/>
      <c r="EB297" s="263"/>
      <c r="EC297" s="263"/>
      <c r="ED297" s="263"/>
      <c r="EE297" s="263"/>
      <c r="EF297" s="263"/>
      <c r="EG297" s="263"/>
      <c r="EH297" s="263"/>
      <c r="EI297" s="263"/>
      <c r="EJ297" s="263"/>
      <c r="EK297" s="263"/>
      <c r="EL297" s="263"/>
      <c r="EM297" s="263"/>
      <c r="EN297" s="263"/>
      <c r="EO297" s="263"/>
      <c r="EP297" s="263"/>
      <c r="EQ297" s="263"/>
      <c r="ER297" s="263"/>
      <c r="ES297" s="263"/>
      <c r="ET297" s="263"/>
      <c r="EU297" s="263"/>
      <c r="EV297" s="263"/>
      <c r="EW297" s="263"/>
      <c r="EX297" s="263"/>
      <c r="EY297" s="263"/>
      <c r="EZ297" s="263"/>
      <c r="FA297" s="263"/>
      <c r="FB297" s="263"/>
      <c r="FC297" s="263"/>
      <c r="FD297" s="263"/>
      <c r="FE297" s="263"/>
      <c r="FF297" s="263"/>
      <c r="FG297" s="263"/>
      <c r="FH297" s="263"/>
      <c r="FI297" s="263"/>
      <c r="FJ297" s="263"/>
      <c r="FK297" s="263"/>
      <c r="FL297" s="263"/>
      <c r="FM297" s="263"/>
      <c r="FN297" s="263"/>
      <c r="FO297" s="263"/>
      <c r="FP297" s="263"/>
      <c r="FQ297" s="263"/>
      <c r="FR297" s="263"/>
      <c r="FS297" s="263"/>
      <c r="FT297" s="263"/>
      <c r="FU297" s="263"/>
      <c r="FV297" s="263"/>
      <c r="FW297" s="263"/>
      <c r="FX297" s="263"/>
      <c r="FY297" s="263"/>
      <c r="FZ297" s="263"/>
      <c r="GA297" s="263"/>
      <c r="GB297" s="263"/>
      <c r="GC297" s="263"/>
      <c r="GD297" s="263"/>
      <c r="GE297" s="263"/>
      <c r="GF297" s="263"/>
      <c r="GG297" s="263"/>
      <c r="GH297" s="263"/>
      <c r="GI297" s="263"/>
      <c r="GJ297" s="263"/>
      <c r="GK297" s="263"/>
      <c r="GL297" s="263"/>
      <c r="GM297" s="263"/>
      <c r="GN297" s="263"/>
      <c r="GO297" s="263"/>
      <c r="GP297" s="263"/>
      <c r="GQ297" s="263"/>
      <c r="GR297" s="263"/>
      <c r="GS297" s="263"/>
      <c r="GT297" s="263"/>
      <c r="GU297" s="263"/>
      <c r="GV297" s="263"/>
      <c r="GW297" s="263"/>
      <c r="GX297" s="263"/>
      <c r="GY297" s="263"/>
    </row>
    <row r="298" spans="1:207" x14ac:dyDescent="0.15">
      <c r="A298" s="62"/>
      <c r="F298" s="80"/>
      <c r="G298" s="263"/>
      <c r="H298" s="263"/>
      <c r="I298" s="291"/>
      <c r="J298" s="263"/>
      <c r="K298" s="263"/>
      <c r="L298" s="263"/>
      <c r="M298" s="263"/>
      <c r="N298" s="263"/>
      <c r="O298" s="263"/>
      <c r="P298" s="263"/>
      <c r="Q298" s="263"/>
      <c r="R298" s="263"/>
      <c r="S298" s="263"/>
      <c r="T298" s="263"/>
      <c r="U298" s="263"/>
      <c r="V298" s="263"/>
      <c r="W298" s="263"/>
      <c r="X298" s="263"/>
      <c r="Y298" s="263"/>
      <c r="Z298" s="263"/>
      <c r="AA298" s="263"/>
      <c r="AB298" s="263"/>
      <c r="AC298" s="263"/>
      <c r="AD298" s="263"/>
      <c r="AE298" s="263"/>
      <c r="AF298" s="263"/>
      <c r="AG298" s="263"/>
      <c r="AH298" s="263"/>
      <c r="AI298" s="263"/>
      <c r="AJ298" s="263"/>
      <c r="AK298" s="263"/>
      <c r="AL298" s="263"/>
      <c r="AM298" s="263"/>
      <c r="AN298" s="263"/>
      <c r="AO298" s="263"/>
      <c r="AP298" s="263"/>
      <c r="AQ298" s="263"/>
      <c r="AR298" s="263"/>
      <c r="AS298" s="263"/>
      <c r="AT298" s="263"/>
      <c r="AU298" s="263"/>
      <c r="AV298" s="263"/>
      <c r="AW298" s="263"/>
      <c r="AX298" s="263"/>
      <c r="AY298" s="263"/>
      <c r="AZ298" s="263"/>
      <c r="BA298" s="263"/>
      <c r="BB298" s="263"/>
      <c r="BC298" s="263"/>
      <c r="BD298" s="263"/>
      <c r="BE298" s="263"/>
      <c r="BF298" s="263"/>
      <c r="BG298" s="263"/>
      <c r="BH298" s="263"/>
      <c r="BI298" s="263"/>
      <c r="BJ298" s="263"/>
      <c r="BK298" s="263"/>
      <c r="BL298" s="263"/>
      <c r="BM298" s="263"/>
      <c r="BN298" s="263"/>
      <c r="BO298" s="263"/>
      <c r="BP298" s="263"/>
      <c r="BQ298" s="263"/>
      <c r="BR298" s="263"/>
      <c r="BS298" s="263"/>
      <c r="BT298" s="263"/>
      <c r="BU298" s="263"/>
      <c r="BV298" s="263"/>
      <c r="BW298" s="263"/>
      <c r="BX298" s="263"/>
      <c r="BY298" s="263"/>
      <c r="BZ298" s="263"/>
      <c r="CA298" s="263"/>
      <c r="CB298" s="263"/>
      <c r="CC298" s="263"/>
      <c r="CD298" s="263"/>
      <c r="CE298" s="263"/>
      <c r="CF298" s="263"/>
      <c r="CG298" s="263"/>
      <c r="CH298" s="263"/>
      <c r="CI298" s="263"/>
      <c r="CJ298" s="263"/>
      <c r="CK298" s="263"/>
      <c r="CL298" s="263"/>
      <c r="CM298" s="263"/>
      <c r="CN298" s="263"/>
      <c r="CO298" s="263"/>
      <c r="CP298" s="263"/>
      <c r="CQ298" s="263"/>
      <c r="CR298" s="263"/>
      <c r="CS298" s="263"/>
      <c r="CT298" s="263"/>
      <c r="CU298" s="263"/>
      <c r="CV298" s="263"/>
      <c r="CW298" s="263"/>
      <c r="CX298" s="263"/>
      <c r="CY298" s="263"/>
      <c r="CZ298" s="263"/>
      <c r="DA298" s="263"/>
      <c r="DB298" s="263"/>
      <c r="DC298" s="263"/>
      <c r="DD298" s="263"/>
      <c r="DE298" s="263"/>
      <c r="DF298" s="263"/>
      <c r="DG298" s="263"/>
      <c r="DH298" s="263"/>
      <c r="DI298" s="263"/>
      <c r="DJ298" s="263"/>
      <c r="DK298" s="263"/>
      <c r="DL298" s="263"/>
      <c r="DM298" s="263"/>
      <c r="DN298" s="263"/>
      <c r="DO298" s="263"/>
      <c r="DP298" s="263"/>
      <c r="DQ298" s="263"/>
      <c r="DR298" s="263"/>
      <c r="DS298" s="263"/>
      <c r="DT298" s="263"/>
      <c r="DU298" s="263"/>
      <c r="DV298" s="263"/>
      <c r="DW298" s="263"/>
      <c r="DX298" s="263"/>
      <c r="DY298" s="263"/>
      <c r="DZ298" s="263"/>
      <c r="EA298" s="263"/>
      <c r="EB298" s="263"/>
      <c r="EC298" s="263"/>
      <c r="ED298" s="263"/>
      <c r="EE298" s="263"/>
      <c r="EF298" s="263"/>
      <c r="EG298" s="263"/>
      <c r="EH298" s="263"/>
      <c r="EI298" s="263"/>
      <c r="EJ298" s="263"/>
      <c r="EK298" s="263"/>
      <c r="EL298" s="263"/>
      <c r="EM298" s="263"/>
      <c r="EN298" s="263"/>
      <c r="EO298" s="263"/>
      <c r="EP298" s="263"/>
      <c r="EQ298" s="263"/>
      <c r="ER298" s="263"/>
      <c r="ES298" s="263"/>
      <c r="ET298" s="263"/>
      <c r="EU298" s="263"/>
      <c r="EV298" s="263"/>
      <c r="EW298" s="263"/>
      <c r="EX298" s="263"/>
      <c r="EY298" s="263"/>
      <c r="EZ298" s="263"/>
      <c r="FA298" s="263"/>
      <c r="FB298" s="263"/>
      <c r="FC298" s="263"/>
      <c r="FD298" s="263"/>
      <c r="FE298" s="263"/>
      <c r="FF298" s="263"/>
      <c r="FG298" s="263"/>
      <c r="FH298" s="263"/>
      <c r="FI298" s="263"/>
      <c r="FJ298" s="263"/>
      <c r="FK298" s="263"/>
      <c r="FL298" s="263"/>
      <c r="FM298" s="263"/>
      <c r="FN298" s="263"/>
      <c r="FO298" s="263"/>
      <c r="FP298" s="263"/>
      <c r="FQ298" s="263"/>
      <c r="FR298" s="263"/>
      <c r="FS298" s="263"/>
      <c r="FT298" s="263"/>
      <c r="FU298" s="263"/>
      <c r="FV298" s="263"/>
      <c r="FW298" s="263"/>
      <c r="FX298" s="263"/>
      <c r="FY298" s="263"/>
      <c r="FZ298" s="263"/>
      <c r="GA298" s="263"/>
      <c r="GB298" s="263"/>
      <c r="GC298" s="263"/>
      <c r="GD298" s="263"/>
      <c r="GE298" s="263"/>
      <c r="GF298" s="263"/>
      <c r="GG298" s="263"/>
      <c r="GH298" s="263"/>
      <c r="GI298" s="263"/>
      <c r="GJ298" s="263"/>
      <c r="GK298" s="263"/>
      <c r="GL298" s="263"/>
      <c r="GM298" s="263"/>
      <c r="GN298" s="263"/>
      <c r="GO298" s="263"/>
      <c r="GP298" s="263"/>
      <c r="GQ298" s="263"/>
      <c r="GR298" s="263"/>
      <c r="GS298" s="263"/>
      <c r="GT298" s="263"/>
      <c r="GU298" s="263"/>
      <c r="GV298" s="263"/>
      <c r="GW298" s="263"/>
      <c r="GX298" s="263"/>
      <c r="GY298" s="263"/>
    </row>
    <row r="299" spans="1:207" x14ac:dyDescent="0.15">
      <c r="C299" s="23" t="s">
        <v>422</v>
      </c>
      <c r="G299" s="263"/>
      <c r="H299" s="263"/>
      <c r="I299" s="263"/>
      <c r="J299" s="263"/>
      <c r="K299" s="263"/>
      <c r="L299" s="263"/>
      <c r="M299" s="263"/>
      <c r="N299" s="263"/>
      <c r="O299" s="263"/>
      <c r="P299" s="263"/>
      <c r="Q299" s="263"/>
      <c r="R299" s="263"/>
      <c r="S299" s="263"/>
      <c r="T299" s="263"/>
      <c r="U299" s="263"/>
      <c r="V299" s="263"/>
      <c r="W299" s="263"/>
      <c r="X299" s="263"/>
      <c r="Y299" s="263"/>
      <c r="Z299" s="263"/>
      <c r="AA299" s="263"/>
      <c r="AB299" s="263"/>
      <c r="AC299" s="263"/>
      <c r="AD299" s="263"/>
      <c r="AE299" s="263"/>
      <c r="AF299" s="263"/>
      <c r="AG299" s="263"/>
      <c r="AH299" s="263"/>
      <c r="AI299" s="263"/>
      <c r="AJ299" s="263"/>
      <c r="AK299" s="263"/>
      <c r="AL299" s="263"/>
      <c r="AM299" s="263"/>
      <c r="AN299" s="263"/>
      <c r="AO299" s="263"/>
      <c r="AP299" s="263"/>
      <c r="AQ299" s="263"/>
      <c r="AR299" s="263"/>
      <c r="AS299" s="263"/>
      <c r="AT299" s="263"/>
      <c r="AU299" s="263"/>
      <c r="AV299" s="263"/>
      <c r="AW299" s="263"/>
      <c r="AX299" s="263"/>
      <c r="AY299" s="263"/>
      <c r="AZ299" s="263"/>
      <c r="BA299" s="263"/>
      <c r="BB299" s="263"/>
      <c r="BC299" s="263"/>
      <c r="BD299" s="263"/>
      <c r="BE299" s="263"/>
      <c r="BF299" s="263"/>
      <c r="BG299" s="263"/>
      <c r="BH299" s="263"/>
      <c r="BI299" s="263"/>
      <c r="BJ299" s="263"/>
      <c r="BK299" s="263"/>
      <c r="BL299" s="263"/>
      <c r="BM299" s="263"/>
      <c r="BN299" s="263"/>
      <c r="BO299" s="263"/>
      <c r="BP299" s="263"/>
      <c r="BQ299" s="263"/>
      <c r="BR299" s="263"/>
      <c r="BS299" s="263"/>
      <c r="BT299" s="263"/>
      <c r="BU299" s="263"/>
      <c r="BV299" s="263"/>
      <c r="BW299" s="263"/>
      <c r="BX299" s="263"/>
      <c r="BY299" s="263"/>
      <c r="BZ299" s="263"/>
      <c r="CA299" s="263"/>
      <c r="CB299" s="263"/>
      <c r="CC299" s="263"/>
      <c r="CD299" s="263"/>
      <c r="CE299" s="263"/>
      <c r="CF299" s="263"/>
      <c r="CG299" s="263"/>
      <c r="CH299" s="263"/>
      <c r="CI299" s="263"/>
      <c r="CJ299" s="263"/>
      <c r="CK299" s="263"/>
      <c r="CL299" s="263"/>
      <c r="CM299" s="263"/>
      <c r="CN299" s="263"/>
      <c r="CO299" s="263"/>
      <c r="CP299" s="263"/>
      <c r="CQ299" s="263"/>
      <c r="CR299" s="263"/>
      <c r="CS299" s="263"/>
      <c r="CT299" s="263"/>
      <c r="CU299" s="263"/>
      <c r="CV299" s="263"/>
      <c r="CW299" s="263"/>
      <c r="CX299" s="263"/>
      <c r="CY299" s="263"/>
      <c r="CZ299" s="263"/>
      <c r="DA299" s="263"/>
      <c r="DB299" s="263"/>
      <c r="DC299" s="263"/>
      <c r="DD299" s="263"/>
      <c r="DE299" s="263"/>
      <c r="DF299" s="263"/>
      <c r="DG299" s="263"/>
      <c r="DH299" s="263"/>
      <c r="DI299" s="263"/>
      <c r="DJ299" s="263"/>
      <c r="DK299" s="263"/>
      <c r="DL299" s="263"/>
      <c r="DM299" s="263"/>
      <c r="DN299" s="263"/>
      <c r="DO299" s="263"/>
      <c r="DP299" s="263"/>
      <c r="DQ299" s="263"/>
      <c r="DR299" s="263"/>
      <c r="DS299" s="263"/>
      <c r="DT299" s="263"/>
      <c r="DU299" s="263"/>
      <c r="DV299" s="263"/>
      <c r="DW299" s="263"/>
      <c r="DX299" s="263"/>
      <c r="DY299" s="263"/>
      <c r="DZ299" s="263"/>
      <c r="EA299" s="263"/>
      <c r="EB299" s="263"/>
      <c r="EC299" s="263"/>
      <c r="ED299" s="263"/>
      <c r="EE299" s="263"/>
      <c r="EF299" s="263"/>
      <c r="EG299" s="263"/>
      <c r="EH299" s="263"/>
      <c r="EI299" s="263"/>
      <c r="EJ299" s="263"/>
      <c r="EK299" s="263"/>
      <c r="EL299" s="263"/>
      <c r="EM299" s="263"/>
      <c r="EN299" s="263"/>
      <c r="EO299" s="263"/>
      <c r="EP299" s="263"/>
      <c r="EQ299" s="263"/>
      <c r="ER299" s="263"/>
      <c r="ES299" s="263"/>
      <c r="ET299" s="263"/>
      <c r="EU299" s="263"/>
      <c r="EV299" s="263"/>
      <c r="EW299" s="263"/>
      <c r="EX299" s="263"/>
      <c r="EY299" s="263"/>
      <c r="EZ299" s="263"/>
      <c r="FA299" s="263"/>
      <c r="FB299" s="263"/>
      <c r="FC299" s="263"/>
      <c r="FD299" s="263"/>
      <c r="FE299" s="263"/>
      <c r="FF299" s="263"/>
      <c r="FG299" s="263"/>
      <c r="FH299" s="263"/>
      <c r="FI299" s="263"/>
      <c r="FJ299" s="263"/>
      <c r="FK299" s="263"/>
      <c r="FL299" s="263"/>
      <c r="FM299" s="263"/>
      <c r="FN299" s="263"/>
      <c r="FO299" s="263"/>
      <c r="FP299" s="263"/>
      <c r="FQ299" s="263"/>
      <c r="FR299" s="263"/>
      <c r="FS299" s="263"/>
      <c r="FT299" s="263"/>
      <c r="FU299" s="263"/>
      <c r="FV299" s="263"/>
      <c r="FW299" s="263"/>
      <c r="FX299" s="263"/>
      <c r="FY299" s="263"/>
      <c r="FZ299" s="263"/>
      <c r="GA299" s="263"/>
      <c r="GB299" s="263"/>
      <c r="GC299" s="263"/>
      <c r="GD299" s="263"/>
      <c r="GE299" s="263"/>
      <c r="GF299" s="263"/>
      <c r="GG299" s="263"/>
      <c r="GH299" s="263"/>
      <c r="GI299" s="263"/>
      <c r="GJ299" s="263"/>
      <c r="GK299" s="263"/>
      <c r="GL299" s="263"/>
      <c r="GM299" s="263"/>
      <c r="GN299" s="263"/>
      <c r="GO299" s="263"/>
      <c r="GP299" s="263"/>
      <c r="GQ299" s="263"/>
      <c r="GR299" s="263"/>
      <c r="GS299" s="263"/>
      <c r="GT299" s="263"/>
      <c r="GU299" s="263"/>
      <c r="GV299" s="263"/>
      <c r="GW299" s="263"/>
      <c r="GX299" s="263"/>
      <c r="GY299" s="263"/>
    </row>
    <row r="300" spans="1:207" x14ac:dyDescent="0.15">
      <c r="A300" s="300"/>
      <c r="C300" s="23"/>
      <c r="D300" s="26" t="s">
        <v>411</v>
      </c>
      <c r="E300" s="39">
        <v>7.4999999999999997E-3</v>
      </c>
      <c r="F300" s="80"/>
      <c r="G300" s="302" cm="1">
        <f t="array" aca="1" ref="G300" ca="1">_xlfn.IFS(G$7&gt;(SAP_Leadsheet!$E$21+12),0,G$7=(SAP_Leadsheet!$E$21+12),SAP_Spreadsheet!G181,G$7&lt;(SAP_Leadsheet!$E$21+12),$E300*G181)</f>
        <v>3.429902928923262E-3</v>
      </c>
      <c r="H300" s="302" cm="1">
        <f t="array" aca="1" ref="H300" ca="1">_xlfn.IFS(H$7&gt;(SAP_Leadsheet!$E$21+12),0,H$7=(SAP_Leadsheet!$E$21+12),SAP_Spreadsheet!H181,H$7&lt;(SAP_Leadsheet!$E$21+12),$E300*H181)</f>
        <v>6.0460378856492169E-3</v>
      </c>
      <c r="I300" s="302" cm="1">
        <f t="array" aca="1" ref="I300" ca="1">_xlfn.IFS(I$7&gt;(SAP_Leadsheet!$E$21+12),0,I$7=(SAP_Leadsheet!$E$21+12),SAP_Spreadsheet!I181,I$7&lt;(SAP_Leadsheet!$E$21+12),$E300*I181)</f>
        <v>7.1119968479463813E-3</v>
      </c>
      <c r="J300" s="302" cm="1">
        <f t="array" aca="1" ref="J300" ca="1">_xlfn.IFS(J$7&gt;(SAP_Leadsheet!$E$21+12),0,J$7=(SAP_Leadsheet!$E$21+12),SAP_Spreadsheet!J181,J$7&lt;(SAP_Leadsheet!$E$21+12),$E300*J181)</f>
        <v>7.0747313670908576E-3</v>
      </c>
      <c r="K300" s="302" cm="1">
        <f t="array" aca="1" ref="K300" ca="1">_xlfn.IFS(K$7&gt;(SAP_Leadsheet!$E$21+12),0,K$7=(SAP_Leadsheet!$E$21+12),SAP_Spreadsheet!K181,K$7&lt;(SAP_Leadsheet!$E$21+12),$E300*K181)</f>
        <v>6.5053591915338587E-3</v>
      </c>
      <c r="L300" s="302" cm="1">
        <f t="array" aca="1" ref="L300" ca="1">_xlfn.IFS(L$7&gt;(SAP_Leadsheet!$E$21+12),0,L$7=(SAP_Leadsheet!$E$21+12),SAP_Spreadsheet!L181,L$7&lt;(SAP_Leadsheet!$E$21+12),$E300*L181)</f>
        <v>5.7795668330361174E-3</v>
      </c>
      <c r="M300" s="302" cm="1">
        <f t="array" aca="1" ref="M300" ca="1">_xlfn.IFS(M$7&gt;(SAP_Leadsheet!$E$21+12),0,M$7=(SAP_Leadsheet!$E$21+12),SAP_Spreadsheet!M181,M$7&lt;(SAP_Leadsheet!$E$21+12),$E300*M181)</f>
        <v>4.897697625509379E-3</v>
      </c>
      <c r="N300" s="302" cm="1">
        <f t="array" aca="1" ref="N300" ca="1">_xlfn.IFS(N$7&gt;(SAP_Leadsheet!$E$21+12),0,N$7=(SAP_Leadsheet!$E$21+12),SAP_Spreadsheet!N181,N$7&lt;(SAP_Leadsheet!$E$21+12),$E300*N181)</f>
        <v>4.2483372522673663E-3</v>
      </c>
      <c r="O300" s="302" cm="1">
        <f t="array" aca="1" ref="O300" ca="1">_xlfn.IFS(O$7&gt;(SAP_Leadsheet!$E$21+12),0,O$7=(SAP_Leadsheet!$E$21+12),SAP_Spreadsheet!O181,O$7&lt;(SAP_Leadsheet!$E$21+12),$E300*O181)</f>
        <v>3.7190779823500861E-3</v>
      </c>
      <c r="P300" s="302" cm="1">
        <f t="array" aca="1" ref="P300" ca="1">_xlfn.IFS(P$7&gt;(SAP_Leadsheet!$E$21+12),0,P$7=(SAP_Leadsheet!$E$21+12),SAP_Spreadsheet!P181,P$7&lt;(SAP_Leadsheet!$E$21+12),$E300*P181)</f>
        <v>3.2797372959749924E-3</v>
      </c>
      <c r="Q300" s="302" cm="1">
        <f t="array" aca="1" ref="Q300" ca="1">_xlfn.IFS(Q$7&gt;(SAP_Leadsheet!$E$21+12),0,Q$7=(SAP_Leadsheet!$E$21+12),SAP_Spreadsheet!Q181,Q$7&lt;(SAP_Leadsheet!$E$21+12),$E300*Q181)</f>
        <v>2.9577980052704852E-3</v>
      </c>
      <c r="R300" s="302" cm="1">
        <f t="array" aca="1" ref="R300" ca="1">_xlfn.IFS(R$7&gt;(SAP_Leadsheet!$E$21+12),0,R$7=(SAP_Leadsheet!$E$21+12),SAP_Spreadsheet!R181,R$7&lt;(SAP_Leadsheet!$E$21+12),$E300*R181)</f>
        <v>2.7587563089788206E-3</v>
      </c>
      <c r="S300" s="302" cm="1">
        <f t="array" aca="1" ref="S300" ca="1">_xlfn.IFS(S$7&gt;(SAP_Leadsheet!$E$21+12),0,S$7=(SAP_Leadsheet!$E$21+12),SAP_Spreadsheet!S181,S$7&lt;(SAP_Leadsheet!$E$21+12),$E300*S181)</f>
        <v>2.832056091108147E-3</v>
      </c>
      <c r="T300" s="302" cm="1">
        <f t="array" aca="1" ref="T300" ca="1">_xlfn.IFS(T$7&gt;(SAP_Leadsheet!$E$21+12),0,T$7=(SAP_Leadsheet!$E$21+12),SAP_Spreadsheet!T181,T$7&lt;(SAP_Leadsheet!$E$21+12),$E300*T181)</f>
        <v>3.2590370033555444E-3</v>
      </c>
      <c r="U300" s="302" cm="1">
        <f t="array" aca="1" ref="U300" ca="1">_xlfn.IFS(U$7&gt;(SAP_Leadsheet!$E$21+12),0,U$7=(SAP_Leadsheet!$E$21+12),SAP_Spreadsheet!U181,U$7&lt;(SAP_Leadsheet!$E$21+12),$E300*U181)</f>
        <v>3.3608245216284129E-3</v>
      </c>
      <c r="V300" s="302" cm="1">
        <f t="array" aca="1" ref="V300" ca="1">_xlfn.IFS(V$7&gt;(SAP_Leadsheet!$E$21+12),0,V$7=(SAP_Leadsheet!$E$21+12),SAP_Spreadsheet!V181,V$7&lt;(SAP_Leadsheet!$E$21+12),$E300*V181)</f>
        <v>3.1999969840755252E-3</v>
      </c>
      <c r="W300" s="302" cm="1">
        <f t="array" aca="1" ref="W300" ca="1">_xlfn.IFS(W$7&gt;(SAP_Leadsheet!$E$21+12),0,W$7=(SAP_Leadsheet!$E$21+12),SAP_Spreadsheet!W181,W$7&lt;(SAP_Leadsheet!$E$21+12),$E300*W181)</f>
        <v>3.2405824094223282E-3</v>
      </c>
      <c r="X300" s="302" cm="1">
        <f t="array" aca="1" ref="X300" ca="1">_xlfn.IFS(X$7&gt;(SAP_Leadsheet!$E$21+12),0,X$7=(SAP_Leadsheet!$E$21+12),SAP_Spreadsheet!X181,X$7&lt;(SAP_Leadsheet!$E$21+12),$E300*X181)</f>
        <v>3.3213964451925663E-3</v>
      </c>
      <c r="Y300" s="302" cm="1">
        <f t="array" aca="1" ref="Y300" ca="1">_xlfn.IFS(Y$7&gt;(SAP_Leadsheet!$E$21+12),0,Y$7=(SAP_Leadsheet!$E$21+12),SAP_Spreadsheet!Y181,Y$7&lt;(SAP_Leadsheet!$E$21+12),$E300*Y181)</f>
        <v>3.3646828672286321E-3</v>
      </c>
      <c r="Z300" s="302" cm="1">
        <f t="array" aca="1" ref="Z300" ca="1">_xlfn.IFS(Z$7&gt;(SAP_Leadsheet!$E$21+12),0,Z$7=(SAP_Leadsheet!$E$21+12),SAP_Spreadsheet!Z181,Z$7&lt;(SAP_Leadsheet!$E$21+12),$E300*Z181)</f>
        <v>3.3534753129575213E-3</v>
      </c>
      <c r="AA300" s="302" cm="1">
        <f t="array" aca="1" ref="AA300" ca="1">_xlfn.IFS(AA$7&gt;(SAP_Leadsheet!$E$21+12),0,AA$7=(SAP_Leadsheet!$E$21+12),SAP_Spreadsheet!AA181,AA$7&lt;(SAP_Leadsheet!$E$21+12),$E300*AA181)</f>
        <v>3.2829234277439207E-3</v>
      </c>
      <c r="AB300" s="302" cm="1">
        <f t="array" aca="1" ref="AB300" ca="1">_xlfn.IFS(AB$7&gt;(SAP_Leadsheet!$E$21+12),0,AB$7=(SAP_Leadsheet!$E$21+12),SAP_Spreadsheet!AB181,AB$7&lt;(SAP_Leadsheet!$E$21+12),$E300*AB181)</f>
        <v>3.1703824471387876E-3</v>
      </c>
      <c r="AC300" s="302" cm="1">
        <f t="array" aca="1" ref="AC300" ca="1">_xlfn.IFS(AC$7&gt;(SAP_Leadsheet!$E$21+12),0,AC$7=(SAP_Leadsheet!$E$21+12),SAP_Spreadsheet!AC181,AC$7&lt;(SAP_Leadsheet!$E$21+12),$E300*AC181)</f>
        <v>3.1697602913743467E-3</v>
      </c>
      <c r="AD300" s="302" cm="1">
        <f t="array" aca="1" ref="AD300" ca="1">_xlfn.IFS(AD$7&gt;(SAP_Leadsheet!$E$21+12),0,AD$7=(SAP_Leadsheet!$E$21+12),SAP_Spreadsheet!AD181,AD$7&lt;(SAP_Leadsheet!$E$21+12),$E300*AD181)</f>
        <v>3.0254755467107727E-3</v>
      </c>
      <c r="AE300" s="302" cm="1">
        <f t="array" aca="1" ref="AE300" ca="1">_xlfn.IFS(AE$7&gt;(SAP_Leadsheet!$E$21+12),0,AE$7=(SAP_Leadsheet!$E$21+12),SAP_Spreadsheet!AE181,AE$7&lt;(SAP_Leadsheet!$E$21+12),$E300*AE181)</f>
        <v>3.0872871435413374E-3</v>
      </c>
      <c r="AF300" s="302" cm="1">
        <f t="array" aca="1" ref="AF300" ca="1">_xlfn.IFS(AF$7&gt;(SAP_Leadsheet!$E$21+12),0,AF$7=(SAP_Leadsheet!$E$21+12),SAP_Spreadsheet!AF181,AF$7&lt;(SAP_Leadsheet!$E$21+12),$E300*AF181)</f>
        <v>3.2771583768459148E-3</v>
      </c>
      <c r="AG300" s="302" cm="1">
        <f t="array" aca="1" ref="AG300" ca="1">_xlfn.IFS(AG$7&gt;(SAP_Leadsheet!$E$21+12),0,AG$7=(SAP_Leadsheet!$E$21+12),SAP_Spreadsheet!AG181,AG$7&lt;(SAP_Leadsheet!$E$21+12),$E300*AG181)</f>
        <v>3.3944379444645571E-3</v>
      </c>
      <c r="AH300" s="302" cm="1">
        <f t="array" aca="1" ref="AH300" ca="1">_xlfn.IFS(AH$7&gt;(SAP_Leadsheet!$E$21+12),0,AH$7=(SAP_Leadsheet!$E$21+12),SAP_Spreadsheet!AH181,AH$7&lt;(SAP_Leadsheet!$E$21+12),$E300*AH181)</f>
        <v>3.4111353142837258E-3</v>
      </c>
      <c r="AI300" s="302" cm="1">
        <f t="array" aca="1" ref="AI300" ca="1">_xlfn.IFS(AI$7&gt;(SAP_Leadsheet!$E$21+12),0,AI$7=(SAP_Leadsheet!$E$21+12),SAP_Spreadsheet!AI181,AI$7&lt;(SAP_Leadsheet!$E$21+12),$E300*AI181)</f>
        <v>3.3620305798061001E-3</v>
      </c>
      <c r="AJ300" s="302" cm="1">
        <f t="array" aca="1" ref="AJ300" ca="1">_xlfn.IFS(AJ$7&gt;(SAP_Leadsheet!$E$21+12),0,AJ$7=(SAP_Leadsheet!$E$21+12),SAP_Spreadsheet!AJ181,AJ$7&lt;(SAP_Leadsheet!$E$21+12),$E300*AJ181)</f>
        <v>3.2838388105588517E-3</v>
      </c>
      <c r="AK300" s="302" cm="1">
        <f t="array" aca="1" ref="AK300" ca="1">_xlfn.IFS(AK$7&gt;(SAP_Leadsheet!$E$21+12),0,AK$7=(SAP_Leadsheet!$E$21+12),SAP_Spreadsheet!AK181,AK$7&lt;(SAP_Leadsheet!$E$21+12),$E300*AK181)</f>
        <v>3.1975806789858235E-3</v>
      </c>
      <c r="AL300" s="302" cm="1">
        <f t="array" aca="1" ref="AL300" ca="1">_xlfn.IFS(AL$7&gt;(SAP_Leadsheet!$E$21+12),0,AL$7=(SAP_Leadsheet!$E$21+12),SAP_Spreadsheet!AL181,AL$7&lt;(SAP_Leadsheet!$E$21+12),$E300*AL181)</f>
        <v>3.218232254703897E-3</v>
      </c>
      <c r="AM300" s="302" cm="1">
        <f t="array" aca="1" ref="AM300" ca="1">_xlfn.IFS(AM$7&gt;(SAP_Leadsheet!$E$21+12),0,AM$7=(SAP_Leadsheet!$E$21+12),SAP_Spreadsheet!AM181,AM$7&lt;(SAP_Leadsheet!$E$21+12),$E300*AM181)</f>
        <v>3.1173018256403029E-3</v>
      </c>
      <c r="AN300" s="302" cm="1">
        <f t="array" aca="1" ref="AN300" ca="1">_xlfn.IFS(AN$7&gt;(SAP_Leadsheet!$E$21+12),0,AN$7=(SAP_Leadsheet!$E$21+12),SAP_Spreadsheet!AN181,AN$7&lt;(SAP_Leadsheet!$E$21+12),$E300*AN181)</f>
        <v>2.9897830051364635E-3</v>
      </c>
      <c r="AO300" s="302" cm="1">
        <f t="array" aca="1" ref="AO300" ca="1">_xlfn.IFS(AO$7&gt;(SAP_Leadsheet!$E$21+12),0,AO$7=(SAP_Leadsheet!$E$21+12),SAP_Spreadsheet!AO181,AO$7&lt;(SAP_Leadsheet!$E$21+12),$E300*AO181)</f>
        <v>2.8721998550349337E-3</v>
      </c>
      <c r="AP300" s="302" cm="1">
        <f t="array" aca="1" ref="AP300" ca="1">_xlfn.IFS(AP$7&gt;(SAP_Leadsheet!$E$21+12),0,AP$7=(SAP_Leadsheet!$E$21+12),SAP_Spreadsheet!AP181,AP$7&lt;(SAP_Leadsheet!$E$21+12),$E300*AP181)</f>
        <v>2.7720074621263389E-3</v>
      </c>
      <c r="AQ300" s="302" cm="1">
        <f t="array" aca="1" ref="AQ300" ca="1">_xlfn.IFS(AQ$7&gt;(SAP_Leadsheet!$E$21+12),0,AQ$7=(SAP_Leadsheet!$E$21+12),SAP_Spreadsheet!AQ181,AQ$7&lt;(SAP_Leadsheet!$E$21+12),$E300*AQ181)</f>
        <v>2.7106478136279086E-3</v>
      </c>
      <c r="AR300" s="302" cm="1">
        <f t="array" aca="1" ref="AR300" ca="1">_xlfn.IFS(AR$7&gt;(SAP_Leadsheet!$E$21+12),0,AR$7=(SAP_Leadsheet!$E$21+12),SAP_Spreadsheet!AR181,AR$7&lt;(SAP_Leadsheet!$E$21+12),$E300*AR181)</f>
        <v>2.6605029297965261E-3</v>
      </c>
      <c r="AS300" s="302" cm="1">
        <f t="array" aca="1" ref="AS300" ca="1">_xlfn.IFS(AS$7&gt;(SAP_Leadsheet!$E$21+12),0,AS$7=(SAP_Leadsheet!$E$21+12),SAP_Spreadsheet!AS181,AS$7&lt;(SAP_Leadsheet!$E$21+12),$E300*AS181)</f>
        <v>2.6157843042698831E-3</v>
      </c>
      <c r="AT300" s="302" cm="1">
        <f t="array" aca="1" ref="AT300" ca="1">_xlfn.IFS(AT$7&gt;(SAP_Leadsheet!$E$21+12),0,AT$7=(SAP_Leadsheet!$E$21+12),SAP_Spreadsheet!AT181,AT$7&lt;(SAP_Leadsheet!$E$21+12),$E300*AT181)</f>
        <v>2.5721561493247734E-3</v>
      </c>
      <c r="AU300" s="302" cm="1">
        <f t="array" aca="1" ref="AU300" ca="1">_xlfn.IFS(AU$7&gt;(SAP_Leadsheet!$E$21+12),0,AU$7=(SAP_Leadsheet!$E$21+12),SAP_Spreadsheet!AU181,AU$7&lt;(SAP_Leadsheet!$E$21+12),$E300*AU181)</f>
        <v>2.5279607107561129E-3</v>
      </c>
      <c r="AV300" s="302" cm="1">
        <f t="array" aca="1" ref="AV300" ca="1">_xlfn.IFS(AV$7&gt;(SAP_Leadsheet!$E$21+12),0,AV$7=(SAP_Leadsheet!$E$21+12),SAP_Spreadsheet!AV181,AV$7&lt;(SAP_Leadsheet!$E$21+12),$E300*AV181)</f>
        <v>2.4829600566107168E-3</v>
      </c>
      <c r="AW300" s="302" cm="1">
        <f t="array" aca="1" ref="AW300" ca="1">_xlfn.IFS(AW$7&gt;(SAP_Leadsheet!$E$21+12),0,AW$7=(SAP_Leadsheet!$E$21+12),SAP_Spreadsheet!AW181,AW$7&lt;(SAP_Leadsheet!$E$21+12),$E300*AW181)</f>
        <v>2.4367899270412671E-3</v>
      </c>
      <c r="AX300" s="302" cm="1">
        <f t="array" aca="1" ref="AX300" ca="1">_xlfn.IFS(AX$7&gt;(SAP_Leadsheet!$E$21+12),0,AX$7=(SAP_Leadsheet!$E$21+12),SAP_Spreadsheet!AX181,AX$7&lt;(SAP_Leadsheet!$E$21+12),$E300*AX181)</f>
        <v>2.3888830594213542E-3</v>
      </c>
      <c r="AY300" s="302" cm="1">
        <f t="array" aca="1" ref="AY300" ca="1">_xlfn.IFS(AY$7&gt;(SAP_Leadsheet!$E$21+12),0,AY$7=(SAP_Leadsheet!$E$21+12),SAP_Spreadsheet!AY181,AY$7&lt;(SAP_Leadsheet!$E$21+12),$E300*AY181)</f>
        <v>2.3373851813524816E-3</v>
      </c>
      <c r="AZ300" s="302" cm="1">
        <f t="array" aca="1" ref="AZ300" ca="1">_xlfn.IFS(AZ$7&gt;(SAP_Leadsheet!$E$21+12),0,AZ$7=(SAP_Leadsheet!$E$21+12),SAP_Spreadsheet!AZ181,AZ$7&lt;(SAP_Leadsheet!$E$21+12),$E300*AZ181)</f>
        <v>2.2805770547942956E-3</v>
      </c>
      <c r="BA300" s="302" cm="1">
        <f t="array" aca="1" ref="BA300" ca="1">_xlfn.IFS(BA$7&gt;(SAP_Leadsheet!$E$21+12),0,BA$7=(SAP_Leadsheet!$E$21+12),SAP_Spreadsheet!BA181,BA$7&lt;(SAP_Leadsheet!$E$21+12),$E300*BA181)</f>
        <v>2.2201763715257493E-3</v>
      </c>
      <c r="BB300" s="302" cm="1">
        <f t="array" aca="1" ref="BB300" ca="1">_xlfn.IFS(BB$7&gt;(SAP_Leadsheet!$E$21+12),0,BB$7=(SAP_Leadsheet!$E$21+12),SAP_Spreadsheet!BB181,BB$7&lt;(SAP_Leadsheet!$E$21+12),$E300*BB181)</f>
        <v>2.1581550627283439E-3</v>
      </c>
      <c r="BC300" s="302" cm="1">
        <f t="array" aca="1" ref="BC300" ca="1">_xlfn.IFS(BC$7&gt;(SAP_Leadsheet!$E$21+12),0,BC$7=(SAP_Leadsheet!$E$21+12),SAP_Spreadsheet!BC181,BC$7&lt;(SAP_Leadsheet!$E$21+12),$E300*BC181)</f>
        <v>2.1040625391813409E-3</v>
      </c>
      <c r="BD300" s="302" cm="1">
        <f t="array" aca="1" ref="BD300" ca="1">_xlfn.IFS(BD$7&gt;(SAP_Leadsheet!$E$21+12),0,BD$7=(SAP_Leadsheet!$E$21+12),SAP_Spreadsheet!BD181,BD$7&lt;(SAP_Leadsheet!$E$21+12),$E300*BD181)</f>
        <v>2.0501036389779918E-3</v>
      </c>
      <c r="BE300" s="302" cm="1">
        <f t="array" aca="1" ref="BE300" ca="1">_xlfn.IFS(BE$7&gt;(SAP_Leadsheet!$E$21+12),0,BE$7=(SAP_Leadsheet!$E$21+12),SAP_Spreadsheet!BE181,BE$7&lt;(SAP_Leadsheet!$E$21+12),$E300*BE181)</f>
        <v>1.9966223850935985E-3</v>
      </c>
      <c r="BF300" s="302" cm="1">
        <f t="array" aca="1" ref="BF300" ca="1">_xlfn.IFS(BF$7&gt;(SAP_Leadsheet!$E$21+12),0,BF$7=(SAP_Leadsheet!$E$21+12),SAP_Spreadsheet!BF181,BF$7&lt;(SAP_Leadsheet!$E$21+12),$E300*BF181)</f>
        <v>1.9433934567853225E-3</v>
      </c>
      <c r="BG300" s="302" cm="1">
        <f t="array" aca="1" ref="BG300" ca="1">_xlfn.IFS(BG$7&gt;(SAP_Leadsheet!$E$21+12),0,BG$7=(SAP_Leadsheet!$E$21+12),SAP_Spreadsheet!BG181,BG$7&lt;(SAP_Leadsheet!$E$21+12),$E300*BG181)</f>
        <v>1.8902786604909063E-3</v>
      </c>
      <c r="BH300" s="302" cm="1">
        <f t="array" aca="1" ref="BH300" ca="1">_xlfn.IFS(BH$7&gt;(SAP_Leadsheet!$E$21+12),0,BH$7=(SAP_Leadsheet!$E$21+12),SAP_Spreadsheet!BH181,BH$7&lt;(SAP_Leadsheet!$E$21+12),$E300*BH181)</f>
        <v>1.8371110041599055E-3</v>
      </c>
      <c r="BI300" s="302" cm="1">
        <f t="array" aca="1" ref="BI300" ca="1">_xlfn.IFS(BI$7&gt;(SAP_Leadsheet!$E$21+12),0,BI$7=(SAP_Leadsheet!$E$21+12),SAP_Spreadsheet!BI181,BI$7&lt;(SAP_Leadsheet!$E$21+12),$E300*BI181)</f>
        <v>1.7838095145216424E-3</v>
      </c>
      <c r="BJ300" s="302" cm="1">
        <f t="array" aca="1" ref="BJ300" ca="1">_xlfn.IFS(BJ$7&gt;(SAP_Leadsheet!$E$21+12),0,BJ$7=(SAP_Leadsheet!$E$21+12),SAP_Spreadsheet!BJ181,BJ$7&lt;(SAP_Leadsheet!$E$21+12),$E300*BJ181)</f>
        <v>1.730361628664004E-3</v>
      </c>
      <c r="BK300" s="302" cm="1">
        <f t="array" aca="1" ref="BK300" ca="1">_xlfn.IFS(BK$7&gt;(SAP_Leadsheet!$E$21+12),0,BK$7=(SAP_Leadsheet!$E$21+12),SAP_Spreadsheet!BK181,BK$7&lt;(SAP_Leadsheet!$E$21+12),$E300*BK181)</f>
        <v>1.6761383341031143E-3</v>
      </c>
      <c r="BL300" s="302" cm="1">
        <f t="array" aca="1" ref="BL300" ca="1">_xlfn.IFS(BL$7&gt;(SAP_Leadsheet!$E$21+12),0,BL$7=(SAP_Leadsheet!$E$21+12),SAP_Spreadsheet!BL181,BL$7&lt;(SAP_Leadsheet!$E$21+12),$E300*BL181)</f>
        <v>1.6201158467423163E-3</v>
      </c>
      <c r="BM300" s="302" cm="1">
        <f t="array" aca="1" ref="BM300" ca="1">_xlfn.IFS(BM$7&gt;(SAP_Leadsheet!$E$21+12),0,BM$7=(SAP_Leadsheet!$E$21+12),SAP_Spreadsheet!BM181,BM$7&lt;(SAP_Leadsheet!$E$21+12),$E300*BM181)</f>
        <v>1.5627744534189166E-3</v>
      </c>
      <c r="BN300" s="302" cm="1">
        <f t="array" aca="1" ref="BN300" ca="1">_xlfn.IFS(BN$7&gt;(SAP_Leadsheet!$E$21+12),0,BN$7=(SAP_Leadsheet!$E$21+12),SAP_Spreadsheet!BN181,BN$7&lt;(SAP_Leadsheet!$E$21+12),$E300*BN181)</f>
        <v>1.5047898313224903E-3</v>
      </c>
      <c r="BO300" s="302" cm="1">
        <f t="array" ref="BO300">_xlfn.IFS(BO$7&gt;(SAP_Leadsheet!$E$21+12),0,BO$7=(SAP_Leadsheet!$E$21+12),SAP_Spreadsheet!BO181,BO$7&lt;(SAP_Leadsheet!$E$21+12),$E300*BO181)</f>
        <v>0</v>
      </c>
      <c r="BP300" s="302" cm="1">
        <f t="array" ref="BP300">_xlfn.IFS(BP$7&gt;(SAP_Leadsheet!$E$21+12),0,BP$7=(SAP_Leadsheet!$E$21+12),SAP_Spreadsheet!BP181,BP$7&lt;(SAP_Leadsheet!$E$21+12),$E300*BP181)</f>
        <v>0</v>
      </c>
      <c r="BQ300" s="302" cm="1">
        <f t="array" ref="BQ300">_xlfn.IFS(BQ$7&gt;(SAP_Leadsheet!$E$21+12),0,BQ$7=(SAP_Leadsheet!$E$21+12),SAP_Spreadsheet!BQ181,BQ$7&lt;(SAP_Leadsheet!$E$21+12),$E300*BQ181)</f>
        <v>0</v>
      </c>
      <c r="BR300" s="302" cm="1">
        <f t="array" ref="BR300">_xlfn.IFS(BR$7&gt;(SAP_Leadsheet!$E$21+12),0,BR$7=(SAP_Leadsheet!$E$21+12),SAP_Spreadsheet!BR181,BR$7&lt;(SAP_Leadsheet!$E$21+12),$E300*BR181)</f>
        <v>0</v>
      </c>
      <c r="BS300" s="302" cm="1">
        <f t="array" ref="BS300">_xlfn.IFS(BS$7&gt;(SAP_Leadsheet!$E$21+12),0,BS$7=(SAP_Leadsheet!$E$21+12),SAP_Spreadsheet!BS181,BS$7&lt;(SAP_Leadsheet!$E$21+12),$E300*BS181)</f>
        <v>0</v>
      </c>
      <c r="BT300" s="302" cm="1">
        <f t="array" ref="BT300">_xlfn.IFS(BT$7&gt;(SAP_Leadsheet!$E$21+12),0,BT$7=(SAP_Leadsheet!$E$21+12),SAP_Spreadsheet!BT181,BT$7&lt;(SAP_Leadsheet!$E$21+12),$E300*BT181)</f>
        <v>0</v>
      </c>
      <c r="BU300" s="302" cm="1">
        <f t="array" ref="BU300">_xlfn.IFS(BU$7&gt;(SAP_Leadsheet!$E$21+12),0,BU$7=(SAP_Leadsheet!$E$21+12),SAP_Spreadsheet!BU181,BU$7&lt;(SAP_Leadsheet!$E$21+12),$E300*BU181)</f>
        <v>0</v>
      </c>
      <c r="BV300" s="302" cm="1">
        <f t="array" ref="BV300">_xlfn.IFS(BV$7&gt;(SAP_Leadsheet!$E$21+12),0,BV$7=(SAP_Leadsheet!$E$21+12),SAP_Spreadsheet!BV181,BV$7&lt;(SAP_Leadsheet!$E$21+12),$E300*BV181)</f>
        <v>0</v>
      </c>
      <c r="BW300" s="302" cm="1">
        <f t="array" ref="BW300">_xlfn.IFS(BW$7&gt;(SAP_Leadsheet!$E$21+12),0,BW$7=(SAP_Leadsheet!$E$21+12),SAP_Spreadsheet!BW181,BW$7&lt;(SAP_Leadsheet!$E$21+12),$E300*BW181)</f>
        <v>0</v>
      </c>
      <c r="BX300" s="302" cm="1">
        <f t="array" ref="BX300">_xlfn.IFS(BX$7&gt;(SAP_Leadsheet!$E$21+12),0,BX$7=(SAP_Leadsheet!$E$21+12),SAP_Spreadsheet!BX181,BX$7&lt;(SAP_Leadsheet!$E$21+12),$E300*BX181)</f>
        <v>0</v>
      </c>
      <c r="BY300" s="302" cm="1">
        <f t="array" ref="BY300">_xlfn.IFS(BY$7&gt;(SAP_Leadsheet!$E$21+12),0,BY$7=(SAP_Leadsheet!$E$21+12),SAP_Spreadsheet!BY181,BY$7&lt;(SAP_Leadsheet!$E$21+12),$E300*BY181)</f>
        <v>0</v>
      </c>
      <c r="BZ300" s="302" cm="1">
        <f t="array" ref="BZ300">_xlfn.IFS(BZ$7&gt;(SAP_Leadsheet!$E$21+12),0,BZ$7=(SAP_Leadsheet!$E$21+12),SAP_Spreadsheet!BZ181,BZ$7&lt;(SAP_Leadsheet!$E$21+12),$E300*BZ181)</f>
        <v>0</v>
      </c>
      <c r="CA300" s="263"/>
      <c r="CB300" s="263"/>
      <c r="CC300" s="263"/>
      <c r="CD300" s="263"/>
      <c r="CE300" s="263"/>
      <c r="CF300" s="263"/>
      <c r="CG300" s="263"/>
      <c r="CH300" s="263"/>
      <c r="CI300" s="263"/>
      <c r="CJ300" s="263"/>
      <c r="CK300" s="263"/>
      <c r="CL300" s="263"/>
      <c r="CM300" s="263"/>
      <c r="CN300" s="263"/>
      <c r="CO300" s="263"/>
      <c r="CP300" s="263"/>
      <c r="CQ300" s="263"/>
      <c r="CR300" s="263"/>
      <c r="CS300" s="263"/>
      <c r="CT300" s="263"/>
      <c r="CU300" s="263"/>
      <c r="CV300" s="263"/>
      <c r="CW300" s="263"/>
      <c r="CX300" s="263"/>
      <c r="CY300" s="263"/>
      <c r="CZ300" s="263"/>
      <c r="DA300" s="263"/>
      <c r="DB300" s="263"/>
      <c r="DC300" s="263"/>
      <c r="DD300" s="263"/>
      <c r="DE300" s="263"/>
      <c r="DF300" s="263"/>
      <c r="DG300" s="263"/>
      <c r="DH300" s="263"/>
      <c r="DI300" s="263"/>
      <c r="DJ300" s="263"/>
      <c r="DK300" s="263"/>
      <c r="DL300" s="263"/>
      <c r="DM300" s="263"/>
      <c r="DN300" s="263"/>
      <c r="DO300" s="263"/>
      <c r="DP300" s="263"/>
      <c r="DQ300" s="263"/>
      <c r="DR300" s="263"/>
      <c r="DS300" s="263"/>
      <c r="DT300" s="263"/>
      <c r="DU300" s="263"/>
      <c r="DV300" s="263"/>
      <c r="DW300" s="263"/>
      <c r="DX300" s="263"/>
      <c r="DY300" s="263"/>
      <c r="DZ300" s="263"/>
      <c r="EA300" s="263"/>
      <c r="EB300" s="263"/>
      <c r="EC300" s="263"/>
      <c r="ED300" s="263"/>
      <c r="EE300" s="263"/>
      <c r="EF300" s="263"/>
      <c r="EG300" s="263"/>
      <c r="EH300" s="263"/>
      <c r="EI300" s="263"/>
      <c r="EJ300" s="263"/>
      <c r="EK300" s="263"/>
      <c r="EL300" s="263"/>
      <c r="EM300" s="263"/>
      <c r="EN300" s="263"/>
      <c r="EO300" s="263"/>
      <c r="EP300" s="263"/>
      <c r="EQ300" s="263"/>
      <c r="ER300" s="263"/>
      <c r="ES300" s="263"/>
      <c r="ET300" s="263"/>
      <c r="EU300" s="263"/>
      <c r="EV300" s="263"/>
      <c r="EW300" s="263"/>
      <c r="EX300" s="263"/>
      <c r="EY300" s="263"/>
      <c r="EZ300" s="263"/>
      <c r="FA300" s="263"/>
      <c r="FB300" s="263"/>
      <c r="FC300" s="263"/>
      <c r="FD300" s="263"/>
      <c r="FE300" s="263"/>
      <c r="FF300" s="263"/>
      <c r="FG300" s="263"/>
      <c r="FH300" s="263"/>
      <c r="FI300" s="263"/>
      <c r="FJ300" s="263"/>
      <c r="FK300" s="263"/>
      <c r="FL300" s="263"/>
      <c r="FM300" s="263"/>
      <c r="FN300" s="263"/>
      <c r="FO300" s="263"/>
      <c r="FP300" s="263"/>
      <c r="FQ300" s="263"/>
      <c r="FR300" s="263"/>
      <c r="FS300" s="263"/>
      <c r="FT300" s="263"/>
      <c r="FU300" s="263"/>
      <c r="FV300" s="263"/>
      <c r="FW300" s="263"/>
      <c r="FX300" s="263"/>
      <c r="FY300" s="263"/>
      <c r="FZ300" s="263"/>
      <c r="GA300" s="263"/>
      <c r="GB300" s="263"/>
      <c r="GC300" s="263"/>
      <c r="GD300" s="263"/>
      <c r="GE300" s="263"/>
      <c r="GF300" s="263"/>
      <c r="GG300" s="263"/>
      <c r="GH300" s="263"/>
      <c r="GI300" s="263"/>
      <c r="GJ300" s="263"/>
      <c r="GK300" s="263"/>
      <c r="GL300" s="263"/>
      <c r="GM300" s="263"/>
      <c r="GN300" s="263"/>
      <c r="GO300" s="263"/>
      <c r="GP300" s="263"/>
      <c r="GQ300" s="263"/>
      <c r="GR300" s="263"/>
      <c r="GS300" s="263"/>
      <c r="GT300" s="263"/>
      <c r="GU300" s="263"/>
      <c r="GV300" s="263"/>
      <c r="GW300" s="263"/>
      <c r="GX300" s="263"/>
      <c r="GY300" s="263"/>
    </row>
    <row r="301" spans="1:207" x14ac:dyDescent="0.15">
      <c r="A301" s="62"/>
      <c r="C301" s="23"/>
      <c r="D301" s="26" t="s">
        <v>412</v>
      </c>
      <c r="E301" s="39">
        <v>5.7500000000000002E-2</v>
      </c>
      <c r="F301" s="80"/>
      <c r="G301" s="302" cm="1">
        <f t="array" ref="G301">_xlfn.IFS(G$7&gt;(SAP_Leadsheet!$E$21+12),0,G$7=(SAP_Leadsheet!$E$21+12),SAP_Spreadsheet!G182,G$7&lt;(SAP_Leadsheet!$E$21+12),$E301*G182)</f>
        <v>0</v>
      </c>
      <c r="H301" s="302" cm="1">
        <f t="array" aca="1" ref="H301" ca="1">_xlfn.IFS(H$7&gt;(SAP_Leadsheet!$E$21+12),0,H$7=(SAP_Leadsheet!$E$21+12),SAP_Spreadsheet!H182,H$7&lt;(SAP_Leadsheet!$E$21+12),$E301*H182)</f>
        <v>1.7092349595800923E-3</v>
      </c>
      <c r="I301" s="302" cm="1">
        <f t="array" aca="1" ref="I301" ca="1">_xlfn.IFS(I$7&gt;(SAP_Leadsheet!$E$21+12),0,I$7=(SAP_Leadsheet!$E$21+12),SAP_Spreadsheet!I182,I$7&lt;(SAP_Leadsheet!$E$21+12),$E301*I182)</f>
        <v>3.0129422130151934E-3</v>
      </c>
      <c r="J301" s="302" cm="1">
        <f t="array" aca="1" ref="J301" ca="1">_xlfn.IFS(J$7&gt;(SAP_Leadsheet!$E$21+12),0,J$7=(SAP_Leadsheet!$E$21+12),SAP_Spreadsheet!J182,J$7&lt;(SAP_Leadsheet!$E$21+12),$E301*J182)</f>
        <v>3.5441450958932801E-3</v>
      </c>
      <c r="K301" s="302" cm="1">
        <f t="array" aca="1" ref="K301" ca="1">_xlfn.IFS(K$7&gt;(SAP_Leadsheet!$E$21+12),0,K$7=(SAP_Leadsheet!$E$21+12),SAP_Spreadsheet!K182,K$7&lt;(SAP_Leadsheet!$E$21+12),$E301*K182)</f>
        <v>3.525574464600278E-3</v>
      </c>
      <c r="L301" s="302" cm="1">
        <f t="array" aca="1" ref="L301" ca="1">_xlfn.IFS(L$7&gt;(SAP_Leadsheet!$E$21+12),0,L$7=(SAP_Leadsheet!$E$21+12),SAP_Spreadsheet!L182,L$7&lt;(SAP_Leadsheet!$E$21+12),$E301*L182)</f>
        <v>3.241837330447707E-3</v>
      </c>
      <c r="M301" s="302" cm="1">
        <f t="array" aca="1" ref="M301" ca="1">_xlfn.IFS(M$7&gt;(SAP_Leadsheet!$E$21+12),0,M$7=(SAP_Leadsheet!$E$21+12),SAP_Spreadsheet!M182,M$7&lt;(SAP_Leadsheet!$E$21+12),$E301*M182)</f>
        <v>2.8801508051296654E-3</v>
      </c>
      <c r="N301" s="302" cm="1">
        <f t="array" aca="1" ref="N301" ca="1">_xlfn.IFS(N$7&gt;(SAP_Leadsheet!$E$21+12),0,N$7=(SAP_Leadsheet!$E$21+12),SAP_Spreadsheet!N182,N$7&lt;(SAP_Leadsheet!$E$21+12),$E301*N182)</f>
        <v>2.4406859833788408E-3</v>
      </c>
      <c r="O301" s="302" cm="1">
        <f t="array" aca="1" ref="O301" ca="1">_xlfn.IFS(O$7&gt;(SAP_Leadsheet!$E$21+12),0,O$7=(SAP_Leadsheet!$E$21+12),SAP_Spreadsheet!O182,O$7&lt;(SAP_Leadsheet!$E$21+12),$E301*O182)</f>
        <v>2.117088064046571E-3</v>
      </c>
      <c r="P301" s="302" cm="1">
        <f t="array" aca="1" ref="P301" ca="1">_xlfn.IFS(P$7&gt;(SAP_Leadsheet!$E$21+12),0,P$7=(SAP_Leadsheet!$E$21+12),SAP_Spreadsheet!P182,P$7&lt;(SAP_Leadsheet!$E$21+12),$E301*P182)</f>
        <v>1.8533405278711263E-3</v>
      </c>
      <c r="Q301" s="302" cm="1">
        <f t="array" aca="1" ref="Q301" ca="1">_xlfn.IFS(Q$7&gt;(SAP_Leadsheet!$E$21+12),0,Q$7=(SAP_Leadsheet!$E$21+12),SAP_Spreadsheet!Q182,Q$7&lt;(SAP_Leadsheet!$E$21+12),$E301*Q182)</f>
        <v>1.6344024191608712E-3</v>
      </c>
      <c r="R301" s="302" cm="1">
        <f t="array" aca="1" ref="R301" ca="1">_xlfn.IFS(R$7&gt;(SAP_Leadsheet!$E$21+12),0,R$7=(SAP_Leadsheet!$E$21+12),SAP_Spreadsheet!R182,R$7&lt;(SAP_Leadsheet!$E$21+12),$E301*R182)</f>
        <v>1.4739693392931252E-3</v>
      </c>
      <c r="S301" s="302" cm="1">
        <f t="array" aca="1" ref="S301" ca="1">_xlfn.IFS(S$7&gt;(SAP_Leadsheet!$E$21+12),0,S$7=(SAP_Leadsheet!$E$21+12),SAP_Spreadsheet!S182,S$7&lt;(SAP_Leadsheet!$E$21+12),$E301*S182)</f>
        <v>7.4026627624265034E-4</v>
      </c>
      <c r="T301" s="302" cm="1">
        <f t="array" aca="1" ref="T301" ca="1">_xlfn.IFS(T$7&gt;(SAP_Leadsheet!$E$21+12),0,T$7=(SAP_Leadsheet!$E$21+12),SAP_Spreadsheet!T182,T$7&lt;(SAP_Leadsheet!$E$21+12),$E301*T182)</f>
        <v>7.5993505111401948E-4</v>
      </c>
      <c r="U301" s="302" cm="1">
        <f t="array" aca="1" ref="U301" ca="1">_xlfn.IFS(U$7&gt;(SAP_Leadsheet!$E$21+12),0,U$7=(SAP_Leadsheet!$E$21+12),SAP_Spreadsheet!U182,U$7&lt;(SAP_Leadsheet!$E$21+12),$E301*U182)</f>
        <v>8.7450826256707124E-4</v>
      </c>
      <c r="V301" s="302" cm="1">
        <f t="array" aca="1" ref="V301" ca="1">_xlfn.IFS(V$7&gt;(SAP_Leadsheet!$E$21+12),0,V$7=(SAP_Leadsheet!$E$21+12),SAP_Spreadsheet!V182,V$7&lt;(SAP_Leadsheet!$E$21+12),$E301*V182)</f>
        <v>9.0182124663695763E-4</v>
      </c>
      <c r="W301" s="302" cm="1">
        <f t="array" aca="1" ref="W301" ca="1">_xlfn.IFS(W$7&gt;(SAP_Leadsheet!$E$21+12),0,W$7=(SAP_Leadsheet!$E$21+12),SAP_Spreadsheet!W182,W$7&lt;(SAP_Leadsheet!$E$21+12),$E301*W182)</f>
        <v>8.5866585739359947E-4</v>
      </c>
      <c r="X301" s="302" cm="1">
        <f t="array" aca="1" ref="X301" ca="1">_xlfn.IFS(X$7&gt;(SAP_Leadsheet!$E$21+12),0,X$7=(SAP_Leadsheet!$E$21+12),SAP_Spreadsheet!X182,X$7&lt;(SAP_Leadsheet!$E$21+12),$E301*X182)</f>
        <v>8.6955627986165821E-4</v>
      </c>
      <c r="Y301" s="302" cm="1">
        <f t="array" aca="1" ref="Y301" ca="1">_xlfn.IFS(Y$7&gt;(SAP_Leadsheet!$E$21+12),0,Y$7=(SAP_Leadsheet!$E$21+12),SAP_Spreadsheet!Y182,Y$7&lt;(SAP_Leadsheet!$E$21+12),$E301*Y182)</f>
        <v>8.9124137946000549E-4</v>
      </c>
      <c r="Z301" s="302" cm="1">
        <f t="array" aca="1" ref="Z301" ca="1">_xlfn.IFS(Z$7&gt;(SAP_Leadsheet!$E$21+12),0,Z$7=(SAP_Leadsheet!$E$21+12),SAP_Spreadsheet!Z182,Z$7&lt;(SAP_Leadsheet!$E$21+12),$E301*Z182)</f>
        <v>9.0285656937301646E-4</v>
      </c>
      <c r="AA301" s="302" cm="1">
        <f t="array" aca="1" ref="AA301" ca="1">_xlfn.IFS(AA$7&gt;(SAP_Leadsheet!$E$21+12),0,AA$7=(SAP_Leadsheet!$E$21+12),SAP_Spreadsheet!AA182,AA$7&lt;(SAP_Leadsheet!$E$21+12),$E301*AA182)</f>
        <v>8.9984920897693502E-4</v>
      </c>
      <c r="AB301" s="302" cm="1">
        <f t="array" aca="1" ref="AB301" ca="1">_xlfn.IFS(AB$7&gt;(SAP_Leadsheet!$E$21+12),0,AB$7=(SAP_Leadsheet!$E$21+12),SAP_Spreadsheet!AB182,AB$7&lt;(SAP_Leadsheet!$E$21+12),$E301*AB182)</f>
        <v>8.8091778644461879E-4</v>
      </c>
      <c r="AC301" s="302" cm="1">
        <f t="array" aca="1" ref="AC301" ca="1">_xlfn.IFS(AC$7&gt;(SAP_Leadsheet!$E$21+12),0,AC$7=(SAP_Leadsheet!$E$21+12),SAP_Spreadsheet!AC182,AC$7&lt;(SAP_Leadsheet!$E$21+12),$E301*AC182)</f>
        <v>8.5071928998224156E-4</v>
      </c>
      <c r="AD301" s="302" cm="1">
        <f t="array" aca="1" ref="AD301" ca="1">_xlfn.IFS(AD$7&gt;(SAP_Leadsheet!$E$21+12),0,AD$7=(SAP_Leadsheet!$E$21+12),SAP_Spreadsheet!AD182,AD$7&lt;(SAP_Leadsheet!$E$21+12),$E301*AD182)</f>
        <v>8.5055234485211645E-4</v>
      </c>
      <c r="AE301" s="302" cm="1">
        <f t="array" aca="1" ref="AE301" ca="1">_xlfn.IFS(AE$7&gt;(SAP_Leadsheet!$E$21+12),0,AE$7=(SAP_Leadsheet!$E$21+12),SAP_Spreadsheet!AE182,AE$7&lt;(SAP_Leadsheet!$E$21+12),$E301*AE182)</f>
        <v>6.9585937574347773E-4</v>
      </c>
      <c r="AF301" s="302" cm="1">
        <f t="array" aca="1" ref="AF301" ca="1">_xlfn.IFS(AF$7&gt;(SAP_Leadsheet!$E$21+12),0,AF$7=(SAP_Leadsheet!$E$21+12),SAP_Spreadsheet!AF182,AF$7&lt;(SAP_Leadsheet!$E$21+12),$E301*AF182)</f>
        <v>7.1007604301450767E-4</v>
      </c>
      <c r="AG301" s="302" cm="1">
        <f t="array" aca="1" ref="AG301" ca="1">_xlfn.IFS(AG$7&gt;(SAP_Leadsheet!$E$21+12),0,AG$7=(SAP_Leadsheet!$E$21+12),SAP_Spreadsheet!AG182,AG$7&lt;(SAP_Leadsheet!$E$21+12),$E301*AG182)</f>
        <v>7.5374642667456039E-4</v>
      </c>
      <c r="AH301" s="302" cm="1">
        <f t="array" aca="1" ref="AH301" ca="1">_xlfn.IFS(AH$7&gt;(SAP_Leadsheet!$E$21+12),0,AH$7=(SAP_Leadsheet!$E$21+12),SAP_Spreadsheet!AH182,AH$7&lt;(SAP_Leadsheet!$E$21+12),$E301*AH182)</f>
        <v>7.8072072722684812E-4</v>
      </c>
      <c r="AI301" s="302" cm="1">
        <f t="array" aca="1" ref="AI301" ca="1">_xlfn.IFS(AI$7&gt;(SAP_Leadsheet!$E$21+12),0,AI$7=(SAP_Leadsheet!$E$21+12),SAP_Spreadsheet!AI182,AI$7&lt;(SAP_Leadsheet!$E$21+12),$E301*AI182)</f>
        <v>7.8456112228525692E-4</v>
      </c>
      <c r="AJ301" s="302" cm="1">
        <f t="array" aca="1" ref="AJ301" ca="1">_xlfn.IFS(AJ$7&gt;(SAP_Leadsheet!$E$21+12),0,AJ$7=(SAP_Leadsheet!$E$21+12),SAP_Spreadsheet!AJ182,AJ$7&lt;(SAP_Leadsheet!$E$21+12),$E301*AJ182)</f>
        <v>7.7326703335540308E-4</v>
      </c>
      <c r="AK301" s="302" cm="1">
        <f t="array" aca="1" ref="AK301" ca="1">_xlfn.IFS(AK$7&gt;(SAP_Leadsheet!$E$21+12),0,AK$7=(SAP_Leadsheet!$E$21+12),SAP_Spreadsheet!AK182,AK$7&lt;(SAP_Leadsheet!$E$21+12),$E301*AK182)</f>
        <v>7.5528292642853591E-4</v>
      </c>
      <c r="AL301" s="302" cm="1">
        <f t="array" aca="1" ref="AL301" ca="1">_xlfn.IFS(AL$7&gt;(SAP_Leadsheet!$E$21+12),0,AL$7=(SAP_Leadsheet!$E$21+12),SAP_Spreadsheet!AL182,AL$7&lt;(SAP_Leadsheet!$E$21+12),$E301*AL182)</f>
        <v>7.3544355616673941E-4</v>
      </c>
      <c r="AM301" s="302" cm="1">
        <f t="array" aca="1" ref="AM301" ca="1">_xlfn.IFS(AM$7&gt;(SAP_Leadsheet!$E$21+12),0,AM$7=(SAP_Leadsheet!$E$21+12),SAP_Spreadsheet!AM182,AM$7&lt;(SAP_Leadsheet!$E$21+12),$E301*AM182)</f>
        <v>7.4019341858189635E-4</v>
      </c>
      <c r="AN301" s="302" cm="1">
        <f t="array" aca="1" ref="AN301" ca="1">_xlfn.IFS(AN$7&gt;(SAP_Leadsheet!$E$21+12),0,AN$7=(SAP_Leadsheet!$E$21+12),SAP_Spreadsheet!AN182,AN$7&lt;(SAP_Leadsheet!$E$21+12),$E301*AN182)</f>
        <v>7.169794198972697E-4</v>
      </c>
      <c r="AO301" s="302" cm="1">
        <f t="array" aca="1" ref="AO301" ca="1">_xlfn.IFS(AO$7&gt;(SAP_Leadsheet!$E$21+12),0,AO$7=(SAP_Leadsheet!$E$21+12),SAP_Spreadsheet!AO182,AO$7&lt;(SAP_Leadsheet!$E$21+12),$E301*AO182)</f>
        <v>6.876500911813866E-4</v>
      </c>
      <c r="AP301" s="302" cm="1">
        <f t="array" aca="1" ref="AP301" ca="1">_xlfn.IFS(AP$7&gt;(SAP_Leadsheet!$E$21+12),0,AP$7=(SAP_Leadsheet!$E$21+12),SAP_Spreadsheet!AP182,AP$7&lt;(SAP_Leadsheet!$E$21+12),$E301*AP182)</f>
        <v>6.6060596665803474E-4</v>
      </c>
      <c r="AQ301" s="302" cm="1">
        <f t="array" aca="1" ref="AQ301" ca="1">_xlfn.IFS(AQ$7&gt;(SAP_Leadsheet!$E$21+12),0,AQ$7=(SAP_Leadsheet!$E$21+12),SAP_Spreadsheet!AQ182,AQ$7&lt;(SAP_Leadsheet!$E$21+12),$E301*AQ182)</f>
        <v>5.3130143024088163E-4</v>
      </c>
      <c r="AR301" s="302" cm="1">
        <f t="array" aca="1" ref="AR301" ca="1">_xlfn.IFS(AR$7&gt;(SAP_Leadsheet!$E$21+12),0,AR$7=(SAP_Leadsheet!$E$21+12),SAP_Spreadsheet!AR182,AR$7&lt;(SAP_Leadsheet!$E$21+12),$E301*AR182)</f>
        <v>5.1954083094534918E-4</v>
      </c>
      <c r="AS301" s="302" cm="1">
        <f t="array" aca="1" ref="AS301" ca="1">_xlfn.IFS(AS$7&gt;(SAP_Leadsheet!$E$21+12),0,AS$7=(SAP_Leadsheet!$E$21+12),SAP_Spreadsheet!AS182,AS$7&lt;(SAP_Leadsheet!$E$21+12),$E301*AS182)</f>
        <v>5.0992972821100094E-4</v>
      </c>
      <c r="AT301" s="302" cm="1">
        <f t="array" aca="1" ref="AT301" ca="1">_xlfn.IFS(AT$7&gt;(SAP_Leadsheet!$E$21+12),0,AT$7=(SAP_Leadsheet!$E$21+12),SAP_Spreadsheet!AT182,AT$7&lt;(SAP_Leadsheet!$E$21+12),$E301*AT182)</f>
        <v>5.013586583183943E-4</v>
      </c>
      <c r="AU301" s="302" cm="1">
        <f t="array" aca="1" ref="AU301" ca="1">_xlfn.IFS(AU$7&gt;(SAP_Leadsheet!$E$21+12),0,AU$7=(SAP_Leadsheet!$E$21+12),SAP_Spreadsheet!AU182,AU$7&lt;(SAP_Leadsheet!$E$21+12),$E301*AU182)</f>
        <v>4.9299659528724831E-4</v>
      </c>
      <c r="AV301" s="302" cm="1">
        <f t="array" aca="1" ref="AV301" ca="1">_xlfn.IFS(AV$7&gt;(SAP_Leadsheet!$E$21+12),0,AV$7=(SAP_Leadsheet!$E$21+12),SAP_Spreadsheet!AV182,AV$7&lt;(SAP_Leadsheet!$E$21+12),$E301*AV182)</f>
        <v>4.8452580289492174E-4</v>
      </c>
      <c r="AW301" s="302" cm="1">
        <f t="array" aca="1" ref="AW301" ca="1">_xlfn.IFS(AW$7&gt;(SAP_Leadsheet!$E$21+12),0,AW$7=(SAP_Leadsheet!$E$21+12),SAP_Spreadsheet!AW182,AW$7&lt;(SAP_Leadsheet!$E$21+12),$E301*AW182)</f>
        <v>4.7590067751705409E-4</v>
      </c>
      <c r="AX301" s="302" cm="1">
        <f t="array" aca="1" ref="AX301" ca="1">_xlfn.IFS(AX$7&gt;(SAP_Leadsheet!$E$21+12),0,AX$7=(SAP_Leadsheet!$E$21+12),SAP_Spreadsheet!AX182,AX$7&lt;(SAP_Leadsheet!$E$21+12),$E301*AX182)</f>
        <v>4.670514026829096E-4</v>
      </c>
      <c r="AY301" s="302" cm="1">
        <f t="array" aca="1" ref="AY301" ca="1">_xlfn.IFS(AY$7&gt;(SAP_Leadsheet!$E$21+12),0,AY$7=(SAP_Leadsheet!$E$21+12),SAP_Spreadsheet!AY182,AY$7&lt;(SAP_Leadsheet!$E$21+12),$E301*AY182)</f>
        <v>4.5786925305575969E-4</v>
      </c>
      <c r="AZ301" s="302" cm="1">
        <f t="array" aca="1" ref="AZ301" ca="1">_xlfn.IFS(AZ$7&gt;(SAP_Leadsheet!$E$21+12),0,AZ$7=(SAP_Leadsheet!$E$21+12),SAP_Spreadsheet!AZ182,AZ$7&lt;(SAP_Leadsheet!$E$21+12),$E301*AZ182)</f>
        <v>4.4799882642589236E-4</v>
      </c>
      <c r="BA301" s="302" cm="1">
        <f t="array" aca="1" ref="BA301" ca="1">_xlfn.IFS(BA$7&gt;(SAP_Leadsheet!$E$21+12),0,BA$7=(SAP_Leadsheet!$E$21+12),SAP_Spreadsheet!BA182,BA$7&lt;(SAP_Leadsheet!$E$21+12),$E301*BA182)</f>
        <v>4.3711060216890669E-4</v>
      </c>
      <c r="BB301" s="302" cm="1">
        <f t="array" aca="1" ref="BB301" ca="1">_xlfn.IFS(BB$7&gt;(SAP_Leadsheet!$E$21+12),0,BB$7=(SAP_Leadsheet!$E$21+12),SAP_Spreadsheet!BB182,BB$7&lt;(SAP_Leadsheet!$E$21+12),$E301*BB182)</f>
        <v>4.2553380454243535E-4</v>
      </c>
      <c r="BC301" s="302" cm="1">
        <f t="array" aca="1" ref="BC301" ca="1">_xlfn.IFS(BC$7&gt;(SAP_Leadsheet!$E$21+12),0,BC$7=(SAP_Leadsheet!$E$21+12),SAP_Spreadsheet!BC182,BC$7&lt;(SAP_Leadsheet!$E$21+12),$E301*BC182)</f>
        <v>3.6400882058018066E-4</v>
      </c>
      <c r="BD301" s="302" cm="1">
        <f t="array" aca="1" ref="BD301" ca="1">_xlfn.IFS(BD$7&gt;(SAP_Leadsheet!$E$21+12),0,BD$7=(SAP_Leadsheet!$E$21+12),SAP_Spreadsheet!BD182,BD$7&lt;(SAP_Leadsheet!$E$21+12),$E301*BD182)</f>
        <v>3.548852149419195E-4</v>
      </c>
      <c r="BE301" s="302" cm="1">
        <f t="array" aca="1" ref="BE301" ca="1">_xlfn.IFS(BE$7&gt;(SAP_Leadsheet!$E$21+12),0,BE$7=(SAP_Leadsheet!$E$21+12),SAP_Spreadsheet!BE182,BE$7&lt;(SAP_Leadsheet!$E$21+12),$E301*BE182)</f>
        <v>3.4578414710762135E-4</v>
      </c>
      <c r="BF301" s="302" cm="1">
        <f t="array" aca="1" ref="BF301" ca="1">_xlfn.IFS(BF$7&gt;(SAP_Leadsheet!$E$21+12),0,BF$7=(SAP_Leadsheet!$E$21+12),SAP_Spreadsheet!BF182,BF$7&lt;(SAP_Leadsheet!$E$21+12),$E301*BF182)</f>
        <v>3.3676364228578696E-4</v>
      </c>
      <c r="BG301" s="302" cm="1">
        <f t="array" aca="1" ref="BG301" ca="1">_xlfn.IFS(BG$7&gt;(SAP_Leadsheet!$E$21+12),0,BG$7=(SAP_Leadsheet!$E$21+12),SAP_Spreadsheet!BG182,BG$7&lt;(SAP_Leadsheet!$E$21+12),$E301*BG182)</f>
        <v>3.2778569637779108E-4</v>
      </c>
      <c r="BH301" s="302" cm="1">
        <f t="array" aca="1" ref="BH301" ca="1">_xlfn.IFS(BH$7&gt;(SAP_Leadsheet!$E$21+12),0,BH$7=(SAP_Leadsheet!$E$21+12),SAP_Spreadsheet!BH182,BH$7&lt;(SAP_Leadsheet!$E$21+12),$E301*BH182)</f>
        <v>3.1882700073613288E-4</v>
      </c>
      <c r="BI301" s="302" cm="1">
        <f t="array" aca="1" ref="BI301" ca="1">_xlfn.IFS(BI$7&gt;(SAP_Leadsheet!$E$21+12),0,BI$7=(SAP_Leadsheet!$E$21+12),SAP_Spreadsheet!BI182,BI$7&lt;(SAP_Leadsheet!$E$21+12),$E301*BI182)</f>
        <v>3.0985938936830404E-4</v>
      </c>
      <c r="BJ301" s="302" cm="1">
        <f t="array" aca="1" ref="BJ301" ca="1">_xlfn.IFS(BJ$7&gt;(SAP_Leadsheet!$E$21+12),0,BJ$7=(SAP_Leadsheet!$E$21+12),SAP_Spreadsheet!BJ182,BJ$7&lt;(SAP_Leadsheet!$E$21+12),$E301*BJ182)</f>
        <v>3.0086920478265041E-4</v>
      </c>
      <c r="BK301" s="302" cm="1">
        <f t="array" aca="1" ref="BK301" ca="1">_xlfn.IFS(BK$7&gt;(SAP_Leadsheet!$E$21+12),0,BK$7=(SAP_Leadsheet!$E$21+12),SAP_Spreadsheet!BK182,BK$7&lt;(SAP_Leadsheet!$E$21+12),$E301*BK182)</f>
        <v>2.9185432803466202E-4</v>
      </c>
      <c r="BL301" s="302" cm="1">
        <f t="array" aca="1" ref="BL301" ca="1">_xlfn.IFS(BL$7&gt;(SAP_Leadsheet!$E$21+12),0,BL$7=(SAP_Leadsheet!$E$21+12),SAP_Spreadsheet!BL182,BL$7&lt;(SAP_Leadsheet!$E$21+12),$E301*BL182)</f>
        <v>2.8270866568539196E-4</v>
      </c>
      <c r="BM301" s="302" cm="1">
        <f t="array" aca="1" ref="BM301" ca="1">_xlfn.IFS(BM$7&gt;(SAP_Leadsheet!$E$21+12),0,BM$7=(SAP_Leadsheet!$E$21+12),SAP_Spreadsheet!BM182,BM$7&lt;(SAP_Leadsheet!$E$21+12),$E301*BM182)</f>
        <v>2.732595394838707E-4</v>
      </c>
      <c r="BN301" s="302" cm="1">
        <f t="array" aca="1" ref="BN301" ca="1">_xlfn.IFS(BN$7&gt;(SAP_Leadsheet!$E$21+12),0,BN$7=(SAP_Leadsheet!$E$21+12),SAP_Spreadsheet!BN182,BN$7&lt;(SAP_Leadsheet!$E$21+12),$E301*BN182)</f>
        <v>2.6358795780999063E-4</v>
      </c>
      <c r="BO301" s="302" cm="1">
        <f t="array" aca="1" ref="BO301" ca="1">_xlfn.IFS(BO$7&gt;(SAP_Leadsheet!$E$21+12),0,BO$7=(SAP_Leadsheet!$E$21+12),SAP_Spreadsheet!BO182,BO$7&lt;(SAP_Leadsheet!$E$21+12),$E301*BO182)</f>
        <v>2.5380788488305999E-4</v>
      </c>
      <c r="BP301" s="302" cm="1">
        <f t="array" aca="1" ref="BP301" ca="1">_xlfn.IFS(BP$7&gt;(SAP_Leadsheet!$E$21+12),0,BP$7=(SAP_Leadsheet!$E$21+12),SAP_Spreadsheet!BP182,BP$7&lt;(SAP_Leadsheet!$E$21+12),$E301*BP182)</f>
        <v>0</v>
      </c>
      <c r="BQ301" s="302" cm="1">
        <f t="array" aca="1" ref="BQ301" ca="1">_xlfn.IFS(BQ$7&gt;(SAP_Leadsheet!$E$21+12),0,BQ$7=(SAP_Leadsheet!$E$21+12),SAP_Spreadsheet!BQ182,BQ$7&lt;(SAP_Leadsheet!$E$21+12),$E301*BQ182)</f>
        <v>0</v>
      </c>
      <c r="BR301" s="302" cm="1">
        <f t="array" aca="1" ref="BR301" ca="1">_xlfn.IFS(BR$7&gt;(SAP_Leadsheet!$E$21+12),0,BR$7=(SAP_Leadsheet!$E$21+12),SAP_Spreadsheet!BR182,BR$7&lt;(SAP_Leadsheet!$E$21+12),$E301*BR182)</f>
        <v>0</v>
      </c>
      <c r="BS301" s="302" cm="1">
        <f t="array" aca="1" ref="BS301" ca="1">_xlfn.IFS(BS$7&gt;(SAP_Leadsheet!$E$21+12),0,BS$7=(SAP_Leadsheet!$E$21+12),SAP_Spreadsheet!BS182,BS$7&lt;(SAP_Leadsheet!$E$21+12),$E301*BS182)</f>
        <v>0</v>
      </c>
      <c r="BT301" s="302" cm="1">
        <f t="array" aca="1" ref="BT301" ca="1">_xlfn.IFS(BT$7&gt;(SAP_Leadsheet!$E$21+12),0,BT$7=(SAP_Leadsheet!$E$21+12),SAP_Spreadsheet!BT182,BT$7&lt;(SAP_Leadsheet!$E$21+12),$E301*BT182)</f>
        <v>0</v>
      </c>
      <c r="BU301" s="302" cm="1">
        <f t="array" aca="1" ref="BU301" ca="1">_xlfn.IFS(BU$7&gt;(SAP_Leadsheet!$E$21+12),0,BU$7=(SAP_Leadsheet!$E$21+12),SAP_Spreadsheet!BU182,BU$7&lt;(SAP_Leadsheet!$E$21+12),$E301*BU182)</f>
        <v>0</v>
      </c>
      <c r="BV301" s="302" cm="1">
        <f t="array" aca="1" ref="BV301" ca="1">_xlfn.IFS(BV$7&gt;(SAP_Leadsheet!$E$21+12),0,BV$7=(SAP_Leadsheet!$E$21+12),SAP_Spreadsheet!BV182,BV$7&lt;(SAP_Leadsheet!$E$21+12),$E301*BV182)</f>
        <v>0</v>
      </c>
      <c r="BW301" s="302" cm="1">
        <f t="array" aca="1" ref="BW301" ca="1">_xlfn.IFS(BW$7&gt;(SAP_Leadsheet!$E$21+12),0,BW$7=(SAP_Leadsheet!$E$21+12),SAP_Spreadsheet!BW182,BW$7&lt;(SAP_Leadsheet!$E$21+12),$E301*BW182)</f>
        <v>0</v>
      </c>
      <c r="BX301" s="302" cm="1">
        <f t="array" aca="1" ref="BX301" ca="1">_xlfn.IFS(BX$7&gt;(SAP_Leadsheet!$E$21+12),0,BX$7=(SAP_Leadsheet!$E$21+12),SAP_Spreadsheet!BX182,BX$7&lt;(SAP_Leadsheet!$E$21+12),$E301*BX182)</f>
        <v>0</v>
      </c>
      <c r="BY301" s="302" cm="1">
        <f t="array" aca="1" ref="BY301" ca="1">_xlfn.IFS(BY$7&gt;(SAP_Leadsheet!$E$21+12),0,BY$7=(SAP_Leadsheet!$E$21+12),SAP_Spreadsheet!BY182,BY$7&lt;(SAP_Leadsheet!$E$21+12),$E301*BY182)</f>
        <v>0</v>
      </c>
      <c r="BZ301" s="302" cm="1">
        <f t="array" aca="1" ref="BZ301" ca="1">_xlfn.IFS(BZ$7&gt;(SAP_Leadsheet!$E$21+12),0,BZ$7=(SAP_Leadsheet!$E$21+12),SAP_Spreadsheet!BZ182,BZ$7&lt;(SAP_Leadsheet!$E$21+12),$E301*BZ182)</f>
        <v>0</v>
      </c>
      <c r="CA301" s="263"/>
      <c r="CB301" s="263"/>
      <c r="CC301" s="263"/>
      <c r="CD301" s="263"/>
      <c r="CE301" s="263"/>
      <c r="CF301" s="263"/>
      <c r="CG301" s="263"/>
      <c r="CH301" s="263"/>
      <c r="CI301" s="263"/>
      <c r="CJ301" s="263"/>
      <c r="CK301" s="263"/>
      <c r="CL301" s="263"/>
      <c r="CM301" s="263"/>
      <c r="CN301" s="263"/>
      <c r="CO301" s="263"/>
      <c r="CP301" s="263"/>
      <c r="CQ301" s="263"/>
      <c r="CR301" s="263"/>
      <c r="CS301" s="263"/>
      <c r="CT301" s="263"/>
      <c r="CU301" s="263"/>
      <c r="CV301" s="263"/>
      <c r="CW301" s="263"/>
      <c r="CX301" s="263"/>
      <c r="CY301" s="263"/>
      <c r="CZ301" s="263"/>
      <c r="DA301" s="263"/>
      <c r="DB301" s="263"/>
      <c r="DC301" s="263"/>
      <c r="DD301" s="263"/>
      <c r="DE301" s="263"/>
      <c r="DF301" s="263"/>
      <c r="DG301" s="263"/>
      <c r="DH301" s="263"/>
      <c r="DI301" s="263"/>
      <c r="DJ301" s="263"/>
      <c r="DK301" s="263"/>
      <c r="DL301" s="263"/>
      <c r="DM301" s="263"/>
      <c r="DN301" s="263"/>
      <c r="DO301" s="263"/>
      <c r="DP301" s="263"/>
      <c r="DQ301" s="263"/>
      <c r="DR301" s="263"/>
      <c r="DS301" s="263"/>
      <c r="DT301" s="263"/>
      <c r="DU301" s="263"/>
      <c r="DV301" s="263"/>
      <c r="DW301" s="263"/>
      <c r="DX301" s="263"/>
      <c r="DY301" s="263"/>
      <c r="DZ301" s="263"/>
      <c r="EA301" s="263"/>
      <c r="EB301" s="263"/>
      <c r="EC301" s="263"/>
      <c r="ED301" s="263"/>
      <c r="EE301" s="263"/>
      <c r="EF301" s="263"/>
      <c r="EG301" s="263"/>
      <c r="EH301" s="263"/>
      <c r="EI301" s="263"/>
      <c r="EJ301" s="263"/>
      <c r="EK301" s="263"/>
      <c r="EL301" s="263"/>
      <c r="EM301" s="263"/>
      <c r="EN301" s="263"/>
      <c r="EO301" s="263"/>
      <c r="EP301" s="263"/>
      <c r="EQ301" s="263"/>
      <c r="ER301" s="263"/>
      <c r="ES301" s="263"/>
      <c r="ET301" s="263"/>
      <c r="EU301" s="263"/>
      <c r="EV301" s="263"/>
      <c r="EW301" s="263"/>
      <c r="EX301" s="263"/>
      <c r="EY301" s="263"/>
      <c r="EZ301" s="263"/>
      <c r="FA301" s="263"/>
      <c r="FB301" s="263"/>
      <c r="FC301" s="263"/>
      <c r="FD301" s="263"/>
      <c r="FE301" s="263"/>
      <c r="FF301" s="263"/>
      <c r="FG301" s="263"/>
      <c r="FH301" s="263"/>
      <c r="FI301" s="263"/>
      <c r="FJ301" s="263"/>
      <c r="FK301" s="263"/>
      <c r="FL301" s="263"/>
      <c r="FM301" s="263"/>
      <c r="FN301" s="263"/>
      <c r="FO301" s="263"/>
      <c r="FP301" s="263"/>
      <c r="FQ301" s="263"/>
      <c r="FR301" s="263"/>
      <c r="FS301" s="263"/>
      <c r="FT301" s="263"/>
      <c r="FU301" s="263"/>
      <c r="FV301" s="263"/>
      <c r="FW301" s="263"/>
      <c r="FX301" s="263"/>
      <c r="FY301" s="263"/>
      <c r="FZ301" s="263"/>
      <c r="GA301" s="263"/>
      <c r="GB301" s="263"/>
      <c r="GC301" s="263"/>
      <c r="GD301" s="263"/>
      <c r="GE301" s="263"/>
      <c r="GF301" s="263"/>
      <c r="GG301" s="263"/>
      <c r="GH301" s="263"/>
      <c r="GI301" s="263"/>
      <c r="GJ301" s="263"/>
      <c r="GK301" s="263"/>
      <c r="GL301" s="263"/>
      <c r="GM301" s="263"/>
      <c r="GN301" s="263"/>
      <c r="GO301" s="263"/>
      <c r="GP301" s="263"/>
      <c r="GQ301" s="263"/>
      <c r="GR301" s="263"/>
      <c r="GS301" s="263"/>
      <c r="GT301" s="263"/>
      <c r="GU301" s="263"/>
      <c r="GV301" s="263"/>
      <c r="GW301" s="263"/>
      <c r="GX301" s="263"/>
      <c r="GY301" s="263"/>
    </row>
    <row r="302" spans="1:207" x14ac:dyDescent="0.15">
      <c r="A302" s="62"/>
      <c r="C302" s="23"/>
      <c r="D302" s="26" t="s">
        <v>413</v>
      </c>
      <c r="E302" s="39">
        <v>5.7500000000000002E-2</v>
      </c>
      <c r="F302" s="80"/>
      <c r="G302" s="302" cm="1">
        <f t="array" ref="G302">_xlfn.IFS(G$7&gt;(SAP_Leadsheet!$E$21+12),0,G$7=(SAP_Leadsheet!$E$21+12),SAP_Spreadsheet!G183,G$7&lt;(SAP_Leadsheet!$E$21+12),$E302*G183)</f>
        <v>0</v>
      </c>
      <c r="H302" s="302" cm="1">
        <f t="array" aca="1" ref="H302" ca="1">_xlfn.IFS(H$7&gt;(SAP_Leadsheet!$E$21+12),0,H$7=(SAP_Leadsheet!$E$21+12),SAP_Spreadsheet!H183,H$7&lt;(SAP_Leadsheet!$E$21+12),$E302*H183)</f>
        <v>0</v>
      </c>
      <c r="I302" s="302" cm="1">
        <f t="array" aca="1" ref="I302" ca="1">_xlfn.IFS(I$7&gt;(SAP_Leadsheet!$E$21+12),0,I$7=(SAP_Leadsheet!$E$21+12),SAP_Spreadsheet!I183,I$7&lt;(SAP_Leadsheet!$E$21+12),$E302*I183)</f>
        <v>1.5383114636220831E-3</v>
      </c>
      <c r="J302" s="302" cm="1">
        <f t="array" aca="1" ref="J302" ca="1">_xlfn.IFS(J$7&gt;(SAP_Leadsheet!$E$21+12),0,J$7=(SAP_Leadsheet!$E$21+12),SAP_Spreadsheet!J183,J$7&lt;(SAP_Leadsheet!$E$21+12),$E302*J183)</f>
        <v>2.711647991713674E-3</v>
      </c>
      <c r="K302" s="302" cm="1">
        <f t="array" aca="1" ref="K302" ca="1">_xlfn.IFS(K$7&gt;(SAP_Leadsheet!$E$21+12),0,K$7=(SAP_Leadsheet!$E$21+12),SAP_Spreadsheet!K183,K$7&lt;(SAP_Leadsheet!$E$21+12),$E302*K183)</f>
        <v>3.1897305863039524E-3</v>
      </c>
      <c r="L302" s="302" cm="1">
        <f t="array" aca="1" ref="L302" ca="1">_xlfn.IFS(L$7&gt;(SAP_Leadsheet!$E$21+12),0,L$7=(SAP_Leadsheet!$E$21+12),SAP_Spreadsheet!L183,L$7&lt;(SAP_Leadsheet!$E$21+12),$E302*L183)</f>
        <v>3.1730170181402504E-3</v>
      </c>
      <c r="M302" s="302" cm="1">
        <f t="array" aca="1" ref="M302" ca="1">_xlfn.IFS(M$7&gt;(SAP_Leadsheet!$E$21+12),0,M$7=(SAP_Leadsheet!$E$21+12),SAP_Spreadsheet!M183,M$7&lt;(SAP_Leadsheet!$E$21+12),$E302*M183)</f>
        <v>2.9176535974029367E-3</v>
      </c>
      <c r="N302" s="302" cm="1">
        <f t="array" aca="1" ref="N302" ca="1">_xlfn.IFS(N$7&gt;(SAP_Leadsheet!$E$21+12),0,N$7=(SAP_Leadsheet!$E$21+12),SAP_Spreadsheet!N183,N$7&lt;(SAP_Leadsheet!$E$21+12),$E302*N183)</f>
        <v>2.5921357246166989E-3</v>
      </c>
      <c r="O302" s="302" cm="1">
        <f t="array" aca="1" ref="O302" ca="1">_xlfn.IFS(O$7&gt;(SAP_Leadsheet!$E$21+12),0,O$7=(SAP_Leadsheet!$E$21+12),SAP_Spreadsheet!O183,O$7&lt;(SAP_Leadsheet!$E$21+12),$E302*O183)</f>
        <v>2.1966173850409567E-3</v>
      </c>
      <c r="P302" s="302" cm="1">
        <f t="array" aca="1" ref="P302" ca="1">_xlfn.IFS(P$7&gt;(SAP_Leadsheet!$E$21+12),0,P$7=(SAP_Leadsheet!$E$21+12),SAP_Spreadsheet!P183,P$7&lt;(SAP_Leadsheet!$E$21+12),$E302*P183)</f>
        <v>1.9053792576419139E-3</v>
      </c>
      <c r="Q302" s="302" cm="1">
        <f t="array" aca="1" ref="Q302" ca="1">_xlfn.IFS(Q$7&gt;(SAP_Leadsheet!$E$21+12),0,Q$7=(SAP_Leadsheet!$E$21+12),SAP_Spreadsheet!Q183,Q$7&lt;(SAP_Leadsheet!$E$21+12),$E302*Q183)</f>
        <v>1.6680064750840139E-3</v>
      </c>
      <c r="R302" s="302" cm="1">
        <f t="array" aca="1" ref="R302" ca="1">_xlfn.IFS(R$7&gt;(SAP_Leadsheet!$E$21+12),0,R$7=(SAP_Leadsheet!$E$21+12),SAP_Spreadsheet!R183,R$7&lt;(SAP_Leadsheet!$E$21+12),$E302*R183)</f>
        <v>1.4709621772447841E-3</v>
      </c>
      <c r="S302" s="302" cm="1">
        <f t="array" aca="1" ref="S302" ca="1">_xlfn.IFS(S$7&gt;(SAP_Leadsheet!$E$21+12),0,S$7=(SAP_Leadsheet!$E$21+12),SAP_Spreadsheet!S183,S$7&lt;(SAP_Leadsheet!$E$21+12),$E302*S183)</f>
        <v>1.2568315173891772E-3</v>
      </c>
      <c r="T302" s="302" cm="1">
        <f t="array" aca="1" ref="T302" ca="1">_xlfn.IFS(T$7&gt;(SAP_Leadsheet!$E$21+12),0,T$7=(SAP_Leadsheet!$E$21+12),SAP_Spreadsheet!T183,T$7&lt;(SAP_Leadsheet!$E$21+12),$E302*T183)</f>
        <v>6.3121393535110792E-4</v>
      </c>
      <c r="U302" s="302" cm="1">
        <f t="array" aca="1" ref="U302" ca="1">_xlfn.IFS(U$7&gt;(SAP_Leadsheet!$E$21+12),0,U$7=(SAP_Leadsheet!$E$21+12),SAP_Spreadsheet!U183,U$7&lt;(SAP_Leadsheet!$E$21+12),$E302*U183)</f>
        <v>6.479852042695131E-4</v>
      </c>
      <c r="V302" s="302" cm="1">
        <f t="array" aca="1" ref="V302" ca="1">_xlfn.IFS(V$7&gt;(SAP_Leadsheet!$E$21+12),0,V$7=(SAP_Leadsheet!$E$21+12),SAP_Spreadsheet!V183,V$7&lt;(SAP_Leadsheet!$E$21+12),$E302*V183)</f>
        <v>7.4568006084756654E-4</v>
      </c>
      <c r="W302" s="302" cm="1">
        <f t="array" aca="1" ref="W302" ca="1">_xlfn.IFS(W$7&gt;(SAP_Leadsheet!$E$21+12),0,W$7=(SAP_Leadsheet!$E$21+12),SAP_Spreadsheet!W183,W$7&lt;(SAP_Leadsheet!$E$21+12),$E302*W183)</f>
        <v>7.689694321376399E-4</v>
      </c>
      <c r="X302" s="302" cm="1">
        <f t="array" aca="1" ref="X302" ca="1">_xlfn.IFS(X$7&gt;(SAP_Leadsheet!$E$21+12),0,X$7=(SAP_Leadsheet!$E$21+12),SAP_Spreadsheet!X183,X$7&lt;(SAP_Leadsheet!$E$21+12),$E302*X183)</f>
        <v>7.3217147990054529E-4</v>
      </c>
      <c r="Y302" s="302" cm="1">
        <f t="array" aca="1" ref="Y302" ca="1">_xlfn.IFS(Y$7&gt;(SAP_Leadsheet!$E$21+12),0,Y$7=(SAP_Leadsheet!$E$21+12),SAP_Spreadsheet!Y183,Y$7&lt;(SAP_Leadsheet!$E$21+12),$E302*Y183)</f>
        <v>7.4145757957077554E-4</v>
      </c>
      <c r="Z302" s="302" cm="1">
        <f t="array" aca="1" ref="Z302" ca="1">_xlfn.IFS(Z$7&gt;(SAP_Leadsheet!$E$21+12),0,Z$7=(SAP_Leadsheet!$E$21+12),SAP_Spreadsheet!Z183,Z$7&lt;(SAP_Leadsheet!$E$21+12),$E302*Z183)</f>
        <v>7.5994813829976301E-4</v>
      </c>
      <c r="AA302" s="302" cm="1">
        <f t="array" aca="1" ref="AA302" ca="1">_xlfn.IFS(AA$7&gt;(SAP_Leadsheet!$E$21+12),0,AA$7=(SAP_Leadsheet!$E$21+12),SAP_Spreadsheet!AA183,AA$7&lt;(SAP_Leadsheet!$E$21+12),$E302*AA183)</f>
        <v>7.6985223628468703E-4</v>
      </c>
      <c r="AB302" s="302" cm="1">
        <f t="array" aca="1" ref="AB302" ca="1">_xlfn.IFS(AB$7&gt;(SAP_Leadsheet!$E$21+12),0,AB$7=(SAP_Leadsheet!$E$21+12),SAP_Spreadsheet!AB183,AB$7&lt;(SAP_Leadsheet!$E$21+12),$E302*AB183)</f>
        <v>7.6728790524388285E-4</v>
      </c>
      <c r="AC302" s="302" cm="1">
        <f t="array" aca="1" ref="AC302" ca="1">_xlfn.IFS(AC$7&gt;(SAP_Leadsheet!$E$21+12),0,AC$7=(SAP_Leadsheet!$E$21+12),SAP_Spreadsheet!AC183,AC$7&lt;(SAP_Leadsheet!$E$21+12),$E302*AC183)</f>
        <v>7.5114536559035285E-4</v>
      </c>
      <c r="AD302" s="302" cm="1">
        <f t="array" aca="1" ref="AD302" ca="1">_xlfn.IFS(AD$7&gt;(SAP_Leadsheet!$E$21+12),0,AD$7=(SAP_Leadsheet!$E$21+12),SAP_Spreadsheet!AD183,AD$7&lt;(SAP_Leadsheet!$E$21+12),$E302*AD183)</f>
        <v>7.2539556122204539E-4</v>
      </c>
      <c r="AE302" s="302" cm="1">
        <f t="array" aca="1" ref="AE302" ca="1">_xlfn.IFS(AE$7&gt;(SAP_Leadsheet!$E$21+12),0,AE$7=(SAP_Leadsheet!$E$21+12),SAP_Spreadsheet!AE183,AE$7&lt;(SAP_Leadsheet!$E$21+12),$E302*AE183)</f>
        <v>7.0595844622725666E-4</v>
      </c>
      <c r="AF302" s="302" cm="1">
        <f t="array" aca="1" ref="AF302" ca="1">_xlfn.IFS(AF$7&gt;(SAP_Leadsheet!$E$21+12),0,AF$7=(SAP_Leadsheet!$E$21+12),SAP_Spreadsheet!AF183,AF$7&lt;(SAP_Leadsheet!$E$21+12),$E302*AF183)</f>
        <v>5.7756328186708643E-4</v>
      </c>
      <c r="AG302" s="302" cm="1">
        <f t="array" aca="1" ref="AG302" ca="1">_xlfn.IFS(AG$7&gt;(SAP_Leadsheet!$E$21+12),0,AG$7=(SAP_Leadsheet!$E$21+12),SAP_Spreadsheet!AG183,AG$7&lt;(SAP_Leadsheet!$E$21+12),$E302*AG183)</f>
        <v>5.8936311570204135E-4</v>
      </c>
      <c r="AH302" s="302" cm="1">
        <f t="array" aca="1" ref="AH302" ca="1">_xlfn.IFS(AH$7&gt;(SAP_Leadsheet!$E$21+12),0,AH$7=(SAP_Leadsheet!$E$21+12),SAP_Spreadsheet!AH183,AH$7&lt;(SAP_Leadsheet!$E$21+12),$E302*AH183)</f>
        <v>6.2560953413988505E-4</v>
      </c>
      <c r="AI302" s="302" cm="1">
        <f t="array" aca="1" ref="AI302" ca="1">_xlfn.IFS(AI$7&gt;(SAP_Leadsheet!$E$21+12),0,AI$7=(SAP_Leadsheet!$E$21+12),SAP_Spreadsheet!AI183,AI$7&lt;(SAP_Leadsheet!$E$21+12),$E302*AI183)</f>
        <v>6.4799820359828396E-4</v>
      </c>
      <c r="AJ302" s="302" cm="1">
        <f t="array" aca="1" ref="AJ302" ca="1">_xlfn.IFS(AJ$7&gt;(SAP_Leadsheet!$E$21+12),0,AJ$7=(SAP_Leadsheet!$E$21+12),SAP_Spreadsheet!AJ183,AJ$7&lt;(SAP_Leadsheet!$E$21+12),$E302*AJ183)</f>
        <v>6.5118573149676321E-4</v>
      </c>
      <c r="AK302" s="302" cm="1">
        <f t="array" aca="1" ref="AK302" ca="1">_xlfn.IFS(AK$7&gt;(SAP_Leadsheet!$E$21+12),0,AK$7=(SAP_Leadsheet!$E$21+12),SAP_Spreadsheet!AK183,AK$7&lt;(SAP_Leadsheet!$E$21+12),$E302*AK183)</f>
        <v>6.4181163768498451E-4</v>
      </c>
      <c r="AL302" s="302" cm="1">
        <f t="array" aca="1" ref="AL302" ca="1">_xlfn.IFS(AL$7&gt;(SAP_Leadsheet!$E$21+12),0,AL$7=(SAP_Leadsheet!$E$21+12),SAP_Spreadsheet!AL183,AL$7&lt;(SAP_Leadsheet!$E$21+12),$E302*AL183)</f>
        <v>6.2688482893568482E-4</v>
      </c>
      <c r="AM302" s="302" cm="1">
        <f t="array" aca="1" ref="AM302" ca="1">_xlfn.IFS(AM$7&gt;(SAP_Leadsheet!$E$21+12),0,AM$7=(SAP_Leadsheet!$E$21+12),SAP_Spreadsheet!AM183,AM$7&lt;(SAP_Leadsheet!$E$21+12),$E302*AM183)</f>
        <v>6.1041815161839367E-4</v>
      </c>
      <c r="AN302" s="302" cm="1">
        <f t="array" aca="1" ref="AN302" ca="1">_xlfn.IFS(AN$7&gt;(SAP_Leadsheet!$E$21+12),0,AN$7=(SAP_Leadsheet!$E$21+12),SAP_Spreadsheet!AN183,AN$7&lt;(SAP_Leadsheet!$E$21+12),$E302*AN183)</f>
        <v>6.1436053742297395E-4</v>
      </c>
      <c r="AO302" s="302" cm="1">
        <f t="array" aca="1" ref="AO302" ca="1">_xlfn.IFS(AO$7&gt;(SAP_Leadsheet!$E$21+12),0,AO$7=(SAP_Leadsheet!$E$21+12),SAP_Spreadsheet!AO183,AO$7&lt;(SAP_Leadsheet!$E$21+12),$E302*AO183)</f>
        <v>5.9509291851473375E-4</v>
      </c>
      <c r="AP302" s="302" cm="1">
        <f t="array" aca="1" ref="AP302" ca="1">_xlfn.IFS(AP$7&gt;(SAP_Leadsheet!$E$21+12),0,AP$7=(SAP_Leadsheet!$E$21+12),SAP_Spreadsheet!AP183,AP$7&lt;(SAP_Leadsheet!$E$21+12),$E302*AP183)</f>
        <v>5.7074957568055092E-4</v>
      </c>
      <c r="AQ302" s="302" cm="1">
        <f t="array" aca="1" ref="AQ302" ca="1">_xlfn.IFS(AQ$7&gt;(SAP_Leadsheet!$E$21+12),0,AQ$7=(SAP_Leadsheet!$E$21+12),SAP_Spreadsheet!AQ183,AQ$7&lt;(SAP_Leadsheet!$E$21+12),$E302*AQ183)</f>
        <v>5.2848477332642781E-4</v>
      </c>
      <c r="AR302" s="302" cm="1">
        <f t="array" aca="1" ref="AR302" ca="1">_xlfn.IFS(AR$7&gt;(SAP_Leadsheet!$E$21+12),0,AR$7=(SAP_Leadsheet!$E$21+12),SAP_Spreadsheet!AR183,AR$7&lt;(SAP_Leadsheet!$E$21+12),$E302*AR183)</f>
        <v>4.2504114419270527E-4</v>
      </c>
      <c r="AS302" s="302" cm="1">
        <f t="array" aca="1" ref="AS302" ca="1">_xlfn.IFS(AS$7&gt;(SAP_Leadsheet!$E$21+12),0,AS$7=(SAP_Leadsheet!$E$21+12),SAP_Spreadsheet!AS183,AS$7&lt;(SAP_Leadsheet!$E$21+12),$E302*AS183)</f>
        <v>4.1563266475627941E-4</v>
      </c>
      <c r="AT302" s="302" cm="1">
        <f t="array" aca="1" ref="AT302" ca="1">_xlfn.IFS(AT$7&gt;(SAP_Leadsheet!$E$21+12),0,AT$7=(SAP_Leadsheet!$E$21+12),SAP_Spreadsheet!AT183,AT$7&lt;(SAP_Leadsheet!$E$21+12),$E302*AT183)</f>
        <v>4.0794378256880074E-4</v>
      </c>
      <c r="AU302" s="302" cm="1">
        <f t="array" aca="1" ref="AU302" ca="1">_xlfn.IFS(AU$7&gt;(SAP_Leadsheet!$E$21+12),0,AU$7=(SAP_Leadsheet!$E$21+12),SAP_Spreadsheet!AU183,AU$7&lt;(SAP_Leadsheet!$E$21+12),$E302*AU183)</f>
        <v>4.0108692665471541E-4</v>
      </c>
      <c r="AV302" s="302" cm="1">
        <f t="array" aca="1" ref="AV302" ca="1">_xlfn.IFS(AV$7&gt;(SAP_Leadsheet!$E$21+12),0,AV$7=(SAP_Leadsheet!$E$21+12),SAP_Spreadsheet!AV183,AV$7&lt;(SAP_Leadsheet!$E$21+12),$E302*AV183)</f>
        <v>3.9439727622979864E-4</v>
      </c>
      <c r="AW302" s="302" cm="1">
        <f t="array" aca="1" ref="AW302" ca="1">_xlfn.IFS(AW$7&gt;(SAP_Leadsheet!$E$21+12),0,AW$7=(SAP_Leadsheet!$E$21+12),SAP_Spreadsheet!AW183,AW$7&lt;(SAP_Leadsheet!$E$21+12),$E302*AW183)</f>
        <v>3.876206423159374E-4</v>
      </c>
      <c r="AX302" s="302" cm="1">
        <f t="array" aca="1" ref="AX302" ca="1">_xlfn.IFS(AX$7&gt;(SAP_Leadsheet!$E$21+12),0,AX$7=(SAP_Leadsheet!$E$21+12),SAP_Spreadsheet!AX183,AX$7&lt;(SAP_Leadsheet!$E$21+12),$E302*AX183)</f>
        <v>3.8072054201364331E-4</v>
      </c>
      <c r="AY302" s="302" cm="1">
        <f t="array" aca="1" ref="AY302" ca="1">_xlfn.IFS(AY$7&gt;(SAP_Leadsheet!$E$21+12),0,AY$7=(SAP_Leadsheet!$E$21+12),SAP_Spreadsheet!AY183,AY$7&lt;(SAP_Leadsheet!$E$21+12),$E302*AY183)</f>
        <v>3.7364112214632769E-4</v>
      </c>
      <c r="AZ302" s="302" cm="1">
        <f t="array" aca="1" ref="AZ302" ca="1">_xlfn.IFS(AZ$7&gt;(SAP_Leadsheet!$E$21+12),0,AZ$7=(SAP_Leadsheet!$E$21+12),SAP_Spreadsheet!AZ183,AZ$7&lt;(SAP_Leadsheet!$E$21+12),$E302*AZ183)</f>
        <v>3.6629540244460779E-4</v>
      </c>
      <c r="BA302" s="302" cm="1">
        <f t="array" aca="1" ref="BA302" ca="1">_xlfn.IFS(BA$7&gt;(SAP_Leadsheet!$E$21+12),0,BA$7=(SAP_Leadsheet!$E$21+12),SAP_Spreadsheet!BA183,BA$7&lt;(SAP_Leadsheet!$E$21+12),$E302*BA183)</f>
        <v>3.5839906114071393E-4</v>
      </c>
      <c r="BB302" s="302" cm="1">
        <f t="array" aca="1" ref="BB302" ca="1">_xlfn.IFS(BB$7&gt;(SAP_Leadsheet!$E$21+12),0,BB$7=(SAP_Leadsheet!$E$21+12),SAP_Spreadsheet!BB183,BB$7&lt;(SAP_Leadsheet!$E$21+12),$E302*BB183)</f>
        <v>3.4968848173512533E-4</v>
      </c>
      <c r="BC302" s="302" cm="1">
        <f t="array" aca="1" ref="BC302" ca="1">_xlfn.IFS(BC$7&gt;(SAP_Leadsheet!$E$21+12),0,BC$7=(SAP_Leadsheet!$E$21+12),SAP_Spreadsheet!BC183,BC$7&lt;(SAP_Leadsheet!$E$21+12),$E302*BC183)</f>
        <v>3.4042704363394831E-4</v>
      </c>
      <c r="BD302" s="302" cm="1">
        <f t="array" aca="1" ref="BD302" ca="1">_xlfn.IFS(BD$7&gt;(SAP_Leadsheet!$E$21+12),0,BD$7=(SAP_Leadsheet!$E$21+12),SAP_Spreadsheet!BD183,BD$7&lt;(SAP_Leadsheet!$E$21+12),$E302*BD183)</f>
        <v>2.9120705646414459E-4</v>
      </c>
      <c r="BE302" s="302" cm="1">
        <f t="array" aca="1" ref="BE302" ca="1">_xlfn.IFS(BE$7&gt;(SAP_Leadsheet!$E$21+12),0,BE$7=(SAP_Leadsheet!$E$21+12),SAP_Spreadsheet!BE183,BE$7&lt;(SAP_Leadsheet!$E$21+12),$E302*BE183)</f>
        <v>2.8390817195353559E-4</v>
      </c>
      <c r="BF302" s="302" cm="1">
        <f t="array" aca="1" ref="BF302" ca="1">_xlfn.IFS(BF$7&gt;(SAP_Leadsheet!$E$21+12),0,BF$7=(SAP_Leadsheet!$E$21+12),SAP_Spreadsheet!BF183,BF$7&lt;(SAP_Leadsheet!$E$21+12),$E302*BF183)</f>
        <v>2.7662731768609709E-4</v>
      </c>
      <c r="BG302" s="302" cm="1">
        <f t="array" aca="1" ref="BG302" ca="1">_xlfn.IFS(BG$7&gt;(SAP_Leadsheet!$E$21+12),0,BG$7=(SAP_Leadsheet!$E$21+12),SAP_Spreadsheet!BG183,BG$7&lt;(SAP_Leadsheet!$E$21+12),$E302*BG183)</f>
        <v>2.6941091382862956E-4</v>
      </c>
      <c r="BH302" s="302" cm="1">
        <f t="array" aca="1" ref="BH302" ca="1">_xlfn.IFS(BH$7&gt;(SAP_Leadsheet!$E$21+12),0,BH$7=(SAP_Leadsheet!$E$21+12),SAP_Spreadsheet!BH183,BH$7&lt;(SAP_Leadsheet!$E$21+12),$E302*BH183)</f>
        <v>2.6222855710223287E-4</v>
      </c>
      <c r="BI302" s="302" cm="1">
        <f t="array" aca="1" ref="BI302" ca="1">_xlfn.IFS(BI$7&gt;(SAP_Leadsheet!$E$21+12),0,BI$7=(SAP_Leadsheet!$E$21+12),SAP_Spreadsheet!BI183,BI$7&lt;(SAP_Leadsheet!$E$21+12),$E302*BI183)</f>
        <v>2.550616005889063E-4</v>
      </c>
      <c r="BJ302" s="302" cm="1">
        <f t="array" aca="1" ref="BJ302" ca="1">_xlfn.IFS(BJ$7&gt;(SAP_Leadsheet!$E$21+12),0,BJ$7=(SAP_Leadsheet!$E$21+12),SAP_Spreadsheet!BJ183,BJ$7&lt;(SAP_Leadsheet!$E$21+12),$E302*BJ183)</f>
        <v>2.4788751149464326E-4</v>
      </c>
      <c r="BK302" s="302" cm="1">
        <f t="array" aca="1" ref="BK302" ca="1">_xlfn.IFS(BK$7&gt;(SAP_Leadsheet!$E$21+12),0,BK$7=(SAP_Leadsheet!$E$21+12),SAP_Spreadsheet!BK183,BK$7&lt;(SAP_Leadsheet!$E$21+12),$E302*BK183)</f>
        <v>2.406953638261203E-4</v>
      </c>
      <c r="BL302" s="302" cm="1">
        <f t="array" aca="1" ref="BL302" ca="1">_xlfn.IFS(BL$7&gt;(SAP_Leadsheet!$E$21+12),0,BL$7=(SAP_Leadsheet!$E$21+12),SAP_Spreadsheet!BL183,BL$7&lt;(SAP_Leadsheet!$E$21+12),$E302*BL183)</f>
        <v>2.3348346242772967E-4</v>
      </c>
      <c r="BM302" s="302" cm="1">
        <f t="array" aca="1" ref="BM302" ca="1">_xlfn.IFS(BM$7&gt;(SAP_Leadsheet!$E$21+12),0,BM$7=(SAP_Leadsheet!$E$21+12),SAP_Spreadsheet!BM183,BM$7&lt;(SAP_Leadsheet!$E$21+12),$E302*BM183)</f>
        <v>2.2616693254831361E-4</v>
      </c>
      <c r="BN302" s="302" cm="1">
        <f t="array" aca="1" ref="BN302" ca="1">_xlfn.IFS(BN$7&gt;(SAP_Leadsheet!$E$21+12),0,BN$7=(SAP_Leadsheet!$E$21+12),SAP_Spreadsheet!BN183,BN$7&lt;(SAP_Leadsheet!$E$21+12),$E302*BN183)</f>
        <v>2.1860763158709656E-4</v>
      </c>
      <c r="BO302" s="302" cm="1">
        <f t="array" aca="1" ref="BO302" ca="1">_xlfn.IFS(BO$7&gt;(SAP_Leadsheet!$E$21+12),0,BO$7=(SAP_Leadsheet!$E$21+12),SAP_Spreadsheet!BO183,BO$7&lt;(SAP_Leadsheet!$E$21+12),$E302*BO183)</f>
        <v>2.1087036624799251E-4</v>
      </c>
      <c r="BP302" s="302" cm="1">
        <f t="array" aca="1" ref="BP302" ca="1">_xlfn.IFS(BP$7&gt;(SAP_Leadsheet!$E$21+12),0,BP$7=(SAP_Leadsheet!$E$21+12),SAP_Spreadsheet!BP183,BP$7&lt;(SAP_Leadsheet!$E$21+12),$E302*BP183)</f>
        <v>2.0304630790644803E-4</v>
      </c>
      <c r="BQ302" s="302" cm="1">
        <f t="array" aca="1" ref="BQ302" ca="1">_xlfn.IFS(BQ$7&gt;(SAP_Leadsheet!$E$21+12),0,BQ$7=(SAP_Leadsheet!$E$21+12),SAP_Spreadsheet!BQ183,BQ$7&lt;(SAP_Leadsheet!$E$21+12),$E302*BQ183)</f>
        <v>0</v>
      </c>
      <c r="BR302" s="302" cm="1">
        <f t="array" aca="1" ref="BR302" ca="1">_xlfn.IFS(BR$7&gt;(SAP_Leadsheet!$E$21+12),0,BR$7=(SAP_Leadsheet!$E$21+12),SAP_Spreadsheet!BR183,BR$7&lt;(SAP_Leadsheet!$E$21+12),$E302*BR183)</f>
        <v>0</v>
      </c>
      <c r="BS302" s="302" cm="1">
        <f t="array" aca="1" ref="BS302" ca="1">_xlfn.IFS(BS$7&gt;(SAP_Leadsheet!$E$21+12),0,BS$7=(SAP_Leadsheet!$E$21+12),SAP_Spreadsheet!BS183,BS$7&lt;(SAP_Leadsheet!$E$21+12),$E302*BS183)</f>
        <v>0</v>
      </c>
      <c r="BT302" s="302" cm="1">
        <f t="array" aca="1" ref="BT302" ca="1">_xlfn.IFS(BT$7&gt;(SAP_Leadsheet!$E$21+12),0,BT$7=(SAP_Leadsheet!$E$21+12),SAP_Spreadsheet!BT183,BT$7&lt;(SAP_Leadsheet!$E$21+12),$E302*BT183)</f>
        <v>0</v>
      </c>
      <c r="BU302" s="302" cm="1">
        <f t="array" aca="1" ref="BU302" ca="1">_xlfn.IFS(BU$7&gt;(SAP_Leadsheet!$E$21+12),0,BU$7=(SAP_Leadsheet!$E$21+12),SAP_Spreadsheet!BU183,BU$7&lt;(SAP_Leadsheet!$E$21+12),$E302*BU183)</f>
        <v>0</v>
      </c>
      <c r="BV302" s="302" cm="1">
        <f t="array" aca="1" ref="BV302" ca="1">_xlfn.IFS(BV$7&gt;(SAP_Leadsheet!$E$21+12),0,BV$7=(SAP_Leadsheet!$E$21+12),SAP_Spreadsheet!BV183,BV$7&lt;(SAP_Leadsheet!$E$21+12),$E302*BV183)</f>
        <v>0</v>
      </c>
      <c r="BW302" s="302" cm="1">
        <f t="array" aca="1" ref="BW302" ca="1">_xlfn.IFS(BW$7&gt;(SAP_Leadsheet!$E$21+12),0,BW$7=(SAP_Leadsheet!$E$21+12),SAP_Spreadsheet!BW183,BW$7&lt;(SAP_Leadsheet!$E$21+12),$E302*BW183)</f>
        <v>0</v>
      </c>
      <c r="BX302" s="302" cm="1">
        <f t="array" aca="1" ref="BX302" ca="1">_xlfn.IFS(BX$7&gt;(SAP_Leadsheet!$E$21+12),0,BX$7=(SAP_Leadsheet!$E$21+12),SAP_Spreadsheet!BX183,BX$7&lt;(SAP_Leadsheet!$E$21+12),$E302*BX183)</f>
        <v>0</v>
      </c>
      <c r="BY302" s="302" cm="1">
        <f t="array" aca="1" ref="BY302" ca="1">_xlfn.IFS(BY$7&gt;(SAP_Leadsheet!$E$21+12),0,BY$7=(SAP_Leadsheet!$E$21+12),SAP_Spreadsheet!BY183,BY$7&lt;(SAP_Leadsheet!$E$21+12),$E302*BY183)</f>
        <v>0</v>
      </c>
      <c r="BZ302" s="302" cm="1">
        <f t="array" aca="1" ref="BZ302" ca="1">_xlfn.IFS(BZ$7&gt;(SAP_Leadsheet!$E$21+12),0,BZ$7=(SAP_Leadsheet!$E$21+12),SAP_Spreadsheet!BZ183,BZ$7&lt;(SAP_Leadsheet!$E$21+12),$E302*BZ183)</f>
        <v>0</v>
      </c>
      <c r="CA302" s="263"/>
      <c r="CB302" s="263"/>
      <c r="CC302" s="263"/>
      <c r="CD302" s="263"/>
      <c r="CE302" s="263"/>
      <c r="CF302" s="263"/>
      <c r="CG302" s="263"/>
      <c r="CH302" s="263"/>
      <c r="CI302" s="263"/>
      <c r="CJ302" s="263"/>
      <c r="CK302" s="263"/>
      <c r="CL302" s="263"/>
      <c r="CM302" s="263"/>
      <c r="CN302" s="263"/>
      <c r="CO302" s="263"/>
      <c r="CP302" s="263"/>
      <c r="CQ302" s="263"/>
      <c r="CR302" s="263"/>
      <c r="CS302" s="263"/>
      <c r="CT302" s="263"/>
      <c r="CU302" s="263"/>
      <c r="CV302" s="263"/>
      <c r="CW302" s="263"/>
      <c r="CX302" s="263"/>
      <c r="CY302" s="263"/>
      <c r="CZ302" s="263"/>
      <c r="DA302" s="263"/>
      <c r="DB302" s="263"/>
      <c r="DC302" s="263"/>
      <c r="DD302" s="263"/>
      <c r="DE302" s="263"/>
      <c r="DF302" s="263"/>
      <c r="DG302" s="263"/>
      <c r="DH302" s="263"/>
      <c r="DI302" s="263"/>
      <c r="DJ302" s="263"/>
      <c r="DK302" s="263"/>
      <c r="DL302" s="263"/>
      <c r="DM302" s="263"/>
      <c r="DN302" s="263"/>
      <c r="DO302" s="263"/>
      <c r="DP302" s="263"/>
      <c r="DQ302" s="263"/>
      <c r="DR302" s="263"/>
      <c r="DS302" s="263"/>
      <c r="DT302" s="263"/>
      <c r="DU302" s="263"/>
      <c r="DV302" s="263"/>
      <c r="DW302" s="263"/>
      <c r="DX302" s="263"/>
      <c r="DY302" s="263"/>
      <c r="DZ302" s="263"/>
      <c r="EA302" s="263"/>
      <c r="EB302" s="263"/>
      <c r="EC302" s="263"/>
      <c r="ED302" s="263"/>
      <c r="EE302" s="263"/>
      <c r="EF302" s="263"/>
      <c r="EG302" s="263"/>
      <c r="EH302" s="263"/>
      <c r="EI302" s="263"/>
      <c r="EJ302" s="263"/>
      <c r="EK302" s="263"/>
      <c r="EL302" s="263"/>
      <c r="EM302" s="263"/>
      <c r="EN302" s="263"/>
      <c r="EO302" s="263"/>
      <c r="EP302" s="263"/>
      <c r="EQ302" s="263"/>
      <c r="ER302" s="263"/>
      <c r="ES302" s="263"/>
      <c r="ET302" s="263"/>
      <c r="EU302" s="263"/>
      <c r="EV302" s="263"/>
      <c r="EW302" s="263"/>
      <c r="EX302" s="263"/>
      <c r="EY302" s="263"/>
      <c r="EZ302" s="263"/>
      <c r="FA302" s="263"/>
      <c r="FB302" s="263"/>
      <c r="FC302" s="263"/>
      <c r="FD302" s="263"/>
      <c r="FE302" s="263"/>
      <c r="FF302" s="263"/>
      <c r="FG302" s="263"/>
      <c r="FH302" s="263"/>
      <c r="FI302" s="263"/>
      <c r="FJ302" s="263"/>
      <c r="FK302" s="263"/>
      <c r="FL302" s="263"/>
      <c r="FM302" s="263"/>
      <c r="FN302" s="263"/>
      <c r="FO302" s="263"/>
      <c r="FP302" s="263"/>
      <c r="FQ302" s="263"/>
      <c r="FR302" s="263"/>
      <c r="FS302" s="263"/>
      <c r="FT302" s="263"/>
      <c r="FU302" s="263"/>
      <c r="FV302" s="263"/>
      <c r="FW302" s="263"/>
      <c r="FX302" s="263"/>
      <c r="FY302" s="263"/>
      <c r="FZ302" s="263"/>
      <c r="GA302" s="263"/>
      <c r="GB302" s="263"/>
      <c r="GC302" s="263"/>
      <c r="GD302" s="263"/>
      <c r="GE302" s="263"/>
      <c r="GF302" s="263"/>
      <c r="GG302" s="263"/>
      <c r="GH302" s="263"/>
      <c r="GI302" s="263"/>
      <c r="GJ302" s="263"/>
      <c r="GK302" s="263"/>
      <c r="GL302" s="263"/>
      <c r="GM302" s="263"/>
      <c r="GN302" s="263"/>
      <c r="GO302" s="263"/>
      <c r="GP302" s="263"/>
      <c r="GQ302" s="263"/>
      <c r="GR302" s="263"/>
      <c r="GS302" s="263"/>
      <c r="GT302" s="263"/>
      <c r="GU302" s="263"/>
      <c r="GV302" s="263"/>
      <c r="GW302" s="263"/>
      <c r="GX302" s="263"/>
      <c r="GY302" s="263"/>
    </row>
    <row r="303" spans="1:207" x14ac:dyDescent="0.15">
      <c r="A303" s="62"/>
      <c r="C303" s="23"/>
      <c r="D303" s="26" t="s">
        <v>414</v>
      </c>
      <c r="E303" s="39">
        <v>5.7500000000000002E-2</v>
      </c>
      <c r="F303" s="80"/>
      <c r="G303" s="302" cm="1">
        <f t="array" ref="G303">_xlfn.IFS(G$7&gt;(SAP_Leadsheet!$E$21+12),0,G$7=(SAP_Leadsheet!$E$21+12),SAP_Spreadsheet!G184,G$7&lt;(SAP_Leadsheet!$E$21+12),$E303*G184)</f>
        <v>0</v>
      </c>
      <c r="H303" s="302" cm="1">
        <f t="array" aca="1" ref="H303" ca="1">_xlfn.IFS(H$7&gt;(SAP_Leadsheet!$E$21+12),0,H$7=(SAP_Leadsheet!$E$21+12),SAP_Spreadsheet!H184,H$7&lt;(SAP_Leadsheet!$E$21+12),$E303*H184)</f>
        <v>0</v>
      </c>
      <c r="I303" s="302" cm="1">
        <f t="array" aca="1" ref="I303" ca="1">_xlfn.IFS(I$7&gt;(SAP_Leadsheet!$E$21+12),0,I$7=(SAP_Leadsheet!$E$21+12),SAP_Spreadsheet!I184,I$7&lt;(SAP_Leadsheet!$E$21+12),$E303*I184)</f>
        <v>0</v>
      </c>
      <c r="J303" s="302" cm="1">
        <f t="array" aca="1" ref="J303" ca="1">_xlfn.IFS(J$7&gt;(SAP_Leadsheet!$E$21+12),0,J$7=(SAP_Leadsheet!$E$21+12),SAP_Spreadsheet!J184,J$7&lt;(SAP_Leadsheet!$E$21+12),$E303*J184)</f>
        <v>1.4767790050771996E-3</v>
      </c>
      <c r="K303" s="302" cm="1">
        <f t="array" aca="1" ref="K303" ca="1">_xlfn.IFS(K$7&gt;(SAP_Leadsheet!$E$21+12),0,K$7=(SAP_Leadsheet!$E$21+12),SAP_Spreadsheet!K184,K$7&lt;(SAP_Leadsheet!$E$21+12),$E303*K184)</f>
        <v>2.6031820720451271E-3</v>
      </c>
      <c r="L303" s="302" cm="1">
        <f t="array" aca="1" ref="L303" ca="1">_xlfn.IFS(L$7&gt;(SAP_Leadsheet!$E$21+12),0,L$7=(SAP_Leadsheet!$E$21+12),SAP_Spreadsheet!L184,L$7&lt;(SAP_Leadsheet!$E$21+12),$E303*L184)</f>
        <v>3.0621413628517937E-3</v>
      </c>
      <c r="M303" s="302" cm="1">
        <f t="array" aca="1" ref="M303" ca="1">_xlfn.IFS(M$7&gt;(SAP_Leadsheet!$E$21+12),0,M$7=(SAP_Leadsheet!$E$21+12),SAP_Spreadsheet!M184,M$7&lt;(SAP_Leadsheet!$E$21+12),$E303*M184)</f>
        <v>3.0460963374146399E-3</v>
      </c>
      <c r="N303" s="302" cm="1">
        <f t="array" aca="1" ref="N303" ca="1">_xlfn.IFS(N$7&gt;(SAP_Leadsheet!$E$21+12),0,N$7=(SAP_Leadsheet!$E$21+12),SAP_Spreadsheet!N184,N$7&lt;(SAP_Leadsheet!$E$21+12),$E303*N184)</f>
        <v>2.8009474535068191E-3</v>
      </c>
      <c r="O303" s="302" cm="1">
        <f t="array" aca="1" ref="O303" ca="1">_xlfn.IFS(O$7&gt;(SAP_Leadsheet!$E$21+12),0,O$7=(SAP_Leadsheet!$E$21+12),SAP_Spreadsheet!O184,O$7&lt;(SAP_Leadsheet!$E$21+12),$E303*O184)</f>
        <v>2.4884502956320307E-3</v>
      </c>
      <c r="P303" s="302" cm="1">
        <f t="array" aca="1" ref="P303" ca="1">_xlfn.IFS(P$7&gt;(SAP_Leadsheet!$E$21+12),0,P$7=(SAP_Leadsheet!$E$21+12),SAP_Spreadsheet!P184,P$7&lt;(SAP_Leadsheet!$E$21+12),$E303*P184)</f>
        <v>2.1087526896393181E-3</v>
      </c>
      <c r="Q303" s="302" cm="1">
        <f t="array" aca="1" ref="Q303" ca="1">_xlfn.IFS(Q$7&gt;(SAP_Leadsheet!$E$21+12),0,Q$7=(SAP_Leadsheet!$E$21+12),SAP_Spreadsheet!Q184,Q$7&lt;(SAP_Leadsheet!$E$21+12),$E303*Q184)</f>
        <v>1.8291640873362375E-3</v>
      </c>
      <c r="R303" s="302" cm="1">
        <f t="array" aca="1" ref="R303" ca="1">_xlfn.IFS(R$7&gt;(SAP_Leadsheet!$E$21+12),0,R$7=(SAP_Leadsheet!$E$21+12),SAP_Spreadsheet!R184,R$7&lt;(SAP_Leadsheet!$E$21+12),$E303*R184)</f>
        <v>1.6012862160806533E-3</v>
      </c>
      <c r="S303" s="302" cm="1">
        <f t="array" aca="1" ref="S303" ca="1">_xlfn.IFS(S$7&gt;(SAP_Leadsheet!$E$21+12),0,S$7=(SAP_Leadsheet!$E$21+12),SAP_Spreadsheet!S184,S$7&lt;(SAP_Leadsheet!$E$21+12),$E303*S184)</f>
        <v>1.363548324850556E-3</v>
      </c>
      <c r="T303" s="302" cm="1">
        <f t="array" aca="1" ref="T303" ca="1">_xlfn.IFS(T$7&gt;(SAP_Leadsheet!$E$21+12),0,T$7=(SAP_Leadsheet!$E$21+12),SAP_Spreadsheet!T184,T$7&lt;(SAP_Leadsheet!$E$21+12),$E303*T184)</f>
        <v>1.1650540963367055E-3</v>
      </c>
      <c r="U303" s="302" cm="1">
        <f t="array" aca="1" ref="U303" ca="1">_xlfn.IFS(U$7&gt;(SAP_Leadsheet!$E$21+12),0,U$7=(SAP_Leadsheet!$E$21+12),SAP_Spreadsheet!U184,U$7&lt;(SAP_Leadsheet!$E$21+12),$E303*U184)</f>
        <v>5.851208939868629E-4</v>
      </c>
      <c r="V303" s="302" cm="1">
        <f t="array" aca="1" ref="V303" ca="1">_xlfn.IFS(V$7&gt;(SAP_Leadsheet!$E$21+12),0,V$7=(SAP_Leadsheet!$E$21+12),SAP_Spreadsheet!V184,V$7&lt;(SAP_Leadsheet!$E$21+12),$E303*V184)</f>
        <v>6.0066747702827304E-4</v>
      </c>
      <c r="W303" s="302" cm="1">
        <f t="array" aca="1" ref="W303" ca="1">_xlfn.IFS(W$7&gt;(SAP_Leadsheet!$E$21+12),0,W$7=(SAP_Leadsheet!$E$21+12),SAP_Spreadsheet!W184,W$7&lt;(SAP_Leadsheet!$E$21+12),$E303*W184)</f>
        <v>6.9122837661784303E-4</v>
      </c>
      <c r="X303" s="302" cm="1">
        <f t="array" aca="1" ref="X303" ca="1">_xlfn.IFS(X$7&gt;(SAP_Leadsheet!$E$21+12),0,X$7=(SAP_Leadsheet!$E$21+12),SAP_Spreadsheet!X184,X$7&lt;(SAP_Leadsheet!$E$21+12),$E303*X184)</f>
        <v>7.1281709161042273E-4</v>
      </c>
      <c r="Y303" s="302" cm="1">
        <f t="array" aca="1" ref="Y303" ca="1">_xlfn.IFS(Y$7&gt;(SAP_Leadsheet!$E$21+12),0,Y$7=(SAP_Leadsheet!$E$21+12),SAP_Spreadsheet!Y184,Y$7&lt;(SAP_Leadsheet!$E$21+12),$E303*Y184)</f>
        <v>6.7870623076911687E-4</v>
      </c>
      <c r="Z303" s="302" cm="1">
        <f t="array" aca="1" ref="Z303" ca="1">_xlfn.IFS(Z$7&gt;(SAP_Leadsheet!$E$21+12),0,Z$7=(SAP_Leadsheet!$E$21+12),SAP_Spreadsheet!Z184,Z$7&lt;(SAP_Leadsheet!$E$21+12),$E303*Z184)</f>
        <v>6.8731423296360876E-4</v>
      </c>
      <c r="AA303" s="302" cm="1">
        <f t="array" aca="1" ref="AA303" ca="1">_xlfn.IFS(AA$7&gt;(SAP_Leadsheet!$E$21+12),0,AA$7=(SAP_Leadsheet!$E$21+12),SAP_Spreadsheet!AA184,AA$7&lt;(SAP_Leadsheet!$E$21+12),$E303*AA184)</f>
        <v>7.0445455837135455E-4</v>
      </c>
      <c r="AB303" s="302" cm="1">
        <f t="array" aca="1" ref="AB303" ca="1">_xlfn.IFS(AB$7&gt;(SAP_Leadsheet!$E$21+12),0,AB$7=(SAP_Leadsheet!$E$21+12),SAP_Spreadsheet!AB184,AB$7&lt;(SAP_Leadsheet!$E$21+12),$E303*AB184)</f>
        <v>7.1363543088147862E-4</v>
      </c>
      <c r="AC303" s="302" cm="1">
        <f t="array" aca="1" ref="AC303" ca="1">_xlfn.IFS(AC$7&gt;(SAP_Leadsheet!$E$21+12),0,AC$7=(SAP_Leadsheet!$E$21+12),SAP_Spreadsheet!AC184,AC$7&lt;(SAP_Leadsheet!$E$21+12),$E303*AC184)</f>
        <v>7.1125835460505104E-4</v>
      </c>
      <c r="AD303" s="302" cm="1">
        <f t="array" aca="1" ref="AD303" ca="1">_xlfn.IFS(AD$7&gt;(SAP_Leadsheet!$E$21+12),0,AD$7=(SAP_Leadsheet!$E$21+12),SAP_Spreadsheet!AD184,AD$7&lt;(SAP_Leadsheet!$E$21+12),$E303*AD184)</f>
        <v>6.9629458922487459E-4</v>
      </c>
      <c r="AE303" s="302" cm="1">
        <f t="array" aca="1" ref="AE303" ca="1">_xlfn.IFS(AE$7&gt;(SAP_Leadsheet!$E$21+12),0,AE$7=(SAP_Leadsheet!$E$21+12),SAP_Spreadsheet!AE184,AE$7&lt;(SAP_Leadsheet!$E$21+12),$E303*AE184)</f>
        <v>6.5285600509984085E-4</v>
      </c>
      <c r="AF303" s="302" cm="1">
        <f t="array" aca="1" ref="AF303" ca="1">_xlfn.IFS(AF$7&gt;(SAP_Leadsheet!$E$21+12),0,AF$7=(SAP_Leadsheet!$E$21+12),SAP_Spreadsheet!AF184,AF$7&lt;(SAP_Leadsheet!$E$21+12),$E303*AF184)</f>
        <v>6.3536260160453094E-4</v>
      </c>
      <c r="AG303" s="302" cm="1">
        <f t="array" aca="1" ref="AG303" ca="1">_xlfn.IFS(AG$7&gt;(SAP_Leadsheet!$E$21+12),0,AG$7=(SAP_Leadsheet!$E$21+12),SAP_Spreadsheet!AG184,AG$7&lt;(SAP_Leadsheet!$E$21+12),$E303*AG184)</f>
        <v>5.1980695368037788E-4</v>
      </c>
      <c r="AH303" s="302" cm="1">
        <f t="array" aca="1" ref="AH303" ca="1">_xlfn.IFS(AH$7&gt;(SAP_Leadsheet!$E$21+12),0,AH$7=(SAP_Leadsheet!$E$21+12),SAP_Spreadsheet!AH184,AH$7&lt;(SAP_Leadsheet!$E$21+12),$E303*AH184)</f>
        <v>5.3042680413183726E-4</v>
      </c>
      <c r="AI303" s="302" cm="1">
        <f t="array" aca="1" ref="AI303" ca="1">_xlfn.IFS(AI$7&gt;(SAP_Leadsheet!$E$21+12),0,AI$7=(SAP_Leadsheet!$E$21+12),SAP_Spreadsheet!AI184,AI$7&lt;(SAP_Leadsheet!$E$21+12),$E303*AI184)</f>
        <v>5.6304858072589664E-4</v>
      </c>
      <c r="AJ303" s="302" cm="1">
        <f t="array" aca="1" ref="AJ303" ca="1">_xlfn.IFS(AJ$7&gt;(SAP_Leadsheet!$E$21+12),0,AJ$7=(SAP_Leadsheet!$E$21+12),SAP_Spreadsheet!AJ184,AJ$7&lt;(SAP_Leadsheet!$E$21+12),$E303*AJ184)</f>
        <v>5.8319838323845556E-4</v>
      </c>
      <c r="AK303" s="302" cm="1">
        <f t="array" aca="1" ref="AK303" ca="1">_xlfn.IFS(AK$7&gt;(SAP_Leadsheet!$E$21+12),0,AK$7=(SAP_Leadsheet!$E$21+12),SAP_Spreadsheet!AK184,AK$7&lt;(SAP_Leadsheet!$E$21+12),$E303*AK184)</f>
        <v>5.8606715834708697E-4</v>
      </c>
      <c r="AL303" s="302" cm="1">
        <f t="array" aca="1" ref="AL303" ca="1">_xlfn.IFS(AL$7&gt;(SAP_Leadsheet!$E$21+12),0,AL$7=(SAP_Leadsheet!$E$21+12),SAP_Spreadsheet!AL184,AL$7&lt;(SAP_Leadsheet!$E$21+12),$E303*AL184)</f>
        <v>5.7763047391648612E-4</v>
      </c>
      <c r="AM303" s="302" cm="1">
        <f t="array" aca="1" ref="AM303" ca="1">_xlfn.IFS(AM$7&gt;(SAP_Leadsheet!$E$21+12),0,AM$7=(SAP_Leadsheet!$E$21+12),SAP_Spreadsheet!AM184,AM$7&lt;(SAP_Leadsheet!$E$21+12),$E303*AM184)</f>
        <v>5.6419634604211639E-4</v>
      </c>
      <c r="AN303" s="302" cm="1">
        <f t="array" aca="1" ref="AN303" ca="1">_xlfn.IFS(AN$7&gt;(SAP_Leadsheet!$E$21+12),0,AN$7=(SAP_Leadsheet!$E$21+12),SAP_Spreadsheet!AN184,AN$7&lt;(SAP_Leadsheet!$E$21+12),$E303*AN184)</f>
        <v>5.4937633645655432E-4</v>
      </c>
      <c r="AO303" s="302" cm="1">
        <f t="array" aca="1" ref="AO303" ca="1">_xlfn.IFS(AO$7&gt;(SAP_Leadsheet!$E$21+12),0,AO$7=(SAP_Leadsheet!$E$21+12),SAP_Spreadsheet!AO184,AO$7&lt;(SAP_Leadsheet!$E$21+12),$E303*AO184)</f>
        <v>5.5292448368067656E-4</v>
      </c>
      <c r="AP303" s="302" cm="1">
        <f t="array" aca="1" ref="AP303" ca="1">_xlfn.IFS(AP$7&gt;(SAP_Leadsheet!$E$21+12),0,AP$7=(SAP_Leadsheet!$E$21+12),SAP_Spreadsheet!AP184,AP$7&lt;(SAP_Leadsheet!$E$21+12),$E303*AP184)</f>
        <v>5.3558362666326041E-4</v>
      </c>
      <c r="AQ303" s="302" cm="1">
        <f t="array" aca="1" ref="AQ303" ca="1">_xlfn.IFS(AQ$7&gt;(SAP_Leadsheet!$E$21+12),0,AQ$7=(SAP_Leadsheet!$E$21+12),SAP_Spreadsheet!AQ184,AQ$7&lt;(SAP_Leadsheet!$E$21+12),$E303*AQ184)</f>
        <v>5.1367461811249585E-4</v>
      </c>
      <c r="AR303" s="302" cm="1">
        <f t="array" aca="1" ref="AR303" ca="1">_xlfn.IFS(AR$7&gt;(SAP_Leadsheet!$E$21+12),0,AR$7=(SAP_Leadsheet!$E$21+12),SAP_Spreadsheet!AR184,AR$7&lt;(SAP_Leadsheet!$E$21+12),$E303*AR184)</f>
        <v>4.7563629599378508E-4</v>
      </c>
      <c r="AS303" s="302" cm="1">
        <f t="array" aca="1" ref="AS303" ca="1">_xlfn.IFS(AS$7&gt;(SAP_Leadsheet!$E$21+12),0,AS$7=(SAP_Leadsheet!$E$21+12),SAP_Spreadsheet!AS184,AS$7&lt;(SAP_Leadsheet!$E$21+12),$E303*AS184)</f>
        <v>3.8253702977343476E-4</v>
      </c>
      <c r="AT303" s="302" cm="1">
        <f t="array" aca="1" ref="AT303" ca="1">_xlfn.IFS(AT$7&gt;(SAP_Leadsheet!$E$21+12),0,AT$7=(SAP_Leadsheet!$E$21+12),SAP_Spreadsheet!AT184,AT$7&lt;(SAP_Leadsheet!$E$21+12),$E303*AT184)</f>
        <v>3.7406939828065145E-4</v>
      </c>
      <c r="AU303" s="302" cm="1">
        <f t="array" aca="1" ref="AU303" ca="1">_xlfn.IFS(AU$7&gt;(SAP_Leadsheet!$E$21+12),0,AU$7=(SAP_Leadsheet!$E$21+12),SAP_Spreadsheet!AU184,AU$7&lt;(SAP_Leadsheet!$E$21+12),$E303*AU184)</f>
        <v>3.6714940431192069E-4</v>
      </c>
      <c r="AV303" s="302" cm="1">
        <f t="array" aca="1" ref="AV303" ca="1">_xlfn.IFS(AV$7&gt;(SAP_Leadsheet!$E$21+12),0,AV$7=(SAP_Leadsheet!$E$21+12),SAP_Spreadsheet!AV184,AV$7&lt;(SAP_Leadsheet!$E$21+12),$E303*AV184)</f>
        <v>3.6097823398924386E-4</v>
      </c>
      <c r="AW303" s="302" cm="1">
        <f t="array" aca="1" ref="AW303" ca="1">_xlfn.IFS(AW$7&gt;(SAP_Leadsheet!$E$21+12),0,AW$7=(SAP_Leadsheet!$E$21+12),SAP_Spreadsheet!AW184,AW$7&lt;(SAP_Leadsheet!$E$21+12),$E303*AW184)</f>
        <v>3.5495754860681881E-4</v>
      </c>
      <c r="AX303" s="302" cm="1">
        <f t="array" aca="1" ref="AX303" ca="1">_xlfn.IFS(AX$7&gt;(SAP_Leadsheet!$E$21+12),0,AX$7=(SAP_Leadsheet!$E$21+12),SAP_Spreadsheet!AX184,AX$7&lt;(SAP_Leadsheet!$E$21+12),$E303*AX184)</f>
        <v>3.4885857808434365E-4</v>
      </c>
      <c r="AY303" s="302" cm="1">
        <f t="array" aca="1" ref="AY303" ca="1">_xlfn.IFS(AY$7&gt;(SAP_Leadsheet!$E$21+12),0,AY$7=(SAP_Leadsheet!$E$21+12),SAP_Spreadsheet!AY184,AY$7&lt;(SAP_Leadsheet!$E$21+12),$E303*AY184)</f>
        <v>3.4264848781227899E-4</v>
      </c>
      <c r="AZ303" s="302" cm="1">
        <f t="array" aca="1" ref="AZ303" ca="1">_xlfn.IFS(AZ$7&gt;(SAP_Leadsheet!$E$21+12),0,AZ$7=(SAP_Leadsheet!$E$21+12),SAP_Spreadsheet!AZ184,AZ$7&lt;(SAP_Leadsheet!$E$21+12),$E303*AZ184)</f>
        <v>3.3627700993169496E-4</v>
      </c>
      <c r="BA303" s="302" cm="1">
        <f t="array" aca="1" ref="BA303" ca="1">_xlfn.IFS(BA$7&gt;(SAP_Leadsheet!$E$21+12),0,BA$7=(SAP_Leadsheet!$E$21+12),SAP_Spreadsheet!BA184,BA$7&lt;(SAP_Leadsheet!$E$21+12),$E303*BA184)</f>
        <v>3.2966586220014703E-4</v>
      </c>
      <c r="BB303" s="302" cm="1">
        <f t="array" aca="1" ref="BB303" ca="1">_xlfn.IFS(BB$7&gt;(SAP_Leadsheet!$E$21+12),0,BB$7=(SAP_Leadsheet!$E$21+12),SAP_Spreadsheet!BB184,BB$7&lt;(SAP_Leadsheet!$E$21+12),$E303*BB184)</f>
        <v>3.2255915502664255E-4</v>
      </c>
      <c r="BC303" s="302" cm="1">
        <f t="array" aca="1" ref="BC303" ca="1">_xlfn.IFS(BC$7&gt;(SAP_Leadsheet!$E$21+12),0,BC$7=(SAP_Leadsheet!$E$21+12),SAP_Spreadsheet!BC184,BC$7&lt;(SAP_Leadsheet!$E$21+12),$E303*BC184)</f>
        <v>3.1471963356161282E-4</v>
      </c>
      <c r="BD303" s="302" cm="1">
        <f t="array" aca="1" ref="BD303" ca="1">_xlfn.IFS(BD$7&gt;(SAP_Leadsheet!$E$21+12),0,BD$7=(SAP_Leadsheet!$E$21+12),SAP_Spreadsheet!BD184,BD$7&lt;(SAP_Leadsheet!$E$21+12),$E303*BD184)</f>
        <v>3.0638433927055348E-4</v>
      </c>
      <c r="BE303" s="302" cm="1">
        <f t="array" aca="1" ref="BE303" ca="1">_xlfn.IFS(BE$7&gt;(SAP_Leadsheet!$E$21+12),0,BE$7=(SAP_Leadsheet!$E$21+12),SAP_Spreadsheet!BE184,BE$7&lt;(SAP_Leadsheet!$E$21+12),$E303*BE184)</f>
        <v>2.6208635081773014E-4</v>
      </c>
      <c r="BF303" s="302" cm="1">
        <f t="array" aca="1" ref="BF303" ca="1">_xlfn.IFS(BF$7&gt;(SAP_Leadsheet!$E$21+12),0,BF$7=(SAP_Leadsheet!$E$21+12),SAP_Spreadsheet!BF184,BF$7&lt;(SAP_Leadsheet!$E$21+12),$E303*BF184)</f>
        <v>2.5551735475818206E-4</v>
      </c>
      <c r="BG303" s="302" cm="1">
        <f t="array" aca="1" ref="BG303" ca="1">_xlfn.IFS(BG$7&gt;(SAP_Leadsheet!$E$21+12),0,BG$7=(SAP_Leadsheet!$E$21+12),SAP_Spreadsheet!BG184,BG$7&lt;(SAP_Leadsheet!$E$21+12),$E303*BG184)</f>
        <v>2.4896458591748734E-4</v>
      </c>
      <c r="BH303" s="302" cm="1">
        <f t="array" aca="1" ref="BH303" ca="1">_xlfn.IFS(BH$7&gt;(SAP_Leadsheet!$E$21+12),0,BH$7=(SAP_Leadsheet!$E$21+12),SAP_Spreadsheet!BH184,BH$7&lt;(SAP_Leadsheet!$E$21+12),$E303*BH184)</f>
        <v>2.4246982244576661E-4</v>
      </c>
      <c r="BI303" s="302" cm="1">
        <f t="array" aca="1" ref="BI303" ca="1">_xlfn.IFS(BI$7&gt;(SAP_Leadsheet!$E$21+12),0,BI$7=(SAP_Leadsheet!$E$21+12),SAP_Spreadsheet!BI184,BI$7&lt;(SAP_Leadsheet!$E$21+12),$E303*BI184)</f>
        <v>2.3600570139200959E-4</v>
      </c>
      <c r="BJ303" s="302" cm="1">
        <f t="array" aca="1" ref="BJ303" ca="1">_xlfn.IFS(BJ$7&gt;(SAP_Leadsheet!$E$21+12),0,BJ$7=(SAP_Leadsheet!$E$21+12),SAP_Spreadsheet!BJ184,BJ$7&lt;(SAP_Leadsheet!$E$21+12),$E303*BJ184)</f>
        <v>2.295554405300157E-4</v>
      </c>
      <c r="BK303" s="302" cm="1">
        <f t="array" aca="1" ref="BK303" ca="1">_xlfn.IFS(BK$7&gt;(SAP_Leadsheet!$E$21+12),0,BK$7=(SAP_Leadsheet!$E$21+12),SAP_Spreadsheet!BK184,BK$7&lt;(SAP_Leadsheet!$E$21+12),$E303*BK184)</f>
        <v>2.2309876034517893E-4</v>
      </c>
      <c r="BL303" s="302" cm="1">
        <f t="array" aca="1" ref="BL303" ca="1">_xlfn.IFS(BL$7&gt;(SAP_Leadsheet!$E$21+12),0,BL$7=(SAP_Leadsheet!$E$21+12),SAP_Spreadsheet!BL184,BL$7&lt;(SAP_Leadsheet!$E$21+12),$E303*BL184)</f>
        <v>2.1662582744350829E-4</v>
      </c>
      <c r="BM303" s="302" cm="1">
        <f t="array" aca="1" ref="BM303" ca="1">_xlfn.IFS(BM$7&gt;(SAP_Leadsheet!$E$21+12),0,BM$7=(SAP_Leadsheet!$E$21+12),SAP_Spreadsheet!BM184,BM$7&lt;(SAP_Leadsheet!$E$21+12),$E303*BM184)</f>
        <v>2.101351161849567E-4</v>
      </c>
      <c r="BN303" s="302" cm="1">
        <f t="array" aca="1" ref="BN303" ca="1">_xlfn.IFS(BN$7&gt;(SAP_Leadsheet!$E$21+12),0,BN$7=(SAP_Leadsheet!$E$21+12),SAP_Spreadsheet!BN184,BN$7&lt;(SAP_Leadsheet!$E$21+12),$E303*BN184)</f>
        <v>2.0355023929348226E-4</v>
      </c>
      <c r="BO303" s="302" cm="1">
        <f t="array" aca="1" ref="BO303" ca="1">_xlfn.IFS(BO$7&gt;(SAP_Leadsheet!$E$21+12),0,BO$7=(SAP_Leadsheet!$E$21+12),SAP_Spreadsheet!BO184,BO$7&lt;(SAP_Leadsheet!$E$21+12),$E303*BO184)</f>
        <v>1.9674686842838688E-4</v>
      </c>
      <c r="BP303" s="302" cm="1">
        <f t="array" aca="1" ref="BP303" ca="1">_xlfn.IFS(BP$7&gt;(SAP_Leadsheet!$E$21+12),0,BP$7=(SAP_Leadsheet!$E$21+12),SAP_Spreadsheet!BP184,BP$7&lt;(SAP_Leadsheet!$E$21+12),$E303*BP184)</f>
        <v>1.8978332962319325E-4</v>
      </c>
      <c r="BQ303" s="302" cm="1">
        <f t="array" aca="1" ref="BQ303" ca="1">_xlfn.IFS(BQ$7&gt;(SAP_Leadsheet!$E$21+12),0,BQ$7=(SAP_Leadsheet!$E$21+12),SAP_Spreadsheet!BQ184,BQ$7&lt;(SAP_Leadsheet!$E$21+12),$E303*BQ184)</f>
        <v>1.8274167711580322E-4</v>
      </c>
      <c r="BR303" s="302" cm="1">
        <f t="array" aca="1" ref="BR303" ca="1">_xlfn.IFS(BR$7&gt;(SAP_Leadsheet!$E$21+12),0,BR$7=(SAP_Leadsheet!$E$21+12),SAP_Spreadsheet!BR184,BR$7&lt;(SAP_Leadsheet!$E$21+12),$E303*BR184)</f>
        <v>0</v>
      </c>
      <c r="BS303" s="302" cm="1">
        <f t="array" aca="1" ref="BS303" ca="1">_xlfn.IFS(BS$7&gt;(SAP_Leadsheet!$E$21+12),0,BS$7=(SAP_Leadsheet!$E$21+12),SAP_Spreadsheet!BS184,BS$7&lt;(SAP_Leadsheet!$E$21+12),$E303*BS184)</f>
        <v>0</v>
      </c>
      <c r="BT303" s="302" cm="1">
        <f t="array" aca="1" ref="BT303" ca="1">_xlfn.IFS(BT$7&gt;(SAP_Leadsheet!$E$21+12),0,BT$7=(SAP_Leadsheet!$E$21+12),SAP_Spreadsheet!BT184,BT$7&lt;(SAP_Leadsheet!$E$21+12),$E303*BT184)</f>
        <v>0</v>
      </c>
      <c r="BU303" s="302" cm="1">
        <f t="array" aca="1" ref="BU303" ca="1">_xlfn.IFS(BU$7&gt;(SAP_Leadsheet!$E$21+12),0,BU$7=(SAP_Leadsheet!$E$21+12),SAP_Spreadsheet!BU184,BU$7&lt;(SAP_Leadsheet!$E$21+12),$E303*BU184)</f>
        <v>0</v>
      </c>
      <c r="BV303" s="302" cm="1">
        <f t="array" aca="1" ref="BV303" ca="1">_xlfn.IFS(BV$7&gt;(SAP_Leadsheet!$E$21+12),0,BV$7=(SAP_Leadsheet!$E$21+12),SAP_Spreadsheet!BV184,BV$7&lt;(SAP_Leadsheet!$E$21+12),$E303*BV184)</f>
        <v>0</v>
      </c>
      <c r="BW303" s="302" cm="1">
        <f t="array" aca="1" ref="BW303" ca="1">_xlfn.IFS(BW$7&gt;(SAP_Leadsheet!$E$21+12),0,BW$7=(SAP_Leadsheet!$E$21+12),SAP_Spreadsheet!BW184,BW$7&lt;(SAP_Leadsheet!$E$21+12),$E303*BW184)</f>
        <v>0</v>
      </c>
      <c r="BX303" s="302" cm="1">
        <f t="array" aca="1" ref="BX303" ca="1">_xlfn.IFS(BX$7&gt;(SAP_Leadsheet!$E$21+12),0,BX$7=(SAP_Leadsheet!$E$21+12),SAP_Spreadsheet!BX184,BX$7&lt;(SAP_Leadsheet!$E$21+12),$E303*BX184)</f>
        <v>0</v>
      </c>
      <c r="BY303" s="302" cm="1">
        <f t="array" aca="1" ref="BY303" ca="1">_xlfn.IFS(BY$7&gt;(SAP_Leadsheet!$E$21+12),0,BY$7=(SAP_Leadsheet!$E$21+12),SAP_Spreadsheet!BY184,BY$7&lt;(SAP_Leadsheet!$E$21+12),$E303*BY184)</f>
        <v>0</v>
      </c>
      <c r="BZ303" s="302" cm="1">
        <f t="array" aca="1" ref="BZ303" ca="1">_xlfn.IFS(BZ$7&gt;(SAP_Leadsheet!$E$21+12),0,BZ$7=(SAP_Leadsheet!$E$21+12),SAP_Spreadsheet!BZ184,BZ$7&lt;(SAP_Leadsheet!$E$21+12),$E303*BZ184)</f>
        <v>0</v>
      </c>
      <c r="CA303" s="263"/>
      <c r="CB303" s="263"/>
      <c r="CC303" s="263"/>
      <c r="CD303" s="263"/>
      <c r="CE303" s="263"/>
      <c r="CF303" s="263"/>
      <c r="CG303" s="263"/>
      <c r="CH303" s="263"/>
      <c r="CI303" s="263"/>
      <c r="CJ303" s="263"/>
      <c r="CK303" s="263"/>
      <c r="CL303" s="263"/>
      <c r="CM303" s="263"/>
      <c r="CN303" s="263"/>
      <c r="CO303" s="263"/>
      <c r="CP303" s="263"/>
      <c r="CQ303" s="263"/>
      <c r="CR303" s="263"/>
      <c r="CS303" s="263"/>
      <c r="CT303" s="263"/>
      <c r="CU303" s="263"/>
      <c r="CV303" s="263"/>
      <c r="CW303" s="263"/>
      <c r="CX303" s="263"/>
      <c r="CY303" s="263"/>
      <c r="CZ303" s="263"/>
      <c r="DA303" s="263"/>
      <c r="DB303" s="263"/>
      <c r="DC303" s="263"/>
      <c r="DD303" s="263"/>
      <c r="DE303" s="263"/>
      <c r="DF303" s="263"/>
      <c r="DG303" s="263"/>
      <c r="DH303" s="263"/>
      <c r="DI303" s="263"/>
      <c r="DJ303" s="263"/>
      <c r="DK303" s="263"/>
      <c r="DL303" s="263"/>
      <c r="DM303" s="263"/>
      <c r="DN303" s="263"/>
      <c r="DO303" s="263"/>
      <c r="DP303" s="263"/>
      <c r="DQ303" s="263"/>
      <c r="DR303" s="263"/>
      <c r="DS303" s="263"/>
      <c r="DT303" s="263"/>
      <c r="DU303" s="263"/>
      <c r="DV303" s="263"/>
      <c r="DW303" s="263"/>
      <c r="DX303" s="263"/>
      <c r="DY303" s="263"/>
      <c r="DZ303" s="263"/>
      <c r="EA303" s="263"/>
      <c r="EB303" s="263"/>
      <c r="EC303" s="263"/>
      <c r="ED303" s="263"/>
      <c r="EE303" s="263"/>
      <c r="EF303" s="263"/>
      <c r="EG303" s="263"/>
      <c r="EH303" s="263"/>
      <c r="EI303" s="263"/>
      <c r="EJ303" s="263"/>
      <c r="EK303" s="263"/>
      <c r="EL303" s="263"/>
      <c r="EM303" s="263"/>
      <c r="EN303" s="263"/>
      <c r="EO303" s="263"/>
      <c r="EP303" s="263"/>
      <c r="EQ303" s="263"/>
      <c r="ER303" s="263"/>
      <c r="ES303" s="263"/>
      <c r="ET303" s="263"/>
      <c r="EU303" s="263"/>
      <c r="EV303" s="263"/>
      <c r="EW303" s="263"/>
      <c r="EX303" s="263"/>
      <c r="EY303" s="263"/>
      <c r="EZ303" s="263"/>
      <c r="FA303" s="263"/>
      <c r="FB303" s="263"/>
      <c r="FC303" s="263"/>
      <c r="FD303" s="263"/>
      <c r="FE303" s="263"/>
      <c r="FF303" s="263"/>
      <c r="FG303" s="263"/>
      <c r="FH303" s="263"/>
      <c r="FI303" s="263"/>
      <c r="FJ303" s="263"/>
      <c r="FK303" s="263"/>
      <c r="FL303" s="263"/>
      <c r="FM303" s="263"/>
      <c r="FN303" s="263"/>
      <c r="FO303" s="263"/>
      <c r="FP303" s="263"/>
      <c r="FQ303" s="263"/>
      <c r="FR303" s="263"/>
      <c r="FS303" s="263"/>
      <c r="FT303" s="263"/>
      <c r="FU303" s="263"/>
      <c r="FV303" s="263"/>
      <c r="FW303" s="263"/>
      <c r="FX303" s="263"/>
      <c r="FY303" s="263"/>
      <c r="FZ303" s="263"/>
      <c r="GA303" s="263"/>
      <c r="GB303" s="263"/>
      <c r="GC303" s="263"/>
      <c r="GD303" s="263"/>
      <c r="GE303" s="263"/>
      <c r="GF303" s="263"/>
      <c r="GG303" s="263"/>
      <c r="GH303" s="263"/>
      <c r="GI303" s="263"/>
      <c r="GJ303" s="263"/>
      <c r="GK303" s="263"/>
      <c r="GL303" s="263"/>
      <c r="GM303" s="263"/>
      <c r="GN303" s="263"/>
      <c r="GO303" s="263"/>
      <c r="GP303" s="263"/>
      <c r="GQ303" s="263"/>
      <c r="GR303" s="263"/>
      <c r="GS303" s="263"/>
      <c r="GT303" s="263"/>
      <c r="GU303" s="263"/>
      <c r="GV303" s="263"/>
      <c r="GW303" s="263"/>
      <c r="GX303" s="263"/>
      <c r="GY303" s="263"/>
    </row>
    <row r="304" spans="1:207" x14ac:dyDescent="0.15">
      <c r="A304" s="62"/>
      <c r="C304" s="23"/>
      <c r="D304" s="26" t="s">
        <v>415</v>
      </c>
      <c r="E304" s="39">
        <v>0.20749999999999999</v>
      </c>
      <c r="F304" s="80"/>
      <c r="G304" s="302" cm="1">
        <f t="array" ref="G304">_xlfn.IFS(G$7&gt;(SAP_Leadsheet!$E$21+12),0,G$7=(SAP_Leadsheet!$E$21+12),SAP_Spreadsheet!G185,G$7&lt;(SAP_Leadsheet!$E$21+12),$E304*G185)</f>
        <v>0</v>
      </c>
      <c r="H304" s="302" cm="1">
        <f t="array" aca="1" ref="H304" ca="1">_xlfn.IFS(H$7&gt;(SAP_Leadsheet!$E$21+12),0,H$7=(SAP_Leadsheet!$E$21+12),SAP_Spreadsheet!H185,H$7&lt;(SAP_Leadsheet!$E$21+12),$E304*H185)</f>
        <v>0</v>
      </c>
      <c r="I304" s="302" cm="1">
        <f t="array" aca="1" ref="I304" ca="1">_xlfn.IFS(I$7&gt;(SAP_Leadsheet!$E$21+12),0,I$7=(SAP_Leadsheet!$E$21+12),SAP_Spreadsheet!I185,I$7&lt;(SAP_Leadsheet!$E$21+12),$E304*I185)</f>
        <v>0</v>
      </c>
      <c r="J304" s="302" cm="1">
        <f t="array" aca="1" ref="J304" ca="1">_xlfn.IFS(J$7&gt;(SAP_Leadsheet!$E$21+12),0,J$7=(SAP_Leadsheet!$E$21+12),SAP_Spreadsheet!J185,J$7&lt;(SAP_Leadsheet!$E$21+12),$E304*J185)</f>
        <v>0</v>
      </c>
      <c r="K304" s="302" cm="1">
        <f t="array" aca="1" ref="K304" ca="1">_xlfn.IFS(K$7&gt;(SAP_Leadsheet!$E$21+12),0,K$7=(SAP_Leadsheet!$E$21+12),SAP_Spreadsheet!K185,K$7&lt;(SAP_Leadsheet!$E$21+12),$E304*K185)</f>
        <v>5.2334256392308981E-3</v>
      </c>
      <c r="L304" s="302" cm="1">
        <f t="array" aca="1" ref="L304" ca="1">_xlfn.IFS(L$7&gt;(SAP_Leadsheet!$E$21+12),0,L$7=(SAP_Leadsheet!$E$21+12),SAP_Spreadsheet!L185,L$7&lt;(SAP_Leadsheet!$E$21+12),$E304*L185)</f>
        <v>9.2251851851828034E-3</v>
      </c>
      <c r="M304" s="302" cm="1">
        <f t="array" aca="1" ref="M304" ca="1">_xlfn.IFS(M$7&gt;(SAP_Leadsheet!$E$21+12),0,M$7=(SAP_Leadsheet!$E$21+12),SAP_Spreadsheet!M185,M$7&lt;(SAP_Leadsheet!$E$21+12),$E304*M185)</f>
        <v>1.0851650154967011E-2</v>
      </c>
      <c r="N304" s="302" cm="1">
        <f t="array" aca="1" ref="N304" ca="1">_xlfn.IFS(N$7&gt;(SAP_Leadsheet!$E$21+12),0,N$7=(SAP_Leadsheet!$E$21+12),SAP_Spreadsheet!N185,N$7&lt;(SAP_Leadsheet!$E$21+12),$E304*N185)</f>
        <v>1.0794789617800501E-2</v>
      </c>
      <c r="O304" s="302" cm="1">
        <f t="array" aca="1" ref="O304" ca="1">_xlfn.IFS(O$7&gt;(SAP_Leadsheet!$E$21+12),0,O$7=(SAP_Leadsheet!$E$21+12),SAP_Spreadsheet!O185,O$7&lt;(SAP_Leadsheet!$E$21+12),$E304*O185)</f>
        <v>9.9260283135964508E-3</v>
      </c>
      <c r="P304" s="302" cm="1">
        <f t="array" aca="1" ref="P304" ca="1">_xlfn.IFS(P$7&gt;(SAP_Leadsheet!$E$21+12),0,P$7=(SAP_Leadsheet!$E$21+12),SAP_Spreadsheet!P185,P$7&lt;(SAP_Leadsheet!$E$21+12),$E304*P185)</f>
        <v>8.8185974572624597E-3</v>
      </c>
      <c r="Q304" s="302" cm="1">
        <f t="array" aca="1" ref="Q304" ca="1">_xlfn.IFS(Q$7&gt;(SAP_Leadsheet!$E$21+12),0,Q$7=(SAP_Leadsheet!$E$21+12),SAP_Spreadsheet!Q185,Q$7&lt;(SAP_Leadsheet!$E$21+12),$E304*Q185)</f>
        <v>7.4730209156640935E-3</v>
      </c>
      <c r="R304" s="302" cm="1">
        <f t="array" aca="1" ref="R304" ca="1">_xlfn.IFS(R$7&gt;(SAP_Leadsheet!$E$21+12),0,R$7=(SAP_Leadsheet!$E$21+12),SAP_Spreadsheet!R185,R$7&lt;(SAP_Leadsheet!$E$21+12),$E304*R185)</f>
        <v>6.4822117595891918E-3</v>
      </c>
      <c r="S304" s="302" cm="1">
        <f t="array" aca="1" ref="S304" ca="1">_xlfn.IFS(S$7&gt;(SAP_Leadsheet!$E$21+12),0,S$7=(SAP_Leadsheet!$E$21+12),SAP_Spreadsheet!S185,S$7&lt;(SAP_Leadsheet!$E$21+12),$E304*S185)</f>
        <v>5.5675518169616767E-3</v>
      </c>
      <c r="T304" s="302" cm="1">
        <f t="array" aca="1" ref="T304" ca="1">_xlfn.IFS(T$7&gt;(SAP_Leadsheet!$E$21+12),0,T$7=(SAP_Leadsheet!$E$21+12),SAP_Spreadsheet!T185,T$7&lt;(SAP_Leadsheet!$E$21+12),$E304*T185)</f>
        <v>4.7409550380807059E-3</v>
      </c>
      <c r="U304" s="302" cm="1">
        <f t="array" aca="1" ref="U304" ca="1">_xlfn.IFS(U$7&gt;(SAP_Leadsheet!$E$21+12),0,U$7=(SAP_Leadsheet!$E$21+12),SAP_Spreadsheet!U185,U$7&lt;(SAP_Leadsheet!$E$21+12),$E304*U185)</f>
        <v>4.0508055248202786E-3</v>
      </c>
      <c r="V304" s="302" cm="1">
        <f t="array" aca="1" ref="V304" ca="1">_xlfn.IFS(V$7&gt;(SAP_Leadsheet!$E$21+12),0,V$7=(SAP_Leadsheet!$E$21+12),SAP_Spreadsheet!V185,V$7&lt;(SAP_Leadsheet!$E$21+12),$E304*V185)</f>
        <v>2.0344213693616877E-3</v>
      </c>
      <c r="W304" s="302" cm="1">
        <f t="array" aca="1" ref="W304" ca="1">_xlfn.IFS(W$7&gt;(SAP_Leadsheet!$E$21+12),0,W$7=(SAP_Leadsheet!$E$21+12),SAP_Spreadsheet!W185,W$7&lt;(SAP_Leadsheet!$E$21+12),$E304*W185)</f>
        <v>2.0884756700797736E-3</v>
      </c>
      <c r="X304" s="302" cm="1">
        <f t="array" aca="1" ref="X304" ca="1">_xlfn.IFS(X$7&gt;(SAP_Leadsheet!$E$21+12),0,X$7=(SAP_Leadsheet!$E$21+12),SAP_Spreadsheet!X185,X$7&lt;(SAP_Leadsheet!$E$21+12),$E304*X185)</f>
        <v>2.4033491111874429E-3</v>
      </c>
      <c r="Y304" s="302" cm="1">
        <f t="array" aca="1" ref="Y304" ca="1">_xlfn.IFS(Y$7&gt;(SAP_Leadsheet!$E$21+12),0,Y$7=(SAP_Leadsheet!$E$21+12),SAP_Spreadsheet!Y185,Y$7&lt;(SAP_Leadsheet!$E$21+12),$E304*Y185)</f>
        <v>2.4784114505592265E-3</v>
      </c>
      <c r="Z304" s="302" cm="1">
        <f t="array" aca="1" ref="Z304" ca="1">_xlfn.IFS(Z$7&gt;(SAP_Leadsheet!$E$21+12),0,Z$7=(SAP_Leadsheet!$E$21+12),SAP_Spreadsheet!Z185,Z$7&lt;(SAP_Leadsheet!$E$21+12),$E304*Z185)</f>
        <v>2.3598105512646719E-3</v>
      </c>
      <c r="AA304" s="302" cm="1">
        <f t="array" aca="1" ref="AA304" ca="1">_xlfn.IFS(AA$7&gt;(SAP_Leadsheet!$E$21+12),0,AA$7=(SAP_Leadsheet!$E$21+12),SAP_Spreadsheet!AA185,AA$7&lt;(SAP_Leadsheet!$E$21+12),$E304*AA185)</f>
        <v>2.3897399278976997E-3</v>
      </c>
      <c r="AB304" s="302" cm="1">
        <f t="array" aca="1" ref="AB304" ca="1">_xlfn.IFS(AB$7&gt;(SAP_Leadsheet!$E$21+12),0,AB$7=(SAP_Leadsheet!$E$21+12),SAP_Spreadsheet!AB185,AB$7&lt;(SAP_Leadsheet!$E$21+12),$E304*AB185)</f>
        <v>2.4493355510341961E-3</v>
      </c>
      <c r="AC304" s="302" cm="1">
        <f t="array" aca="1" ref="AC304" ca="1">_xlfn.IFS(AC$7&gt;(SAP_Leadsheet!$E$21+12),0,AC$7=(SAP_Leadsheet!$E$21+12),SAP_Spreadsheet!AC185,AC$7&lt;(SAP_Leadsheet!$E$21+12),$E304*AC185)</f>
        <v>2.481256754696428E-3</v>
      </c>
      <c r="AD304" s="302" cm="1">
        <f t="array" aca="1" ref="AD304" ca="1">_xlfn.IFS(AD$7&gt;(SAP_Leadsheet!$E$21+12),0,AD$7=(SAP_Leadsheet!$E$21+12),SAP_Spreadsheet!AD185,AD$7&lt;(SAP_Leadsheet!$E$21+12),$E304*AD185)</f>
        <v>2.4729918391498034E-3</v>
      </c>
      <c r="AE304" s="302" cm="1">
        <f t="array" aca="1" ref="AE304" ca="1">_xlfn.IFS(AE$7&gt;(SAP_Leadsheet!$E$21+12),0,AE$7=(SAP_Leadsheet!$E$21+12),SAP_Spreadsheet!AE185,AE$7&lt;(SAP_Leadsheet!$E$21+12),$E304*AE185)</f>
        <v>2.387079493929624E-3</v>
      </c>
      <c r="AF304" s="302" cm="1">
        <f t="array" aca="1" ref="AF304" ca="1">_xlfn.IFS(AF$7&gt;(SAP_Leadsheet!$E$21+12),0,AF$7=(SAP_Leadsheet!$E$21+12),SAP_Spreadsheet!AF185,AF$7&lt;(SAP_Leadsheet!$E$21+12),$E304*AF185)</f>
        <v>2.2381606957444541E-3</v>
      </c>
      <c r="AG304" s="302" cm="1">
        <f t="array" aca="1" ref="AG304" ca="1">_xlfn.IFS(AG$7&gt;(SAP_Leadsheet!$E$21+12),0,AG$7=(SAP_Leadsheet!$E$21+12),SAP_Spreadsheet!AG185,AG$7&lt;(SAP_Leadsheet!$E$21+12),$E304*AG185)</f>
        <v>2.1781887450659679E-3</v>
      </c>
      <c r="AH304" s="302" cm="1">
        <f t="array" aca="1" ref="AH304" ca="1">_xlfn.IFS(AH$7&gt;(SAP_Leadsheet!$E$21+12),0,AH$7=(SAP_Leadsheet!$E$21+12),SAP_Spreadsheet!AH185,AH$7&lt;(SAP_Leadsheet!$E$21+12),$E304*AH185)</f>
        <v>1.7820338390303386E-3</v>
      </c>
      <c r="AI304" s="302" cm="1">
        <f t="array" aca="1" ref="AI304" ca="1">_xlfn.IFS(AI$7&gt;(SAP_Leadsheet!$E$21+12),0,AI$7=(SAP_Leadsheet!$E$21+12),SAP_Spreadsheet!AI185,AI$7&lt;(SAP_Leadsheet!$E$21+12),$E304*AI185)</f>
        <v>1.8184414567737112E-3</v>
      </c>
      <c r="AJ304" s="302" cm="1">
        <f t="array" aca="1" ref="AJ304" ca="1">_xlfn.IFS(AJ$7&gt;(SAP_Leadsheet!$E$21+12),0,AJ$7=(SAP_Leadsheet!$E$21+12),SAP_Spreadsheet!AJ185,AJ$7&lt;(SAP_Leadsheet!$E$21+12),$E304*AJ185)</f>
        <v>1.9302774169668237E-3</v>
      </c>
      <c r="AK304" s="302" cm="1">
        <f t="array" aca="1" ref="AK304" ca="1">_xlfn.IFS(AK$7&gt;(SAP_Leadsheet!$E$21+12),0,AK$7=(SAP_Leadsheet!$E$21+12),SAP_Spreadsheet!AK185,AK$7&lt;(SAP_Leadsheet!$E$21+12),$E304*AK185)</f>
        <v>1.9993561964500961E-3</v>
      </c>
      <c r="AL304" s="302" cm="1">
        <f t="array" aca="1" ref="AL304" ca="1">_xlfn.IFS(AL$7&gt;(SAP_Leadsheet!$E$21+12),0,AL$7=(SAP_Leadsheet!$E$21+12),SAP_Spreadsheet!AL185,AL$7&lt;(SAP_Leadsheet!$E$21+12),$E304*AL185)</f>
        <v>2.0091911058985998E-3</v>
      </c>
      <c r="AM304" s="302" cm="1">
        <f t="array" aca="1" ref="AM304" ca="1">_xlfn.IFS(AM$7&gt;(SAP_Leadsheet!$E$21+12),0,AM$7=(SAP_Leadsheet!$E$21+12),SAP_Spreadsheet!AM185,AM$7&lt;(SAP_Leadsheet!$E$21+12),$E304*AM185)</f>
        <v>1.980267950796301E-3</v>
      </c>
      <c r="AN304" s="302" cm="1">
        <f t="array" aca="1" ref="AN304" ca="1">_xlfn.IFS(AN$7&gt;(SAP_Leadsheet!$E$21+12),0,AN$7=(SAP_Leadsheet!$E$21+12),SAP_Spreadsheet!AN185,AN$7&lt;(SAP_Leadsheet!$E$21+12),$E304*AN185)</f>
        <v>1.9342122558878637E-3</v>
      </c>
      <c r="AO304" s="302" cm="1">
        <f t="array" aca="1" ref="AO304" ca="1">_xlfn.IFS(AO$7&gt;(SAP_Leadsheet!$E$21+12),0,AO$7=(SAP_Leadsheet!$E$21+12),SAP_Spreadsheet!AO185,AO$7&lt;(SAP_Leadsheet!$E$21+12),$E304*AO185)</f>
        <v>1.8834053969390998E-3</v>
      </c>
      <c r="AP304" s="302" cm="1">
        <f t="array" aca="1" ref="AP304" ca="1">_xlfn.IFS(AP$7&gt;(SAP_Leadsheet!$E$21+12),0,AP$7=(SAP_Leadsheet!$E$21+12),SAP_Spreadsheet!AP185,AP$7&lt;(SAP_Leadsheet!$E$21+12),$E304*AP185)</f>
        <v>1.8955693712270148E-3</v>
      </c>
      <c r="AQ304" s="302" cm="1">
        <f t="array" aca="1" ref="AQ304" ca="1">_xlfn.IFS(AQ$7&gt;(SAP_Leadsheet!$E$21+12),0,AQ$7=(SAP_Leadsheet!$E$21+12),SAP_Spreadsheet!AQ185,AQ$7&lt;(SAP_Leadsheet!$E$21+12),$E304*AQ185)</f>
        <v>1.8361203896694817E-3</v>
      </c>
      <c r="AR304" s="302" cm="1">
        <f t="array" aca="1" ref="AR304" ca="1">_xlfn.IFS(AR$7&gt;(SAP_Leadsheet!$E$21+12),0,AR$7=(SAP_Leadsheet!$E$21+12),SAP_Spreadsheet!AR185,AR$7&lt;(SAP_Leadsheet!$E$21+12),$E304*AR185)</f>
        <v>1.7610105929639257E-3</v>
      </c>
      <c r="AS304" s="302" cm="1">
        <f t="array" aca="1" ref="AS304" ca="1">_xlfn.IFS(AS$7&gt;(SAP_Leadsheet!$E$21+12),0,AS$7=(SAP_Leadsheet!$E$21+12),SAP_Spreadsheet!AS185,AS$7&lt;(SAP_Leadsheet!$E$21+12),$E304*AS185)</f>
        <v>1.6306053017004325E-3</v>
      </c>
      <c r="AT304" s="302" cm="1">
        <f t="array" aca="1" ref="AT304" ca="1">_xlfn.IFS(AT$7&gt;(SAP_Leadsheet!$E$21+12),0,AT$7=(SAP_Leadsheet!$E$21+12),SAP_Spreadsheet!AT185,AT$7&lt;(SAP_Leadsheet!$E$21+12),$E304*AT185)</f>
        <v>1.3114367303319707E-3</v>
      </c>
      <c r="AU304" s="302" cm="1">
        <f t="array" aca="1" ref="AU304" ca="1">_xlfn.IFS(AU$7&gt;(SAP_Leadsheet!$E$21+12),0,AU$7=(SAP_Leadsheet!$E$21+12),SAP_Spreadsheet!AU185,AU$7&lt;(SAP_Leadsheet!$E$21+12),$E304*AU185)</f>
        <v>1.2824074806273636E-3</v>
      </c>
      <c r="AV304" s="302" cm="1">
        <f t="array" aca="1" ref="AV304" ca="1">_xlfn.IFS(AV$7&gt;(SAP_Leadsheet!$E$21+12),0,AV$7=(SAP_Leadsheet!$E$21+12),SAP_Spreadsheet!AV185,AV$7&lt;(SAP_Leadsheet!$E$21+12),$E304*AV185)</f>
        <v>1.2586839360867366E-3</v>
      </c>
      <c r="AW304" s="302" cm="1">
        <f t="array" aca="1" ref="AW304" ca="1">_xlfn.IFS(AW$7&gt;(SAP_Leadsheet!$E$21+12),0,AW$7=(SAP_Leadsheet!$E$21+12),SAP_Spreadsheet!AW185,AW$7&lt;(SAP_Leadsheet!$E$21+12),$E304*AW185)</f>
        <v>1.2375275543500817E-3</v>
      </c>
      <c r="AX304" s="302" cm="1">
        <f t="array" aca="1" ref="AX304" ca="1">_xlfn.IFS(AX$7&gt;(SAP_Leadsheet!$E$21+12),0,AX$7=(SAP_Leadsheet!$E$21+12),SAP_Spreadsheet!AX185,AX$7&lt;(SAP_Leadsheet!$E$21+12),$E304*AX185)</f>
        <v>1.2168870742455505E-3</v>
      </c>
      <c r="AY304" s="302" cm="1">
        <f t="array" aca="1" ref="AY304" ca="1">_xlfn.IFS(AY$7&gt;(SAP_Leadsheet!$E$21+12),0,AY$7=(SAP_Leadsheet!$E$21+12),SAP_Spreadsheet!AY185,AY$7&lt;(SAP_Leadsheet!$E$21+12),$E304*AY185)</f>
        <v>1.1959782122587172E-3</v>
      </c>
      <c r="AZ304" s="302" cm="1">
        <f t="array" aca="1" ref="AZ304" ca="1">_xlfn.IFS(AZ$7&gt;(SAP_Leadsheet!$E$21+12),0,AZ$7=(SAP_Leadsheet!$E$21+12),SAP_Spreadsheet!AZ185,AZ$7&lt;(SAP_Leadsheet!$E$21+12),$E304*AZ185)</f>
        <v>1.1746884027825301E-3</v>
      </c>
      <c r="BA304" s="302" cm="1">
        <f t="array" aca="1" ref="BA304" ca="1">_xlfn.IFS(BA$7&gt;(SAP_Leadsheet!$E$21+12),0,BA$7=(SAP_Leadsheet!$E$21+12),SAP_Spreadsheet!BA185,BA$7&lt;(SAP_Leadsheet!$E$21+12),$E304*BA185)</f>
        <v>1.1528453144832235E-3</v>
      </c>
      <c r="BB304" s="302" cm="1">
        <f t="array" aca="1" ref="BB304" ca="1">_xlfn.IFS(BB$7&gt;(SAP_Leadsheet!$E$21+12),0,BB$7=(SAP_Leadsheet!$E$21+12),SAP_Spreadsheet!BB185,BB$7&lt;(SAP_Leadsheet!$E$21+12),$E304*BB185)</f>
        <v>1.1301805754122432E-3</v>
      </c>
      <c r="BC304" s="302" cm="1">
        <f t="array" aca="1" ref="BC304" ca="1">_xlfn.IFS(BC$7&gt;(SAP_Leadsheet!$E$21+12),0,BC$7=(SAP_Leadsheet!$E$21+12),SAP_Spreadsheet!BC185,BC$7&lt;(SAP_Leadsheet!$E$21+12),$E304*BC185)</f>
        <v>1.1058169292978593E-3</v>
      </c>
      <c r="BD304" s="302" cm="1">
        <f t="array" aca="1" ref="BD304" ca="1">_xlfn.IFS(BD$7&gt;(SAP_Leadsheet!$E$21+12),0,BD$7=(SAP_Leadsheet!$E$21+12),SAP_Spreadsheet!BD185,BD$7&lt;(SAP_Leadsheet!$E$21+12),$E304*BD185)</f>
        <v>1.0789410046231813E-3</v>
      </c>
      <c r="BE304" s="302" cm="1">
        <f t="array" aca="1" ref="BE304" ca="1">_xlfn.IFS(BE$7&gt;(SAP_Leadsheet!$E$21+12),0,BE$7=(SAP_Leadsheet!$E$21+12),SAP_Spreadsheet!BE185,BE$7&lt;(SAP_Leadsheet!$E$21+12),$E304*BE185)</f>
        <v>1.050365441368832E-3</v>
      </c>
      <c r="BF304" s="302" cm="1">
        <f t="array" aca="1" ref="BF304" ca="1">_xlfn.IFS(BF$7&gt;(SAP_Leadsheet!$E$21+12),0,BF$7=(SAP_Leadsheet!$E$21+12),SAP_Spreadsheet!BF185,BF$7&lt;(SAP_Leadsheet!$E$21+12),$E304*BF185)</f>
        <v>8.9850038095556591E-4</v>
      </c>
      <c r="BG304" s="302" cm="1">
        <f t="array" aca="1" ref="BG304" ca="1">_xlfn.IFS(BG$7&gt;(SAP_Leadsheet!$E$21+12),0,BG$7=(SAP_Leadsheet!$E$21+12),SAP_Spreadsheet!BG185,BG$7&lt;(SAP_Leadsheet!$E$21+12),$E304*BG185)</f>
        <v>8.7598014881228926E-4</v>
      </c>
      <c r="BH304" s="302" cm="1">
        <f t="array" aca="1" ref="BH304" ca="1">_xlfn.IFS(BH$7&gt;(SAP_Leadsheet!$E$21+12),0,BH$7=(SAP_Leadsheet!$E$21+12),SAP_Spreadsheet!BH185,BH$7&lt;(SAP_Leadsheet!$E$21+12),$E304*BH185)</f>
        <v>8.5351554780842926E-4</v>
      </c>
      <c r="BI304" s="302" cm="1">
        <f t="array" aca="1" ref="BI304" ca="1">_xlfn.IFS(BI$7&gt;(SAP_Leadsheet!$E$21+12),0,BI$7=(SAP_Leadsheet!$E$21+12),SAP_Spreadsheet!BI185,BI$7&lt;(SAP_Leadsheet!$E$21+12),$E304*BI185)</f>
        <v>8.3124980434124752E-4</v>
      </c>
      <c r="BJ304" s="302" cm="1">
        <f t="array" aca="1" ref="BJ304" ca="1">_xlfn.IFS(BJ$7&gt;(SAP_Leadsheet!$E$21+12),0,BJ$7=(SAP_Leadsheet!$E$21+12),SAP_Spreadsheet!BJ185,BJ$7&lt;(SAP_Leadsheet!$E$21+12),$E304*BJ185)</f>
        <v>8.0908911107651965E-4</v>
      </c>
      <c r="BK304" s="302" cm="1">
        <f t="array" aca="1" ref="BK304" ca="1">_xlfn.IFS(BK$7&gt;(SAP_Leadsheet!$E$21+12),0,BK$7=(SAP_Leadsheet!$E$21+12),SAP_Spreadsheet!BK185,BK$7&lt;(SAP_Leadsheet!$E$21+12),$E304*BK185)</f>
        <v>7.8697593416485797E-4</v>
      </c>
      <c r="BL304" s="302" cm="1">
        <f t="array" aca="1" ref="BL304" ca="1">_xlfn.IFS(BL$7&gt;(SAP_Leadsheet!$E$21+12),0,BL$7=(SAP_Leadsheet!$E$21+12),SAP_Spreadsheet!BL185,BL$7&lt;(SAP_Leadsheet!$E$21+12),$E304*BL185)</f>
        <v>7.6484075013988513E-4</v>
      </c>
      <c r="BM304" s="302" cm="1">
        <f t="array" aca="1" ref="BM304" ca="1">_xlfn.IFS(BM$7&gt;(SAP_Leadsheet!$E$21+12),0,BM$7=(SAP_Leadsheet!$E$21+12),SAP_Spreadsheet!BM185,BM$7&lt;(SAP_Leadsheet!$E$21+12),$E304*BM185)</f>
        <v>7.4264984756176628E-4</v>
      </c>
      <c r="BN304" s="302" cm="1">
        <f t="array" aca="1" ref="BN304" ca="1">_xlfn.IFS(BN$7&gt;(SAP_Leadsheet!$E$21+12),0,BN$7=(SAP_Leadsheet!$E$21+12),SAP_Spreadsheet!BN185,BN$7&lt;(SAP_Leadsheet!$E$21+12),$E304*BN185)</f>
        <v>7.203979961384275E-4</v>
      </c>
      <c r="BO304" s="302" cm="1">
        <f t="array" aca="1" ref="BO304" ca="1">_xlfn.IFS(BO$7&gt;(SAP_Leadsheet!$E$21+12),0,BO$7=(SAP_Leadsheet!$E$21+12),SAP_Spreadsheet!BO185,BO$7&lt;(SAP_Leadsheet!$E$21+12),$E304*BO185)</f>
        <v>6.9782332036048139E-4</v>
      </c>
      <c r="BP304" s="302" cm="1">
        <f t="array" aca="1" ref="BP304" ca="1">_xlfn.IFS(BP$7&gt;(SAP_Leadsheet!$E$21+12),0,BP$7=(SAP_Leadsheet!$E$21+12),SAP_Spreadsheet!BP185,BP$7&lt;(SAP_Leadsheet!$E$21+12),$E304*BP185)</f>
        <v>6.7449959024253492E-4</v>
      </c>
      <c r="BQ304" s="302" cm="1">
        <f t="array" aca="1" ref="BQ304" ca="1">_xlfn.IFS(BQ$7&gt;(SAP_Leadsheet!$E$21+12),0,BQ$7=(SAP_Leadsheet!$E$21+12),SAP_Spreadsheet!BQ185,BQ$7&lt;(SAP_Leadsheet!$E$21+12),$E304*BQ185)</f>
        <v>6.5062676264299082E-4</v>
      </c>
      <c r="BR304" s="302" cm="1">
        <f t="array" aca="1" ref="BR304" ca="1">_xlfn.IFS(BR$7&gt;(SAP_Leadsheet!$E$21+12),0,BR$7=(SAP_Leadsheet!$E$21+12),SAP_Spreadsheet!BR185,BR$7&lt;(SAP_Leadsheet!$E$21+12),$E304*BR185)</f>
        <v>6.2648614089482965E-4</v>
      </c>
      <c r="BS304" s="302" cm="1">
        <f t="array" aca="1" ref="BS304" ca="1">_xlfn.IFS(BS$7&gt;(SAP_Leadsheet!$E$21+12),0,BS$7=(SAP_Leadsheet!$E$21+12),SAP_Spreadsheet!BS185,BS$7&lt;(SAP_Leadsheet!$E$21+12),$E304*BS185)</f>
        <v>0</v>
      </c>
      <c r="BT304" s="302" cm="1">
        <f t="array" aca="1" ref="BT304" ca="1">_xlfn.IFS(BT$7&gt;(SAP_Leadsheet!$E$21+12),0,BT$7=(SAP_Leadsheet!$E$21+12),SAP_Spreadsheet!BT185,BT$7&lt;(SAP_Leadsheet!$E$21+12),$E304*BT185)</f>
        <v>0</v>
      </c>
      <c r="BU304" s="302" cm="1">
        <f t="array" aca="1" ref="BU304" ca="1">_xlfn.IFS(BU$7&gt;(SAP_Leadsheet!$E$21+12),0,BU$7=(SAP_Leadsheet!$E$21+12),SAP_Spreadsheet!BU185,BU$7&lt;(SAP_Leadsheet!$E$21+12),$E304*BU185)</f>
        <v>0</v>
      </c>
      <c r="BV304" s="302" cm="1">
        <f t="array" aca="1" ref="BV304" ca="1">_xlfn.IFS(BV$7&gt;(SAP_Leadsheet!$E$21+12),0,BV$7=(SAP_Leadsheet!$E$21+12),SAP_Spreadsheet!BV185,BV$7&lt;(SAP_Leadsheet!$E$21+12),$E304*BV185)</f>
        <v>0</v>
      </c>
      <c r="BW304" s="302" cm="1">
        <f t="array" aca="1" ref="BW304" ca="1">_xlfn.IFS(BW$7&gt;(SAP_Leadsheet!$E$21+12),0,BW$7=(SAP_Leadsheet!$E$21+12),SAP_Spreadsheet!BW185,BW$7&lt;(SAP_Leadsheet!$E$21+12),$E304*BW185)</f>
        <v>0</v>
      </c>
      <c r="BX304" s="302" cm="1">
        <f t="array" aca="1" ref="BX304" ca="1">_xlfn.IFS(BX$7&gt;(SAP_Leadsheet!$E$21+12),0,BX$7=(SAP_Leadsheet!$E$21+12),SAP_Spreadsheet!BX185,BX$7&lt;(SAP_Leadsheet!$E$21+12),$E304*BX185)</f>
        <v>0</v>
      </c>
      <c r="BY304" s="302" cm="1">
        <f t="array" aca="1" ref="BY304" ca="1">_xlfn.IFS(BY$7&gt;(SAP_Leadsheet!$E$21+12),0,BY$7=(SAP_Leadsheet!$E$21+12),SAP_Spreadsheet!BY185,BY$7&lt;(SAP_Leadsheet!$E$21+12),$E304*BY185)</f>
        <v>0</v>
      </c>
      <c r="BZ304" s="302" cm="1">
        <f t="array" aca="1" ref="BZ304" ca="1">_xlfn.IFS(BZ$7&gt;(SAP_Leadsheet!$E$21+12),0,BZ$7=(SAP_Leadsheet!$E$21+12),SAP_Spreadsheet!BZ185,BZ$7&lt;(SAP_Leadsheet!$E$21+12),$E304*BZ185)</f>
        <v>0</v>
      </c>
      <c r="CA304" s="263"/>
      <c r="CB304" s="263"/>
      <c r="CC304" s="263"/>
      <c r="CD304" s="263"/>
      <c r="CE304" s="263"/>
      <c r="CF304" s="263"/>
      <c r="CG304" s="263"/>
      <c r="CH304" s="263"/>
      <c r="CI304" s="263"/>
      <c r="CJ304" s="263"/>
      <c r="CK304" s="263"/>
      <c r="CL304" s="263"/>
      <c r="CM304" s="263"/>
      <c r="CN304" s="263"/>
      <c r="CO304" s="263"/>
      <c r="CP304" s="263"/>
      <c r="CQ304" s="263"/>
      <c r="CR304" s="263"/>
      <c r="CS304" s="263"/>
      <c r="CT304" s="263"/>
      <c r="CU304" s="263"/>
      <c r="CV304" s="263"/>
      <c r="CW304" s="263"/>
      <c r="CX304" s="263"/>
      <c r="CY304" s="263"/>
      <c r="CZ304" s="263"/>
      <c r="DA304" s="263"/>
      <c r="DB304" s="263"/>
      <c r="DC304" s="263"/>
      <c r="DD304" s="263"/>
      <c r="DE304" s="263"/>
      <c r="DF304" s="263"/>
      <c r="DG304" s="263"/>
      <c r="DH304" s="263"/>
      <c r="DI304" s="263"/>
      <c r="DJ304" s="263"/>
      <c r="DK304" s="263"/>
      <c r="DL304" s="263"/>
      <c r="DM304" s="263"/>
      <c r="DN304" s="263"/>
      <c r="DO304" s="263"/>
      <c r="DP304" s="263"/>
      <c r="DQ304" s="263"/>
      <c r="DR304" s="263"/>
      <c r="DS304" s="263"/>
      <c r="DT304" s="263"/>
      <c r="DU304" s="263"/>
      <c r="DV304" s="263"/>
      <c r="DW304" s="263"/>
      <c r="DX304" s="263"/>
      <c r="DY304" s="263"/>
      <c r="DZ304" s="263"/>
      <c r="EA304" s="263"/>
      <c r="EB304" s="263"/>
      <c r="EC304" s="263"/>
      <c r="ED304" s="263"/>
      <c r="EE304" s="263"/>
      <c r="EF304" s="263"/>
      <c r="EG304" s="263"/>
      <c r="EH304" s="263"/>
      <c r="EI304" s="263"/>
      <c r="EJ304" s="263"/>
      <c r="EK304" s="263"/>
      <c r="EL304" s="263"/>
      <c r="EM304" s="263"/>
      <c r="EN304" s="263"/>
      <c r="EO304" s="263"/>
      <c r="EP304" s="263"/>
      <c r="EQ304" s="263"/>
      <c r="ER304" s="263"/>
      <c r="ES304" s="263"/>
      <c r="ET304" s="263"/>
      <c r="EU304" s="263"/>
      <c r="EV304" s="263"/>
      <c r="EW304" s="263"/>
      <c r="EX304" s="263"/>
      <c r="EY304" s="263"/>
      <c r="EZ304" s="263"/>
      <c r="FA304" s="263"/>
      <c r="FB304" s="263"/>
      <c r="FC304" s="263"/>
      <c r="FD304" s="263"/>
      <c r="FE304" s="263"/>
      <c r="FF304" s="263"/>
      <c r="FG304" s="263"/>
      <c r="FH304" s="263"/>
      <c r="FI304" s="263"/>
      <c r="FJ304" s="263"/>
      <c r="FK304" s="263"/>
      <c r="FL304" s="263"/>
      <c r="FM304" s="263"/>
      <c r="FN304" s="263"/>
      <c r="FO304" s="263"/>
      <c r="FP304" s="263"/>
      <c r="FQ304" s="263"/>
      <c r="FR304" s="263"/>
      <c r="FS304" s="263"/>
      <c r="FT304" s="263"/>
      <c r="FU304" s="263"/>
      <c r="FV304" s="263"/>
      <c r="FW304" s="263"/>
      <c r="FX304" s="263"/>
      <c r="FY304" s="263"/>
      <c r="FZ304" s="263"/>
      <c r="GA304" s="263"/>
      <c r="GB304" s="263"/>
      <c r="GC304" s="263"/>
      <c r="GD304" s="263"/>
      <c r="GE304" s="263"/>
      <c r="GF304" s="263"/>
      <c r="GG304" s="263"/>
      <c r="GH304" s="263"/>
      <c r="GI304" s="263"/>
      <c r="GJ304" s="263"/>
      <c r="GK304" s="263"/>
      <c r="GL304" s="263"/>
      <c r="GM304" s="263"/>
      <c r="GN304" s="263"/>
      <c r="GO304" s="263"/>
      <c r="GP304" s="263"/>
      <c r="GQ304" s="263"/>
      <c r="GR304" s="263"/>
      <c r="GS304" s="263"/>
      <c r="GT304" s="263"/>
      <c r="GU304" s="263"/>
      <c r="GV304" s="263"/>
      <c r="GW304" s="263"/>
      <c r="GX304" s="263"/>
      <c r="GY304" s="263"/>
    </row>
    <row r="305" spans="1:207" x14ac:dyDescent="0.15">
      <c r="A305" s="62"/>
      <c r="C305" s="23"/>
      <c r="D305" s="26" t="s">
        <v>416</v>
      </c>
      <c r="E305" s="39">
        <v>0.20749999999999999</v>
      </c>
      <c r="F305" s="80"/>
      <c r="G305" s="302" cm="1">
        <f t="array" ref="G305">_xlfn.IFS(G$7&gt;(SAP_Leadsheet!$E$21+12),0,G$7=(SAP_Leadsheet!$E$21+12),SAP_Spreadsheet!G186,G$7&lt;(SAP_Leadsheet!$E$21+12),$E305*G186)</f>
        <v>0</v>
      </c>
      <c r="H305" s="302" cm="1">
        <f t="array" aca="1" ref="H305" ca="1">_xlfn.IFS(H$7&gt;(SAP_Leadsheet!$E$21+12),0,H$7=(SAP_Leadsheet!$E$21+12),SAP_Spreadsheet!H186,H$7&lt;(SAP_Leadsheet!$E$21+12),$E305*H186)</f>
        <v>0</v>
      </c>
      <c r="I305" s="302" cm="1">
        <f t="array" aca="1" ref="I305" ca="1">_xlfn.IFS(I$7&gt;(SAP_Leadsheet!$E$21+12),0,I$7=(SAP_Leadsheet!$E$21+12),SAP_Spreadsheet!I186,I$7&lt;(SAP_Leadsheet!$E$21+12),$E305*I186)</f>
        <v>0</v>
      </c>
      <c r="J305" s="302" cm="1">
        <f t="array" aca="1" ref="J305" ca="1">_xlfn.IFS(J$7&gt;(SAP_Leadsheet!$E$21+12),0,J$7=(SAP_Leadsheet!$E$21+12),SAP_Spreadsheet!J186,J$7&lt;(SAP_Leadsheet!$E$21+12),$E305*J186)</f>
        <v>0</v>
      </c>
      <c r="K305" s="302" cm="1">
        <f t="array" aca="1" ref="K305" ca="1">_xlfn.IFS(K$7&gt;(SAP_Leadsheet!$E$21+12),0,K$7=(SAP_Leadsheet!$E$21+12),SAP_Spreadsheet!K186,K$7&lt;(SAP_Leadsheet!$E$21+12),$E305*K186)</f>
        <v>0</v>
      </c>
      <c r="L305" s="302" cm="1">
        <f t="array" aca="1" ref="L305" ca="1">_xlfn.IFS(L$7&gt;(SAP_Leadsheet!$E$21+12),0,L$7=(SAP_Leadsheet!$E$21+12),SAP_Spreadsheet!L186,L$7&lt;(SAP_Leadsheet!$E$21+12),$E305*L186)</f>
        <v>5.1548276133832087E-3</v>
      </c>
      <c r="M305" s="302" cm="1">
        <f t="array" aca="1" ref="M305" ca="1">_xlfn.IFS(M$7&gt;(SAP_Leadsheet!$E$21+12),0,M$7=(SAP_Leadsheet!$E$21+12),SAP_Spreadsheet!M186,M$7&lt;(SAP_Leadsheet!$E$21+12),$E305*M186)</f>
        <v>9.0866370536875629E-3</v>
      </c>
      <c r="N305" s="302" cm="1">
        <f t="array" aca="1" ref="N305" ca="1">_xlfn.IFS(N$7&gt;(SAP_Leadsheet!$E$21+12),0,N$7=(SAP_Leadsheet!$E$21+12),SAP_Spreadsheet!N186,N$7&lt;(SAP_Leadsheet!$E$21+12),$E305*N186)</f>
        <v>1.0688675014367606E-2</v>
      </c>
      <c r="O305" s="302" cm="1">
        <f t="array" aca="1" ref="O305" ca="1">_xlfn.IFS(O$7&gt;(SAP_Leadsheet!$E$21+12),0,O$7=(SAP_Leadsheet!$E$21+12),SAP_Spreadsheet!O186,O$7&lt;(SAP_Leadsheet!$E$21+12),$E305*O186)</f>
        <v>1.0632668435254199E-2</v>
      </c>
      <c r="P305" s="302" cm="1">
        <f t="array" aca="1" ref="P305" ca="1">_xlfn.IFS(P$7&gt;(SAP_Leadsheet!$E$21+12),0,P$7=(SAP_Leadsheet!$E$21+12),SAP_Spreadsheet!P186,P$7&lt;(SAP_Leadsheet!$E$21+12),$E305*P186)</f>
        <v>9.7769545932958005E-3</v>
      </c>
      <c r="Q305" s="302" cm="1">
        <f t="array" aca="1" ref="Q305" ca="1">_xlfn.IFS(Q$7&gt;(SAP_Leadsheet!$E$21+12),0,Q$7=(SAP_Leadsheet!$E$21+12),SAP_Spreadsheet!Q186,Q$7&lt;(SAP_Leadsheet!$E$21+12),$E305*Q186)</f>
        <v>8.6861556497988199E-3</v>
      </c>
      <c r="R305" s="302" cm="1">
        <f t="array" aca="1" ref="R305" ca="1">_xlfn.IFS(R$7&gt;(SAP_Leadsheet!$E$21+12),0,R$7=(SAP_Leadsheet!$E$21+12),SAP_Spreadsheet!R186,R$7&lt;(SAP_Leadsheet!$E$21+12),$E305*R186)</f>
        <v>7.3607876039520331E-3</v>
      </c>
      <c r="S305" s="302" cm="1">
        <f t="array" aca="1" ref="S305" ca="1">_xlfn.IFS(S$7&gt;(SAP_Leadsheet!$E$21+12),0,S$7=(SAP_Leadsheet!$E$21+12),SAP_Spreadsheet!S186,S$7&lt;(SAP_Leadsheet!$E$21+12),$E305*S186)</f>
        <v>6.324784837052645E-3</v>
      </c>
      <c r="T305" s="302" cm="1">
        <f t="array" aca="1" ref="T305" ca="1">_xlfn.IFS(T$7&gt;(SAP_Leadsheet!$E$21+12),0,T$7=(SAP_Leadsheet!$E$21+12),SAP_Spreadsheet!T186,T$7&lt;(SAP_Leadsheet!$E$21+12),$E305*T186)</f>
        <v>5.4323383155961205E-3</v>
      </c>
      <c r="U305" s="302" cm="1">
        <f t="array" aca="1" ref="U305" ca="1">_xlfn.IFS(U$7&gt;(SAP_Leadsheet!$E$21+12),0,U$7=(SAP_Leadsheet!$E$21+12),SAP_Spreadsheet!U186,U$7&lt;(SAP_Leadsheet!$E$21+12),$E305*U186)</f>
        <v>4.6258162568730268E-3</v>
      </c>
      <c r="V305" s="302" cm="1">
        <f t="array" aca="1" ref="V305" ca="1">_xlfn.IFS(V$7&gt;(SAP_Leadsheet!$E$21+12),0,V$7=(SAP_Leadsheet!$E$21+12),SAP_Spreadsheet!V186,V$7&lt;(SAP_Leadsheet!$E$21+12),$E305*V186)</f>
        <v>3.9524277069985861E-3</v>
      </c>
      <c r="W305" s="302" cm="1">
        <f t="array" aca="1" ref="W305" ca="1">_xlfn.IFS(W$7&gt;(SAP_Leadsheet!$E$21+12),0,W$7=(SAP_Leadsheet!$E$21+12),SAP_Spreadsheet!W186,W$7&lt;(SAP_Leadsheet!$E$21+12),$E305*W186)</f>
        <v>1.9850134346629461E-3</v>
      </c>
      <c r="X305" s="302" cm="1">
        <f t="array" aca="1" ref="X305" ca="1">_xlfn.IFS(X$7&gt;(SAP_Leadsheet!$E$21+12),0,X$7=(SAP_Leadsheet!$E$21+12),SAP_Spreadsheet!X186,X$7&lt;(SAP_Leadsheet!$E$21+12),$E305*X186)</f>
        <v>2.0377549732363328E-3</v>
      </c>
      <c r="Y305" s="302" cm="1">
        <f t="array" aca="1" ref="Y305" ca="1">_xlfn.IFS(Y$7&gt;(SAP_Leadsheet!$E$21+12),0,Y$7=(SAP_Leadsheet!$E$21+12),SAP_Spreadsheet!Y186,Y$7&lt;(SAP_Leadsheet!$E$21+12),$E305*Y186)</f>
        <v>2.3449814014631369E-3</v>
      </c>
      <c r="Z305" s="302" cm="1">
        <f t="array" aca="1" ref="Z305" ca="1">_xlfn.IFS(Z$7&gt;(SAP_Leadsheet!$E$21+12),0,Z$7=(SAP_Leadsheet!$E$21+12),SAP_Spreadsheet!Z186,Z$7&lt;(SAP_Leadsheet!$E$21+12),$E305*Z186)</f>
        <v>2.4182207776976528E-3</v>
      </c>
      <c r="AA305" s="302" cm="1">
        <f t="array" aca="1" ref="AA305" ca="1">_xlfn.IFS(AA$7&gt;(SAP_Leadsheet!$E$21+12),0,AA$7=(SAP_Leadsheet!$E$21+12),SAP_Spreadsheet!AA186,AA$7&lt;(SAP_Leadsheet!$E$21+12),$E305*AA186)</f>
        <v>2.3025002185213285E-3</v>
      </c>
      <c r="AB305" s="302" cm="1">
        <f t="array" aca="1" ref="AB305" ca="1">_xlfn.IFS(AB$7&gt;(SAP_Leadsheet!$E$21+12),0,AB$7=(SAP_Leadsheet!$E$21+12),SAP_Spreadsheet!AB186,AB$7&lt;(SAP_Leadsheet!$E$21+12),$E305*AB186)</f>
        <v>2.3317027306470678E-3</v>
      </c>
      <c r="AC305" s="302" cm="1">
        <f t="array" aca="1" ref="AC305" ca="1">_xlfn.IFS(AC$7&gt;(SAP_Leadsheet!$E$21+12),0,AC$7=(SAP_Leadsheet!$E$21+12),SAP_Spreadsheet!AC186,AC$7&lt;(SAP_Leadsheet!$E$21+12),$E305*AC186)</f>
        <v>2.3898510151443802E-3</v>
      </c>
      <c r="AD305" s="302" cm="1">
        <f t="array" aca="1" ref="AD305" ca="1">_xlfn.IFS(AD$7&gt;(SAP_Leadsheet!$E$21+12),0,AD$7=(SAP_Leadsheet!$E$21+12),SAP_Spreadsheet!AD186,AD$7&lt;(SAP_Leadsheet!$E$21+12),$E305*AD186)</f>
        <v>2.4209969808102949E-3</v>
      </c>
      <c r="AE305" s="302" cm="1">
        <f t="array" aca="1" ref="AE305" ca="1">_xlfn.IFS(AE$7&gt;(SAP_Leadsheet!$E$21+12),0,AE$7=(SAP_Leadsheet!$E$21+12),SAP_Spreadsheet!AE186,AE$7&lt;(SAP_Leadsheet!$E$21+12),$E305*AE186)</f>
        <v>2.4482619207583053E-3</v>
      </c>
      <c r="AF305" s="302" cm="1">
        <f t="array" aca="1" ref="AF305" ca="1">_xlfn.IFS(AF$7&gt;(SAP_Leadsheet!$E$21+12),0,AF$7=(SAP_Leadsheet!$E$21+12),SAP_Spreadsheet!AF186,AF$7&lt;(SAP_Leadsheet!$E$21+12),$E305*AF186)</f>
        <v>2.3632086989903277E-3</v>
      </c>
      <c r="AG305" s="302" cm="1">
        <f t="array" aca="1" ref="AG305" ca="1">_xlfn.IFS(AG$7&gt;(SAP_Leadsheet!$E$21+12),0,AG$7=(SAP_Leadsheet!$E$21+12),SAP_Spreadsheet!AG186,AG$7&lt;(SAP_Leadsheet!$E$21+12),$E305*AG186)</f>
        <v>2.2157790887870092E-3</v>
      </c>
      <c r="AH305" s="302" cm="1">
        <f t="array" aca="1" ref="AH305" ca="1">_xlfn.IFS(AH$7&gt;(SAP_Leadsheet!$E$21+12),0,AH$7=(SAP_Leadsheet!$E$21+12),SAP_Spreadsheet!AH186,AH$7&lt;(SAP_Leadsheet!$E$21+12),$E305*AH186)</f>
        <v>2.1564068576153078E-3</v>
      </c>
      <c r="AI305" s="302" cm="1">
        <f t="array" aca="1" ref="AI305" ca="1">_xlfn.IFS(AI$7&gt;(SAP_Leadsheet!$E$21+12),0,AI$7=(SAP_Leadsheet!$E$21+12),SAP_Spreadsheet!AI186,AI$7&lt;(SAP_Leadsheet!$E$21+12),$E305*AI186)</f>
        <v>1.7642135006400352E-3</v>
      </c>
      <c r="AJ305" s="302" cm="1">
        <f t="array" aca="1" ref="AJ305" ca="1">_xlfn.IFS(AJ$7&gt;(SAP_Leadsheet!$E$21+12),0,AJ$7=(SAP_Leadsheet!$E$21+12),SAP_Spreadsheet!AJ186,AJ$7&lt;(SAP_Leadsheet!$E$21+12),$E305*AJ186)</f>
        <v>1.8002570422059739E-3</v>
      </c>
      <c r="AK305" s="302" cm="1">
        <f t="array" aca="1" ref="AK305" ca="1">_xlfn.IFS(AK$7&gt;(SAP_Leadsheet!$E$21+12),0,AK$7=(SAP_Leadsheet!$E$21+12),SAP_Spreadsheet!AK186,AK$7&lt;(SAP_Leadsheet!$E$21+12),$E305*AK186)</f>
        <v>1.9109746427971553E-3</v>
      </c>
      <c r="AL305" s="302" cm="1">
        <f t="array" aca="1" ref="AL305" ca="1">_xlfn.IFS(AL$7&gt;(SAP_Leadsheet!$E$21+12),0,AL$7=(SAP_Leadsheet!$E$21+12),SAP_Spreadsheet!AL186,AL$7&lt;(SAP_Leadsheet!$E$21+12),$E305*AL186)</f>
        <v>1.9793626344855953E-3</v>
      </c>
      <c r="AM305" s="302" cm="1">
        <f t="array" aca="1" ref="AM305" ca="1">_xlfn.IFS(AM$7&gt;(SAP_Leadsheet!$E$21+12),0,AM$7=(SAP_Leadsheet!$E$21+12),SAP_Spreadsheet!AM186,AM$7&lt;(SAP_Leadsheet!$E$21+12),$E305*AM186)</f>
        <v>1.9890991948396139E-3</v>
      </c>
      <c r="AN305" s="302" cm="1">
        <f t="array" aca="1" ref="AN305" ca="1">_xlfn.IFS(AN$7&gt;(SAP_Leadsheet!$E$21+12),0,AN$7=(SAP_Leadsheet!$E$21+12),SAP_Spreadsheet!AN186,AN$7&lt;(SAP_Leadsheet!$E$21+12),$E305*AN186)</f>
        <v>1.9604652712883379E-3</v>
      </c>
      <c r="AO305" s="302" cm="1">
        <f t="array" aca="1" ref="AO305" ca="1">_xlfn.IFS(AO$7&gt;(SAP_Leadsheet!$E$21+12),0,AO$7=(SAP_Leadsheet!$E$21+12),SAP_Spreadsheet!AO186,AO$7&lt;(SAP_Leadsheet!$E$21+12),$E305*AO186)</f>
        <v>1.9148701333289852E-3</v>
      </c>
      <c r="AP305" s="302" cm="1">
        <f t="array" aca="1" ref="AP305" ca="1">_xlfn.IFS(AP$7&gt;(SAP_Leadsheet!$E$21+12),0,AP$7=(SAP_Leadsheet!$E$21+12),SAP_Spreadsheet!AP186,AP$7&lt;(SAP_Leadsheet!$E$21+12),$E305*AP186)</f>
        <v>1.8645713429697088E-3</v>
      </c>
      <c r="AQ305" s="302" cm="1">
        <f t="array" aca="1" ref="AQ305" ca="1">_xlfn.IFS(AQ$7&gt;(SAP_Leadsheet!$E$21+12),0,AQ$7=(SAP_Leadsheet!$E$21+12),SAP_Spreadsheet!AQ186,AQ$7&lt;(SAP_Leadsheet!$E$21+12),$E305*AQ186)</f>
        <v>1.8766136775147445E-3</v>
      </c>
      <c r="AR305" s="302" cm="1">
        <f t="array" aca="1" ref="AR305" ca="1">_xlfn.IFS(AR$7&gt;(SAP_Leadsheet!$E$21+12),0,AR$7=(SAP_Leadsheet!$E$21+12),SAP_Spreadsheet!AR186,AR$7&lt;(SAP_Leadsheet!$E$21+12),$E305*AR186)</f>
        <v>1.8177591857727866E-3</v>
      </c>
      <c r="AS305" s="302" cm="1">
        <f t="array" aca="1" ref="AS305" ca="1">_xlfn.IFS(AS$7&gt;(SAP_Leadsheet!$E$21+12),0,AS$7=(SAP_Leadsheet!$E$21+12),SAP_Spreadsheet!AS186,AS$7&lt;(SAP_Leadsheet!$E$21+12),$E305*AS186)</f>
        <v>1.7434004870342864E-3</v>
      </c>
      <c r="AT305" s="302" cm="1">
        <f t="array" aca="1" ref="AT305" ca="1">_xlfn.IFS(AT$7&gt;(SAP_Leadsheet!$E$21+12),0,AT$7=(SAP_Leadsheet!$E$21+12),SAP_Spreadsheet!AT186,AT$7&lt;(SAP_Leadsheet!$E$21+12),$E305*AT186)</f>
        <v>1.614299248683428E-3</v>
      </c>
      <c r="AU305" s="302" cm="1">
        <f t="array" aca="1" ref="AU305" ca="1">_xlfn.IFS(AU$7&gt;(SAP_Leadsheet!$E$21+12),0,AU$7=(SAP_Leadsheet!$E$21+12),SAP_Spreadsheet!AU186,AU$7&lt;(SAP_Leadsheet!$E$21+12),$E305*AU186)</f>
        <v>1.2983223630286512E-3</v>
      </c>
      <c r="AV305" s="302" cm="1">
        <f t="array" aca="1" ref="AV305" ca="1">_xlfn.IFS(AV$7&gt;(SAP_Leadsheet!$E$21+12),0,AV$7=(SAP_Leadsheet!$E$21+12),SAP_Spreadsheet!AV186,AV$7&lt;(SAP_Leadsheet!$E$21+12),$E305*AV186)</f>
        <v>1.26958340582109E-3</v>
      </c>
      <c r="AW305" s="302" cm="1">
        <f t="array" aca="1" ref="AW305" ca="1">_xlfn.IFS(AW$7&gt;(SAP_Leadsheet!$E$21+12),0,AW$7=(SAP_Leadsheet!$E$21+12),SAP_Spreadsheet!AW186,AW$7&lt;(SAP_Leadsheet!$E$21+12),$E305*AW186)</f>
        <v>1.2460970967258691E-3</v>
      </c>
      <c r="AX305" s="302" cm="1">
        <f t="array" aca="1" ref="AX305" ca="1">_xlfn.IFS(AX$7&gt;(SAP_Leadsheet!$E$21+12),0,AX$7=(SAP_Leadsheet!$E$21+12),SAP_Spreadsheet!AX186,AX$7&lt;(SAP_Leadsheet!$E$21+12),$E305*AX186)</f>
        <v>1.2251522788065809E-3</v>
      </c>
      <c r="AY305" s="302" cm="1">
        <f t="array" aca="1" ref="AY305" ca="1">_xlfn.IFS(AY$7&gt;(SAP_Leadsheet!$E$21+12),0,AY$7=(SAP_Leadsheet!$E$21+12),SAP_Spreadsheet!AY186,AY$7&lt;(SAP_Leadsheet!$E$21+12),$E305*AY186)</f>
        <v>1.2047182035030948E-3</v>
      </c>
      <c r="AZ305" s="302" cm="1">
        <f t="array" aca="1" ref="AZ305" ca="1">_xlfn.IFS(AZ$7&gt;(SAP_Leadsheet!$E$21+12),0,AZ$7=(SAP_Leadsheet!$E$21+12),SAP_Spreadsheet!AZ186,AZ$7&lt;(SAP_Leadsheet!$E$21+12),$E305*AZ186)</f>
        <v>1.1840184301361301E-3</v>
      </c>
      <c r="BA305" s="302" cm="1">
        <f t="array" aca="1" ref="BA305" ca="1">_xlfn.IFS(BA$7&gt;(SAP_Leadsheet!$E$21+12),0,BA$7=(SAP_Leadsheet!$E$21+12),SAP_Spreadsheet!BA186,BA$7&lt;(SAP_Leadsheet!$E$21+12),$E305*BA186)</f>
        <v>1.162941518754705E-3</v>
      </c>
      <c r="BB305" s="302" cm="1">
        <f t="array" aca="1" ref="BB305" ca="1">_xlfn.IFS(BB$7&gt;(SAP_Leadsheet!$E$21+12),0,BB$7=(SAP_Leadsheet!$E$21+12),SAP_Spreadsheet!BB186,BB$7&lt;(SAP_Leadsheet!$E$21+12),$E305*BB186)</f>
        <v>1.1413168613383913E-3</v>
      </c>
      <c r="BC305" s="302" cm="1">
        <f t="array" aca="1" ref="BC305" ca="1">_xlfn.IFS(BC$7&gt;(SAP_Leadsheet!$E$21+12),0,BC$7=(SAP_Leadsheet!$E$21+12),SAP_Spreadsheet!BC186,BC$7&lt;(SAP_Leadsheet!$E$21+12),$E305*BC186)</f>
        <v>1.1188787696581207E-3</v>
      </c>
      <c r="BD305" s="302" cm="1">
        <f t="array" aca="1" ref="BD305" ca="1">_xlfn.IFS(BD$7&gt;(SAP_Leadsheet!$E$21+12),0,BD$7=(SAP_Leadsheet!$E$21+12),SAP_Spreadsheet!BD186,BD$7&lt;(SAP_Leadsheet!$E$21+12),$E305*BD186)</f>
        <v>1.0947587600048808E-3</v>
      </c>
      <c r="BE305" s="302" cm="1">
        <f t="array" aca="1" ref="BE305" ca="1">_xlfn.IFS(BE$7&gt;(SAP_Leadsheet!$E$21+12),0,BE$7=(SAP_Leadsheet!$E$21+12),SAP_Spreadsheet!BE186,BE$7&lt;(SAP_Leadsheet!$E$21+12),$E305*BE186)</f>
        <v>1.0681515945769493E-3</v>
      </c>
      <c r="BF305" s="302" cm="1">
        <f t="array" aca="1" ref="BF305" ca="1">_xlfn.IFS(BF$7&gt;(SAP_Leadsheet!$E$21+12),0,BF$7=(SAP_Leadsheet!$E$21+12),SAP_Spreadsheet!BF186,BF$7&lt;(SAP_Leadsheet!$E$21+12),$E305*BF186)</f>
        <v>1.0398617869551436E-3</v>
      </c>
      <c r="BG305" s="302" cm="1">
        <f t="array" aca="1" ref="BG305" ca="1">_xlfn.IFS(BG$7&gt;(SAP_Leadsheet!$E$21+12),0,BG$7=(SAP_Leadsheet!$E$21+12),SAP_Spreadsheet!BG186,BG$7&lt;(SAP_Leadsheet!$E$21+12),$E305*BG186)</f>
        <v>8.8951537714601029E-4</v>
      </c>
      <c r="BH305" s="302" cm="1">
        <f t="array" aca="1" ref="BH305" ca="1">_xlfn.IFS(BH$7&gt;(SAP_Leadsheet!$E$21+12),0,BH$7=(SAP_Leadsheet!$E$21+12),SAP_Spreadsheet!BH186,BH$7&lt;(SAP_Leadsheet!$E$21+12),$E305*BH186)</f>
        <v>8.6722034732416632E-4</v>
      </c>
      <c r="BI305" s="302" cm="1">
        <f t="array" aca="1" ref="BI305" ca="1">_xlfn.IFS(BI$7&gt;(SAP_Leadsheet!$E$21+12),0,BI$7=(SAP_Leadsheet!$E$21+12),SAP_Spreadsheet!BI186,BI$7&lt;(SAP_Leadsheet!$E$21+12),$E305*BI186)</f>
        <v>8.4498039233034503E-4</v>
      </c>
      <c r="BJ305" s="302" cm="1">
        <f t="array" aca="1" ref="BJ305" ca="1">_xlfn.IFS(BJ$7&gt;(SAP_Leadsheet!$E$21+12),0,BJ$7=(SAP_Leadsheet!$E$21+12),SAP_Spreadsheet!BJ186,BJ$7&lt;(SAP_Leadsheet!$E$21+12),$E305*BJ186)</f>
        <v>8.2293730629783512E-4</v>
      </c>
      <c r="BK305" s="302" cm="1">
        <f t="array" aca="1" ref="BK305" ca="1">_xlfn.IFS(BK$7&gt;(SAP_Leadsheet!$E$21+12),0,BK$7=(SAP_Leadsheet!$E$21+12),SAP_Spreadsheet!BK186,BK$7&lt;(SAP_Leadsheet!$E$21+12),$E305*BK186)</f>
        <v>8.0099821996575452E-4</v>
      </c>
      <c r="BL305" s="302" cm="1">
        <f t="array" aca="1" ref="BL305" ca="1">_xlfn.IFS(BL$7&gt;(SAP_Leadsheet!$E$21+12),0,BL$7=(SAP_Leadsheet!$E$21+12),SAP_Spreadsheet!BL186,BL$7&lt;(SAP_Leadsheet!$E$21+12),$E305*BL186)</f>
        <v>7.7910617482320941E-4</v>
      </c>
      <c r="BM305" s="302" cm="1">
        <f t="array" aca="1" ref="BM305" ca="1">_xlfn.IFS(BM$7&gt;(SAP_Leadsheet!$E$21+12),0,BM$7=(SAP_Leadsheet!$E$21+12),SAP_Spreadsheet!BM186,BM$7&lt;(SAP_Leadsheet!$E$21+12),$E305*BM186)</f>
        <v>7.5719234263848633E-4</v>
      </c>
      <c r="BN305" s="302" cm="1">
        <f t="array" aca="1" ref="BN305" ca="1">_xlfn.IFS(BN$7&gt;(SAP_Leadsheet!$E$21+12),0,BN$7=(SAP_Leadsheet!$E$21+12),SAP_Spreadsheet!BN186,BN$7&lt;(SAP_Leadsheet!$E$21+12),$E305*BN186)</f>
        <v>7.3522334908614868E-4</v>
      </c>
      <c r="BO305" s="302" cm="1">
        <f t="array" aca="1" ref="BO305" ca="1">_xlfn.IFS(BO$7&gt;(SAP_Leadsheet!$E$21+12),0,BO$7=(SAP_Leadsheet!$E$21+12),SAP_Spreadsheet!BO186,BO$7&lt;(SAP_Leadsheet!$E$21+12),$E305*BO186)</f>
        <v>7.1319401617704321E-4</v>
      </c>
      <c r="BP305" s="302" cm="1">
        <f t="array" aca="1" ref="BP305" ca="1">_xlfn.IFS(BP$7&gt;(SAP_Leadsheet!$E$21+12),0,BP$7=(SAP_Leadsheet!$E$21+12),SAP_Spreadsheet!BP186,BP$7&lt;(SAP_Leadsheet!$E$21+12),$E305*BP186)</f>
        <v>6.908450871568766E-4</v>
      </c>
      <c r="BQ305" s="302" cm="1">
        <f t="array" aca="1" ref="BQ305" ca="1">_xlfn.IFS(BQ$7&gt;(SAP_Leadsheet!$E$21+12),0,BQ$7=(SAP_Leadsheet!$E$21+12),SAP_Spreadsheet!BQ186,BQ$7&lt;(SAP_Leadsheet!$E$21+12),$E305*BQ186)</f>
        <v>6.6775459434010957E-4</v>
      </c>
      <c r="BR305" s="302" cm="1">
        <f t="array" aca="1" ref="BR305" ca="1">_xlfn.IFS(BR$7&gt;(SAP_Leadsheet!$E$21+12),0,BR$7=(SAP_Leadsheet!$E$21+12),SAP_Spreadsheet!BR186,BR$7&lt;(SAP_Leadsheet!$E$21+12),$E305*BR186)</f>
        <v>6.4412049501656092E-4</v>
      </c>
      <c r="BS305" s="302" cm="1">
        <f t="array" aca="1" ref="BS305" ca="1">_xlfn.IFS(BS$7&gt;(SAP_Leadsheet!$E$21+12),0,BS$7=(SAP_Leadsheet!$E$21+12),SAP_Spreadsheet!BS186,BS$7&lt;(SAP_Leadsheet!$E$21+12),$E305*BS186)</f>
        <v>6.2022127948588139E-4</v>
      </c>
      <c r="BT305" s="302" cm="1">
        <f t="array" aca="1" ref="BT305" ca="1">_xlfn.IFS(BT$7&gt;(SAP_Leadsheet!$E$21+12),0,BT$7=(SAP_Leadsheet!$E$21+12),SAP_Spreadsheet!BT186,BT$7&lt;(SAP_Leadsheet!$E$21+12),$E305*BT186)</f>
        <v>0</v>
      </c>
      <c r="BU305" s="302" cm="1">
        <f t="array" aca="1" ref="BU305" ca="1">_xlfn.IFS(BU$7&gt;(SAP_Leadsheet!$E$21+12),0,BU$7=(SAP_Leadsheet!$E$21+12),SAP_Spreadsheet!BU186,BU$7&lt;(SAP_Leadsheet!$E$21+12),$E305*BU186)</f>
        <v>0</v>
      </c>
      <c r="BV305" s="302" cm="1">
        <f t="array" aca="1" ref="BV305" ca="1">_xlfn.IFS(BV$7&gt;(SAP_Leadsheet!$E$21+12),0,BV$7=(SAP_Leadsheet!$E$21+12),SAP_Spreadsheet!BV186,BV$7&lt;(SAP_Leadsheet!$E$21+12),$E305*BV186)</f>
        <v>0</v>
      </c>
      <c r="BW305" s="302" cm="1">
        <f t="array" aca="1" ref="BW305" ca="1">_xlfn.IFS(BW$7&gt;(SAP_Leadsheet!$E$21+12),0,BW$7=(SAP_Leadsheet!$E$21+12),SAP_Spreadsheet!BW186,BW$7&lt;(SAP_Leadsheet!$E$21+12),$E305*BW186)</f>
        <v>0</v>
      </c>
      <c r="BX305" s="302" cm="1">
        <f t="array" aca="1" ref="BX305" ca="1">_xlfn.IFS(BX$7&gt;(SAP_Leadsheet!$E$21+12),0,BX$7=(SAP_Leadsheet!$E$21+12),SAP_Spreadsheet!BX186,BX$7&lt;(SAP_Leadsheet!$E$21+12),$E305*BX186)</f>
        <v>0</v>
      </c>
      <c r="BY305" s="302" cm="1">
        <f t="array" aca="1" ref="BY305" ca="1">_xlfn.IFS(BY$7&gt;(SAP_Leadsheet!$E$21+12),0,BY$7=(SAP_Leadsheet!$E$21+12),SAP_Spreadsheet!BY186,BY$7&lt;(SAP_Leadsheet!$E$21+12),$E305*BY186)</f>
        <v>0</v>
      </c>
      <c r="BZ305" s="302" cm="1">
        <f t="array" aca="1" ref="BZ305" ca="1">_xlfn.IFS(BZ$7&gt;(SAP_Leadsheet!$E$21+12),0,BZ$7=(SAP_Leadsheet!$E$21+12),SAP_Spreadsheet!BZ186,BZ$7&lt;(SAP_Leadsheet!$E$21+12),$E305*BZ186)</f>
        <v>0</v>
      </c>
      <c r="CA305" s="263"/>
      <c r="CB305" s="263"/>
      <c r="CC305" s="263"/>
      <c r="CD305" s="263"/>
      <c r="CE305" s="263"/>
      <c r="CF305" s="263"/>
      <c r="CG305" s="263"/>
      <c r="CH305" s="263"/>
      <c r="CI305" s="263"/>
      <c r="CJ305" s="263"/>
      <c r="CK305" s="263"/>
      <c r="CL305" s="263"/>
      <c r="CM305" s="263"/>
      <c r="CN305" s="263"/>
      <c r="CO305" s="263"/>
      <c r="CP305" s="263"/>
      <c r="CQ305" s="263"/>
      <c r="CR305" s="263"/>
      <c r="CS305" s="263"/>
      <c r="CT305" s="263"/>
      <c r="CU305" s="263"/>
      <c r="CV305" s="263"/>
      <c r="CW305" s="263"/>
      <c r="CX305" s="263"/>
      <c r="CY305" s="263"/>
      <c r="CZ305" s="263"/>
      <c r="DA305" s="263"/>
      <c r="DB305" s="263"/>
      <c r="DC305" s="263"/>
      <c r="DD305" s="263"/>
      <c r="DE305" s="263"/>
      <c r="DF305" s="263"/>
      <c r="DG305" s="263"/>
      <c r="DH305" s="263"/>
      <c r="DI305" s="263"/>
      <c r="DJ305" s="263"/>
      <c r="DK305" s="263"/>
      <c r="DL305" s="263"/>
      <c r="DM305" s="263"/>
      <c r="DN305" s="263"/>
      <c r="DO305" s="263"/>
      <c r="DP305" s="263"/>
      <c r="DQ305" s="263"/>
      <c r="DR305" s="263"/>
      <c r="DS305" s="263"/>
      <c r="DT305" s="263"/>
      <c r="DU305" s="263"/>
      <c r="DV305" s="263"/>
      <c r="DW305" s="263"/>
      <c r="DX305" s="263"/>
      <c r="DY305" s="263"/>
      <c r="DZ305" s="263"/>
      <c r="EA305" s="263"/>
      <c r="EB305" s="263"/>
      <c r="EC305" s="263"/>
      <c r="ED305" s="263"/>
      <c r="EE305" s="263"/>
      <c r="EF305" s="263"/>
      <c r="EG305" s="263"/>
      <c r="EH305" s="263"/>
      <c r="EI305" s="263"/>
      <c r="EJ305" s="263"/>
      <c r="EK305" s="263"/>
      <c r="EL305" s="263"/>
      <c r="EM305" s="263"/>
      <c r="EN305" s="263"/>
      <c r="EO305" s="263"/>
      <c r="EP305" s="263"/>
      <c r="EQ305" s="263"/>
      <c r="ER305" s="263"/>
      <c r="ES305" s="263"/>
      <c r="ET305" s="263"/>
      <c r="EU305" s="263"/>
      <c r="EV305" s="263"/>
      <c r="EW305" s="263"/>
      <c r="EX305" s="263"/>
      <c r="EY305" s="263"/>
      <c r="EZ305" s="263"/>
      <c r="FA305" s="263"/>
      <c r="FB305" s="263"/>
      <c r="FC305" s="263"/>
      <c r="FD305" s="263"/>
      <c r="FE305" s="263"/>
      <c r="FF305" s="263"/>
      <c r="FG305" s="263"/>
      <c r="FH305" s="263"/>
      <c r="FI305" s="263"/>
      <c r="FJ305" s="263"/>
      <c r="FK305" s="263"/>
      <c r="FL305" s="263"/>
      <c r="FM305" s="263"/>
      <c r="FN305" s="263"/>
      <c r="FO305" s="263"/>
      <c r="FP305" s="263"/>
      <c r="FQ305" s="263"/>
      <c r="FR305" s="263"/>
      <c r="FS305" s="263"/>
      <c r="FT305" s="263"/>
      <c r="FU305" s="263"/>
      <c r="FV305" s="263"/>
      <c r="FW305" s="263"/>
      <c r="FX305" s="263"/>
      <c r="FY305" s="263"/>
      <c r="FZ305" s="263"/>
      <c r="GA305" s="263"/>
      <c r="GB305" s="263"/>
      <c r="GC305" s="263"/>
      <c r="GD305" s="263"/>
      <c r="GE305" s="263"/>
      <c r="GF305" s="263"/>
      <c r="GG305" s="263"/>
      <c r="GH305" s="263"/>
      <c r="GI305" s="263"/>
      <c r="GJ305" s="263"/>
      <c r="GK305" s="263"/>
      <c r="GL305" s="263"/>
      <c r="GM305" s="263"/>
      <c r="GN305" s="263"/>
      <c r="GO305" s="263"/>
      <c r="GP305" s="263"/>
      <c r="GQ305" s="263"/>
      <c r="GR305" s="263"/>
      <c r="GS305" s="263"/>
      <c r="GT305" s="263"/>
      <c r="GU305" s="263"/>
      <c r="GV305" s="263"/>
      <c r="GW305" s="263"/>
      <c r="GX305" s="263"/>
      <c r="GY305" s="263"/>
    </row>
    <row r="306" spans="1:207" x14ac:dyDescent="0.15">
      <c r="A306" s="62"/>
      <c r="C306" s="23"/>
      <c r="D306" s="26" t="s">
        <v>417</v>
      </c>
      <c r="E306" s="39">
        <v>0.20749999999999999</v>
      </c>
      <c r="F306" s="80"/>
      <c r="G306" s="302" cm="1">
        <f t="array" ref="G306">_xlfn.IFS(G$7&gt;(SAP_Leadsheet!$E$21+12),0,G$7=(SAP_Leadsheet!$E$21+12),SAP_Spreadsheet!G187,G$7&lt;(SAP_Leadsheet!$E$21+12),$E306*G187)</f>
        <v>0</v>
      </c>
      <c r="H306" s="302" cm="1">
        <f t="array" aca="1" ref="H306" ca="1">_xlfn.IFS(H$7&gt;(SAP_Leadsheet!$E$21+12),0,H$7=(SAP_Leadsheet!$E$21+12),SAP_Spreadsheet!H187,H$7&lt;(SAP_Leadsheet!$E$21+12),$E306*H187)</f>
        <v>0</v>
      </c>
      <c r="I306" s="302" cm="1">
        <f t="array" aca="1" ref="I306" ca="1">_xlfn.IFS(I$7&gt;(SAP_Leadsheet!$E$21+12),0,I$7=(SAP_Leadsheet!$E$21+12),SAP_Spreadsheet!I187,I$7&lt;(SAP_Leadsheet!$E$21+12),$E306*I187)</f>
        <v>0</v>
      </c>
      <c r="J306" s="302" cm="1">
        <f t="array" aca="1" ref="J306" ca="1">_xlfn.IFS(J$7&gt;(SAP_Leadsheet!$E$21+12),0,J$7=(SAP_Leadsheet!$E$21+12),SAP_Spreadsheet!J187,J$7&lt;(SAP_Leadsheet!$E$21+12),$E306*J187)</f>
        <v>0</v>
      </c>
      <c r="K306" s="302" cm="1">
        <f t="array" aca="1" ref="K306" ca="1">_xlfn.IFS(K$7&gt;(SAP_Leadsheet!$E$21+12),0,K$7=(SAP_Leadsheet!$E$21+12),SAP_Spreadsheet!K187,K$7&lt;(SAP_Leadsheet!$E$21+12),$E306*K187)</f>
        <v>0</v>
      </c>
      <c r="L306" s="302" cm="1">
        <f t="array" aca="1" ref="L306" ca="1">_xlfn.IFS(L$7&gt;(SAP_Leadsheet!$E$21+12),0,L$7=(SAP_Leadsheet!$E$21+12),SAP_Spreadsheet!L187,L$7&lt;(SAP_Leadsheet!$E$21+12),$E306*L187)</f>
        <v>0</v>
      </c>
      <c r="M306" s="302" cm="1">
        <f t="array" aca="1" ref="M306" ca="1">_xlfn.IFS(M$7&gt;(SAP_Leadsheet!$E$21+12),0,M$7=(SAP_Leadsheet!$E$21+12),SAP_Spreadsheet!M187,M$7&lt;(SAP_Leadsheet!$E$21+12),$E306*M187)</f>
        <v>5.0789671266765288E-3</v>
      </c>
      <c r="N306" s="302" cm="1">
        <f t="array" aca="1" ref="N306" ca="1">_xlfn.IFS(N$7&gt;(SAP_Leadsheet!$E$21+12),0,N$7=(SAP_Leadsheet!$E$21+12),SAP_Spreadsheet!N187,N$7&lt;(SAP_Leadsheet!$E$21+12),$E306*N187)</f>
        <v>8.952914500555029E-3</v>
      </c>
      <c r="O306" s="302" cm="1">
        <f t="array" aca="1" ref="O306" ca="1">_xlfn.IFS(O$7&gt;(SAP_Leadsheet!$E$21+12),0,O$7=(SAP_Leadsheet!$E$21+12),SAP_Spreadsheet!O187,O$7&lt;(SAP_Leadsheet!$E$21+12),$E306*O187)</f>
        <v>1.0531376235503636E-2</v>
      </c>
      <c r="P306" s="302" cm="1">
        <f t="array" aca="1" ref="P306" ca="1">_xlfn.IFS(P$7&gt;(SAP_Leadsheet!$E$21+12),0,P$7=(SAP_Leadsheet!$E$21+12),SAP_Spreadsheet!P187,P$7&lt;(SAP_Leadsheet!$E$21+12),$E306*P187)</f>
        <v>1.0476193871411365E-2</v>
      </c>
      <c r="Q306" s="302" cm="1">
        <f t="array" aca="1" ref="Q306" ca="1">_xlfn.IFS(Q$7&gt;(SAP_Leadsheet!$E$21+12),0,Q$7=(SAP_Leadsheet!$E$21+12),SAP_Spreadsheet!Q187,Q$7&lt;(SAP_Leadsheet!$E$21+12),$E306*Q187)</f>
        <v>9.6330730535851544E-3</v>
      </c>
      <c r="R306" s="302" cm="1">
        <f t="array" aca="1" ref="R306" ca="1">_xlfn.IFS(R$7&gt;(SAP_Leadsheet!$E$21+12),0,R$7=(SAP_Leadsheet!$E$21+12),SAP_Spreadsheet!R187,R$7&lt;(SAP_Leadsheet!$E$21+12),$E306*R187)</f>
        <v>8.5583267397702951E-3</v>
      </c>
      <c r="S306" s="302" cm="1">
        <f t="array" aca="1" ref="S306" ca="1">_xlfn.IFS(S$7&gt;(SAP_Leadsheet!$E$21+12),0,S$7=(SAP_Leadsheet!$E$21+12),SAP_Spreadsheet!S187,S$7&lt;(SAP_Leadsheet!$E$21+12),$E306*S187)</f>
        <v>7.2389273272829343E-3</v>
      </c>
      <c r="T306" s="302" cm="1">
        <f t="array" aca="1" ref="T306" ca="1">_xlfn.IFS(T$7&gt;(SAP_Leadsheet!$E$21+12),0,T$7=(SAP_Leadsheet!$E$21+12),SAP_Spreadsheet!T187,T$7&lt;(SAP_Leadsheet!$E$21+12),$E306*T187)</f>
        <v>6.2200759293126705E-3</v>
      </c>
      <c r="U306" s="302" cm="1">
        <f t="array" aca="1" ref="U306" ca="1">_xlfn.IFS(U$7&gt;(SAP_Leadsheet!$E$21+12),0,U$7=(SAP_Leadsheet!$E$21+12),SAP_Spreadsheet!U187,U$7&lt;(SAP_Leadsheet!$E$21+12),$E306*U187)</f>
        <v>5.3424041555962766E-3</v>
      </c>
      <c r="V306" s="302" cm="1">
        <f t="array" aca="1" ref="V306" ca="1">_xlfn.IFS(V$7&gt;(SAP_Leadsheet!$E$21+12),0,V$7=(SAP_Leadsheet!$E$21+12),SAP_Spreadsheet!V187,V$7&lt;(SAP_Leadsheet!$E$21+12),$E306*V187)</f>
        <v>4.5492343366746631E-3</v>
      </c>
      <c r="W306" s="302" cm="1">
        <f t="array" aca="1" ref="W306" ca="1">_xlfn.IFS(W$7&gt;(SAP_Leadsheet!$E$21+12),0,W$7=(SAP_Leadsheet!$E$21+12),SAP_Spreadsheet!W187,W$7&lt;(SAP_Leadsheet!$E$21+12),$E306*W187)</f>
        <v>3.8869939572690236E-3</v>
      </c>
      <c r="X306" s="302" cm="1">
        <f t="array" aca="1" ref="X306" ca="1">_xlfn.IFS(X$7&gt;(SAP_Leadsheet!$E$21+12),0,X$7=(SAP_Leadsheet!$E$21+12),SAP_Spreadsheet!X187,X$7&lt;(SAP_Leadsheet!$E$21+12),$E306*X187)</f>
        <v>1.9521508798175881E-3</v>
      </c>
      <c r="Y306" s="302" cm="1">
        <f t="array" aca="1" ref="Y306" ca="1">_xlfn.IFS(Y$7&gt;(SAP_Leadsheet!$E$21+12),0,Y$7=(SAP_Leadsheet!$E$21+12),SAP_Spreadsheet!Y187,Y$7&lt;(SAP_Leadsheet!$E$21+12),$E306*Y187)</f>
        <v>2.0040192647519462E-3</v>
      </c>
      <c r="Z306" s="302" cm="1">
        <f t="array" aca="1" ref="Z306" ca="1">_xlfn.IFS(Z$7&gt;(SAP_Leadsheet!$E$21+12),0,Z$7=(SAP_Leadsheet!$E$21+12),SAP_Spreadsheet!Z187,Z$7&lt;(SAP_Leadsheet!$E$21+12),$E306*Z187)</f>
        <v>2.3061594577063623E-3</v>
      </c>
      <c r="AA306" s="302" cm="1">
        <f t="array" aca="1" ref="AA306" ca="1">_xlfn.IFS(AA$7&gt;(SAP_Leadsheet!$E$21+12),0,AA$7=(SAP_Leadsheet!$E$21+12),SAP_Spreadsheet!AA187,AA$7&lt;(SAP_Leadsheet!$E$21+12),$E306*AA187)</f>
        <v>2.3781863318105062E-3</v>
      </c>
      <c r="AB306" s="302" cm="1">
        <f t="array" aca="1" ref="AB306" ca="1">_xlfn.IFS(AB$7&gt;(SAP_Leadsheet!$E$21+12),0,AB$7=(SAP_Leadsheet!$E$21+12),SAP_Spreadsheet!AB187,AB$7&lt;(SAP_Leadsheet!$E$21+12),$E306*AB187)</f>
        <v>2.2643815648178819E-3</v>
      </c>
      <c r="AC306" s="302" cm="1">
        <f t="array" aca="1" ref="AC306" ca="1">_xlfn.IFS(AC$7&gt;(SAP_Leadsheet!$E$21+12),0,AC$7=(SAP_Leadsheet!$E$21+12),SAP_Spreadsheet!AC187,AC$7&lt;(SAP_Leadsheet!$E$21+12),$E306*AC187)</f>
        <v>2.2931006196835356E-3</v>
      </c>
      <c r="AD306" s="302" cm="1">
        <f t="array" aca="1" ref="AD306" ca="1">_xlfn.IFS(AD$7&gt;(SAP_Leadsheet!$E$21+12),0,AD$7=(SAP_Leadsheet!$E$21+12),SAP_Spreadsheet!AD187,AD$7&lt;(SAP_Leadsheet!$E$21+12),$E306*AD187)</f>
        <v>2.3502862400723405E-3</v>
      </c>
      <c r="AE306" s="302" cm="1">
        <f t="array" aca="1" ref="AE306" ca="1">_xlfn.IFS(AE$7&gt;(SAP_Leadsheet!$E$21+12),0,AE$7=(SAP_Leadsheet!$E$21+12),SAP_Spreadsheet!AE187,AE$7&lt;(SAP_Leadsheet!$E$21+12),$E306*AE187)</f>
        <v>2.3967870110021918E-3</v>
      </c>
      <c r="AF306" s="302" cm="1">
        <f t="array" aca="1" ref="AF306" ca="1">_xlfn.IFS(AF$7&gt;(SAP_Leadsheet!$E$21+12),0,AF$7=(SAP_Leadsheet!$E$21+12),SAP_Spreadsheet!AF187,AF$7&lt;(SAP_Leadsheet!$E$21+12),$E306*AF187)</f>
        <v>2.4237793015507219E-3</v>
      </c>
      <c r="AG306" s="302" cm="1">
        <f t="array" aca="1" ref="AG306" ca="1">_xlfn.IFS(AG$7&gt;(SAP_Leadsheet!$E$21+12),0,AG$7=(SAP_Leadsheet!$E$21+12),SAP_Spreadsheet!AG187,AG$7&lt;(SAP_Leadsheet!$E$21+12),$E306*AG187)</f>
        <v>2.3395766120004242E-3</v>
      </c>
      <c r="AH306" s="302" cm="1">
        <f t="array" aca="1" ref="AH306" ca="1">_xlfn.IFS(AH$7&gt;(SAP_Leadsheet!$E$21+12),0,AH$7=(SAP_Leadsheet!$E$21+12),SAP_Spreadsheet!AH187,AH$7&lt;(SAP_Leadsheet!$E$21+12),$E306*AH187)</f>
        <v>2.1936212978991391E-3</v>
      </c>
      <c r="AI306" s="302" cm="1">
        <f t="array" aca="1" ref="AI306" ca="1">_xlfn.IFS(AI$7&gt;(SAP_Leadsheet!$E$21+12),0,AI$7=(SAP_Leadsheet!$E$21+12),SAP_Spreadsheet!AI187,AI$7&lt;(SAP_Leadsheet!$E$21+12),$E306*AI187)</f>
        <v>2.1348427890391548E-3</v>
      </c>
      <c r="AJ306" s="302" cm="1">
        <f t="array" aca="1" ref="AJ306" ca="1">_xlfn.IFS(AJ$7&gt;(SAP_Leadsheet!$E$21+12),0,AJ$7=(SAP_Leadsheet!$E$21+12),SAP_Spreadsheet!AJ187,AJ$7&lt;(SAP_Leadsheet!$E$21+12),$E306*AJ187)</f>
        <v>1.7465713656336348E-3</v>
      </c>
      <c r="AK306" s="302" cm="1">
        <f t="array" aca="1" ref="AK306" ca="1">_xlfn.IFS(AK$7&gt;(SAP_Leadsheet!$E$21+12),0,AK$7=(SAP_Leadsheet!$E$21+12),SAP_Spreadsheet!AK187,AK$7&lt;(SAP_Leadsheet!$E$21+12),$E306*AK187)</f>
        <v>1.7822544717839145E-3</v>
      </c>
      <c r="AL306" s="302" cm="1">
        <f t="array" aca="1" ref="AL306" ca="1">_xlfn.IFS(AL$7&gt;(SAP_Leadsheet!$E$21+12),0,AL$7=(SAP_Leadsheet!$E$21+12),SAP_Spreadsheet!AL187,AL$7&lt;(SAP_Leadsheet!$E$21+12),$E306*AL187)</f>
        <v>1.8918648963691836E-3</v>
      </c>
      <c r="AM306" s="302" cm="1">
        <f t="array" aca="1" ref="AM306" ca="1">_xlfn.IFS(AM$7&gt;(SAP_Leadsheet!$E$21+12),0,AM$7=(SAP_Leadsheet!$E$21+12),SAP_Spreadsheet!AM187,AM$7&lt;(SAP_Leadsheet!$E$21+12),$E306*AM187)</f>
        <v>1.9595690081407394E-3</v>
      </c>
      <c r="AN306" s="302" cm="1">
        <f t="array" aca="1" ref="AN306" ca="1">_xlfn.IFS(AN$7&gt;(SAP_Leadsheet!$E$21+12),0,AN$7=(SAP_Leadsheet!$E$21+12),SAP_Spreadsheet!AN187,AN$7&lt;(SAP_Leadsheet!$E$21+12),$E306*AN187)</f>
        <v>1.9692082028912178E-3</v>
      </c>
      <c r="AO306" s="302" cm="1">
        <f t="array" aca="1" ref="AO306" ca="1">_xlfn.IFS(AO$7&gt;(SAP_Leadsheet!$E$21+12),0,AO$7=(SAP_Leadsheet!$E$21+12),SAP_Spreadsheet!AO187,AO$7&lt;(SAP_Leadsheet!$E$21+12),$E306*AO187)</f>
        <v>1.9408606185754543E-3</v>
      </c>
      <c r="AP306" s="302" cm="1">
        <f t="array" aca="1" ref="AP306" ca="1">_xlfn.IFS(AP$7&gt;(SAP_Leadsheet!$E$21+12),0,AP$7=(SAP_Leadsheet!$E$21+12),SAP_Spreadsheet!AP187,AP$7&lt;(SAP_Leadsheet!$E$21+12),$E306*AP187)</f>
        <v>1.8957214319956952E-3</v>
      </c>
      <c r="AQ306" s="302" cm="1">
        <f t="array" aca="1" ref="AQ306" ca="1">_xlfn.IFS(AQ$7&gt;(SAP_Leadsheet!$E$21+12),0,AQ$7=(SAP_Leadsheet!$E$21+12),SAP_Spreadsheet!AQ187,AQ$7&lt;(SAP_Leadsheet!$E$21+12),$E306*AQ187)</f>
        <v>1.8459256295400117E-3</v>
      </c>
      <c r="AR306" s="302" cm="1">
        <f t="array" aca="1" ref="AR306" ca="1">_xlfn.IFS(AR$7&gt;(SAP_Leadsheet!$E$21+12),0,AR$7=(SAP_Leadsheet!$E$21+12),SAP_Spreadsheet!AR187,AR$7&lt;(SAP_Leadsheet!$E$21+12),$E306*AR187)</f>
        <v>1.8578475407395971E-3</v>
      </c>
      <c r="AS306" s="302" cm="1">
        <f t="array" aca="1" ref="AS306" ca="1">_xlfn.IFS(AS$7&gt;(SAP_Leadsheet!$E$21+12),0,AS$7=(SAP_Leadsheet!$E$21+12),SAP_Spreadsheet!AS187,AS$7&lt;(SAP_Leadsheet!$E$21+12),$E306*AS187)</f>
        <v>1.7995815939150588E-3</v>
      </c>
      <c r="AT306" s="302" cm="1">
        <f t="array" aca="1" ref="AT306" ca="1">_xlfn.IFS(AT$7&gt;(SAP_Leadsheet!$E$21+12),0,AT$7=(SAP_Leadsheet!$E$21+12),SAP_Spreadsheet!AT187,AT$7&lt;(SAP_Leadsheet!$E$21+12),$E306*AT187)</f>
        <v>1.7259664821639435E-3</v>
      </c>
      <c r="AU306" s="302" cm="1">
        <f t="array" aca="1" ref="AU306" ca="1">_xlfn.IFS(AU$7&gt;(SAP_Leadsheet!$E$21+12),0,AU$7=(SAP_Leadsheet!$E$21+12),SAP_Spreadsheet!AU187,AU$7&lt;(SAP_Leadsheet!$E$21+12),$E306*AU187)</f>
        <v>1.5981562561965938E-3</v>
      </c>
      <c r="AV306" s="302" cm="1">
        <f t="array" aca="1" ref="AV306" ca="1">_xlfn.IFS(AV$7&gt;(SAP_Leadsheet!$E$21+12),0,AV$7=(SAP_Leadsheet!$E$21+12),SAP_Spreadsheet!AV187,AV$7&lt;(SAP_Leadsheet!$E$21+12),$E306*AV187)</f>
        <v>1.2853391393983645E-3</v>
      </c>
      <c r="AW306" s="302" cm="1">
        <f t="array" aca="1" ref="AW306" ca="1">_xlfn.IFS(AW$7&gt;(SAP_Leadsheet!$E$21+12),0,AW$7=(SAP_Leadsheet!$E$21+12),SAP_Spreadsheet!AW187,AW$7&lt;(SAP_Leadsheet!$E$21+12),$E306*AW187)</f>
        <v>1.2568875717628789E-3</v>
      </c>
      <c r="AX306" s="302" cm="1">
        <f t="array" aca="1" ref="AX306" ca="1">_xlfn.IFS(AX$7&gt;(SAP_Leadsheet!$E$21+12),0,AX$7=(SAP_Leadsheet!$E$21+12),SAP_Spreadsheet!AX187,AX$7&lt;(SAP_Leadsheet!$E$21+12),$E306*AX187)</f>
        <v>1.2336361257586103E-3</v>
      </c>
      <c r="AY306" s="302" cm="1">
        <f t="array" aca="1" ref="AY306" ca="1">_xlfn.IFS(AY$7&gt;(SAP_Leadsheet!$E$21+12),0,AY$7=(SAP_Leadsheet!$E$21+12),SAP_Spreadsheet!AY187,AY$7&lt;(SAP_Leadsheet!$E$21+12),$E306*AY187)</f>
        <v>1.212900756018515E-3</v>
      </c>
      <c r="AZ306" s="302" cm="1">
        <f t="array" aca="1" ref="AZ306" ca="1">_xlfn.IFS(AZ$7&gt;(SAP_Leadsheet!$E$21+12),0,AZ$7=(SAP_Leadsheet!$E$21+12),SAP_Spreadsheet!AZ187,AZ$7&lt;(SAP_Leadsheet!$E$21+12),$E306*AZ187)</f>
        <v>1.1926710214680638E-3</v>
      </c>
      <c r="BA306" s="302" cm="1">
        <f t="array" aca="1" ref="BA306" ca="1">_xlfn.IFS(BA$7&gt;(SAP_Leadsheet!$E$21+12),0,BA$7=(SAP_Leadsheet!$E$21+12),SAP_Spreadsheet!BA187,BA$7&lt;(SAP_Leadsheet!$E$21+12),$E306*BA187)</f>
        <v>1.1721782458347686E-3</v>
      </c>
      <c r="BB306" s="302" cm="1">
        <f t="array" aca="1" ref="BB306" ca="1">_xlfn.IFS(BB$7&gt;(SAP_Leadsheet!$E$21+12),0,BB$7=(SAP_Leadsheet!$E$21+12),SAP_Spreadsheet!BB187,BB$7&lt;(SAP_Leadsheet!$E$21+12),$E306*BB187)</f>
        <v>1.1513121035671579E-3</v>
      </c>
      <c r="BC306" s="302" cm="1">
        <f t="array" aca="1" ref="BC306" ca="1">_xlfn.IFS(BC$7&gt;(SAP_Leadsheet!$E$21+12),0,BC$7=(SAP_Leadsheet!$E$21+12),SAP_Spreadsheet!BC187,BC$7&lt;(SAP_Leadsheet!$E$21+12),$E306*BC187)</f>
        <v>1.1299036927250074E-3</v>
      </c>
      <c r="BD306" s="302" cm="1">
        <f t="array" aca="1" ref="BD306" ca="1">_xlfn.IFS(BD$7&gt;(SAP_Leadsheet!$E$21+12),0,BD$7=(SAP_Leadsheet!$E$21+12),SAP_Spreadsheet!BD187,BD$7&lt;(SAP_Leadsheet!$E$21+12),$E306*BD187)</f>
        <v>1.1076899819615392E-3</v>
      </c>
      <c r="BE306" s="302" cm="1">
        <f t="array" aca="1" ref="BE306" ca="1">_xlfn.IFS(BE$7&gt;(SAP_Leadsheet!$E$21+12),0,BE$7=(SAP_Leadsheet!$E$21+12),SAP_Spreadsheet!BE187,BE$7&lt;(SAP_Leadsheet!$E$21+12),$E306*BE187)</f>
        <v>1.0838111724048318E-3</v>
      </c>
      <c r="BF306" s="302" cm="1">
        <f t="array" aca="1" ref="BF306" ca="1">_xlfn.IFS(BF$7&gt;(SAP_Leadsheet!$E$21+12),0,BF$7=(SAP_Leadsheet!$E$21+12),SAP_Spreadsheet!BF187,BF$7&lt;(SAP_Leadsheet!$E$21+12),$E306*BF187)</f>
        <v>1.0574700786311799E-3</v>
      </c>
      <c r="BG306" s="302" cm="1">
        <f t="array" aca="1" ref="BG306" ca="1">_xlfn.IFS(BG$7&gt;(SAP_Leadsheet!$E$21+12),0,BG$7=(SAP_Leadsheet!$E$21+12),SAP_Spreadsheet!BG187,BG$7&lt;(SAP_Leadsheet!$E$21+12),$E306*BG187)</f>
        <v>1.0294631690855923E-3</v>
      </c>
      <c r="BH306" s="302" cm="1">
        <f t="array" aca="1" ref="BH306" ca="1">_xlfn.IFS(BH$7&gt;(SAP_Leadsheet!$E$21+12),0,BH$7=(SAP_Leadsheet!$E$21+12),SAP_Spreadsheet!BH187,BH$7&lt;(SAP_Leadsheet!$E$21+12),$E306*BH187)</f>
        <v>8.8062022337455023E-4</v>
      </c>
      <c r="BI306" s="302" cm="1">
        <f t="array" aca="1" ref="BI306" ca="1">_xlfn.IFS(BI$7&gt;(SAP_Leadsheet!$E$21+12),0,BI$7=(SAP_Leadsheet!$E$21+12),SAP_Spreadsheet!BI187,BI$7&lt;(SAP_Leadsheet!$E$21+12),$E306*BI187)</f>
        <v>8.5854814385092455E-4</v>
      </c>
      <c r="BJ306" s="302" cm="1">
        <f t="array" aca="1" ref="BJ306" ca="1">_xlfn.IFS(BJ$7&gt;(SAP_Leadsheet!$E$21+12),0,BJ$7=(SAP_Leadsheet!$E$21+12),SAP_Spreadsheet!BJ187,BJ$7&lt;(SAP_Leadsheet!$E$21+12),$E306*BJ187)</f>
        <v>8.3653058840704145E-4</v>
      </c>
      <c r="BK306" s="302" cm="1">
        <f t="array" aca="1" ref="BK306" ca="1">_xlfn.IFS(BK$7&gt;(SAP_Leadsheet!$E$21+12),0,BK$7=(SAP_Leadsheet!$E$21+12),SAP_Spreadsheet!BK187,BK$7&lt;(SAP_Leadsheet!$E$21+12),$E306*BK187)</f>
        <v>8.1470793323485682E-4</v>
      </c>
      <c r="BL306" s="302" cm="1">
        <f t="array" aca="1" ref="BL306" ca="1">_xlfn.IFS(BL$7&gt;(SAP_Leadsheet!$E$21+12),0,BL$7=(SAP_Leadsheet!$E$21+12),SAP_Spreadsheet!BL187,BL$7&lt;(SAP_Leadsheet!$E$21+12),$E306*BL187)</f>
        <v>7.9298823776609696E-4</v>
      </c>
      <c r="BM306" s="302" cm="1">
        <f t="array" aca="1" ref="BM306" ca="1">_xlfn.IFS(BM$7&gt;(SAP_Leadsheet!$E$21+12),0,BM$7=(SAP_Leadsheet!$E$21+12),SAP_Spreadsheet!BM187,BM$7&lt;(SAP_Leadsheet!$E$21+12),$E306*BM187)</f>
        <v>7.713151130749774E-4</v>
      </c>
      <c r="BN306" s="302" cm="1">
        <f t="array" aca="1" ref="BN306" ca="1">_xlfn.IFS(BN$7&gt;(SAP_Leadsheet!$E$21+12),0,BN$7=(SAP_Leadsheet!$E$21+12),SAP_Spreadsheet!BN187,BN$7&lt;(SAP_Leadsheet!$E$21+12),$E306*BN187)</f>
        <v>7.4962041921210144E-4</v>
      </c>
      <c r="BO306" s="302" cm="1">
        <f t="array" aca="1" ref="BO306" ca="1">_xlfn.IFS(BO$7&gt;(SAP_Leadsheet!$E$21+12),0,BO$7=(SAP_Leadsheet!$E$21+12),SAP_Spreadsheet!BO187,BO$7&lt;(SAP_Leadsheet!$E$21+12),$E306*BO187)</f>
        <v>7.2787111559528719E-4</v>
      </c>
      <c r="BP306" s="302" cm="1">
        <f t="array" aca="1" ref="BP306" ca="1">_xlfn.IFS(BP$7&gt;(SAP_Leadsheet!$E$21+12),0,BP$7=(SAP_Leadsheet!$E$21+12),SAP_Spreadsheet!BP187,BP$7&lt;(SAP_Leadsheet!$E$21+12),$E306*BP187)</f>
        <v>7.0606207601527277E-4</v>
      </c>
      <c r="BQ306" s="302" cm="1">
        <f t="array" aca="1" ref="BQ306" ca="1">_xlfn.IFS(BQ$7&gt;(SAP_Leadsheet!$E$21+12),0,BQ$7=(SAP_Leadsheet!$E$21+12),SAP_Spreadsheet!BQ187,BQ$7&lt;(SAP_Leadsheet!$E$21+12),$E306*BQ187)</f>
        <v>6.8393663628530776E-4</v>
      </c>
      <c r="BR306" s="302" cm="1">
        <f t="array" aca="1" ref="BR306" ca="1">_xlfn.IFS(BR$7&gt;(SAP_Leadsheet!$E$21+12),0,BR$7=(SAP_Leadsheet!$E$21+12),SAP_Spreadsheet!BR187,BR$7&lt;(SAP_Leadsheet!$E$21+12),$E306*BR187)</f>
        <v>6.6107704839670845E-4</v>
      </c>
      <c r="BS306" s="302" cm="1">
        <f t="array" aca="1" ref="BS306" ca="1">_xlfn.IFS(BS$7&gt;(SAP_Leadsheet!$E$21+12),0,BS$7=(SAP_Leadsheet!$E$21+12),SAP_Spreadsheet!BS187,BS$7&lt;(SAP_Leadsheet!$E$21+12),$E306*BS187)</f>
        <v>6.3767929006639532E-4</v>
      </c>
      <c r="BT306" s="302" cm="1">
        <f t="array" aca="1" ref="BT306" ca="1">_xlfn.IFS(BT$7&gt;(SAP_Leadsheet!$E$21+12),0,BT$7=(SAP_Leadsheet!$E$21+12),SAP_Spreadsheet!BT187,BT$7&lt;(SAP_Leadsheet!$E$21+12),$E306*BT187)</f>
        <v>6.1401906669102254E-4</v>
      </c>
      <c r="BU306" s="302" cm="1">
        <f t="array" aca="1" ref="BU306" ca="1">_xlfn.IFS(BU$7&gt;(SAP_Leadsheet!$E$21+12),0,BU$7=(SAP_Leadsheet!$E$21+12),SAP_Spreadsheet!BU187,BU$7&lt;(SAP_Leadsheet!$E$21+12),$E306*BU187)</f>
        <v>0</v>
      </c>
      <c r="BV306" s="302" cm="1">
        <f t="array" aca="1" ref="BV306" ca="1">_xlfn.IFS(BV$7&gt;(SAP_Leadsheet!$E$21+12),0,BV$7=(SAP_Leadsheet!$E$21+12),SAP_Spreadsheet!BV187,BV$7&lt;(SAP_Leadsheet!$E$21+12),$E306*BV187)</f>
        <v>0</v>
      </c>
      <c r="BW306" s="302" cm="1">
        <f t="array" aca="1" ref="BW306" ca="1">_xlfn.IFS(BW$7&gt;(SAP_Leadsheet!$E$21+12),0,BW$7=(SAP_Leadsheet!$E$21+12),SAP_Spreadsheet!BW187,BW$7&lt;(SAP_Leadsheet!$E$21+12),$E306*BW187)</f>
        <v>0</v>
      </c>
      <c r="BX306" s="302" cm="1">
        <f t="array" aca="1" ref="BX306" ca="1">_xlfn.IFS(BX$7&gt;(SAP_Leadsheet!$E$21+12),0,BX$7=(SAP_Leadsheet!$E$21+12),SAP_Spreadsheet!BX187,BX$7&lt;(SAP_Leadsheet!$E$21+12),$E306*BX187)</f>
        <v>0</v>
      </c>
      <c r="BY306" s="302" cm="1">
        <f t="array" aca="1" ref="BY306" ca="1">_xlfn.IFS(BY$7&gt;(SAP_Leadsheet!$E$21+12),0,BY$7=(SAP_Leadsheet!$E$21+12),SAP_Spreadsheet!BY187,BY$7&lt;(SAP_Leadsheet!$E$21+12),$E306*BY187)</f>
        <v>0</v>
      </c>
      <c r="BZ306" s="302" cm="1">
        <f t="array" aca="1" ref="BZ306" ca="1">_xlfn.IFS(BZ$7&gt;(SAP_Leadsheet!$E$21+12),0,BZ$7=(SAP_Leadsheet!$E$21+12),SAP_Spreadsheet!BZ187,BZ$7&lt;(SAP_Leadsheet!$E$21+12),$E306*BZ187)</f>
        <v>0</v>
      </c>
      <c r="CA306" s="263"/>
      <c r="CB306" s="263"/>
      <c r="CC306" s="263"/>
      <c r="CD306" s="263"/>
      <c r="CE306" s="263"/>
      <c r="CF306" s="263"/>
      <c r="CG306" s="263"/>
      <c r="CH306" s="263"/>
      <c r="CI306" s="263"/>
      <c r="CJ306" s="263"/>
      <c r="CK306" s="263"/>
      <c r="CL306" s="263"/>
      <c r="CM306" s="263"/>
      <c r="CN306" s="263"/>
      <c r="CO306" s="263"/>
      <c r="CP306" s="263"/>
      <c r="CQ306" s="263"/>
      <c r="CR306" s="263"/>
      <c r="CS306" s="263"/>
      <c r="CT306" s="263"/>
      <c r="CU306" s="263"/>
      <c r="CV306" s="263"/>
      <c r="CW306" s="263"/>
      <c r="CX306" s="263"/>
      <c r="CY306" s="263"/>
      <c r="CZ306" s="263"/>
      <c r="DA306" s="263"/>
      <c r="DB306" s="263"/>
      <c r="DC306" s="263"/>
      <c r="DD306" s="263"/>
      <c r="DE306" s="263"/>
      <c r="DF306" s="263"/>
      <c r="DG306" s="263"/>
      <c r="DH306" s="263"/>
      <c r="DI306" s="263"/>
      <c r="DJ306" s="263"/>
      <c r="DK306" s="263"/>
      <c r="DL306" s="263"/>
      <c r="DM306" s="263"/>
      <c r="DN306" s="263"/>
      <c r="DO306" s="263"/>
      <c r="DP306" s="263"/>
      <c r="DQ306" s="263"/>
      <c r="DR306" s="263"/>
      <c r="DS306" s="263"/>
      <c r="DT306" s="263"/>
      <c r="DU306" s="263"/>
      <c r="DV306" s="263"/>
      <c r="DW306" s="263"/>
      <c r="DX306" s="263"/>
      <c r="DY306" s="263"/>
      <c r="DZ306" s="263"/>
      <c r="EA306" s="263"/>
      <c r="EB306" s="263"/>
      <c r="EC306" s="263"/>
      <c r="ED306" s="263"/>
      <c r="EE306" s="263"/>
      <c r="EF306" s="263"/>
      <c r="EG306" s="263"/>
      <c r="EH306" s="263"/>
      <c r="EI306" s="263"/>
      <c r="EJ306" s="263"/>
      <c r="EK306" s="263"/>
      <c r="EL306" s="263"/>
      <c r="EM306" s="263"/>
      <c r="EN306" s="263"/>
      <c r="EO306" s="263"/>
      <c r="EP306" s="263"/>
      <c r="EQ306" s="263"/>
      <c r="ER306" s="263"/>
      <c r="ES306" s="263"/>
      <c r="ET306" s="263"/>
      <c r="EU306" s="263"/>
      <c r="EV306" s="263"/>
      <c r="EW306" s="263"/>
      <c r="EX306" s="263"/>
      <c r="EY306" s="263"/>
      <c r="EZ306" s="263"/>
      <c r="FA306" s="263"/>
      <c r="FB306" s="263"/>
      <c r="FC306" s="263"/>
      <c r="FD306" s="263"/>
      <c r="FE306" s="263"/>
      <c r="FF306" s="263"/>
      <c r="FG306" s="263"/>
      <c r="FH306" s="263"/>
      <c r="FI306" s="263"/>
      <c r="FJ306" s="263"/>
      <c r="FK306" s="263"/>
      <c r="FL306" s="263"/>
      <c r="FM306" s="263"/>
      <c r="FN306" s="263"/>
      <c r="FO306" s="263"/>
      <c r="FP306" s="263"/>
      <c r="FQ306" s="263"/>
      <c r="FR306" s="263"/>
      <c r="FS306" s="263"/>
      <c r="FT306" s="263"/>
      <c r="FU306" s="263"/>
      <c r="FV306" s="263"/>
      <c r="FW306" s="263"/>
      <c r="FX306" s="263"/>
      <c r="FY306" s="263"/>
      <c r="FZ306" s="263"/>
      <c r="GA306" s="263"/>
      <c r="GB306" s="263"/>
      <c r="GC306" s="263"/>
      <c r="GD306" s="263"/>
      <c r="GE306" s="263"/>
      <c r="GF306" s="263"/>
      <c r="GG306" s="263"/>
      <c r="GH306" s="263"/>
      <c r="GI306" s="263"/>
      <c r="GJ306" s="263"/>
      <c r="GK306" s="263"/>
      <c r="GL306" s="263"/>
      <c r="GM306" s="263"/>
      <c r="GN306" s="263"/>
      <c r="GO306" s="263"/>
      <c r="GP306" s="263"/>
      <c r="GQ306" s="263"/>
      <c r="GR306" s="263"/>
      <c r="GS306" s="263"/>
      <c r="GT306" s="263"/>
      <c r="GU306" s="263"/>
      <c r="GV306" s="263"/>
      <c r="GW306" s="263"/>
      <c r="GX306" s="263"/>
      <c r="GY306" s="263"/>
    </row>
    <row r="307" spans="1:207" x14ac:dyDescent="0.15">
      <c r="A307" s="62"/>
      <c r="C307" s="23"/>
      <c r="D307" s="26" t="s">
        <v>418</v>
      </c>
      <c r="E307" s="39">
        <v>0.50749999999999995</v>
      </c>
      <c r="F307" s="80"/>
      <c r="G307" s="302" cm="1">
        <f t="array" ref="G307">_xlfn.IFS(G$7&gt;(SAP_Leadsheet!$E$21+12),0,G$7=(SAP_Leadsheet!$E$21+12),SAP_Spreadsheet!G188,G$7&lt;(SAP_Leadsheet!$E$21+12),$E307*G188)</f>
        <v>0</v>
      </c>
      <c r="H307" s="302" cm="1">
        <f t="array" aca="1" ref="H307" ca="1">_xlfn.IFS(H$7&gt;(SAP_Leadsheet!$E$21+12),0,H$7=(SAP_Leadsheet!$E$21+12),SAP_Spreadsheet!H188,H$7&lt;(SAP_Leadsheet!$E$21+12),$E307*H188)</f>
        <v>0</v>
      </c>
      <c r="I307" s="302" cm="1">
        <f t="array" aca="1" ref="I307" ca="1">_xlfn.IFS(I$7&gt;(SAP_Leadsheet!$E$21+12),0,I$7=(SAP_Leadsheet!$E$21+12),SAP_Spreadsheet!I188,I$7&lt;(SAP_Leadsheet!$E$21+12),$E307*I188)</f>
        <v>0</v>
      </c>
      <c r="J307" s="302" cm="1">
        <f t="array" aca="1" ref="J307" ca="1">_xlfn.IFS(J$7&gt;(SAP_Leadsheet!$E$21+12),0,J$7=(SAP_Leadsheet!$E$21+12),SAP_Spreadsheet!J188,J$7&lt;(SAP_Leadsheet!$E$21+12),$E307*J188)</f>
        <v>0</v>
      </c>
      <c r="K307" s="302" cm="1">
        <f t="array" aca="1" ref="K307" ca="1">_xlfn.IFS(K$7&gt;(SAP_Leadsheet!$E$21+12),0,K$7=(SAP_Leadsheet!$E$21+12),SAP_Spreadsheet!K188,K$7&lt;(SAP_Leadsheet!$E$21+12),$E307*K188)</f>
        <v>0</v>
      </c>
      <c r="L307" s="302" cm="1">
        <f t="array" aca="1" ref="L307" ca="1">_xlfn.IFS(L$7&gt;(SAP_Leadsheet!$E$21+12),0,L$7=(SAP_Leadsheet!$E$21+12),SAP_Spreadsheet!L188,L$7&lt;(SAP_Leadsheet!$E$21+12),$E307*L188)</f>
        <v>0</v>
      </c>
      <c r="M307" s="302" cm="1">
        <f t="array" aca="1" ref="M307" ca="1">_xlfn.IFS(M$7&gt;(SAP_Leadsheet!$E$21+12),0,M$7=(SAP_Leadsheet!$E$21+12),SAP_Spreadsheet!M188,M$7&lt;(SAP_Leadsheet!$E$21+12),$E307*M188)</f>
        <v>0</v>
      </c>
      <c r="N307" s="302" cm="1">
        <f t="array" aca="1" ref="N307" ca="1">_xlfn.IFS(N$7&gt;(SAP_Leadsheet!$E$21+12),0,N$7=(SAP_Leadsheet!$E$21+12),SAP_Spreadsheet!N188,N$7&lt;(SAP_Leadsheet!$E$21+12),$E307*N188)</f>
        <v>1.2337873122556907E-2</v>
      </c>
      <c r="O307" s="302" cm="1">
        <f t="array" aca="1" ref="O307" ca="1">_xlfn.IFS(O$7&gt;(SAP_Leadsheet!$E$21+12),0,O$7=(SAP_Leadsheet!$E$21+12),SAP_Spreadsheet!O188,O$7&lt;(SAP_Leadsheet!$E$21+12),$E307*O188)</f>
        <v>2.1748501305466888E-2</v>
      </c>
      <c r="P307" s="302" cm="1">
        <f t="array" aca="1" ref="P307" ca="1">_xlfn.IFS(P$7&gt;(SAP_Leadsheet!$E$21+12),0,P$7=(SAP_Leadsheet!$E$21+12),SAP_Spreadsheet!P188,P$7&lt;(SAP_Leadsheet!$E$21+12),$E307*P188)</f>
        <v>2.5582914903522703E-2</v>
      </c>
      <c r="Q307" s="302" cm="1">
        <f t="array" aca="1" ref="Q307" ca="1">_xlfn.IFS(Q$7&gt;(SAP_Leadsheet!$E$21+12),0,Q$7=(SAP_Leadsheet!$E$21+12),SAP_Spreadsheet!Q188,Q$7&lt;(SAP_Leadsheet!$E$21+12),$E307*Q188)</f>
        <v>2.5448865402946649E-2</v>
      </c>
      <c r="R307" s="302" cm="1">
        <f t="array" aca="1" ref="R307" ca="1">_xlfn.IFS(R$7&gt;(SAP_Leadsheet!$E$21+12),0,R$7=(SAP_Leadsheet!$E$21+12),SAP_Spreadsheet!R188,R$7&lt;(SAP_Leadsheet!$E$21+12),$E307*R188)</f>
        <v>2.3400748646551523E-2</v>
      </c>
      <c r="S307" s="302" cm="1">
        <f t="array" aca="1" ref="S307" ca="1">_xlfn.IFS(S$7&gt;(SAP_Leadsheet!$E$21+12),0,S$7=(SAP_Leadsheet!$E$21+12),SAP_Spreadsheet!S188,S$7&lt;(SAP_Leadsheet!$E$21+12),$E307*S188)</f>
        <v>2.065249972606303E-2</v>
      </c>
      <c r="T307" s="302" cm="1">
        <f t="array" aca="1" ref="T307" ca="1">_xlfn.IFS(T$7&gt;(SAP_Leadsheet!$E$21+12),0,T$7=(SAP_Leadsheet!$E$21+12),SAP_Spreadsheet!T188,T$7&lt;(SAP_Leadsheet!$E$21+12),$E307*T188)</f>
        <v>1.7468595110884208E-2</v>
      </c>
      <c r="U307" s="302" cm="1">
        <f t="array" aca="1" ref="U307" ca="1">_xlfn.IFS(U$7&gt;(SAP_Leadsheet!$E$21+12),0,U$7=(SAP_Leadsheet!$E$21+12),SAP_Spreadsheet!U188,U$7&lt;(SAP_Leadsheet!$E$21+12),$E307*U188)</f>
        <v>1.5009957008216425E-2</v>
      </c>
      <c r="V307" s="302" cm="1">
        <f t="array" aca="1" ref="V307" ca="1">_xlfn.IFS(V$7&gt;(SAP_Leadsheet!$E$21+12),0,V$7=(SAP_Leadsheet!$E$21+12),SAP_Spreadsheet!V188,V$7&lt;(SAP_Leadsheet!$E$21+12),$E307*V188)</f>
        <v>1.2892006079558892E-2</v>
      </c>
      <c r="W307" s="302" cm="1">
        <f t="array" aca="1" ref="W307" ca="1">_xlfn.IFS(W$7&gt;(SAP_Leadsheet!$E$21+12),0,W$7=(SAP_Leadsheet!$E$21+12),SAP_Spreadsheet!W188,W$7&lt;(SAP_Leadsheet!$E$21+12),$E307*W188)</f>
        <v>1.0977970781995604E-2</v>
      </c>
      <c r="X307" s="302" cm="1">
        <f t="array" aca="1" ref="X307" ca="1">_xlfn.IFS(X$7&gt;(SAP_Leadsheet!$E$21+12),0,X$7=(SAP_Leadsheet!$E$21+12),SAP_Spreadsheet!X188,X$7&lt;(SAP_Leadsheet!$E$21+12),$E307*X188)</f>
        <v>9.379887456816326E-3</v>
      </c>
      <c r="Y307" s="302" cm="1">
        <f t="array" aca="1" ref="Y307" ca="1">_xlfn.IFS(Y$7&gt;(SAP_Leadsheet!$E$21+12),0,Y$7=(SAP_Leadsheet!$E$21+12),SAP_Spreadsheet!Y188,Y$7&lt;(SAP_Leadsheet!$E$21+12),$E307*Y188)</f>
        <v>4.7108268633067564E-3</v>
      </c>
      <c r="Z307" s="302" cm="1">
        <f t="array" aca="1" ref="Z307" ca="1">_xlfn.IFS(Z$7&gt;(SAP_Leadsheet!$E$21+12),0,Z$7=(SAP_Leadsheet!$E$21+12),SAP_Spreadsheet!Z188,Z$7&lt;(SAP_Leadsheet!$E$21+12),$E307*Z188)</f>
        <v>4.8359928961330418E-3</v>
      </c>
      <c r="AA307" s="302" cm="1">
        <f t="array" aca="1" ref="AA307" ca="1">_xlfn.IFS(AA$7&gt;(SAP_Leadsheet!$E$21+12),0,AA$7=(SAP_Leadsheet!$E$21+12),SAP_Spreadsheet!AA188,AA$7&lt;(SAP_Leadsheet!$E$21+12),$E307*AA188)</f>
        <v>5.565101569120115E-3</v>
      </c>
      <c r="AB307" s="302" cm="1">
        <f t="array" aca="1" ref="AB307" ca="1">_xlfn.IFS(AB$7&gt;(SAP_Leadsheet!$E$21+12),0,AB$7=(SAP_Leadsheet!$E$21+12),SAP_Spreadsheet!AB188,AB$7&lt;(SAP_Leadsheet!$E$21+12),$E307*AB188)</f>
        <v>5.7389129977948898E-3</v>
      </c>
      <c r="AC307" s="302" cm="1">
        <f t="array" aca="1" ref="AC307" ca="1">_xlfn.IFS(AC$7&gt;(SAP_Leadsheet!$E$21+12),0,AC$7=(SAP_Leadsheet!$E$21+12),SAP_Spreadsheet!AC188,AC$7&lt;(SAP_Leadsheet!$E$21+12),$E307*AC188)</f>
        <v>5.4642853759937953E-3</v>
      </c>
      <c r="AD307" s="302" cm="1">
        <f t="array" aca="1" ref="AD307" ca="1">_xlfn.IFS(AD$7&gt;(SAP_Leadsheet!$E$21+12),0,AD$7=(SAP_Leadsheet!$E$21+12),SAP_Spreadsheet!AD188,AD$7&lt;(SAP_Leadsheet!$E$21+12),$E307*AD188)</f>
        <v>5.5335886744983373E-3</v>
      </c>
      <c r="AE307" s="302" cm="1">
        <f t="array" aca="1" ref="AE307" ca="1">_xlfn.IFS(AE$7&gt;(SAP_Leadsheet!$E$21+12),0,AE$7=(SAP_Leadsheet!$E$21+12),SAP_Spreadsheet!AE188,AE$7&lt;(SAP_Leadsheet!$E$21+12),$E307*AE188)</f>
        <v>5.6908075381607017E-3</v>
      </c>
      <c r="AF307" s="302" cm="1">
        <f t="array" aca="1" ref="AF307" ca="1">_xlfn.IFS(AF$7&gt;(SAP_Leadsheet!$E$21+12),0,AF$7=(SAP_Leadsheet!$E$21+12),SAP_Spreadsheet!AF188,AF$7&lt;(SAP_Leadsheet!$E$21+12),$E307*AF188)</f>
        <v>5.8034010313386805E-3</v>
      </c>
      <c r="AG307" s="302" cm="1">
        <f t="array" aca="1" ref="AG307" ca="1">_xlfn.IFS(AG$7&gt;(SAP_Leadsheet!$E$21+12),0,AG$7=(SAP_Leadsheet!$E$21+12),SAP_Spreadsheet!AG188,AG$7&lt;(SAP_Leadsheet!$E$21+12),$E307*AG188)</f>
        <v>5.8687581473813076E-3</v>
      </c>
      <c r="AH307" s="302" cm="1">
        <f t="array" aca="1" ref="AH307" ca="1">_xlfn.IFS(AH$7&gt;(SAP_Leadsheet!$E$21+12),0,AH$7=(SAP_Leadsheet!$E$21+12),SAP_Spreadsheet!AH188,AH$7&lt;(SAP_Leadsheet!$E$21+12),$E307*AH188)</f>
        <v>5.6648760447436776E-3</v>
      </c>
      <c r="AI307" s="302" cm="1">
        <f t="array" aca="1" ref="AI307" ca="1">_xlfn.IFS(AI$7&gt;(SAP_Leadsheet!$E$21+12),0,AI$7=(SAP_Leadsheet!$E$21+12),SAP_Spreadsheet!AI188,AI$7&lt;(SAP_Leadsheet!$E$21+12),$E307*AI188)</f>
        <v>5.3114707498649388E-3</v>
      </c>
      <c r="AJ307" s="302" cm="1">
        <f t="array" aca="1" ref="AJ307" ca="1">_xlfn.IFS(AJ$7&gt;(SAP_Leadsheet!$E$21+12),0,AJ$7=(SAP_Leadsheet!$E$21+12),SAP_Spreadsheet!AJ188,AJ$7&lt;(SAP_Leadsheet!$E$21+12),$E307*AJ188)</f>
        <v>5.1691488591951683E-3</v>
      </c>
      <c r="AK307" s="302" cm="1">
        <f t="array" aca="1" ref="AK307" ca="1">_xlfn.IFS(AK$7&gt;(SAP_Leadsheet!$E$21+12),0,AK$7=(SAP_Leadsheet!$E$21+12),SAP_Spreadsheet!AK188,AK$7&lt;(SAP_Leadsheet!$E$21+12),$E307*AK188)</f>
        <v>4.2290174379685736E-3</v>
      </c>
      <c r="AL307" s="302" cm="1">
        <f t="array" aca="1" ref="AL307" ca="1">_xlfn.IFS(AL$7&gt;(SAP_Leadsheet!$E$21+12),0,AL$7=(SAP_Leadsheet!$E$21+12),SAP_Spreadsheet!AL188,AL$7&lt;(SAP_Leadsheet!$E$21+12),$E307*AL188)</f>
        <v>4.3154178457158222E-3</v>
      </c>
      <c r="AM307" s="302" cm="1">
        <f t="array" aca="1" ref="AM307" ca="1">_xlfn.IFS(AM$7&gt;(SAP_Leadsheet!$E$21+12),0,AM$7=(SAP_Leadsheet!$E$21+12),SAP_Spreadsheet!AM188,AM$7&lt;(SAP_Leadsheet!$E$21+12),$E307*AM188)</f>
        <v>4.5808203400399374E-3</v>
      </c>
      <c r="AN307" s="302" cm="1">
        <f t="array" aca="1" ref="AN307" ca="1">_xlfn.IFS(AN$7&gt;(SAP_Leadsheet!$E$21+12),0,AN$7=(SAP_Leadsheet!$E$21+12),SAP_Spreadsheet!AN188,AN$7&lt;(SAP_Leadsheet!$E$21+12),$E307*AN188)</f>
        <v>4.7447540188680038E-3</v>
      </c>
      <c r="AO307" s="302" cm="1">
        <f t="array" aca="1" ref="AO307" ca="1">_xlfn.IFS(AO$7&gt;(SAP_Leadsheet!$E$21+12),0,AO$7=(SAP_Leadsheet!$E$21+12),SAP_Spreadsheet!AO188,AO$7&lt;(SAP_Leadsheet!$E$21+12),$E307*AO188)</f>
        <v>4.7680936450005783E-3</v>
      </c>
      <c r="AP307" s="302" cm="1">
        <f t="array" aca="1" ref="AP307" ca="1">_xlfn.IFS(AP$7&gt;(SAP_Leadsheet!$E$21+12),0,AP$7=(SAP_Leadsheet!$E$21+12),SAP_Spreadsheet!AP188,AP$7&lt;(SAP_Leadsheet!$E$21+12),$E307*AP188)</f>
        <v>4.6994549218687832E-3</v>
      </c>
      <c r="AQ307" s="302" cm="1">
        <f t="array" aca="1" ref="AQ307" ca="1">_xlfn.IFS(AQ$7&gt;(SAP_Leadsheet!$E$21+12),0,AQ$7=(SAP_Leadsheet!$E$21+12),SAP_Spreadsheet!AQ188,AQ$7&lt;(SAP_Leadsheet!$E$21+12),$E307*AQ188)</f>
        <v>4.590158267327408E-3</v>
      </c>
      <c r="AR307" s="302" cm="1">
        <f t="array" aca="1" ref="AR307" ca="1">_xlfn.IFS(AR$7&gt;(SAP_Leadsheet!$E$21+12),0,AR$7=(SAP_Leadsheet!$E$21+12),SAP_Spreadsheet!AR188,AR$7&lt;(SAP_Leadsheet!$E$21+12),$E307*AR188)</f>
        <v>4.4695864309476641E-3</v>
      </c>
      <c r="AS307" s="302" cm="1">
        <f t="array" aca="1" ref="AS307" ca="1">_xlfn.IFS(AS$7&gt;(SAP_Leadsheet!$E$21+12),0,AS$7=(SAP_Leadsheet!$E$21+12),SAP_Spreadsheet!AS188,AS$7&lt;(SAP_Leadsheet!$E$21+12),$E307*AS188)</f>
        <v>4.4984532561739366E-3</v>
      </c>
      <c r="AT307" s="302" cm="1">
        <f t="array" aca="1" ref="AT307" ca="1">_xlfn.IFS(AT$7&gt;(SAP_Leadsheet!$E$21+12),0,AT$7=(SAP_Leadsheet!$E$21+12),SAP_Spreadsheet!AT188,AT$7&lt;(SAP_Leadsheet!$E$21+12),$E307*AT188)</f>
        <v>4.3573724449290285E-3</v>
      </c>
      <c r="AU307" s="302" cm="1">
        <f t="array" aca="1" ref="AU307" ca="1">_xlfn.IFS(AU$7&gt;(SAP_Leadsheet!$E$21+12),0,AU$7=(SAP_Leadsheet!$E$21+12),SAP_Spreadsheet!AU188,AU$7&lt;(SAP_Leadsheet!$E$21+12),$E307*AU188)</f>
        <v>4.1791263122950327E-3</v>
      </c>
      <c r="AV307" s="302" cm="1">
        <f t="array" aca="1" ref="AV307" ca="1">_xlfn.IFS(AV$7&gt;(SAP_Leadsheet!$E$21+12),0,AV$7=(SAP_Leadsheet!$E$21+12),SAP_Spreadsheet!AV188,AV$7&lt;(SAP_Leadsheet!$E$21+12),$E307*AV188)</f>
        <v>3.8696561784075834E-3</v>
      </c>
      <c r="AW307" s="302" cm="1">
        <f t="array" aca="1" ref="AW307" ca="1">_xlfn.IFS(AW$7&gt;(SAP_Leadsheet!$E$21+12),0,AW$7=(SAP_Leadsheet!$E$21+12),SAP_Spreadsheet!AW188,AW$7&lt;(SAP_Leadsheet!$E$21+12),$E307*AW188)</f>
        <v>3.112224178854088E-3</v>
      </c>
      <c r="AX307" s="302" cm="1">
        <f t="array" aca="1" ref="AX307" ca="1">_xlfn.IFS(AX$7&gt;(SAP_Leadsheet!$E$21+12),0,AX$7=(SAP_Leadsheet!$E$21+12),SAP_Spreadsheet!AX188,AX$7&lt;(SAP_Leadsheet!$E$21+12),$E307*AX188)</f>
        <v>3.0433336782793468E-3</v>
      </c>
      <c r="AY307" s="302" cm="1">
        <f t="array" aca="1" ref="AY307" ca="1">_xlfn.IFS(AY$7&gt;(SAP_Leadsheet!$E$21+12),0,AY$7=(SAP_Leadsheet!$E$21+12),SAP_Spreadsheet!AY188,AY$7&lt;(SAP_Leadsheet!$E$21+12),$E307*AY188)</f>
        <v>2.9870343637796132E-3</v>
      </c>
      <c r="AZ307" s="302" cm="1">
        <f t="array" aca="1" ref="AZ307" ca="1">_xlfn.IFS(AZ$7&gt;(SAP_Leadsheet!$E$21+12),0,AZ$7=(SAP_Leadsheet!$E$21+12),SAP_Spreadsheet!AZ188,AZ$7&lt;(SAP_Leadsheet!$E$21+12),$E307*AZ188)</f>
        <v>2.9368272883980836E-3</v>
      </c>
      <c r="BA307" s="302" cm="1">
        <f t="array" aca="1" ref="BA307" ca="1">_xlfn.IFS(BA$7&gt;(SAP_Leadsheet!$E$21+12),0,BA$7=(SAP_Leadsheet!$E$21+12),SAP_Spreadsheet!BA188,BA$7&lt;(SAP_Leadsheet!$E$21+12),$E307*BA188)</f>
        <v>2.8878445202944187E-3</v>
      </c>
      <c r="BB307" s="302" cm="1">
        <f t="array" aca="1" ref="BB307" ca="1">_xlfn.IFS(BB$7&gt;(SAP_Leadsheet!$E$21+12),0,BB$7=(SAP_Leadsheet!$E$21+12),SAP_Spreadsheet!BB188,BB$7&lt;(SAP_Leadsheet!$E$21+12),$E307*BB188)</f>
        <v>2.8382248441616081E-3</v>
      </c>
      <c r="BC307" s="302" cm="1">
        <f t="array" aca="1" ref="BC307" ca="1">_xlfn.IFS(BC$7&gt;(SAP_Leadsheet!$E$21+12),0,BC$7=(SAP_Leadsheet!$E$21+12),SAP_Spreadsheet!BC188,BC$7&lt;(SAP_Leadsheet!$E$21+12),$E307*BC188)</f>
        <v>2.7877011259505023E-3</v>
      </c>
      <c r="BD307" s="302" cm="1">
        <f t="array" aca="1" ref="BD307" ca="1">_xlfn.IFS(BD$7&gt;(SAP_Leadsheet!$E$21+12),0,BD$7=(SAP_Leadsheet!$E$21+12),SAP_Spreadsheet!BD188,BD$7&lt;(SAP_Leadsheet!$E$21+12),$E307*BD188)</f>
        <v>2.7358643991198155E-3</v>
      </c>
      <c r="BE307" s="302" cm="1">
        <f t="array" aca="1" ref="BE307" ca="1">_xlfn.IFS(BE$7&gt;(SAP_Leadsheet!$E$21+12),0,BE$7=(SAP_Leadsheet!$E$21+12),SAP_Spreadsheet!BE188,BE$7&lt;(SAP_Leadsheet!$E$21+12),$E307*BE188)</f>
        <v>2.6820777792145849E-3</v>
      </c>
      <c r="BF307" s="302" cm="1">
        <f t="array" aca="1" ref="BF307" ca="1">_xlfn.IFS(BF$7&gt;(SAP_Leadsheet!$E$21+12),0,BF$7=(SAP_Leadsheet!$E$21+12),SAP_Spreadsheet!BF188,BF$7&lt;(SAP_Leadsheet!$E$21+12),$E307*BF188)</f>
        <v>2.6242594134722776E-3</v>
      </c>
      <c r="BG307" s="302" cm="1">
        <f t="array" aca="1" ref="BG307" ca="1">_xlfn.IFS(BG$7&gt;(SAP_Leadsheet!$E$21+12),0,BG$7=(SAP_Leadsheet!$E$21+12),SAP_Spreadsheet!BG188,BG$7&lt;(SAP_Leadsheet!$E$21+12),$E307*BG188)</f>
        <v>2.5604790566567254E-3</v>
      </c>
      <c r="BH307" s="302" cm="1">
        <f t="array" aca="1" ref="BH307" ca="1">_xlfn.IFS(BH$7&gt;(SAP_Leadsheet!$E$21+12),0,BH$7=(SAP_Leadsheet!$E$21+12),SAP_Spreadsheet!BH188,BH$7&lt;(SAP_Leadsheet!$E$21+12),$E307*BH188)</f>
        <v>2.4926652179654393E-3</v>
      </c>
      <c r="BI307" s="302" cm="1">
        <f t="array" aca="1" ref="BI307" ca="1">_xlfn.IFS(BI$7&gt;(SAP_Leadsheet!$E$21+12),0,BI$7=(SAP_Leadsheet!$E$21+12),SAP_Spreadsheet!BI188,BI$7&lt;(SAP_Leadsheet!$E$21+12),$E307*BI188)</f>
        <v>2.1322680276094378E-3</v>
      </c>
      <c r="BJ307" s="302" cm="1">
        <f t="array" aca="1" ref="BJ307" ca="1">_xlfn.IFS(BJ$7&gt;(SAP_Leadsheet!$E$21+12),0,BJ$7=(SAP_Leadsheet!$E$21+12),SAP_Spreadsheet!BJ188,BJ$7&lt;(SAP_Leadsheet!$E$21+12),$E307*BJ188)</f>
        <v>2.0788243430086783E-3</v>
      </c>
      <c r="BK307" s="302" cm="1">
        <f t="array" aca="1" ref="BK307" ca="1">_xlfn.IFS(BK$7&gt;(SAP_Leadsheet!$E$21+12),0,BK$7=(SAP_Leadsheet!$E$21+12),SAP_Spreadsheet!BK188,BK$7&lt;(SAP_Leadsheet!$E$21+12),$E307*BK188)</f>
        <v>2.0255126789417246E-3</v>
      </c>
      <c r="BL307" s="302" cm="1">
        <f t="array" aca="1" ref="BL307" ca="1">_xlfn.IFS(BL$7&gt;(SAP_Leadsheet!$E$21+12),0,BL$7=(SAP_Leadsheet!$E$21+12),SAP_Spreadsheet!BL188,BL$7&lt;(SAP_Leadsheet!$E$21+12),$E307*BL188)</f>
        <v>1.9726729318338453E-3</v>
      </c>
      <c r="BM307" s="302" cm="1">
        <f t="array" aca="1" ref="BM307" ca="1">_xlfn.IFS(BM$7&gt;(SAP_Leadsheet!$E$21+12),0,BM$7=(SAP_Leadsheet!$E$21+12),SAP_Spreadsheet!BM188,BM$7&lt;(SAP_Leadsheet!$E$21+12),$E307*BM188)</f>
        <v>1.9200824836608735E-3</v>
      </c>
      <c r="BN307" s="302" cm="1">
        <f t="array" aca="1" ref="BN307" ca="1">_xlfn.IFS(BN$7&gt;(SAP_Leadsheet!$E$21+12),0,BN$7=(SAP_Leadsheet!$E$21+12),SAP_Spreadsheet!BN188,BN$7&lt;(SAP_Leadsheet!$E$21+12),$E307*BN188)</f>
        <v>1.8676047984900986E-3</v>
      </c>
      <c r="BO307" s="302" cm="1">
        <f t="array" aca="1" ref="BO307" ca="1">_xlfn.IFS(BO$7&gt;(SAP_Leadsheet!$E$21+12),0,BO$7=(SAP_Leadsheet!$E$21+12),SAP_Spreadsheet!BO188,BO$7&lt;(SAP_Leadsheet!$E$21+12),$E307*BO188)</f>
        <v>1.8150748873380243E-3</v>
      </c>
      <c r="BP307" s="302" cm="1">
        <f t="array" aca="1" ref="BP307" ca="1">_xlfn.IFS(BP$7&gt;(SAP_Leadsheet!$E$21+12),0,BP$7=(SAP_Leadsheet!$E$21+12),SAP_Spreadsheet!BP188,BP$7&lt;(SAP_Leadsheet!$E$21+12),$E307*BP188)</f>
        <v>1.7624127482070465E-3</v>
      </c>
      <c r="BQ307" s="302" cm="1">
        <f t="array" aca="1" ref="BQ307" ca="1">_xlfn.IFS(BQ$7&gt;(SAP_Leadsheet!$E$21+12),0,BQ$7=(SAP_Leadsheet!$E$21+12),SAP_Spreadsheet!BQ188,BQ$7&lt;(SAP_Leadsheet!$E$21+12),$E307*BQ188)</f>
        <v>1.7096059688769805E-3</v>
      </c>
      <c r="BR307" s="302" cm="1">
        <f t="array" aca="1" ref="BR307" ca="1">_xlfn.IFS(BR$7&gt;(SAP_Leadsheet!$E$21+12),0,BR$7=(SAP_Leadsheet!$E$21+12),SAP_Spreadsheet!BR188,BR$7&lt;(SAP_Leadsheet!$E$21+12),$E307*BR188)</f>
        <v>1.6560330818585337E-3</v>
      </c>
      <c r="BS307" s="302" cm="1">
        <f t="array" aca="1" ref="BS307" ca="1">_xlfn.IFS(BS$7&gt;(SAP_Leadsheet!$E$21+12),0,BS$7=(SAP_Leadsheet!$E$21+12),SAP_Spreadsheet!BS188,BS$7&lt;(SAP_Leadsheet!$E$21+12),$E307*BS188)</f>
        <v>1.6006825833287529E-3</v>
      </c>
      <c r="BT307" s="302" cm="1">
        <f t="array" aca="1" ref="BT307" ca="1">_xlfn.IFS(BT$7&gt;(SAP_Leadsheet!$E$21+12),0,BT$7=(SAP_Leadsheet!$E$21+12),SAP_Spreadsheet!BT188,BT$7&lt;(SAP_Leadsheet!$E$21+12),$E307*BT188)</f>
        <v>1.5440289990920897E-3</v>
      </c>
      <c r="BU307" s="302" cm="1">
        <f t="array" aca="1" ref="BU307" ca="1">_xlfn.IFS(BU$7&gt;(SAP_Leadsheet!$E$21+12),0,BU$7=(SAP_Leadsheet!$E$21+12),SAP_Spreadsheet!BU188,BU$7&lt;(SAP_Leadsheet!$E$21+12),$E307*BU188)</f>
        <v>1.486739901601142E-3</v>
      </c>
      <c r="BV307" s="302" cm="1">
        <f t="array" aca="1" ref="BV307" ca="1">_xlfn.IFS(BV$7&gt;(SAP_Leadsheet!$E$21+12),0,BV$7=(SAP_Leadsheet!$E$21+12),SAP_Spreadsheet!BV188,BV$7&lt;(SAP_Leadsheet!$E$21+12),$E307*BV188)</f>
        <v>0</v>
      </c>
      <c r="BW307" s="302" cm="1">
        <f t="array" aca="1" ref="BW307" ca="1">_xlfn.IFS(BW$7&gt;(SAP_Leadsheet!$E$21+12),0,BW$7=(SAP_Leadsheet!$E$21+12),SAP_Spreadsheet!BW188,BW$7&lt;(SAP_Leadsheet!$E$21+12),$E307*BW188)</f>
        <v>0</v>
      </c>
      <c r="BX307" s="302" cm="1">
        <f t="array" aca="1" ref="BX307" ca="1">_xlfn.IFS(BX$7&gt;(SAP_Leadsheet!$E$21+12),0,BX$7=(SAP_Leadsheet!$E$21+12),SAP_Spreadsheet!BX188,BX$7&lt;(SAP_Leadsheet!$E$21+12),$E307*BX188)</f>
        <v>0</v>
      </c>
      <c r="BY307" s="302" cm="1">
        <f t="array" aca="1" ref="BY307" ca="1">_xlfn.IFS(BY$7&gt;(SAP_Leadsheet!$E$21+12),0,BY$7=(SAP_Leadsheet!$E$21+12),SAP_Spreadsheet!BY188,BY$7&lt;(SAP_Leadsheet!$E$21+12),$E307*BY188)</f>
        <v>0</v>
      </c>
      <c r="BZ307" s="302" cm="1">
        <f t="array" aca="1" ref="BZ307" ca="1">_xlfn.IFS(BZ$7&gt;(SAP_Leadsheet!$E$21+12),0,BZ$7=(SAP_Leadsheet!$E$21+12),SAP_Spreadsheet!BZ188,BZ$7&lt;(SAP_Leadsheet!$E$21+12),$E307*BZ188)</f>
        <v>0</v>
      </c>
      <c r="CA307" s="263"/>
      <c r="CB307" s="263"/>
      <c r="CC307" s="263"/>
      <c r="CD307" s="263"/>
      <c r="CE307" s="263"/>
      <c r="CF307" s="263"/>
      <c r="CG307" s="263"/>
      <c r="CH307" s="263"/>
      <c r="CI307" s="263"/>
      <c r="CJ307" s="263"/>
      <c r="CK307" s="263"/>
      <c r="CL307" s="263"/>
      <c r="CM307" s="263"/>
      <c r="CN307" s="263"/>
      <c r="CO307" s="263"/>
      <c r="CP307" s="263"/>
      <c r="CQ307" s="263"/>
      <c r="CR307" s="263"/>
      <c r="CS307" s="263"/>
      <c r="CT307" s="263"/>
      <c r="CU307" s="263"/>
      <c r="CV307" s="263"/>
      <c r="CW307" s="263"/>
      <c r="CX307" s="263"/>
      <c r="CY307" s="263"/>
      <c r="CZ307" s="263"/>
      <c r="DA307" s="263"/>
      <c r="DB307" s="263"/>
      <c r="DC307" s="263"/>
      <c r="DD307" s="263"/>
      <c r="DE307" s="263"/>
      <c r="DF307" s="263"/>
      <c r="DG307" s="263"/>
      <c r="DH307" s="263"/>
      <c r="DI307" s="263"/>
      <c r="DJ307" s="263"/>
      <c r="DK307" s="263"/>
      <c r="DL307" s="263"/>
      <c r="DM307" s="263"/>
      <c r="DN307" s="263"/>
      <c r="DO307" s="263"/>
      <c r="DP307" s="263"/>
      <c r="DQ307" s="263"/>
      <c r="DR307" s="263"/>
      <c r="DS307" s="263"/>
      <c r="DT307" s="263"/>
      <c r="DU307" s="263"/>
      <c r="DV307" s="263"/>
      <c r="DW307" s="263"/>
      <c r="DX307" s="263"/>
      <c r="DY307" s="263"/>
      <c r="DZ307" s="263"/>
      <c r="EA307" s="263"/>
      <c r="EB307" s="263"/>
      <c r="EC307" s="263"/>
      <c r="ED307" s="263"/>
      <c r="EE307" s="263"/>
      <c r="EF307" s="263"/>
      <c r="EG307" s="263"/>
      <c r="EH307" s="263"/>
      <c r="EI307" s="263"/>
      <c r="EJ307" s="263"/>
      <c r="EK307" s="263"/>
      <c r="EL307" s="263"/>
      <c r="EM307" s="263"/>
      <c r="EN307" s="263"/>
      <c r="EO307" s="263"/>
      <c r="EP307" s="263"/>
      <c r="EQ307" s="263"/>
      <c r="ER307" s="263"/>
      <c r="ES307" s="263"/>
      <c r="ET307" s="263"/>
      <c r="EU307" s="263"/>
      <c r="EV307" s="263"/>
      <c r="EW307" s="263"/>
      <c r="EX307" s="263"/>
      <c r="EY307" s="263"/>
      <c r="EZ307" s="263"/>
      <c r="FA307" s="263"/>
      <c r="FB307" s="263"/>
      <c r="FC307" s="263"/>
      <c r="FD307" s="263"/>
      <c r="FE307" s="263"/>
      <c r="FF307" s="263"/>
      <c r="FG307" s="263"/>
      <c r="FH307" s="263"/>
      <c r="FI307" s="263"/>
      <c r="FJ307" s="263"/>
      <c r="FK307" s="263"/>
      <c r="FL307" s="263"/>
      <c r="FM307" s="263"/>
      <c r="FN307" s="263"/>
      <c r="FO307" s="263"/>
      <c r="FP307" s="263"/>
      <c r="FQ307" s="263"/>
      <c r="FR307" s="263"/>
      <c r="FS307" s="263"/>
      <c r="FT307" s="263"/>
      <c r="FU307" s="263"/>
      <c r="FV307" s="263"/>
      <c r="FW307" s="263"/>
      <c r="FX307" s="263"/>
      <c r="FY307" s="263"/>
      <c r="FZ307" s="263"/>
      <c r="GA307" s="263"/>
      <c r="GB307" s="263"/>
      <c r="GC307" s="263"/>
      <c r="GD307" s="263"/>
      <c r="GE307" s="263"/>
      <c r="GF307" s="263"/>
      <c r="GG307" s="263"/>
      <c r="GH307" s="263"/>
      <c r="GI307" s="263"/>
      <c r="GJ307" s="263"/>
      <c r="GK307" s="263"/>
      <c r="GL307" s="263"/>
      <c r="GM307" s="263"/>
      <c r="GN307" s="263"/>
      <c r="GO307" s="263"/>
      <c r="GP307" s="263"/>
      <c r="GQ307" s="263"/>
      <c r="GR307" s="263"/>
      <c r="GS307" s="263"/>
      <c r="GT307" s="263"/>
      <c r="GU307" s="263"/>
      <c r="GV307" s="263"/>
      <c r="GW307" s="263"/>
      <c r="GX307" s="263"/>
      <c r="GY307" s="263"/>
    </row>
    <row r="308" spans="1:207" x14ac:dyDescent="0.15">
      <c r="A308" s="62"/>
      <c r="D308" s="26" t="s">
        <v>419</v>
      </c>
      <c r="E308" s="39">
        <v>0.50749999999999995</v>
      </c>
      <c r="F308" s="80"/>
      <c r="G308" s="302" cm="1">
        <f t="array" ref="G308">_xlfn.IFS(G$7&gt;(SAP_Leadsheet!$E$21+12),0,G$7=(SAP_Leadsheet!$E$21+12),SAP_Spreadsheet!G189,G$7&lt;(SAP_Leadsheet!$E$21+12),$E308*G189)</f>
        <v>0</v>
      </c>
      <c r="H308" s="302" cm="1">
        <f t="array" aca="1" ref="H308" ca="1">_xlfn.IFS(H$7&gt;(SAP_Leadsheet!$E$21+12),0,H$7=(SAP_Leadsheet!$E$21+12),SAP_Spreadsheet!H189,H$7&lt;(SAP_Leadsheet!$E$21+12),$E308*H189)</f>
        <v>0</v>
      </c>
      <c r="I308" s="302" cm="1">
        <f t="array" aca="1" ref="I308" ca="1">_xlfn.IFS(I$7&gt;(SAP_Leadsheet!$E$21+12),0,I$7=(SAP_Leadsheet!$E$21+12),SAP_Spreadsheet!I189,I$7&lt;(SAP_Leadsheet!$E$21+12),$E308*I189)</f>
        <v>0</v>
      </c>
      <c r="J308" s="302" cm="1">
        <f t="array" aca="1" ref="J308" ca="1">_xlfn.IFS(J$7&gt;(SAP_Leadsheet!$E$21+12),0,J$7=(SAP_Leadsheet!$E$21+12),SAP_Spreadsheet!J189,J$7&lt;(SAP_Leadsheet!$E$21+12),$E308*J189)</f>
        <v>0</v>
      </c>
      <c r="K308" s="302" cm="1">
        <f t="array" aca="1" ref="K308" ca="1">_xlfn.IFS(K$7&gt;(SAP_Leadsheet!$E$21+12),0,K$7=(SAP_Leadsheet!$E$21+12),SAP_Spreadsheet!K189,K$7&lt;(SAP_Leadsheet!$E$21+12),$E308*K189)</f>
        <v>0</v>
      </c>
      <c r="L308" s="302" cm="1">
        <f t="array" aca="1" ref="L308" ca="1">_xlfn.IFS(L$7&gt;(SAP_Leadsheet!$E$21+12),0,L$7=(SAP_Leadsheet!$E$21+12),SAP_Spreadsheet!L189,L$7&lt;(SAP_Leadsheet!$E$21+12),$E308*L189)</f>
        <v>0</v>
      </c>
      <c r="M308" s="302" cm="1">
        <f t="array" aca="1" ref="M308" ca="1">_xlfn.IFS(M$7&gt;(SAP_Leadsheet!$E$21+12),0,M$7=(SAP_Leadsheet!$E$21+12),SAP_Spreadsheet!M189,M$7&lt;(SAP_Leadsheet!$E$21+12),$E308*M189)</f>
        <v>0</v>
      </c>
      <c r="N308" s="302" cm="1">
        <f t="array" aca="1" ref="N308" ca="1">_xlfn.IFS(N$7&gt;(SAP_Leadsheet!$E$21+12),0,N$7=(SAP_Leadsheet!$E$21+12),SAP_Spreadsheet!N189,N$7&lt;(SAP_Leadsheet!$E$21+12),$E308*N189)</f>
        <v>0</v>
      </c>
      <c r="O308" s="302" cm="1">
        <f t="array" aca="1" ref="O308" ca="1">_xlfn.IFS(O$7&gt;(SAP_Leadsheet!$E$21+12),0,O$7=(SAP_Leadsheet!$E$21+12),SAP_Spreadsheet!O189,O$7&lt;(SAP_Leadsheet!$E$21+12),$E308*O189)</f>
        <v>1.2337873122556907E-2</v>
      </c>
      <c r="P308" s="302" cm="1">
        <f t="array" aca="1" ref="P308" ca="1">_xlfn.IFS(P$7&gt;(SAP_Leadsheet!$E$21+12),0,P$7=(SAP_Leadsheet!$E$21+12),SAP_Spreadsheet!P189,P$7&lt;(SAP_Leadsheet!$E$21+12),$E308*P189)</f>
        <v>2.1748501305466888E-2</v>
      </c>
      <c r="Q308" s="302" cm="1">
        <f t="array" aca="1" ref="Q308" ca="1">_xlfn.IFS(Q$7&gt;(SAP_Leadsheet!$E$21+12),0,Q$7=(SAP_Leadsheet!$E$21+12),SAP_Spreadsheet!Q189,Q$7&lt;(SAP_Leadsheet!$E$21+12),$E308*Q189)</f>
        <v>2.5582914903522703E-2</v>
      </c>
      <c r="R308" s="302" cm="1">
        <f t="array" aca="1" ref="R308" ca="1">_xlfn.IFS(R$7&gt;(SAP_Leadsheet!$E$21+12),0,R$7=(SAP_Leadsheet!$E$21+12),SAP_Spreadsheet!R189,R$7&lt;(SAP_Leadsheet!$E$21+12),$E308*R189)</f>
        <v>2.5448865402946649E-2</v>
      </c>
      <c r="S308" s="302" cm="1">
        <f t="array" aca="1" ref="S308" ca="1">_xlfn.IFS(S$7&gt;(SAP_Leadsheet!$E$21+12),0,S$7=(SAP_Leadsheet!$E$21+12),SAP_Spreadsheet!S189,S$7&lt;(SAP_Leadsheet!$E$21+12),$E308*S189)</f>
        <v>2.3400748646551523E-2</v>
      </c>
      <c r="T308" s="302" cm="1">
        <f t="array" aca="1" ref="T308" ca="1">_xlfn.IFS(T$7&gt;(SAP_Leadsheet!$E$21+12),0,T$7=(SAP_Leadsheet!$E$21+12),SAP_Spreadsheet!T189,T$7&lt;(SAP_Leadsheet!$E$21+12),$E308*T189)</f>
        <v>2.065249972606303E-2</v>
      </c>
      <c r="U308" s="302" cm="1">
        <f t="array" aca="1" ref="U308" ca="1">_xlfn.IFS(U$7&gt;(SAP_Leadsheet!$E$21+12),0,U$7=(SAP_Leadsheet!$E$21+12),SAP_Spreadsheet!U189,U$7&lt;(SAP_Leadsheet!$E$21+12),$E308*U189)</f>
        <v>1.7468595110884208E-2</v>
      </c>
      <c r="V308" s="302" cm="1">
        <f t="array" aca="1" ref="V308" ca="1">_xlfn.IFS(V$7&gt;(SAP_Leadsheet!$E$21+12),0,V$7=(SAP_Leadsheet!$E$21+12),SAP_Spreadsheet!V189,V$7&lt;(SAP_Leadsheet!$E$21+12),$E308*V189)</f>
        <v>1.5009957008216425E-2</v>
      </c>
      <c r="W308" s="302" cm="1">
        <f t="array" aca="1" ref="W308" ca="1">_xlfn.IFS(W$7&gt;(SAP_Leadsheet!$E$21+12),0,W$7=(SAP_Leadsheet!$E$21+12),SAP_Spreadsheet!W189,W$7&lt;(SAP_Leadsheet!$E$21+12),$E308*W189)</f>
        <v>1.2892006079558892E-2</v>
      </c>
      <c r="X308" s="302" cm="1">
        <f t="array" aca="1" ref="X308" ca="1">_xlfn.IFS(X$7&gt;(SAP_Leadsheet!$E$21+12),0,X$7=(SAP_Leadsheet!$E$21+12),SAP_Spreadsheet!X189,X$7&lt;(SAP_Leadsheet!$E$21+12),$E308*X189)</f>
        <v>1.0977970781995604E-2</v>
      </c>
      <c r="Y308" s="302" cm="1">
        <f t="array" aca="1" ref="Y308" ca="1">_xlfn.IFS(Y$7&gt;(SAP_Leadsheet!$E$21+12),0,Y$7=(SAP_Leadsheet!$E$21+12),SAP_Spreadsheet!Y189,Y$7&lt;(SAP_Leadsheet!$E$21+12),$E308*Y189)</f>
        <v>9.379887456816326E-3</v>
      </c>
      <c r="Z308" s="302" cm="1">
        <f t="array" aca="1" ref="Z308" ca="1">_xlfn.IFS(Z$7&gt;(SAP_Leadsheet!$E$21+12),0,Z$7=(SAP_Leadsheet!$E$21+12),SAP_Spreadsheet!Z189,Z$7&lt;(SAP_Leadsheet!$E$21+12),$E308*Z189)</f>
        <v>4.7108268633067564E-3</v>
      </c>
      <c r="AA308" s="302" cm="1">
        <f t="array" aca="1" ref="AA308" ca="1">_xlfn.IFS(AA$7&gt;(SAP_Leadsheet!$E$21+12),0,AA$7=(SAP_Leadsheet!$E$21+12),SAP_Spreadsheet!AA189,AA$7&lt;(SAP_Leadsheet!$E$21+12),$E308*AA189)</f>
        <v>4.8359928961330418E-3</v>
      </c>
      <c r="AB308" s="302" cm="1">
        <f t="array" aca="1" ref="AB308" ca="1">_xlfn.IFS(AB$7&gt;(SAP_Leadsheet!$E$21+12),0,AB$7=(SAP_Leadsheet!$E$21+12),SAP_Spreadsheet!AB189,AB$7&lt;(SAP_Leadsheet!$E$21+12),$E308*AB189)</f>
        <v>5.565101569120115E-3</v>
      </c>
      <c r="AC308" s="302" cm="1">
        <f t="array" aca="1" ref="AC308" ca="1">_xlfn.IFS(AC$7&gt;(SAP_Leadsheet!$E$21+12),0,AC$7=(SAP_Leadsheet!$E$21+12),SAP_Spreadsheet!AC189,AC$7&lt;(SAP_Leadsheet!$E$21+12),$E308*AC189)</f>
        <v>5.7389129977948898E-3</v>
      </c>
      <c r="AD308" s="302" cm="1">
        <f t="array" aca="1" ref="AD308" ca="1">_xlfn.IFS(AD$7&gt;(SAP_Leadsheet!$E$21+12),0,AD$7=(SAP_Leadsheet!$E$21+12),SAP_Spreadsheet!AD189,AD$7&lt;(SAP_Leadsheet!$E$21+12),$E308*AD189)</f>
        <v>5.4642853759937953E-3</v>
      </c>
      <c r="AE308" s="302" cm="1">
        <f t="array" aca="1" ref="AE308" ca="1">_xlfn.IFS(AE$7&gt;(SAP_Leadsheet!$E$21+12),0,AE$7=(SAP_Leadsheet!$E$21+12),SAP_Spreadsheet!AE189,AE$7&lt;(SAP_Leadsheet!$E$21+12),$E308*AE189)</f>
        <v>5.5335886744983373E-3</v>
      </c>
      <c r="AF308" s="302" cm="1">
        <f t="array" aca="1" ref="AF308" ca="1">_xlfn.IFS(AF$7&gt;(SAP_Leadsheet!$E$21+12),0,AF$7=(SAP_Leadsheet!$E$21+12),SAP_Spreadsheet!AF189,AF$7&lt;(SAP_Leadsheet!$E$21+12),$E308*AF189)</f>
        <v>5.6908075381607017E-3</v>
      </c>
      <c r="AG308" s="302" cm="1">
        <f t="array" aca="1" ref="AG308" ca="1">_xlfn.IFS(AG$7&gt;(SAP_Leadsheet!$E$21+12),0,AG$7=(SAP_Leadsheet!$E$21+12),SAP_Spreadsheet!AG189,AG$7&lt;(SAP_Leadsheet!$E$21+12),$E308*AG189)</f>
        <v>5.8034010313386805E-3</v>
      </c>
      <c r="AH308" s="302" cm="1">
        <f t="array" aca="1" ref="AH308" ca="1">_xlfn.IFS(AH$7&gt;(SAP_Leadsheet!$E$21+12),0,AH$7=(SAP_Leadsheet!$E$21+12),SAP_Spreadsheet!AH189,AH$7&lt;(SAP_Leadsheet!$E$21+12),$E308*AH189)</f>
        <v>5.8687581473813076E-3</v>
      </c>
      <c r="AI308" s="302" cm="1">
        <f t="array" aca="1" ref="AI308" ca="1">_xlfn.IFS(AI$7&gt;(SAP_Leadsheet!$E$21+12),0,AI$7=(SAP_Leadsheet!$E$21+12),SAP_Spreadsheet!AI189,AI$7&lt;(SAP_Leadsheet!$E$21+12),$E308*AI189)</f>
        <v>5.6648760447436776E-3</v>
      </c>
      <c r="AJ308" s="302" cm="1">
        <f t="array" aca="1" ref="AJ308" ca="1">_xlfn.IFS(AJ$7&gt;(SAP_Leadsheet!$E$21+12),0,AJ$7=(SAP_Leadsheet!$E$21+12),SAP_Spreadsheet!AJ189,AJ$7&lt;(SAP_Leadsheet!$E$21+12),$E308*AJ189)</f>
        <v>5.3114707498649388E-3</v>
      </c>
      <c r="AK308" s="302" cm="1">
        <f t="array" aca="1" ref="AK308" ca="1">_xlfn.IFS(AK$7&gt;(SAP_Leadsheet!$E$21+12),0,AK$7=(SAP_Leadsheet!$E$21+12),SAP_Spreadsheet!AK189,AK$7&lt;(SAP_Leadsheet!$E$21+12),$E308*AK189)</f>
        <v>5.1691488591951683E-3</v>
      </c>
      <c r="AL308" s="302" cm="1">
        <f t="array" aca="1" ref="AL308" ca="1">_xlfn.IFS(AL$7&gt;(SAP_Leadsheet!$E$21+12),0,AL$7=(SAP_Leadsheet!$E$21+12),SAP_Spreadsheet!AL189,AL$7&lt;(SAP_Leadsheet!$E$21+12),$E308*AL189)</f>
        <v>4.2290174379685736E-3</v>
      </c>
      <c r="AM308" s="302" cm="1">
        <f t="array" aca="1" ref="AM308" ca="1">_xlfn.IFS(AM$7&gt;(SAP_Leadsheet!$E$21+12),0,AM$7=(SAP_Leadsheet!$E$21+12),SAP_Spreadsheet!AM189,AM$7&lt;(SAP_Leadsheet!$E$21+12),$E308*AM189)</f>
        <v>4.3154178457158222E-3</v>
      </c>
      <c r="AN308" s="302" cm="1">
        <f t="array" aca="1" ref="AN308" ca="1">_xlfn.IFS(AN$7&gt;(SAP_Leadsheet!$E$21+12),0,AN$7=(SAP_Leadsheet!$E$21+12),SAP_Spreadsheet!AN189,AN$7&lt;(SAP_Leadsheet!$E$21+12),$E308*AN189)</f>
        <v>4.5808203400399374E-3</v>
      </c>
      <c r="AO308" s="302" cm="1">
        <f t="array" aca="1" ref="AO308" ca="1">_xlfn.IFS(AO$7&gt;(SAP_Leadsheet!$E$21+12),0,AO$7=(SAP_Leadsheet!$E$21+12),SAP_Spreadsheet!AO189,AO$7&lt;(SAP_Leadsheet!$E$21+12),$E308*AO189)</f>
        <v>4.7447540188680038E-3</v>
      </c>
      <c r="AP308" s="302" cm="1">
        <f t="array" aca="1" ref="AP308" ca="1">_xlfn.IFS(AP$7&gt;(SAP_Leadsheet!$E$21+12),0,AP$7=(SAP_Leadsheet!$E$21+12),SAP_Spreadsheet!AP189,AP$7&lt;(SAP_Leadsheet!$E$21+12),$E308*AP189)</f>
        <v>4.7680936450005783E-3</v>
      </c>
      <c r="AQ308" s="302" cm="1">
        <f t="array" aca="1" ref="AQ308" ca="1">_xlfn.IFS(AQ$7&gt;(SAP_Leadsheet!$E$21+12),0,AQ$7=(SAP_Leadsheet!$E$21+12),SAP_Spreadsheet!AQ189,AQ$7&lt;(SAP_Leadsheet!$E$21+12),$E308*AQ189)</f>
        <v>4.6994549218687832E-3</v>
      </c>
      <c r="AR308" s="302" cm="1">
        <f t="array" aca="1" ref="AR308" ca="1">_xlfn.IFS(AR$7&gt;(SAP_Leadsheet!$E$21+12),0,AR$7=(SAP_Leadsheet!$E$21+12),SAP_Spreadsheet!AR189,AR$7&lt;(SAP_Leadsheet!$E$21+12),$E308*AR189)</f>
        <v>4.590158267327408E-3</v>
      </c>
      <c r="AS308" s="302" cm="1">
        <f t="array" aca="1" ref="AS308" ca="1">_xlfn.IFS(AS$7&gt;(SAP_Leadsheet!$E$21+12),0,AS$7=(SAP_Leadsheet!$E$21+12),SAP_Spreadsheet!AS189,AS$7&lt;(SAP_Leadsheet!$E$21+12),$E308*AS189)</f>
        <v>4.4695864309476641E-3</v>
      </c>
      <c r="AT308" s="302" cm="1">
        <f t="array" aca="1" ref="AT308" ca="1">_xlfn.IFS(AT$7&gt;(SAP_Leadsheet!$E$21+12),0,AT$7=(SAP_Leadsheet!$E$21+12),SAP_Spreadsheet!AT189,AT$7&lt;(SAP_Leadsheet!$E$21+12),$E308*AT189)</f>
        <v>4.4984532561739366E-3</v>
      </c>
      <c r="AU308" s="302" cm="1">
        <f t="array" aca="1" ref="AU308" ca="1">_xlfn.IFS(AU$7&gt;(SAP_Leadsheet!$E$21+12),0,AU$7=(SAP_Leadsheet!$E$21+12),SAP_Spreadsheet!AU189,AU$7&lt;(SAP_Leadsheet!$E$21+12),$E308*AU189)</f>
        <v>4.3573724449290285E-3</v>
      </c>
      <c r="AV308" s="302" cm="1">
        <f t="array" aca="1" ref="AV308" ca="1">_xlfn.IFS(AV$7&gt;(SAP_Leadsheet!$E$21+12),0,AV$7=(SAP_Leadsheet!$E$21+12),SAP_Spreadsheet!AV189,AV$7&lt;(SAP_Leadsheet!$E$21+12),$E308*AV189)</f>
        <v>4.1791263122950327E-3</v>
      </c>
      <c r="AW308" s="302" cm="1">
        <f t="array" aca="1" ref="AW308" ca="1">_xlfn.IFS(AW$7&gt;(SAP_Leadsheet!$E$21+12),0,AW$7=(SAP_Leadsheet!$E$21+12),SAP_Spreadsheet!AW189,AW$7&lt;(SAP_Leadsheet!$E$21+12),$E308*AW189)</f>
        <v>3.8696561784075834E-3</v>
      </c>
      <c r="AX308" s="302" cm="1">
        <f t="array" aca="1" ref="AX308" ca="1">_xlfn.IFS(AX$7&gt;(SAP_Leadsheet!$E$21+12),0,AX$7=(SAP_Leadsheet!$E$21+12),SAP_Spreadsheet!AX189,AX$7&lt;(SAP_Leadsheet!$E$21+12),$E308*AX189)</f>
        <v>3.112224178854088E-3</v>
      </c>
      <c r="AY308" s="302" cm="1">
        <f t="array" aca="1" ref="AY308" ca="1">_xlfn.IFS(AY$7&gt;(SAP_Leadsheet!$E$21+12),0,AY$7=(SAP_Leadsheet!$E$21+12),SAP_Spreadsheet!AY189,AY$7&lt;(SAP_Leadsheet!$E$21+12),$E308*AY189)</f>
        <v>3.0433336782793468E-3</v>
      </c>
      <c r="AZ308" s="302" cm="1">
        <f t="array" aca="1" ref="AZ308" ca="1">_xlfn.IFS(AZ$7&gt;(SAP_Leadsheet!$E$21+12),0,AZ$7=(SAP_Leadsheet!$E$21+12),SAP_Spreadsheet!AZ189,AZ$7&lt;(SAP_Leadsheet!$E$21+12),$E308*AZ189)</f>
        <v>2.9870343637796132E-3</v>
      </c>
      <c r="BA308" s="302" cm="1">
        <f t="array" aca="1" ref="BA308" ca="1">_xlfn.IFS(BA$7&gt;(SAP_Leadsheet!$E$21+12),0,BA$7=(SAP_Leadsheet!$E$21+12),SAP_Spreadsheet!BA189,BA$7&lt;(SAP_Leadsheet!$E$21+12),$E308*BA189)</f>
        <v>2.9368272883980836E-3</v>
      </c>
      <c r="BB308" s="302" cm="1">
        <f t="array" aca="1" ref="BB308" ca="1">_xlfn.IFS(BB$7&gt;(SAP_Leadsheet!$E$21+12),0,BB$7=(SAP_Leadsheet!$E$21+12),SAP_Spreadsheet!BB189,BB$7&lt;(SAP_Leadsheet!$E$21+12),$E308*BB189)</f>
        <v>2.8878445202944187E-3</v>
      </c>
      <c r="BC308" s="302" cm="1">
        <f t="array" aca="1" ref="BC308" ca="1">_xlfn.IFS(BC$7&gt;(SAP_Leadsheet!$E$21+12),0,BC$7=(SAP_Leadsheet!$E$21+12),SAP_Spreadsheet!BC189,BC$7&lt;(SAP_Leadsheet!$E$21+12),$E308*BC189)</f>
        <v>2.8382248441616081E-3</v>
      </c>
      <c r="BD308" s="302" cm="1">
        <f t="array" aca="1" ref="BD308" ca="1">_xlfn.IFS(BD$7&gt;(SAP_Leadsheet!$E$21+12),0,BD$7=(SAP_Leadsheet!$E$21+12),SAP_Spreadsheet!BD189,BD$7&lt;(SAP_Leadsheet!$E$21+12),$E308*BD189)</f>
        <v>2.7877011259505023E-3</v>
      </c>
      <c r="BE308" s="302" cm="1">
        <f t="array" aca="1" ref="BE308" ca="1">_xlfn.IFS(BE$7&gt;(SAP_Leadsheet!$E$21+12),0,BE$7=(SAP_Leadsheet!$E$21+12),SAP_Spreadsheet!BE189,BE$7&lt;(SAP_Leadsheet!$E$21+12),$E308*BE189)</f>
        <v>2.7358643991198155E-3</v>
      </c>
      <c r="BF308" s="302" cm="1">
        <f t="array" aca="1" ref="BF308" ca="1">_xlfn.IFS(BF$7&gt;(SAP_Leadsheet!$E$21+12),0,BF$7=(SAP_Leadsheet!$E$21+12),SAP_Spreadsheet!BF189,BF$7&lt;(SAP_Leadsheet!$E$21+12),$E308*BF189)</f>
        <v>2.6820777792145849E-3</v>
      </c>
      <c r="BG308" s="302" cm="1">
        <f t="array" aca="1" ref="BG308" ca="1">_xlfn.IFS(BG$7&gt;(SAP_Leadsheet!$E$21+12),0,BG$7=(SAP_Leadsheet!$E$21+12),SAP_Spreadsheet!BG189,BG$7&lt;(SAP_Leadsheet!$E$21+12),$E308*BG189)</f>
        <v>2.6242594134722776E-3</v>
      </c>
      <c r="BH308" s="302" cm="1">
        <f t="array" aca="1" ref="BH308" ca="1">_xlfn.IFS(BH$7&gt;(SAP_Leadsheet!$E$21+12),0,BH$7=(SAP_Leadsheet!$E$21+12),SAP_Spreadsheet!BH189,BH$7&lt;(SAP_Leadsheet!$E$21+12),$E308*BH189)</f>
        <v>2.5604790566567254E-3</v>
      </c>
      <c r="BI308" s="302" cm="1">
        <f t="array" aca="1" ref="BI308" ca="1">_xlfn.IFS(BI$7&gt;(SAP_Leadsheet!$E$21+12),0,BI$7=(SAP_Leadsheet!$E$21+12),SAP_Spreadsheet!BI189,BI$7&lt;(SAP_Leadsheet!$E$21+12),$E308*BI189)</f>
        <v>2.4926652179654393E-3</v>
      </c>
      <c r="BJ308" s="302" cm="1">
        <f t="array" aca="1" ref="BJ308" ca="1">_xlfn.IFS(BJ$7&gt;(SAP_Leadsheet!$E$21+12),0,BJ$7=(SAP_Leadsheet!$E$21+12),SAP_Spreadsheet!BJ189,BJ$7&lt;(SAP_Leadsheet!$E$21+12),$E308*BJ189)</f>
        <v>2.1322680276094378E-3</v>
      </c>
      <c r="BK308" s="302" cm="1">
        <f t="array" aca="1" ref="BK308" ca="1">_xlfn.IFS(BK$7&gt;(SAP_Leadsheet!$E$21+12),0,BK$7=(SAP_Leadsheet!$E$21+12),SAP_Spreadsheet!BK189,BK$7&lt;(SAP_Leadsheet!$E$21+12),$E308*BK189)</f>
        <v>2.0788243430086783E-3</v>
      </c>
      <c r="BL308" s="302" cm="1">
        <f t="array" aca="1" ref="BL308" ca="1">_xlfn.IFS(BL$7&gt;(SAP_Leadsheet!$E$21+12),0,BL$7=(SAP_Leadsheet!$E$21+12),SAP_Spreadsheet!BL189,BL$7&lt;(SAP_Leadsheet!$E$21+12),$E308*BL189)</f>
        <v>2.0255126789417246E-3</v>
      </c>
      <c r="BM308" s="302" cm="1">
        <f t="array" aca="1" ref="BM308" ca="1">_xlfn.IFS(BM$7&gt;(SAP_Leadsheet!$E$21+12),0,BM$7=(SAP_Leadsheet!$E$21+12),SAP_Spreadsheet!BM189,BM$7&lt;(SAP_Leadsheet!$E$21+12),$E308*BM189)</f>
        <v>1.9726729318338453E-3</v>
      </c>
      <c r="BN308" s="302" cm="1">
        <f t="array" aca="1" ref="BN308" ca="1">_xlfn.IFS(BN$7&gt;(SAP_Leadsheet!$E$21+12),0,BN$7=(SAP_Leadsheet!$E$21+12),SAP_Spreadsheet!BN189,BN$7&lt;(SAP_Leadsheet!$E$21+12),$E308*BN189)</f>
        <v>1.9200824836608735E-3</v>
      </c>
      <c r="BO308" s="302" cm="1">
        <f t="array" aca="1" ref="BO308" ca="1">_xlfn.IFS(BO$7&gt;(SAP_Leadsheet!$E$21+12),0,BO$7=(SAP_Leadsheet!$E$21+12),SAP_Spreadsheet!BO189,BO$7&lt;(SAP_Leadsheet!$E$21+12),$E308*BO189)</f>
        <v>1.8676047984900986E-3</v>
      </c>
      <c r="BP308" s="302" cm="1">
        <f t="array" aca="1" ref="BP308" ca="1">_xlfn.IFS(BP$7&gt;(SAP_Leadsheet!$E$21+12),0,BP$7=(SAP_Leadsheet!$E$21+12),SAP_Spreadsheet!BP189,BP$7&lt;(SAP_Leadsheet!$E$21+12),$E308*BP189)</f>
        <v>1.8150748873380243E-3</v>
      </c>
      <c r="BQ308" s="302" cm="1">
        <f t="array" aca="1" ref="BQ308" ca="1">_xlfn.IFS(BQ$7&gt;(SAP_Leadsheet!$E$21+12),0,BQ$7=(SAP_Leadsheet!$E$21+12),SAP_Spreadsheet!BQ189,BQ$7&lt;(SAP_Leadsheet!$E$21+12),$E308*BQ189)</f>
        <v>1.7624127482070465E-3</v>
      </c>
      <c r="BR308" s="302" cm="1">
        <f t="array" aca="1" ref="BR308" ca="1">_xlfn.IFS(BR$7&gt;(SAP_Leadsheet!$E$21+12),0,BR$7=(SAP_Leadsheet!$E$21+12),SAP_Spreadsheet!BR189,BR$7&lt;(SAP_Leadsheet!$E$21+12),$E308*BR189)</f>
        <v>1.7096059688769805E-3</v>
      </c>
      <c r="BS308" s="302" cm="1">
        <f t="array" aca="1" ref="BS308" ca="1">_xlfn.IFS(BS$7&gt;(SAP_Leadsheet!$E$21+12),0,BS$7=(SAP_Leadsheet!$E$21+12),SAP_Spreadsheet!BS189,BS$7&lt;(SAP_Leadsheet!$E$21+12),$E308*BS189)</f>
        <v>1.6560330818585337E-3</v>
      </c>
      <c r="BT308" s="302" cm="1">
        <f t="array" aca="1" ref="BT308" ca="1">_xlfn.IFS(BT$7&gt;(SAP_Leadsheet!$E$21+12),0,BT$7=(SAP_Leadsheet!$E$21+12),SAP_Spreadsheet!BT189,BT$7&lt;(SAP_Leadsheet!$E$21+12),$E308*BT189)</f>
        <v>1.6006825833287529E-3</v>
      </c>
      <c r="BU308" s="302" cm="1">
        <f t="array" aca="1" ref="BU308" ca="1">_xlfn.IFS(BU$7&gt;(SAP_Leadsheet!$E$21+12),0,BU$7=(SAP_Leadsheet!$E$21+12),SAP_Spreadsheet!BU189,BU$7&lt;(SAP_Leadsheet!$E$21+12),$E308*BU189)</f>
        <v>1.5440289990920897E-3</v>
      </c>
      <c r="BV308" s="302" cm="1">
        <f t="array" aca="1" ref="BV308" ca="1">_xlfn.IFS(BV$7&gt;(SAP_Leadsheet!$E$21+12),0,BV$7=(SAP_Leadsheet!$E$21+12),SAP_Spreadsheet!BV189,BV$7&lt;(SAP_Leadsheet!$E$21+12),$E308*BV189)</f>
        <v>1.486739901601142E-3</v>
      </c>
      <c r="BW308" s="302" cm="1">
        <f t="array" aca="1" ref="BW308" ca="1">_xlfn.IFS(BW$7&gt;(SAP_Leadsheet!$E$21+12),0,BW$7=(SAP_Leadsheet!$E$21+12),SAP_Spreadsheet!BW189,BW$7&lt;(SAP_Leadsheet!$E$21+12),$E308*BW189)</f>
        <v>0</v>
      </c>
      <c r="BX308" s="302" cm="1">
        <f t="array" aca="1" ref="BX308" ca="1">_xlfn.IFS(BX$7&gt;(SAP_Leadsheet!$E$21+12),0,BX$7=(SAP_Leadsheet!$E$21+12),SAP_Spreadsheet!BX189,BX$7&lt;(SAP_Leadsheet!$E$21+12),$E308*BX189)</f>
        <v>0</v>
      </c>
      <c r="BY308" s="302" cm="1">
        <f t="array" aca="1" ref="BY308" ca="1">_xlfn.IFS(BY$7&gt;(SAP_Leadsheet!$E$21+12),0,BY$7=(SAP_Leadsheet!$E$21+12),SAP_Spreadsheet!BY189,BY$7&lt;(SAP_Leadsheet!$E$21+12),$E308*BY189)</f>
        <v>0</v>
      </c>
      <c r="BZ308" s="302" cm="1">
        <f t="array" aca="1" ref="BZ308" ca="1">_xlfn.IFS(BZ$7&gt;(SAP_Leadsheet!$E$21+12),0,BZ$7=(SAP_Leadsheet!$E$21+12),SAP_Spreadsheet!BZ189,BZ$7&lt;(SAP_Leadsheet!$E$21+12),$E308*BZ189)</f>
        <v>0</v>
      </c>
      <c r="CA308" s="263"/>
      <c r="CB308" s="263"/>
      <c r="CC308" s="263"/>
      <c r="CD308" s="263"/>
      <c r="CE308" s="263"/>
      <c r="CF308" s="263"/>
      <c r="CG308" s="263"/>
      <c r="CH308" s="263"/>
      <c r="CI308" s="263"/>
      <c r="CJ308" s="263"/>
      <c r="CK308" s="263"/>
      <c r="CL308" s="263"/>
      <c r="CM308" s="263"/>
      <c r="CN308" s="263"/>
      <c r="CO308" s="263"/>
      <c r="CP308" s="263"/>
      <c r="CQ308" s="263"/>
      <c r="CR308" s="263"/>
      <c r="CS308" s="263"/>
      <c r="CT308" s="263"/>
      <c r="CU308" s="263"/>
      <c r="CV308" s="263"/>
      <c r="CW308" s="263"/>
      <c r="CX308" s="263"/>
      <c r="CY308" s="263"/>
      <c r="CZ308" s="263"/>
      <c r="DA308" s="263"/>
      <c r="DB308" s="263"/>
      <c r="DC308" s="263"/>
      <c r="DD308" s="263"/>
      <c r="DE308" s="263"/>
      <c r="DF308" s="263"/>
      <c r="DG308" s="263"/>
      <c r="DH308" s="263"/>
      <c r="DI308" s="263"/>
      <c r="DJ308" s="263"/>
      <c r="DK308" s="263"/>
      <c r="DL308" s="263"/>
      <c r="DM308" s="263"/>
      <c r="DN308" s="263"/>
      <c r="DO308" s="263"/>
      <c r="DP308" s="263"/>
      <c r="DQ308" s="263"/>
      <c r="DR308" s="263"/>
      <c r="DS308" s="263"/>
      <c r="DT308" s="263"/>
      <c r="DU308" s="263"/>
      <c r="DV308" s="263"/>
      <c r="DW308" s="263"/>
      <c r="DX308" s="263"/>
      <c r="DY308" s="263"/>
      <c r="DZ308" s="263"/>
      <c r="EA308" s="263"/>
      <c r="EB308" s="263"/>
      <c r="EC308" s="263"/>
      <c r="ED308" s="263"/>
      <c r="EE308" s="263"/>
      <c r="EF308" s="263"/>
      <c r="EG308" s="263"/>
      <c r="EH308" s="263"/>
      <c r="EI308" s="263"/>
      <c r="EJ308" s="263"/>
      <c r="EK308" s="263"/>
      <c r="EL308" s="263"/>
      <c r="EM308" s="263"/>
      <c r="EN308" s="263"/>
      <c r="EO308" s="263"/>
      <c r="EP308" s="263"/>
      <c r="EQ308" s="263"/>
      <c r="ER308" s="263"/>
      <c r="ES308" s="263"/>
      <c r="ET308" s="263"/>
      <c r="EU308" s="263"/>
      <c r="EV308" s="263"/>
      <c r="EW308" s="263"/>
      <c r="EX308" s="263"/>
      <c r="EY308" s="263"/>
      <c r="EZ308" s="263"/>
      <c r="FA308" s="263"/>
      <c r="FB308" s="263"/>
      <c r="FC308" s="263"/>
      <c r="FD308" s="263"/>
      <c r="FE308" s="263"/>
      <c r="FF308" s="263"/>
      <c r="FG308" s="263"/>
      <c r="FH308" s="263"/>
      <c r="FI308" s="263"/>
      <c r="FJ308" s="263"/>
      <c r="FK308" s="263"/>
      <c r="FL308" s="263"/>
      <c r="FM308" s="263"/>
      <c r="FN308" s="263"/>
      <c r="FO308" s="263"/>
      <c r="FP308" s="263"/>
      <c r="FQ308" s="263"/>
      <c r="FR308" s="263"/>
      <c r="FS308" s="263"/>
      <c r="FT308" s="263"/>
      <c r="FU308" s="263"/>
      <c r="FV308" s="263"/>
      <c r="FW308" s="263"/>
      <c r="FX308" s="263"/>
      <c r="FY308" s="263"/>
      <c r="FZ308" s="263"/>
      <c r="GA308" s="263"/>
      <c r="GB308" s="263"/>
      <c r="GC308" s="263"/>
      <c r="GD308" s="263"/>
      <c r="GE308" s="263"/>
      <c r="GF308" s="263"/>
      <c r="GG308" s="263"/>
      <c r="GH308" s="263"/>
      <c r="GI308" s="263"/>
      <c r="GJ308" s="263"/>
      <c r="GK308" s="263"/>
      <c r="GL308" s="263"/>
      <c r="GM308" s="263"/>
      <c r="GN308" s="263"/>
      <c r="GO308" s="263"/>
      <c r="GP308" s="263"/>
      <c r="GQ308" s="263"/>
      <c r="GR308" s="263"/>
      <c r="GS308" s="263"/>
      <c r="GT308" s="263"/>
      <c r="GU308" s="263"/>
      <c r="GV308" s="263"/>
      <c r="GW308" s="263"/>
      <c r="GX308" s="263"/>
      <c r="GY308" s="263"/>
    </row>
    <row r="309" spans="1:207" x14ac:dyDescent="0.15">
      <c r="A309" s="62"/>
      <c r="D309" s="26" t="s">
        <v>420</v>
      </c>
      <c r="E309" s="39">
        <v>0.50749999999999995</v>
      </c>
      <c r="F309" s="80"/>
      <c r="G309" s="302" cm="1">
        <f t="array" ref="G309">_xlfn.IFS(G$7&gt;(SAP_Leadsheet!$E$21+12),0,G$7=(SAP_Leadsheet!$E$21+12),SAP_Spreadsheet!G190,G$7&lt;(SAP_Leadsheet!$E$21+12),$E309*G190)</f>
        <v>0</v>
      </c>
      <c r="H309" s="302" cm="1">
        <f t="array" aca="1" ref="H309" ca="1">_xlfn.IFS(H$7&gt;(SAP_Leadsheet!$E$21+12),0,H$7=(SAP_Leadsheet!$E$21+12),SAP_Spreadsheet!H190,H$7&lt;(SAP_Leadsheet!$E$21+12),$E309*H190)</f>
        <v>0</v>
      </c>
      <c r="I309" s="302" cm="1">
        <f t="array" aca="1" ref="I309" ca="1">_xlfn.IFS(I$7&gt;(SAP_Leadsheet!$E$21+12),0,I$7=(SAP_Leadsheet!$E$21+12),SAP_Spreadsheet!I190,I$7&lt;(SAP_Leadsheet!$E$21+12),$E309*I190)</f>
        <v>0</v>
      </c>
      <c r="J309" s="302" cm="1">
        <f t="array" aca="1" ref="J309" ca="1">_xlfn.IFS(J$7&gt;(SAP_Leadsheet!$E$21+12),0,J$7=(SAP_Leadsheet!$E$21+12),SAP_Spreadsheet!J190,J$7&lt;(SAP_Leadsheet!$E$21+12),$E309*J190)</f>
        <v>0</v>
      </c>
      <c r="K309" s="302" cm="1">
        <f t="array" aca="1" ref="K309" ca="1">_xlfn.IFS(K$7&gt;(SAP_Leadsheet!$E$21+12),0,K$7=(SAP_Leadsheet!$E$21+12),SAP_Spreadsheet!K190,K$7&lt;(SAP_Leadsheet!$E$21+12),$E309*K190)</f>
        <v>0</v>
      </c>
      <c r="L309" s="302" cm="1">
        <f t="array" aca="1" ref="L309" ca="1">_xlfn.IFS(L$7&gt;(SAP_Leadsheet!$E$21+12),0,L$7=(SAP_Leadsheet!$E$21+12),SAP_Spreadsheet!L190,L$7&lt;(SAP_Leadsheet!$E$21+12),$E309*L190)</f>
        <v>0</v>
      </c>
      <c r="M309" s="302" cm="1">
        <f t="array" aca="1" ref="M309" ca="1">_xlfn.IFS(M$7&gt;(SAP_Leadsheet!$E$21+12),0,M$7=(SAP_Leadsheet!$E$21+12),SAP_Spreadsheet!M190,M$7&lt;(SAP_Leadsheet!$E$21+12),$E309*M190)</f>
        <v>0</v>
      </c>
      <c r="N309" s="302" cm="1">
        <f t="array" aca="1" ref="N309" ca="1">_xlfn.IFS(N$7&gt;(SAP_Leadsheet!$E$21+12),0,N$7=(SAP_Leadsheet!$E$21+12),SAP_Spreadsheet!N190,N$7&lt;(SAP_Leadsheet!$E$21+12),$E309*N190)</f>
        <v>0</v>
      </c>
      <c r="O309" s="302" cm="1">
        <f t="array" aca="1" ref="O309" ca="1">_xlfn.IFS(O$7&gt;(SAP_Leadsheet!$E$21+12),0,O$7=(SAP_Leadsheet!$E$21+12),SAP_Spreadsheet!O190,O$7&lt;(SAP_Leadsheet!$E$21+12),$E309*O190)</f>
        <v>0</v>
      </c>
      <c r="P309" s="302" cm="1">
        <f t="array" aca="1" ref="P309" ca="1">_xlfn.IFS(P$7&gt;(SAP_Leadsheet!$E$21+12),0,P$7=(SAP_Leadsheet!$E$21+12),SAP_Spreadsheet!P190,P$7&lt;(SAP_Leadsheet!$E$21+12),$E309*P190)</f>
        <v>1.2337873122556907E-2</v>
      </c>
      <c r="Q309" s="302" cm="1">
        <f t="array" aca="1" ref="Q309" ca="1">_xlfn.IFS(Q$7&gt;(SAP_Leadsheet!$E$21+12),0,Q$7=(SAP_Leadsheet!$E$21+12),SAP_Spreadsheet!Q190,Q$7&lt;(SAP_Leadsheet!$E$21+12),$E309*Q190)</f>
        <v>2.1748501305466888E-2</v>
      </c>
      <c r="R309" s="302" cm="1">
        <f t="array" aca="1" ref="R309" ca="1">_xlfn.IFS(R$7&gt;(SAP_Leadsheet!$E$21+12),0,R$7=(SAP_Leadsheet!$E$21+12),SAP_Spreadsheet!R190,R$7&lt;(SAP_Leadsheet!$E$21+12),$E309*R190)</f>
        <v>2.5582914903522703E-2</v>
      </c>
      <c r="S309" s="302" cm="1">
        <f t="array" aca="1" ref="S309" ca="1">_xlfn.IFS(S$7&gt;(SAP_Leadsheet!$E$21+12),0,S$7=(SAP_Leadsheet!$E$21+12),SAP_Spreadsheet!S190,S$7&lt;(SAP_Leadsheet!$E$21+12),$E309*S190)</f>
        <v>2.5448865402946649E-2</v>
      </c>
      <c r="T309" s="302" cm="1">
        <f t="array" aca="1" ref="T309" ca="1">_xlfn.IFS(T$7&gt;(SAP_Leadsheet!$E$21+12),0,T$7=(SAP_Leadsheet!$E$21+12),SAP_Spreadsheet!T190,T$7&lt;(SAP_Leadsheet!$E$21+12),$E309*T190)</f>
        <v>2.3400748646551523E-2</v>
      </c>
      <c r="U309" s="302" cm="1">
        <f t="array" aca="1" ref="U309" ca="1">_xlfn.IFS(U$7&gt;(SAP_Leadsheet!$E$21+12),0,U$7=(SAP_Leadsheet!$E$21+12),SAP_Spreadsheet!U190,U$7&lt;(SAP_Leadsheet!$E$21+12),$E309*U190)</f>
        <v>2.065249972606303E-2</v>
      </c>
      <c r="V309" s="302" cm="1">
        <f t="array" aca="1" ref="V309" ca="1">_xlfn.IFS(V$7&gt;(SAP_Leadsheet!$E$21+12),0,V$7=(SAP_Leadsheet!$E$21+12),SAP_Spreadsheet!V190,V$7&lt;(SAP_Leadsheet!$E$21+12),$E309*V190)</f>
        <v>1.7468595110884208E-2</v>
      </c>
      <c r="W309" s="302" cm="1">
        <f t="array" aca="1" ref="W309" ca="1">_xlfn.IFS(W$7&gt;(SAP_Leadsheet!$E$21+12),0,W$7=(SAP_Leadsheet!$E$21+12),SAP_Spreadsheet!W190,W$7&lt;(SAP_Leadsheet!$E$21+12),$E309*W190)</f>
        <v>1.5009957008216425E-2</v>
      </c>
      <c r="X309" s="302" cm="1">
        <f t="array" aca="1" ref="X309" ca="1">_xlfn.IFS(X$7&gt;(SAP_Leadsheet!$E$21+12),0,X$7=(SAP_Leadsheet!$E$21+12),SAP_Spreadsheet!X190,X$7&lt;(SAP_Leadsheet!$E$21+12),$E309*X190)</f>
        <v>1.2892006079558892E-2</v>
      </c>
      <c r="Y309" s="302" cm="1">
        <f t="array" aca="1" ref="Y309" ca="1">_xlfn.IFS(Y$7&gt;(SAP_Leadsheet!$E$21+12),0,Y$7=(SAP_Leadsheet!$E$21+12),SAP_Spreadsheet!Y190,Y$7&lt;(SAP_Leadsheet!$E$21+12),$E309*Y190)</f>
        <v>1.0977970781995604E-2</v>
      </c>
      <c r="Z309" s="302" cm="1">
        <f t="array" aca="1" ref="Z309" ca="1">_xlfn.IFS(Z$7&gt;(SAP_Leadsheet!$E$21+12),0,Z$7=(SAP_Leadsheet!$E$21+12),SAP_Spreadsheet!Z190,Z$7&lt;(SAP_Leadsheet!$E$21+12),$E309*Z190)</f>
        <v>9.379887456816326E-3</v>
      </c>
      <c r="AA309" s="302" cm="1">
        <f t="array" aca="1" ref="AA309" ca="1">_xlfn.IFS(AA$7&gt;(SAP_Leadsheet!$E$21+12),0,AA$7=(SAP_Leadsheet!$E$21+12),SAP_Spreadsheet!AA190,AA$7&lt;(SAP_Leadsheet!$E$21+12),$E309*AA190)</f>
        <v>4.7108268633067564E-3</v>
      </c>
      <c r="AB309" s="302" cm="1">
        <f t="array" aca="1" ref="AB309" ca="1">_xlfn.IFS(AB$7&gt;(SAP_Leadsheet!$E$21+12),0,AB$7=(SAP_Leadsheet!$E$21+12),SAP_Spreadsheet!AB190,AB$7&lt;(SAP_Leadsheet!$E$21+12),$E309*AB190)</f>
        <v>4.8359928961330418E-3</v>
      </c>
      <c r="AC309" s="302" cm="1">
        <f t="array" aca="1" ref="AC309" ca="1">_xlfn.IFS(AC$7&gt;(SAP_Leadsheet!$E$21+12),0,AC$7=(SAP_Leadsheet!$E$21+12),SAP_Spreadsheet!AC190,AC$7&lt;(SAP_Leadsheet!$E$21+12),$E309*AC190)</f>
        <v>5.565101569120115E-3</v>
      </c>
      <c r="AD309" s="302" cm="1">
        <f t="array" aca="1" ref="AD309" ca="1">_xlfn.IFS(AD$7&gt;(SAP_Leadsheet!$E$21+12),0,AD$7=(SAP_Leadsheet!$E$21+12),SAP_Spreadsheet!AD190,AD$7&lt;(SAP_Leadsheet!$E$21+12),$E309*AD190)</f>
        <v>5.7389129977948898E-3</v>
      </c>
      <c r="AE309" s="302" cm="1">
        <f t="array" aca="1" ref="AE309" ca="1">_xlfn.IFS(AE$7&gt;(SAP_Leadsheet!$E$21+12),0,AE$7=(SAP_Leadsheet!$E$21+12),SAP_Spreadsheet!AE190,AE$7&lt;(SAP_Leadsheet!$E$21+12),$E309*AE190)</f>
        <v>5.4642853759937953E-3</v>
      </c>
      <c r="AF309" s="302" cm="1">
        <f t="array" aca="1" ref="AF309" ca="1">_xlfn.IFS(AF$7&gt;(SAP_Leadsheet!$E$21+12),0,AF$7=(SAP_Leadsheet!$E$21+12),SAP_Spreadsheet!AF190,AF$7&lt;(SAP_Leadsheet!$E$21+12),$E309*AF190)</f>
        <v>5.5335886744983373E-3</v>
      </c>
      <c r="AG309" s="302" cm="1">
        <f t="array" aca="1" ref="AG309" ca="1">_xlfn.IFS(AG$7&gt;(SAP_Leadsheet!$E$21+12),0,AG$7=(SAP_Leadsheet!$E$21+12),SAP_Spreadsheet!AG190,AG$7&lt;(SAP_Leadsheet!$E$21+12),$E309*AG190)</f>
        <v>5.6908075381607017E-3</v>
      </c>
      <c r="AH309" s="302" cm="1">
        <f t="array" aca="1" ref="AH309" ca="1">_xlfn.IFS(AH$7&gt;(SAP_Leadsheet!$E$21+12),0,AH$7=(SAP_Leadsheet!$E$21+12),SAP_Spreadsheet!AH190,AH$7&lt;(SAP_Leadsheet!$E$21+12),$E309*AH190)</f>
        <v>5.8034010313386805E-3</v>
      </c>
      <c r="AI309" s="302" cm="1">
        <f t="array" aca="1" ref="AI309" ca="1">_xlfn.IFS(AI$7&gt;(SAP_Leadsheet!$E$21+12),0,AI$7=(SAP_Leadsheet!$E$21+12),SAP_Spreadsheet!AI190,AI$7&lt;(SAP_Leadsheet!$E$21+12),$E309*AI190)</f>
        <v>5.8687581473813076E-3</v>
      </c>
      <c r="AJ309" s="302" cm="1">
        <f t="array" aca="1" ref="AJ309" ca="1">_xlfn.IFS(AJ$7&gt;(SAP_Leadsheet!$E$21+12),0,AJ$7=(SAP_Leadsheet!$E$21+12),SAP_Spreadsheet!AJ190,AJ$7&lt;(SAP_Leadsheet!$E$21+12),$E309*AJ190)</f>
        <v>5.6648760447436776E-3</v>
      </c>
      <c r="AK309" s="302" cm="1">
        <f t="array" aca="1" ref="AK309" ca="1">_xlfn.IFS(AK$7&gt;(SAP_Leadsheet!$E$21+12),0,AK$7=(SAP_Leadsheet!$E$21+12),SAP_Spreadsheet!AK190,AK$7&lt;(SAP_Leadsheet!$E$21+12),$E309*AK190)</f>
        <v>5.3114707498649388E-3</v>
      </c>
      <c r="AL309" s="302" cm="1">
        <f t="array" aca="1" ref="AL309" ca="1">_xlfn.IFS(AL$7&gt;(SAP_Leadsheet!$E$21+12),0,AL$7=(SAP_Leadsheet!$E$21+12),SAP_Spreadsheet!AL190,AL$7&lt;(SAP_Leadsheet!$E$21+12),$E309*AL190)</f>
        <v>5.1691488591951683E-3</v>
      </c>
      <c r="AM309" s="302" cm="1">
        <f t="array" aca="1" ref="AM309" ca="1">_xlfn.IFS(AM$7&gt;(SAP_Leadsheet!$E$21+12),0,AM$7=(SAP_Leadsheet!$E$21+12),SAP_Spreadsheet!AM190,AM$7&lt;(SAP_Leadsheet!$E$21+12),$E309*AM190)</f>
        <v>4.2290174379685736E-3</v>
      </c>
      <c r="AN309" s="302" cm="1">
        <f t="array" aca="1" ref="AN309" ca="1">_xlfn.IFS(AN$7&gt;(SAP_Leadsheet!$E$21+12),0,AN$7=(SAP_Leadsheet!$E$21+12),SAP_Spreadsheet!AN190,AN$7&lt;(SAP_Leadsheet!$E$21+12),$E309*AN190)</f>
        <v>4.3154178457158222E-3</v>
      </c>
      <c r="AO309" s="302" cm="1">
        <f t="array" aca="1" ref="AO309" ca="1">_xlfn.IFS(AO$7&gt;(SAP_Leadsheet!$E$21+12),0,AO$7=(SAP_Leadsheet!$E$21+12),SAP_Spreadsheet!AO190,AO$7&lt;(SAP_Leadsheet!$E$21+12),$E309*AO190)</f>
        <v>4.5808203400399374E-3</v>
      </c>
      <c r="AP309" s="302" cm="1">
        <f t="array" aca="1" ref="AP309" ca="1">_xlfn.IFS(AP$7&gt;(SAP_Leadsheet!$E$21+12),0,AP$7=(SAP_Leadsheet!$E$21+12),SAP_Spreadsheet!AP190,AP$7&lt;(SAP_Leadsheet!$E$21+12),$E309*AP190)</f>
        <v>4.7447540188680038E-3</v>
      </c>
      <c r="AQ309" s="302" cm="1">
        <f t="array" aca="1" ref="AQ309" ca="1">_xlfn.IFS(AQ$7&gt;(SAP_Leadsheet!$E$21+12),0,AQ$7=(SAP_Leadsheet!$E$21+12),SAP_Spreadsheet!AQ190,AQ$7&lt;(SAP_Leadsheet!$E$21+12),$E309*AQ190)</f>
        <v>4.7680936450005783E-3</v>
      </c>
      <c r="AR309" s="302" cm="1">
        <f t="array" aca="1" ref="AR309" ca="1">_xlfn.IFS(AR$7&gt;(SAP_Leadsheet!$E$21+12),0,AR$7=(SAP_Leadsheet!$E$21+12),SAP_Spreadsheet!AR190,AR$7&lt;(SAP_Leadsheet!$E$21+12),$E309*AR190)</f>
        <v>4.6994549218687832E-3</v>
      </c>
      <c r="AS309" s="302" cm="1">
        <f t="array" aca="1" ref="AS309" ca="1">_xlfn.IFS(AS$7&gt;(SAP_Leadsheet!$E$21+12),0,AS$7=(SAP_Leadsheet!$E$21+12),SAP_Spreadsheet!AS190,AS$7&lt;(SAP_Leadsheet!$E$21+12),$E309*AS190)</f>
        <v>4.590158267327408E-3</v>
      </c>
      <c r="AT309" s="302" cm="1">
        <f t="array" aca="1" ref="AT309" ca="1">_xlfn.IFS(AT$7&gt;(SAP_Leadsheet!$E$21+12),0,AT$7=(SAP_Leadsheet!$E$21+12),SAP_Spreadsheet!AT190,AT$7&lt;(SAP_Leadsheet!$E$21+12),$E309*AT190)</f>
        <v>4.4695864309476641E-3</v>
      </c>
      <c r="AU309" s="302" cm="1">
        <f t="array" aca="1" ref="AU309" ca="1">_xlfn.IFS(AU$7&gt;(SAP_Leadsheet!$E$21+12),0,AU$7=(SAP_Leadsheet!$E$21+12),SAP_Spreadsheet!AU190,AU$7&lt;(SAP_Leadsheet!$E$21+12),$E309*AU190)</f>
        <v>4.4984532561739366E-3</v>
      </c>
      <c r="AV309" s="302" cm="1">
        <f t="array" aca="1" ref="AV309" ca="1">_xlfn.IFS(AV$7&gt;(SAP_Leadsheet!$E$21+12),0,AV$7=(SAP_Leadsheet!$E$21+12),SAP_Spreadsheet!AV190,AV$7&lt;(SAP_Leadsheet!$E$21+12),$E309*AV190)</f>
        <v>4.3573724449290285E-3</v>
      </c>
      <c r="AW309" s="302" cm="1">
        <f t="array" aca="1" ref="AW309" ca="1">_xlfn.IFS(AW$7&gt;(SAP_Leadsheet!$E$21+12),0,AW$7=(SAP_Leadsheet!$E$21+12),SAP_Spreadsheet!AW190,AW$7&lt;(SAP_Leadsheet!$E$21+12),$E309*AW190)</f>
        <v>4.1791263122950327E-3</v>
      </c>
      <c r="AX309" s="302" cm="1">
        <f t="array" aca="1" ref="AX309" ca="1">_xlfn.IFS(AX$7&gt;(SAP_Leadsheet!$E$21+12),0,AX$7=(SAP_Leadsheet!$E$21+12),SAP_Spreadsheet!AX190,AX$7&lt;(SAP_Leadsheet!$E$21+12),$E309*AX190)</f>
        <v>3.8696561784075834E-3</v>
      </c>
      <c r="AY309" s="302" cm="1">
        <f t="array" aca="1" ref="AY309" ca="1">_xlfn.IFS(AY$7&gt;(SAP_Leadsheet!$E$21+12),0,AY$7=(SAP_Leadsheet!$E$21+12),SAP_Spreadsheet!AY190,AY$7&lt;(SAP_Leadsheet!$E$21+12),$E309*AY190)</f>
        <v>3.112224178854088E-3</v>
      </c>
      <c r="AZ309" s="302" cm="1">
        <f t="array" aca="1" ref="AZ309" ca="1">_xlfn.IFS(AZ$7&gt;(SAP_Leadsheet!$E$21+12),0,AZ$7=(SAP_Leadsheet!$E$21+12),SAP_Spreadsheet!AZ190,AZ$7&lt;(SAP_Leadsheet!$E$21+12),$E309*AZ190)</f>
        <v>3.0433336782793468E-3</v>
      </c>
      <c r="BA309" s="302" cm="1">
        <f t="array" aca="1" ref="BA309" ca="1">_xlfn.IFS(BA$7&gt;(SAP_Leadsheet!$E$21+12),0,BA$7=(SAP_Leadsheet!$E$21+12),SAP_Spreadsheet!BA190,BA$7&lt;(SAP_Leadsheet!$E$21+12),$E309*BA190)</f>
        <v>2.9870343637796132E-3</v>
      </c>
      <c r="BB309" s="302" cm="1">
        <f t="array" aca="1" ref="BB309" ca="1">_xlfn.IFS(BB$7&gt;(SAP_Leadsheet!$E$21+12),0,BB$7=(SAP_Leadsheet!$E$21+12),SAP_Spreadsheet!BB190,BB$7&lt;(SAP_Leadsheet!$E$21+12),$E309*BB190)</f>
        <v>2.9368272883980836E-3</v>
      </c>
      <c r="BC309" s="302" cm="1">
        <f t="array" aca="1" ref="BC309" ca="1">_xlfn.IFS(BC$7&gt;(SAP_Leadsheet!$E$21+12),0,BC$7=(SAP_Leadsheet!$E$21+12),SAP_Spreadsheet!BC190,BC$7&lt;(SAP_Leadsheet!$E$21+12),$E309*BC190)</f>
        <v>2.8878445202944187E-3</v>
      </c>
      <c r="BD309" s="302" cm="1">
        <f t="array" aca="1" ref="BD309" ca="1">_xlfn.IFS(BD$7&gt;(SAP_Leadsheet!$E$21+12),0,BD$7=(SAP_Leadsheet!$E$21+12),SAP_Spreadsheet!BD190,BD$7&lt;(SAP_Leadsheet!$E$21+12),$E309*BD190)</f>
        <v>2.8382248441616081E-3</v>
      </c>
      <c r="BE309" s="302" cm="1">
        <f t="array" aca="1" ref="BE309" ca="1">_xlfn.IFS(BE$7&gt;(SAP_Leadsheet!$E$21+12),0,BE$7=(SAP_Leadsheet!$E$21+12),SAP_Spreadsheet!BE190,BE$7&lt;(SAP_Leadsheet!$E$21+12),$E309*BE190)</f>
        <v>2.7877011259505023E-3</v>
      </c>
      <c r="BF309" s="302" cm="1">
        <f t="array" aca="1" ref="BF309" ca="1">_xlfn.IFS(BF$7&gt;(SAP_Leadsheet!$E$21+12),0,BF$7=(SAP_Leadsheet!$E$21+12),SAP_Spreadsheet!BF190,BF$7&lt;(SAP_Leadsheet!$E$21+12),$E309*BF190)</f>
        <v>2.7358643991198155E-3</v>
      </c>
      <c r="BG309" s="302" cm="1">
        <f t="array" aca="1" ref="BG309" ca="1">_xlfn.IFS(BG$7&gt;(SAP_Leadsheet!$E$21+12),0,BG$7=(SAP_Leadsheet!$E$21+12),SAP_Spreadsheet!BG190,BG$7&lt;(SAP_Leadsheet!$E$21+12),$E309*BG190)</f>
        <v>2.6820777792145849E-3</v>
      </c>
      <c r="BH309" s="302" cm="1">
        <f t="array" aca="1" ref="BH309" ca="1">_xlfn.IFS(BH$7&gt;(SAP_Leadsheet!$E$21+12),0,BH$7=(SAP_Leadsheet!$E$21+12),SAP_Spreadsheet!BH190,BH$7&lt;(SAP_Leadsheet!$E$21+12),$E309*BH190)</f>
        <v>2.6242594134722776E-3</v>
      </c>
      <c r="BI309" s="302" cm="1">
        <f t="array" aca="1" ref="BI309" ca="1">_xlfn.IFS(BI$7&gt;(SAP_Leadsheet!$E$21+12),0,BI$7=(SAP_Leadsheet!$E$21+12),SAP_Spreadsheet!BI190,BI$7&lt;(SAP_Leadsheet!$E$21+12),$E309*BI190)</f>
        <v>2.5604790566567254E-3</v>
      </c>
      <c r="BJ309" s="302" cm="1">
        <f t="array" aca="1" ref="BJ309" ca="1">_xlfn.IFS(BJ$7&gt;(SAP_Leadsheet!$E$21+12),0,BJ$7=(SAP_Leadsheet!$E$21+12),SAP_Spreadsheet!BJ190,BJ$7&lt;(SAP_Leadsheet!$E$21+12),$E309*BJ190)</f>
        <v>2.4926652179654393E-3</v>
      </c>
      <c r="BK309" s="302" cm="1">
        <f t="array" aca="1" ref="BK309" ca="1">_xlfn.IFS(BK$7&gt;(SAP_Leadsheet!$E$21+12),0,BK$7=(SAP_Leadsheet!$E$21+12),SAP_Spreadsheet!BK190,BK$7&lt;(SAP_Leadsheet!$E$21+12),$E309*BK190)</f>
        <v>2.1322680276094378E-3</v>
      </c>
      <c r="BL309" s="302" cm="1">
        <f t="array" aca="1" ref="BL309" ca="1">_xlfn.IFS(BL$7&gt;(SAP_Leadsheet!$E$21+12),0,BL$7=(SAP_Leadsheet!$E$21+12),SAP_Spreadsheet!BL190,BL$7&lt;(SAP_Leadsheet!$E$21+12),$E309*BL190)</f>
        <v>2.0788243430086783E-3</v>
      </c>
      <c r="BM309" s="302" cm="1">
        <f t="array" aca="1" ref="BM309" ca="1">_xlfn.IFS(BM$7&gt;(SAP_Leadsheet!$E$21+12),0,BM$7=(SAP_Leadsheet!$E$21+12),SAP_Spreadsheet!BM190,BM$7&lt;(SAP_Leadsheet!$E$21+12),$E309*BM190)</f>
        <v>2.0255126789417246E-3</v>
      </c>
      <c r="BN309" s="302" cm="1">
        <f t="array" aca="1" ref="BN309" ca="1">_xlfn.IFS(BN$7&gt;(SAP_Leadsheet!$E$21+12),0,BN$7=(SAP_Leadsheet!$E$21+12),SAP_Spreadsheet!BN190,BN$7&lt;(SAP_Leadsheet!$E$21+12),$E309*BN190)</f>
        <v>1.9726729318338453E-3</v>
      </c>
      <c r="BO309" s="302" cm="1">
        <f t="array" aca="1" ref="BO309" ca="1">_xlfn.IFS(BO$7&gt;(SAP_Leadsheet!$E$21+12),0,BO$7=(SAP_Leadsheet!$E$21+12),SAP_Spreadsheet!BO190,BO$7&lt;(SAP_Leadsheet!$E$21+12),$E309*BO190)</f>
        <v>1.9200824836608735E-3</v>
      </c>
      <c r="BP309" s="302" cm="1">
        <f t="array" aca="1" ref="BP309" ca="1">_xlfn.IFS(BP$7&gt;(SAP_Leadsheet!$E$21+12),0,BP$7=(SAP_Leadsheet!$E$21+12),SAP_Spreadsheet!BP190,BP$7&lt;(SAP_Leadsheet!$E$21+12),$E309*BP190)</f>
        <v>1.8676047984900986E-3</v>
      </c>
      <c r="BQ309" s="302" cm="1">
        <f t="array" aca="1" ref="BQ309" ca="1">_xlfn.IFS(BQ$7&gt;(SAP_Leadsheet!$E$21+12),0,BQ$7=(SAP_Leadsheet!$E$21+12),SAP_Spreadsheet!BQ190,BQ$7&lt;(SAP_Leadsheet!$E$21+12),$E309*BQ190)</f>
        <v>1.8150748873380243E-3</v>
      </c>
      <c r="BR309" s="302" cm="1">
        <f t="array" aca="1" ref="BR309" ca="1">_xlfn.IFS(BR$7&gt;(SAP_Leadsheet!$E$21+12),0,BR$7=(SAP_Leadsheet!$E$21+12),SAP_Spreadsheet!BR190,BR$7&lt;(SAP_Leadsheet!$E$21+12),$E309*BR190)</f>
        <v>1.7624127482070465E-3</v>
      </c>
      <c r="BS309" s="302" cm="1">
        <f t="array" aca="1" ref="BS309" ca="1">_xlfn.IFS(BS$7&gt;(SAP_Leadsheet!$E$21+12),0,BS$7=(SAP_Leadsheet!$E$21+12),SAP_Spreadsheet!BS190,BS$7&lt;(SAP_Leadsheet!$E$21+12),$E309*BS190)</f>
        <v>1.7096059688769805E-3</v>
      </c>
      <c r="BT309" s="302" cm="1">
        <f t="array" aca="1" ref="BT309" ca="1">_xlfn.IFS(BT$7&gt;(SAP_Leadsheet!$E$21+12),0,BT$7=(SAP_Leadsheet!$E$21+12),SAP_Spreadsheet!BT190,BT$7&lt;(SAP_Leadsheet!$E$21+12),$E309*BT190)</f>
        <v>1.6560330818585337E-3</v>
      </c>
      <c r="BU309" s="302" cm="1">
        <f t="array" aca="1" ref="BU309" ca="1">_xlfn.IFS(BU$7&gt;(SAP_Leadsheet!$E$21+12),0,BU$7=(SAP_Leadsheet!$E$21+12),SAP_Spreadsheet!BU190,BU$7&lt;(SAP_Leadsheet!$E$21+12),$E309*BU190)</f>
        <v>1.6006825833287529E-3</v>
      </c>
      <c r="BV309" s="302" cm="1">
        <f t="array" aca="1" ref="BV309" ca="1">_xlfn.IFS(BV$7&gt;(SAP_Leadsheet!$E$21+12),0,BV$7=(SAP_Leadsheet!$E$21+12),SAP_Spreadsheet!BV190,BV$7&lt;(SAP_Leadsheet!$E$21+12),$E309*BV190)</f>
        <v>1.5440289990920897E-3</v>
      </c>
      <c r="BW309" s="302" cm="1">
        <f t="array" aca="1" ref="BW309" ca="1">_xlfn.IFS(BW$7&gt;(SAP_Leadsheet!$E$21+12),0,BW$7=(SAP_Leadsheet!$E$21+12),SAP_Spreadsheet!BW190,BW$7&lt;(SAP_Leadsheet!$E$21+12),$E309*BW190)</f>
        <v>1.486739901601142E-3</v>
      </c>
      <c r="BX309" s="302" cm="1">
        <f t="array" aca="1" ref="BX309" ca="1">_xlfn.IFS(BX$7&gt;(SAP_Leadsheet!$E$21+12),0,BX$7=(SAP_Leadsheet!$E$21+12),SAP_Spreadsheet!BX190,BX$7&lt;(SAP_Leadsheet!$E$21+12),$E309*BX190)</f>
        <v>0</v>
      </c>
      <c r="BY309" s="302" cm="1">
        <f t="array" aca="1" ref="BY309" ca="1">_xlfn.IFS(BY$7&gt;(SAP_Leadsheet!$E$21+12),0,BY$7=(SAP_Leadsheet!$E$21+12),SAP_Spreadsheet!BY190,BY$7&lt;(SAP_Leadsheet!$E$21+12),$E309*BY190)</f>
        <v>0</v>
      </c>
      <c r="BZ309" s="302" cm="1">
        <f t="array" aca="1" ref="BZ309" ca="1">_xlfn.IFS(BZ$7&gt;(SAP_Leadsheet!$E$21+12),0,BZ$7=(SAP_Leadsheet!$E$21+12),SAP_Spreadsheet!BZ190,BZ$7&lt;(SAP_Leadsheet!$E$21+12),$E309*BZ190)</f>
        <v>0</v>
      </c>
      <c r="CA309" s="263"/>
      <c r="CB309" s="263"/>
      <c r="CC309" s="263"/>
      <c r="CD309" s="263"/>
      <c r="CE309" s="263"/>
      <c r="CF309" s="263"/>
      <c r="CG309" s="263"/>
      <c r="CH309" s="263"/>
      <c r="CI309" s="263"/>
      <c r="CJ309" s="263"/>
      <c r="CK309" s="263"/>
      <c r="CL309" s="263"/>
      <c r="CM309" s="263"/>
      <c r="CN309" s="263"/>
      <c r="CO309" s="263"/>
      <c r="CP309" s="263"/>
      <c r="CQ309" s="263"/>
      <c r="CR309" s="263"/>
      <c r="CS309" s="263"/>
      <c r="CT309" s="263"/>
      <c r="CU309" s="263"/>
      <c r="CV309" s="263"/>
      <c r="CW309" s="263"/>
      <c r="CX309" s="263"/>
      <c r="CY309" s="263"/>
      <c r="CZ309" s="263"/>
      <c r="DA309" s="263"/>
      <c r="DB309" s="263"/>
      <c r="DC309" s="263"/>
      <c r="DD309" s="263"/>
      <c r="DE309" s="263"/>
      <c r="DF309" s="263"/>
      <c r="DG309" s="263"/>
      <c r="DH309" s="263"/>
      <c r="DI309" s="263"/>
      <c r="DJ309" s="263"/>
      <c r="DK309" s="263"/>
      <c r="DL309" s="263"/>
      <c r="DM309" s="263"/>
      <c r="DN309" s="263"/>
      <c r="DO309" s="263"/>
      <c r="DP309" s="263"/>
      <c r="DQ309" s="263"/>
      <c r="DR309" s="263"/>
      <c r="DS309" s="263"/>
      <c r="DT309" s="263"/>
      <c r="DU309" s="263"/>
      <c r="DV309" s="263"/>
      <c r="DW309" s="263"/>
      <c r="DX309" s="263"/>
      <c r="DY309" s="263"/>
      <c r="DZ309" s="263"/>
      <c r="EA309" s="263"/>
      <c r="EB309" s="263"/>
      <c r="EC309" s="263"/>
      <c r="ED309" s="263"/>
      <c r="EE309" s="263"/>
      <c r="EF309" s="263"/>
      <c r="EG309" s="263"/>
      <c r="EH309" s="263"/>
      <c r="EI309" s="263"/>
      <c r="EJ309" s="263"/>
      <c r="EK309" s="263"/>
      <c r="EL309" s="263"/>
      <c r="EM309" s="263"/>
      <c r="EN309" s="263"/>
      <c r="EO309" s="263"/>
      <c r="EP309" s="263"/>
      <c r="EQ309" s="263"/>
      <c r="ER309" s="263"/>
      <c r="ES309" s="263"/>
      <c r="ET309" s="263"/>
      <c r="EU309" s="263"/>
      <c r="EV309" s="263"/>
      <c r="EW309" s="263"/>
      <c r="EX309" s="263"/>
      <c r="EY309" s="263"/>
      <c r="EZ309" s="263"/>
      <c r="FA309" s="263"/>
      <c r="FB309" s="263"/>
      <c r="FC309" s="263"/>
      <c r="FD309" s="263"/>
      <c r="FE309" s="263"/>
      <c r="FF309" s="263"/>
      <c r="FG309" s="263"/>
      <c r="FH309" s="263"/>
      <c r="FI309" s="263"/>
      <c r="FJ309" s="263"/>
      <c r="FK309" s="263"/>
      <c r="FL309" s="263"/>
      <c r="FM309" s="263"/>
      <c r="FN309" s="263"/>
      <c r="FO309" s="263"/>
      <c r="FP309" s="263"/>
      <c r="FQ309" s="263"/>
      <c r="FR309" s="263"/>
      <c r="FS309" s="263"/>
      <c r="FT309" s="263"/>
      <c r="FU309" s="263"/>
      <c r="FV309" s="263"/>
      <c r="FW309" s="263"/>
      <c r="FX309" s="263"/>
      <c r="FY309" s="263"/>
      <c r="FZ309" s="263"/>
      <c r="GA309" s="263"/>
      <c r="GB309" s="263"/>
      <c r="GC309" s="263"/>
      <c r="GD309" s="263"/>
      <c r="GE309" s="263"/>
      <c r="GF309" s="263"/>
      <c r="GG309" s="263"/>
      <c r="GH309" s="263"/>
      <c r="GI309" s="263"/>
      <c r="GJ309" s="263"/>
      <c r="GK309" s="263"/>
      <c r="GL309" s="263"/>
      <c r="GM309" s="263"/>
      <c r="GN309" s="263"/>
      <c r="GO309" s="263"/>
      <c r="GP309" s="263"/>
      <c r="GQ309" s="263"/>
      <c r="GR309" s="263"/>
      <c r="GS309" s="263"/>
      <c r="GT309" s="263"/>
      <c r="GU309" s="263"/>
      <c r="GV309" s="263"/>
      <c r="GW309" s="263"/>
      <c r="GX309" s="263"/>
      <c r="GY309" s="263"/>
    </row>
    <row r="310" spans="1:207" x14ac:dyDescent="0.15">
      <c r="A310" s="62"/>
      <c r="D310" s="26" t="s">
        <v>292</v>
      </c>
      <c r="E310" s="39">
        <v>0.50749999999999995</v>
      </c>
      <c r="F310" s="80"/>
      <c r="G310" s="302" cm="1">
        <f t="array" ref="G310">_xlfn.IFS(G$7&gt;(SAP_Leadsheet!$E$21+12),0,G$7=(SAP_Leadsheet!$E$21+12),SAP_Spreadsheet!G191,G$7&lt;(SAP_Leadsheet!$E$21+12),$E310*G191)</f>
        <v>0</v>
      </c>
      <c r="H310" s="302" cm="1">
        <f t="array" aca="1" ref="H310" ca="1">_xlfn.IFS(H$7&gt;(SAP_Leadsheet!$E$21+12),0,H$7=(SAP_Leadsheet!$E$21+12),SAP_Spreadsheet!H191,H$7&lt;(SAP_Leadsheet!$E$21+12),$E310*H191)</f>
        <v>0</v>
      </c>
      <c r="I310" s="302" cm="1">
        <f t="array" aca="1" ref="I310" ca="1">_xlfn.IFS(I$7&gt;(SAP_Leadsheet!$E$21+12),0,I$7=(SAP_Leadsheet!$E$21+12),SAP_Spreadsheet!I191,I$7&lt;(SAP_Leadsheet!$E$21+12),$E310*I191)</f>
        <v>0</v>
      </c>
      <c r="J310" s="302" cm="1">
        <f t="array" aca="1" ref="J310" ca="1">_xlfn.IFS(J$7&gt;(SAP_Leadsheet!$E$21+12),0,J$7=(SAP_Leadsheet!$E$21+12),SAP_Spreadsheet!J191,J$7&lt;(SAP_Leadsheet!$E$21+12),$E310*J191)</f>
        <v>0</v>
      </c>
      <c r="K310" s="302" cm="1">
        <f t="array" aca="1" ref="K310" ca="1">_xlfn.IFS(K$7&gt;(SAP_Leadsheet!$E$21+12),0,K$7=(SAP_Leadsheet!$E$21+12),SAP_Spreadsheet!K191,K$7&lt;(SAP_Leadsheet!$E$21+12),$E310*K191)</f>
        <v>0</v>
      </c>
      <c r="L310" s="302" cm="1">
        <f t="array" aca="1" ref="L310" ca="1">_xlfn.IFS(L$7&gt;(SAP_Leadsheet!$E$21+12),0,L$7=(SAP_Leadsheet!$E$21+12),SAP_Spreadsheet!L191,L$7&lt;(SAP_Leadsheet!$E$21+12),$E310*L191)</f>
        <v>0</v>
      </c>
      <c r="M310" s="302" cm="1">
        <f t="array" aca="1" ref="M310" ca="1">_xlfn.IFS(M$7&gt;(SAP_Leadsheet!$E$21+12),0,M$7=(SAP_Leadsheet!$E$21+12),SAP_Spreadsheet!M191,M$7&lt;(SAP_Leadsheet!$E$21+12),$E310*M191)</f>
        <v>0</v>
      </c>
      <c r="N310" s="302" cm="1">
        <f t="array" aca="1" ref="N310" ca="1">_xlfn.IFS(N$7&gt;(SAP_Leadsheet!$E$21+12),0,N$7=(SAP_Leadsheet!$E$21+12),SAP_Spreadsheet!N191,N$7&lt;(SAP_Leadsheet!$E$21+12),$E310*N191)</f>
        <v>0</v>
      </c>
      <c r="O310" s="302" cm="1">
        <f t="array" aca="1" ref="O310" ca="1">_xlfn.IFS(O$7&gt;(SAP_Leadsheet!$E$21+12),0,O$7=(SAP_Leadsheet!$E$21+12),SAP_Spreadsheet!O191,O$7&lt;(SAP_Leadsheet!$E$21+12),$E310*O191)</f>
        <v>0</v>
      </c>
      <c r="P310" s="302" cm="1">
        <f t="array" aca="1" ref="P310" ca="1">_xlfn.IFS(P$7&gt;(SAP_Leadsheet!$E$21+12),0,P$7=(SAP_Leadsheet!$E$21+12),SAP_Spreadsheet!P191,P$7&lt;(SAP_Leadsheet!$E$21+12),$E310*P191)</f>
        <v>0</v>
      </c>
      <c r="Q310" s="302" cm="1">
        <f t="array" aca="1" ref="Q310" ca="1">_xlfn.IFS(Q$7&gt;(SAP_Leadsheet!$E$21+12),0,Q$7=(SAP_Leadsheet!$E$21+12),SAP_Spreadsheet!Q191,Q$7&lt;(SAP_Leadsheet!$E$21+12),$E310*Q191)</f>
        <v>1.2337873122556907E-2</v>
      </c>
      <c r="R310" s="302" cm="1">
        <f t="array" aca="1" ref="R310" ca="1">_xlfn.IFS(R$7&gt;(SAP_Leadsheet!$E$21+12),0,R$7=(SAP_Leadsheet!$E$21+12),SAP_Spreadsheet!R191,R$7&lt;(SAP_Leadsheet!$E$21+12),$E310*R191)</f>
        <v>2.1748501305466888E-2</v>
      </c>
      <c r="S310" s="302" cm="1">
        <f t="array" aca="1" ref="S310" ca="1">_xlfn.IFS(S$7&gt;(SAP_Leadsheet!$E$21+12),0,S$7=(SAP_Leadsheet!$E$21+12),SAP_Spreadsheet!S191,S$7&lt;(SAP_Leadsheet!$E$21+12),$E310*S191)</f>
        <v>2.5582914903522703E-2</v>
      </c>
      <c r="T310" s="302" cm="1">
        <f t="array" aca="1" ref="T310" ca="1">_xlfn.IFS(T$7&gt;(SAP_Leadsheet!$E$21+12),0,T$7=(SAP_Leadsheet!$E$21+12),SAP_Spreadsheet!T191,T$7&lt;(SAP_Leadsheet!$E$21+12),$E310*T191)</f>
        <v>2.5448865402946649E-2</v>
      </c>
      <c r="U310" s="302" cm="1">
        <f t="array" aca="1" ref="U310" ca="1">_xlfn.IFS(U$7&gt;(SAP_Leadsheet!$E$21+12),0,U$7=(SAP_Leadsheet!$E$21+12),SAP_Spreadsheet!U191,U$7&lt;(SAP_Leadsheet!$E$21+12),$E310*U191)</f>
        <v>2.3400748646551523E-2</v>
      </c>
      <c r="V310" s="302" cm="1">
        <f t="array" aca="1" ref="V310" ca="1">_xlfn.IFS(V$7&gt;(SAP_Leadsheet!$E$21+12),0,V$7=(SAP_Leadsheet!$E$21+12),SAP_Spreadsheet!V191,V$7&lt;(SAP_Leadsheet!$E$21+12),$E310*V191)</f>
        <v>2.065249972606303E-2</v>
      </c>
      <c r="W310" s="302" cm="1">
        <f t="array" aca="1" ref="W310" ca="1">_xlfn.IFS(W$7&gt;(SAP_Leadsheet!$E$21+12),0,W$7=(SAP_Leadsheet!$E$21+12),SAP_Spreadsheet!W191,W$7&lt;(SAP_Leadsheet!$E$21+12),$E310*W191)</f>
        <v>1.7468595110884208E-2</v>
      </c>
      <c r="X310" s="302" cm="1">
        <f t="array" aca="1" ref="X310" ca="1">_xlfn.IFS(X$7&gt;(SAP_Leadsheet!$E$21+12),0,X$7=(SAP_Leadsheet!$E$21+12),SAP_Spreadsheet!X191,X$7&lt;(SAP_Leadsheet!$E$21+12),$E310*X191)</f>
        <v>1.5009957008216425E-2</v>
      </c>
      <c r="Y310" s="302" cm="1">
        <f t="array" aca="1" ref="Y310" ca="1">_xlfn.IFS(Y$7&gt;(SAP_Leadsheet!$E$21+12),0,Y$7=(SAP_Leadsheet!$E$21+12),SAP_Spreadsheet!Y191,Y$7&lt;(SAP_Leadsheet!$E$21+12),$E310*Y191)</f>
        <v>1.2892006079558892E-2</v>
      </c>
      <c r="Z310" s="302" cm="1">
        <f t="array" aca="1" ref="Z310" ca="1">_xlfn.IFS(Z$7&gt;(SAP_Leadsheet!$E$21+12),0,Z$7=(SAP_Leadsheet!$E$21+12),SAP_Spreadsheet!Z191,Z$7&lt;(SAP_Leadsheet!$E$21+12),$E310*Z191)</f>
        <v>1.0977970781995604E-2</v>
      </c>
      <c r="AA310" s="302" cm="1">
        <f t="array" aca="1" ref="AA310" ca="1">_xlfn.IFS(AA$7&gt;(SAP_Leadsheet!$E$21+12),0,AA$7=(SAP_Leadsheet!$E$21+12),SAP_Spreadsheet!AA191,AA$7&lt;(SAP_Leadsheet!$E$21+12),$E310*AA191)</f>
        <v>9.379887456816326E-3</v>
      </c>
      <c r="AB310" s="302" cm="1">
        <f t="array" aca="1" ref="AB310" ca="1">_xlfn.IFS(AB$7&gt;(SAP_Leadsheet!$E$21+12),0,AB$7=(SAP_Leadsheet!$E$21+12),SAP_Spreadsheet!AB191,AB$7&lt;(SAP_Leadsheet!$E$21+12),$E310*AB191)</f>
        <v>4.7108268633067564E-3</v>
      </c>
      <c r="AC310" s="302" cm="1">
        <f t="array" aca="1" ref="AC310" ca="1">_xlfn.IFS(AC$7&gt;(SAP_Leadsheet!$E$21+12),0,AC$7=(SAP_Leadsheet!$E$21+12),SAP_Spreadsheet!AC191,AC$7&lt;(SAP_Leadsheet!$E$21+12),$E310*AC191)</f>
        <v>4.8359928961330418E-3</v>
      </c>
      <c r="AD310" s="302" cm="1">
        <f t="array" aca="1" ref="AD310" ca="1">_xlfn.IFS(AD$7&gt;(SAP_Leadsheet!$E$21+12),0,AD$7=(SAP_Leadsheet!$E$21+12),SAP_Spreadsheet!AD191,AD$7&lt;(SAP_Leadsheet!$E$21+12),$E310*AD191)</f>
        <v>5.565101569120115E-3</v>
      </c>
      <c r="AE310" s="302" cm="1">
        <f t="array" aca="1" ref="AE310" ca="1">_xlfn.IFS(AE$7&gt;(SAP_Leadsheet!$E$21+12),0,AE$7=(SAP_Leadsheet!$E$21+12),SAP_Spreadsheet!AE191,AE$7&lt;(SAP_Leadsheet!$E$21+12),$E310*AE191)</f>
        <v>5.7389129977948898E-3</v>
      </c>
      <c r="AF310" s="302" cm="1">
        <f t="array" aca="1" ref="AF310" ca="1">_xlfn.IFS(AF$7&gt;(SAP_Leadsheet!$E$21+12),0,AF$7=(SAP_Leadsheet!$E$21+12),SAP_Spreadsheet!AF191,AF$7&lt;(SAP_Leadsheet!$E$21+12),$E310*AF191)</f>
        <v>5.4642853759937953E-3</v>
      </c>
      <c r="AG310" s="302" cm="1">
        <f t="array" aca="1" ref="AG310" ca="1">_xlfn.IFS(AG$7&gt;(SAP_Leadsheet!$E$21+12),0,AG$7=(SAP_Leadsheet!$E$21+12),SAP_Spreadsheet!AG191,AG$7&lt;(SAP_Leadsheet!$E$21+12),$E310*AG191)</f>
        <v>5.5335886744983373E-3</v>
      </c>
      <c r="AH310" s="302" cm="1">
        <f t="array" aca="1" ref="AH310" ca="1">_xlfn.IFS(AH$7&gt;(SAP_Leadsheet!$E$21+12),0,AH$7=(SAP_Leadsheet!$E$21+12),SAP_Spreadsheet!AH191,AH$7&lt;(SAP_Leadsheet!$E$21+12),$E310*AH191)</f>
        <v>5.6908075381607017E-3</v>
      </c>
      <c r="AI310" s="302" cm="1">
        <f t="array" aca="1" ref="AI310" ca="1">_xlfn.IFS(AI$7&gt;(SAP_Leadsheet!$E$21+12),0,AI$7=(SAP_Leadsheet!$E$21+12),SAP_Spreadsheet!AI191,AI$7&lt;(SAP_Leadsheet!$E$21+12),$E310*AI191)</f>
        <v>5.8034010313386805E-3</v>
      </c>
      <c r="AJ310" s="302" cm="1">
        <f t="array" aca="1" ref="AJ310" ca="1">_xlfn.IFS(AJ$7&gt;(SAP_Leadsheet!$E$21+12),0,AJ$7=(SAP_Leadsheet!$E$21+12),SAP_Spreadsheet!AJ191,AJ$7&lt;(SAP_Leadsheet!$E$21+12),$E310*AJ191)</f>
        <v>5.8687581473813076E-3</v>
      </c>
      <c r="AK310" s="302" cm="1">
        <f t="array" aca="1" ref="AK310" ca="1">_xlfn.IFS(AK$7&gt;(SAP_Leadsheet!$E$21+12),0,AK$7=(SAP_Leadsheet!$E$21+12),SAP_Spreadsheet!AK191,AK$7&lt;(SAP_Leadsheet!$E$21+12),$E310*AK191)</f>
        <v>5.6648760447436776E-3</v>
      </c>
      <c r="AL310" s="302" cm="1">
        <f t="array" aca="1" ref="AL310" ca="1">_xlfn.IFS(AL$7&gt;(SAP_Leadsheet!$E$21+12),0,AL$7=(SAP_Leadsheet!$E$21+12),SAP_Spreadsheet!AL191,AL$7&lt;(SAP_Leadsheet!$E$21+12),$E310*AL191)</f>
        <v>5.3114707498649388E-3</v>
      </c>
      <c r="AM310" s="302" cm="1">
        <f t="array" aca="1" ref="AM310" ca="1">_xlfn.IFS(AM$7&gt;(SAP_Leadsheet!$E$21+12),0,AM$7=(SAP_Leadsheet!$E$21+12),SAP_Spreadsheet!AM191,AM$7&lt;(SAP_Leadsheet!$E$21+12),$E310*AM191)</f>
        <v>5.1691488591951683E-3</v>
      </c>
      <c r="AN310" s="302" cm="1">
        <f t="array" aca="1" ref="AN310" ca="1">_xlfn.IFS(AN$7&gt;(SAP_Leadsheet!$E$21+12),0,AN$7=(SAP_Leadsheet!$E$21+12),SAP_Spreadsheet!AN191,AN$7&lt;(SAP_Leadsheet!$E$21+12),$E310*AN191)</f>
        <v>4.2290174379685736E-3</v>
      </c>
      <c r="AO310" s="302" cm="1">
        <f t="array" aca="1" ref="AO310" ca="1">_xlfn.IFS(AO$7&gt;(SAP_Leadsheet!$E$21+12),0,AO$7=(SAP_Leadsheet!$E$21+12),SAP_Spreadsheet!AO191,AO$7&lt;(SAP_Leadsheet!$E$21+12),$E310*AO191)</f>
        <v>4.3154178457158222E-3</v>
      </c>
      <c r="AP310" s="302" cm="1">
        <f t="array" aca="1" ref="AP310" ca="1">_xlfn.IFS(AP$7&gt;(SAP_Leadsheet!$E$21+12),0,AP$7=(SAP_Leadsheet!$E$21+12),SAP_Spreadsheet!AP191,AP$7&lt;(SAP_Leadsheet!$E$21+12),$E310*AP191)</f>
        <v>4.5808203400399374E-3</v>
      </c>
      <c r="AQ310" s="302" cm="1">
        <f t="array" aca="1" ref="AQ310" ca="1">_xlfn.IFS(AQ$7&gt;(SAP_Leadsheet!$E$21+12),0,AQ$7=(SAP_Leadsheet!$E$21+12),SAP_Spreadsheet!AQ191,AQ$7&lt;(SAP_Leadsheet!$E$21+12),$E310*AQ191)</f>
        <v>4.7447540188680038E-3</v>
      </c>
      <c r="AR310" s="302" cm="1">
        <f t="array" aca="1" ref="AR310" ca="1">_xlfn.IFS(AR$7&gt;(SAP_Leadsheet!$E$21+12),0,AR$7=(SAP_Leadsheet!$E$21+12),SAP_Spreadsheet!AR191,AR$7&lt;(SAP_Leadsheet!$E$21+12),$E310*AR191)</f>
        <v>4.7680936450005783E-3</v>
      </c>
      <c r="AS310" s="302" cm="1">
        <f t="array" aca="1" ref="AS310" ca="1">_xlfn.IFS(AS$7&gt;(SAP_Leadsheet!$E$21+12),0,AS$7=(SAP_Leadsheet!$E$21+12),SAP_Spreadsheet!AS191,AS$7&lt;(SAP_Leadsheet!$E$21+12),$E310*AS191)</f>
        <v>4.6994549218687832E-3</v>
      </c>
      <c r="AT310" s="302" cm="1">
        <f t="array" aca="1" ref="AT310" ca="1">_xlfn.IFS(AT$7&gt;(SAP_Leadsheet!$E$21+12),0,AT$7=(SAP_Leadsheet!$E$21+12),SAP_Spreadsheet!AT191,AT$7&lt;(SAP_Leadsheet!$E$21+12),$E310*AT191)</f>
        <v>4.590158267327408E-3</v>
      </c>
      <c r="AU310" s="302" cm="1">
        <f t="array" aca="1" ref="AU310" ca="1">_xlfn.IFS(AU$7&gt;(SAP_Leadsheet!$E$21+12),0,AU$7=(SAP_Leadsheet!$E$21+12),SAP_Spreadsheet!AU191,AU$7&lt;(SAP_Leadsheet!$E$21+12),$E310*AU191)</f>
        <v>4.4695864309476641E-3</v>
      </c>
      <c r="AV310" s="302" cm="1">
        <f t="array" aca="1" ref="AV310" ca="1">_xlfn.IFS(AV$7&gt;(SAP_Leadsheet!$E$21+12),0,AV$7=(SAP_Leadsheet!$E$21+12),SAP_Spreadsheet!AV191,AV$7&lt;(SAP_Leadsheet!$E$21+12),$E310*AV191)</f>
        <v>4.4984532561739366E-3</v>
      </c>
      <c r="AW310" s="302" cm="1">
        <f t="array" aca="1" ref="AW310" ca="1">_xlfn.IFS(AW$7&gt;(SAP_Leadsheet!$E$21+12),0,AW$7=(SAP_Leadsheet!$E$21+12),SAP_Spreadsheet!AW191,AW$7&lt;(SAP_Leadsheet!$E$21+12),$E310*AW191)</f>
        <v>4.3573724449290285E-3</v>
      </c>
      <c r="AX310" s="302" cm="1">
        <f t="array" aca="1" ref="AX310" ca="1">_xlfn.IFS(AX$7&gt;(SAP_Leadsheet!$E$21+12),0,AX$7=(SAP_Leadsheet!$E$21+12),SAP_Spreadsheet!AX191,AX$7&lt;(SAP_Leadsheet!$E$21+12),$E310*AX191)</f>
        <v>4.1791263122950327E-3</v>
      </c>
      <c r="AY310" s="302" cm="1">
        <f t="array" aca="1" ref="AY310" ca="1">_xlfn.IFS(AY$7&gt;(SAP_Leadsheet!$E$21+12),0,AY$7=(SAP_Leadsheet!$E$21+12),SAP_Spreadsheet!AY191,AY$7&lt;(SAP_Leadsheet!$E$21+12),$E310*AY191)</f>
        <v>3.8696561784075834E-3</v>
      </c>
      <c r="AZ310" s="302" cm="1">
        <f t="array" aca="1" ref="AZ310" ca="1">_xlfn.IFS(AZ$7&gt;(SAP_Leadsheet!$E$21+12),0,AZ$7=(SAP_Leadsheet!$E$21+12),SAP_Spreadsheet!AZ191,AZ$7&lt;(SAP_Leadsheet!$E$21+12),$E310*AZ191)</f>
        <v>3.112224178854088E-3</v>
      </c>
      <c r="BA310" s="302" cm="1">
        <f t="array" aca="1" ref="BA310" ca="1">_xlfn.IFS(BA$7&gt;(SAP_Leadsheet!$E$21+12),0,BA$7=(SAP_Leadsheet!$E$21+12),SAP_Spreadsheet!BA191,BA$7&lt;(SAP_Leadsheet!$E$21+12),$E310*BA191)</f>
        <v>3.0433336782793468E-3</v>
      </c>
      <c r="BB310" s="302" cm="1">
        <f t="array" aca="1" ref="BB310" ca="1">_xlfn.IFS(BB$7&gt;(SAP_Leadsheet!$E$21+12),0,BB$7=(SAP_Leadsheet!$E$21+12),SAP_Spreadsheet!BB191,BB$7&lt;(SAP_Leadsheet!$E$21+12),$E310*BB191)</f>
        <v>2.9870343637796132E-3</v>
      </c>
      <c r="BC310" s="302" cm="1">
        <f t="array" aca="1" ref="BC310" ca="1">_xlfn.IFS(BC$7&gt;(SAP_Leadsheet!$E$21+12),0,BC$7=(SAP_Leadsheet!$E$21+12),SAP_Spreadsheet!BC191,BC$7&lt;(SAP_Leadsheet!$E$21+12),$E310*BC191)</f>
        <v>2.9368272883980836E-3</v>
      </c>
      <c r="BD310" s="302" cm="1">
        <f t="array" aca="1" ref="BD310" ca="1">_xlfn.IFS(BD$7&gt;(SAP_Leadsheet!$E$21+12),0,BD$7=(SAP_Leadsheet!$E$21+12),SAP_Spreadsheet!BD191,BD$7&lt;(SAP_Leadsheet!$E$21+12),$E310*BD191)</f>
        <v>2.8878445202944187E-3</v>
      </c>
      <c r="BE310" s="302" cm="1">
        <f t="array" aca="1" ref="BE310" ca="1">_xlfn.IFS(BE$7&gt;(SAP_Leadsheet!$E$21+12),0,BE$7=(SAP_Leadsheet!$E$21+12),SAP_Spreadsheet!BE191,BE$7&lt;(SAP_Leadsheet!$E$21+12),$E310*BE191)</f>
        <v>2.8382248441616081E-3</v>
      </c>
      <c r="BF310" s="302" cm="1">
        <f t="array" aca="1" ref="BF310" ca="1">_xlfn.IFS(BF$7&gt;(SAP_Leadsheet!$E$21+12),0,BF$7=(SAP_Leadsheet!$E$21+12),SAP_Spreadsheet!BF191,BF$7&lt;(SAP_Leadsheet!$E$21+12),$E310*BF191)</f>
        <v>2.7877011259505023E-3</v>
      </c>
      <c r="BG310" s="302" cm="1">
        <f t="array" aca="1" ref="BG310" ca="1">_xlfn.IFS(BG$7&gt;(SAP_Leadsheet!$E$21+12),0,BG$7=(SAP_Leadsheet!$E$21+12),SAP_Spreadsheet!BG191,BG$7&lt;(SAP_Leadsheet!$E$21+12),$E310*BG191)</f>
        <v>2.7358643991198155E-3</v>
      </c>
      <c r="BH310" s="302" cm="1">
        <f t="array" aca="1" ref="BH310" ca="1">_xlfn.IFS(BH$7&gt;(SAP_Leadsheet!$E$21+12),0,BH$7=(SAP_Leadsheet!$E$21+12),SAP_Spreadsheet!BH191,BH$7&lt;(SAP_Leadsheet!$E$21+12),$E310*BH191)</f>
        <v>2.6820777792145849E-3</v>
      </c>
      <c r="BI310" s="302" cm="1">
        <f t="array" aca="1" ref="BI310" ca="1">_xlfn.IFS(BI$7&gt;(SAP_Leadsheet!$E$21+12),0,BI$7=(SAP_Leadsheet!$E$21+12),SAP_Spreadsheet!BI191,BI$7&lt;(SAP_Leadsheet!$E$21+12),$E310*BI191)</f>
        <v>2.6242594134722776E-3</v>
      </c>
      <c r="BJ310" s="302" cm="1">
        <f t="array" aca="1" ref="BJ310" ca="1">_xlfn.IFS(BJ$7&gt;(SAP_Leadsheet!$E$21+12),0,BJ$7=(SAP_Leadsheet!$E$21+12),SAP_Spreadsheet!BJ191,BJ$7&lt;(SAP_Leadsheet!$E$21+12),$E310*BJ191)</f>
        <v>2.5604790566567254E-3</v>
      </c>
      <c r="BK310" s="302" cm="1">
        <f t="array" aca="1" ref="BK310" ca="1">_xlfn.IFS(BK$7&gt;(SAP_Leadsheet!$E$21+12),0,BK$7=(SAP_Leadsheet!$E$21+12),SAP_Spreadsheet!BK191,BK$7&lt;(SAP_Leadsheet!$E$21+12),$E310*BK191)</f>
        <v>2.4926652179654393E-3</v>
      </c>
      <c r="BL310" s="302" cm="1">
        <f t="array" aca="1" ref="BL310" ca="1">_xlfn.IFS(BL$7&gt;(SAP_Leadsheet!$E$21+12),0,BL$7=(SAP_Leadsheet!$E$21+12),SAP_Spreadsheet!BL191,BL$7&lt;(SAP_Leadsheet!$E$21+12),$E310*BL191)</f>
        <v>2.1322680276094378E-3</v>
      </c>
      <c r="BM310" s="302" cm="1">
        <f t="array" aca="1" ref="BM310" ca="1">_xlfn.IFS(BM$7&gt;(SAP_Leadsheet!$E$21+12),0,BM$7=(SAP_Leadsheet!$E$21+12),SAP_Spreadsheet!BM191,BM$7&lt;(SAP_Leadsheet!$E$21+12),$E310*BM191)</f>
        <v>2.0788243430086783E-3</v>
      </c>
      <c r="BN310" s="302" cm="1">
        <f t="array" aca="1" ref="BN310" ca="1">_xlfn.IFS(BN$7&gt;(SAP_Leadsheet!$E$21+12),0,BN$7=(SAP_Leadsheet!$E$21+12),SAP_Spreadsheet!BN191,BN$7&lt;(SAP_Leadsheet!$E$21+12),$E310*BN191)</f>
        <v>2.0255126789417246E-3</v>
      </c>
      <c r="BO310" s="302" cm="1">
        <f t="array" aca="1" ref="BO310" ca="1">_xlfn.IFS(BO$7&gt;(SAP_Leadsheet!$E$21+12),0,BO$7=(SAP_Leadsheet!$E$21+12),SAP_Spreadsheet!BO191,BO$7&lt;(SAP_Leadsheet!$E$21+12),$E310*BO191)</f>
        <v>1.9726729318338453E-3</v>
      </c>
      <c r="BP310" s="302" cm="1">
        <f t="array" aca="1" ref="BP310" ca="1">_xlfn.IFS(BP$7&gt;(SAP_Leadsheet!$E$21+12),0,BP$7=(SAP_Leadsheet!$E$21+12),SAP_Spreadsheet!BP191,BP$7&lt;(SAP_Leadsheet!$E$21+12),$E310*BP191)</f>
        <v>1.9200824836608735E-3</v>
      </c>
      <c r="BQ310" s="302" cm="1">
        <f t="array" aca="1" ref="BQ310" ca="1">_xlfn.IFS(BQ$7&gt;(SAP_Leadsheet!$E$21+12),0,BQ$7=(SAP_Leadsheet!$E$21+12),SAP_Spreadsheet!BQ191,BQ$7&lt;(SAP_Leadsheet!$E$21+12),$E310*BQ191)</f>
        <v>1.8676047984900986E-3</v>
      </c>
      <c r="BR310" s="302" cm="1">
        <f t="array" aca="1" ref="BR310" ca="1">_xlfn.IFS(BR$7&gt;(SAP_Leadsheet!$E$21+12),0,BR$7=(SAP_Leadsheet!$E$21+12),SAP_Spreadsheet!BR191,BR$7&lt;(SAP_Leadsheet!$E$21+12),$E310*BR191)</f>
        <v>1.8150748873380243E-3</v>
      </c>
      <c r="BS310" s="302" cm="1">
        <f t="array" aca="1" ref="BS310" ca="1">_xlfn.IFS(BS$7&gt;(SAP_Leadsheet!$E$21+12),0,BS$7=(SAP_Leadsheet!$E$21+12),SAP_Spreadsheet!BS191,BS$7&lt;(SAP_Leadsheet!$E$21+12),$E310*BS191)</f>
        <v>1.7624127482070465E-3</v>
      </c>
      <c r="BT310" s="302" cm="1">
        <f t="array" aca="1" ref="BT310" ca="1">_xlfn.IFS(BT$7&gt;(SAP_Leadsheet!$E$21+12),0,BT$7=(SAP_Leadsheet!$E$21+12),SAP_Spreadsheet!BT191,BT$7&lt;(SAP_Leadsheet!$E$21+12),$E310*BT191)</f>
        <v>1.7096059688769805E-3</v>
      </c>
      <c r="BU310" s="302" cm="1">
        <f t="array" aca="1" ref="BU310" ca="1">_xlfn.IFS(BU$7&gt;(SAP_Leadsheet!$E$21+12),0,BU$7=(SAP_Leadsheet!$E$21+12),SAP_Spreadsheet!BU191,BU$7&lt;(SAP_Leadsheet!$E$21+12),$E310*BU191)</f>
        <v>1.6560330818585337E-3</v>
      </c>
      <c r="BV310" s="302" cm="1">
        <f t="array" aca="1" ref="BV310" ca="1">_xlfn.IFS(BV$7&gt;(SAP_Leadsheet!$E$21+12),0,BV$7=(SAP_Leadsheet!$E$21+12),SAP_Spreadsheet!BV191,BV$7&lt;(SAP_Leadsheet!$E$21+12),$E310*BV191)</f>
        <v>1.6006825833287529E-3</v>
      </c>
      <c r="BW310" s="302" cm="1">
        <f t="array" aca="1" ref="BW310" ca="1">_xlfn.IFS(BW$7&gt;(SAP_Leadsheet!$E$21+12),0,BW$7=(SAP_Leadsheet!$E$21+12),SAP_Spreadsheet!BW191,BW$7&lt;(SAP_Leadsheet!$E$21+12),$E310*BW191)</f>
        <v>1.5440289990920897E-3</v>
      </c>
      <c r="BX310" s="302" cm="1">
        <f t="array" aca="1" ref="BX310" ca="1">_xlfn.IFS(BX$7&gt;(SAP_Leadsheet!$E$21+12),0,BX$7=(SAP_Leadsheet!$E$21+12),SAP_Spreadsheet!BX191,BX$7&lt;(SAP_Leadsheet!$E$21+12),$E310*BX191)</f>
        <v>1.486739901601142E-3</v>
      </c>
      <c r="BY310" s="302" cm="1">
        <f t="array" aca="1" ref="BY310" ca="1">_xlfn.IFS(BY$7&gt;(SAP_Leadsheet!$E$21+12),0,BY$7=(SAP_Leadsheet!$E$21+12),SAP_Spreadsheet!BY191,BY$7&lt;(SAP_Leadsheet!$E$21+12),$E310*BY191)</f>
        <v>0</v>
      </c>
      <c r="BZ310" s="302" cm="1">
        <f t="array" aca="1" ref="BZ310" ca="1">_xlfn.IFS(BZ$7&gt;(SAP_Leadsheet!$E$21+12),0,BZ$7=(SAP_Leadsheet!$E$21+12),SAP_Spreadsheet!BZ191,BZ$7&lt;(SAP_Leadsheet!$E$21+12),$E310*BZ191)</f>
        <v>0</v>
      </c>
      <c r="CA310" s="263"/>
      <c r="CB310" s="263"/>
      <c r="CC310" s="263"/>
      <c r="CD310" s="263"/>
      <c r="CE310" s="263"/>
      <c r="CF310" s="263"/>
      <c r="CG310" s="263"/>
      <c r="CH310" s="263"/>
      <c r="CI310" s="263"/>
      <c r="CJ310" s="263"/>
      <c r="CK310" s="263"/>
      <c r="CL310" s="263"/>
      <c r="CM310" s="263"/>
      <c r="CN310" s="263"/>
      <c r="CO310" s="263"/>
      <c r="CP310" s="263"/>
      <c r="CQ310" s="263"/>
      <c r="CR310" s="263"/>
      <c r="CS310" s="263"/>
      <c r="CT310" s="263"/>
      <c r="CU310" s="263"/>
      <c r="CV310" s="263"/>
      <c r="CW310" s="263"/>
      <c r="CX310" s="263"/>
      <c r="CY310" s="263"/>
      <c r="CZ310" s="263"/>
      <c r="DA310" s="263"/>
      <c r="DB310" s="263"/>
      <c r="DC310" s="263"/>
      <c r="DD310" s="263"/>
      <c r="DE310" s="263"/>
      <c r="DF310" s="263"/>
      <c r="DG310" s="263"/>
      <c r="DH310" s="263"/>
      <c r="DI310" s="263"/>
      <c r="DJ310" s="263"/>
      <c r="DK310" s="263"/>
      <c r="DL310" s="263"/>
      <c r="DM310" s="263"/>
      <c r="DN310" s="263"/>
      <c r="DO310" s="263"/>
      <c r="DP310" s="263"/>
      <c r="DQ310" s="263"/>
      <c r="DR310" s="263"/>
      <c r="DS310" s="263"/>
      <c r="DT310" s="263"/>
      <c r="DU310" s="263"/>
      <c r="DV310" s="263"/>
      <c r="DW310" s="263"/>
      <c r="DX310" s="263"/>
      <c r="DY310" s="263"/>
      <c r="DZ310" s="263"/>
      <c r="EA310" s="263"/>
      <c r="EB310" s="263"/>
      <c r="EC310" s="263"/>
      <c r="ED310" s="263"/>
      <c r="EE310" s="263"/>
      <c r="EF310" s="263"/>
      <c r="EG310" s="263"/>
      <c r="EH310" s="263"/>
      <c r="EI310" s="263"/>
      <c r="EJ310" s="263"/>
      <c r="EK310" s="263"/>
      <c r="EL310" s="263"/>
      <c r="EM310" s="263"/>
      <c r="EN310" s="263"/>
      <c r="EO310" s="263"/>
      <c r="EP310" s="263"/>
      <c r="EQ310" s="263"/>
      <c r="ER310" s="263"/>
      <c r="ES310" s="263"/>
      <c r="ET310" s="263"/>
      <c r="EU310" s="263"/>
      <c r="EV310" s="263"/>
      <c r="EW310" s="263"/>
      <c r="EX310" s="263"/>
      <c r="EY310" s="263"/>
      <c r="EZ310" s="263"/>
      <c r="FA310" s="263"/>
      <c r="FB310" s="263"/>
      <c r="FC310" s="263"/>
      <c r="FD310" s="263"/>
      <c r="FE310" s="263"/>
      <c r="FF310" s="263"/>
      <c r="FG310" s="263"/>
      <c r="FH310" s="263"/>
      <c r="FI310" s="263"/>
      <c r="FJ310" s="263"/>
      <c r="FK310" s="263"/>
      <c r="FL310" s="263"/>
      <c r="FM310" s="263"/>
      <c r="FN310" s="263"/>
      <c r="FO310" s="263"/>
      <c r="FP310" s="263"/>
      <c r="FQ310" s="263"/>
      <c r="FR310" s="263"/>
      <c r="FS310" s="263"/>
      <c r="FT310" s="263"/>
      <c r="FU310" s="263"/>
      <c r="FV310" s="263"/>
      <c r="FW310" s="263"/>
      <c r="FX310" s="263"/>
      <c r="FY310" s="263"/>
      <c r="FZ310" s="263"/>
      <c r="GA310" s="263"/>
      <c r="GB310" s="263"/>
      <c r="GC310" s="263"/>
      <c r="GD310" s="263"/>
      <c r="GE310" s="263"/>
      <c r="GF310" s="263"/>
      <c r="GG310" s="263"/>
      <c r="GH310" s="263"/>
      <c r="GI310" s="263"/>
      <c r="GJ310" s="263"/>
      <c r="GK310" s="263"/>
      <c r="GL310" s="263"/>
      <c r="GM310" s="263"/>
      <c r="GN310" s="263"/>
      <c r="GO310" s="263"/>
      <c r="GP310" s="263"/>
      <c r="GQ310" s="263"/>
      <c r="GR310" s="263"/>
      <c r="GS310" s="263"/>
      <c r="GT310" s="263"/>
      <c r="GU310" s="263"/>
      <c r="GV310" s="263"/>
      <c r="GW310" s="263"/>
      <c r="GX310" s="263"/>
      <c r="GY310" s="263"/>
    </row>
    <row r="311" spans="1:207" x14ac:dyDescent="0.15">
      <c r="A311" s="62"/>
      <c r="D311" s="26" t="s">
        <v>293</v>
      </c>
      <c r="E311" s="39">
        <v>0.50749999999999995</v>
      </c>
      <c r="F311" s="80"/>
      <c r="G311" s="302" cm="1">
        <f t="array" ref="G311">_xlfn.IFS(G$7&gt;(SAP_Leadsheet!$E$21+12),0,G$7=(SAP_Leadsheet!$E$21+12),SAP_Spreadsheet!G192,G$7&lt;(SAP_Leadsheet!$E$21+12),$E311*G192)</f>
        <v>0</v>
      </c>
      <c r="H311" s="302" cm="1">
        <f t="array" aca="1" ref="H311" ca="1">_xlfn.IFS(H$7&gt;(SAP_Leadsheet!$E$21+12),0,H$7=(SAP_Leadsheet!$E$21+12),SAP_Spreadsheet!H192,H$7&lt;(SAP_Leadsheet!$E$21+12),$E311*H192)</f>
        <v>0</v>
      </c>
      <c r="I311" s="302" cm="1">
        <f t="array" aca="1" ref="I311" ca="1">_xlfn.IFS(I$7&gt;(SAP_Leadsheet!$E$21+12),0,I$7=(SAP_Leadsheet!$E$21+12),SAP_Spreadsheet!I192,I$7&lt;(SAP_Leadsheet!$E$21+12),$E311*I192)</f>
        <v>0</v>
      </c>
      <c r="J311" s="302" cm="1">
        <f t="array" aca="1" ref="J311" ca="1">_xlfn.IFS(J$7&gt;(SAP_Leadsheet!$E$21+12),0,J$7=(SAP_Leadsheet!$E$21+12),SAP_Spreadsheet!J192,J$7&lt;(SAP_Leadsheet!$E$21+12),$E311*J192)</f>
        <v>0</v>
      </c>
      <c r="K311" s="302" cm="1">
        <f t="array" aca="1" ref="K311" ca="1">_xlfn.IFS(K$7&gt;(SAP_Leadsheet!$E$21+12),0,K$7=(SAP_Leadsheet!$E$21+12),SAP_Spreadsheet!K192,K$7&lt;(SAP_Leadsheet!$E$21+12),$E311*K192)</f>
        <v>0</v>
      </c>
      <c r="L311" s="302" cm="1">
        <f t="array" aca="1" ref="L311" ca="1">_xlfn.IFS(L$7&gt;(SAP_Leadsheet!$E$21+12),0,L$7=(SAP_Leadsheet!$E$21+12),SAP_Spreadsheet!L192,L$7&lt;(SAP_Leadsheet!$E$21+12),$E311*L192)</f>
        <v>0</v>
      </c>
      <c r="M311" s="302" cm="1">
        <f t="array" aca="1" ref="M311" ca="1">_xlfn.IFS(M$7&gt;(SAP_Leadsheet!$E$21+12),0,M$7=(SAP_Leadsheet!$E$21+12),SAP_Spreadsheet!M192,M$7&lt;(SAP_Leadsheet!$E$21+12),$E311*M192)</f>
        <v>0</v>
      </c>
      <c r="N311" s="302" cm="1">
        <f t="array" aca="1" ref="N311" ca="1">_xlfn.IFS(N$7&gt;(SAP_Leadsheet!$E$21+12),0,N$7=(SAP_Leadsheet!$E$21+12),SAP_Spreadsheet!N192,N$7&lt;(SAP_Leadsheet!$E$21+12),$E311*N192)</f>
        <v>0</v>
      </c>
      <c r="O311" s="302" cm="1">
        <f t="array" aca="1" ref="O311" ca="1">_xlfn.IFS(O$7&gt;(SAP_Leadsheet!$E$21+12),0,O$7=(SAP_Leadsheet!$E$21+12),SAP_Spreadsheet!O192,O$7&lt;(SAP_Leadsheet!$E$21+12),$E311*O192)</f>
        <v>0</v>
      </c>
      <c r="P311" s="302" cm="1">
        <f t="array" aca="1" ref="P311" ca="1">_xlfn.IFS(P$7&gt;(SAP_Leadsheet!$E$21+12),0,P$7=(SAP_Leadsheet!$E$21+12),SAP_Spreadsheet!P192,P$7&lt;(SAP_Leadsheet!$E$21+12),$E311*P192)</f>
        <v>0</v>
      </c>
      <c r="Q311" s="302" cm="1">
        <f t="array" aca="1" ref="Q311" ca="1">_xlfn.IFS(Q$7&gt;(SAP_Leadsheet!$E$21+12),0,Q$7=(SAP_Leadsheet!$E$21+12),SAP_Spreadsheet!Q192,Q$7&lt;(SAP_Leadsheet!$E$21+12),$E311*Q192)</f>
        <v>0</v>
      </c>
      <c r="R311" s="302" cm="1">
        <f t="array" aca="1" ref="R311" ca="1">_xlfn.IFS(R$7&gt;(SAP_Leadsheet!$E$21+12),0,R$7=(SAP_Leadsheet!$E$21+12),SAP_Spreadsheet!R192,R$7&lt;(SAP_Leadsheet!$E$21+12),$E311*R192)</f>
        <v>1.2337873122556907E-2</v>
      </c>
      <c r="S311" s="302" cm="1">
        <f t="array" aca="1" ref="S311" ca="1">_xlfn.IFS(S$7&gt;(SAP_Leadsheet!$E$21+12),0,S$7=(SAP_Leadsheet!$E$21+12),SAP_Spreadsheet!S192,S$7&lt;(SAP_Leadsheet!$E$21+12),$E311*S192)</f>
        <v>2.1748501305466888E-2</v>
      </c>
      <c r="T311" s="302" cm="1">
        <f t="array" aca="1" ref="T311" ca="1">_xlfn.IFS(T$7&gt;(SAP_Leadsheet!$E$21+12),0,T$7=(SAP_Leadsheet!$E$21+12),SAP_Spreadsheet!T192,T$7&lt;(SAP_Leadsheet!$E$21+12),$E311*T192)</f>
        <v>2.5582914903522703E-2</v>
      </c>
      <c r="U311" s="302" cm="1">
        <f t="array" aca="1" ref="U311" ca="1">_xlfn.IFS(U$7&gt;(SAP_Leadsheet!$E$21+12),0,U$7=(SAP_Leadsheet!$E$21+12),SAP_Spreadsheet!U192,U$7&lt;(SAP_Leadsheet!$E$21+12),$E311*U192)</f>
        <v>2.5448865402946649E-2</v>
      </c>
      <c r="V311" s="302" cm="1">
        <f t="array" aca="1" ref="V311" ca="1">_xlfn.IFS(V$7&gt;(SAP_Leadsheet!$E$21+12),0,V$7=(SAP_Leadsheet!$E$21+12),SAP_Spreadsheet!V192,V$7&lt;(SAP_Leadsheet!$E$21+12),$E311*V192)</f>
        <v>2.3400748646551523E-2</v>
      </c>
      <c r="W311" s="302" cm="1">
        <f t="array" aca="1" ref="W311" ca="1">_xlfn.IFS(W$7&gt;(SAP_Leadsheet!$E$21+12),0,W$7=(SAP_Leadsheet!$E$21+12),SAP_Spreadsheet!W192,W$7&lt;(SAP_Leadsheet!$E$21+12),$E311*W192)</f>
        <v>2.065249972606303E-2</v>
      </c>
      <c r="X311" s="302" cm="1">
        <f t="array" aca="1" ref="X311" ca="1">_xlfn.IFS(X$7&gt;(SAP_Leadsheet!$E$21+12),0,X$7=(SAP_Leadsheet!$E$21+12),SAP_Spreadsheet!X192,X$7&lt;(SAP_Leadsheet!$E$21+12),$E311*X192)</f>
        <v>1.7468595110884208E-2</v>
      </c>
      <c r="Y311" s="302" cm="1">
        <f t="array" aca="1" ref="Y311" ca="1">_xlfn.IFS(Y$7&gt;(SAP_Leadsheet!$E$21+12),0,Y$7=(SAP_Leadsheet!$E$21+12),SAP_Spreadsheet!Y192,Y$7&lt;(SAP_Leadsheet!$E$21+12),$E311*Y192)</f>
        <v>1.5009957008216425E-2</v>
      </c>
      <c r="Z311" s="302" cm="1">
        <f t="array" aca="1" ref="Z311" ca="1">_xlfn.IFS(Z$7&gt;(SAP_Leadsheet!$E$21+12),0,Z$7=(SAP_Leadsheet!$E$21+12),SAP_Spreadsheet!Z192,Z$7&lt;(SAP_Leadsheet!$E$21+12),$E311*Z192)</f>
        <v>1.2892006079558892E-2</v>
      </c>
      <c r="AA311" s="302" cm="1">
        <f t="array" aca="1" ref="AA311" ca="1">_xlfn.IFS(AA$7&gt;(SAP_Leadsheet!$E$21+12),0,AA$7=(SAP_Leadsheet!$E$21+12),SAP_Spreadsheet!AA192,AA$7&lt;(SAP_Leadsheet!$E$21+12),$E311*AA192)</f>
        <v>1.0977970781995604E-2</v>
      </c>
      <c r="AB311" s="302" cm="1">
        <f t="array" aca="1" ref="AB311" ca="1">_xlfn.IFS(AB$7&gt;(SAP_Leadsheet!$E$21+12),0,AB$7=(SAP_Leadsheet!$E$21+12),SAP_Spreadsheet!AB192,AB$7&lt;(SAP_Leadsheet!$E$21+12),$E311*AB192)</f>
        <v>9.379887456816326E-3</v>
      </c>
      <c r="AC311" s="302" cm="1">
        <f t="array" aca="1" ref="AC311" ca="1">_xlfn.IFS(AC$7&gt;(SAP_Leadsheet!$E$21+12),0,AC$7=(SAP_Leadsheet!$E$21+12),SAP_Spreadsheet!AC192,AC$7&lt;(SAP_Leadsheet!$E$21+12),$E311*AC192)</f>
        <v>4.7108268633067564E-3</v>
      </c>
      <c r="AD311" s="302" cm="1">
        <f t="array" aca="1" ref="AD311" ca="1">_xlfn.IFS(AD$7&gt;(SAP_Leadsheet!$E$21+12),0,AD$7=(SAP_Leadsheet!$E$21+12),SAP_Spreadsheet!AD192,AD$7&lt;(SAP_Leadsheet!$E$21+12),$E311*AD192)</f>
        <v>4.8359928961330418E-3</v>
      </c>
      <c r="AE311" s="302" cm="1">
        <f t="array" aca="1" ref="AE311" ca="1">_xlfn.IFS(AE$7&gt;(SAP_Leadsheet!$E$21+12),0,AE$7=(SAP_Leadsheet!$E$21+12),SAP_Spreadsheet!AE192,AE$7&lt;(SAP_Leadsheet!$E$21+12),$E311*AE192)</f>
        <v>5.565101569120115E-3</v>
      </c>
      <c r="AF311" s="302" cm="1">
        <f t="array" aca="1" ref="AF311" ca="1">_xlfn.IFS(AF$7&gt;(SAP_Leadsheet!$E$21+12),0,AF$7=(SAP_Leadsheet!$E$21+12),SAP_Spreadsheet!AF192,AF$7&lt;(SAP_Leadsheet!$E$21+12),$E311*AF192)</f>
        <v>5.7389129977948898E-3</v>
      </c>
      <c r="AG311" s="302" cm="1">
        <f t="array" aca="1" ref="AG311" ca="1">_xlfn.IFS(AG$7&gt;(SAP_Leadsheet!$E$21+12),0,AG$7=(SAP_Leadsheet!$E$21+12),SAP_Spreadsheet!AG192,AG$7&lt;(SAP_Leadsheet!$E$21+12),$E311*AG192)</f>
        <v>5.4642853759937953E-3</v>
      </c>
      <c r="AH311" s="302" cm="1">
        <f t="array" aca="1" ref="AH311" ca="1">_xlfn.IFS(AH$7&gt;(SAP_Leadsheet!$E$21+12),0,AH$7=(SAP_Leadsheet!$E$21+12),SAP_Spreadsheet!AH192,AH$7&lt;(SAP_Leadsheet!$E$21+12),$E311*AH192)</f>
        <v>5.5335886744983373E-3</v>
      </c>
      <c r="AI311" s="302" cm="1">
        <f t="array" aca="1" ref="AI311" ca="1">_xlfn.IFS(AI$7&gt;(SAP_Leadsheet!$E$21+12),0,AI$7=(SAP_Leadsheet!$E$21+12),SAP_Spreadsheet!AI192,AI$7&lt;(SAP_Leadsheet!$E$21+12),$E311*AI192)</f>
        <v>5.6908075381607017E-3</v>
      </c>
      <c r="AJ311" s="302" cm="1">
        <f t="array" aca="1" ref="AJ311" ca="1">_xlfn.IFS(AJ$7&gt;(SAP_Leadsheet!$E$21+12),0,AJ$7=(SAP_Leadsheet!$E$21+12),SAP_Spreadsheet!AJ192,AJ$7&lt;(SAP_Leadsheet!$E$21+12),$E311*AJ192)</f>
        <v>5.8034010313386805E-3</v>
      </c>
      <c r="AK311" s="302" cm="1">
        <f t="array" aca="1" ref="AK311" ca="1">_xlfn.IFS(AK$7&gt;(SAP_Leadsheet!$E$21+12),0,AK$7=(SAP_Leadsheet!$E$21+12),SAP_Spreadsheet!AK192,AK$7&lt;(SAP_Leadsheet!$E$21+12),$E311*AK192)</f>
        <v>5.8687581473813076E-3</v>
      </c>
      <c r="AL311" s="302" cm="1">
        <f t="array" aca="1" ref="AL311" ca="1">_xlfn.IFS(AL$7&gt;(SAP_Leadsheet!$E$21+12),0,AL$7=(SAP_Leadsheet!$E$21+12),SAP_Spreadsheet!AL192,AL$7&lt;(SAP_Leadsheet!$E$21+12),$E311*AL192)</f>
        <v>5.6648760447436776E-3</v>
      </c>
      <c r="AM311" s="302" cm="1">
        <f t="array" aca="1" ref="AM311" ca="1">_xlfn.IFS(AM$7&gt;(SAP_Leadsheet!$E$21+12),0,AM$7=(SAP_Leadsheet!$E$21+12),SAP_Spreadsheet!AM192,AM$7&lt;(SAP_Leadsheet!$E$21+12),$E311*AM192)</f>
        <v>5.3114707498649388E-3</v>
      </c>
      <c r="AN311" s="302" cm="1">
        <f t="array" aca="1" ref="AN311" ca="1">_xlfn.IFS(AN$7&gt;(SAP_Leadsheet!$E$21+12),0,AN$7=(SAP_Leadsheet!$E$21+12),SAP_Spreadsheet!AN192,AN$7&lt;(SAP_Leadsheet!$E$21+12),$E311*AN192)</f>
        <v>5.1691488591951683E-3</v>
      </c>
      <c r="AO311" s="302" cm="1">
        <f t="array" aca="1" ref="AO311" ca="1">_xlfn.IFS(AO$7&gt;(SAP_Leadsheet!$E$21+12),0,AO$7=(SAP_Leadsheet!$E$21+12),SAP_Spreadsheet!AO192,AO$7&lt;(SAP_Leadsheet!$E$21+12),$E311*AO192)</f>
        <v>4.2290174379685736E-3</v>
      </c>
      <c r="AP311" s="302" cm="1">
        <f t="array" aca="1" ref="AP311" ca="1">_xlfn.IFS(AP$7&gt;(SAP_Leadsheet!$E$21+12),0,AP$7=(SAP_Leadsheet!$E$21+12),SAP_Spreadsheet!AP192,AP$7&lt;(SAP_Leadsheet!$E$21+12),$E311*AP192)</f>
        <v>4.3154178457158222E-3</v>
      </c>
      <c r="AQ311" s="302" cm="1">
        <f t="array" aca="1" ref="AQ311" ca="1">_xlfn.IFS(AQ$7&gt;(SAP_Leadsheet!$E$21+12),0,AQ$7=(SAP_Leadsheet!$E$21+12),SAP_Spreadsheet!AQ192,AQ$7&lt;(SAP_Leadsheet!$E$21+12),$E311*AQ192)</f>
        <v>4.5808203400399374E-3</v>
      </c>
      <c r="AR311" s="302" cm="1">
        <f t="array" aca="1" ref="AR311" ca="1">_xlfn.IFS(AR$7&gt;(SAP_Leadsheet!$E$21+12),0,AR$7=(SAP_Leadsheet!$E$21+12),SAP_Spreadsheet!AR192,AR$7&lt;(SAP_Leadsheet!$E$21+12),$E311*AR192)</f>
        <v>4.7447540188680038E-3</v>
      </c>
      <c r="AS311" s="302" cm="1">
        <f t="array" aca="1" ref="AS311" ca="1">_xlfn.IFS(AS$7&gt;(SAP_Leadsheet!$E$21+12),0,AS$7=(SAP_Leadsheet!$E$21+12),SAP_Spreadsheet!AS192,AS$7&lt;(SAP_Leadsheet!$E$21+12),$E311*AS192)</f>
        <v>4.7680936450005783E-3</v>
      </c>
      <c r="AT311" s="302" cm="1">
        <f t="array" aca="1" ref="AT311" ca="1">_xlfn.IFS(AT$7&gt;(SAP_Leadsheet!$E$21+12),0,AT$7=(SAP_Leadsheet!$E$21+12),SAP_Spreadsheet!AT192,AT$7&lt;(SAP_Leadsheet!$E$21+12),$E311*AT192)</f>
        <v>4.6994549218687832E-3</v>
      </c>
      <c r="AU311" s="302" cm="1">
        <f t="array" aca="1" ref="AU311" ca="1">_xlfn.IFS(AU$7&gt;(SAP_Leadsheet!$E$21+12),0,AU$7=(SAP_Leadsheet!$E$21+12),SAP_Spreadsheet!AU192,AU$7&lt;(SAP_Leadsheet!$E$21+12),$E311*AU192)</f>
        <v>4.590158267327408E-3</v>
      </c>
      <c r="AV311" s="302" cm="1">
        <f t="array" aca="1" ref="AV311" ca="1">_xlfn.IFS(AV$7&gt;(SAP_Leadsheet!$E$21+12),0,AV$7=(SAP_Leadsheet!$E$21+12),SAP_Spreadsheet!AV192,AV$7&lt;(SAP_Leadsheet!$E$21+12),$E311*AV192)</f>
        <v>4.4695864309476641E-3</v>
      </c>
      <c r="AW311" s="302" cm="1">
        <f t="array" aca="1" ref="AW311" ca="1">_xlfn.IFS(AW$7&gt;(SAP_Leadsheet!$E$21+12),0,AW$7=(SAP_Leadsheet!$E$21+12),SAP_Spreadsheet!AW192,AW$7&lt;(SAP_Leadsheet!$E$21+12),$E311*AW192)</f>
        <v>4.4984532561739366E-3</v>
      </c>
      <c r="AX311" s="302" cm="1">
        <f t="array" aca="1" ref="AX311" ca="1">_xlfn.IFS(AX$7&gt;(SAP_Leadsheet!$E$21+12),0,AX$7=(SAP_Leadsheet!$E$21+12),SAP_Spreadsheet!AX192,AX$7&lt;(SAP_Leadsheet!$E$21+12),$E311*AX192)</f>
        <v>4.3573724449290285E-3</v>
      </c>
      <c r="AY311" s="302" cm="1">
        <f t="array" aca="1" ref="AY311" ca="1">_xlfn.IFS(AY$7&gt;(SAP_Leadsheet!$E$21+12),0,AY$7=(SAP_Leadsheet!$E$21+12),SAP_Spreadsheet!AY192,AY$7&lt;(SAP_Leadsheet!$E$21+12),$E311*AY192)</f>
        <v>4.1791263122950327E-3</v>
      </c>
      <c r="AZ311" s="302" cm="1">
        <f t="array" aca="1" ref="AZ311" ca="1">_xlfn.IFS(AZ$7&gt;(SAP_Leadsheet!$E$21+12),0,AZ$7=(SAP_Leadsheet!$E$21+12),SAP_Spreadsheet!AZ192,AZ$7&lt;(SAP_Leadsheet!$E$21+12),$E311*AZ192)</f>
        <v>3.8696561784075834E-3</v>
      </c>
      <c r="BA311" s="302" cm="1">
        <f t="array" aca="1" ref="BA311" ca="1">_xlfn.IFS(BA$7&gt;(SAP_Leadsheet!$E$21+12),0,BA$7=(SAP_Leadsheet!$E$21+12),SAP_Spreadsheet!BA192,BA$7&lt;(SAP_Leadsheet!$E$21+12),$E311*BA192)</f>
        <v>3.112224178854088E-3</v>
      </c>
      <c r="BB311" s="302" cm="1">
        <f t="array" aca="1" ref="BB311" ca="1">_xlfn.IFS(BB$7&gt;(SAP_Leadsheet!$E$21+12),0,BB$7=(SAP_Leadsheet!$E$21+12),SAP_Spreadsheet!BB192,BB$7&lt;(SAP_Leadsheet!$E$21+12),$E311*BB192)</f>
        <v>3.0433336782793468E-3</v>
      </c>
      <c r="BC311" s="302" cm="1">
        <f t="array" aca="1" ref="BC311" ca="1">_xlfn.IFS(BC$7&gt;(SAP_Leadsheet!$E$21+12),0,BC$7=(SAP_Leadsheet!$E$21+12),SAP_Spreadsheet!BC192,BC$7&lt;(SAP_Leadsheet!$E$21+12),$E311*BC192)</f>
        <v>2.9870343637796132E-3</v>
      </c>
      <c r="BD311" s="302" cm="1">
        <f t="array" aca="1" ref="BD311" ca="1">_xlfn.IFS(BD$7&gt;(SAP_Leadsheet!$E$21+12),0,BD$7=(SAP_Leadsheet!$E$21+12),SAP_Spreadsheet!BD192,BD$7&lt;(SAP_Leadsheet!$E$21+12),$E311*BD192)</f>
        <v>2.9368272883980836E-3</v>
      </c>
      <c r="BE311" s="302" cm="1">
        <f t="array" aca="1" ref="BE311" ca="1">_xlfn.IFS(BE$7&gt;(SAP_Leadsheet!$E$21+12),0,BE$7=(SAP_Leadsheet!$E$21+12),SAP_Spreadsheet!BE192,BE$7&lt;(SAP_Leadsheet!$E$21+12),$E311*BE192)</f>
        <v>2.8878445202944187E-3</v>
      </c>
      <c r="BF311" s="302" cm="1">
        <f t="array" aca="1" ref="BF311" ca="1">_xlfn.IFS(BF$7&gt;(SAP_Leadsheet!$E$21+12),0,BF$7=(SAP_Leadsheet!$E$21+12),SAP_Spreadsheet!BF192,BF$7&lt;(SAP_Leadsheet!$E$21+12),$E311*BF192)</f>
        <v>2.8382248441616081E-3</v>
      </c>
      <c r="BG311" s="302" cm="1">
        <f t="array" aca="1" ref="BG311" ca="1">_xlfn.IFS(BG$7&gt;(SAP_Leadsheet!$E$21+12),0,BG$7=(SAP_Leadsheet!$E$21+12),SAP_Spreadsheet!BG192,BG$7&lt;(SAP_Leadsheet!$E$21+12),$E311*BG192)</f>
        <v>2.7877011259505023E-3</v>
      </c>
      <c r="BH311" s="302" cm="1">
        <f t="array" aca="1" ref="BH311" ca="1">_xlfn.IFS(BH$7&gt;(SAP_Leadsheet!$E$21+12),0,BH$7=(SAP_Leadsheet!$E$21+12),SAP_Spreadsheet!BH192,BH$7&lt;(SAP_Leadsheet!$E$21+12),$E311*BH192)</f>
        <v>2.7358643991198155E-3</v>
      </c>
      <c r="BI311" s="302" cm="1">
        <f t="array" aca="1" ref="BI311" ca="1">_xlfn.IFS(BI$7&gt;(SAP_Leadsheet!$E$21+12),0,BI$7=(SAP_Leadsheet!$E$21+12),SAP_Spreadsheet!BI192,BI$7&lt;(SAP_Leadsheet!$E$21+12),$E311*BI192)</f>
        <v>2.6820777792145849E-3</v>
      </c>
      <c r="BJ311" s="302" cm="1">
        <f t="array" aca="1" ref="BJ311" ca="1">_xlfn.IFS(BJ$7&gt;(SAP_Leadsheet!$E$21+12),0,BJ$7=(SAP_Leadsheet!$E$21+12),SAP_Spreadsheet!BJ192,BJ$7&lt;(SAP_Leadsheet!$E$21+12),$E311*BJ192)</f>
        <v>2.6242594134722776E-3</v>
      </c>
      <c r="BK311" s="302" cm="1">
        <f t="array" aca="1" ref="BK311" ca="1">_xlfn.IFS(BK$7&gt;(SAP_Leadsheet!$E$21+12),0,BK$7=(SAP_Leadsheet!$E$21+12),SAP_Spreadsheet!BK192,BK$7&lt;(SAP_Leadsheet!$E$21+12),$E311*BK192)</f>
        <v>2.5604790566567254E-3</v>
      </c>
      <c r="BL311" s="302" cm="1">
        <f t="array" aca="1" ref="BL311" ca="1">_xlfn.IFS(BL$7&gt;(SAP_Leadsheet!$E$21+12),0,BL$7=(SAP_Leadsheet!$E$21+12),SAP_Spreadsheet!BL192,BL$7&lt;(SAP_Leadsheet!$E$21+12),$E311*BL192)</f>
        <v>2.4926652179654393E-3</v>
      </c>
      <c r="BM311" s="302" cm="1">
        <f t="array" aca="1" ref="BM311" ca="1">_xlfn.IFS(BM$7&gt;(SAP_Leadsheet!$E$21+12),0,BM$7=(SAP_Leadsheet!$E$21+12),SAP_Spreadsheet!BM192,BM$7&lt;(SAP_Leadsheet!$E$21+12),$E311*BM192)</f>
        <v>2.1322680276094378E-3</v>
      </c>
      <c r="BN311" s="302" cm="1">
        <f t="array" aca="1" ref="BN311" ca="1">_xlfn.IFS(BN$7&gt;(SAP_Leadsheet!$E$21+12),0,BN$7=(SAP_Leadsheet!$E$21+12),SAP_Spreadsheet!BN192,BN$7&lt;(SAP_Leadsheet!$E$21+12),$E311*BN192)</f>
        <v>2.0788243430086783E-3</v>
      </c>
      <c r="BO311" s="302" cm="1">
        <f t="array" aca="1" ref="BO311" ca="1">_xlfn.IFS(BO$7&gt;(SAP_Leadsheet!$E$21+12),0,BO$7=(SAP_Leadsheet!$E$21+12),SAP_Spreadsheet!BO192,BO$7&lt;(SAP_Leadsheet!$E$21+12),$E311*BO192)</f>
        <v>2.0255126789417246E-3</v>
      </c>
      <c r="BP311" s="302" cm="1">
        <f t="array" aca="1" ref="BP311" ca="1">_xlfn.IFS(BP$7&gt;(SAP_Leadsheet!$E$21+12),0,BP$7=(SAP_Leadsheet!$E$21+12),SAP_Spreadsheet!BP192,BP$7&lt;(SAP_Leadsheet!$E$21+12),$E311*BP192)</f>
        <v>1.9726729318338453E-3</v>
      </c>
      <c r="BQ311" s="302" cm="1">
        <f t="array" aca="1" ref="BQ311" ca="1">_xlfn.IFS(BQ$7&gt;(SAP_Leadsheet!$E$21+12),0,BQ$7=(SAP_Leadsheet!$E$21+12),SAP_Spreadsheet!BQ192,BQ$7&lt;(SAP_Leadsheet!$E$21+12),$E311*BQ192)</f>
        <v>1.9200824836608735E-3</v>
      </c>
      <c r="BR311" s="302" cm="1">
        <f t="array" aca="1" ref="BR311" ca="1">_xlfn.IFS(BR$7&gt;(SAP_Leadsheet!$E$21+12),0,BR$7=(SAP_Leadsheet!$E$21+12),SAP_Spreadsheet!BR192,BR$7&lt;(SAP_Leadsheet!$E$21+12),$E311*BR192)</f>
        <v>1.8676047984900986E-3</v>
      </c>
      <c r="BS311" s="302" cm="1">
        <f t="array" aca="1" ref="BS311" ca="1">_xlfn.IFS(BS$7&gt;(SAP_Leadsheet!$E$21+12),0,BS$7=(SAP_Leadsheet!$E$21+12),SAP_Spreadsheet!BS192,BS$7&lt;(SAP_Leadsheet!$E$21+12),$E311*BS192)</f>
        <v>1.8150748873380243E-3</v>
      </c>
      <c r="BT311" s="302" cm="1">
        <f t="array" aca="1" ref="BT311" ca="1">_xlfn.IFS(BT$7&gt;(SAP_Leadsheet!$E$21+12),0,BT$7=(SAP_Leadsheet!$E$21+12),SAP_Spreadsheet!BT192,BT$7&lt;(SAP_Leadsheet!$E$21+12),$E311*BT192)</f>
        <v>1.7624127482070465E-3</v>
      </c>
      <c r="BU311" s="302" cm="1">
        <f t="array" aca="1" ref="BU311" ca="1">_xlfn.IFS(BU$7&gt;(SAP_Leadsheet!$E$21+12),0,BU$7=(SAP_Leadsheet!$E$21+12),SAP_Spreadsheet!BU192,BU$7&lt;(SAP_Leadsheet!$E$21+12),$E311*BU192)</f>
        <v>1.7096059688769805E-3</v>
      </c>
      <c r="BV311" s="302" cm="1">
        <f t="array" aca="1" ref="BV311" ca="1">_xlfn.IFS(BV$7&gt;(SAP_Leadsheet!$E$21+12),0,BV$7=(SAP_Leadsheet!$E$21+12),SAP_Spreadsheet!BV192,BV$7&lt;(SAP_Leadsheet!$E$21+12),$E311*BV192)</f>
        <v>1.6560330818585337E-3</v>
      </c>
      <c r="BW311" s="302" cm="1">
        <f t="array" aca="1" ref="BW311" ca="1">_xlfn.IFS(BW$7&gt;(SAP_Leadsheet!$E$21+12),0,BW$7=(SAP_Leadsheet!$E$21+12),SAP_Spreadsheet!BW192,BW$7&lt;(SAP_Leadsheet!$E$21+12),$E311*BW192)</f>
        <v>1.6006825833287529E-3</v>
      </c>
      <c r="BX311" s="302" cm="1">
        <f t="array" aca="1" ref="BX311" ca="1">_xlfn.IFS(BX$7&gt;(SAP_Leadsheet!$E$21+12),0,BX$7=(SAP_Leadsheet!$E$21+12),SAP_Spreadsheet!BX192,BX$7&lt;(SAP_Leadsheet!$E$21+12),$E311*BX192)</f>
        <v>1.5440289990920897E-3</v>
      </c>
      <c r="BY311" s="302" cm="1">
        <f t="array" aca="1" ref="BY311" ca="1">_xlfn.IFS(BY$7&gt;(SAP_Leadsheet!$E$21+12),0,BY$7=(SAP_Leadsheet!$E$21+12),SAP_Spreadsheet!BY192,BY$7&lt;(SAP_Leadsheet!$E$21+12),$E311*BY192)</f>
        <v>1.486739901601142E-3</v>
      </c>
      <c r="BZ311" s="302" cm="1">
        <f t="array" aca="1" ref="BZ311" ca="1">_xlfn.IFS(BZ$7&gt;(SAP_Leadsheet!$E$21+12),0,BZ$7=(SAP_Leadsheet!$E$21+12),SAP_Spreadsheet!BZ192,BZ$7&lt;(SAP_Leadsheet!$E$21+12),$E311*BZ192)</f>
        <v>0</v>
      </c>
      <c r="CA311" s="263"/>
      <c r="CB311" s="263"/>
      <c r="CC311" s="263"/>
      <c r="CD311" s="263"/>
      <c r="CE311" s="263"/>
      <c r="CF311" s="263"/>
      <c r="CG311" s="263"/>
      <c r="CH311" s="263"/>
      <c r="CI311" s="263"/>
      <c r="CJ311" s="263"/>
      <c r="CK311" s="263"/>
      <c r="CL311" s="263"/>
      <c r="CM311" s="263"/>
      <c r="CN311" s="263"/>
      <c r="CO311" s="263"/>
      <c r="CP311" s="263"/>
      <c r="CQ311" s="263"/>
      <c r="CR311" s="263"/>
      <c r="CS311" s="263"/>
      <c r="CT311" s="263"/>
      <c r="CU311" s="263"/>
      <c r="CV311" s="263"/>
      <c r="CW311" s="263"/>
      <c r="CX311" s="263"/>
      <c r="CY311" s="263"/>
      <c r="CZ311" s="263"/>
      <c r="DA311" s="263"/>
      <c r="DB311" s="263"/>
      <c r="DC311" s="263"/>
      <c r="DD311" s="263"/>
      <c r="DE311" s="263"/>
      <c r="DF311" s="263"/>
      <c r="DG311" s="263"/>
      <c r="DH311" s="263"/>
      <c r="DI311" s="263"/>
      <c r="DJ311" s="263"/>
      <c r="DK311" s="263"/>
      <c r="DL311" s="263"/>
      <c r="DM311" s="263"/>
      <c r="DN311" s="263"/>
      <c r="DO311" s="263"/>
      <c r="DP311" s="263"/>
      <c r="DQ311" s="263"/>
      <c r="DR311" s="263"/>
      <c r="DS311" s="263"/>
      <c r="DT311" s="263"/>
      <c r="DU311" s="263"/>
      <c r="DV311" s="263"/>
      <c r="DW311" s="263"/>
      <c r="DX311" s="263"/>
      <c r="DY311" s="263"/>
      <c r="DZ311" s="263"/>
      <c r="EA311" s="263"/>
      <c r="EB311" s="263"/>
      <c r="EC311" s="263"/>
      <c r="ED311" s="263"/>
      <c r="EE311" s="263"/>
      <c r="EF311" s="263"/>
      <c r="EG311" s="263"/>
      <c r="EH311" s="263"/>
      <c r="EI311" s="263"/>
      <c r="EJ311" s="263"/>
      <c r="EK311" s="263"/>
      <c r="EL311" s="263"/>
      <c r="EM311" s="263"/>
      <c r="EN311" s="263"/>
      <c r="EO311" s="263"/>
      <c r="EP311" s="263"/>
      <c r="EQ311" s="263"/>
      <c r="ER311" s="263"/>
      <c r="ES311" s="263"/>
      <c r="ET311" s="263"/>
      <c r="EU311" s="263"/>
      <c r="EV311" s="263"/>
      <c r="EW311" s="263"/>
      <c r="EX311" s="263"/>
      <c r="EY311" s="263"/>
      <c r="EZ311" s="263"/>
      <c r="FA311" s="263"/>
      <c r="FB311" s="263"/>
      <c r="FC311" s="263"/>
      <c r="FD311" s="263"/>
      <c r="FE311" s="263"/>
      <c r="FF311" s="263"/>
      <c r="FG311" s="263"/>
      <c r="FH311" s="263"/>
      <c r="FI311" s="263"/>
      <c r="FJ311" s="263"/>
      <c r="FK311" s="263"/>
      <c r="FL311" s="263"/>
      <c r="FM311" s="263"/>
      <c r="FN311" s="263"/>
      <c r="FO311" s="263"/>
      <c r="FP311" s="263"/>
      <c r="FQ311" s="263"/>
      <c r="FR311" s="263"/>
      <c r="FS311" s="263"/>
      <c r="FT311" s="263"/>
      <c r="FU311" s="263"/>
      <c r="FV311" s="263"/>
      <c r="FW311" s="263"/>
      <c r="FX311" s="263"/>
      <c r="FY311" s="263"/>
      <c r="FZ311" s="263"/>
      <c r="GA311" s="263"/>
      <c r="GB311" s="263"/>
      <c r="GC311" s="263"/>
      <c r="GD311" s="263"/>
      <c r="GE311" s="263"/>
      <c r="GF311" s="263"/>
      <c r="GG311" s="263"/>
      <c r="GH311" s="263"/>
      <c r="GI311" s="263"/>
      <c r="GJ311" s="263"/>
      <c r="GK311" s="263"/>
      <c r="GL311" s="263"/>
      <c r="GM311" s="263"/>
      <c r="GN311" s="263"/>
      <c r="GO311" s="263"/>
      <c r="GP311" s="263"/>
      <c r="GQ311" s="263"/>
      <c r="GR311" s="263"/>
      <c r="GS311" s="263"/>
      <c r="GT311" s="263"/>
      <c r="GU311" s="263"/>
      <c r="GV311" s="263"/>
      <c r="GW311" s="263"/>
      <c r="GX311" s="263"/>
      <c r="GY311" s="263"/>
    </row>
    <row r="312" spans="1:207" x14ac:dyDescent="0.15">
      <c r="A312" s="62"/>
      <c r="D312" s="26" t="s">
        <v>294</v>
      </c>
      <c r="E312" s="39">
        <v>0.50749999999999995</v>
      </c>
      <c r="F312" s="80"/>
      <c r="G312" s="302" cm="1">
        <f t="array" ref="G312">_xlfn.IFS(G$7&gt;(SAP_Leadsheet!$E$21+12),0,G$7=(SAP_Leadsheet!$E$21+12),SAP_Spreadsheet!G193,G$7&lt;(SAP_Leadsheet!$E$21+12),$E312*G193)</f>
        <v>0</v>
      </c>
      <c r="H312" s="302" cm="1">
        <f t="array" aca="1" ref="H312" ca="1">_xlfn.IFS(H$7&gt;(SAP_Leadsheet!$E$21+12),0,H$7=(SAP_Leadsheet!$E$21+12),SAP_Spreadsheet!H193,H$7&lt;(SAP_Leadsheet!$E$21+12),$E312*H193)</f>
        <v>0</v>
      </c>
      <c r="I312" s="302" cm="1">
        <f t="array" aca="1" ref="I312" ca="1">_xlfn.IFS(I$7&gt;(SAP_Leadsheet!$E$21+12),0,I$7=(SAP_Leadsheet!$E$21+12),SAP_Spreadsheet!I193,I$7&lt;(SAP_Leadsheet!$E$21+12),$E312*I193)</f>
        <v>0</v>
      </c>
      <c r="J312" s="302" cm="1">
        <f t="array" aca="1" ref="J312" ca="1">_xlfn.IFS(J$7&gt;(SAP_Leadsheet!$E$21+12),0,J$7=(SAP_Leadsheet!$E$21+12),SAP_Spreadsheet!J193,J$7&lt;(SAP_Leadsheet!$E$21+12),$E312*J193)</f>
        <v>0</v>
      </c>
      <c r="K312" s="302" cm="1">
        <f t="array" aca="1" ref="K312" ca="1">_xlfn.IFS(K$7&gt;(SAP_Leadsheet!$E$21+12),0,K$7=(SAP_Leadsheet!$E$21+12),SAP_Spreadsheet!K193,K$7&lt;(SAP_Leadsheet!$E$21+12),$E312*K193)</f>
        <v>0</v>
      </c>
      <c r="L312" s="302" cm="1">
        <f t="array" aca="1" ref="L312" ca="1">_xlfn.IFS(L$7&gt;(SAP_Leadsheet!$E$21+12),0,L$7=(SAP_Leadsheet!$E$21+12),SAP_Spreadsheet!L193,L$7&lt;(SAP_Leadsheet!$E$21+12),$E312*L193)</f>
        <v>0</v>
      </c>
      <c r="M312" s="302" cm="1">
        <f t="array" aca="1" ref="M312" ca="1">_xlfn.IFS(M$7&gt;(SAP_Leadsheet!$E$21+12),0,M$7=(SAP_Leadsheet!$E$21+12),SAP_Spreadsheet!M193,M$7&lt;(SAP_Leadsheet!$E$21+12),$E312*M193)</f>
        <v>0</v>
      </c>
      <c r="N312" s="302" cm="1">
        <f t="array" aca="1" ref="N312" ca="1">_xlfn.IFS(N$7&gt;(SAP_Leadsheet!$E$21+12),0,N$7=(SAP_Leadsheet!$E$21+12),SAP_Spreadsheet!N193,N$7&lt;(SAP_Leadsheet!$E$21+12),$E312*N193)</f>
        <v>0</v>
      </c>
      <c r="O312" s="302" cm="1">
        <f t="array" aca="1" ref="O312" ca="1">_xlfn.IFS(O$7&gt;(SAP_Leadsheet!$E$21+12),0,O$7=(SAP_Leadsheet!$E$21+12),SAP_Spreadsheet!O193,O$7&lt;(SAP_Leadsheet!$E$21+12),$E312*O193)</f>
        <v>0</v>
      </c>
      <c r="P312" s="302" cm="1">
        <f t="array" aca="1" ref="P312" ca="1">_xlfn.IFS(P$7&gt;(SAP_Leadsheet!$E$21+12),0,P$7=(SAP_Leadsheet!$E$21+12),SAP_Spreadsheet!P193,P$7&lt;(SAP_Leadsheet!$E$21+12),$E312*P193)</f>
        <v>0</v>
      </c>
      <c r="Q312" s="302" cm="1">
        <f t="array" aca="1" ref="Q312" ca="1">_xlfn.IFS(Q$7&gt;(SAP_Leadsheet!$E$21+12),0,Q$7=(SAP_Leadsheet!$E$21+12),SAP_Spreadsheet!Q193,Q$7&lt;(SAP_Leadsheet!$E$21+12),$E312*Q193)</f>
        <v>0</v>
      </c>
      <c r="R312" s="302" cm="1">
        <f t="array" aca="1" ref="R312" ca="1">_xlfn.IFS(R$7&gt;(SAP_Leadsheet!$E$21+12),0,R$7=(SAP_Leadsheet!$E$21+12),SAP_Spreadsheet!R193,R$7&lt;(SAP_Leadsheet!$E$21+12),$E312*R193)</f>
        <v>0</v>
      </c>
      <c r="S312" s="302" cm="1">
        <f t="array" aca="1" ref="S312" ca="1">_xlfn.IFS(S$7&gt;(SAP_Leadsheet!$E$21+12),0,S$7=(SAP_Leadsheet!$E$21+12),SAP_Spreadsheet!S193,S$7&lt;(SAP_Leadsheet!$E$21+12),$E312*S193)</f>
        <v>1.2337873122556907E-2</v>
      </c>
      <c r="T312" s="302" cm="1">
        <f t="array" aca="1" ref="T312" ca="1">_xlfn.IFS(T$7&gt;(SAP_Leadsheet!$E$21+12),0,T$7=(SAP_Leadsheet!$E$21+12),SAP_Spreadsheet!T193,T$7&lt;(SAP_Leadsheet!$E$21+12),$E312*T193)</f>
        <v>2.1748501305466888E-2</v>
      </c>
      <c r="U312" s="302" cm="1">
        <f t="array" aca="1" ref="U312" ca="1">_xlfn.IFS(U$7&gt;(SAP_Leadsheet!$E$21+12),0,U$7=(SAP_Leadsheet!$E$21+12),SAP_Spreadsheet!U193,U$7&lt;(SAP_Leadsheet!$E$21+12),$E312*U193)</f>
        <v>2.5582914903522703E-2</v>
      </c>
      <c r="V312" s="302" cm="1">
        <f t="array" aca="1" ref="V312" ca="1">_xlfn.IFS(V$7&gt;(SAP_Leadsheet!$E$21+12),0,V$7=(SAP_Leadsheet!$E$21+12),SAP_Spreadsheet!V193,V$7&lt;(SAP_Leadsheet!$E$21+12),$E312*V193)</f>
        <v>2.5448865402946649E-2</v>
      </c>
      <c r="W312" s="302" cm="1">
        <f t="array" aca="1" ref="W312" ca="1">_xlfn.IFS(W$7&gt;(SAP_Leadsheet!$E$21+12),0,W$7=(SAP_Leadsheet!$E$21+12),SAP_Spreadsheet!W193,W$7&lt;(SAP_Leadsheet!$E$21+12),$E312*W193)</f>
        <v>2.3400748646551523E-2</v>
      </c>
      <c r="X312" s="302" cm="1">
        <f t="array" aca="1" ref="X312" ca="1">_xlfn.IFS(X$7&gt;(SAP_Leadsheet!$E$21+12),0,X$7=(SAP_Leadsheet!$E$21+12),SAP_Spreadsheet!X193,X$7&lt;(SAP_Leadsheet!$E$21+12),$E312*X193)</f>
        <v>2.065249972606303E-2</v>
      </c>
      <c r="Y312" s="302" cm="1">
        <f t="array" aca="1" ref="Y312" ca="1">_xlfn.IFS(Y$7&gt;(SAP_Leadsheet!$E$21+12),0,Y$7=(SAP_Leadsheet!$E$21+12),SAP_Spreadsheet!Y193,Y$7&lt;(SAP_Leadsheet!$E$21+12),$E312*Y193)</f>
        <v>1.7468595110884208E-2</v>
      </c>
      <c r="Z312" s="302" cm="1">
        <f t="array" aca="1" ref="Z312" ca="1">_xlfn.IFS(Z$7&gt;(SAP_Leadsheet!$E$21+12),0,Z$7=(SAP_Leadsheet!$E$21+12),SAP_Spreadsheet!Z193,Z$7&lt;(SAP_Leadsheet!$E$21+12),$E312*Z193)</f>
        <v>1.5009957008216425E-2</v>
      </c>
      <c r="AA312" s="302" cm="1">
        <f t="array" aca="1" ref="AA312" ca="1">_xlfn.IFS(AA$7&gt;(SAP_Leadsheet!$E$21+12),0,AA$7=(SAP_Leadsheet!$E$21+12),SAP_Spreadsheet!AA193,AA$7&lt;(SAP_Leadsheet!$E$21+12),$E312*AA193)</f>
        <v>1.2892006079558892E-2</v>
      </c>
      <c r="AB312" s="302" cm="1">
        <f t="array" aca="1" ref="AB312" ca="1">_xlfn.IFS(AB$7&gt;(SAP_Leadsheet!$E$21+12),0,AB$7=(SAP_Leadsheet!$E$21+12),SAP_Spreadsheet!AB193,AB$7&lt;(SAP_Leadsheet!$E$21+12),$E312*AB193)</f>
        <v>1.0977970781995604E-2</v>
      </c>
      <c r="AC312" s="302" cm="1">
        <f t="array" aca="1" ref="AC312" ca="1">_xlfn.IFS(AC$7&gt;(SAP_Leadsheet!$E$21+12),0,AC$7=(SAP_Leadsheet!$E$21+12),SAP_Spreadsheet!AC193,AC$7&lt;(SAP_Leadsheet!$E$21+12),$E312*AC193)</f>
        <v>9.379887456816326E-3</v>
      </c>
      <c r="AD312" s="302" cm="1">
        <f t="array" aca="1" ref="AD312" ca="1">_xlfn.IFS(AD$7&gt;(SAP_Leadsheet!$E$21+12),0,AD$7=(SAP_Leadsheet!$E$21+12),SAP_Spreadsheet!AD193,AD$7&lt;(SAP_Leadsheet!$E$21+12),$E312*AD193)</f>
        <v>4.7108268633067564E-3</v>
      </c>
      <c r="AE312" s="302" cm="1">
        <f t="array" aca="1" ref="AE312" ca="1">_xlfn.IFS(AE$7&gt;(SAP_Leadsheet!$E$21+12),0,AE$7=(SAP_Leadsheet!$E$21+12),SAP_Spreadsheet!AE193,AE$7&lt;(SAP_Leadsheet!$E$21+12),$E312*AE193)</f>
        <v>4.8359928961330418E-3</v>
      </c>
      <c r="AF312" s="302" cm="1">
        <f t="array" aca="1" ref="AF312" ca="1">_xlfn.IFS(AF$7&gt;(SAP_Leadsheet!$E$21+12),0,AF$7=(SAP_Leadsheet!$E$21+12),SAP_Spreadsheet!AF193,AF$7&lt;(SAP_Leadsheet!$E$21+12),$E312*AF193)</f>
        <v>5.565101569120115E-3</v>
      </c>
      <c r="AG312" s="302" cm="1">
        <f t="array" aca="1" ref="AG312" ca="1">_xlfn.IFS(AG$7&gt;(SAP_Leadsheet!$E$21+12),0,AG$7=(SAP_Leadsheet!$E$21+12),SAP_Spreadsheet!AG193,AG$7&lt;(SAP_Leadsheet!$E$21+12),$E312*AG193)</f>
        <v>5.7389129977948898E-3</v>
      </c>
      <c r="AH312" s="302" cm="1">
        <f t="array" aca="1" ref="AH312" ca="1">_xlfn.IFS(AH$7&gt;(SAP_Leadsheet!$E$21+12),0,AH$7=(SAP_Leadsheet!$E$21+12),SAP_Spreadsheet!AH193,AH$7&lt;(SAP_Leadsheet!$E$21+12),$E312*AH193)</f>
        <v>5.4642853759937953E-3</v>
      </c>
      <c r="AI312" s="302" cm="1">
        <f t="array" aca="1" ref="AI312" ca="1">_xlfn.IFS(AI$7&gt;(SAP_Leadsheet!$E$21+12),0,AI$7=(SAP_Leadsheet!$E$21+12),SAP_Spreadsheet!AI193,AI$7&lt;(SAP_Leadsheet!$E$21+12),$E312*AI193)</f>
        <v>5.5335886744983373E-3</v>
      </c>
      <c r="AJ312" s="302" cm="1">
        <f t="array" aca="1" ref="AJ312" ca="1">_xlfn.IFS(AJ$7&gt;(SAP_Leadsheet!$E$21+12),0,AJ$7=(SAP_Leadsheet!$E$21+12),SAP_Spreadsheet!AJ193,AJ$7&lt;(SAP_Leadsheet!$E$21+12),$E312*AJ193)</f>
        <v>5.6908075381607017E-3</v>
      </c>
      <c r="AK312" s="302" cm="1">
        <f t="array" aca="1" ref="AK312" ca="1">_xlfn.IFS(AK$7&gt;(SAP_Leadsheet!$E$21+12),0,AK$7=(SAP_Leadsheet!$E$21+12),SAP_Spreadsheet!AK193,AK$7&lt;(SAP_Leadsheet!$E$21+12),$E312*AK193)</f>
        <v>5.8034010313386805E-3</v>
      </c>
      <c r="AL312" s="302" cm="1">
        <f t="array" aca="1" ref="AL312" ca="1">_xlfn.IFS(AL$7&gt;(SAP_Leadsheet!$E$21+12),0,AL$7=(SAP_Leadsheet!$E$21+12),SAP_Spreadsheet!AL193,AL$7&lt;(SAP_Leadsheet!$E$21+12),$E312*AL193)</f>
        <v>5.8687581473813076E-3</v>
      </c>
      <c r="AM312" s="302" cm="1">
        <f t="array" aca="1" ref="AM312" ca="1">_xlfn.IFS(AM$7&gt;(SAP_Leadsheet!$E$21+12),0,AM$7=(SAP_Leadsheet!$E$21+12),SAP_Spreadsheet!AM193,AM$7&lt;(SAP_Leadsheet!$E$21+12),$E312*AM193)</f>
        <v>5.6648760447436776E-3</v>
      </c>
      <c r="AN312" s="302" cm="1">
        <f t="array" aca="1" ref="AN312" ca="1">_xlfn.IFS(AN$7&gt;(SAP_Leadsheet!$E$21+12),0,AN$7=(SAP_Leadsheet!$E$21+12),SAP_Spreadsheet!AN193,AN$7&lt;(SAP_Leadsheet!$E$21+12),$E312*AN193)</f>
        <v>5.3114707498649388E-3</v>
      </c>
      <c r="AO312" s="302" cm="1">
        <f t="array" aca="1" ref="AO312" ca="1">_xlfn.IFS(AO$7&gt;(SAP_Leadsheet!$E$21+12),0,AO$7=(SAP_Leadsheet!$E$21+12),SAP_Spreadsheet!AO193,AO$7&lt;(SAP_Leadsheet!$E$21+12),$E312*AO193)</f>
        <v>5.1691488591951683E-3</v>
      </c>
      <c r="AP312" s="302" cm="1">
        <f t="array" aca="1" ref="AP312" ca="1">_xlfn.IFS(AP$7&gt;(SAP_Leadsheet!$E$21+12),0,AP$7=(SAP_Leadsheet!$E$21+12),SAP_Spreadsheet!AP193,AP$7&lt;(SAP_Leadsheet!$E$21+12),$E312*AP193)</f>
        <v>4.2290174379685736E-3</v>
      </c>
      <c r="AQ312" s="302" cm="1">
        <f t="array" aca="1" ref="AQ312" ca="1">_xlfn.IFS(AQ$7&gt;(SAP_Leadsheet!$E$21+12),0,AQ$7=(SAP_Leadsheet!$E$21+12),SAP_Spreadsheet!AQ193,AQ$7&lt;(SAP_Leadsheet!$E$21+12),$E312*AQ193)</f>
        <v>4.3154178457158222E-3</v>
      </c>
      <c r="AR312" s="302" cm="1">
        <f t="array" aca="1" ref="AR312" ca="1">_xlfn.IFS(AR$7&gt;(SAP_Leadsheet!$E$21+12),0,AR$7=(SAP_Leadsheet!$E$21+12),SAP_Spreadsheet!AR193,AR$7&lt;(SAP_Leadsheet!$E$21+12),$E312*AR193)</f>
        <v>4.5808203400399374E-3</v>
      </c>
      <c r="AS312" s="302" cm="1">
        <f t="array" aca="1" ref="AS312" ca="1">_xlfn.IFS(AS$7&gt;(SAP_Leadsheet!$E$21+12),0,AS$7=(SAP_Leadsheet!$E$21+12),SAP_Spreadsheet!AS193,AS$7&lt;(SAP_Leadsheet!$E$21+12),$E312*AS193)</f>
        <v>4.7447540188680038E-3</v>
      </c>
      <c r="AT312" s="302" cm="1">
        <f t="array" aca="1" ref="AT312" ca="1">_xlfn.IFS(AT$7&gt;(SAP_Leadsheet!$E$21+12),0,AT$7=(SAP_Leadsheet!$E$21+12),SAP_Spreadsheet!AT193,AT$7&lt;(SAP_Leadsheet!$E$21+12),$E312*AT193)</f>
        <v>4.7680936450005783E-3</v>
      </c>
      <c r="AU312" s="302" cm="1">
        <f t="array" aca="1" ref="AU312" ca="1">_xlfn.IFS(AU$7&gt;(SAP_Leadsheet!$E$21+12),0,AU$7=(SAP_Leadsheet!$E$21+12),SAP_Spreadsheet!AU193,AU$7&lt;(SAP_Leadsheet!$E$21+12),$E312*AU193)</f>
        <v>4.6994549218687832E-3</v>
      </c>
      <c r="AV312" s="302" cm="1">
        <f t="array" aca="1" ref="AV312" ca="1">_xlfn.IFS(AV$7&gt;(SAP_Leadsheet!$E$21+12),0,AV$7=(SAP_Leadsheet!$E$21+12),SAP_Spreadsheet!AV193,AV$7&lt;(SAP_Leadsheet!$E$21+12),$E312*AV193)</f>
        <v>4.590158267327408E-3</v>
      </c>
      <c r="AW312" s="302" cm="1">
        <f t="array" aca="1" ref="AW312" ca="1">_xlfn.IFS(AW$7&gt;(SAP_Leadsheet!$E$21+12),0,AW$7=(SAP_Leadsheet!$E$21+12),SAP_Spreadsheet!AW193,AW$7&lt;(SAP_Leadsheet!$E$21+12),$E312*AW193)</f>
        <v>4.4695864309476641E-3</v>
      </c>
      <c r="AX312" s="302" cm="1">
        <f t="array" aca="1" ref="AX312" ca="1">_xlfn.IFS(AX$7&gt;(SAP_Leadsheet!$E$21+12),0,AX$7=(SAP_Leadsheet!$E$21+12),SAP_Spreadsheet!AX193,AX$7&lt;(SAP_Leadsheet!$E$21+12),$E312*AX193)</f>
        <v>4.4984532561739366E-3</v>
      </c>
      <c r="AY312" s="302" cm="1">
        <f t="array" aca="1" ref="AY312" ca="1">_xlfn.IFS(AY$7&gt;(SAP_Leadsheet!$E$21+12),0,AY$7=(SAP_Leadsheet!$E$21+12),SAP_Spreadsheet!AY193,AY$7&lt;(SAP_Leadsheet!$E$21+12),$E312*AY193)</f>
        <v>4.3573724449290285E-3</v>
      </c>
      <c r="AZ312" s="302" cm="1">
        <f t="array" aca="1" ref="AZ312" ca="1">_xlfn.IFS(AZ$7&gt;(SAP_Leadsheet!$E$21+12),0,AZ$7=(SAP_Leadsheet!$E$21+12),SAP_Spreadsheet!AZ193,AZ$7&lt;(SAP_Leadsheet!$E$21+12),$E312*AZ193)</f>
        <v>4.1791263122950327E-3</v>
      </c>
      <c r="BA312" s="302" cm="1">
        <f t="array" aca="1" ref="BA312" ca="1">_xlfn.IFS(BA$7&gt;(SAP_Leadsheet!$E$21+12),0,BA$7=(SAP_Leadsheet!$E$21+12),SAP_Spreadsheet!BA193,BA$7&lt;(SAP_Leadsheet!$E$21+12),$E312*BA193)</f>
        <v>3.8696561784075834E-3</v>
      </c>
      <c r="BB312" s="302" cm="1">
        <f t="array" aca="1" ref="BB312" ca="1">_xlfn.IFS(BB$7&gt;(SAP_Leadsheet!$E$21+12),0,BB$7=(SAP_Leadsheet!$E$21+12),SAP_Spreadsheet!BB193,BB$7&lt;(SAP_Leadsheet!$E$21+12),$E312*BB193)</f>
        <v>3.112224178854088E-3</v>
      </c>
      <c r="BC312" s="302" cm="1">
        <f t="array" aca="1" ref="BC312" ca="1">_xlfn.IFS(BC$7&gt;(SAP_Leadsheet!$E$21+12),0,BC$7=(SAP_Leadsheet!$E$21+12),SAP_Spreadsheet!BC193,BC$7&lt;(SAP_Leadsheet!$E$21+12),$E312*BC193)</f>
        <v>3.0433336782793468E-3</v>
      </c>
      <c r="BD312" s="302" cm="1">
        <f t="array" aca="1" ref="BD312" ca="1">_xlfn.IFS(BD$7&gt;(SAP_Leadsheet!$E$21+12),0,BD$7=(SAP_Leadsheet!$E$21+12),SAP_Spreadsheet!BD193,BD$7&lt;(SAP_Leadsheet!$E$21+12),$E312*BD193)</f>
        <v>2.9870343637796132E-3</v>
      </c>
      <c r="BE312" s="302" cm="1">
        <f t="array" aca="1" ref="BE312" ca="1">_xlfn.IFS(BE$7&gt;(SAP_Leadsheet!$E$21+12),0,BE$7=(SAP_Leadsheet!$E$21+12),SAP_Spreadsheet!BE193,BE$7&lt;(SAP_Leadsheet!$E$21+12),$E312*BE193)</f>
        <v>2.9368272883980836E-3</v>
      </c>
      <c r="BF312" s="302" cm="1">
        <f t="array" aca="1" ref="BF312" ca="1">_xlfn.IFS(BF$7&gt;(SAP_Leadsheet!$E$21+12),0,BF$7=(SAP_Leadsheet!$E$21+12),SAP_Spreadsheet!BF193,BF$7&lt;(SAP_Leadsheet!$E$21+12),$E312*BF193)</f>
        <v>2.8878445202944187E-3</v>
      </c>
      <c r="BG312" s="302" cm="1">
        <f t="array" aca="1" ref="BG312" ca="1">_xlfn.IFS(BG$7&gt;(SAP_Leadsheet!$E$21+12),0,BG$7=(SAP_Leadsheet!$E$21+12),SAP_Spreadsheet!BG193,BG$7&lt;(SAP_Leadsheet!$E$21+12),$E312*BG193)</f>
        <v>2.8382248441616081E-3</v>
      </c>
      <c r="BH312" s="302" cm="1">
        <f t="array" aca="1" ref="BH312" ca="1">_xlfn.IFS(BH$7&gt;(SAP_Leadsheet!$E$21+12),0,BH$7=(SAP_Leadsheet!$E$21+12),SAP_Spreadsheet!BH193,BH$7&lt;(SAP_Leadsheet!$E$21+12),$E312*BH193)</f>
        <v>2.7877011259505023E-3</v>
      </c>
      <c r="BI312" s="302" cm="1">
        <f t="array" aca="1" ref="BI312" ca="1">_xlfn.IFS(BI$7&gt;(SAP_Leadsheet!$E$21+12),0,BI$7=(SAP_Leadsheet!$E$21+12),SAP_Spreadsheet!BI193,BI$7&lt;(SAP_Leadsheet!$E$21+12),$E312*BI193)</f>
        <v>2.7358643991198155E-3</v>
      </c>
      <c r="BJ312" s="302" cm="1">
        <f t="array" aca="1" ref="BJ312" ca="1">_xlfn.IFS(BJ$7&gt;(SAP_Leadsheet!$E$21+12),0,BJ$7=(SAP_Leadsheet!$E$21+12),SAP_Spreadsheet!BJ193,BJ$7&lt;(SAP_Leadsheet!$E$21+12),$E312*BJ193)</f>
        <v>2.6820777792145849E-3</v>
      </c>
      <c r="BK312" s="302" cm="1">
        <f t="array" aca="1" ref="BK312" ca="1">_xlfn.IFS(BK$7&gt;(SAP_Leadsheet!$E$21+12),0,BK$7=(SAP_Leadsheet!$E$21+12),SAP_Spreadsheet!BK193,BK$7&lt;(SAP_Leadsheet!$E$21+12),$E312*BK193)</f>
        <v>2.6242594134722776E-3</v>
      </c>
      <c r="BL312" s="302" cm="1">
        <f t="array" aca="1" ref="BL312" ca="1">_xlfn.IFS(BL$7&gt;(SAP_Leadsheet!$E$21+12),0,BL$7=(SAP_Leadsheet!$E$21+12),SAP_Spreadsheet!BL193,BL$7&lt;(SAP_Leadsheet!$E$21+12),$E312*BL193)</f>
        <v>2.5604790566567254E-3</v>
      </c>
      <c r="BM312" s="302" cm="1">
        <f t="array" aca="1" ref="BM312" ca="1">_xlfn.IFS(BM$7&gt;(SAP_Leadsheet!$E$21+12),0,BM$7=(SAP_Leadsheet!$E$21+12),SAP_Spreadsheet!BM193,BM$7&lt;(SAP_Leadsheet!$E$21+12),$E312*BM193)</f>
        <v>2.4926652179654393E-3</v>
      </c>
      <c r="BN312" s="302" cm="1">
        <f t="array" aca="1" ref="BN312" ca="1">_xlfn.IFS(BN$7&gt;(SAP_Leadsheet!$E$21+12),0,BN$7=(SAP_Leadsheet!$E$21+12),SAP_Spreadsheet!BN193,BN$7&lt;(SAP_Leadsheet!$E$21+12),$E312*BN193)</f>
        <v>2.1322680276094378E-3</v>
      </c>
      <c r="BO312" s="302" cm="1">
        <f t="array" aca="1" ref="BO312" ca="1">_xlfn.IFS(BO$7&gt;(SAP_Leadsheet!$E$21+12),0,BO$7=(SAP_Leadsheet!$E$21+12),SAP_Spreadsheet!BO193,BO$7&lt;(SAP_Leadsheet!$E$21+12),$E312*BO193)</f>
        <v>2.0788243430086783E-3</v>
      </c>
      <c r="BP312" s="302" cm="1">
        <f t="array" aca="1" ref="BP312" ca="1">_xlfn.IFS(BP$7&gt;(SAP_Leadsheet!$E$21+12),0,BP$7=(SAP_Leadsheet!$E$21+12),SAP_Spreadsheet!BP193,BP$7&lt;(SAP_Leadsheet!$E$21+12),$E312*BP193)</f>
        <v>2.0255126789417246E-3</v>
      </c>
      <c r="BQ312" s="302" cm="1">
        <f t="array" aca="1" ref="BQ312" ca="1">_xlfn.IFS(BQ$7&gt;(SAP_Leadsheet!$E$21+12),0,BQ$7=(SAP_Leadsheet!$E$21+12),SAP_Spreadsheet!BQ193,BQ$7&lt;(SAP_Leadsheet!$E$21+12),$E312*BQ193)</f>
        <v>1.9726729318338453E-3</v>
      </c>
      <c r="BR312" s="302" cm="1">
        <f t="array" aca="1" ref="BR312" ca="1">_xlfn.IFS(BR$7&gt;(SAP_Leadsheet!$E$21+12),0,BR$7=(SAP_Leadsheet!$E$21+12),SAP_Spreadsheet!BR193,BR$7&lt;(SAP_Leadsheet!$E$21+12),$E312*BR193)</f>
        <v>1.9200824836608735E-3</v>
      </c>
      <c r="BS312" s="302" cm="1">
        <f t="array" aca="1" ref="BS312" ca="1">_xlfn.IFS(BS$7&gt;(SAP_Leadsheet!$E$21+12),0,BS$7=(SAP_Leadsheet!$E$21+12),SAP_Spreadsheet!BS193,BS$7&lt;(SAP_Leadsheet!$E$21+12),$E312*BS193)</f>
        <v>1.8676047984900986E-3</v>
      </c>
      <c r="BT312" s="302" cm="1">
        <f t="array" aca="1" ref="BT312" ca="1">_xlfn.IFS(BT$7&gt;(SAP_Leadsheet!$E$21+12),0,BT$7=(SAP_Leadsheet!$E$21+12),SAP_Spreadsheet!BT193,BT$7&lt;(SAP_Leadsheet!$E$21+12),$E312*BT193)</f>
        <v>1.8150748873380243E-3</v>
      </c>
      <c r="BU312" s="302" cm="1">
        <f t="array" aca="1" ref="BU312" ca="1">_xlfn.IFS(BU$7&gt;(SAP_Leadsheet!$E$21+12),0,BU$7=(SAP_Leadsheet!$E$21+12),SAP_Spreadsheet!BU193,BU$7&lt;(SAP_Leadsheet!$E$21+12),$E312*BU193)</f>
        <v>1.7624127482070465E-3</v>
      </c>
      <c r="BV312" s="302" cm="1">
        <f t="array" aca="1" ref="BV312" ca="1">_xlfn.IFS(BV$7&gt;(SAP_Leadsheet!$E$21+12),0,BV$7=(SAP_Leadsheet!$E$21+12),SAP_Spreadsheet!BV193,BV$7&lt;(SAP_Leadsheet!$E$21+12),$E312*BV193)</f>
        <v>1.7096059688769805E-3</v>
      </c>
      <c r="BW312" s="302" cm="1">
        <f t="array" aca="1" ref="BW312" ca="1">_xlfn.IFS(BW$7&gt;(SAP_Leadsheet!$E$21+12),0,BW$7=(SAP_Leadsheet!$E$21+12),SAP_Spreadsheet!BW193,BW$7&lt;(SAP_Leadsheet!$E$21+12),$E312*BW193)</f>
        <v>1.6560330818585337E-3</v>
      </c>
      <c r="BX312" s="302" cm="1">
        <f t="array" aca="1" ref="BX312" ca="1">_xlfn.IFS(BX$7&gt;(SAP_Leadsheet!$E$21+12),0,BX$7=(SAP_Leadsheet!$E$21+12),SAP_Spreadsheet!BX193,BX$7&lt;(SAP_Leadsheet!$E$21+12),$E312*BX193)</f>
        <v>1.6006825833287529E-3</v>
      </c>
      <c r="BY312" s="302" cm="1">
        <f t="array" aca="1" ref="BY312" ca="1">_xlfn.IFS(BY$7&gt;(SAP_Leadsheet!$E$21+12),0,BY$7=(SAP_Leadsheet!$E$21+12),SAP_Spreadsheet!BY193,BY$7&lt;(SAP_Leadsheet!$E$21+12),$E312*BY193)</f>
        <v>1.5440289990920897E-3</v>
      </c>
      <c r="BZ312" s="302" cm="1">
        <f t="array" aca="1" ref="BZ312" ca="1">_xlfn.IFS(BZ$7&gt;(SAP_Leadsheet!$E$21+12),0,BZ$7=(SAP_Leadsheet!$E$21+12),SAP_Spreadsheet!BZ193,BZ$7&lt;(SAP_Leadsheet!$E$21+12),$E312*BZ193)</f>
        <v>2.9295367519234328E-3</v>
      </c>
      <c r="CA312" s="263"/>
      <c r="CB312" s="263"/>
      <c r="CC312" s="263"/>
      <c r="CD312" s="263"/>
      <c r="CE312" s="263"/>
      <c r="CF312" s="263"/>
      <c r="CG312" s="263"/>
      <c r="CH312" s="263"/>
      <c r="CI312" s="263"/>
      <c r="CJ312" s="263"/>
      <c r="CK312" s="263"/>
      <c r="CL312" s="263"/>
      <c r="CM312" s="263"/>
      <c r="CN312" s="263"/>
      <c r="CO312" s="263"/>
      <c r="CP312" s="263"/>
      <c r="CQ312" s="263"/>
      <c r="CR312" s="263"/>
      <c r="CS312" s="263"/>
      <c r="CT312" s="263"/>
      <c r="CU312" s="263"/>
      <c r="CV312" s="263"/>
      <c r="CW312" s="263"/>
      <c r="CX312" s="263"/>
      <c r="CY312" s="263"/>
      <c r="CZ312" s="263"/>
      <c r="DA312" s="263"/>
      <c r="DB312" s="263"/>
      <c r="DC312" s="263"/>
      <c r="DD312" s="263"/>
      <c r="DE312" s="263"/>
      <c r="DF312" s="263"/>
      <c r="DG312" s="263"/>
      <c r="DH312" s="263"/>
      <c r="DI312" s="263"/>
      <c r="DJ312" s="263"/>
      <c r="DK312" s="263"/>
      <c r="DL312" s="263"/>
      <c r="DM312" s="263"/>
      <c r="DN312" s="263"/>
      <c r="DO312" s="263"/>
      <c r="DP312" s="263"/>
      <c r="DQ312" s="263"/>
      <c r="DR312" s="263"/>
      <c r="DS312" s="263"/>
      <c r="DT312" s="263"/>
      <c r="DU312" s="263"/>
      <c r="DV312" s="263"/>
      <c r="DW312" s="263"/>
      <c r="DX312" s="263"/>
      <c r="DY312" s="263"/>
      <c r="DZ312" s="263"/>
      <c r="EA312" s="263"/>
      <c r="EB312" s="263"/>
      <c r="EC312" s="263"/>
      <c r="ED312" s="263"/>
      <c r="EE312" s="263"/>
      <c r="EF312" s="263"/>
      <c r="EG312" s="263"/>
      <c r="EH312" s="263"/>
      <c r="EI312" s="263"/>
      <c r="EJ312" s="263"/>
      <c r="EK312" s="263"/>
      <c r="EL312" s="263"/>
      <c r="EM312" s="263"/>
      <c r="EN312" s="263"/>
      <c r="EO312" s="263"/>
      <c r="EP312" s="263"/>
      <c r="EQ312" s="263"/>
      <c r="ER312" s="263"/>
      <c r="ES312" s="263"/>
      <c r="ET312" s="263"/>
      <c r="EU312" s="263"/>
      <c r="EV312" s="263"/>
      <c r="EW312" s="263"/>
      <c r="EX312" s="263"/>
      <c r="EY312" s="263"/>
      <c r="EZ312" s="263"/>
      <c r="FA312" s="263"/>
      <c r="FB312" s="263"/>
      <c r="FC312" s="263"/>
      <c r="FD312" s="263"/>
      <c r="FE312" s="263"/>
      <c r="FF312" s="263"/>
      <c r="FG312" s="263"/>
      <c r="FH312" s="263"/>
      <c r="FI312" s="263"/>
      <c r="FJ312" s="263"/>
      <c r="FK312" s="263"/>
      <c r="FL312" s="263"/>
      <c r="FM312" s="263"/>
      <c r="FN312" s="263"/>
      <c r="FO312" s="263"/>
      <c r="FP312" s="263"/>
      <c r="FQ312" s="263"/>
      <c r="FR312" s="263"/>
      <c r="FS312" s="263"/>
      <c r="FT312" s="263"/>
      <c r="FU312" s="263"/>
      <c r="FV312" s="263"/>
      <c r="FW312" s="263"/>
      <c r="FX312" s="263"/>
      <c r="FY312" s="263"/>
      <c r="FZ312" s="263"/>
      <c r="GA312" s="263"/>
      <c r="GB312" s="263"/>
      <c r="GC312" s="263"/>
      <c r="GD312" s="263"/>
      <c r="GE312" s="263"/>
      <c r="GF312" s="263"/>
      <c r="GG312" s="263"/>
      <c r="GH312" s="263"/>
      <c r="GI312" s="263"/>
      <c r="GJ312" s="263"/>
      <c r="GK312" s="263"/>
      <c r="GL312" s="263"/>
      <c r="GM312" s="263"/>
      <c r="GN312" s="263"/>
      <c r="GO312" s="263"/>
      <c r="GP312" s="263"/>
      <c r="GQ312" s="263"/>
      <c r="GR312" s="263"/>
      <c r="GS312" s="263"/>
      <c r="GT312" s="263"/>
      <c r="GU312" s="263"/>
      <c r="GV312" s="263"/>
      <c r="GW312" s="263"/>
      <c r="GX312" s="263"/>
      <c r="GY312" s="263"/>
    </row>
    <row r="313" spans="1:207" x14ac:dyDescent="0.15">
      <c r="A313" s="62"/>
      <c r="D313" s="26" t="s">
        <v>373</v>
      </c>
      <c r="E313" s="75">
        <v>1</v>
      </c>
      <c r="F313" s="80"/>
      <c r="G313" s="302" cm="1">
        <f t="array" ref="G313">_xlfn.IFS(G$7&gt;(SAP_Leadsheet!$E$21+12),0,G$7=(SAP_Leadsheet!$E$21+12),SAP_Spreadsheet!G194,G$7&lt;(SAP_Leadsheet!$E$21+12),$E313*G194)</f>
        <v>0</v>
      </c>
      <c r="H313" s="302" cm="1">
        <f t="array" aca="1" ref="H313" ca="1">_xlfn.IFS(H$7&gt;(SAP_Leadsheet!$E$21+12),0,H$7=(SAP_Leadsheet!$E$21+12),SAP_Spreadsheet!H194,H$7&lt;(SAP_Leadsheet!$E$21+12),$E313*H194)</f>
        <v>0</v>
      </c>
      <c r="I313" s="302" cm="1">
        <f t="array" aca="1" ref="I313" ca="1">_xlfn.IFS(I$7&gt;(SAP_Leadsheet!$E$21+12),0,I$7=(SAP_Leadsheet!$E$21+12),SAP_Spreadsheet!I194,I$7&lt;(SAP_Leadsheet!$E$21+12),$E313*I194)</f>
        <v>0</v>
      </c>
      <c r="J313" s="302" cm="1">
        <f t="array" aca="1" ref="J313" ca="1">_xlfn.IFS(J$7&gt;(SAP_Leadsheet!$E$21+12),0,J$7=(SAP_Leadsheet!$E$21+12),SAP_Spreadsheet!J194,J$7&lt;(SAP_Leadsheet!$E$21+12),$E313*J194)</f>
        <v>0</v>
      </c>
      <c r="K313" s="302" cm="1">
        <f t="array" aca="1" ref="K313" ca="1">_xlfn.IFS(K$7&gt;(SAP_Leadsheet!$E$21+12),0,K$7=(SAP_Leadsheet!$E$21+12),SAP_Spreadsheet!K194,K$7&lt;(SAP_Leadsheet!$E$21+12),$E313*K194)</f>
        <v>0</v>
      </c>
      <c r="L313" s="302" cm="1">
        <f t="array" aca="1" ref="L313" ca="1">_xlfn.IFS(L$7&gt;(SAP_Leadsheet!$E$21+12),0,L$7=(SAP_Leadsheet!$E$21+12),SAP_Spreadsheet!L194,L$7&lt;(SAP_Leadsheet!$E$21+12),$E313*L194)</f>
        <v>0</v>
      </c>
      <c r="M313" s="302" cm="1">
        <f t="array" aca="1" ref="M313" ca="1">_xlfn.IFS(M$7&gt;(SAP_Leadsheet!$E$21+12),0,M$7=(SAP_Leadsheet!$E$21+12),SAP_Spreadsheet!M194,M$7&lt;(SAP_Leadsheet!$E$21+12),$E313*M194)</f>
        <v>0</v>
      </c>
      <c r="N313" s="302" cm="1">
        <f t="array" aca="1" ref="N313" ca="1">_xlfn.IFS(N$7&gt;(SAP_Leadsheet!$E$21+12),0,N$7=(SAP_Leadsheet!$E$21+12),SAP_Spreadsheet!N194,N$7&lt;(SAP_Leadsheet!$E$21+12),$E313*N194)</f>
        <v>0</v>
      </c>
      <c r="O313" s="302" cm="1">
        <f t="array" aca="1" ref="O313" ca="1">_xlfn.IFS(O$7&gt;(SAP_Leadsheet!$E$21+12),0,O$7=(SAP_Leadsheet!$E$21+12),SAP_Spreadsheet!O194,O$7&lt;(SAP_Leadsheet!$E$21+12),$E313*O194)</f>
        <v>0</v>
      </c>
      <c r="P313" s="302" cm="1">
        <f t="array" aca="1" ref="P313" ca="1">_xlfn.IFS(P$7&gt;(SAP_Leadsheet!$E$21+12),0,P$7=(SAP_Leadsheet!$E$21+12),SAP_Spreadsheet!P194,P$7&lt;(SAP_Leadsheet!$E$21+12),$E313*P194)</f>
        <v>0</v>
      </c>
      <c r="Q313" s="302" cm="1">
        <f t="array" aca="1" ref="Q313" ca="1">_xlfn.IFS(Q$7&gt;(SAP_Leadsheet!$E$21+12),0,Q$7=(SAP_Leadsheet!$E$21+12),SAP_Spreadsheet!Q194,Q$7&lt;(SAP_Leadsheet!$E$21+12),$E313*Q194)</f>
        <v>0</v>
      </c>
      <c r="R313" s="302" cm="1">
        <f t="array" aca="1" ref="R313" ca="1">_xlfn.IFS(R$7&gt;(SAP_Leadsheet!$E$21+12),0,R$7=(SAP_Leadsheet!$E$21+12),SAP_Spreadsheet!R194,R$7&lt;(SAP_Leadsheet!$E$21+12),$E313*R194)</f>
        <v>0</v>
      </c>
      <c r="S313" s="302" cm="1">
        <f t="array" aca="1" ref="S313" ca="1">_xlfn.IFS(S$7&gt;(SAP_Leadsheet!$E$21+12),0,S$7=(SAP_Leadsheet!$E$21+12),SAP_Spreadsheet!S194,S$7&lt;(SAP_Leadsheet!$E$21+12),$E313*S194)</f>
        <v>0</v>
      </c>
      <c r="T313" s="302" cm="1">
        <f t="array" aca="1" ref="T313" ca="1">_xlfn.IFS(T$7&gt;(SAP_Leadsheet!$E$21+12),0,T$7=(SAP_Leadsheet!$E$21+12),SAP_Spreadsheet!T194,T$7&lt;(SAP_Leadsheet!$E$21+12),$E313*T194)</f>
        <v>2.4311080044447108E-2</v>
      </c>
      <c r="U313" s="302" cm="1">
        <f t="array" aca="1" ref="U313" ca="1">_xlfn.IFS(U$7&gt;(SAP_Leadsheet!$E$21+12),0,U$7=(SAP_Leadsheet!$E$21+12),SAP_Spreadsheet!U194,U$7&lt;(SAP_Leadsheet!$E$21+12),$E313*U194)</f>
        <v>4.2854189764466775E-2</v>
      </c>
      <c r="V313" s="302" cm="1">
        <f t="array" aca="1" ref="V313" ca="1">_xlfn.IFS(V$7&gt;(SAP_Leadsheet!$E$21+12),0,V$7=(SAP_Leadsheet!$E$21+12),SAP_Spreadsheet!V194,V$7&lt;(SAP_Leadsheet!$E$21+12),$E313*V194)</f>
        <v>5.0409684538960997E-2</v>
      </c>
      <c r="W313" s="302" cm="1">
        <f t="array" aca="1" ref="W313" ca="1">_xlfn.IFS(W$7&gt;(SAP_Leadsheet!$E$21+12),0,W$7=(SAP_Leadsheet!$E$21+12),SAP_Spreadsheet!W194,W$7&lt;(SAP_Leadsheet!$E$21+12),$E313*W194)</f>
        <v>5.0145547592013104E-2</v>
      </c>
      <c r="X313" s="302" cm="1">
        <f t="array" aca="1" ref="X313" ca="1">_xlfn.IFS(X$7&gt;(SAP_Leadsheet!$E$21+12),0,X$7=(SAP_Leadsheet!$E$21+12),SAP_Spreadsheet!X194,X$7&lt;(SAP_Leadsheet!$E$21+12),$E313*X194)</f>
        <v>4.6109849549855225E-2</v>
      </c>
      <c r="Y313" s="302" cm="1">
        <f t="array" aca="1" ref="Y313" ca="1">_xlfn.IFS(Y$7&gt;(SAP_Leadsheet!$E$21+12),0,Y$7=(SAP_Leadsheet!$E$21+12),SAP_Spreadsheet!Y194,Y$7&lt;(SAP_Leadsheet!$E$21+12),$E313*Y194)</f>
        <v>4.06945807410109E-2</v>
      </c>
      <c r="Z313" s="302" cm="1">
        <f t="array" aca="1" ref="Z313" ca="1">_xlfn.IFS(Z$7&gt;(SAP_Leadsheet!$E$21+12),0,Z$7=(SAP_Leadsheet!$E$21+12),SAP_Spreadsheet!Z194,Z$7&lt;(SAP_Leadsheet!$E$21+12),$E313*Z194)</f>
        <v>3.4420877065781695E-2</v>
      </c>
      <c r="AA313" s="302" cm="1">
        <f t="array" aca="1" ref="AA313" ca="1">_xlfn.IFS(AA$7&gt;(SAP_Leadsheet!$E$21+12),0,AA$7=(SAP_Leadsheet!$E$21+12),SAP_Spreadsheet!AA194,AA$7&lt;(SAP_Leadsheet!$E$21+12),$E313*AA194)</f>
        <v>2.9576269966928918E-2</v>
      </c>
      <c r="AB313" s="302" cm="1">
        <f t="array" aca="1" ref="AB313" ca="1">_xlfn.IFS(AB$7&gt;(SAP_Leadsheet!$E$21+12),0,AB$7=(SAP_Leadsheet!$E$21+12),SAP_Spreadsheet!AB194,AB$7&lt;(SAP_Leadsheet!$E$21+12),$E313*AB194)</f>
        <v>2.5402967644451022E-2</v>
      </c>
      <c r="AC313" s="302" cm="1">
        <f t="array" aca="1" ref="AC313" ca="1">_xlfn.IFS(AC$7&gt;(SAP_Leadsheet!$E$21+12),0,AC$7=(SAP_Leadsheet!$E$21+12),SAP_Spreadsheet!AC194,AC$7&lt;(SAP_Leadsheet!$E$21+12),$E313*AC194)</f>
        <v>2.1631469521173605E-2</v>
      </c>
      <c r="AD313" s="302" cm="1">
        <f t="array" aca="1" ref="AD313" ca="1">_xlfn.IFS(AD$7&gt;(SAP_Leadsheet!$E$21+12),0,AD$7=(SAP_Leadsheet!$E$21+12),SAP_Spreadsheet!AD194,AD$7&lt;(SAP_Leadsheet!$E$21+12),$E313*AD194)</f>
        <v>1.8482536860721828E-2</v>
      </c>
      <c r="AE313" s="302" cm="1">
        <f t="array" aca="1" ref="AE313" ca="1">_xlfn.IFS(AE$7&gt;(SAP_Leadsheet!$E$21+12),0,AE$7=(SAP_Leadsheet!$E$21+12),SAP_Spreadsheet!AE194,AE$7&lt;(SAP_Leadsheet!$E$21+12),$E313*AE194)</f>
        <v>9.2824174646438558E-3</v>
      </c>
      <c r="AF313" s="302" cm="1">
        <f t="array" aca="1" ref="AF313" ca="1">_xlfn.IFS(AF$7&gt;(SAP_Leadsheet!$E$21+12),0,AF$7=(SAP_Leadsheet!$E$21+12),SAP_Spreadsheet!AF194,AF$7&lt;(SAP_Leadsheet!$E$21+12),$E313*AF194)</f>
        <v>9.5290500416414618E-3</v>
      </c>
      <c r="AG313" s="302" cm="1">
        <f t="array" aca="1" ref="AG313" ca="1">_xlfn.IFS(AG$7&gt;(SAP_Leadsheet!$E$21+12),0,AG$7=(SAP_Leadsheet!$E$21+12),SAP_Spreadsheet!AG194,AG$7&lt;(SAP_Leadsheet!$E$21+12),$E313*AG194)</f>
        <v>1.0965717377576583E-2</v>
      </c>
      <c r="AH313" s="302" cm="1">
        <f t="array" aca="1" ref="AH313" ca="1">_xlfn.IFS(AH$7&gt;(SAP_Leadsheet!$E$21+12),0,AH$7=(SAP_Leadsheet!$E$21+12),SAP_Spreadsheet!AH194,AH$7&lt;(SAP_Leadsheet!$E$21+12),$E313*AH194)</f>
        <v>1.1308202951319981E-2</v>
      </c>
      <c r="AI313" s="302" cm="1">
        <f t="array" aca="1" ref="AI313" ca="1">_xlfn.IFS(AI$7&gt;(SAP_Leadsheet!$E$21+12),0,AI$7=(SAP_Leadsheet!$E$21+12),SAP_Spreadsheet!AI194,AI$7&lt;(SAP_Leadsheet!$E$21+12),$E313*AI194)</f>
        <v>1.0767064780283341E-2</v>
      </c>
      <c r="AJ313" s="302" cm="1">
        <f t="array" aca="1" ref="AJ313" ca="1">_xlfn.IFS(AJ$7&gt;(SAP_Leadsheet!$E$21+12),0,AJ$7=(SAP_Leadsheet!$E$21+12),SAP_Spreadsheet!AJ194,AJ$7&lt;(SAP_Leadsheet!$E$21+12),$E313*AJ194)</f>
        <v>1.0903623003937612E-2</v>
      </c>
      <c r="AK313" s="302" cm="1">
        <f t="array" aca="1" ref="AK313" ca="1">_xlfn.IFS(AK$7&gt;(SAP_Leadsheet!$E$21+12),0,AK$7=(SAP_Leadsheet!$E$21+12),SAP_Spreadsheet!AK194,AK$7&lt;(SAP_Leadsheet!$E$21+12),$E313*AK194)</f>
        <v>1.121341386829695E-2</v>
      </c>
      <c r="AL313" s="302" cm="1">
        <f t="array" aca="1" ref="AL313" ca="1">_xlfn.IFS(AL$7&gt;(SAP_Leadsheet!$E$21+12),0,AL$7=(SAP_Leadsheet!$E$21+12),SAP_Spreadsheet!AL194,AL$7&lt;(SAP_Leadsheet!$E$21+12),$E313*AL194)</f>
        <v>1.1435272968155037E-2</v>
      </c>
      <c r="AM313" s="302" cm="1">
        <f t="array" aca="1" ref="AM313" ca="1">_xlfn.IFS(AM$7&gt;(SAP_Leadsheet!$E$21+12),0,AM$7=(SAP_Leadsheet!$E$21+12),SAP_Spreadsheet!AM194,AM$7&lt;(SAP_Leadsheet!$E$21+12),$E313*AM194)</f>
        <v>1.1564055462820312E-2</v>
      </c>
      <c r="AN313" s="302" cm="1">
        <f t="array" aca="1" ref="AN313" ca="1">_xlfn.IFS(AN$7&gt;(SAP_Leadsheet!$E$21+12),0,AN$7=(SAP_Leadsheet!$E$21+12),SAP_Spreadsheet!AN194,AN$7&lt;(SAP_Leadsheet!$E$21+12),$E313*AN194)</f>
        <v>1.1162317329544194E-2</v>
      </c>
      <c r="AO313" s="302" cm="1">
        <f t="array" aca="1" ref="AO313" ca="1">_xlfn.IFS(AO$7&gt;(SAP_Leadsheet!$E$21+12),0,AO$7=(SAP_Leadsheet!$E$21+12),SAP_Spreadsheet!AO194,AO$7&lt;(SAP_Leadsheet!$E$21+12),$E313*AO194)</f>
        <v>1.046595221648264E-2</v>
      </c>
      <c r="AP313" s="302" cm="1">
        <f t="array" aca="1" ref="AP313" ca="1">_xlfn.IFS(AP$7&gt;(SAP_Leadsheet!$E$21+12),0,AP$7=(SAP_Leadsheet!$E$21+12),SAP_Spreadsheet!AP194,AP$7&lt;(SAP_Leadsheet!$E$21+12),$E313*AP194)</f>
        <v>1.0185514993488017E-2</v>
      </c>
      <c r="AQ313" s="302" cm="1">
        <f t="array" aca="1" ref="AQ313" ca="1">_xlfn.IFS(AQ$7&gt;(SAP_Leadsheet!$E$21+12),0,AQ$7=(SAP_Leadsheet!$E$21+12),SAP_Spreadsheet!AQ194,AQ$7&lt;(SAP_Leadsheet!$E$21+12),$E313*AQ194)</f>
        <v>8.3330392866375839E-3</v>
      </c>
      <c r="AR313" s="302" cm="1">
        <f t="array" aca="1" ref="AR313" ca="1">_xlfn.IFS(AR$7&gt;(SAP_Leadsheet!$E$21+12),0,AR$7=(SAP_Leadsheet!$E$21+12),SAP_Spreadsheet!AR194,AR$7&lt;(SAP_Leadsheet!$E$21+12),$E313*AR194)</f>
        <v>8.5032863954991583E-3</v>
      </c>
      <c r="AS313" s="302" cm="1">
        <f t="array" aca="1" ref="AS313" ca="1">_xlfn.IFS(AS$7&gt;(SAP_Leadsheet!$E$21+12),0,AS$7=(SAP_Leadsheet!$E$21+12),SAP_Spreadsheet!AS194,AS$7&lt;(SAP_Leadsheet!$E$21+12),$E313*AS194)</f>
        <v>9.0262469754481527E-3</v>
      </c>
      <c r="AT313" s="302" cm="1">
        <f t="array" aca="1" ref="AT313" ca="1">_xlfn.IFS(AT$7&gt;(SAP_Leadsheet!$E$21+12),0,AT$7=(SAP_Leadsheet!$E$21+12),SAP_Spreadsheet!AT194,AT$7&lt;(SAP_Leadsheet!$E$21+12),$E313*AT194)</f>
        <v>9.349269002695575E-3</v>
      </c>
      <c r="AU313" s="302" cm="1">
        <f t="array" aca="1" ref="AU313" ca="1">_xlfn.IFS(AU$7&gt;(SAP_Leadsheet!$E$21+12),0,AU$7=(SAP_Leadsheet!$E$21+12),SAP_Spreadsheet!AU194,AU$7&lt;(SAP_Leadsheet!$E$21+12),$E313*AU194)</f>
        <v>9.3952584137942437E-3</v>
      </c>
      <c r="AV313" s="302" cm="1">
        <f t="array" aca="1" ref="AV313" ca="1">_xlfn.IFS(AV$7&gt;(SAP_Leadsheet!$E$21+12),0,AV$7=(SAP_Leadsheet!$E$21+12),SAP_Spreadsheet!AV194,AV$7&lt;(SAP_Leadsheet!$E$21+12),$E313*AV194)</f>
        <v>9.2600096982636132E-3</v>
      </c>
      <c r="AW313" s="302" cm="1">
        <f t="array" aca="1" ref="AW313" ca="1">_xlfn.IFS(AW$7&gt;(SAP_Leadsheet!$E$21+12),0,AW$7=(SAP_Leadsheet!$E$21+12),SAP_Spreadsheet!AW194,AW$7&lt;(SAP_Leadsheet!$E$21+12),$E313*AW194)</f>
        <v>9.0446468321722338E-3</v>
      </c>
      <c r="AX313" s="302" cm="1">
        <f t="array" aca="1" ref="AX313" ca="1">_xlfn.IFS(AX$7&gt;(SAP_Leadsheet!$E$21+12),0,AX$7=(SAP_Leadsheet!$E$21+12),SAP_Spreadsheet!AX194,AX$7&lt;(SAP_Leadsheet!$E$21+12),$E313*AX194)</f>
        <v>8.807066859010176E-3</v>
      </c>
      <c r="AY313" s="302" cm="1">
        <f t="array" aca="1" ref="AY313" ca="1">_xlfn.IFS(AY$7&gt;(SAP_Leadsheet!$E$21+12),0,AY$7=(SAP_Leadsheet!$E$21+12),SAP_Spreadsheet!AY194,AY$7&lt;(SAP_Leadsheet!$E$21+12),$E313*AY194)</f>
        <v>8.8639473028057879E-3</v>
      </c>
      <c r="AZ313" s="302" cm="1">
        <f t="array" aca="1" ref="AZ313" ca="1">_xlfn.IFS(AZ$7&gt;(SAP_Leadsheet!$E$21+12),0,AZ$7=(SAP_Leadsheet!$E$21+12),SAP_Spreadsheet!AZ194,AZ$7&lt;(SAP_Leadsheet!$E$21+12),$E313*AZ194)</f>
        <v>8.5859555565104013E-3</v>
      </c>
      <c r="BA313" s="302" cm="1">
        <f t="array" aca="1" ref="BA313" ca="1">_xlfn.IFS(BA$7&gt;(SAP_Leadsheet!$E$21+12),0,BA$7=(SAP_Leadsheet!$E$21+12),SAP_Spreadsheet!BA194,BA$7&lt;(SAP_Leadsheet!$E$21+12),$E313*BA194)</f>
        <v>8.2347316498424302E-3</v>
      </c>
      <c r="BB313" s="302" cm="1">
        <f t="array" aca="1" ref="BB313" ca="1">_xlfn.IFS(BB$7&gt;(SAP_Leadsheet!$E$21+12),0,BB$7=(SAP_Leadsheet!$E$21+12),SAP_Spreadsheet!BB194,BB$7&lt;(SAP_Leadsheet!$E$21+12),$E313*BB194)</f>
        <v>7.6249382825765199E-3</v>
      </c>
      <c r="BC313" s="302" cm="1">
        <f t="array" aca="1" ref="BC313" ca="1">_xlfn.IFS(BC$7&gt;(SAP_Leadsheet!$E$21+12),0,BC$7=(SAP_Leadsheet!$E$21+12),SAP_Spreadsheet!BC194,BC$7&lt;(SAP_Leadsheet!$E$21+12),$E313*BC194)</f>
        <v>6.1324614361656909E-3</v>
      </c>
      <c r="BD313" s="302" cm="1">
        <f t="array" aca="1" ref="BD313" ca="1">_xlfn.IFS(BD$7&gt;(SAP_Leadsheet!$E$21+12),0,BD$7=(SAP_Leadsheet!$E$21+12),SAP_Spreadsheet!BD194,BD$7&lt;(SAP_Leadsheet!$E$21+12),$E313*BD194)</f>
        <v>5.9967166074469894E-3</v>
      </c>
      <c r="BE313" s="302" cm="1">
        <f t="array" aca="1" ref="BE313" ca="1">_xlfn.IFS(BE$7&gt;(SAP_Leadsheet!$E$21+12),0,BE$7=(SAP_Leadsheet!$E$21+12),SAP_Spreadsheet!BE194,BE$7&lt;(SAP_Leadsheet!$E$21+12),$E313*BE194)</f>
        <v>5.8857819975952977E-3</v>
      </c>
      <c r="BF313" s="302" cm="1">
        <f t="array" aca="1" ref="BF313" ca="1">_xlfn.IFS(BF$7&gt;(SAP_Leadsheet!$E$21+12),0,BF$7=(SAP_Leadsheet!$E$21+12),SAP_Spreadsheet!BF194,BF$7&lt;(SAP_Leadsheet!$E$21+12),$E313*BF194)</f>
        <v>5.78685179979918E-3</v>
      </c>
      <c r="BG313" s="302" cm="1">
        <f t="array" aca="1" ref="BG313" ca="1">_xlfn.IFS(BG$7&gt;(SAP_Leadsheet!$E$21+12),0,BG$7=(SAP_Leadsheet!$E$21+12),SAP_Spreadsheet!BG194,BG$7&lt;(SAP_Leadsheet!$E$21+12),$E313*BG194)</f>
        <v>5.6903340301367863E-3</v>
      </c>
      <c r="BH313" s="302" cm="1">
        <f t="array" aca="1" ref="BH313" ca="1">_xlfn.IFS(BH$7&gt;(SAP_Leadsheet!$E$21+12),0,BH$7=(SAP_Leadsheet!$E$21+12),SAP_Spreadsheet!BH194,BH$7&lt;(SAP_Leadsheet!$E$21+12),$E313*BH194)</f>
        <v>5.5925612692839573E-3</v>
      </c>
      <c r="BI313" s="302" cm="1">
        <f t="array" aca="1" ref="BI313" ca="1">_xlfn.IFS(BI$7&gt;(SAP_Leadsheet!$E$21+12),0,BI$7=(SAP_Leadsheet!$E$21+12),SAP_Spreadsheet!BI194,BI$7&lt;(SAP_Leadsheet!$E$21+12),$E313*BI194)</f>
        <v>5.4930071447300546E-3</v>
      </c>
      <c r="BJ313" s="302" cm="1">
        <f t="array" aca="1" ref="BJ313" ca="1">_xlfn.IFS(BJ$7&gt;(SAP_Leadsheet!$E$21+12),0,BJ$7=(SAP_Leadsheet!$E$21+12),SAP_Spreadsheet!BJ194,BJ$7&lt;(SAP_Leadsheet!$E$21+12),$E313*BJ194)</f>
        <v>5.3908658110735285E-3</v>
      </c>
      <c r="BK313" s="302" cm="1">
        <f t="array" aca="1" ref="BK313" ca="1">_xlfn.IFS(BK$7&gt;(SAP_Leadsheet!$E$21+12),0,BK$7=(SAP_Leadsheet!$E$21+12),SAP_Spreadsheet!BK194,BK$7&lt;(SAP_Leadsheet!$E$21+12),$E313*BK194)</f>
        <v>5.2848823235755373E-3</v>
      </c>
      <c r="BL313" s="302" cm="1">
        <f t="array" aca="1" ref="BL313" ca="1">_xlfn.IFS(BL$7&gt;(SAP_Leadsheet!$E$21+12),0,BL$7=(SAP_Leadsheet!$E$21+12),SAP_Spreadsheet!BL194,BL$7&lt;(SAP_Leadsheet!$E$21+12),$E313*BL194)</f>
        <v>5.1709545093049812E-3</v>
      </c>
      <c r="BM313" s="302" cm="1">
        <f t="array" aca="1" ref="BM313" ca="1">_xlfn.IFS(BM$7&gt;(SAP_Leadsheet!$E$21+12),0,BM$7=(SAP_Leadsheet!$E$21+12),SAP_Spreadsheet!BM194,BM$7&lt;(SAP_Leadsheet!$E$21+12),$E313*BM194)</f>
        <v>5.0452789293728584E-3</v>
      </c>
      <c r="BN313" s="302" cm="1">
        <f t="array" aca="1" ref="BN313" ca="1">_xlfn.IFS(BN$7&gt;(SAP_Leadsheet!$E$21+12),0,BN$7=(SAP_Leadsheet!$E$21+12),SAP_Spreadsheet!BN194,BN$7&lt;(SAP_Leadsheet!$E$21+12),$E313*BN194)</f>
        <v>4.911655601902344E-3</v>
      </c>
      <c r="BO313" s="302" cm="1">
        <f t="array" aca="1" ref="BO313" ca="1">_xlfn.IFS(BO$7&gt;(SAP_Leadsheet!$E$21+12),0,BO$7=(SAP_Leadsheet!$E$21+12),SAP_Spreadsheet!BO194,BO$7&lt;(SAP_Leadsheet!$E$21+12),$E313*BO194)</f>
        <v>4.2015133548954442E-3</v>
      </c>
      <c r="BP313" s="302" cm="1">
        <f t="array" aca="1" ref="BP313" ca="1">_xlfn.IFS(BP$7&gt;(SAP_Leadsheet!$E$21+12),0,BP$7=(SAP_Leadsheet!$E$21+12),SAP_Spreadsheet!BP194,BP$7&lt;(SAP_Leadsheet!$E$21+12),$E313*BP194)</f>
        <v>4.0962056019875435E-3</v>
      </c>
      <c r="BQ313" s="302" cm="1">
        <f t="array" aca="1" ref="BQ313" ca="1">_xlfn.IFS(BQ$7&gt;(SAP_Leadsheet!$E$21+12),0,BQ$7=(SAP_Leadsheet!$E$21+12),SAP_Spreadsheet!BQ194,BQ$7&lt;(SAP_Leadsheet!$E$21+12),$E313*BQ194)</f>
        <v>3.9911579880625115E-3</v>
      </c>
      <c r="BR313" s="302" cm="1">
        <f t="array" aca="1" ref="BR313" ca="1">_xlfn.IFS(BR$7&gt;(SAP_Leadsheet!$E$21+12),0,BR$7=(SAP_Leadsheet!$E$21+12),SAP_Spreadsheet!BR194,BR$7&lt;(SAP_Leadsheet!$E$21+12),$E313*BR194)</f>
        <v>3.8870402597711243E-3</v>
      </c>
      <c r="BS313" s="302" cm="1">
        <f t="array" aca="1" ref="BS313" ca="1">_xlfn.IFS(BS$7&gt;(SAP_Leadsheet!$E$21+12),0,BS$7=(SAP_Leadsheet!$E$21+12),SAP_Spreadsheet!BS194,BS$7&lt;(SAP_Leadsheet!$E$21+12),$E313*BS194)</f>
        <v>3.7834137609081254E-3</v>
      </c>
      <c r="BT313" s="302" cm="1">
        <f t="array" aca="1" ref="BT313" ca="1">_xlfn.IFS(BT$7&gt;(SAP_Leadsheet!$E$21+12),0,BT$7=(SAP_Leadsheet!$E$21+12),SAP_Spreadsheet!BT194,BT$7&lt;(SAP_Leadsheet!$E$21+12),$E313*BT194)</f>
        <v>3.6800094551529042E-3</v>
      </c>
      <c r="BU313" s="302" cm="1">
        <f t="array" aca="1" ref="BU313" ca="1">_xlfn.IFS(BU$7&gt;(SAP_Leadsheet!$E$21+12),0,BU$7=(SAP_Leadsheet!$E$21+12),SAP_Spreadsheet!BU194,BU$7&lt;(SAP_Leadsheet!$E$21+12),$E313*BU194)</f>
        <v>3.5765022410601467E-3</v>
      </c>
      <c r="BV313" s="302" cm="1">
        <f t="array" aca="1" ref="BV313" ca="1">_xlfn.IFS(BV$7&gt;(SAP_Leadsheet!$E$21+12),0,BV$7=(SAP_Leadsheet!$E$21+12),SAP_Spreadsheet!BV194,BV$7&lt;(SAP_Leadsheet!$E$21+12),$E313*BV194)</f>
        <v>3.4727344792257076E-3</v>
      </c>
      <c r="BW313" s="302" cm="1">
        <f t="array" aca="1" ref="BW313" ca="1">_xlfn.IFS(BW$7&gt;(SAP_Leadsheet!$E$21+12),0,BW$7=(SAP_Leadsheet!$E$21+12),SAP_Spreadsheet!BW194,BW$7&lt;(SAP_Leadsheet!$E$21+12),$E313*BW194)</f>
        <v>3.3686817120728682E-3</v>
      </c>
      <c r="BX313" s="302" cm="1">
        <f t="array" aca="1" ref="BX313" ca="1">_xlfn.IFS(BX$7&gt;(SAP_Leadsheet!$E$21+12),0,BX$7=(SAP_Leadsheet!$E$21+12),SAP_Spreadsheet!BX194,BX$7&lt;(SAP_Leadsheet!$E$21+12),$E313*BX194)</f>
        <v>3.2631193731202639E-3</v>
      </c>
      <c r="BY313" s="302" cm="1">
        <f t="array" aca="1" ref="BY313" ca="1">_xlfn.IFS(BY$7&gt;(SAP_Leadsheet!$E$21+12),0,BY$7=(SAP_Leadsheet!$E$21+12),SAP_Spreadsheet!BY194,BY$7&lt;(SAP_Leadsheet!$E$21+12),$E313*BY194)</f>
        <v>3.1540543513867056E-3</v>
      </c>
      <c r="BZ313" s="302" cm="1">
        <f t="array" aca="1" ref="BZ313" ca="1">_xlfn.IFS(BZ$7&gt;(SAP_Leadsheet!$E$21+12),0,BZ$7=(SAP_Leadsheet!$E$21+12),SAP_Spreadsheet!BZ194,BZ$7&lt;(SAP_Leadsheet!$E$21+12),$E313*BZ194)</f>
        <v>3.0424216730878619E-3</v>
      </c>
      <c r="CA313" s="263"/>
      <c r="CB313" s="263"/>
      <c r="CC313" s="263"/>
      <c r="CD313" s="263"/>
      <c r="CE313" s="263"/>
      <c r="CF313" s="263"/>
      <c r="CG313" s="263"/>
      <c r="CH313" s="263"/>
      <c r="CI313" s="263"/>
      <c r="CJ313" s="263"/>
      <c r="CK313" s="263"/>
      <c r="CL313" s="263"/>
      <c r="CM313" s="263"/>
      <c r="CN313" s="263"/>
      <c r="CO313" s="263"/>
      <c r="CP313" s="263"/>
      <c r="CQ313" s="263"/>
      <c r="CR313" s="263"/>
      <c r="CS313" s="263"/>
      <c r="CT313" s="263"/>
      <c r="CU313" s="263"/>
      <c r="CV313" s="263"/>
      <c r="CW313" s="263"/>
      <c r="CX313" s="263"/>
      <c r="CY313" s="263"/>
      <c r="CZ313" s="263"/>
      <c r="DA313" s="263"/>
      <c r="DB313" s="263"/>
      <c r="DC313" s="263"/>
      <c r="DD313" s="263"/>
      <c r="DE313" s="263"/>
      <c r="DF313" s="263"/>
      <c r="DG313" s="263"/>
      <c r="DH313" s="263"/>
      <c r="DI313" s="263"/>
      <c r="DJ313" s="263"/>
      <c r="DK313" s="263"/>
      <c r="DL313" s="263"/>
      <c r="DM313" s="263"/>
      <c r="DN313" s="263"/>
      <c r="DO313" s="263"/>
      <c r="DP313" s="263"/>
      <c r="DQ313" s="263"/>
      <c r="DR313" s="263"/>
      <c r="DS313" s="263"/>
      <c r="DT313" s="263"/>
      <c r="DU313" s="263"/>
      <c r="DV313" s="263"/>
      <c r="DW313" s="263"/>
      <c r="DX313" s="263"/>
      <c r="DY313" s="263"/>
      <c r="DZ313" s="263"/>
      <c r="EA313" s="263"/>
      <c r="EB313" s="263"/>
      <c r="EC313" s="263"/>
      <c r="ED313" s="263"/>
      <c r="EE313" s="263"/>
      <c r="EF313" s="263"/>
      <c r="EG313" s="263"/>
      <c r="EH313" s="263"/>
      <c r="EI313" s="263"/>
      <c r="EJ313" s="263"/>
      <c r="EK313" s="263"/>
      <c r="EL313" s="263"/>
      <c r="EM313" s="263"/>
      <c r="EN313" s="263"/>
      <c r="EO313" s="263"/>
      <c r="EP313" s="263"/>
      <c r="EQ313" s="263"/>
      <c r="ER313" s="263"/>
      <c r="ES313" s="263"/>
      <c r="ET313" s="263"/>
      <c r="EU313" s="263"/>
      <c r="EV313" s="263"/>
      <c r="EW313" s="263"/>
      <c r="EX313" s="263"/>
      <c r="EY313" s="263"/>
      <c r="EZ313" s="263"/>
      <c r="FA313" s="263"/>
      <c r="FB313" s="263"/>
      <c r="FC313" s="263"/>
      <c r="FD313" s="263"/>
      <c r="FE313" s="263"/>
      <c r="FF313" s="263"/>
      <c r="FG313" s="263"/>
      <c r="FH313" s="263"/>
      <c r="FI313" s="263"/>
      <c r="FJ313" s="263"/>
      <c r="FK313" s="263"/>
      <c r="FL313" s="263"/>
      <c r="FM313" s="263"/>
      <c r="FN313" s="263"/>
      <c r="FO313" s="263"/>
      <c r="FP313" s="263"/>
      <c r="FQ313" s="263"/>
      <c r="FR313" s="263"/>
      <c r="FS313" s="263"/>
      <c r="FT313" s="263"/>
      <c r="FU313" s="263"/>
      <c r="FV313" s="263"/>
      <c r="FW313" s="263"/>
      <c r="FX313" s="263"/>
      <c r="FY313" s="263"/>
      <c r="FZ313" s="263"/>
      <c r="GA313" s="263"/>
      <c r="GB313" s="263"/>
      <c r="GC313" s="263"/>
      <c r="GD313" s="263"/>
      <c r="GE313" s="263"/>
      <c r="GF313" s="263"/>
      <c r="GG313" s="263"/>
      <c r="GH313" s="263"/>
      <c r="GI313" s="263"/>
      <c r="GJ313" s="263"/>
      <c r="GK313" s="263"/>
      <c r="GL313" s="263"/>
      <c r="GM313" s="263"/>
      <c r="GN313" s="263"/>
      <c r="GO313" s="263"/>
      <c r="GP313" s="263"/>
      <c r="GQ313" s="263"/>
      <c r="GR313" s="263"/>
      <c r="GS313" s="263"/>
      <c r="GT313" s="263"/>
      <c r="GU313" s="263"/>
      <c r="GV313" s="263"/>
      <c r="GW313" s="263"/>
      <c r="GX313" s="263"/>
      <c r="GY313" s="263"/>
    </row>
    <row r="314" spans="1:207" x14ac:dyDescent="0.15">
      <c r="A314" s="62"/>
      <c r="D314" s="26" t="s">
        <v>374</v>
      </c>
      <c r="E314" s="75">
        <v>1</v>
      </c>
      <c r="F314" s="80"/>
      <c r="G314" s="302" cm="1">
        <f t="array" ref="G314">_xlfn.IFS(G$7&gt;(SAP_Leadsheet!$E$21+12),0,G$7=(SAP_Leadsheet!$E$21+12),SAP_Spreadsheet!G195,G$7&lt;(SAP_Leadsheet!$E$21+12),$E314*G195)</f>
        <v>0</v>
      </c>
      <c r="H314" s="302" cm="1">
        <f t="array" ref="H314">_xlfn.IFS(H$7&gt;(SAP_Leadsheet!$E$21+12),0,H$7=(SAP_Leadsheet!$E$21+12),SAP_Spreadsheet!H195,H$7&lt;(SAP_Leadsheet!$E$21+12),$E314*H195)</f>
        <v>0</v>
      </c>
      <c r="I314" s="302" cm="1">
        <f t="array" aca="1" ref="I314" ca="1">_xlfn.IFS(I$7&gt;(SAP_Leadsheet!$E$21+12),0,I$7=(SAP_Leadsheet!$E$21+12),SAP_Spreadsheet!I195,I$7&lt;(SAP_Leadsheet!$E$21+12),$E314*I195)</f>
        <v>0</v>
      </c>
      <c r="J314" s="302" cm="1">
        <f t="array" aca="1" ref="J314" ca="1">_xlfn.IFS(J$7&gt;(SAP_Leadsheet!$E$21+12),0,J$7=(SAP_Leadsheet!$E$21+12),SAP_Spreadsheet!J195,J$7&lt;(SAP_Leadsheet!$E$21+12),$E314*J195)</f>
        <v>0</v>
      </c>
      <c r="K314" s="302" cm="1">
        <f t="array" aca="1" ref="K314" ca="1">_xlfn.IFS(K$7&gt;(SAP_Leadsheet!$E$21+12),0,K$7=(SAP_Leadsheet!$E$21+12),SAP_Spreadsheet!K195,K$7&lt;(SAP_Leadsheet!$E$21+12),$E314*K195)</f>
        <v>0</v>
      </c>
      <c r="L314" s="302" cm="1">
        <f t="array" aca="1" ref="L314" ca="1">_xlfn.IFS(L$7&gt;(SAP_Leadsheet!$E$21+12),0,L$7=(SAP_Leadsheet!$E$21+12),SAP_Spreadsheet!L195,L$7&lt;(SAP_Leadsheet!$E$21+12),$E314*L195)</f>
        <v>0</v>
      </c>
      <c r="M314" s="302" cm="1">
        <f t="array" aca="1" ref="M314" ca="1">_xlfn.IFS(M$7&gt;(SAP_Leadsheet!$E$21+12),0,M$7=(SAP_Leadsheet!$E$21+12),SAP_Spreadsheet!M195,M$7&lt;(SAP_Leadsheet!$E$21+12),$E314*M195)</f>
        <v>0</v>
      </c>
      <c r="N314" s="302" cm="1">
        <f t="array" aca="1" ref="N314" ca="1">_xlfn.IFS(N$7&gt;(SAP_Leadsheet!$E$21+12),0,N$7=(SAP_Leadsheet!$E$21+12),SAP_Spreadsheet!N195,N$7&lt;(SAP_Leadsheet!$E$21+12),$E314*N195)</f>
        <v>0</v>
      </c>
      <c r="O314" s="302" cm="1">
        <f t="array" aca="1" ref="O314" ca="1">_xlfn.IFS(O$7&gt;(SAP_Leadsheet!$E$21+12),0,O$7=(SAP_Leadsheet!$E$21+12),SAP_Spreadsheet!O195,O$7&lt;(SAP_Leadsheet!$E$21+12),$E314*O195)</f>
        <v>0</v>
      </c>
      <c r="P314" s="302" cm="1">
        <f t="array" aca="1" ref="P314" ca="1">_xlfn.IFS(P$7&gt;(SAP_Leadsheet!$E$21+12),0,P$7=(SAP_Leadsheet!$E$21+12),SAP_Spreadsheet!P195,P$7&lt;(SAP_Leadsheet!$E$21+12),$E314*P195)</f>
        <v>0</v>
      </c>
      <c r="Q314" s="302" cm="1">
        <f t="array" aca="1" ref="Q314" ca="1">_xlfn.IFS(Q$7&gt;(SAP_Leadsheet!$E$21+12),0,Q$7=(SAP_Leadsheet!$E$21+12),SAP_Spreadsheet!Q195,Q$7&lt;(SAP_Leadsheet!$E$21+12),$E314*Q195)</f>
        <v>0</v>
      </c>
      <c r="R314" s="302" cm="1">
        <f t="array" aca="1" ref="R314" ca="1">_xlfn.IFS(R$7&gt;(SAP_Leadsheet!$E$21+12),0,R$7=(SAP_Leadsheet!$E$21+12),SAP_Spreadsheet!R195,R$7&lt;(SAP_Leadsheet!$E$21+12),$E314*R195)</f>
        <v>0</v>
      </c>
      <c r="S314" s="302" cm="1">
        <f t="array" aca="1" ref="S314" ca="1">_xlfn.IFS(S$7&gt;(SAP_Leadsheet!$E$21+12),0,S$7=(SAP_Leadsheet!$E$21+12),SAP_Spreadsheet!S195,S$7&lt;(SAP_Leadsheet!$E$21+12),$E314*S195)</f>
        <v>0</v>
      </c>
      <c r="T314" s="302" cm="1">
        <f t="array" aca="1" ref="T314" ca="1">_xlfn.IFS(T$7&gt;(SAP_Leadsheet!$E$21+12),0,T$7=(SAP_Leadsheet!$E$21+12),SAP_Spreadsheet!T195,T$7&lt;(SAP_Leadsheet!$E$21+12),$E314*T195)</f>
        <v>0</v>
      </c>
      <c r="U314" s="302" cm="1">
        <f t="array" aca="1" ref="U314" ca="1">_xlfn.IFS(U$7&gt;(SAP_Leadsheet!$E$21+12),0,U$7=(SAP_Leadsheet!$E$21+12),SAP_Spreadsheet!U195,U$7&lt;(SAP_Leadsheet!$E$21+12),$E314*U195)</f>
        <v>2.4311080044447108E-2</v>
      </c>
      <c r="V314" s="302" cm="1">
        <f t="array" aca="1" ref="V314" ca="1">_xlfn.IFS(V$7&gt;(SAP_Leadsheet!$E$21+12),0,V$7=(SAP_Leadsheet!$E$21+12),SAP_Spreadsheet!V195,V$7&lt;(SAP_Leadsheet!$E$21+12),$E314*V195)</f>
        <v>6.716526980891388E-2</v>
      </c>
      <c r="W314" s="302" cm="1">
        <f t="array" aca="1" ref="W314" ca="1">_xlfn.IFS(W$7&gt;(SAP_Leadsheet!$E$21+12),0,W$7=(SAP_Leadsheet!$E$21+12),SAP_Spreadsheet!W195,W$7&lt;(SAP_Leadsheet!$E$21+12),$E314*W195)</f>
        <v>0.11757495434787488</v>
      </c>
      <c r="X314" s="302" cm="1">
        <f t="array" aca="1" ref="X314" ca="1">_xlfn.IFS(X$7&gt;(SAP_Leadsheet!$E$21+12),0,X$7=(SAP_Leadsheet!$E$21+12),SAP_Spreadsheet!X195,X$7&lt;(SAP_Leadsheet!$E$21+12),$E314*X195)</f>
        <v>0.16772050193988797</v>
      </c>
      <c r="Y314" s="302" cm="1">
        <f t="array" aca="1" ref="Y314" ca="1">_xlfn.IFS(Y$7&gt;(SAP_Leadsheet!$E$21+12),0,Y$7=(SAP_Leadsheet!$E$21+12),SAP_Spreadsheet!Y195,Y$7&lt;(SAP_Leadsheet!$E$21+12),$E314*Y195)</f>
        <v>0.21383035148974319</v>
      </c>
      <c r="Z314" s="302" cm="1">
        <f t="array" aca="1" ref="Z314" ca="1">_xlfn.IFS(Z$7&gt;(SAP_Leadsheet!$E$21+12),0,Z$7=(SAP_Leadsheet!$E$21+12),SAP_Spreadsheet!Z195,Z$7&lt;(SAP_Leadsheet!$E$21+12),$E314*Z195)</f>
        <v>0.25452493223075412</v>
      </c>
      <c r="AA314" s="302" cm="1">
        <f t="array" aca="1" ref="AA314" ca="1">_xlfn.IFS(AA$7&gt;(SAP_Leadsheet!$E$21+12),0,AA$7=(SAP_Leadsheet!$E$21+12),SAP_Spreadsheet!AA195,AA$7&lt;(SAP_Leadsheet!$E$21+12),$E314*AA195)</f>
        <v>0.28894580929653579</v>
      </c>
      <c r="AB314" s="302" cm="1">
        <f t="array" aca="1" ref="AB314" ca="1">_xlfn.IFS(AB$7&gt;(SAP_Leadsheet!$E$21+12),0,AB$7=(SAP_Leadsheet!$E$21+12),SAP_Spreadsheet!AB195,AB$7&lt;(SAP_Leadsheet!$E$21+12),$E314*AB195)</f>
        <v>0.31852207926346471</v>
      </c>
      <c r="AC314" s="302" cm="1">
        <f t="array" aca="1" ref="AC314" ca="1">_xlfn.IFS(AC$7&gt;(SAP_Leadsheet!$E$21+12),0,AC$7=(SAP_Leadsheet!$E$21+12),SAP_Spreadsheet!AC195,AC$7&lt;(SAP_Leadsheet!$E$21+12),$E314*AC195)</f>
        <v>0.34392504690791575</v>
      </c>
      <c r="AD314" s="302" cm="1">
        <f t="array" aca="1" ref="AD314" ca="1">_xlfn.IFS(AD$7&gt;(SAP_Leadsheet!$E$21+12),0,AD$7=(SAP_Leadsheet!$E$21+12),SAP_Spreadsheet!AD195,AD$7&lt;(SAP_Leadsheet!$E$21+12),$E314*AD195)</f>
        <v>0.36555651642908937</v>
      </c>
      <c r="AE314" s="302" cm="1">
        <f t="array" aca="1" ref="AE314" ca="1">_xlfn.IFS(AE$7&gt;(SAP_Leadsheet!$E$21+12),0,AE$7=(SAP_Leadsheet!$E$21+12),SAP_Spreadsheet!AE195,AE$7&lt;(SAP_Leadsheet!$E$21+12),$E314*AE195)</f>
        <v>0.38403905328981119</v>
      </c>
      <c r="AF314" s="302" cm="1">
        <f t="array" aca="1" ref="AF314" ca="1">_xlfn.IFS(AF$7&gt;(SAP_Leadsheet!$E$21+12),0,AF$7=(SAP_Leadsheet!$E$21+12),SAP_Spreadsheet!AF195,AF$7&lt;(SAP_Leadsheet!$E$21+12),$E314*AF195)</f>
        <v>0.39332147075445506</v>
      </c>
      <c r="AG314" s="302" cm="1">
        <f t="array" aca="1" ref="AG314" ca="1">_xlfn.IFS(AG$7&gt;(SAP_Leadsheet!$E$21+12),0,AG$7=(SAP_Leadsheet!$E$21+12),SAP_Spreadsheet!AG195,AG$7&lt;(SAP_Leadsheet!$E$21+12),$E314*AG195)</f>
        <v>0.40285052079609651</v>
      </c>
      <c r="AH314" s="302" cm="1">
        <f t="array" aca="1" ref="AH314" ca="1">_xlfn.IFS(AH$7&gt;(SAP_Leadsheet!$E$21+12),0,AH$7=(SAP_Leadsheet!$E$21+12),SAP_Spreadsheet!AH195,AH$7&lt;(SAP_Leadsheet!$E$21+12),$E314*AH195)</f>
        <v>0.41381623817367308</v>
      </c>
      <c r="AI314" s="302" cm="1">
        <f t="array" aca="1" ref="AI314" ca="1">_xlfn.IFS(AI$7&gt;(SAP_Leadsheet!$E$21+12),0,AI$7=(SAP_Leadsheet!$E$21+12),SAP_Spreadsheet!AI195,AI$7&lt;(SAP_Leadsheet!$E$21+12),$E314*AI195)</f>
        <v>0.42512444112499304</v>
      </c>
      <c r="AJ314" s="302" cm="1">
        <f t="array" aca="1" ref="AJ314" ca="1">_xlfn.IFS(AJ$7&gt;(SAP_Leadsheet!$E$21+12),0,AJ$7=(SAP_Leadsheet!$E$21+12),SAP_Spreadsheet!AJ195,AJ$7&lt;(SAP_Leadsheet!$E$21+12),$E314*AJ195)</f>
        <v>0.43589150590527637</v>
      </c>
      <c r="AK314" s="302" cm="1">
        <f t="array" aca="1" ref="AK314" ca="1">_xlfn.IFS(AK$7&gt;(SAP_Leadsheet!$E$21+12),0,AK$7=(SAP_Leadsheet!$E$21+12),SAP_Spreadsheet!AK195,AK$7&lt;(SAP_Leadsheet!$E$21+12),$E314*AK195)</f>
        <v>0.44679512890921397</v>
      </c>
      <c r="AL314" s="302" cm="1">
        <f t="array" aca="1" ref="AL314" ca="1">_xlfn.IFS(AL$7&gt;(SAP_Leadsheet!$E$21+12),0,AL$7=(SAP_Leadsheet!$E$21+12),SAP_Spreadsheet!AL195,AL$7&lt;(SAP_Leadsheet!$E$21+12),$E314*AL195)</f>
        <v>0.45800854277751091</v>
      </c>
      <c r="AM314" s="302" cm="1">
        <f t="array" aca="1" ref="AM314" ca="1">_xlfn.IFS(AM$7&gt;(SAP_Leadsheet!$E$21+12),0,AM$7=(SAP_Leadsheet!$E$21+12),SAP_Spreadsheet!AM195,AM$7&lt;(SAP_Leadsheet!$E$21+12),$E314*AM195)</f>
        <v>0.46944381574566596</v>
      </c>
      <c r="AN314" s="302" cm="1">
        <f t="array" aca="1" ref="AN314" ca="1">_xlfn.IFS(AN$7&gt;(SAP_Leadsheet!$E$21+12),0,AN$7=(SAP_Leadsheet!$E$21+12),SAP_Spreadsheet!AN195,AN$7&lt;(SAP_Leadsheet!$E$21+12),$E314*AN195)</f>
        <v>0.48100787120848626</v>
      </c>
      <c r="AO314" s="302" cm="1">
        <f t="array" aca="1" ref="AO314" ca="1">_xlfn.IFS(AO$7&gt;(SAP_Leadsheet!$E$21+12),0,AO$7=(SAP_Leadsheet!$E$21+12),SAP_Spreadsheet!AO195,AO$7&lt;(SAP_Leadsheet!$E$21+12),$E314*AO195)</f>
        <v>0.49217018853803046</v>
      </c>
      <c r="AP314" s="302" cm="1">
        <f t="array" aca="1" ref="AP314" ca="1">_xlfn.IFS(AP$7&gt;(SAP_Leadsheet!$E$21+12),0,AP$7=(SAP_Leadsheet!$E$21+12),SAP_Spreadsheet!AP195,AP$7&lt;(SAP_Leadsheet!$E$21+12),$E314*AP195)</f>
        <v>0.50263614075451313</v>
      </c>
      <c r="AQ314" s="302" cm="1">
        <f t="array" aca="1" ref="AQ314" ca="1">_xlfn.IFS(AQ$7&gt;(SAP_Leadsheet!$E$21+12),0,AQ$7=(SAP_Leadsheet!$E$21+12),SAP_Spreadsheet!AQ195,AQ$7&lt;(SAP_Leadsheet!$E$21+12),$E314*AQ195)</f>
        <v>0.51282165574800109</v>
      </c>
      <c r="AR314" s="302" cm="1">
        <f t="array" aca="1" ref="AR314" ca="1">_xlfn.IFS(AR$7&gt;(SAP_Leadsheet!$E$21+12),0,AR$7=(SAP_Leadsheet!$E$21+12),SAP_Spreadsheet!AR195,AR$7&lt;(SAP_Leadsheet!$E$21+12),$E314*AR195)</f>
        <v>0.52115469503463863</v>
      </c>
      <c r="AS314" s="302" cm="1">
        <f t="array" aca="1" ref="AS314" ca="1">_xlfn.IFS(AS$7&gt;(SAP_Leadsheet!$E$21+12),0,AS$7=(SAP_Leadsheet!$E$21+12),SAP_Spreadsheet!AS195,AS$7&lt;(SAP_Leadsheet!$E$21+12),$E314*AS195)</f>
        <v>0.52965798143013776</v>
      </c>
      <c r="AT314" s="302" cm="1">
        <f t="array" aca="1" ref="AT314" ca="1">_xlfn.IFS(AT$7&gt;(SAP_Leadsheet!$E$21+12),0,AT$7=(SAP_Leadsheet!$E$21+12),SAP_Spreadsheet!AT195,AT$7&lt;(SAP_Leadsheet!$E$21+12),$E314*AT195)</f>
        <v>0.53868422840558594</v>
      </c>
      <c r="AU314" s="302" cm="1">
        <f t="array" aca="1" ref="AU314" ca="1">_xlfn.IFS(AU$7&gt;(SAP_Leadsheet!$E$21+12),0,AU$7=(SAP_Leadsheet!$E$21+12),SAP_Spreadsheet!AU195,AU$7&lt;(SAP_Leadsheet!$E$21+12),$E314*AU195)</f>
        <v>0.54803349740828156</v>
      </c>
      <c r="AV314" s="302" cm="1">
        <f t="array" aca="1" ref="AV314" ca="1">_xlfn.IFS(AV$7&gt;(SAP_Leadsheet!$E$21+12),0,AV$7=(SAP_Leadsheet!$E$21+12),SAP_Spreadsheet!AV195,AV$7&lt;(SAP_Leadsheet!$E$21+12),$E314*AV195)</f>
        <v>0.55742875582207585</v>
      </c>
      <c r="AW314" s="302" cm="1">
        <f t="array" aca="1" ref="AW314" ca="1">_xlfn.IFS(AW$7&gt;(SAP_Leadsheet!$E$21+12),0,AW$7=(SAP_Leadsheet!$E$21+12),SAP_Spreadsheet!AW195,AW$7&lt;(SAP_Leadsheet!$E$21+12),$E314*AW195)</f>
        <v>0.56668876552033942</v>
      </c>
      <c r="AX314" s="302" cm="1">
        <f t="array" aca="1" ref="AX314" ca="1">_xlfn.IFS(AX$7&gt;(SAP_Leadsheet!$E$21+12),0,AX$7=(SAP_Leadsheet!$E$21+12),SAP_Spreadsheet!AX195,AX$7&lt;(SAP_Leadsheet!$E$21+12),$E314*AX195)</f>
        <v>0.57573341235251163</v>
      </c>
      <c r="AY314" s="302" cm="1">
        <f t="array" aca="1" ref="AY314" ca="1">_xlfn.IFS(AY$7&gt;(SAP_Leadsheet!$E$21+12),0,AY$7=(SAP_Leadsheet!$E$21+12),SAP_Spreadsheet!AY195,AY$7&lt;(SAP_Leadsheet!$E$21+12),$E314*AY195)</f>
        <v>0.58454047921152186</v>
      </c>
      <c r="AZ314" s="302" cm="1">
        <f t="array" aca="1" ref="AZ314" ca="1">_xlfn.IFS(AZ$7&gt;(SAP_Leadsheet!$E$21+12),0,AZ$7=(SAP_Leadsheet!$E$21+12),SAP_Spreadsheet!AZ195,AZ$7&lt;(SAP_Leadsheet!$E$21+12),$E314*AZ195)</f>
        <v>0.59340442651432768</v>
      </c>
      <c r="BA314" s="302" cm="1">
        <f t="array" aca="1" ref="BA314" ca="1">_xlfn.IFS(BA$7&gt;(SAP_Leadsheet!$E$21+12),0,BA$7=(SAP_Leadsheet!$E$21+12),SAP_Spreadsheet!BA195,BA$7&lt;(SAP_Leadsheet!$E$21+12),$E314*BA195)</f>
        <v>0.6019903820708381</v>
      </c>
      <c r="BB314" s="302" cm="1">
        <f t="array" aca="1" ref="BB314" ca="1">_xlfn.IFS(BB$7&gt;(SAP_Leadsheet!$E$21+12),0,BB$7=(SAP_Leadsheet!$E$21+12),SAP_Spreadsheet!BB195,BB$7&lt;(SAP_Leadsheet!$E$21+12),$E314*BB195)</f>
        <v>0.61022511372068056</v>
      </c>
      <c r="BC314" s="302" cm="1">
        <f t="array" aca="1" ref="BC314" ca="1">_xlfn.IFS(BC$7&gt;(SAP_Leadsheet!$E$21+12),0,BC$7=(SAP_Leadsheet!$E$21+12),SAP_Spreadsheet!BC195,BC$7&lt;(SAP_Leadsheet!$E$21+12),$E314*BC195)</f>
        <v>0.61785005200325704</v>
      </c>
      <c r="BD314" s="302" cm="1">
        <f t="array" aca="1" ref="BD314" ca="1">_xlfn.IFS(BD$7&gt;(SAP_Leadsheet!$E$21+12),0,BD$7=(SAP_Leadsheet!$E$21+12),SAP_Spreadsheet!BD195,BD$7&lt;(SAP_Leadsheet!$E$21+12),$E314*BD195)</f>
        <v>0.62398251343942268</v>
      </c>
      <c r="BE314" s="302" cm="1">
        <f t="array" aca="1" ref="BE314" ca="1">_xlfn.IFS(BE$7&gt;(SAP_Leadsheet!$E$21+12),0,BE$7=(SAP_Leadsheet!$E$21+12),SAP_Spreadsheet!BE195,BE$7&lt;(SAP_Leadsheet!$E$21+12),$E314*BE195)</f>
        <v>0.62997923004686962</v>
      </c>
      <c r="BF314" s="302" cm="1">
        <f t="array" aca="1" ref="BF314" ca="1">_xlfn.IFS(BF$7&gt;(SAP_Leadsheet!$E$21+12),0,BF$7=(SAP_Leadsheet!$E$21+12),SAP_Spreadsheet!BF195,BF$7&lt;(SAP_Leadsheet!$E$21+12),$E314*BF195)</f>
        <v>0.63586501204446488</v>
      </c>
      <c r="BG314" s="302" cm="1">
        <f t="array" aca="1" ref="BG314" ca="1">_xlfn.IFS(BG$7&gt;(SAP_Leadsheet!$E$21+12),0,BG$7=(SAP_Leadsheet!$E$21+12),SAP_Spreadsheet!BG195,BG$7&lt;(SAP_Leadsheet!$E$21+12),$E314*BG195)</f>
        <v>0.64165186384426409</v>
      </c>
      <c r="BH314" s="302" cm="1">
        <f t="array" aca="1" ref="BH314" ca="1">_xlfn.IFS(BH$7&gt;(SAP_Leadsheet!$E$21+12),0,BH$7=(SAP_Leadsheet!$E$21+12),SAP_Spreadsheet!BH195,BH$7&lt;(SAP_Leadsheet!$E$21+12),$E314*BH195)</f>
        <v>0.64734219787440084</v>
      </c>
      <c r="BI314" s="302" cm="1">
        <f t="array" aca="1" ref="BI314" ca="1">_xlfn.IFS(BI$7&gt;(SAP_Leadsheet!$E$21+12),0,BI$7=(SAP_Leadsheet!$E$21+12),SAP_Spreadsheet!BI195,BI$7&lt;(SAP_Leadsheet!$E$21+12),$E314*BI195)</f>
        <v>0.65293475914368482</v>
      </c>
      <c r="BJ314" s="302" cm="1">
        <f t="array" aca="1" ref="BJ314" ca="1">_xlfn.IFS(BJ$7&gt;(SAP_Leadsheet!$E$21+12),0,BJ$7=(SAP_Leadsheet!$E$21+12),SAP_Spreadsheet!BJ195,BJ$7&lt;(SAP_Leadsheet!$E$21+12),$E314*BJ195)</f>
        <v>0.65842776628841482</v>
      </c>
      <c r="BK314" s="302" cm="1">
        <f t="array" aca="1" ref="BK314" ca="1">_xlfn.IFS(BK$7&gt;(SAP_Leadsheet!$E$21+12),0,BK$7=(SAP_Leadsheet!$E$21+12),SAP_Spreadsheet!BK195,BK$7&lt;(SAP_Leadsheet!$E$21+12),$E314*BK195)</f>
        <v>0.66381863209948833</v>
      </c>
      <c r="BL314" s="302" cm="1">
        <f t="array" aca="1" ref="BL314" ca="1">_xlfn.IFS(BL$7&gt;(SAP_Leadsheet!$E$21+12),0,BL$7=(SAP_Leadsheet!$E$21+12),SAP_Spreadsheet!BL195,BL$7&lt;(SAP_Leadsheet!$E$21+12),$E314*BL195)</f>
        <v>0.66910351442306382</v>
      </c>
      <c r="BM314" s="302" cm="1">
        <f t="array" aca="1" ref="BM314" ca="1">_xlfn.IFS(BM$7&gt;(SAP_Leadsheet!$E$21+12),0,BM$7=(SAP_Leadsheet!$E$21+12),SAP_Spreadsheet!BM195,BM$7&lt;(SAP_Leadsheet!$E$21+12),$E314*BM195)</f>
        <v>0.67427446893236875</v>
      </c>
      <c r="BN314" s="302" cm="1">
        <f t="array" aca="1" ref="BN314" ca="1">_xlfn.IFS(BN$7&gt;(SAP_Leadsheet!$E$21+12),0,BN$7=(SAP_Leadsheet!$E$21+12),SAP_Spreadsheet!BN195,BN$7&lt;(SAP_Leadsheet!$E$21+12),$E314*BN195)</f>
        <v>0.67931974786174165</v>
      </c>
      <c r="BO314" s="302" cm="1">
        <f t="array" aca="1" ref="BO314" ca="1">_xlfn.IFS(BO$7&gt;(SAP_Leadsheet!$E$21+12),0,BO$7=(SAP_Leadsheet!$E$21+12),SAP_Spreadsheet!BO195,BO$7&lt;(SAP_Leadsheet!$E$21+12),$E314*BO195)</f>
        <v>0.68423140346364397</v>
      </c>
      <c r="BP314" s="302" cm="1">
        <f t="array" aca="1" ref="BP314" ca="1">_xlfn.IFS(BP$7&gt;(SAP_Leadsheet!$E$21+12),0,BP$7=(SAP_Leadsheet!$E$21+12),SAP_Spreadsheet!BP195,BP$7&lt;(SAP_Leadsheet!$E$21+12),$E314*BP195)</f>
        <v>0.68843291681853946</v>
      </c>
      <c r="BQ314" s="302" cm="1">
        <f t="array" aca="1" ref="BQ314" ca="1">_xlfn.IFS(BQ$7&gt;(SAP_Leadsheet!$E$21+12),0,BQ$7=(SAP_Leadsheet!$E$21+12),SAP_Spreadsheet!BQ195,BQ$7&lt;(SAP_Leadsheet!$E$21+12),$E314*BQ195)</f>
        <v>0.692529122420527</v>
      </c>
      <c r="BR314" s="302" cm="1">
        <f t="array" aca="1" ref="BR314" ca="1">_xlfn.IFS(BR$7&gt;(SAP_Leadsheet!$E$21+12),0,BR$7=(SAP_Leadsheet!$E$21+12),SAP_Spreadsheet!BR195,BR$7&lt;(SAP_Leadsheet!$E$21+12),$E314*BR195)</f>
        <v>0.69652028040858949</v>
      </c>
      <c r="BS314" s="302" cm="1">
        <f t="array" aca="1" ref="BS314" ca="1">_xlfn.IFS(BS$7&gt;(SAP_Leadsheet!$E$21+12),0,BS$7=(SAP_Leadsheet!$E$21+12),SAP_Spreadsheet!BS195,BS$7&lt;(SAP_Leadsheet!$E$21+12),$E314*BS195)</f>
        <v>0.70040732066836064</v>
      </c>
      <c r="BT314" s="302" cm="1">
        <f t="array" aca="1" ref="BT314" ca="1">_xlfn.IFS(BT$7&gt;(SAP_Leadsheet!$E$21+12),0,BT$7=(SAP_Leadsheet!$E$21+12),SAP_Spreadsheet!BT195,BT$7&lt;(SAP_Leadsheet!$E$21+12),$E314*BT195)</f>
        <v>0.70419073442926872</v>
      </c>
      <c r="BU314" s="302" cm="1">
        <f t="array" aca="1" ref="BU314" ca="1">_xlfn.IFS(BU$7&gt;(SAP_Leadsheet!$E$21+12),0,BU$7=(SAP_Leadsheet!$E$21+12),SAP_Spreadsheet!BU195,BU$7&lt;(SAP_Leadsheet!$E$21+12),$E314*BU195)</f>
        <v>0.70787074388442162</v>
      </c>
      <c r="BV314" s="302" cm="1">
        <f t="array" aca="1" ref="BV314" ca="1">_xlfn.IFS(BV$7&gt;(SAP_Leadsheet!$E$21+12),0,BV$7=(SAP_Leadsheet!$E$21+12),SAP_Spreadsheet!BV195,BV$7&lt;(SAP_Leadsheet!$E$21+12),$E314*BV195)</f>
        <v>0.71144724612548171</v>
      </c>
      <c r="BW314" s="302" cm="1">
        <f t="array" aca="1" ref="BW314" ca="1">_xlfn.IFS(BW$7&gt;(SAP_Leadsheet!$E$21+12),0,BW$7=(SAP_Leadsheet!$E$21+12),SAP_Spreadsheet!BW195,BW$7&lt;(SAP_Leadsheet!$E$21+12),$E314*BW195)</f>
        <v>0.71491998060470741</v>
      </c>
      <c r="BX314" s="302" cm="1">
        <f t="array" aca="1" ref="BX314" ca="1">_xlfn.IFS(BX$7&gt;(SAP_Leadsheet!$E$21+12),0,BX$7=(SAP_Leadsheet!$E$21+12),SAP_Spreadsheet!BX195,BX$7&lt;(SAP_Leadsheet!$E$21+12),$E314*BX195)</f>
        <v>0.71828866231678024</v>
      </c>
      <c r="BY314" s="302" cm="1">
        <f t="array" aca="1" ref="BY314" ca="1">_xlfn.IFS(BY$7&gt;(SAP_Leadsheet!$E$21+12),0,BY$7=(SAP_Leadsheet!$E$21+12),SAP_Spreadsheet!BY195,BY$7&lt;(SAP_Leadsheet!$E$21+12),$E314*BY195)</f>
        <v>0.72155178168990053</v>
      </c>
      <c r="BZ314" s="302" cm="1">
        <f t="array" aca="1" ref="BZ314" ca="1">_xlfn.IFS(BZ$7&gt;(SAP_Leadsheet!$E$21+12),0,BZ$7=(SAP_Leadsheet!$E$21+12),SAP_Spreadsheet!BZ195,BZ$7&lt;(SAP_Leadsheet!$E$21+12),$E314*BZ195)</f>
        <v>0.72470583604128724</v>
      </c>
      <c r="CA314" s="263"/>
      <c r="CB314" s="263"/>
      <c r="CC314" s="263"/>
      <c r="CD314" s="263"/>
      <c r="CE314" s="263"/>
      <c r="CF314" s="263"/>
      <c r="CG314" s="263"/>
      <c r="CH314" s="263"/>
      <c r="CI314" s="263"/>
      <c r="CJ314" s="263"/>
      <c r="CK314" s="263"/>
      <c r="CL314" s="263"/>
      <c r="CM314" s="263"/>
      <c r="CN314" s="263"/>
      <c r="CO314" s="263"/>
      <c r="CP314" s="263"/>
      <c r="CQ314" s="263"/>
      <c r="CR314" s="263"/>
      <c r="CS314" s="263"/>
      <c r="CT314" s="263"/>
      <c r="CU314" s="263"/>
      <c r="CV314" s="263"/>
      <c r="CW314" s="263"/>
      <c r="CX314" s="263"/>
      <c r="CY314" s="263"/>
      <c r="CZ314" s="263"/>
      <c r="DA314" s="263"/>
      <c r="DB314" s="263"/>
      <c r="DC314" s="263"/>
      <c r="DD314" s="263"/>
      <c r="DE314" s="263"/>
      <c r="DF314" s="263"/>
      <c r="DG314" s="263"/>
      <c r="DH314" s="263"/>
      <c r="DI314" s="263"/>
      <c r="DJ314" s="263"/>
      <c r="DK314" s="263"/>
      <c r="DL314" s="263"/>
      <c r="DM314" s="263"/>
      <c r="DN314" s="263"/>
      <c r="DO314" s="263"/>
      <c r="DP314" s="263"/>
      <c r="DQ314" s="263"/>
      <c r="DR314" s="263"/>
      <c r="DS314" s="263"/>
      <c r="DT314" s="263"/>
      <c r="DU314" s="263"/>
      <c r="DV314" s="263"/>
      <c r="DW314" s="263"/>
      <c r="DX314" s="263"/>
      <c r="DY314" s="263"/>
      <c r="DZ314" s="263"/>
      <c r="EA314" s="263"/>
      <c r="EB314" s="263"/>
      <c r="EC314" s="263"/>
      <c r="ED314" s="263"/>
      <c r="EE314" s="263"/>
      <c r="EF314" s="263"/>
      <c r="EG314" s="263"/>
      <c r="EH314" s="263"/>
      <c r="EI314" s="263"/>
      <c r="EJ314" s="263"/>
      <c r="EK314" s="263"/>
      <c r="EL314" s="263"/>
      <c r="EM314" s="263"/>
      <c r="EN314" s="263"/>
      <c r="EO314" s="263"/>
      <c r="EP314" s="263"/>
      <c r="EQ314" s="263"/>
      <c r="ER314" s="263"/>
      <c r="ES314" s="263"/>
      <c r="ET314" s="263"/>
      <c r="EU314" s="263"/>
      <c r="EV314" s="263"/>
      <c r="EW314" s="263"/>
      <c r="EX314" s="263"/>
      <c r="EY314" s="263"/>
      <c r="EZ314" s="263"/>
      <c r="FA314" s="263"/>
      <c r="FB314" s="263"/>
      <c r="FC314" s="263"/>
      <c r="FD314" s="263"/>
      <c r="FE314" s="263"/>
      <c r="FF314" s="263"/>
      <c r="FG314" s="263"/>
      <c r="FH314" s="263"/>
      <c r="FI314" s="263"/>
      <c r="FJ314" s="263"/>
      <c r="FK314" s="263"/>
      <c r="FL314" s="263"/>
      <c r="FM314" s="263"/>
      <c r="FN314" s="263"/>
      <c r="FO314" s="263"/>
      <c r="FP314" s="263"/>
      <c r="FQ314" s="263"/>
      <c r="FR314" s="263"/>
      <c r="FS314" s="263"/>
      <c r="FT314" s="263"/>
      <c r="FU314" s="263"/>
      <c r="FV314" s="263"/>
      <c r="FW314" s="263"/>
      <c r="FX314" s="263"/>
      <c r="FY314" s="263"/>
      <c r="FZ314" s="263"/>
      <c r="GA314" s="263"/>
      <c r="GB314" s="263"/>
      <c r="GC314" s="263"/>
      <c r="GD314" s="263"/>
      <c r="GE314" s="263"/>
      <c r="GF314" s="263"/>
      <c r="GG314" s="263"/>
      <c r="GH314" s="263"/>
      <c r="GI314" s="263"/>
      <c r="GJ314" s="263"/>
      <c r="GK314" s="263"/>
      <c r="GL314" s="263"/>
      <c r="GM314" s="263"/>
      <c r="GN314" s="263"/>
      <c r="GO314" s="263"/>
      <c r="GP314" s="263"/>
      <c r="GQ314" s="263"/>
      <c r="GR314" s="263"/>
      <c r="GS314" s="263"/>
      <c r="GT314" s="263"/>
      <c r="GU314" s="263"/>
      <c r="GV314" s="263"/>
      <c r="GW314" s="263"/>
      <c r="GX314" s="263"/>
      <c r="GY314" s="263"/>
    </row>
    <row r="315" spans="1:207" x14ac:dyDescent="0.15">
      <c r="A315" s="62"/>
      <c r="E315" s="75"/>
      <c r="F315" s="80"/>
      <c r="G315" s="263"/>
      <c r="H315" s="263"/>
      <c r="I315" s="263"/>
      <c r="J315" s="263"/>
      <c r="K315" s="263"/>
      <c r="L315" s="263"/>
      <c r="M315" s="263"/>
      <c r="N315" s="263"/>
      <c r="O315" s="263"/>
      <c r="P315" s="263"/>
      <c r="Q315" s="263"/>
      <c r="R315" s="263"/>
      <c r="S315" s="263"/>
      <c r="T315" s="263"/>
      <c r="U315" s="263"/>
      <c r="V315" s="263"/>
      <c r="W315" s="263"/>
      <c r="X315" s="263"/>
      <c r="Y315" s="263"/>
      <c r="Z315" s="263"/>
      <c r="AA315" s="263"/>
      <c r="AB315" s="263"/>
      <c r="AC315" s="263"/>
      <c r="AD315" s="263"/>
      <c r="AE315" s="263"/>
      <c r="AF315" s="263"/>
      <c r="AG315" s="263"/>
      <c r="AH315" s="263"/>
      <c r="AI315" s="263"/>
      <c r="AJ315" s="263"/>
      <c r="AK315" s="263"/>
      <c r="AL315" s="263"/>
      <c r="AM315" s="263"/>
      <c r="AN315" s="263"/>
      <c r="AO315" s="263"/>
      <c r="AP315" s="263"/>
      <c r="AQ315" s="263"/>
      <c r="AR315" s="263"/>
      <c r="AS315" s="263"/>
      <c r="AT315" s="263"/>
      <c r="AU315" s="263"/>
      <c r="AV315" s="263"/>
      <c r="AW315" s="263"/>
      <c r="AX315" s="263"/>
      <c r="AY315" s="263"/>
      <c r="AZ315" s="263"/>
      <c r="BA315" s="263"/>
      <c r="BB315" s="263"/>
      <c r="BC315" s="263"/>
      <c r="BD315" s="263"/>
      <c r="BE315" s="263"/>
      <c r="BF315" s="263"/>
      <c r="BG315" s="263"/>
      <c r="BH315" s="263"/>
      <c r="BI315" s="263"/>
      <c r="BJ315" s="263"/>
      <c r="BK315" s="263"/>
      <c r="BL315" s="263"/>
      <c r="BM315" s="263"/>
      <c r="BN315" s="263"/>
      <c r="BO315" s="263"/>
      <c r="BP315" s="263"/>
      <c r="BQ315" s="263"/>
      <c r="BR315" s="263"/>
      <c r="BS315" s="263"/>
      <c r="BT315" s="263"/>
      <c r="BU315" s="263"/>
      <c r="BV315" s="263"/>
      <c r="BW315" s="263"/>
      <c r="BX315" s="263"/>
      <c r="BY315" s="263"/>
      <c r="BZ315" s="263"/>
      <c r="CA315" s="263"/>
      <c r="CB315" s="263"/>
      <c r="CC315" s="263"/>
      <c r="CD315" s="263"/>
      <c r="CE315" s="263"/>
      <c r="CF315" s="263"/>
      <c r="CG315" s="263"/>
      <c r="CH315" s="263"/>
      <c r="CI315" s="263"/>
      <c r="CJ315" s="263"/>
      <c r="CK315" s="263"/>
      <c r="CL315" s="263"/>
      <c r="CM315" s="263"/>
      <c r="CN315" s="263"/>
      <c r="CO315" s="263"/>
      <c r="CP315" s="263"/>
      <c r="CQ315" s="263"/>
      <c r="CR315" s="263"/>
      <c r="CS315" s="263"/>
      <c r="CT315" s="263"/>
      <c r="CU315" s="263"/>
      <c r="CV315" s="263"/>
      <c r="CW315" s="263"/>
      <c r="CX315" s="263"/>
      <c r="CY315" s="263"/>
      <c r="CZ315" s="263"/>
      <c r="DA315" s="263"/>
      <c r="DB315" s="263"/>
      <c r="DC315" s="263"/>
      <c r="DD315" s="263"/>
      <c r="DE315" s="263"/>
      <c r="DF315" s="263"/>
      <c r="DG315" s="263"/>
      <c r="DH315" s="263"/>
      <c r="DI315" s="263"/>
      <c r="DJ315" s="263"/>
      <c r="DK315" s="263"/>
      <c r="DL315" s="263"/>
      <c r="DM315" s="263"/>
      <c r="DN315" s="263"/>
      <c r="DO315" s="263"/>
      <c r="DP315" s="263"/>
      <c r="DQ315" s="263"/>
      <c r="DR315" s="263"/>
      <c r="DS315" s="263"/>
      <c r="DT315" s="263"/>
      <c r="DU315" s="263"/>
      <c r="DV315" s="263"/>
      <c r="DW315" s="263"/>
      <c r="DX315" s="263"/>
      <c r="DY315" s="263"/>
      <c r="DZ315" s="263"/>
      <c r="EA315" s="263"/>
      <c r="EB315" s="263"/>
      <c r="EC315" s="263"/>
      <c r="ED315" s="263"/>
      <c r="EE315" s="263"/>
      <c r="EF315" s="263"/>
      <c r="EG315" s="263"/>
      <c r="EH315" s="263"/>
      <c r="EI315" s="263"/>
      <c r="EJ315" s="263"/>
      <c r="EK315" s="263"/>
      <c r="EL315" s="263"/>
      <c r="EM315" s="263"/>
      <c r="EN315" s="263"/>
      <c r="EO315" s="263"/>
      <c r="EP315" s="263"/>
      <c r="EQ315" s="263"/>
      <c r="ER315" s="263"/>
      <c r="ES315" s="263"/>
      <c r="ET315" s="263"/>
      <c r="EU315" s="263"/>
      <c r="EV315" s="263"/>
      <c r="EW315" s="263"/>
      <c r="EX315" s="263"/>
      <c r="EY315" s="263"/>
      <c r="EZ315" s="263"/>
      <c r="FA315" s="263"/>
      <c r="FB315" s="263"/>
      <c r="FC315" s="263"/>
      <c r="FD315" s="263"/>
      <c r="FE315" s="263"/>
      <c r="FF315" s="263"/>
      <c r="FG315" s="263"/>
      <c r="FH315" s="263"/>
      <c r="FI315" s="263"/>
      <c r="FJ315" s="263"/>
      <c r="FK315" s="263"/>
      <c r="FL315" s="263"/>
      <c r="FM315" s="263"/>
      <c r="FN315" s="263"/>
      <c r="FO315" s="263"/>
      <c r="FP315" s="263"/>
      <c r="FQ315" s="263"/>
      <c r="FR315" s="263"/>
      <c r="FS315" s="263"/>
      <c r="FT315" s="263"/>
      <c r="FU315" s="263"/>
      <c r="FV315" s="263"/>
      <c r="FW315" s="263"/>
      <c r="FX315" s="263"/>
      <c r="FY315" s="263"/>
      <c r="FZ315" s="263"/>
      <c r="GA315" s="263"/>
      <c r="GB315" s="263"/>
      <c r="GC315" s="263"/>
      <c r="GD315" s="263"/>
      <c r="GE315" s="263"/>
      <c r="GF315" s="263"/>
      <c r="GG315" s="263"/>
      <c r="GH315" s="263"/>
      <c r="GI315" s="263"/>
      <c r="GJ315" s="263"/>
      <c r="GK315" s="263"/>
      <c r="GL315" s="263"/>
      <c r="GM315" s="263"/>
      <c r="GN315" s="263"/>
      <c r="GO315" s="263"/>
      <c r="GP315" s="263"/>
      <c r="GQ315" s="263"/>
      <c r="GR315" s="263"/>
      <c r="GS315" s="263"/>
      <c r="GT315" s="263"/>
      <c r="GU315" s="263"/>
      <c r="GV315" s="263"/>
      <c r="GW315" s="263"/>
      <c r="GX315" s="263"/>
      <c r="GY315" s="263"/>
    </row>
    <row r="316" spans="1:207" x14ac:dyDescent="0.15">
      <c r="A316" s="62"/>
      <c r="D316" s="26" t="s">
        <v>421</v>
      </c>
      <c r="F316" s="80"/>
      <c r="G316" s="263">
        <f ca="1">SUM(G300:G314)</f>
        <v>3.429902928923262E-3</v>
      </c>
      <c r="H316" s="263">
        <f t="shared" ref="H316:BS316" ca="1" si="42">SUM(H300:H314)</f>
        <v>7.755272845229309E-3</v>
      </c>
      <c r="I316" s="263">
        <f t="shared" ca="1" si="42"/>
        <v>1.1663250524583658E-2</v>
      </c>
      <c r="J316" s="263">
        <f t="shared" ca="1" si="42"/>
        <v>1.4807303459775012E-2</v>
      </c>
      <c r="K316" s="263">
        <f t="shared" ca="1" si="42"/>
        <v>2.1057271953714114E-2</v>
      </c>
      <c r="L316" s="263">
        <f t="shared" ca="1" si="42"/>
        <v>2.9636575343041881E-2</v>
      </c>
      <c r="M316" s="263">
        <f t="shared" ca="1" si="42"/>
        <v>3.8758852700787723E-2</v>
      </c>
      <c r="N316" s="263">
        <f t="shared" ca="1" si="42"/>
        <v>5.4856358669049768E-2</v>
      </c>
      <c r="O316" s="263">
        <f t="shared" ca="1" si="42"/>
        <v>7.5697681139447734E-2</v>
      </c>
      <c r="P316" s="263">
        <f t="shared" ca="1" si="42"/>
        <v>9.788824502464348E-2</v>
      </c>
      <c r="Q316" s="263">
        <f t="shared" ca="1" si="42"/>
        <v>0.11899977534039283</v>
      </c>
      <c r="R316" s="263">
        <f t="shared" ca="1" si="42"/>
        <v>0.13822520352595358</v>
      </c>
      <c r="S316" s="263">
        <f t="shared" ca="1" si="42"/>
        <v>0.15449536929799548</v>
      </c>
      <c r="T316" s="263">
        <f t="shared" ca="1" si="42"/>
        <v>0.18082181450902896</v>
      </c>
      <c r="U316" s="263">
        <f t="shared" ca="1" si="42"/>
        <v>0.21421631542683986</v>
      </c>
      <c r="V316" s="263">
        <f t="shared" ca="1" si="42"/>
        <v>0.24843187550371887</v>
      </c>
      <c r="W316" s="263">
        <f t="shared" ca="1" si="42"/>
        <v>0.28164220843074084</v>
      </c>
      <c r="X316" s="263">
        <f t="shared" ca="1" si="42"/>
        <v>0.31224046391408422</v>
      </c>
      <c r="Y316" s="263">
        <f t="shared" ca="1" si="42"/>
        <v>0.33746767570533515</v>
      </c>
      <c r="Z316" s="263">
        <f t="shared" ca="1" si="42"/>
        <v>0.35954023542282543</v>
      </c>
      <c r="AA316" s="263">
        <f t="shared" ca="1" si="42"/>
        <v>0.37961137082000185</v>
      </c>
      <c r="AB316" s="263">
        <f t="shared" ca="1" si="42"/>
        <v>0.39771138288929037</v>
      </c>
      <c r="AC316" s="263">
        <f t="shared" ca="1" si="42"/>
        <v>0.41389861527933058</v>
      </c>
      <c r="AD316" s="263">
        <f t="shared" ca="1" si="42"/>
        <v>0.42842975476870038</v>
      </c>
      <c r="AE316" s="263">
        <f t="shared" ca="1" si="42"/>
        <v>0.43852424920245797</v>
      </c>
      <c r="AF316" s="263">
        <f t="shared" ca="1" si="42"/>
        <v>0.44887192698262057</v>
      </c>
      <c r="AG316" s="263">
        <f t="shared" ca="1" si="42"/>
        <v>0.45990689082521574</v>
      </c>
      <c r="AH316" s="263">
        <f t="shared" ca="1" si="42"/>
        <v>0.47063011231143664</v>
      </c>
      <c r="AI316" s="263">
        <f t="shared" ca="1" si="42"/>
        <v>0.48083954432413245</v>
      </c>
      <c r="AJ316" s="263">
        <f t="shared" ca="1" si="42"/>
        <v>0.49107218706335437</v>
      </c>
      <c r="AK316" s="263">
        <f t="shared" ca="1" si="42"/>
        <v>0.50092854276048082</v>
      </c>
      <c r="AL316" s="263">
        <f t="shared" ca="1" si="42"/>
        <v>0.51104111458101165</v>
      </c>
      <c r="AM316" s="263">
        <f t="shared" ca="1" si="42"/>
        <v>0.52123966838167379</v>
      </c>
      <c r="AN316" s="263">
        <f t="shared" ca="1" si="42"/>
        <v>0.53125520281866356</v>
      </c>
      <c r="AO316" s="263">
        <f t="shared" ca="1" si="42"/>
        <v>0.54089039639855641</v>
      </c>
      <c r="AP316" s="263">
        <f t="shared" ca="1" si="42"/>
        <v>0.5503540227347834</v>
      </c>
      <c r="AQ316" s="263">
        <f t="shared" ca="1" si="42"/>
        <v>0.55869616240549114</v>
      </c>
      <c r="AR316" s="263">
        <f t="shared" ca="1" si="42"/>
        <v>0.56702818757459483</v>
      </c>
      <c r="AS316" s="263">
        <f t="shared" ca="1" si="42"/>
        <v>0.57555220005543262</v>
      </c>
      <c r="AT316" s="263">
        <f t="shared" ca="1" si="42"/>
        <v>0.58392384682420084</v>
      </c>
      <c r="AU316" s="263">
        <f t="shared" ca="1" si="42"/>
        <v>0.5921909871924802</v>
      </c>
      <c r="AV316" s="263">
        <f t="shared" ca="1" si="42"/>
        <v>0.60018958626145102</v>
      </c>
      <c r="AW316" s="263">
        <f t="shared" ca="1" si="42"/>
        <v>0.60761561217243887</v>
      </c>
      <c r="AX316" s="263">
        <f t="shared" ca="1" si="42"/>
        <v>0.61486183432147379</v>
      </c>
      <c r="AY316" s="263">
        <f t="shared" ca="1" si="42"/>
        <v>0.62207831488701948</v>
      </c>
      <c r="AZ316" s="263">
        <f t="shared" ca="1" si="42"/>
        <v>0.62910111021883508</v>
      </c>
      <c r="BA316" s="263">
        <f t="shared" ca="1" si="42"/>
        <v>0.63589535090480187</v>
      </c>
      <c r="BB316" s="263">
        <f t="shared" ca="1" si="42"/>
        <v>0.64233428692137462</v>
      </c>
      <c r="BC316" s="263">
        <f t="shared" ca="1" si="42"/>
        <v>0.64794129668892442</v>
      </c>
      <c r="BD316" s="263">
        <f t="shared" ca="1" si="42"/>
        <v>0.65343669658481796</v>
      </c>
      <c r="BE316" s="263">
        <f t="shared" ca="1" si="42"/>
        <v>0.65882428126492698</v>
      </c>
      <c r="BF316" s="263">
        <f t="shared" ca="1" si="42"/>
        <v>0.6640159699445346</v>
      </c>
      <c r="BG316" s="263">
        <f t="shared" ca="1" si="42"/>
        <v>0.66910220304463508</v>
      </c>
      <c r="BH316" s="263">
        <f t="shared" ca="1" si="42"/>
        <v>0.67407979863901535</v>
      </c>
      <c r="BI316" s="263">
        <f t="shared" ca="1" si="42"/>
        <v>0.67877489472884656</v>
      </c>
      <c r="BJ316" s="263">
        <f t="shared" ca="1" si="42"/>
        <v>0.68336643672866815</v>
      </c>
      <c r="BK316" s="263">
        <f t="shared" ca="1" si="42"/>
        <v>0.68785199203439273</v>
      </c>
      <c r="BL316" s="263">
        <f t="shared" ca="1" si="42"/>
        <v>0.69222676015341278</v>
      </c>
      <c r="BM316" s="263">
        <f t="shared" ca="1" si="42"/>
        <v>0.69648526688967294</v>
      </c>
      <c r="BN316" s="263">
        <f t="shared" ca="1" si="42"/>
        <v>0.70062414615163837</v>
      </c>
      <c r="BO316" s="263">
        <f t="shared" ca="1" si="42"/>
        <v>0.70291300251350486</v>
      </c>
      <c r="BP316" s="263">
        <f t="shared" ca="1" si="42"/>
        <v>0.70635671933994293</v>
      </c>
      <c r="BQ316" s="263">
        <f t="shared" ca="1" si="42"/>
        <v>0.70975279389738055</v>
      </c>
      <c r="BR316" s="263">
        <f t="shared" ca="1" si="42"/>
        <v>0.71306981832110028</v>
      </c>
      <c r="BS316" s="263">
        <f t="shared" ca="1" si="42"/>
        <v>0.71586004906692047</v>
      </c>
      <c r="BT316" s="263">
        <f t="shared" ref="BT316:BZ316" ca="1" si="43">SUM(BT300:BT314)</f>
        <v>0.71857260121981403</v>
      </c>
      <c r="BU316" s="263">
        <f t="shared" ca="1" si="43"/>
        <v>0.72120674940844631</v>
      </c>
      <c r="BV316" s="263">
        <f t="shared" ca="1" si="43"/>
        <v>0.72291707113946491</v>
      </c>
      <c r="BW316" s="263">
        <f t="shared" ca="1" si="43"/>
        <v>0.72457614688266081</v>
      </c>
      <c r="BX316" s="263">
        <f t="shared" ca="1" si="43"/>
        <v>0.72618323317392253</v>
      </c>
      <c r="BY316" s="263">
        <f t="shared" ca="1" si="43"/>
        <v>0.72773660494198045</v>
      </c>
      <c r="BZ316" s="263">
        <f t="shared" ca="1" si="43"/>
        <v>0.73067779446629855</v>
      </c>
      <c r="CA316" s="263"/>
      <c r="CB316" s="263"/>
      <c r="CC316" s="263"/>
      <c r="CD316" s="263"/>
      <c r="CE316" s="263"/>
      <c r="CF316" s="263"/>
      <c r="CG316" s="263"/>
      <c r="CH316" s="263"/>
      <c r="CI316" s="263"/>
      <c r="CJ316" s="263"/>
      <c r="CK316" s="263"/>
      <c r="CL316" s="263"/>
      <c r="CM316" s="263"/>
      <c r="CN316" s="263"/>
      <c r="CO316" s="263"/>
      <c r="CP316" s="263"/>
      <c r="CQ316" s="263"/>
      <c r="CR316" s="263"/>
      <c r="CS316" s="263"/>
      <c r="CT316" s="263"/>
      <c r="CU316" s="263"/>
      <c r="CV316" s="263"/>
      <c r="CW316" s="263"/>
      <c r="CX316" s="263"/>
      <c r="CY316" s="263"/>
      <c r="CZ316" s="263"/>
      <c r="DA316" s="263"/>
      <c r="DB316" s="263"/>
      <c r="DC316" s="263"/>
      <c r="DD316" s="263"/>
      <c r="DE316" s="263"/>
      <c r="DF316" s="263"/>
      <c r="DG316" s="263"/>
      <c r="DH316" s="263"/>
      <c r="DI316" s="263"/>
      <c r="DJ316" s="263"/>
      <c r="DK316" s="263"/>
      <c r="DL316" s="263"/>
      <c r="DM316" s="263"/>
      <c r="DN316" s="263"/>
      <c r="DO316" s="263"/>
      <c r="DP316" s="263"/>
      <c r="DQ316" s="263"/>
      <c r="DR316" s="263"/>
      <c r="DS316" s="263"/>
      <c r="DT316" s="263"/>
      <c r="DU316" s="263"/>
      <c r="DV316" s="263"/>
      <c r="DW316" s="263"/>
      <c r="DX316" s="263"/>
      <c r="DY316" s="263"/>
      <c r="DZ316" s="263"/>
      <c r="EA316" s="263"/>
      <c r="EB316" s="263"/>
      <c r="EC316" s="263"/>
      <c r="ED316" s="263"/>
      <c r="EE316" s="263"/>
      <c r="EF316" s="263"/>
      <c r="EG316" s="263"/>
      <c r="EH316" s="263"/>
      <c r="EI316" s="263"/>
      <c r="EJ316" s="263"/>
      <c r="EK316" s="263"/>
      <c r="EL316" s="263"/>
      <c r="EM316" s="263"/>
      <c r="EN316" s="263"/>
      <c r="EO316" s="263"/>
      <c r="EP316" s="263"/>
      <c r="EQ316" s="263"/>
      <c r="ER316" s="263"/>
      <c r="ES316" s="263"/>
      <c r="ET316" s="263"/>
      <c r="EU316" s="263"/>
      <c r="EV316" s="263"/>
      <c r="EW316" s="263"/>
      <c r="EX316" s="263"/>
      <c r="EY316" s="263"/>
      <c r="EZ316" s="263"/>
      <c r="FA316" s="263"/>
      <c r="FB316" s="263"/>
      <c r="FC316" s="263"/>
      <c r="FD316" s="263"/>
      <c r="FE316" s="263"/>
      <c r="FF316" s="263"/>
      <c r="FG316" s="263"/>
      <c r="FH316" s="263"/>
      <c r="FI316" s="263"/>
      <c r="FJ316" s="263"/>
      <c r="FK316" s="263"/>
      <c r="FL316" s="263"/>
      <c r="FM316" s="263"/>
      <c r="FN316" s="263"/>
      <c r="FO316" s="263"/>
      <c r="FP316" s="263"/>
      <c r="FQ316" s="263"/>
      <c r="FR316" s="263"/>
      <c r="FS316" s="263"/>
      <c r="FT316" s="263"/>
      <c r="FU316" s="263"/>
      <c r="FV316" s="263"/>
      <c r="FW316" s="263"/>
      <c r="FX316" s="263"/>
      <c r="FY316" s="263"/>
      <c r="FZ316" s="263"/>
      <c r="GA316" s="263"/>
      <c r="GB316" s="263"/>
      <c r="GC316" s="263"/>
      <c r="GD316" s="263"/>
      <c r="GE316" s="263"/>
      <c r="GF316" s="263"/>
      <c r="GG316" s="263"/>
      <c r="GH316" s="263"/>
      <c r="GI316" s="263"/>
      <c r="GJ316" s="263"/>
      <c r="GK316" s="263"/>
      <c r="GL316" s="263"/>
      <c r="GM316" s="263"/>
      <c r="GN316" s="263"/>
      <c r="GO316" s="263"/>
      <c r="GP316" s="263"/>
      <c r="GQ316" s="263"/>
      <c r="GR316" s="263"/>
      <c r="GS316" s="263"/>
      <c r="GT316" s="263"/>
      <c r="GU316" s="263"/>
      <c r="GV316" s="263"/>
      <c r="GW316" s="263"/>
      <c r="GX316" s="263"/>
      <c r="GY316" s="263"/>
    </row>
    <row r="317" spans="1:207" x14ac:dyDescent="0.15">
      <c r="A317" s="62"/>
      <c r="D317" s="26" t="s">
        <v>261</v>
      </c>
      <c r="F317" s="80"/>
      <c r="G317" s="262">
        <f ca="1">G316</f>
        <v>3.429902928923262E-3</v>
      </c>
      <c r="H317" s="262">
        <f ca="1">IF(H7&gt;(SAP_Leadsheet!$E$21+12),0,SAP_Spreadsheet!H316-SAP_Spreadsheet!G316)</f>
        <v>4.3253699163060474E-3</v>
      </c>
      <c r="I317" s="262">
        <f ca="1">IF(I7&gt;(SAP_Leadsheet!$E$21+12),0,SAP_Spreadsheet!I316-SAP_Spreadsheet!H316)</f>
        <v>3.9079776793543488E-3</v>
      </c>
      <c r="J317" s="262">
        <f ca="1">IF(J7&gt;(SAP_Leadsheet!$E$21+12),0,SAP_Spreadsheet!J316-SAP_Spreadsheet!I316)</f>
        <v>3.1440529351913545E-3</v>
      </c>
      <c r="K317" s="262">
        <f ca="1">IF(K7&gt;(SAP_Leadsheet!$E$21+12),0,SAP_Spreadsheet!K316-SAP_Spreadsheet!J316)</f>
        <v>6.2499684939391013E-3</v>
      </c>
      <c r="L317" s="262">
        <f ca="1">IF(L7&gt;(SAP_Leadsheet!$E$21+12),0,SAP_Spreadsheet!L316-SAP_Spreadsheet!K316)</f>
        <v>8.5793033893277679E-3</v>
      </c>
      <c r="M317" s="262">
        <f ca="1">IF(M7&gt;(SAP_Leadsheet!$E$21+12),0,SAP_Spreadsheet!M316-SAP_Spreadsheet!L316)</f>
        <v>9.1222773577458414E-3</v>
      </c>
      <c r="N317" s="262">
        <f ca="1">IF(N7&gt;(SAP_Leadsheet!$E$21+12),0,SAP_Spreadsheet!N316-SAP_Spreadsheet!M316)</f>
        <v>1.6097505968262045E-2</v>
      </c>
      <c r="O317" s="262">
        <f ca="1">IF(O7&gt;(SAP_Leadsheet!$E$21+12),0,SAP_Spreadsheet!O316-SAP_Spreadsheet!N316)</f>
        <v>2.0841322470397966E-2</v>
      </c>
      <c r="P317" s="262">
        <f ca="1">IF(P7&gt;(SAP_Leadsheet!$E$21+12),0,SAP_Spreadsheet!P316-SAP_Spreadsheet!O316)</f>
        <v>2.2190563885195747E-2</v>
      </c>
      <c r="Q317" s="262">
        <f ca="1">IF(Q7&gt;(SAP_Leadsheet!$E$21+12),0,SAP_Spreadsheet!Q316-SAP_Spreadsheet!P316)</f>
        <v>2.1111530315749347E-2</v>
      </c>
      <c r="R317" s="262">
        <f ca="1">IF(R7&gt;(SAP_Leadsheet!$E$21+12),0,SAP_Spreadsheet!R316-SAP_Spreadsheet!Q316)</f>
        <v>1.922542818556075E-2</v>
      </c>
      <c r="S317" s="262">
        <f ca="1">IF(S7&gt;(SAP_Leadsheet!$E$21+12),0,SAP_Spreadsheet!S316-SAP_Spreadsheet!R316)</f>
        <v>1.6270165772041906E-2</v>
      </c>
      <c r="T317" s="262">
        <f ca="1">IF(T7&gt;(SAP_Leadsheet!$E$21+12),0,SAP_Spreadsheet!T316-SAP_Spreadsheet!S316)</f>
        <v>2.6326445211033472E-2</v>
      </c>
      <c r="U317" s="262">
        <f ca="1">IF(U7&gt;(SAP_Leadsheet!$E$21+12),0,SAP_Spreadsheet!U316-SAP_Spreadsheet!T316)</f>
        <v>3.3394500917810904E-2</v>
      </c>
      <c r="V317" s="262">
        <f ca="1">IF(V7&gt;(SAP_Leadsheet!$E$21+12),0,SAP_Spreadsheet!V316-SAP_Spreadsheet!U316)</f>
        <v>3.4215560076879009E-2</v>
      </c>
      <c r="W317" s="262">
        <f ca="1">IF(W7&gt;(SAP_Leadsheet!$E$21+12),0,SAP_Spreadsheet!W316-SAP_Spreadsheet!V316)</f>
        <v>3.3210332927021968E-2</v>
      </c>
      <c r="X317" s="262">
        <f ca="1">IF(X7&gt;(SAP_Leadsheet!$E$21+12),0,SAP_Spreadsheet!X316-SAP_Spreadsheet!W316)</f>
        <v>3.0598255483343384E-2</v>
      </c>
      <c r="Y317" s="262">
        <f ca="1">IF(Y7&gt;(SAP_Leadsheet!$E$21+12),0,SAP_Spreadsheet!Y316-SAP_Spreadsheet!X316)</f>
        <v>2.5227211791250925E-2</v>
      </c>
      <c r="Z317" s="262">
        <f ca="1">IF(Z7&gt;(SAP_Leadsheet!$E$21+12),0,SAP_Spreadsheet!Z316-SAP_Spreadsheet!Y316)</f>
        <v>2.2072559717490281E-2</v>
      </c>
      <c r="AA317" s="262">
        <f ca="1">IF(AA7&gt;(SAP_Leadsheet!$E$21+12),0,SAP_Spreadsheet!AA316-SAP_Spreadsheet!Z316)</f>
        <v>2.0071135397176421E-2</v>
      </c>
      <c r="AB317" s="262">
        <f ca="1">IF(AB7&gt;(SAP_Leadsheet!$E$21+12),0,SAP_Spreadsheet!AB316-SAP_Spreadsheet!AA316)</f>
        <v>1.8100012069288518E-2</v>
      </c>
      <c r="AC317" s="262">
        <f ca="1">IF(AC7&gt;(SAP_Leadsheet!$E$21+12),0,SAP_Spreadsheet!AC316-SAP_Spreadsheet!AB316)</f>
        <v>1.6187232390040218E-2</v>
      </c>
      <c r="AD317" s="262">
        <f ca="1">IF(AD7&gt;(SAP_Leadsheet!$E$21+12),0,SAP_Spreadsheet!AD316-SAP_Spreadsheet!AC316)</f>
        <v>1.4531139489369793E-2</v>
      </c>
      <c r="AE317" s="262">
        <f ca="1">IF(AE7&gt;(SAP_Leadsheet!$E$21+12),0,SAP_Spreadsheet!AE316-SAP_Spreadsheet!AD316)</f>
        <v>1.0094494433757595E-2</v>
      </c>
      <c r="AF317" s="262">
        <f ca="1">IF(AF7&gt;(SAP_Leadsheet!$E$21+12),0,SAP_Spreadsheet!AF316-SAP_Spreadsheet!AE316)</f>
        <v>1.0347677780162601E-2</v>
      </c>
      <c r="AG317" s="262">
        <f ca="1">IF(AG7&gt;(SAP_Leadsheet!$E$21+12),0,SAP_Spreadsheet!AG316-SAP_Spreadsheet!AF316)</f>
        <v>1.1034963842595169E-2</v>
      </c>
      <c r="AH317" s="262">
        <f ca="1">IF(AH7&gt;(SAP_Leadsheet!$E$21+12),0,SAP_Spreadsheet!AH316-SAP_Spreadsheet!AG316)</f>
        <v>1.0723221486220902E-2</v>
      </c>
      <c r="AI317" s="262">
        <f ca="1">IF(AI7&gt;(SAP_Leadsheet!$E$21+12),0,SAP_Spreadsheet!AI316-SAP_Spreadsheet!AH316)</f>
        <v>1.0209432012695807E-2</v>
      </c>
      <c r="AJ317" s="262">
        <f ca="1">IF(AJ7&gt;(SAP_Leadsheet!$E$21+12),0,SAP_Spreadsheet!AJ316-SAP_Spreadsheet!AI316)</f>
        <v>1.023264273922192E-2</v>
      </c>
      <c r="AK317" s="262">
        <f ca="1">IF(AK7&gt;(SAP_Leadsheet!$E$21+12),0,SAP_Spreadsheet!AK316-SAP_Spreadsheet!AJ316)</f>
        <v>9.856355697126451E-3</v>
      </c>
      <c r="AL317" s="262">
        <f ca="1">IF(AL7&gt;(SAP_Leadsheet!$E$21+12),0,SAP_Spreadsheet!AL316-SAP_Spreadsheet!AK316)</f>
        <v>1.0112571820530825E-2</v>
      </c>
      <c r="AM317" s="262">
        <f ca="1">IF(AM7&gt;(SAP_Leadsheet!$E$21+12),0,SAP_Spreadsheet!AM316-SAP_Spreadsheet!AL316)</f>
        <v>1.0198553800662147E-2</v>
      </c>
      <c r="AN317" s="262">
        <f ca="1">IF(AN7&gt;(SAP_Leadsheet!$E$21+12),0,SAP_Spreadsheet!AN316-SAP_Spreadsheet!AM316)</f>
        <v>1.001553443698977E-2</v>
      </c>
      <c r="AO317" s="262">
        <f ca="1">IF(AO7&gt;(SAP_Leadsheet!$E$21+12),0,SAP_Spreadsheet!AO316-SAP_Spreadsheet!AN316)</f>
        <v>9.6351935798928423E-3</v>
      </c>
      <c r="AP317" s="262">
        <f ca="1">IF(AP7&gt;(SAP_Leadsheet!$E$21+12),0,SAP_Spreadsheet!AP316-SAP_Spreadsheet!AO316)</f>
        <v>9.4636263362269935E-3</v>
      </c>
      <c r="AQ317" s="262">
        <f ca="1">IF(AQ7&gt;(SAP_Leadsheet!$E$21+12),0,SAP_Spreadsheet!AQ316-SAP_Spreadsheet!AP316)</f>
        <v>8.3421396707077378E-3</v>
      </c>
      <c r="AR317" s="262">
        <f ca="1">IF(AR7&gt;(SAP_Leadsheet!$E$21+12),0,SAP_Spreadsheet!AR316-SAP_Spreadsheet!AQ316)</f>
        <v>8.3320251691036962E-3</v>
      </c>
      <c r="AS317" s="262">
        <f ca="1">IF(AS7&gt;(SAP_Leadsheet!$E$21+12),0,SAP_Spreadsheet!AS316-SAP_Spreadsheet!AR316)</f>
        <v>8.5240124808377837E-3</v>
      </c>
      <c r="AT317" s="262">
        <f ca="1">IF(AT7&gt;(SAP_Leadsheet!$E$21+12),0,SAP_Spreadsheet!AT316-SAP_Spreadsheet!AS316)</f>
        <v>8.3716467687682261E-3</v>
      </c>
      <c r="AU317" s="262">
        <f ca="1">IF(AU7&gt;(SAP_Leadsheet!$E$21+12),0,SAP_Spreadsheet!AU316-SAP_Spreadsheet!AT316)</f>
        <v>8.2671403682793576E-3</v>
      </c>
      <c r="AV317" s="262">
        <f ca="1">IF(AV7&gt;(SAP_Leadsheet!$E$21+12),0,SAP_Spreadsheet!AV316-SAP_Spreadsheet!AU316)</f>
        <v>7.9985990689708242E-3</v>
      </c>
      <c r="AW317" s="262">
        <f ca="1">IF(AW7&gt;(SAP_Leadsheet!$E$21+12),0,SAP_Spreadsheet!AW316-SAP_Spreadsheet!AV316)</f>
        <v>7.4260259109878435E-3</v>
      </c>
      <c r="AX317" s="262">
        <f ca="1">IF(AX7&gt;(SAP_Leadsheet!$E$21+12),0,SAP_Spreadsheet!AX316-SAP_Spreadsheet!AW316)</f>
        <v>7.2462221490349199E-3</v>
      </c>
      <c r="AY317" s="262">
        <f ca="1">IF(AY7&gt;(SAP_Leadsheet!$E$21+12),0,SAP_Spreadsheet!AY316-SAP_Spreadsheet!AX316)</f>
        <v>7.216480565545691E-3</v>
      </c>
      <c r="AZ317" s="262">
        <f ca="1">IF(AZ7&gt;(SAP_Leadsheet!$E$21+12),0,SAP_Spreadsheet!AZ316-SAP_Spreadsheet!AY316)</f>
        <v>7.0227953318156011E-3</v>
      </c>
      <c r="BA317" s="262">
        <f ca="1">IF(BA7&gt;(SAP_Leadsheet!$E$21+12),0,SAP_Spreadsheet!BA316-SAP_Spreadsheet!AZ316)</f>
        <v>6.7942406859667903E-3</v>
      </c>
      <c r="BB317" s="262">
        <f ca="1">IF(BB7&gt;(SAP_Leadsheet!$E$21+12),0,SAP_Spreadsheet!BB316-SAP_Spreadsheet!BA316)</f>
        <v>6.4389360165727494E-3</v>
      </c>
      <c r="BC317" s="262">
        <f ca="1">IF(BC7&gt;(SAP_Leadsheet!$E$21+12),0,SAP_Spreadsheet!BC316-SAP_Spreadsheet!BB316)</f>
        <v>5.6070097675497976E-3</v>
      </c>
      <c r="BD317" s="262">
        <f ca="1">IF(BD7&gt;(SAP_Leadsheet!$E$21+12),0,SAP_Spreadsheet!BD316-SAP_Spreadsheet!BC316)</f>
        <v>5.4953998958935379E-3</v>
      </c>
      <c r="BE317" s="262">
        <f ca="1">IF(BE7&gt;(SAP_Leadsheet!$E$21+12),0,SAP_Spreadsheet!BE316-SAP_Spreadsheet!BD316)</f>
        <v>5.3875846801090255E-3</v>
      </c>
      <c r="BF317" s="262">
        <f ca="1">IF(BF7&gt;(SAP_Leadsheet!$E$21+12),0,SAP_Spreadsheet!BF316-SAP_Spreadsheet!BE316)</f>
        <v>5.19168867960762E-3</v>
      </c>
      <c r="BG317" s="262">
        <f ca="1">IF(BG7&gt;(SAP_Leadsheet!$E$21+12),0,SAP_Spreadsheet!BG316-SAP_Spreadsheet!BF316)</f>
        <v>5.086233100100479E-3</v>
      </c>
      <c r="BH317" s="262">
        <f ca="1">IF(BH7&gt;(SAP_Leadsheet!$E$21+12),0,SAP_Spreadsheet!BH316-SAP_Spreadsheet!BG316)</f>
        <v>4.9775955943802686E-3</v>
      </c>
      <c r="BI317" s="262">
        <f ca="1">IF(BI7&gt;(SAP_Leadsheet!$E$21+12),0,SAP_Spreadsheet!BI316-SAP_Spreadsheet!BH316)</f>
        <v>4.6950960898312077E-3</v>
      </c>
      <c r="BJ317" s="262">
        <f ca="1">IF(BJ7&gt;(SAP_Leadsheet!$E$21+12),0,SAP_Spreadsheet!BJ316-SAP_Spreadsheet!BI316)</f>
        <v>4.5915419998215912E-3</v>
      </c>
      <c r="BK317" s="262">
        <f ca="1">IF(BK7&gt;(SAP_Leadsheet!$E$21+12),0,SAP_Spreadsheet!BK316-SAP_Spreadsheet!BJ316)</f>
        <v>4.4855553057245867E-3</v>
      </c>
      <c r="BL317" s="262">
        <f ca="1">IF(BL7&gt;(SAP_Leadsheet!$E$21+12),0,SAP_Spreadsheet!BL316-SAP_Spreadsheet!BK316)</f>
        <v>4.3747681190200449E-3</v>
      </c>
      <c r="BM317" s="262">
        <f ca="1">IF(BM7&gt;(SAP_Leadsheet!$E$21+12),0,SAP_Spreadsheet!BM316-SAP_Spreadsheet!BL316)</f>
        <v>4.2585067362601592E-3</v>
      </c>
      <c r="BN317" s="262">
        <f ca="1">IF(BN7&gt;(SAP_Leadsheet!$E$21+12),0,SAP_Spreadsheet!BN316-SAP_Spreadsheet!BM316)</f>
        <v>4.1388792619654335E-3</v>
      </c>
      <c r="BO317" s="262">
        <f ca="1">IF(BO7&gt;(SAP_Leadsheet!$E$21+12),0,SAP_Spreadsheet!BO316-SAP_Spreadsheet!BN316)</f>
        <v>2.288856361866487E-3</v>
      </c>
      <c r="BP317" s="262">
        <f ca="1">IF(BP7&gt;(SAP_Leadsheet!$E$21+12),0,SAP_Spreadsheet!BP316-SAP_Spreadsheet!BO316)</f>
        <v>3.4437168264380702E-3</v>
      </c>
      <c r="BQ317" s="262">
        <f ca="1">IF(BQ7&gt;(SAP_Leadsheet!$E$21+12),0,SAP_Spreadsheet!BQ316-SAP_Spreadsheet!BP316)</f>
        <v>3.3960745574376228E-3</v>
      </c>
      <c r="BR317" s="262">
        <f ca="1">IF(BR7&gt;(SAP_Leadsheet!$E$21+12),0,SAP_Spreadsheet!BR316-SAP_Spreadsheet!BQ316)</f>
        <v>3.3170244237197277E-3</v>
      </c>
      <c r="BS317" s="262">
        <f ca="1">IF(BS7&gt;(SAP_Leadsheet!$E$21+12),0,SAP_Spreadsheet!BS316-SAP_Spreadsheet!BR316)</f>
        <v>2.790230745820188E-3</v>
      </c>
      <c r="BT317" s="262">
        <f ca="1">IF(BT7&gt;(SAP_Leadsheet!$E$21+12),0,SAP_Spreadsheet!BT316-SAP_Spreadsheet!BS316)</f>
        <v>2.7125521528935659E-3</v>
      </c>
      <c r="BU317" s="262">
        <f ca="1">IF(BU7&gt;(SAP_Leadsheet!$E$21+12),0,SAP_Spreadsheet!BU316-SAP_Spreadsheet!BT316)</f>
        <v>2.6341481886322793E-3</v>
      </c>
      <c r="BV317" s="262">
        <f ca="1">IF(BV7&gt;(SAP_Leadsheet!$E$21+12),0,SAP_Spreadsheet!BV316-SAP_Spreadsheet!BU316)</f>
        <v>1.7103217310185936E-3</v>
      </c>
      <c r="BW317" s="262">
        <f ca="1">IF(BW7&gt;(SAP_Leadsheet!$E$21+12),0,SAP_Spreadsheet!BW316-SAP_Spreadsheet!BV316)</f>
        <v>1.6590757431959036E-3</v>
      </c>
      <c r="BX317" s="262">
        <f ca="1">IF(BX7&gt;(SAP_Leadsheet!$E$21+12),0,SAP_Spreadsheet!BX316-SAP_Spreadsheet!BW316)</f>
        <v>1.6070862912617168E-3</v>
      </c>
      <c r="BY317" s="262">
        <f ca="1">IF(BY7&gt;(SAP_Leadsheet!$E$21+12),0,SAP_Spreadsheet!BY316-SAP_Spreadsheet!BX316)</f>
        <v>1.5533717680579207E-3</v>
      </c>
      <c r="BZ317" s="262">
        <f ca="1">IF(BZ7&gt;(SAP_Leadsheet!$E$21+12),0,SAP_Spreadsheet!BZ316-SAP_Spreadsheet!BY316)</f>
        <v>2.9411895243180997E-3</v>
      </c>
      <c r="CA317" s="263"/>
      <c r="CB317" s="263"/>
      <c r="CC317" s="263"/>
      <c r="CD317" s="263"/>
      <c r="CE317" s="263"/>
      <c r="CF317" s="263"/>
      <c r="CG317" s="263"/>
      <c r="CH317" s="263"/>
      <c r="CI317" s="263"/>
      <c r="CJ317" s="263"/>
      <c r="CK317" s="263"/>
      <c r="CL317" s="263"/>
      <c r="CM317" s="263"/>
      <c r="CN317" s="263"/>
      <c r="CO317" s="263"/>
      <c r="CP317" s="263"/>
      <c r="CQ317" s="263"/>
      <c r="CR317" s="263"/>
      <c r="CS317" s="263"/>
      <c r="CT317" s="263"/>
      <c r="CU317" s="263"/>
      <c r="CV317" s="263"/>
      <c r="CW317" s="263"/>
      <c r="CX317" s="263"/>
      <c r="CY317" s="263"/>
      <c r="CZ317" s="263"/>
      <c r="DA317" s="263"/>
      <c r="DB317" s="263"/>
      <c r="DC317" s="263"/>
      <c r="DD317" s="263"/>
      <c r="DE317" s="263"/>
      <c r="DF317" s="263"/>
      <c r="DG317" s="263"/>
      <c r="DH317" s="263"/>
      <c r="DI317" s="263"/>
      <c r="DJ317" s="263"/>
      <c r="DK317" s="263"/>
      <c r="DL317" s="263"/>
      <c r="DM317" s="263"/>
      <c r="DN317" s="263"/>
      <c r="DO317" s="263"/>
      <c r="DP317" s="263"/>
      <c r="DQ317" s="263"/>
      <c r="DR317" s="263"/>
      <c r="DS317" s="263"/>
      <c r="DT317" s="263"/>
      <c r="DU317" s="263"/>
      <c r="DV317" s="263"/>
      <c r="DW317" s="263"/>
      <c r="DX317" s="263"/>
      <c r="DY317" s="263"/>
      <c r="DZ317" s="263"/>
      <c r="EA317" s="263"/>
      <c r="EB317" s="263"/>
      <c r="EC317" s="263"/>
      <c r="ED317" s="263"/>
      <c r="EE317" s="263"/>
      <c r="EF317" s="263"/>
      <c r="EG317" s="263"/>
      <c r="EH317" s="263"/>
      <c r="EI317" s="263"/>
      <c r="EJ317" s="263"/>
      <c r="EK317" s="263"/>
      <c r="EL317" s="263"/>
      <c r="EM317" s="263"/>
      <c r="EN317" s="263"/>
      <c r="EO317" s="263"/>
      <c r="EP317" s="263"/>
      <c r="EQ317" s="263"/>
      <c r="ER317" s="263"/>
      <c r="ES317" s="263"/>
      <c r="ET317" s="263"/>
      <c r="EU317" s="263"/>
      <c r="EV317" s="263"/>
      <c r="EW317" s="263"/>
      <c r="EX317" s="263"/>
      <c r="EY317" s="263"/>
      <c r="EZ317" s="263"/>
      <c r="FA317" s="263"/>
      <c r="FB317" s="263"/>
      <c r="FC317" s="263"/>
      <c r="FD317" s="263"/>
      <c r="FE317" s="263"/>
      <c r="FF317" s="263"/>
      <c r="FG317" s="263"/>
      <c r="FH317" s="263"/>
      <c r="FI317" s="263"/>
      <c r="FJ317" s="263"/>
      <c r="FK317" s="263"/>
      <c r="FL317" s="263"/>
      <c r="FM317" s="263"/>
      <c r="FN317" s="263"/>
      <c r="FO317" s="263"/>
      <c r="FP317" s="263"/>
      <c r="FQ317" s="263"/>
      <c r="FR317" s="263"/>
      <c r="FS317" s="263"/>
      <c r="FT317" s="263"/>
      <c r="FU317" s="263"/>
      <c r="FV317" s="263"/>
      <c r="FW317" s="263"/>
      <c r="FX317" s="263"/>
      <c r="FY317" s="263"/>
      <c r="FZ317" s="263"/>
      <c r="GA317" s="263"/>
      <c r="GB317" s="263"/>
      <c r="GC317" s="263"/>
      <c r="GD317" s="263"/>
      <c r="GE317" s="263"/>
      <c r="GF317" s="263"/>
      <c r="GG317" s="263"/>
      <c r="GH317" s="263"/>
      <c r="GI317" s="263"/>
      <c r="GJ317" s="263"/>
      <c r="GK317" s="263"/>
      <c r="GL317" s="263"/>
      <c r="GM317" s="263"/>
      <c r="GN317" s="263"/>
      <c r="GO317" s="263"/>
      <c r="GP317" s="263"/>
      <c r="GQ317" s="263"/>
      <c r="GR317" s="263"/>
      <c r="GS317" s="263"/>
      <c r="GT317" s="263"/>
      <c r="GU317" s="263"/>
      <c r="GV317" s="263"/>
      <c r="GW317" s="263"/>
      <c r="GX317" s="263"/>
      <c r="GY317" s="263"/>
    </row>
    <row r="318" spans="1:207" x14ac:dyDescent="0.15">
      <c r="A318" s="62"/>
      <c r="F318" s="80"/>
      <c r="G318" s="263"/>
      <c r="H318" s="263"/>
      <c r="I318" s="263"/>
      <c r="J318" s="263"/>
      <c r="K318" s="263"/>
      <c r="L318" s="263"/>
      <c r="M318" s="263"/>
      <c r="N318" s="263"/>
      <c r="O318" s="263"/>
      <c r="P318" s="263"/>
      <c r="Q318" s="263"/>
      <c r="R318" s="263"/>
      <c r="S318" s="263"/>
      <c r="T318" s="263"/>
      <c r="U318" s="263"/>
      <c r="V318" s="263"/>
      <c r="W318" s="263"/>
      <c r="X318" s="263"/>
      <c r="Y318" s="263"/>
      <c r="Z318" s="263"/>
      <c r="AA318" s="263"/>
      <c r="AB318" s="263"/>
      <c r="AC318" s="263"/>
      <c r="AD318" s="263"/>
      <c r="AE318" s="263"/>
      <c r="AF318" s="263"/>
      <c r="AG318" s="263"/>
      <c r="AH318" s="263"/>
      <c r="AI318" s="263"/>
      <c r="AJ318" s="263"/>
      <c r="AK318" s="263"/>
      <c r="AL318" s="263"/>
      <c r="AM318" s="263"/>
      <c r="AN318" s="263"/>
      <c r="AO318" s="263"/>
      <c r="AP318" s="263"/>
      <c r="AQ318" s="263"/>
      <c r="AR318" s="263"/>
      <c r="AS318" s="263"/>
      <c r="AT318" s="263"/>
      <c r="AU318" s="263"/>
      <c r="AV318" s="263"/>
      <c r="AW318" s="263"/>
      <c r="AX318" s="263"/>
      <c r="AY318" s="263"/>
      <c r="AZ318" s="263"/>
      <c r="BA318" s="263"/>
      <c r="BB318" s="263"/>
      <c r="BC318" s="263"/>
      <c r="BD318" s="263"/>
      <c r="BE318" s="263"/>
      <c r="BF318" s="263"/>
      <c r="BG318" s="263"/>
      <c r="BH318" s="263"/>
      <c r="BI318" s="263"/>
      <c r="BJ318" s="263"/>
      <c r="BK318" s="263"/>
      <c r="BL318" s="263"/>
      <c r="BM318" s="263"/>
      <c r="BN318" s="263"/>
      <c r="BO318" s="263"/>
      <c r="BP318" s="263"/>
      <c r="BQ318" s="263"/>
      <c r="BR318" s="263"/>
      <c r="BS318" s="263"/>
      <c r="BT318" s="263"/>
      <c r="BU318" s="263"/>
      <c r="BV318" s="263"/>
      <c r="BW318" s="263"/>
      <c r="BX318" s="263"/>
      <c r="BY318" s="263"/>
      <c r="BZ318" s="263"/>
      <c r="CA318" s="263"/>
      <c r="CB318" s="263"/>
      <c r="CC318" s="263"/>
      <c r="CD318" s="263"/>
      <c r="CE318" s="263"/>
      <c r="CF318" s="263"/>
      <c r="CG318" s="263"/>
      <c r="CH318" s="263"/>
      <c r="CI318" s="263"/>
      <c r="CJ318" s="263"/>
      <c r="CK318" s="263"/>
      <c r="CL318" s="263"/>
      <c r="CM318" s="263"/>
      <c r="CN318" s="263"/>
      <c r="CO318" s="263"/>
      <c r="CP318" s="263"/>
      <c r="CQ318" s="263"/>
      <c r="CR318" s="263"/>
      <c r="CS318" s="263"/>
      <c r="CT318" s="263"/>
      <c r="CU318" s="263"/>
      <c r="CV318" s="263"/>
      <c r="CW318" s="263"/>
      <c r="CX318" s="263"/>
      <c r="CY318" s="263"/>
      <c r="CZ318" s="263"/>
      <c r="DA318" s="263"/>
      <c r="DB318" s="263"/>
      <c r="DC318" s="263"/>
      <c r="DD318" s="263"/>
      <c r="DE318" s="263"/>
      <c r="DF318" s="263"/>
      <c r="DG318" s="263"/>
      <c r="DH318" s="263"/>
      <c r="DI318" s="263"/>
      <c r="DJ318" s="263"/>
      <c r="DK318" s="263"/>
      <c r="DL318" s="263"/>
      <c r="DM318" s="263"/>
      <c r="DN318" s="263"/>
      <c r="DO318" s="263"/>
      <c r="DP318" s="263"/>
      <c r="DQ318" s="263"/>
      <c r="DR318" s="263"/>
      <c r="DS318" s="263"/>
      <c r="DT318" s="263"/>
      <c r="DU318" s="263"/>
      <c r="DV318" s="263"/>
      <c r="DW318" s="263"/>
      <c r="DX318" s="263"/>
      <c r="DY318" s="263"/>
      <c r="DZ318" s="263"/>
      <c r="EA318" s="263"/>
      <c r="EB318" s="263"/>
      <c r="EC318" s="263"/>
      <c r="ED318" s="263"/>
      <c r="EE318" s="263"/>
      <c r="EF318" s="263"/>
      <c r="EG318" s="263"/>
      <c r="EH318" s="263"/>
      <c r="EI318" s="263"/>
      <c r="EJ318" s="263"/>
      <c r="EK318" s="263"/>
      <c r="EL318" s="263"/>
      <c r="EM318" s="263"/>
      <c r="EN318" s="263"/>
      <c r="EO318" s="263"/>
      <c r="EP318" s="263"/>
      <c r="EQ318" s="263"/>
      <c r="ER318" s="263"/>
      <c r="ES318" s="263"/>
      <c r="ET318" s="263"/>
      <c r="EU318" s="263"/>
      <c r="EV318" s="263"/>
      <c r="EW318" s="263"/>
      <c r="EX318" s="263"/>
      <c r="EY318" s="263"/>
      <c r="EZ318" s="263"/>
      <c r="FA318" s="263"/>
      <c r="FB318" s="263"/>
      <c r="FC318" s="263"/>
      <c r="FD318" s="263"/>
      <c r="FE318" s="263"/>
      <c r="FF318" s="263"/>
      <c r="FG318" s="263"/>
      <c r="FH318" s="263"/>
      <c r="FI318" s="263"/>
      <c r="FJ318" s="263"/>
      <c r="FK318" s="263"/>
      <c r="FL318" s="263"/>
      <c r="FM318" s="263"/>
      <c r="FN318" s="263"/>
      <c r="FO318" s="263"/>
      <c r="FP318" s="263"/>
      <c r="FQ318" s="263"/>
      <c r="FR318" s="263"/>
      <c r="FS318" s="263"/>
      <c r="FT318" s="263"/>
      <c r="FU318" s="263"/>
      <c r="FV318" s="263"/>
      <c r="FW318" s="263"/>
      <c r="FX318" s="263"/>
      <c r="FY318" s="263"/>
      <c r="FZ318" s="263"/>
      <c r="GA318" s="263"/>
      <c r="GB318" s="263"/>
      <c r="GC318" s="263"/>
      <c r="GD318" s="263"/>
      <c r="GE318" s="263"/>
      <c r="GF318" s="263"/>
      <c r="GG318" s="263"/>
      <c r="GH318" s="263"/>
      <c r="GI318" s="263"/>
      <c r="GJ318" s="263"/>
      <c r="GK318" s="263"/>
      <c r="GL318" s="263"/>
      <c r="GM318" s="263"/>
      <c r="GN318" s="263"/>
      <c r="GO318" s="263"/>
      <c r="GP318" s="263"/>
      <c r="GQ318" s="263"/>
      <c r="GR318" s="263"/>
      <c r="GS318" s="263"/>
      <c r="GT318" s="263"/>
      <c r="GU318" s="263"/>
      <c r="GV318" s="263"/>
      <c r="GW318" s="263"/>
      <c r="GX318" s="263"/>
      <c r="GY318" s="263"/>
    </row>
    <row r="319" spans="1:207" x14ac:dyDescent="0.15">
      <c r="C319" s="23" t="s">
        <v>423</v>
      </c>
      <c r="G319" s="263"/>
      <c r="H319" s="263"/>
      <c r="I319" s="263"/>
      <c r="J319" s="263"/>
      <c r="K319" s="263"/>
      <c r="L319" s="263"/>
      <c r="M319" s="263"/>
      <c r="N319" s="263"/>
      <c r="O319" s="263"/>
      <c r="P319" s="263"/>
      <c r="Q319" s="263"/>
      <c r="R319" s="263"/>
      <c r="S319" s="263"/>
      <c r="T319" s="263"/>
      <c r="U319" s="263"/>
      <c r="V319" s="263"/>
      <c r="W319" s="263"/>
      <c r="X319" s="263"/>
      <c r="Y319" s="263"/>
      <c r="Z319" s="263"/>
      <c r="AA319" s="263"/>
      <c r="AB319" s="263"/>
      <c r="AC319" s="263"/>
      <c r="AD319" s="263"/>
      <c r="AE319" s="263"/>
      <c r="AF319" s="263"/>
      <c r="AG319" s="263"/>
      <c r="AH319" s="263"/>
      <c r="AI319" s="263"/>
      <c r="AJ319" s="263"/>
      <c r="AK319" s="263"/>
      <c r="AL319" s="263"/>
      <c r="AM319" s="263"/>
      <c r="AN319" s="263"/>
      <c r="AO319" s="263"/>
      <c r="AP319" s="263"/>
      <c r="AQ319" s="263"/>
      <c r="AR319" s="263"/>
      <c r="AS319" s="263"/>
      <c r="AT319" s="263"/>
      <c r="AU319" s="263"/>
      <c r="AV319" s="263"/>
      <c r="AW319" s="263"/>
      <c r="AX319" s="263"/>
      <c r="AY319" s="263"/>
      <c r="AZ319" s="263"/>
      <c r="BA319" s="263"/>
      <c r="BB319" s="263"/>
      <c r="BC319" s="263"/>
      <c r="BD319" s="263"/>
      <c r="BE319" s="263"/>
      <c r="BF319" s="263"/>
      <c r="BG319" s="263"/>
      <c r="BH319" s="263"/>
      <c r="BI319" s="263"/>
      <c r="BJ319" s="263"/>
      <c r="BK319" s="263"/>
      <c r="BL319" s="263"/>
      <c r="BM319" s="263"/>
      <c r="BN319" s="263"/>
      <c r="BO319" s="263"/>
      <c r="BP319" s="263"/>
      <c r="BQ319" s="263"/>
      <c r="BR319" s="263"/>
      <c r="BS319" s="263"/>
      <c r="BT319" s="263"/>
      <c r="BU319" s="263"/>
      <c r="BV319" s="263"/>
      <c r="BW319" s="263"/>
      <c r="BX319" s="263"/>
      <c r="BY319" s="263"/>
      <c r="BZ319" s="263"/>
      <c r="CA319" s="263"/>
      <c r="CB319" s="263"/>
      <c r="CC319" s="263"/>
      <c r="CD319" s="263"/>
      <c r="CE319" s="263"/>
      <c r="CF319" s="263"/>
      <c r="CG319" s="263"/>
      <c r="CH319" s="263"/>
      <c r="CI319" s="263"/>
      <c r="CJ319" s="263"/>
      <c r="CK319" s="263"/>
      <c r="CL319" s="263"/>
      <c r="CM319" s="263"/>
      <c r="CN319" s="263"/>
      <c r="CO319" s="263"/>
      <c r="CP319" s="263"/>
      <c r="CQ319" s="263"/>
      <c r="CR319" s="263"/>
      <c r="CS319" s="263"/>
      <c r="CT319" s="263"/>
      <c r="CU319" s="263"/>
      <c r="CV319" s="263"/>
      <c r="CW319" s="263"/>
      <c r="CX319" s="263"/>
      <c r="CY319" s="263"/>
      <c r="CZ319" s="263"/>
      <c r="DA319" s="263"/>
      <c r="DB319" s="263"/>
      <c r="DC319" s="263"/>
      <c r="DD319" s="263"/>
      <c r="DE319" s="263"/>
      <c r="DF319" s="263"/>
      <c r="DG319" s="263"/>
      <c r="DH319" s="263"/>
      <c r="DI319" s="263"/>
      <c r="DJ319" s="263"/>
      <c r="DK319" s="263"/>
      <c r="DL319" s="263"/>
      <c r="DM319" s="263"/>
      <c r="DN319" s="263"/>
      <c r="DO319" s="263"/>
      <c r="DP319" s="263"/>
      <c r="DQ319" s="263"/>
      <c r="DR319" s="263"/>
      <c r="DS319" s="263"/>
      <c r="DT319" s="263"/>
      <c r="DU319" s="263"/>
      <c r="DV319" s="263"/>
      <c r="DW319" s="263"/>
      <c r="DX319" s="263"/>
      <c r="DY319" s="263"/>
      <c r="DZ319" s="263"/>
      <c r="EA319" s="263"/>
      <c r="EB319" s="263"/>
      <c r="EC319" s="263"/>
      <c r="ED319" s="263"/>
      <c r="EE319" s="263"/>
      <c r="EF319" s="263"/>
      <c r="EG319" s="263"/>
      <c r="EH319" s="263"/>
      <c r="EI319" s="263"/>
      <c r="EJ319" s="263"/>
      <c r="EK319" s="263"/>
      <c r="EL319" s="263"/>
      <c r="EM319" s="263"/>
      <c r="EN319" s="263"/>
      <c r="EO319" s="263"/>
      <c r="EP319" s="263"/>
      <c r="EQ319" s="263"/>
      <c r="ER319" s="263"/>
      <c r="ES319" s="263"/>
      <c r="ET319" s="263"/>
      <c r="EU319" s="263"/>
      <c r="EV319" s="263"/>
      <c r="EW319" s="263"/>
      <c r="EX319" s="263"/>
      <c r="EY319" s="263"/>
      <c r="EZ319" s="263"/>
      <c r="FA319" s="263"/>
      <c r="FB319" s="263"/>
      <c r="FC319" s="263"/>
      <c r="FD319" s="263"/>
      <c r="FE319" s="263"/>
      <c r="FF319" s="263"/>
      <c r="FG319" s="263"/>
      <c r="FH319" s="263"/>
      <c r="FI319" s="263"/>
      <c r="FJ319" s="263"/>
      <c r="FK319" s="263"/>
      <c r="FL319" s="263"/>
      <c r="FM319" s="263"/>
      <c r="FN319" s="263"/>
      <c r="FO319" s="263"/>
      <c r="FP319" s="263"/>
      <c r="FQ319" s="263"/>
      <c r="FR319" s="263"/>
      <c r="FS319" s="263"/>
      <c r="FT319" s="263"/>
      <c r="FU319" s="263"/>
      <c r="FV319" s="263"/>
      <c r="FW319" s="263"/>
      <c r="FX319" s="263"/>
      <c r="FY319" s="263"/>
      <c r="FZ319" s="263"/>
      <c r="GA319" s="263"/>
      <c r="GB319" s="263"/>
      <c r="GC319" s="263"/>
      <c r="GD319" s="263"/>
      <c r="GE319" s="263"/>
      <c r="GF319" s="263"/>
      <c r="GG319" s="263"/>
      <c r="GH319" s="263"/>
      <c r="GI319" s="263"/>
      <c r="GJ319" s="263"/>
      <c r="GK319" s="263"/>
      <c r="GL319" s="263"/>
      <c r="GM319" s="263"/>
      <c r="GN319" s="263"/>
      <c r="GO319" s="263"/>
      <c r="GP319" s="263"/>
      <c r="GQ319" s="263"/>
      <c r="GR319" s="263"/>
      <c r="GS319" s="263"/>
      <c r="GT319" s="263"/>
      <c r="GU319" s="263"/>
      <c r="GV319" s="263"/>
      <c r="GW319" s="263"/>
      <c r="GX319" s="263"/>
      <c r="GY319" s="263"/>
    </row>
    <row r="320" spans="1:207" x14ac:dyDescent="0.15">
      <c r="A320" s="300"/>
      <c r="C320" s="23"/>
      <c r="D320" s="26" t="s">
        <v>411</v>
      </c>
      <c r="E320" s="39">
        <v>7.4999999999999997E-3</v>
      </c>
      <c r="F320" s="80"/>
      <c r="G320" s="263" cm="1">
        <f t="array" aca="1" ref="G320" ca="1">_xlfn.IFS(G$7&gt;(SAP_Leadsheet!$E$21+12),0,G$7=(SAP_Leadsheet!$E$21+12),SAP_Spreadsheet!G181,G$7&lt;(SAP_Leadsheet!$E$21+12),$E320*G181)</f>
        <v>3.429902928923262E-3</v>
      </c>
      <c r="H320" s="263" cm="1">
        <f t="array" aca="1" ref="H320" ca="1">_xlfn.IFS(H$7&gt;(SAP_Leadsheet!$E$21+12),0,H$7=(SAP_Leadsheet!$E$21+12),SAP_Spreadsheet!H181,H$7&lt;(SAP_Leadsheet!$E$21+12),$E320*H181)</f>
        <v>6.0460378856492169E-3</v>
      </c>
      <c r="I320" s="263" cm="1">
        <f t="array" aca="1" ref="I320" ca="1">_xlfn.IFS(I$7&gt;(SAP_Leadsheet!$E$21+12),0,I$7=(SAP_Leadsheet!$E$21+12),SAP_Spreadsheet!I181,I$7&lt;(SAP_Leadsheet!$E$21+12),$E320*I181)</f>
        <v>7.1119968479463813E-3</v>
      </c>
      <c r="J320" s="263" cm="1">
        <f t="array" aca="1" ref="J320" ca="1">_xlfn.IFS(J$7&gt;(SAP_Leadsheet!$E$21+12),0,J$7=(SAP_Leadsheet!$E$21+12),SAP_Spreadsheet!J181,J$7&lt;(SAP_Leadsheet!$E$21+12),$E320*J181)</f>
        <v>7.0747313670908576E-3</v>
      </c>
      <c r="K320" s="263" cm="1">
        <f t="array" aca="1" ref="K320" ca="1">_xlfn.IFS(K$7&gt;(SAP_Leadsheet!$E$21+12),0,K$7=(SAP_Leadsheet!$E$21+12),SAP_Spreadsheet!K181,K$7&lt;(SAP_Leadsheet!$E$21+12),$E320*K181)</f>
        <v>6.5053591915338587E-3</v>
      </c>
      <c r="L320" s="263" cm="1">
        <f t="array" aca="1" ref="L320" ca="1">_xlfn.IFS(L$7&gt;(SAP_Leadsheet!$E$21+12),0,L$7=(SAP_Leadsheet!$E$21+12),SAP_Spreadsheet!L181,L$7&lt;(SAP_Leadsheet!$E$21+12),$E320*L181)</f>
        <v>5.7795668330361174E-3</v>
      </c>
      <c r="M320" s="263" cm="1">
        <f t="array" aca="1" ref="M320" ca="1">_xlfn.IFS(M$7&gt;(SAP_Leadsheet!$E$21+12),0,M$7=(SAP_Leadsheet!$E$21+12),SAP_Spreadsheet!M181,M$7&lt;(SAP_Leadsheet!$E$21+12),$E320*M181)</f>
        <v>4.897697625509379E-3</v>
      </c>
      <c r="N320" s="263" cm="1">
        <f t="array" aca="1" ref="N320" ca="1">_xlfn.IFS(N$7&gt;(SAP_Leadsheet!$E$21+12),0,N$7=(SAP_Leadsheet!$E$21+12),SAP_Spreadsheet!N181,N$7&lt;(SAP_Leadsheet!$E$21+12),$E320*N181)</f>
        <v>4.2483372522673663E-3</v>
      </c>
      <c r="O320" s="263" cm="1">
        <f t="array" aca="1" ref="O320" ca="1">_xlfn.IFS(O$7&gt;(SAP_Leadsheet!$E$21+12),0,O$7=(SAP_Leadsheet!$E$21+12),SAP_Spreadsheet!O181,O$7&lt;(SAP_Leadsheet!$E$21+12),$E320*O181)</f>
        <v>3.7190779823500861E-3</v>
      </c>
      <c r="P320" s="263" cm="1">
        <f t="array" aca="1" ref="P320" ca="1">_xlfn.IFS(P$7&gt;(SAP_Leadsheet!$E$21+12),0,P$7=(SAP_Leadsheet!$E$21+12),SAP_Spreadsheet!P181,P$7&lt;(SAP_Leadsheet!$E$21+12),$E320*P181)</f>
        <v>3.2797372959749924E-3</v>
      </c>
      <c r="Q320" s="263" cm="1">
        <f t="array" aca="1" ref="Q320" ca="1">_xlfn.IFS(Q$7&gt;(SAP_Leadsheet!$E$21+12),0,Q$7=(SAP_Leadsheet!$E$21+12),SAP_Spreadsheet!Q181,Q$7&lt;(SAP_Leadsheet!$E$21+12),$E320*Q181)</f>
        <v>2.9577980052704852E-3</v>
      </c>
      <c r="R320" s="263" cm="1">
        <f t="array" aca="1" ref="R320" ca="1">_xlfn.IFS(R$7&gt;(SAP_Leadsheet!$E$21+12),0,R$7=(SAP_Leadsheet!$E$21+12),SAP_Spreadsheet!R181,R$7&lt;(SAP_Leadsheet!$E$21+12),$E320*R181)</f>
        <v>2.7587563089788206E-3</v>
      </c>
      <c r="S320" s="263" cm="1">
        <f t="array" aca="1" ref="S320" ca="1">_xlfn.IFS(S$7&gt;(SAP_Leadsheet!$E$21+12),0,S$7=(SAP_Leadsheet!$E$21+12),SAP_Spreadsheet!S181,S$7&lt;(SAP_Leadsheet!$E$21+12),$E320*S181)</f>
        <v>2.832056091108147E-3</v>
      </c>
      <c r="T320" s="263" cm="1">
        <f t="array" aca="1" ref="T320" ca="1">_xlfn.IFS(T$7&gt;(SAP_Leadsheet!$E$21+12),0,T$7=(SAP_Leadsheet!$E$21+12),SAP_Spreadsheet!T181,T$7&lt;(SAP_Leadsheet!$E$21+12),$E320*T181)</f>
        <v>3.2590370033555444E-3</v>
      </c>
      <c r="U320" s="263" cm="1">
        <f t="array" aca="1" ref="U320" ca="1">_xlfn.IFS(U$7&gt;(SAP_Leadsheet!$E$21+12),0,U$7=(SAP_Leadsheet!$E$21+12),SAP_Spreadsheet!U181,U$7&lt;(SAP_Leadsheet!$E$21+12),$E320*U181)</f>
        <v>3.3608245216284129E-3</v>
      </c>
      <c r="V320" s="263" cm="1">
        <f t="array" aca="1" ref="V320" ca="1">_xlfn.IFS(V$7&gt;(SAP_Leadsheet!$E$21+12),0,V$7=(SAP_Leadsheet!$E$21+12),SAP_Spreadsheet!V181,V$7&lt;(SAP_Leadsheet!$E$21+12),$E320*V181)</f>
        <v>3.1999969840755252E-3</v>
      </c>
      <c r="W320" s="263" cm="1">
        <f t="array" aca="1" ref="W320" ca="1">_xlfn.IFS(W$7&gt;(SAP_Leadsheet!$E$21+12),0,W$7=(SAP_Leadsheet!$E$21+12),SAP_Spreadsheet!W181,W$7&lt;(SAP_Leadsheet!$E$21+12),$E320*W181)</f>
        <v>3.2405824094223282E-3</v>
      </c>
      <c r="X320" s="263" cm="1">
        <f t="array" aca="1" ref="X320" ca="1">_xlfn.IFS(X$7&gt;(SAP_Leadsheet!$E$21+12),0,X$7=(SAP_Leadsheet!$E$21+12),SAP_Spreadsheet!X181,X$7&lt;(SAP_Leadsheet!$E$21+12),$E320*X181)</f>
        <v>3.3213964451925663E-3</v>
      </c>
      <c r="Y320" s="263" cm="1">
        <f t="array" aca="1" ref="Y320" ca="1">_xlfn.IFS(Y$7&gt;(SAP_Leadsheet!$E$21+12),0,Y$7=(SAP_Leadsheet!$E$21+12),SAP_Spreadsheet!Y181,Y$7&lt;(SAP_Leadsheet!$E$21+12),$E320*Y181)</f>
        <v>3.3646828672286321E-3</v>
      </c>
      <c r="Z320" s="263" cm="1">
        <f t="array" aca="1" ref="Z320" ca="1">_xlfn.IFS(Z$7&gt;(SAP_Leadsheet!$E$21+12),0,Z$7=(SAP_Leadsheet!$E$21+12),SAP_Spreadsheet!Z181,Z$7&lt;(SAP_Leadsheet!$E$21+12),$E320*Z181)</f>
        <v>3.3534753129575213E-3</v>
      </c>
      <c r="AA320" s="263" cm="1">
        <f t="array" aca="1" ref="AA320" ca="1">_xlfn.IFS(AA$7&gt;(SAP_Leadsheet!$E$21+12),0,AA$7=(SAP_Leadsheet!$E$21+12),SAP_Spreadsheet!AA181,AA$7&lt;(SAP_Leadsheet!$E$21+12),$E320*AA181)</f>
        <v>3.2829234277439207E-3</v>
      </c>
      <c r="AB320" s="263" cm="1">
        <f t="array" aca="1" ref="AB320" ca="1">_xlfn.IFS(AB$7&gt;(SAP_Leadsheet!$E$21+12),0,AB$7=(SAP_Leadsheet!$E$21+12),SAP_Spreadsheet!AB181,AB$7&lt;(SAP_Leadsheet!$E$21+12),$E320*AB181)</f>
        <v>3.1703824471387876E-3</v>
      </c>
      <c r="AC320" s="263" cm="1">
        <f t="array" aca="1" ref="AC320" ca="1">_xlfn.IFS(AC$7&gt;(SAP_Leadsheet!$E$21+12),0,AC$7=(SAP_Leadsheet!$E$21+12),SAP_Spreadsheet!AC181,AC$7&lt;(SAP_Leadsheet!$E$21+12),$E320*AC181)</f>
        <v>3.1697602913743467E-3</v>
      </c>
      <c r="AD320" s="263" cm="1">
        <f t="array" aca="1" ref="AD320" ca="1">_xlfn.IFS(AD$7&gt;(SAP_Leadsheet!$E$21+12),0,AD$7=(SAP_Leadsheet!$E$21+12),SAP_Spreadsheet!AD181,AD$7&lt;(SAP_Leadsheet!$E$21+12),$E320*AD181)</f>
        <v>3.0254755467107727E-3</v>
      </c>
      <c r="AE320" s="263" cm="1">
        <f t="array" aca="1" ref="AE320" ca="1">_xlfn.IFS(AE$7&gt;(SAP_Leadsheet!$E$21+12),0,AE$7=(SAP_Leadsheet!$E$21+12),SAP_Spreadsheet!AE181,AE$7&lt;(SAP_Leadsheet!$E$21+12),$E320*AE181)</f>
        <v>3.0872871435413374E-3</v>
      </c>
      <c r="AF320" s="263" cm="1">
        <f t="array" aca="1" ref="AF320" ca="1">_xlfn.IFS(AF$7&gt;(SAP_Leadsheet!$E$21+12),0,AF$7=(SAP_Leadsheet!$E$21+12),SAP_Spreadsheet!AF181,AF$7&lt;(SAP_Leadsheet!$E$21+12),$E320*AF181)</f>
        <v>3.2771583768459148E-3</v>
      </c>
      <c r="AG320" s="263" cm="1">
        <f t="array" aca="1" ref="AG320" ca="1">_xlfn.IFS(AG$7&gt;(SAP_Leadsheet!$E$21+12),0,AG$7=(SAP_Leadsheet!$E$21+12),SAP_Spreadsheet!AG181,AG$7&lt;(SAP_Leadsheet!$E$21+12),$E320*AG181)</f>
        <v>3.3944379444645571E-3</v>
      </c>
      <c r="AH320" s="263" cm="1">
        <f t="array" aca="1" ref="AH320" ca="1">_xlfn.IFS(AH$7&gt;(SAP_Leadsheet!$E$21+12),0,AH$7=(SAP_Leadsheet!$E$21+12),SAP_Spreadsheet!AH181,AH$7&lt;(SAP_Leadsheet!$E$21+12),$E320*AH181)</f>
        <v>3.4111353142837258E-3</v>
      </c>
      <c r="AI320" s="263" cm="1">
        <f t="array" aca="1" ref="AI320" ca="1">_xlfn.IFS(AI$7&gt;(SAP_Leadsheet!$E$21+12),0,AI$7=(SAP_Leadsheet!$E$21+12),SAP_Spreadsheet!AI181,AI$7&lt;(SAP_Leadsheet!$E$21+12),$E320*AI181)</f>
        <v>3.3620305798061001E-3</v>
      </c>
      <c r="AJ320" s="263" cm="1">
        <f t="array" aca="1" ref="AJ320" ca="1">_xlfn.IFS(AJ$7&gt;(SAP_Leadsheet!$E$21+12),0,AJ$7=(SAP_Leadsheet!$E$21+12),SAP_Spreadsheet!AJ181,AJ$7&lt;(SAP_Leadsheet!$E$21+12),$E320*AJ181)</f>
        <v>3.2838388105588517E-3</v>
      </c>
      <c r="AK320" s="263" cm="1">
        <f t="array" aca="1" ref="AK320" ca="1">_xlfn.IFS(AK$7&gt;(SAP_Leadsheet!$E$21+12),0,AK$7=(SAP_Leadsheet!$E$21+12),SAP_Spreadsheet!AK181,AK$7&lt;(SAP_Leadsheet!$E$21+12),$E320*AK181)</f>
        <v>3.1975806789858235E-3</v>
      </c>
      <c r="AL320" s="263" cm="1">
        <f t="array" aca="1" ref="AL320" ca="1">_xlfn.IFS(AL$7&gt;(SAP_Leadsheet!$E$21+12),0,AL$7=(SAP_Leadsheet!$E$21+12),SAP_Spreadsheet!AL181,AL$7&lt;(SAP_Leadsheet!$E$21+12),$E320*AL181)</f>
        <v>3.218232254703897E-3</v>
      </c>
      <c r="AM320" s="263" cm="1">
        <f t="array" aca="1" ref="AM320" ca="1">_xlfn.IFS(AM$7&gt;(SAP_Leadsheet!$E$21+12),0,AM$7=(SAP_Leadsheet!$E$21+12),SAP_Spreadsheet!AM181,AM$7&lt;(SAP_Leadsheet!$E$21+12),$E320*AM181)</f>
        <v>3.1173018256403029E-3</v>
      </c>
      <c r="AN320" s="263" cm="1">
        <f t="array" aca="1" ref="AN320" ca="1">_xlfn.IFS(AN$7&gt;(SAP_Leadsheet!$E$21+12),0,AN$7=(SAP_Leadsheet!$E$21+12),SAP_Spreadsheet!AN181,AN$7&lt;(SAP_Leadsheet!$E$21+12),$E320*AN181)</f>
        <v>2.9897830051364635E-3</v>
      </c>
      <c r="AO320" s="263" cm="1">
        <f t="array" aca="1" ref="AO320" ca="1">_xlfn.IFS(AO$7&gt;(SAP_Leadsheet!$E$21+12),0,AO$7=(SAP_Leadsheet!$E$21+12),SAP_Spreadsheet!AO181,AO$7&lt;(SAP_Leadsheet!$E$21+12),$E320*AO181)</f>
        <v>2.8721998550349337E-3</v>
      </c>
      <c r="AP320" s="263" cm="1">
        <f t="array" aca="1" ref="AP320" ca="1">_xlfn.IFS(AP$7&gt;(SAP_Leadsheet!$E$21+12),0,AP$7=(SAP_Leadsheet!$E$21+12),SAP_Spreadsheet!AP181,AP$7&lt;(SAP_Leadsheet!$E$21+12),$E320*AP181)</f>
        <v>2.7720074621263389E-3</v>
      </c>
      <c r="AQ320" s="263" cm="1">
        <f t="array" aca="1" ref="AQ320" ca="1">_xlfn.IFS(AQ$7&gt;(SAP_Leadsheet!$E$21+12),0,AQ$7=(SAP_Leadsheet!$E$21+12),SAP_Spreadsheet!AQ181,AQ$7&lt;(SAP_Leadsheet!$E$21+12),$E320*AQ181)</f>
        <v>2.7106478136279086E-3</v>
      </c>
      <c r="AR320" s="263" cm="1">
        <f t="array" aca="1" ref="AR320" ca="1">_xlfn.IFS(AR$7&gt;(SAP_Leadsheet!$E$21+12),0,AR$7=(SAP_Leadsheet!$E$21+12),SAP_Spreadsheet!AR181,AR$7&lt;(SAP_Leadsheet!$E$21+12),$E320*AR181)</f>
        <v>2.6605029297965261E-3</v>
      </c>
      <c r="AS320" s="263" cm="1">
        <f t="array" aca="1" ref="AS320" ca="1">_xlfn.IFS(AS$7&gt;(SAP_Leadsheet!$E$21+12),0,AS$7=(SAP_Leadsheet!$E$21+12),SAP_Spreadsheet!AS181,AS$7&lt;(SAP_Leadsheet!$E$21+12),$E320*AS181)</f>
        <v>2.6157843042698831E-3</v>
      </c>
      <c r="AT320" s="263" cm="1">
        <f t="array" aca="1" ref="AT320" ca="1">_xlfn.IFS(AT$7&gt;(SAP_Leadsheet!$E$21+12),0,AT$7=(SAP_Leadsheet!$E$21+12),SAP_Spreadsheet!AT181,AT$7&lt;(SAP_Leadsheet!$E$21+12),$E320*AT181)</f>
        <v>2.5721561493247734E-3</v>
      </c>
      <c r="AU320" s="263" cm="1">
        <f t="array" aca="1" ref="AU320" ca="1">_xlfn.IFS(AU$7&gt;(SAP_Leadsheet!$E$21+12),0,AU$7=(SAP_Leadsheet!$E$21+12),SAP_Spreadsheet!AU181,AU$7&lt;(SAP_Leadsheet!$E$21+12),$E320*AU181)</f>
        <v>2.5279607107561129E-3</v>
      </c>
      <c r="AV320" s="263" cm="1">
        <f t="array" aca="1" ref="AV320" ca="1">_xlfn.IFS(AV$7&gt;(SAP_Leadsheet!$E$21+12),0,AV$7=(SAP_Leadsheet!$E$21+12),SAP_Spreadsheet!AV181,AV$7&lt;(SAP_Leadsheet!$E$21+12),$E320*AV181)</f>
        <v>2.4829600566107168E-3</v>
      </c>
      <c r="AW320" s="263" cm="1">
        <f t="array" aca="1" ref="AW320" ca="1">_xlfn.IFS(AW$7&gt;(SAP_Leadsheet!$E$21+12),0,AW$7=(SAP_Leadsheet!$E$21+12),SAP_Spreadsheet!AW181,AW$7&lt;(SAP_Leadsheet!$E$21+12),$E320*AW181)</f>
        <v>2.4367899270412671E-3</v>
      </c>
      <c r="AX320" s="263" cm="1">
        <f t="array" aca="1" ref="AX320" ca="1">_xlfn.IFS(AX$7&gt;(SAP_Leadsheet!$E$21+12),0,AX$7=(SAP_Leadsheet!$E$21+12),SAP_Spreadsheet!AX181,AX$7&lt;(SAP_Leadsheet!$E$21+12),$E320*AX181)</f>
        <v>2.3888830594213542E-3</v>
      </c>
      <c r="AY320" s="263" cm="1">
        <f t="array" aca="1" ref="AY320" ca="1">_xlfn.IFS(AY$7&gt;(SAP_Leadsheet!$E$21+12),0,AY$7=(SAP_Leadsheet!$E$21+12),SAP_Spreadsheet!AY181,AY$7&lt;(SAP_Leadsheet!$E$21+12),$E320*AY181)</f>
        <v>2.3373851813524816E-3</v>
      </c>
      <c r="AZ320" s="263" cm="1">
        <f t="array" aca="1" ref="AZ320" ca="1">_xlfn.IFS(AZ$7&gt;(SAP_Leadsheet!$E$21+12),0,AZ$7=(SAP_Leadsheet!$E$21+12),SAP_Spreadsheet!AZ181,AZ$7&lt;(SAP_Leadsheet!$E$21+12),$E320*AZ181)</f>
        <v>2.2805770547942956E-3</v>
      </c>
      <c r="BA320" s="263" cm="1">
        <f t="array" aca="1" ref="BA320" ca="1">_xlfn.IFS(BA$7&gt;(SAP_Leadsheet!$E$21+12),0,BA$7=(SAP_Leadsheet!$E$21+12),SAP_Spreadsheet!BA181,BA$7&lt;(SAP_Leadsheet!$E$21+12),$E320*BA181)</f>
        <v>2.2201763715257493E-3</v>
      </c>
      <c r="BB320" s="263" cm="1">
        <f t="array" aca="1" ref="BB320" ca="1">_xlfn.IFS(BB$7&gt;(SAP_Leadsheet!$E$21+12),0,BB$7=(SAP_Leadsheet!$E$21+12),SAP_Spreadsheet!BB181,BB$7&lt;(SAP_Leadsheet!$E$21+12),$E320*BB181)</f>
        <v>2.1581550627283439E-3</v>
      </c>
      <c r="BC320" s="263" cm="1">
        <f t="array" aca="1" ref="BC320" ca="1">_xlfn.IFS(BC$7&gt;(SAP_Leadsheet!$E$21+12),0,BC$7=(SAP_Leadsheet!$E$21+12),SAP_Spreadsheet!BC181,BC$7&lt;(SAP_Leadsheet!$E$21+12),$E320*BC181)</f>
        <v>2.1040625391813409E-3</v>
      </c>
      <c r="BD320" s="263" cm="1">
        <f t="array" aca="1" ref="BD320" ca="1">_xlfn.IFS(BD$7&gt;(SAP_Leadsheet!$E$21+12),0,BD$7=(SAP_Leadsheet!$E$21+12),SAP_Spreadsheet!BD181,BD$7&lt;(SAP_Leadsheet!$E$21+12),$E320*BD181)</f>
        <v>2.0501036389779918E-3</v>
      </c>
      <c r="BE320" s="263" cm="1">
        <f t="array" aca="1" ref="BE320" ca="1">_xlfn.IFS(BE$7&gt;(SAP_Leadsheet!$E$21+12),0,BE$7=(SAP_Leadsheet!$E$21+12),SAP_Spreadsheet!BE181,BE$7&lt;(SAP_Leadsheet!$E$21+12),$E320*BE181)</f>
        <v>1.9966223850935985E-3</v>
      </c>
      <c r="BF320" s="263" cm="1">
        <f t="array" aca="1" ref="BF320" ca="1">_xlfn.IFS(BF$7&gt;(SAP_Leadsheet!$E$21+12),0,BF$7=(SAP_Leadsheet!$E$21+12),SAP_Spreadsheet!BF181,BF$7&lt;(SAP_Leadsheet!$E$21+12),$E320*BF181)</f>
        <v>1.9433934567853225E-3</v>
      </c>
      <c r="BG320" s="263" cm="1">
        <f t="array" aca="1" ref="BG320" ca="1">_xlfn.IFS(BG$7&gt;(SAP_Leadsheet!$E$21+12),0,BG$7=(SAP_Leadsheet!$E$21+12),SAP_Spreadsheet!BG181,BG$7&lt;(SAP_Leadsheet!$E$21+12),$E320*BG181)</f>
        <v>1.8902786604909063E-3</v>
      </c>
      <c r="BH320" s="263" cm="1">
        <f t="array" aca="1" ref="BH320" ca="1">_xlfn.IFS(BH$7&gt;(SAP_Leadsheet!$E$21+12),0,BH$7=(SAP_Leadsheet!$E$21+12),SAP_Spreadsheet!BH181,BH$7&lt;(SAP_Leadsheet!$E$21+12),$E320*BH181)</f>
        <v>1.8371110041599055E-3</v>
      </c>
      <c r="BI320" s="263" cm="1">
        <f t="array" aca="1" ref="BI320" ca="1">_xlfn.IFS(BI$7&gt;(SAP_Leadsheet!$E$21+12),0,BI$7=(SAP_Leadsheet!$E$21+12),SAP_Spreadsheet!BI181,BI$7&lt;(SAP_Leadsheet!$E$21+12),$E320*BI181)</f>
        <v>1.7838095145216424E-3</v>
      </c>
      <c r="BJ320" s="263" cm="1">
        <f t="array" aca="1" ref="BJ320" ca="1">_xlfn.IFS(BJ$7&gt;(SAP_Leadsheet!$E$21+12),0,BJ$7=(SAP_Leadsheet!$E$21+12),SAP_Spreadsheet!BJ181,BJ$7&lt;(SAP_Leadsheet!$E$21+12),$E320*BJ181)</f>
        <v>1.730361628664004E-3</v>
      </c>
      <c r="BK320" s="263" cm="1">
        <f t="array" aca="1" ref="BK320" ca="1">_xlfn.IFS(BK$7&gt;(SAP_Leadsheet!$E$21+12),0,BK$7=(SAP_Leadsheet!$E$21+12),SAP_Spreadsheet!BK181,BK$7&lt;(SAP_Leadsheet!$E$21+12),$E320*BK181)</f>
        <v>1.6761383341031143E-3</v>
      </c>
      <c r="BL320" s="263" cm="1">
        <f t="array" aca="1" ref="BL320" ca="1">_xlfn.IFS(BL$7&gt;(SAP_Leadsheet!$E$21+12),0,BL$7=(SAP_Leadsheet!$E$21+12),SAP_Spreadsheet!BL181,BL$7&lt;(SAP_Leadsheet!$E$21+12),$E320*BL181)</f>
        <v>1.6201158467423163E-3</v>
      </c>
      <c r="BM320" s="263" cm="1">
        <f t="array" aca="1" ref="BM320" ca="1">_xlfn.IFS(BM$7&gt;(SAP_Leadsheet!$E$21+12),0,BM$7=(SAP_Leadsheet!$E$21+12),SAP_Spreadsheet!BM181,BM$7&lt;(SAP_Leadsheet!$E$21+12),$E320*BM181)</f>
        <v>1.5627744534189166E-3</v>
      </c>
      <c r="BN320" s="263" cm="1">
        <f t="array" aca="1" ref="BN320" ca="1">_xlfn.IFS(BN$7&gt;(SAP_Leadsheet!$E$21+12),0,BN$7=(SAP_Leadsheet!$E$21+12),SAP_Spreadsheet!BN181,BN$7&lt;(SAP_Leadsheet!$E$21+12),$E320*BN181)</f>
        <v>1.5047898313224903E-3</v>
      </c>
      <c r="BO320" s="263" cm="1">
        <f t="array" ref="BO320">_xlfn.IFS(BO$7&gt;(SAP_Leadsheet!$E$21+12),0,BO$7=(SAP_Leadsheet!$E$21+12),SAP_Spreadsheet!BO181,BO$7&lt;(SAP_Leadsheet!$E$21+12),$E320*BO181)</f>
        <v>0</v>
      </c>
      <c r="BP320" s="263" cm="1">
        <f t="array" ref="BP320">_xlfn.IFS(BP$7&gt;(SAP_Leadsheet!$E$21+12),0,BP$7=(SAP_Leadsheet!$E$21+12),SAP_Spreadsheet!BP181,BP$7&lt;(SAP_Leadsheet!$E$21+12),$E320*BP181)</f>
        <v>0</v>
      </c>
      <c r="BQ320" s="263" cm="1">
        <f t="array" ref="BQ320">_xlfn.IFS(BQ$7&gt;(SAP_Leadsheet!$E$21+12),0,BQ$7=(SAP_Leadsheet!$E$21+12),SAP_Spreadsheet!BQ181,BQ$7&lt;(SAP_Leadsheet!$E$21+12),$E320*BQ181)</f>
        <v>0</v>
      </c>
      <c r="BR320" s="263" cm="1">
        <f t="array" ref="BR320">_xlfn.IFS(BR$7&gt;(SAP_Leadsheet!$E$21+12),0,BR$7=(SAP_Leadsheet!$E$21+12),SAP_Spreadsheet!BR181,BR$7&lt;(SAP_Leadsheet!$E$21+12),$E320*BR181)</f>
        <v>0</v>
      </c>
      <c r="BS320" s="263" cm="1">
        <f t="array" ref="BS320">_xlfn.IFS(BS$7&gt;(SAP_Leadsheet!$E$21+12),0,BS$7=(SAP_Leadsheet!$E$21+12),SAP_Spreadsheet!BS181,BS$7&lt;(SAP_Leadsheet!$E$21+12),$E320*BS181)</f>
        <v>0</v>
      </c>
      <c r="BT320" s="263" cm="1">
        <f t="array" ref="BT320">_xlfn.IFS(BT$7&gt;(SAP_Leadsheet!$E$21+12),0,BT$7=(SAP_Leadsheet!$E$21+12),SAP_Spreadsheet!BT181,BT$7&lt;(SAP_Leadsheet!$E$21+12),$E320*BT181)</f>
        <v>0</v>
      </c>
      <c r="BU320" s="263" cm="1">
        <f t="array" ref="BU320">_xlfn.IFS(BU$7&gt;(SAP_Leadsheet!$E$21+12),0,BU$7=(SAP_Leadsheet!$E$21+12),SAP_Spreadsheet!BU181,BU$7&lt;(SAP_Leadsheet!$E$21+12),$E320*BU181)</f>
        <v>0</v>
      </c>
      <c r="BV320" s="263" cm="1">
        <f t="array" ref="BV320">_xlfn.IFS(BV$7&gt;(SAP_Leadsheet!$E$21+12),0,BV$7=(SAP_Leadsheet!$E$21+12),SAP_Spreadsheet!BV181,BV$7&lt;(SAP_Leadsheet!$E$21+12),$E320*BV181)</f>
        <v>0</v>
      </c>
      <c r="BW320" s="263" cm="1">
        <f t="array" ref="BW320">_xlfn.IFS(BW$7&gt;(SAP_Leadsheet!$E$21+12),0,BW$7=(SAP_Leadsheet!$E$21+12),SAP_Spreadsheet!BW181,BW$7&lt;(SAP_Leadsheet!$E$21+12),$E320*BW181)</f>
        <v>0</v>
      </c>
      <c r="BX320" s="263" cm="1">
        <f t="array" ref="BX320">_xlfn.IFS(BX$7&gt;(SAP_Leadsheet!$E$21+12),0,BX$7=(SAP_Leadsheet!$E$21+12),SAP_Spreadsheet!BX181,BX$7&lt;(SAP_Leadsheet!$E$21+12),$E320*BX181)</f>
        <v>0</v>
      </c>
      <c r="BY320" s="263" cm="1">
        <f t="array" ref="BY320">_xlfn.IFS(BY$7&gt;(SAP_Leadsheet!$E$21+12),0,BY$7=(SAP_Leadsheet!$E$21+12),SAP_Spreadsheet!BY181,BY$7&lt;(SAP_Leadsheet!$E$21+12),$E320*BY181)</f>
        <v>0</v>
      </c>
      <c r="BZ320" s="263" cm="1">
        <f t="array" ref="BZ320">_xlfn.IFS(BZ$7&gt;(SAP_Leadsheet!$E$21+12),0,BZ$7=(SAP_Leadsheet!$E$21+12),SAP_Spreadsheet!BZ181,BZ$7&lt;(SAP_Leadsheet!$E$21+12),$E320*BZ181)</f>
        <v>0</v>
      </c>
      <c r="CA320" s="263"/>
      <c r="CB320" s="263"/>
      <c r="CC320" s="263"/>
      <c r="CD320" s="263"/>
      <c r="CE320" s="263"/>
      <c r="CF320" s="263"/>
      <c r="CG320" s="263"/>
      <c r="CH320" s="263"/>
      <c r="CI320" s="263"/>
      <c r="CJ320" s="263"/>
      <c r="CK320" s="263"/>
      <c r="CL320" s="263"/>
      <c r="CM320" s="263"/>
      <c r="CN320" s="263"/>
      <c r="CO320" s="263"/>
      <c r="CP320" s="263"/>
      <c r="CQ320" s="263"/>
      <c r="CR320" s="263"/>
      <c r="CS320" s="263"/>
      <c r="CT320" s="263"/>
      <c r="CU320" s="263"/>
      <c r="CV320" s="263"/>
      <c r="CW320" s="263"/>
      <c r="CX320" s="263"/>
      <c r="CY320" s="263"/>
      <c r="CZ320" s="263"/>
      <c r="DA320" s="263"/>
      <c r="DB320" s="263"/>
      <c r="DC320" s="263"/>
      <c r="DD320" s="263"/>
      <c r="DE320" s="263"/>
      <c r="DF320" s="263"/>
      <c r="DG320" s="263"/>
      <c r="DH320" s="263"/>
      <c r="DI320" s="263"/>
      <c r="DJ320" s="263"/>
      <c r="DK320" s="263"/>
      <c r="DL320" s="263"/>
      <c r="DM320" s="263"/>
      <c r="DN320" s="263"/>
      <c r="DO320" s="263"/>
      <c r="DP320" s="263"/>
      <c r="DQ320" s="263"/>
      <c r="DR320" s="263"/>
      <c r="DS320" s="263"/>
      <c r="DT320" s="263"/>
      <c r="DU320" s="263"/>
      <c r="DV320" s="263"/>
      <c r="DW320" s="263"/>
      <c r="DX320" s="263"/>
      <c r="DY320" s="263"/>
      <c r="DZ320" s="263"/>
      <c r="EA320" s="263"/>
      <c r="EB320" s="263"/>
      <c r="EC320" s="263"/>
      <c r="ED320" s="263"/>
      <c r="EE320" s="263"/>
      <c r="EF320" s="263"/>
      <c r="EG320" s="263"/>
      <c r="EH320" s="263"/>
      <c r="EI320" s="263"/>
      <c r="EJ320" s="263"/>
      <c r="EK320" s="263"/>
      <c r="EL320" s="263"/>
      <c r="EM320" s="263"/>
      <c r="EN320" s="263"/>
      <c r="EO320" s="263"/>
      <c r="EP320" s="263"/>
      <c r="EQ320" s="263"/>
      <c r="ER320" s="263"/>
      <c r="ES320" s="263"/>
      <c r="ET320" s="263"/>
      <c r="EU320" s="263"/>
      <c r="EV320" s="263"/>
      <c r="EW320" s="263"/>
      <c r="EX320" s="263"/>
      <c r="EY320" s="263"/>
      <c r="EZ320" s="263"/>
      <c r="FA320" s="263"/>
      <c r="FB320" s="263"/>
      <c r="FC320" s="263"/>
      <c r="FD320" s="263"/>
      <c r="FE320" s="263"/>
      <c r="FF320" s="263"/>
      <c r="FG320" s="263"/>
      <c r="FH320" s="263"/>
      <c r="FI320" s="263"/>
      <c r="FJ320" s="263"/>
      <c r="FK320" s="263"/>
      <c r="FL320" s="263"/>
      <c r="FM320" s="263"/>
      <c r="FN320" s="263"/>
      <c r="FO320" s="263"/>
      <c r="FP320" s="263"/>
      <c r="FQ320" s="263"/>
      <c r="FR320" s="263"/>
      <c r="FS320" s="263"/>
      <c r="FT320" s="263"/>
      <c r="FU320" s="263"/>
      <c r="FV320" s="263"/>
      <c r="FW320" s="263"/>
      <c r="FX320" s="263"/>
      <c r="FY320" s="263"/>
      <c r="FZ320" s="263"/>
      <c r="GA320" s="263"/>
      <c r="GB320" s="263"/>
      <c r="GC320" s="263"/>
      <c r="GD320" s="263"/>
      <c r="GE320" s="263"/>
      <c r="GF320" s="263"/>
      <c r="GG320" s="263"/>
      <c r="GH320" s="263"/>
      <c r="GI320" s="263"/>
      <c r="GJ320" s="263"/>
      <c r="GK320" s="263"/>
      <c r="GL320" s="263"/>
      <c r="GM320" s="263"/>
      <c r="GN320" s="263"/>
      <c r="GO320" s="263"/>
      <c r="GP320" s="263"/>
      <c r="GQ320" s="263"/>
      <c r="GR320" s="263"/>
      <c r="GS320" s="263"/>
      <c r="GT320" s="263"/>
      <c r="GU320" s="263"/>
      <c r="GV320" s="263"/>
      <c r="GW320" s="263"/>
      <c r="GX320" s="263"/>
      <c r="GY320" s="263"/>
    </row>
    <row r="321" spans="1:207" x14ac:dyDescent="0.15">
      <c r="A321" s="62"/>
      <c r="C321" s="23"/>
      <c r="D321" s="26" t="s">
        <v>412</v>
      </c>
      <c r="E321" s="39">
        <v>5.7500000000000002E-2</v>
      </c>
      <c r="F321" s="80"/>
      <c r="G321" s="263" cm="1">
        <f t="array" ref="G321">_xlfn.IFS(G$7&gt;(SAP_Leadsheet!$E$21+12),0,G$7=(SAP_Leadsheet!$E$21+12),SAP_Spreadsheet!G182,G$7&lt;(SAP_Leadsheet!$E$21+12),$E321*G182)</f>
        <v>0</v>
      </c>
      <c r="H321" s="263" cm="1">
        <f t="array" aca="1" ref="H321" ca="1">_xlfn.IFS(H$7&gt;(SAP_Leadsheet!$E$21+12),0,H$7=(SAP_Leadsheet!$E$21+12),SAP_Spreadsheet!H182,H$7&lt;(SAP_Leadsheet!$E$21+12),$E321*H182)</f>
        <v>1.7092349595800923E-3</v>
      </c>
      <c r="I321" s="263" cm="1">
        <f t="array" aca="1" ref="I321" ca="1">_xlfn.IFS(I$7&gt;(SAP_Leadsheet!$E$21+12),0,I$7=(SAP_Leadsheet!$E$21+12),SAP_Spreadsheet!I182,I$7&lt;(SAP_Leadsheet!$E$21+12),$E321*I182)</f>
        <v>3.0129422130151934E-3</v>
      </c>
      <c r="J321" s="263" cm="1">
        <f t="array" aca="1" ref="J321" ca="1">_xlfn.IFS(J$7&gt;(SAP_Leadsheet!$E$21+12),0,J$7=(SAP_Leadsheet!$E$21+12),SAP_Spreadsheet!J182,J$7&lt;(SAP_Leadsheet!$E$21+12),$E321*J182)</f>
        <v>3.5441450958932801E-3</v>
      </c>
      <c r="K321" s="263" cm="1">
        <f t="array" aca="1" ref="K321" ca="1">_xlfn.IFS(K$7&gt;(SAP_Leadsheet!$E$21+12),0,K$7=(SAP_Leadsheet!$E$21+12),SAP_Spreadsheet!K182,K$7&lt;(SAP_Leadsheet!$E$21+12),$E321*K182)</f>
        <v>3.525574464600278E-3</v>
      </c>
      <c r="L321" s="263" cm="1">
        <f t="array" aca="1" ref="L321" ca="1">_xlfn.IFS(L$7&gt;(SAP_Leadsheet!$E$21+12),0,L$7=(SAP_Leadsheet!$E$21+12),SAP_Spreadsheet!L182,L$7&lt;(SAP_Leadsheet!$E$21+12),$E321*L182)</f>
        <v>3.241837330447707E-3</v>
      </c>
      <c r="M321" s="263" cm="1">
        <f t="array" aca="1" ref="M321" ca="1">_xlfn.IFS(M$7&gt;(SAP_Leadsheet!$E$21+12),0,M$7=(SAP_Leadsheet!$E$21+12),SAP_Spreadsheet!M182,M$7&lt;(SAP_Leadsheet!$E$21+12),$E321*M182)</f>
        <v>2.8801508051296654E-3</v>
      </c>
      <c r="N321" s="263" cm="1">
        <f t="array" aca="1" ref="N321" ca="1">_xlfn.IFS(N$7&gt;(SAP_Leadsheet!$E$21+12),0,N$7=(SAP_Leadsheet!$E$21+12),SAP_Spreadsheet!N182,N$7&lt;(SAP_Leadsheet!$E$21+12),$E321*N182)</f>
        <v>2.4406859833788408E-3</v>
      </c>
      <c r="O321" s="263" cm="1">
        <f t="array" aca="1" ref="O321" ca="1">_xlfn.IFS(O$7&gt;(SAP_Leadsheet!$E$21+12),0,O$7=(SAP_Leadsheet!$E$21+12),SAP_Spreadsheet!O182,O$7&lt;(SAP_Leadsheet!$E$21+12),$E321*O182)</f>
        <v>2.117088064046571E-3</v>
      </c>
      <c r="P321" s="263" cm="1">
        <f t="array" aca="1" ref="P321" ca="1">_xlfn.IFS(P$7&gt;(SAP_Leadsheet!$E$21+12),0,P$7=(SAP_Leadsheet!$E$21+12),SAP_Spreadsheet!P182,P$7&lt;(SAP_Leadsheet!$E$21+12),$E321*P182)</f>
        <v>1.8533405278711263E-3</v>
      </c>
      <c r="Q321" s="263" cm="1">
        <f t="array" aca="1" ref="Q321" ca="1">_xlfn.IFS(Q$7&gt;(SAP_Leadsheet!$E$21+12),0,Q$7=(SAP_Leadsheet!$E$21+12),SAP_Spreadsheet!Q182,Q$7&lt;(SAP_Leadsheet!$E$21+12),$E321*Q182)</f>
        <v>1.6344024191608712E-3</v>
      </c>
      <c r="R321" s="263" cm="1">
        <f t="array" aca="1" ref="R321" ca="1">_xlfn.IFS(R$7&gt;(SAP_Leadsheet!$E$21+12),0,R$7=(SAP_Leadsheet!$E$21+12),SAP_Spreadsheet!R182,R$7&lt;(SAP_Leadsheet!$E$21+12),$E321*R182)</f>
        <v>1.4739693392931252E-3</v>
      </c>
      <c r="S321" s="263" cm="1">
        <f t="array" aca="1" ref="S321" ca="1">_xlfn.IFS(S$7&gt;(SAP_Leadsheet!$E$21+12),0,S$7=(SAP_Leadsheet!$E$21+12),SAP_Spreadsheet!S182,S$7&lt;(SAP_Leadsheet!$E$21+12),$E321*S182)</f>
        <v>7.4026627624265034E-4</v>
      </c>
      <c r="T321" s="263" cm="1">
        <f t="array" aca="1" ref="T321" ca="1">_xlfn.IFS(T$7&gt;(SAP_Leadsheet!$E$21+12),0,T$7=(SAP_Leadsheet!$E$21+12),SAP_Spreadsheet!T182,T$7&lt;(SAP_Leadsheet!$E$21+12),$E321*T182)</f>
        <v>7.5993505111401948E-4</v>
      </c>
      <c r="U321" s="263" cm="1">
        <f t="array" aca="1" ref="U321" ca="1">_xlfn.IFS(U$7&gt;(SAP_Leadsheet!$E$21+12),0,U$7=(SAP_Leadsheet!$E$21+12),SAP_Spreadsheet!U182,U$7&lt;(SAP_Leadsheet!$E$21+12),$E321*U182)</f>
        <v>8.7450826256707124E-4</v>
      </c>
      <c r="V321" s="263" cm="1">
        <f t="array" aca="1" ref="V321" ca="1">_xlfn.IFS(V$7&gt;(SAP_Leadsheet!$E$21+12),0,V$7=(SAP_Leadsheet!$E$21+12),SAP_Spreadsheet!V182,V$7&lt;(SAP_Leadsheet!$E$21+12),$E321*V182)</f>
        <v>9.0182124663695763E-4</v>
      </c>
      <c r="W321" s="263" cm="1">
        <f t="array" aca="1" ref="W321" ca="1">_xlfn.IFS(W$7&gt;(SAP_Leadsheet!$E$21+12),0,W$7=(SAP_Leadsheet!$E$21+12),SAP_Spreadsheet!W182,W$7&lt;(SAP_Leadsheet!$E$21+12),$E321*W182)</f>
        <v>8.5866585739359947E-4</v>
      </c>
      <c r="X321" s="263" cm="1">
        <f t="array" aca="1" ref="X321" ca="1">_xlfn.IFS(X$7&gt;(SAP_Leadsheet!$E$21+12),0,X$7=(SAP_Leadsheet!$E$21+12),SAP_Spreadsheet!X182,X$7&lt;(SAP_Leadsheet!$E$21+12),$E321*X182)</f>
        <v>8.6955627986165821E-4</v>
      </c>
      <c r="Y321" s="263" cm="1">
        <f t="array" aca="1" ref="Y321" ca="1">_xlfn.IFS(Y$7&gt;(SAP_Leadsheet!$E$21+12),0,Y$7=(SAP_Leadsheet!$E$21+12),SAP_Spreadsheet!Y182,Y$7&lt;(SAP_Leadsheet!$E$21+12),$E321*Y182)</f>
        <v>8.9124137946000549E-4</v>
      </c>
      <c r="Z321" s="263" cm="1">
        <f t="array" aca="1" ref="Z321" ca="1">_xlfn.IFS(Z$7&gt;(SAP_Leadsheet!$E$21+12),0,Z$7=(SAP_Leadsheet!$E$21+12),SAP_Spreadsheet!Z182,Z$7&lt;(SAP_Leadsheet!$E$21+12),$E321*Z182)</f>
        <v>9.0285656937301646E-4</v>
      </c>
      <c r="AA321" s="263" cm="1">
        <f t="array" aca="1" ref="AA321" ca="1">_xlfn.IFS(AA$7&gt;(SAP_Leadsheet!$E$21+12),0,AA$7=(SAP_Leadsheet!$E$21+12),SAP_Spreadsheet!AA182,AA$7&lt;(SAP_Leadsheet!$E$21+12),$E321*AA182)</f>
        <v>8.9984920897693502E-4</v>
      </c>
      <c r="AB321" s="263" cm="1">
        <f t="array" aca="1" ref="AB321" ca="1">_xlfn.IFS(AB$7&gt;(SAP_Leadsheet!$E$21+12),0,AB$7=(SAP_Leadsheet!$E$21+12),SAP_Spreadsheet!AB182,AB$7&lt;(SAP_Leadsheet!$E$21+12),$E321*AB182)</f>
        <v>8.8091778644461879E-4</v>
      </c>
      <c r="AC321" s="263" cm="1">
        <f t="array" aca="1" ref="AC321" ca="1">_xlfn.IFS(AC$7&gt;(SAP_Leadsheet!$E$21+12),0,AC$7=(SAP_Leadsheet!$E$21+12),SAP_Spreadsheet!AC182,AC$7&lt;(SAP_Leadsheet!$E$21+12),$E321*AC182)</f>
        <v>8.5071928998224156E-4</v>
      </c>
      <c r="AD321" s="263" cm="1">
        <f t="array" aca="1" ref="AD321" ca="1">_xlfn.IFS(AD$7&gt;(SAP_Leadsheet!$E$21+12),0,AD$7=(SAP_Leadsheet!$E$21+12),SAP_Spreadsheet!AD182,AD$7&lt;(SAP_Leadsheet!$E$21+12),$E321*AD182)</f>
        <v>8.5055234485211645E-4</v>
      </c>
      <c r="AE321" s="263" cm="1">
        <f t="array" aca="1" ref="AE321" ca="1">_xlfn.IFS(AE$7&gt;(SAP_Leadsheet!$E$21+12),0,AE$7=(SAP_Leadsheet!$E$21+12),SAP_Spreadsheet!AE182,AE$7&lt;(SAP_Leadsheet!$E$21+12),$E321*AE182)</f>
        <v>6.9585937574347773E-4</v>
      </c>
      <c r="AF321" s="263" cm="1">
        <f t="array" aca="1" ref="AF321" ca="1">_xlfn.IFS(AF$7&gt;(SAP_Leadsheet!$E$21+12),0,AF$7=(SAP_Leadsheet!$E$21+12),SAP_Spreadsheet!AF182,AF$7&lt;(SAP_Leadsheet!$E$21+12),$E321*AF182)</f>
        <v>7.1007604301450767E-4</v>
      </c>
      <c r="AG321" s="263" cm="1">
        <f t="array" aca="1" ref="AG321" ca="1">_xlfn.IFS(AG$7&gt;(SAP_Leadsheet!$E$21+12),0,AG$7=(SAP_Leadsheet!$E$21+12),SAP_Spreadsheet!AG182,AG$7&lt;(SAP_Leadsheet!$E$21+12),$E321*AG182)</f>
        <v>7.5374642667456039E-4</v>
      </c>
      <c r="AH321" s="263" cm="1">
        <f t="array" aca="1" ref="AH321" ca="1">_xlfn.IFS(AH$7&gt;(SAP_Leadsheet!$E$21+12),0,AH$7=(SAP_Leadsheet!$E$21+12),SAP_Spreadsheet!AH182,AH$7&lt;(SAP_Leadsheet!$E$21+12),$E321*AH182)</f>
        <v>7.8072072722684812E-4</v>
      </c>
      <c r="AI321" s="263" cm="1">
        <f t="array" aca="1" ref="AI321" ca="1">_xlfn.IFS(AI$7&gt;(SAP_Leadsheet!$E$21+12),0,AI$7=(SAP_Leadsheet!$E$21+12),SAP_Spreadsheet!AI182,AI$7&lt;(SAP_Leadsheet!$E$21+12),$E321*AI182)</f>
        <v>7.8456112228525692E-4</v>
      </c>
      <c r="AJ321" s="263" cm="1">
        <f t="array" aca="1" ref="AJ321" ca="1">_xlfn.IFS(AJ$7&gt;(SAP_Leadsheet!$E$21+12),0,AJ$7=(SAP_Leadsheet!$E$21+12),SAP_Spreadsheet!AJ182,AJ$7&lt;(SAP_Leadsheet!$E$21+12),$E321*AJ182)</f>
        <v>7.7326703335540308E-4</v>
      </c>
      <c r="AK321" s="263" cm="1">
        <f t="array" aca="1" ref="AK321" ca="1">_xlfn.IFS(AK$7&gt;(SAP_Leadsheet!$E$21+12),0,AK$7=(SAP_Leadsheet!$E$21+12),SAP_Spreadsheet!AK182,AK$7&lt;(SAP_Leadsheet!$E$21+12),$E321*AK182)</f>
        <v>7.5528292642853591E-4</v>
      </c>
      <c r="AL321" s="263" cm="1">
        <f t="array" aca="1" ref="AL321" ca="1">_xlfn.IFS(AL$7&gt;(SAP_Leadsheet!$E$21+12),0,AL$7=(SAP_Leadsheet!$E$21+12),SAP_Spreadsheet!AL182,AL$7&lt;(SAP_Leadsheet!$E$21+12),$E321*AL182)</f>
        <v>7.3544355616673941E-4</v>
      </c>
      <c r="AM321" s="263" cm="1">
        <f t="array" aca="1" ref="AM321" ca="1">_xlfn.IFS(AM$7&gt;(SAP_Leadsheet!$E$21+12),0,AM$7=(SAP_Leadsheet!$E$21+12),SAP_Spreadsheet!AM182,AM$7&lt;(SAP_Leadsheet!$E$21+12),$E321*AM182)</f>
        <v>7.4019341858189635E-4</v>
      </c>
      <c r="AN321" s="263" cm="1">
        <f t="array" aca="1" ref="AN321" ca="1">_xlfn.IFS(AN$7&gt;(SAP_Leadsheet!$E$21+12),0,AN$7=(SAP_Leadsheet!$E$21+12),SAP_Spreadsheet!AN182,AN$7&lt;(SAP_Leadsheet!$E$21+12),$E321*AN182)</f>
        <v>7.169794198972697E-4</v>
      </c>
      <c r="AO321" s="263" cm="1">
        <f t="array" aca="1" ref="AO321" ca="1">_xlfn.IFS(AO$7&gt;(SAP_Leadsheet!$E$21+12),0,AO$7=(SAP_Leadsheet!$E$21+12),SAP_Spreadsheet!AO182,AO$7&lt;(SAP_Leadsheet!$E$21+12),$E321*AO182)</f>
        <v>6.876500911813866E-4</v>
      </c>
      <c r="AP321" s="263" cm="1">
        <f t="array" aca="1" ref="AP321" ca="1">_xlfn.IFS(AP$7&gt;(SAP_Leadsheet!$E$21+12),0,AP$7=(SAP_Leadsheet!$E$21+12),SAP_Spreadsheet!AP182,AP$7&lt;(SAP_Leadsheet!$E$21+12),$E321*AP182)</f>
        <v>6.6060596665803474E-4</v>
      </c>
      <c r="AQ321" s="263" cm="1">
        <f t="array" aca="1" ref="AQ321" ca="1">_xlfn.IFS(AQ$7&gt;(SAP_Leadsheet!$E$21+12),0,AQ$7=(SAP_Leadsheet!$E$21+12),SAP_Spreadsheet!AQ182,AQ$7&lt;(SAP_Leadsheet!$E$21+12),$E321*AQ182)</f>
        <v>5.3130143024088163E-4</v>
      </c>
      <c r="AR321" s="263" cm="1">
        <f t="array" aca="1" ref="AR321" ca="1">_xlfn.IFS(AR$7&gt;(SAP_Leadsheet!$E$21+12),0,AR$7=(SAP_Leadsheet!$E$21+12),SAP_Spreadsheet!AR182,AR$7&lt;(SAP_Leadsheet!$E$21+12),$E321*AR182)</f>
        <v>5.1954083094534918E-4</v>
      </c>
      <c r="AS321" s="263" cm="1">
        <f t="array" aca="1" ref="AS321" ca="1">_xlfn.IFS(AS$7&gt;(SAP_Leadsheet!$E$21+12),0,AS$7=(SAP_Leadsheet!$E$21+12),SAP_Spreadsheet!AS182,AS$7&lt;(SAP_Leadsheet!$E$21+12),$E321*AS182)</f>
        <v>5.0992972821100094E-4</v>
      </c>
      <c r="AT321" s="263" cm="1">
        <f t="array" aca="1" ref="AT321" ca="1">_xlfn.IFS(AT$7&gt;(SAP_Leadsheet!$E$21+12),0,AT$7=(SAP_Leadsheet!$E$21+12),SAP_Spreadsheet!AT182,AT$7&lt;(SAP_Leadsheet!$E$21+12),$E321*AT182)</f>
        <v>5.013586583183943E-4</v>
      </c>
      <c r="AU321" s="263" cm="1">
        <f t="array" aca="1" ref="AU321" ca="1">_xlfn.IFS(AU$7&gt;(SAP_Leadsheet!$E$21+12),0,AU$7=(SAP_Leadsheet!$E$21+12),SAP_Spreadsheet!AU182,AU$7&lt;(SAP_Leadsheet!$E$21+12),$E321*AU182)</f>
        <v>4.9299659528724831E-4</v>
      </c>
      <c r="AV321" s="263" cm="1">
        <f t="array" aca="1" ref="AV321" ca="1">_xlfn.IFS(AV$7&gt;(SAP_Leadsheet!$E$21+12),0,AV$7=(SAP_Leadsheet!$E$21+12),SAP_Spreadsheet!AV182,AV$7&lt;(SAP_Leadsheet!$E$21+12),$E321*AV182)</f>
        <v>4.8452580289492174E-4</v>
      </c>
      <c r="AW321" s="263" cm="1">
        <f t="array" aca="1" ref="AW321" ca="1">_xlfn.IFS(AW$7&gt;(SAP_Leadsheet!$E$21+12),0,AW$7=(SAP_Leadsheet!$E$21+12),SAP_Spreadsheet!AW182,AW$7&lt;(SAP_Leadsheet!$E$21+12),$E321*AW182)</f>
        <v>4.7590067751705409E-4</v>
      </c>
      <c r="AX321" s="263" cm="1">
        <f t="array" aca="1" ref="AX321" ca="1">_xlfn.IFS(AX$7&gt;(SAP_Leadsheet!$E$21+12),0,AX$7=(SAP_Leadsheet!$E$21+12),SAP_Spreadsheet!AX182,AX$7&lt;(SAP_Leadsheet!$E$21+12),$E321*AX182)</f>
        <v>4.670514026829096E-4</v>
      </c>
      <c r="AY321" s="263" cm="1">
        <f t="array" aca="1" ref="AY321" ca="1">_xlfn.IFS(AY$7&gt;(SAP_Leadsheet!$E$21+12),0,AY$7=(SAP_Leadsheet!$E$21+12),SAP_Spreadsheet!AY182,AY$7&lt;(SAP_Leadsheet!$E$21+12),$E321*AY182)</f>
        <v>4.5786925305575969E-4</v>
      </c>
      <c r="AZ321" s="263" cm="1">
        <f t="array" aca="1" ref="AZ321" ca="1">_xlfn.IFS(AZ$7&gt;(SAP_Leadsheet!$E$21+12),0,AZ$7=(SAP_Leadsheet!$E$21+12),SAP_Spreadsheet!AZ182,AZ$7&lt;(SAP_Leadsheet!$E$21+12),$E321*AZ182)</f>
        <v>4.4799882642589236E-4</v>
      </c>
      <c r="BA321" s="263" cm="1">
        <f t="array" aca="1" ref="BA321" ca="1">_xlfn.IFS(BA$7&gt;(SAP_Leadsheet!$E$21+12),0,BA$7=(SAP_Leadsheet!$E$21+12),SAP_Spreadsheet!BA182,BA$7&lt;(SAP_Leadsheet!$E$21+12),$E321*BA182)</f>
        <v>4.3711060216890669E-4</v>
      </c>
      <c r="BB321" s="263" cm="1">
        <f t="array" aca="1" ref="BB321" ca="1">_xlfn.IFS(BB$7&gt;(SAP_Leadsheet!$E$21+12),0,BB$7=(SAP_Leadsheet!$E$21+12),SAP_Spreadsheet!BB182,BB$7&lt;(SAP_Leadsheet!$E$21+12),$E321*BB182)</f>
        <v>4.2553380454243535E-4</v>
      </c>
      <c r="BC321" s="263" cm="1">
        <f t="array" aca="1" ref="BC321" ca="1">_xlfn.IFS(BC$7&gt;(SAP_Leadsheet!$E$21+12),0,BC$7=(SAP_Leadsheet!$E$21+12),SAP_Spreadsheet!BC182,BC$7&lt;(SAP_Leadsheet!$E$21+12),$E321*BC182)</f>
        <v>3.6400882058018066E-4</v>
      </c>
      <c r="BD321" s="263" cm="1">
        <f t="array" aca="1" ref="BD321" ca="1">_xlfn.IFS(BD$7&gt;(SAP_Leadsheet!$E$21+12),0,BD$7=(SAP_Leadsheet!$E$21+12),SAP_Spreadsheet!BD182,BD$7&lt;(SAP_Leadsheet!$E$21+12),$E321*BD182)</f>
        <v>3.548852149419195E-4</v>
      </c>
      <c r="BE321" s="263" cm="1">
        <f t="array" aca="1" ref="BE321" ca="1">_xlfn.IFS(BE$7&gt;(SAP_Leadsheet!$E$21+12),0,BE$7=(SAP_Leadsheet!$E$21+12),SAP_Spreadsheet!BE182,BE$7&lt;(SAP_Leadsheet!$E$21+12),$E321*BE182)</f>
        <v>3.4578414710762135E-4</v>
      </c>
      <c r="BF321" s="263" cm="1">
        <f t="array" aca="1" ref="BF321" ca="1">_xlfn.IFS(BF$7&gt;(SAP_Leadsheet!$E$21+12),0,BF$7=(SAP_Leadsheet!$E$21+12),SAP_Spreadsheet!BF182,BF$7&lt;(SAP_Leadsheet!$E$21+12),$E321*BF182)</f>
        <v>3.3676364228578696E-4</v>
      </c>
      <c r="BG321" s="263" cm="1">
        <f t="array" aca="1" ref="BG321" ca="1">_xlfn.IFS(BG$7&gt;(SAP_Leadsheet!$E$21+12),0,BG$7=(SAP_Leadsheet!$E$21+12),SAP_Spreadsheet!BG182,BG$7&lt;(SAP_Leadsheet!$E$21+12),$E321*BG182)</f>
        <v>3.2778569637779108E-4</v>
      </c>
      <c r="BH321" s="263" cm="1">
        <f t="array" aca="1" ref="BH321" ca="1">_xlfn.IFS(BH$7&gt;(SAP_Leadsheet!$E$21+12),0,BH$7=(SAP_Leadsheet!$E$21+12),SAP_Spreadsheet!BH182,BH$7&lt;(SAP_Leadsheet!$E$21+12),$E321*BH182)</f>
        <v>3.1882700073613288E-4</v>
      </c>
      <c r="BI321" s="263" cm="1">
        <f t="array" aca="1" ref="BI321" ca="1">_xlfn.IFS(BI$7&gt;(SAP_Leadsheet!$E$21+12),0,BI$7=(SAP_Leadsheet!$E$21+12),SAP_Spreadsheet!BI182,BI$7&lt;(SAP_Leadsheet!$E$21+12),$E321*BI182)</f>
        <v>3.0985938936830404E-4</v>
      </c>
      <c r="BJ321" s="263" cm="1">
        <f t="array" aca="1" ref="BJ321" ca="1">_xlfn.IFS(BJ$7&gt;(SAP_Leadsheet!$E$21+12),0,BJ$7=(SAP_Leadsheet!$E$21+12),SAP_Spreadsheet!BJ182,BJ$7&lt;(SAP_Leadsheet!$E$21+12),$E321*BJ182)</f>
        <v>3.0086920478265041E-4</v>
      </c>
      <c r="BK321" s="263" cm="1">
        <f t="array" aca="1" ref="BK321" ca="1">_xlfn.IFS(BK$7&gt;(SAP_Leadsheet!$E$21+12),0,BK$7=(SAP_Leadsheet!$E$21+12),SAP_Spreadsheet!BK182,BK$7&lt;(SAP_Leadsheet!$E$21+12),$E321*BK182)</f>
        <v>2.9185432803466202E-4</v>
      </c>
      <c r="BL321" s="263" cm="1">
        <f t="array" aca="1" ref="BL321" ca="1">_xlfn.IFS(BL$7&gt;(SAP_Leadsheet!$E$21+12),0,BL$7=(SAP_Leadsheet!$E$21+12),SAP_Spreadsheet!BL182,BL$7&lt;(SAP_Leadsheet!$E$21+12),$E321*BL182)</f>
        <v>2.8270866568539196E-4</v>
      </c>
      <c r="BM321" s="263" cm="1">
        <f t="array" aca="1" ref="BM321" ca="1">_xlfn.IFS(BM$7&gt;(SAP_Leadsheet!$E$21+12),0,BM$7=(SAP_Leadsheet!$E$21+12),SAP_Spreadsheet!BM182,BM$7&lt;(SAP_Leadsheet!$E$21+12),$E321*BM182)</f>
        <v>2.732595394838707E-4</v>
      </c>
      <c r="BN321" s="263" cm="1">
        <f t="array" aca="1" ref="BN321" ca="1">_xlfn.IFS(BN$7&gt;(SAP_Leadsheet!$E$21+12),0,BN$7=(SAP_Leadsheet!$E$21+12),SAP_Spreadsheet!BN182,BN$7&lt;(SAP_Leadsheet!$E$21+12),$E321*BN182)</f>
        <v>2.6358795780999063E-4</v>
      </c>
      <c r="BO321" s="263" cm="1">
        <f t="array" aca="1" ref="BO321" ca="1">_xlfn.IFS(BO$7&gt;(SAP_Leadsheet!$E$21+12),0,BO$7=(SAP_Leadsheet!$E$21+12),SAP_Spreadsheet!BO182,BO$7&lt;(SAP_Leadsheet!$E$21+12),$E321*BO182)</f>
        <v>2.5380788488305999E-4</v>
      </c>
      <c r="BP321" s="263" cm="1">
        <f t="array" aca="1" ref="BP321" ca="1">_xlfn.IFS(BP$7&gt;(SAP_Leadsheet!$E$21+12),0,BP$7=(SAP_Leadsheet!$E$21+12),SAP_Spreadsheet!BP182,BP$7&lt;(SAP_Leadsheet!$E$21+12),$E321*BP182)</f>
        <v>0</v>
      </c>
      <c r="BQ321" s="263" cm="1">
        <f t="array" aca="1" ref="BQ321" ca="1">_xlfn.IFS(BQ$7&gt;(SAP_Leadsheet!$E$21+12),0,BQ$7=(SAP_Leadsheet!$E$21+12),SAP_Spreadsheet!BQ182,BQ$7&lt;(SAP_Leadsheet!$E$21+12),$E321*BQ182)</f>
        <v>0</v>
      </c>
      <c r="BR321" s="263" cm="1">
        <f t="array" aca="1" ref="BR321" ca="1">_xlfn.IFS(BR$7&gt;(SAP_Leadsheet!$E$21+12),0,BR$7=(SAP_Leadsheet!$E$21+12),SAP_Spreadsheet!BR182,BR$7&lt;(SAP_Leadsheet!$E$21+12),$E321*BR182)</f>
        <v>0</v>
      </c>
      <c r="BS321" s="263" cm="1">
        <f t="array" aca="1" ref="BS321" ca="1">_xlfn.IFS(BS$7&gt;(SAP_Leadsheet!$E$21+12),0,BS$7=(SAP_Leadsheet!$E$21+12),SAP_Spreadsheet!BS182,BS$7&lt;(SAP_Leadsheet!$E$21+12),$E321*BS182)</f>
        <v>0</v>
      </c>
      <c r="BT321" s="263" cm="1">
        <f t="array" aca="1" ref="BT321" ca="1">_xlfn.IFS(BT$7&gt;(SAP_Leadsheet!$E$21+12),0,BT$7=(SAP_Leadsheet!$E$21+12),SAP_Spreadsheet!BT182,BT$7&lt;(SAP_Leadsheet!$E$21+12),$E321*BT182)</f>
        <v>0</v>
      </c>
      <c r="BU321" s="263" cm="1">
        <f t="array" aca="1" ref="BU321" ca="1">_xlfn.IFS(BU$7&gt;(SAP_Leadsheet!$E$21+12),0,BU$7=(SAP_Leadsheet!$E$21+12),SAP_Spreadsheet!BU182,BU$7&lt;(SAP_Leadsheet!$E$21+12),$E321*BU182)</f>
        <v>0</v>
      </c>
      <c r="BV321" s="263" cm="1">
        <f t="array" aca="1" ref="BV321" ca="1">_xlfn.IFS(BV$7&gt;(SAP_Leadsheet!$E$21+12),0,BV$7=(SAP_Leadsheet!$E$21+12),SAP_Spreadsheet!BV182,BV$7&lt;(SAP_Leadsheet!$E$21+12),$E321*BV182)</f>
        <v>0</v>
      </c>
      <c r="BW321" s="263" cm="1">
        <f t="array" aca="1" ref="BW321" ca="1">_xlfn.IFS(BW$7&gt;(SAP_Leadsheet!$E$21+12),0,BW$7=(SAP_Leadsheet!$E$21+12),SAP_Spreadsheet!BW182,BW$7&lt;(SAP_Leadsheet!$E$21+12),$E321*BW182)</f>
        <v>0</v>
      </c>
      <c r="BX321" s="263" cm="1">
        <f t="array" aca="1" ref="BX321" ca="1">_xlfn.IFS(BX$7&gt;(SAP_Leadsheet!$E$21+12),0,BX$7=(SAP_Leadsheet!$E$21+12),SAP_Spreadsheet!BX182,BX$7&lt;(SAP_Leadsheet!$E$21+12),$E321*BX182)</f>
        <v>0</v>
      </c>
      <c r="BY321" s="263" cm="1">
        <f t="array" aca="1" ref="BY321" ca="1">_xlfn.IFS(BY$7&gt;(SAP_Leadsheet!$E$21+12),0,BY$7=(SAP_Leadsheet!$E$21+12),SAP_Spreadsheet!BY182,BY$7&lt;(SAP_Leadsheet!$E$21+12),$E321*BY182)</f>
        <v>0</v>
      </c>
      <c r="BZ321" s="263" cm="1">
        <f t="array" aca="1" ref="BZ321" ca="1">_xlfn.IFS(BZ$7&gt;(SAP_Leadsheet!$E$21+12),0,BZ$7=(SAP_Leadsheet!$E$21+12),SAP_Spreadsheet!BZ182,BZ$7&lt;(SAP_Leadsheet!$E$21+12),$E321*BZ182)</f>
        <v>0</v>
      </c>
      <c r="CA321" s="263"/>
      <c r="CB321" s="263"/>
      <c r="CC321" s="263"/>
      <c r="CD321" s="263"/>
      <c r="CE321" s="263"/>
      <c r="CF321" s="263"/>
      <c r="CG321" s="263"/>
      <c r="CH321" s="263"/>
      <c r="CI321" s="263"/>
      <c r="CJ321" s="263"/>
      <c r="CK321" s="263"/>
      <c r="CL321" s="263"/>
      <c r="CM321" s="263"/>
      <c r="CN321" s="263"/>
      <c r="CO321" s="263"/>
      <c r="CP321" s="263"/>
      <c r="CQ321" s="263"/>
      <c r="CR321" s="263"/>
      <c r="CS321" s="263"/>
      <c r="CT321" s="263"/>
      <c r="CU321" s="263"/>
      <c r="CV321" s="263"/>
      <c r="CW321" s="263"/>
      <c r="CX321" s="263"/>
      <c r="CY321" s="263"/>
      <c r="CZ321" s="263"/>
      <c r="DA321" s="263"/>
      <c r="DB321" s="263"/>
      <c r="DC321" s="263"/>
      <c r="DD321" s="263"/>
      <c r="DE321" s="263"/>
      <c r="DF321" s="263"/>
      <c r="DG321" s="263"/>
      <c r="DH321" s="263"/>
      <c r="DI321" s="263"/>
      <c r="DJ321" s="263"/>
      <c r="DK321" s="263"/>
      <c r="DL321" s="263"/>
      <c r="DM321" s="263"/>
      <c r="DN321" s="263"/>
      <c r="DO321" s="263"/>
      <c r="DP321" s="263"/>
      <c r="DQ321" s="263"/>
      <c r="DR321" s="263"/>
      <c r="DS321" s="263"/>
      <c r="DT321" s="263"/>
      <c r="DU321" s="263"/>
      <c r="DV321" s="263"/>
      <c r="DW321" s="263"/>
      <c r="DX321" s="263"/>
      <c r="DY321" s="263"/>
      <c r="DZ321" s="263"/>
      <c r="EA321" s="263"/>
      <c r="EB321" s="263"/>
      <c r="EC321" s="263"/>
      <c r="ED321" s="263"/>
      <c r="EE321" s="263"/>
      <c r="EF321" s="263"/>
      <c r="EG321" s="263"/>
      <c r="EH321" s="263"/>
      <c r="EI321" s="263"/>
      <c r="EJ321" s="263"/>
      <c r="EK321" s="263"/>
      <c r="EL321" s="263"/>
      <c r="EM321" s="263"/>
      <c r="EN321" s="263"/>
      <c r="EO321" s="263"/>
      <c r="EP321" s="263"/>
      <c r="EQ321" s="263"/>
      <c r="ER321" s="263"/>
      <c r="ES321" s="263"/>
      <c r="ET321" s="263"/>
      <c r="EU321" s="263"/>
      <c r="EV321" s="263"/>
      <c r="EW321" s="263"/>
      <c r="EX321" s="263"/>
      <c r="EY321" s="263"/>
      <c r="EZ321" s="263"/>
      <c r="FA321" s="263"/>
      <c r="FB321" s="263"/>
      <c r="FC321" s="263"/>
      <c r="FD321" s="263"/>
      <c r="FE321" s="263"/>
      <c r="FF321" s="263"/>
      <c r="FG321" s="263"/>
      <c r="FH321" s="263"/>
      <c r="FI321" s="263"/>
      <c r="FJ321" s="263"/>
      <c r="FK321" s="263"/>
      <c r="FL321" s="263"/>
      <c r="FM321" s="263"/>
      <c r="FN321" s="263"/>
      <c r="FO321" s="263"/>
      <c r="FP321" s="263"/>
      <c r="FQ321" s="263"/>
      <c r="FR321" s="263"/>
      <c r="FS321" s="263"/>
      <c r="FT321" s="263"/>
      <c r="FU321" s="263"/>
      <c r="FV321" s="263"/>
      <c r="FW321" s="263"/>
      <c r="FX321" s="263"/>
      <c r="FY321" s="263"/>
      <c r="FZ321" s="263"/>
      <c r="GA321" s="263"/>
      <c r="GB321" s="263"/>
      <c r="GC321" s="263"/>
      <c r="GD321" s="263"/>
      <c r="GE321" s="263"/>
      <c r="GF321" s="263"/>
      <c r="GG321" s="263"/>
      <c r="GH321" s="263"/>
      <c r="GI321" s="263"/>
      <c r="GJ321" s="263"/>
      <c r="GK321" s="263"/>
      <c r="GL321" s="263"/>
      <c r="GM321" s="263"/>
      <c r="GN321" s="263"/>
      <c r="GO321" s="263"/>
      <c r="GP321" s="263"/>
      <c r="GQ321" s="263"/>
      <c r="GR321" s="263"/>
      <c r="GS321" s="263"/>
      <c r="GT321" s="263"/>
      <c r="GU321" s="263"/>
      <c r="GV321" s="263"/>
      <c r="GW321" s="263"/>
      <c r="GX321" s="263"/>
      <c r="GY321" s="263"/>
    </row>
    <row r="322" spans="1:207" x14ac:dyDescent="0.15">
      <c r="A322" s="62"/>
      <c r="C322" s="23"/>
      <c r="D322" s="26" t="s">
        <v>413</v>
      </c>
      <c r="E322" s="39">
        <v>5.7500000000000002E-2</v>
      </c>
      <c r="F322" s="80"/>
      <c r="G322" s="263" cm="1">
        <f t="array" ref="G322">_xlfn.IFS(G$7&gt;(SAP_Leadsheet!$E$21+12),0,G$7=(SAP_Leadsheet!$E$21+12),SAP_Spreadsheet!G183,G$7&lt;(SAP_Leadsheet!$E$21+12),$E322*G183)</f>
        <v>0</v>
      </c>
      <c r="H322" s="263" cm="1">
        <f t="array" aca="1" ref="H322" ca="1">_xlfn.IFS(H$7&gt;(SAP_Leadsheet!$E$21+12),0,H$7=(SAP_Leadsheet!$E$21+12),SAP_Spreadsheet!H183,H$7&lt;(SAP_Leadsheet!$E$21+12),$E322*H183)</f>
        <v>0</v>
      </c>
      <c r="I322" s="263" cm="1">
        <f t="array" aca="1" ref="I322" ca="1">_xlfn.IFS(I$7&gt;(SAP_Leadsheet!$E$21+12),0,I$7=(SAP_Leadsheet!$E$21+12),SAP_Spreadsheet!I183,I$7&lt;(SAP_Leadsheet!$E$21+12),$E322*I183)</f>
        <v>1.5383114636220831E-3</v>
      </c>
      <c r="J322" s="263" cm="1">
        <f t="array" aca="1" ref="J322" ca="1">_xlfn.IFS(J$7&gt;(SAP_Leadsheet!$E$21+12),0,J$7=(SAP_Leadsheet!$E$21+12),SAP_Spreadsheet!J183,J$7&lt;(SAP_Leadsheet!$E$21+12),$E322*J183)</f>
        <v>2.711647991713674E-3</v>
      </c>
      <c r="K322" s="263" cm="1">
        <f t="array" aca="1" ref="K322" ca="1">_xlfn.IFS(K$7&gt;(SAP_Leadsheet!$E$21+12),0,K$7=(SAP_Leadsheet!$E$21+12),SAP_Spreadsheet!K183,K$7&lt;(SAP_Leadsheet!$E$21+12),$E322*K183)</f>
        <v>3.1897305863039524E-3</v>
      </c>
      <c r="L322" s="263" cm="1">
        <f t="array" aca="1" ref="L322" ca="1">_xlfn.IFS(L$7&gt;(SAP_Leadsheet!$E$21+12),0,L$7=(SAP_Leadsheet!$E$21+12),SAP_Spreadsheet!L183,L$7&lt;(SAP_Leadsheet!$E$21+12),$E322*L183)</f>
        <v>3.1730170181402504E-3</v>
      </c>
      <c r="M322" s="263" cm="1">
        <f t="array" aca="1" ref="M322" ca="1">_xlfn.IFS(M$7&gt;(SAP_Leadsheet!$E$21+12),0,M$7=(SAP_Leadsheet!$E$21+12),SAP_Spreadsheet!M183,M$7&lt;(SAP_Leadsheet!$E$21+12),$E322*M183)</f>
        <v>2.9176535974029367E-3</v>
      </c>
      <c r="N322" s="263" cm="1">
        <f t="array" aca="1" ref="N322" ca="1">_xlfn.IFS(N$7&gt;(SAP_Leadsheet!$E$21+12),0,N$7=(SAP_Leadsheet!$E$21+12),SAP_Spreadsheet!N183,N$7&lt;(SAP_Leadsheet!$E$21+12),$E322*N183)</f>
        <v>2.5921357246166989E-3</v>
      </c>
      <c r="O322" s="263" cm="1">
        <f t="array" aca="1" ref="O322" ca="1">_xlfn.IFS(O$7&gt;(SAP_Leadsheet!$E$21+12),0,O$7=(SAP_Leadsheet!$E$21+12),SAP_Spreadsheet!O183,O$7&lt;(SAP_Leadsheet!$E$21+12),$E322*O183)</f>
        <v>2.1966173850409567E-3</v>
      </c>
      <c r="P322" s="263" cm="1">
        <f t="array" aca="1" ref="P322" ca="1">_xlfn.IFS(P$7&gt;(SAP_Leadsheet!$E$21+12),0,P$7=(SAP_Leadsheet!$E$21+12),SAP_Spreadsheet!P183,P$7&lt;(SAP_Leadsheet!$E$21+12),$E322*P183)</f>
        <v>1.9053792576419139E-3</v>
      </c>
      <c r="Q322" s="263" cm="1">
        <f t="array" aca="1" ref="Q322" ca="1">_xlfn.IFS(Q$7&gt;(SAP_Leadsheet!$E$21+12),0,Q$7=(SAP_Leadsheet!$E$21+12),SAP_Spreadsheet!Q183,Q$7&lt;(SAP_Leadsheet!$E$21+12),$E322*Q183)</f>
        <v>1.6680064750840139E-3</v>
      </c>
      <c r="R322" s="263" cm="1">
        <f t="array" aca="1" ref="R322" ca="1">_xlfn.IFS(R$7&gt;(SAP_Leadsheet!$E$21+12),0,R$7=(SAP_Leadsheet!$E$21+12),SAP_Spreadsheet!R183,R$7&lt;(SAP_Leadsheet!$E$21+12),$E322*R183)</f>
        <v>1.4709621772447841E-3</v>
      </c>
      <c r="S322" s="263" cm="1">
        <f t="array" aca="1" ref="S322" ca="1">_xlfn.IFS(S$7&gt;(SAP_Leadsheet!$E$21+12),0,S$7=(SAP_Leadsheet!$E$21+12),SAP_Spreadsheet!S183,S$7&lt;(SAP_Leadsheet!$E$21+12),$E322*S183)</f>
        <v>1.2568315173891772E-3</v>
      </c>
      <c r="T322" s="263" cm="1">
        <f t="array" aca="1" ref="T322" ca="1">_xlfn.IFS(T$7&gt;(SAP_Leadsheet!$E$21+12),0,T$7=(SAP_Leadsheet!$E$21+12),SAP_Spreadsheet!T183,T$7&lt;(SAP_Leadsheet!$E$21+12),$E322*T183)</f>
        <v>6.3121393535110792E-4</v>
      </c>
      <c r="U322" s="263" cm="1">
        <f t="array" aca="1" ref="U322" ca="1">_xlfn.IFS(U$7&gt;(SAP_Leadsheet!$E$21+12),0,U$7=(SAP_Leadsheet!$E$21+12),SAP_Spreadsheet!U183,U$7&lt;(SAP_Leadsheet!$E$21+12),$E322*U183)</f>
        <v>6.479852042695131E-4</v>
      </c>
      <c r="V322" s="263" cm="1">
        <f t="array" aca="1" ref="V322" ca="1">_xlfn.IFS(V$7&gt;(SAP_Leadsheet!$E$21+12),0,V$7=(SAP_Leadsheet!$E$21+12),SAP_Spreadsheet!V183,V$7&lt;(SAP_Leadsheet!$E$21+12),$E322*V183)</f>
        <v>7.4568006084756654E-4</v>
      </c>
      <c r="W322" s="263" cm="1">
        <f t="array" aca="1" ref="W322" ca="1">_xlfn.IFS(W$7&gt;(SAP_Leadsheet!$E$21+12),0,W$7=(SAP_Leadsheet!$E$21+12),SAP_Spreadsheet!W183,W$7&lt;(SAP_Leadsheet!$E$21+12),$E322*W183)</f>
        <v>7.689694321376399E-4</v>
      </c>
      <c r="X322" s="263" cm="1">
        <f t="array" aca="1" ref="X322" ca="1">_xlfn.IFS(X$7&gt;(SAP_Leadsheet!$E$21+12),0,X$7=(SAP_Leadsheet!$E$21+12),SAP_Spreadsheet!X183,X$7&lt;(SAP_Leadsheet!$E$21+12),$E322*X183)</f>
        <v>7.3217147990054529E-4</v>
      </c>
      <c r="Y322" s="263" cm="1">
        <f t="array" aca="1" ref="Y322" ca="1">_xlfn.IFS(Y$7&gt;(SAP_Leadsheet!$E$21+12),0,Y$7=(SAP_Leadsheet!$E$21+12),SAP_Spreadsheet!Y183,Y$7&lt;(SAP_Leadsheet!$E$21+12),$E322*Y183)</f>
        <v>7.4145757957077554E-4</v>
      </c>
      <c r="Z322" s="263" cm="1">
        <f t="array" aca="1" ref="Z322" ca="1">_xlfn.IFS(Z$7&gt;(SAP_Leadsheet!$E$21+12),0,Z$7=(SAP_Leadsheet!$E$21+12),SAP_Spreadsheet!Z183,Z$7&lt;(SAP_Leadsheet!$E$21+12),$E322*Z183)</f>
        <v>7.5994813829976301E-4</v>
      </c>
      <c r="AA322" s="263" cm="1">
        <f t="array" aca="1" ref="AA322" ca="1">_xlfn.IFS(AA$7&gt;(SAP_Leadsheet!$E$21+12),0,AA$7=(SAP_Leadsheet!$E$21+12),SAP_Spreadsheet!AA183,AA$7&lt;(SAP_Leadsheet!$E$21+12),$E322*AA183)</f>
        <v>7.6985223628468703E-4</v>
      </c>
      <c r="AB322" s="263" cm="1">
        <f t="array" aca="1" ref="AB322" ca="1">_xlfn.IFS(AB$7&gt;(SAP_Leadsheet!$E$21+12),0,AB$7=(SAP_Leadsheet!$E$21+12),SAP_Spreadsheet!AB183,AB$7&lt;(SAP_Leadsheet!$E$21+12),$E322*AB183)</f>
        <v>7.6728790524388285E-4</v>
      </c>
      <c r="AC322" s="263" cm="1">
        <f t="array" aca="1" ref="AC322" ca="1">_xlfn.IFS(AC$7&gt;(SAP_Leadsheet!$E$21+12),0,AC$7=(SAP_Leadsheet!$E$21+12),SAP_Spreadsheet!AC183,AC$7&lt;(SAP_Leadsheet!$E$21+12),$E322*AC183)</f>
        <v>7.5114536559035285E-4</v>
      </c>
      <c r="AD322" s="263" cm="1">
        <f t="array" aca="1" ref="AD322" ca="1">_xlfn.IFS(AD$7&gt;(SAP_Leadsheet!$E$21+12),0,AD$7=(SAP_Leadsheet!$E$21+12),SAP_Spreadsheet!AD183,AD$7&lt;(SAP_Leadsheet!$E$21+12),$E322*AD183)</f>
        <v>7.2539556122204539E-4</v>
      </c>
      <c r="AE322" s="263" cm="1">
        <f t="array" aca="1" ref="AE322" ca="1">_xlfn.IFS(AE$7&gt;(SAP_Leadsheet!$E$21+12),0,AE$7=(SAP_Leadsheet!$E$21+12),SAP_Spreadsheet!AE183,AE$7&lt;(SAP_Leadsheet!$E$21+12),$E322*AE183)</f>
        <v>7.0595844622725666E-4</v>
      </c>
      <c r="AF322" s="263" cm="1">
        <f t="array" aca="1" ref="AF322" ca="1">_xlfn.IFS(AF$7&gt;(SAP_Leadsheet!$E$21+12),0,AF$7=(SAP_Leadsheet!$E$21+12),SAP_Spreadsheet!AF183,AF$7&lt;(SAP_Leadsheet!$E$21+12),$E322*AF183)</f>
        <v>5.7756328186708643E-4</v>
      </c>
      <c r="AG322" s="263" cm="1">
        <f t="array" aca="1" ref="AG322" ca="1">_xlfn.IFS(AG$7&gt;(SAP_Leadsheet!$E$21+12),0,AG$7=(SAP_Leadsheet!$E$21+12),SAP_Spreadsheet!AG183,AG$7&lt;(SAP_Leadsheet!$E$21+12),$E322*AG183)</f>
        <v>5.8936311570204135E-4</v>
      </c>
      <c r="AH322" s="263" cm="1">
        <f t="array" aca="1" ref="AH322" ca="1">_xlfn.IFS(AH$7&gt;(SAP_Leadsheet!$E$21+12),0,AH$7=(SAP_Leadsheet!$E$21+12),SAP_Spreadsheet!AH183,AH$7&lt;(SAP_Leadsheet!$E$21+12),$E322*AH183)</f>
        <v>6.2560953413988505E-4</v>
      </c>
      <c r="AI322" s="263" cm="1">
        <f t="array" aca="1" ref="AI322" ca="1">_xlfn.IFS(AI$7&gt;(SAP_Leadsheet!$E$21+12),0,AI$7=(SAP_Leadsheet!$E$21+12),SAP_Spreadsheet!AI183,AI$7&lt;(SAP_Leadsheet!$E$21+12),$E322*AI183)</f>
        <v>6.4799820359828396E-4</v>
      </c>
      <c r="AJ322" s="263" cm="1">
        <f t="array" aca="1" ref="AJ322" ca="1">_xlfn.IFS(AJ$7&gt;(SAP_Leadsheet!$E$21+12),0,AJ$7=(SAP_Leadsheet!$E$21+12),SAP_Spreadsheet!AJ183,AJ$7&lt;(SAP_Leadsheet!$E$21+12),$E322*AJ183)</f>
        <v>6.5118573149676321E-4</v>
      </c>
      <c r="AK322" s="263" cm="1">
        <f t="array" aca="1" ref="AK322" ca="1">_xlfn.IFS(AK$7&gt;(SAP_Leadsheet!$E$21+12),0,AK$7=(SAP_Leadsheet!$E$21+12),SAP_Spreadsheet!AK183,AK$7&lt;(SAP_Leadsheet!$E$21+12),$E322*AK183)</f>
        <v>6.4181163768498451E-4</v>
      </c>
      <c r="AL322" s="263" cm="1">
        <f t="array" aca="1" ref="AL322" ca="1">_xlfn.IFS(AL$7&gt;(SAP_Leadsheet!$E$21+12),0,AL$7=(SAP_Leadsheet!$E$21+12),SAP_Spreadsheet!AL183,AL$7&lt;(SAP_Leadsheet!$E$21+12),$E322*AL183)</f>
        <v>6.2688482893568482E-4</v>
      </c>
      <c r="AM322" s="263" cm="1">
        <f t="array" aca="1" ref="AM322" ca="1">_xlfn.IFS(AM$7&gt;(SAP_Leadsheet!$E$21+12),0,AM$7=(SAP_Leadsheet!$E$21+12),SAP_Spreadsheet!AM183,AM$7&lt;(SAP_Leadsheet!$E$21+12),$E322*AM183)</f>
        <v>6.1041815161839367E-4</v>
      </c>
      <c r="AN322" s="263" cm="1">
        <f t="array" aca="1" ref="AN322" ca="1">_xlfn.IFS(AN$7&gt;(SAP_Leadsheet!$E$21+12),0,AN$7=(SAP_Leadsheet!$E$21+12),SAP_Spreadsheet!AN183,AN$7&lt;(SAP_Leadsheet!$E$21+12),$E322*AN183)</f>
        <v>6.1436053742297395E-4</v>
      </c>
      <c r="AO322" s="263" cm="1">
        <f t="array" aca="1" ref="AO322" ca="1">_xlfn.IFS(AO$7&gt;(SAP_Leadsheet!$E$21+12),0,AO$7=(SAP_Leadsheet!$E$21+12),SAP_Spreadsheet!AO183,AO$7&lt;(SAP_Leadsheet!$E$21+12),$E322*AO183)</f>
        <v>5.9509291851473375E-4</v>
      </c>
      <c r="AP322" s="263" cm="1">
        <f t="array" aca="1" ref="AP322" ca="1">_xlfn.IFS(AP$7&gt;(SAP_Leadsheet!$E$21+12),0,AP$7=(SAP_Leadsheet!$E$21+12),SAP_Spreadsheet!AP183,AP$7&lt;(SAP_Leadsheet!$E$21+12),$E322*AP183)</f>
        <v>5.7074957568055092E-4</v>
      </c>
      <c r="AQ322" s="263" cm="1">
        <f t="array" aca="1" ref="AQ322" ca="1">_xlfn.IFS(AQ$7&gt;(SAP_Leadsheet!$E$21+12),0,AQ$7=(SAP_Leadsheet!$E$21+12),SAP_Spreadsheet!AQ183,AQ$7&lt;(SAP_Leadsheet!$E$21+12),$E322*AQ183)</f>
        <v>5.2848477332642781E-4</v>
      </c>
      <c r="AR322" s="263" cm="1">
        <f t="array" aca="1" ref="AR322" ca="1">_xlfn.IFS(AR$7&gt;(SAP_Leadsheet!$E$21+12),0,AR$7=(SAP_Leadsheet!$E$21+12),SAP_Spreadsheet!AR183,AR$7&lt;(SAP_Leadsheet!$E$21+12),$E322*AR183)</f>
        <v>4.2504114419270527E-4</v>
      </c>
      <c r="AS322" s="263" cm="1">
        <f t="array" aca="1" ref="AS322" ca="1">_xlfn.IFS(AS$7&gt;(SAP_Leadsheet!$E$21+12),0,AS$7=(SAP_Leadsheet!$E$21+12),SAP_Spreadsheet!AS183,AS$7&lt;(SAP_Leadsheet!$E$21+12),$E322*AS183)</f>
        <v>4.1563266475627941E-4</v>
      </c>
      <c r="AT322" s="263" cm="1">
        <f t="array" aca="1" ref="AT322" ca="1">_xlfn.IFS(AT$7&gt;(SAP_Leadsheet!$E$21+12),0,AT$7=(SAP_Leadsheet!$E$21+12),SAP_Spreadsheet!AT183,AT$7&lt;(SAP_Leadsheet!$E$21+12),$E322*AT183)</f>
        <v>4.0794378256880074E-4</v>
      </c>
      <c r="AU322" s="263" cm="1">
        <f t="array" aca="1" ref="AU322" ca="1">_xlfn.IFS(AU$7&gt;(SAP_Leadsheet!$E$21+12),0,AU$7=(SAP_Leadsheet!$E$21+12),SAP_Spreadsheet!AU183,AU$7&lt;(SAP_Leadsheet!$E$21+12),$E322*AU183)</f>
        <v>4.0108692665471541E-4</v>
      </c>
      <c r="AV322" s="263" cm="1">
        <f t="array" aca="1" ref="AV322" ca="1">_xlfn.IFS(AV$7&gt;(SAP_Leadsheet!$E$21+12),0,AV$7=(SAP_Leadsheet!$E$21+12),SAP_Spreadsheet!AV183,AV$7&lt;(SAP_Leadsheet!$E$21+12),$E322*AV183)</f>
        <v>3.9439727622979864E-4</v>
      </c>
      <c r="AW322" s="263" cm="1">
        <f t="array" aca="1" ref="AW322" ca="1">_xlfn.IFS(AW$7&gt;(SAP_Leadsheet!$E$21+12),0,AW$7=(SAP_Leadsheet!$E$21+12),SAP_Spreadsheet!AW183,AW$7&lt;(SAP_Leadsheet!$E$21+12),$E322*AW183)</f>
        <v>3.876206423159374E-4</v>
      </c>
      <c r="AX322" s="263" cm="1">
        <f t="array" aca="1" ref="AX322" ca="1">_xlfn.IFS(AX$7&gt;(SAP_Leadsheet!$E$21+12),0,AX$7=(SAP_Leadsheet!$E$21+12),SAP_Spreadsheet!AX183,AX$7&lt;(SAP_Leadsheet!$E$21+12),$E322*AX183)</f>
        <v>3.8072054201364331E-4</v>
      </c>
      <c r="AY322" s="263" cm="1">
        <f t="array" aca="1" ref="AY322" ca="1">_xlfn.IFS(AY$7&gt;(SAP_Leadsheet!$E$21+12),0,AY$7=(SAP_Leadsheet!$E$21+12),SAP_Spreadsheet!AY183,AY$7&lt;(SAP_Leadsheet!$E$21+12),$E322*AY183)</f>
        <v>3.7364112214632769E-4</v>
      </c>
      <c r="AZ322" s="263" cm="1">
        <f t="array" aca="1" ref="AZ322" ca="1">_xlfn.IFS(AZ$7&gt;(SAP_Leadsheet!$E$21+12),0,AZ$7=(SAP_Leadsheet!$E$21+12),SAP_Spreadsheet!AZ183,AZ$7&lt;(SAP_Leadsheet!$E$21+12),$E322*AZ183)</f>
        <v>3.6629540244460779E-4</v>
      </c>
      <c r="BA322" s="263" cm="1">
        <f t="array" aca="1" ref="BA322" ca="1">_xlfn.IFS(BA$7&gt;(SAP_Leadsheet!$E$21+12),0,BA$7=(SAP_Leadsheet!$E$21+12),SAP_Spreadsheet!BA183,BA$7&lt;(SAP_Leadsheet!$E$21+12),$E322*BA183)</f>
        <v>3.5839906114071393E-4</v>
      </c>
      <c r="BB322" s="263" cm="1">
        <f t="array" aca="1" ref="BB322" ca="1">_xlfn.IFS(BB$7&gt;(SAP_Leadsheet!$E$21+12),0,BB$7=(SAP_Leadsheet!$E$21+12),SAP_Spreadsheet!BB183,BB$7&lt;(SAP_Leadsheet!$E$21+12),$E322*BB183)</f>
        <v>3.4968848173512533E-4</v>
      </c>
      <c r="BC322" s="263" cm="1">
        <f t="array" aca="1" ref="BC322" ca="1">_xlfn.IFS(BC$7&gt;(SAP_Leadsheet!$E$21+12),0,BC$7=(SAP_Leadsheet!$E$21+12),SAP_Spreadsheet!BC183,BC$7&lt;(SAP_Leadsheet!$E$21+12),$E322*BC183)</f>
        <v>3.4042704363394831E-4</v>
      </c>
      <c r="BD322" s="263" cm="1">
        <f t="array" aca="1" ref="BD322" ca="1">_xlfn.IFS(BD$7&gt;(SAP_Leadsheet!$E$21+12),0,BD$7=(SAP_Leadsheet!$E$21+12),SAP_Spreadsheet!BD183,BD$7&lt;(SAP_Leadsheet!$E$21+12),$E322*BD183)</f>
        <v>2.9120705646414459E-4</v>
      </c>
      <c r="BE322" s="263" cm="1">
        <f t="array" aca="1" ref="BE322" ca="1">_xlfn.IFS(BE$7&gt;(SAP_Leadsheet!$E$21+12),0,BE$7=(SAP_Leadsheet!$E$21+12),SAP_Spreadsheet!BE183,BE$7&lt;(SAP_Leadsheet!$E$21+12),$E322*BE183)</f>
        <v>2.8390817195353559E-4</v>
      </c>
      <c r="BF322" s="263" cm="1">
        <f t="array" aca="1" ref="BF322" ca="1">_xlfn.IFS(BF$7&gt;(SAP_Leadsheet!$E$21+12),0,BF$7=(SAP_Leadsheet!$E$21+12),SAP_Spreadsheet!BF183,BF$7&lt;(SAP_Leadsheet!$E$21+12),$E322*BF183)</f>
        <v>2.7662731768609709E-4</v>
      </c>
      <c r="BG322" s="263" cm="1">
        <f t="array" aca="1" ref="BG322" ca="1">_xlfn.IFS(BG$7&gt;(SAP_Leadsheet!$E$21+12),0,BG$7=(SAP_Leadsheet!$E$21+12),SAP_Spreadsheet!BG183,BG$7&lt;(SAP_Leadsheet!$E$21+12),$E322*BG183)</f>
        <v>2.6941091382862956E-4</v>
      </c>
      <c r="BH322" s="263" cm="1">
        <f t="array" aca="1" ref="BH322" ca="1">_xlfn.IFS(BH$7&gt;(SAP_Leadsheet!$E$21+12),0,BH$7=(SAP_Leadsheet!$E$21+12),SAP_Spreadsheet!BH183,BH$7&lt;(SAP_Leadsheet!$E$21+12),$E322*BH183)</f>
        <v>2.6222855710223287E-4</v>
      </c>
      <c r="BI322" s="263" cm="1">
        <f t="array" aca="1" ref="BI322" ca="1">_xlfn.IFS(BI$7&gt;(SAP_Leadsheet!$E$21+12),0,BI$7=(SAP_Leadsheet!$E$21+12),SAP_Spreadsheet!BI183,BI$7&lt;(SAP_Leadsheet!$E$21+12),$E322*BI183)</f>
        <v>2.550616005889063E-4</v>
      </c>
      <c r="BJ322" s="263" cm="1">
        <f t="array" aca="1" ref="BJ322" ca="1">_xlfn.IFS(BJ$7&gt;(SAP_Leadsheet!$E$21+12),0,BJ$7=(SAP_Leadsheet!$E$21+12),SAP_Spreadsheet!BJ183,BJ$7&lt;(SAP_Leadsheet!$E$21+12),$E322*BJ183)</f>
        <v>2.4788751149464326E-4</v>
      </c>
      <c r="BK322" s="263" cm="1">
        <f t="array" aca="1" ref="BK322" ca="1">_xlfn.IFS(BK$7&gt;(SAP_Leadsheet!$E$21+12),0,BK$7=(SAP_Leadsheet!$E$21+12),SAP_Spreadsheet!BK183,BK$7&lt;(SAP_Leadsheet!$E$21+12),$E322*BK183)</f>
        <v>2.406953638261203E-4</v>
      </c>
      <c r="BL322" s="263" cm="1">
        <f t="array" aca="1" ref="BL322" ca="1">_xlfn.IFS(BL$7&gt;(SAP_Leadsheet!$E$21+12),0,BL$7=(SAP_Leadsheet!$E$21+12),SAP_Spreadsheet!BL183,BL$7&lt;(SAP_Leadsheet!$E$21+12),$E322*BL183)</f>
        <v>2.3348346242772967E-4</v>
      </c>
      <c r="BM322" s="263" cm="1">
        <f t="array" aca="1" ref="BM322" ca="1">_xlfn.IFS(BM$7&gt;(SAP_Leadsheet!$E$21+12),0,BM$7=(SAP_Leadsheet!$E$21+12),SAP_Spreadsheet!BM183,BM$7&lt;(SAP_Leadsheet!$E$21+12),$E322*BM183)</f>
        <v>2.2616693254831361E-4</v>
      </c>
      <c r="BN322" s="263" cm="1">
        <f t="array" aca="1" ref="BN322" ca="1">_xlfn.IFS(BN$7&gt;(SAP_Leadsheet!$E$21+12),0,BN$7=(SAP_Leadsheet!$E$21+12),SAP_Spreadsheet!BN183,BN$7&lt;(SAP_Leadsheet!$E$21+12),$E322*BN183)</f>
        <v>2.1860763158709656E-4</v>
      </c>
      <c r="BO322" s="263" cm="1">
        <f t="array" aca="1" ref="BO322" ca="1">_xlfn.IFS(BO$7&gt;(SAP_Leadsheet!$E$21+12),0,BO$7=(SAP_Leadsheet!$E$21+12),SAP_Spreadsheet!BO183,BO$7&lt;(SAP_Leadsheet!$E$21+12),$E322*BO183)</f>
        <v>2.1087036624799251E-4</v>
      </c>
      <c r="BP322" s="263" cm="1">
        <f t="array" aca="1" ref="BP322" ca="1">_xlfn.IFS(BP$7&gt;(SAP_Leadsheet!$E$21+12),0,BP$7=(SAP_Leadsheet!$E$21+12),SAP_Spreadsheet!BP183,BP$7&lt;(SAP_Leadsheet!$E$21+12),$E322*BP183)</f>
        <v>2.0304630790644803E-4</v>
      </c>
      <c r="BQ322" s="263" cm="1">
        <f t="array" aca="1" ref="BQ322" ca="1">_xlfn.IFS(BQ$7&gt;(SAP_Leadsheet!$E$21+12),0,BQ$7=(SAP_Leadsheet!$E$21+12),SAP_Spreadsheet!BQ183,BQ$7&lt;(SAP_Leadsheet!$E$21+12),$E322*BQ183)</f>
        <v>0</v>
      </c>
      <c r="BR322" s="263" cm="1">
        <f t="array" aca="1" ref="BR322" ca="1">_xlfn.IFS(BR$7&gt;(SAP_Leadsheet!$E$21+12),0,BR$7=(SAP_Leadsheet!$E$21+12),SAP_Spreadsheet!BR183,BR$7&lt;(SAP_Leadsheet!$E$21+12),$E322*BR183)</f>
        <v>0</v>
      </c>
      <c r="BS322" s="263" cm="1">
        <f t="array" aca="1" ref="BS322" ca="1">_xlfn.IFS(BS$7&gt;(SAP_Leadsheet!$E$21+12),0,BS$7=(SAP_Leadsheet!$E$21+12),SAP_Spreadsheet!BS183,BS$7&lt;(SAP_Leadsheet!$E$21+12),$E322*BS183)</f>
        <v>0</v>
      </c>
      <c r="BT322" s="263" cm="1">
        <f t="array" aca="1" ref="BT322" ca="1">_xlfn.IFS(BT$7&gt;(SAP_Leadsheet!$E$21+12),0,BT$7=(SAP_Leadsheet!$E$21+12),SAP_Spreadsheet!BT183,BT$7&lt;(SAP_Leadsheet!$E$21+12),$E322*BT183)</f>
        <v>0</v>
      </c>
      <c r="BU322" s="263" cm="1">
        <f t="array" aca="1" ref="BU322" ca="1">_xlfn.IFS(BU$7&gt;(SAP_Leadsheet!$E$21+12),0,BU$7=(SAP_Leadsheet!$E$21+12),SAP_Spreadsheet!BU183,BU$7&lt;(SAP_Leadsheet!$E$21+12),$E322*BU183)</f>
        <v>0</v>
      </c>
      <c r="BV322" s="263" cm="1">
        <f t="array" aca="1" ref="BV322" ca="1">_xlfn.IFS(BV$7&gt;(SAP_Leadsheet!$E$21+12),0,BV$7=(SAP_Leadsheet!$E$21+12),SAP_Spreadsheet!BV183,BV$7&lt;(SAP_Leadsheet!$E$21+12),$E322*BV183)</f>
        <v>0</v>
      </c>
      <c r="BW322" s="263" cm="1">
        <f t="array" aca="1" ref="BW322" ca="1">_xlfn.IFS(BW$7&gt;(SAP_Leadsheet!$E$21+12),0,BW$7=(SAP_Leadsheet!$E$21+12),SAP_Spreadsheet!BW183,BW$7&lt;(SAP_Leadsheet!$E$21+12),$E322*BW183)</f>
        <v>0</v>
      </c>
      <c r="BX322" s="263" cm="1">
        <f t="array" aca="1" ref="BX322" ca="1">_xlfn.IFS(BX$7&gt;(SAP_Leadsheet!$E$21+12),0,BX$7=(SAP_Leadsheet!$E$21+12),SAP_Spreadsheet!BX183,BX$7&lt;(SAP_Leadsheet!$E$21+12),$E322*BX183)</f>
        <v>0</v>
      </c>
      <c r="BY322" s="263" cm="1">
        <f t="array" aca="1" ref="BY322" ca="1">_xlfn.IFS(BY$7&gt;(SAP_Leadsheet!$E$21+12),0,BY$7=(SAP_Leadsheet!$E$21+12),SAP_Spreadsheet!BY183,BY$7&lt;(SAP_Leadsheet!$E$21+12),$E322*BY183)</f>
        <v>0</v>
      </c>
      <c r="BZ322" s="263" cm="1">
        <f t="array" aca="1" ref="BZ322" ca="1">_xlfn.IFS(BZ$7&gt;(SAP_Leadsheet!$E$21+12),0,BZ$7=(SAP_Leadsheet!$E$21+12),SAP_Spreadsheet!BZ183,BZ$7&lt;(SAP_Leadsheet!$E$21+12),$E322*BZ183)</f>
        <v>0</v>
      </c>
      <c r="CA322" s="263"/>
      <c r="CB322" s="263"/>
      <c r="CC322" s="263"/>
      <c r="CD322" s="263"/>
      <c r="CE322" s="263"/>
      <c r="CF322" s="263"/>
      <c r="CG322" s="263"/>
      <c r="CH322" s="263"/>
      <c r="CI322" s="263"/>
      <c r="CJ322" s="263"/>
      <c r="CK322" s="263"/>
      <c r="CL322" s="263"/>
      <c r="CM322" s="263"/>
      <c r="CN322" s="263"/>
      <c r="CO322" s="263"/>
      <c r="CP322" s="263"/>
      <c r="CQ322" s="263"/>
      <c r="CR322" s="263"/>
      <c r="CS322" s="263"/>
      <c r="CT322" s="263"/>
      <c r="CU322" s="263"/>
      <c r="CV322" s="263"/>
      <c r="CW322" s="263"/>
      <c r="CX322" s="263"/>
      <c r="CY322" s="263"/>
      <c r="CZ322" s="263"/>
      <c r="DA322" s="263"/>
      <c r="DB322" s="263"/>
      <c r="DC322" s="263"/>
      <c r="DD322" s="263"/>
      <c r="DE322" s="263"/>
      <c r="DF322" s="263"/>
      <c r="DG322" s="263"/>
      <c r="DH322" s="263"/>
      <c r="DI322" s="263"/>
      <c r="DJ322" s="263"/>
      <c r="DK322" s="263"/>
      <c r="DL322" s="263"/>
      <c r="DM322" s="263"/>
      <c r="DN322" s="263"/>
      <c r="DO322" s="263"/>
      <c r="DP322" s="263"/>
      <c r="DQ322" s="263"/>
      <c r="DR322" s="263"/>
      <c r="DS322" s="263"/>
      <c r="DT322" s="263"/>
      <c r="DU322" s="263"/>
      <c r="DV322" s="263"/>
      <c r="DW322" s="263"/>
      <c r="DX322" s="263"/>
      <c r="DY322" s="263"/>
      <c r="DZ322" s="263"/>
      <c r="EA322" s="263"/>
      <c r="EB322" s="263"/>
      <c r="EC322" s="263"/>
      <c r="ED322" s="263"/>
      <c r="EE322" s="263"/>
      <c r="EF322" s="263"/>
      <c r="EG322" s="263"/>
      <c r="EH322" s="263"/>
      <c r="EI322" s="263"/>
      <c r="EJ322" s="263"/>
      <c r="EK322" s="263"/>
      <c r="EL322" s="263"/>
      <c r="EM322" s="263"/>
      <c r="EN322" s="263"/>
      <c r="EO322" s="263"/>
      <c r="EP322" s="263"/>
      <c r="EQ322" s="263"/>
      <c r="ER322" s="263"/>
      <c r="ES322" s="263"/>
      <c r="ET322" s="263"/>
      <c r="EU322" s="263"/>
      <c r="EV322" s="263"/>
      <c r="EW322" s="263"/>
      <c r="EX322" s="263"/>
      <c r="EY322" s="263"/>
      <c r="EZ322" s="263"/>
      <c r="FA322" s="263"/>
      <c r="FB322" s="263"/>
      <c r="FC322" s="263"/>
      <c r="FD322" s="263"/>
      <c r="FE322" s="263"/>
      <c r="FF322" s="263"/>
      <c r="FG322" s="263"/>
      <c r="FH322" s="263"/>
      <c r="FI322" s="263"/>
      <c r="FJ322" s="263"/>
      <c r="FK322" s="263"/>
      <c r="FL322" s="263"/>
      <c r="FM322" s="263"/>
      <c r="FN322" s="263"/>
      <c r="FO322" s="263"/>
      <c r="FP322" s="263"/>
      <c r="FQ322" s="263"/>
      <c r="FR322" s="263"/>
      <c r="FS322" s="263"/>
      <c r="FT322" s="263"/>
      <c r="FU322" s="263"/>
      <c r="FV322" s="263"/>
      <c r="FW322" s="263"/>
      <c r="FX322" s="263"/>
      <c r="FY322" s="263"/>
      <c r="FZ322" s="263"/>
      <c r="GA322" s="263"/>
      <c r="GB322" s="263"/>
      <c r="GC322" s="263"/>
      <c r="GD322" s="263"/>
      <c r="GE322" s="263"/>
      <c r="GF322" s="263"/>
      <c r="GG322" s="263"/>
      <c r="GH322" s="263"/>
      <c r="GI322" s="263"/>
      <c r="GJ322" s="263"/>
      <c r="GK322" s="263"/>
      <c r="GL322" s="263"/>
      <c r="GM322" s="263"/>
      <c r="GN322" s="263"/>
      <c r="GO322" s="263"/>
      <c r="GP322" s="263"/>
      <c r="GQ322" s="263"/>
      <c r="GR322" s="263"/>
      <c r="GS322" s="263"/>
      <c r="GT322" s="263"/>
      <c r="GU322" s="263"/>
      <c r="GV322" s="263"/>
      <c r="GW322" s="263"/>
      <c r="GX322" s="263"/>
      <c r="GY322" s="263"/>
    </row>
    <row r="323" spans="1:207" x14ac:dyDescent="0.15">
      <c r="A323" s="62"/>
      <c r="C323" s="23"/>
      <c r="D323" s="26" t="s">
        <v>414</v>
      </c>
      <c r="E323" s="39">
        <v>5.7500000000000002E-2</v>
      </c>
      <c r="F323" s="80"/>
      <c r="G323" s="263" cm="1">
        <f t="array" ref="G323">_xlfn.IFS(G$7&gt;(SAP_Leadsheet!$E$21+12),0,G$7=(SAP_Leadsheet!$E$21+12),SAP_Spreadsheet!G184,G$7&lt;(SAP_Leadsheet!$E$21+12),$E323*G184)</f>
        <v>0</v>
      </c>
      <c r="H323" s="263" cm="1">
        <f t="array" aca="1" ref="H323" ca="1">_xlfn.IFS(H$7&gt;(SAP_Leadsheet!$E$21+12),0,H$7=(SAP_Leadsheet!$E$21+12),SAP_Spreadsheet!H184,H$7&lt;(SAP_Leadsheet!$E$21+12),$E323*H184)</f>
        <v>0</v>
      </c>
      <c r="I323" s="263" cm="1">
        <f t="array" aca="1" ref="I323" ca="1">_xlfn.IFS(I$7&gt;(SAP_Leadsheet!$E$21+12),0,I$7=(SAP_Leadsheet!$E$21+12),SAP_Spreadsheet!I184,I$7&lt;(SAP_Leadsheet!$E$21+12),$E323*I184)</f>
        <v>0</v>
      </c>
      <c r="J323" s="263" cm="1">
        <f t="array" aca="1" ref="J323" ca="1">_xlfn.IFS(J$7&gt;(SAP_Leadsheet!$E$21+12),0,J$7=(SAP_Leadsheet!$E$21+12),SAP_Spreadsheet!J184,J$7&lt;(SAP_Leadsheet!$E$21+12),$E323*J184)</f>
        <v>1.4767790050771996E-3</v>
      </c>
      <c r="K323" s="263" cm="1">
        <f t="array" aca="1" ref="K323" ca="1">_xlfn.IFS(K$7&gt;(SAP_Leadsheet!$E$21+12),0,K$7=(SAP_Leadsheet!$E$21+12),SAP_Spreadsheet!K184,K$7&lt;(SAP_Leadsheet!$E$21+12),$E323*K184)</f>
        <v>2.6031820720451271E-3</v>
      </c>
      <c r="L323" s="263" cm="1">
        <f t="array" aca="1" ref="L323" ca="1">_xlfn.IFS(L$7&gt;(SAP_Leadsheet!$E$21+12),0,L$7=(SAP_Leadsheet!$E$21+12),SAP_Spreadsheet!L184,L$7&lt;(SAP_Leadsheet!$E$21+12),$E323*L184)</f>
        <v>3.0621413628517937E-3</v>
      </c>
      <c r="M323" s="263" cm="1">
        <f t="array" aca="1" ref="M323" ca="1">_xlfn.IFS(M$7&gt;(SAP_Leadsheet!$E$21+12),0,M$7=(SAP_Leadsheet!$E$21+12),SAP_Spreadsheet!M184,M$7&lt;(SAP_Leadsheet!$E$21+12),$E323*M184)</f>
        <v>3.0460963374146399E-3</v>
      </c>
      <c r="N323" s="263" cm="1">
        <f t="array" aca="1" ref="N323" ca="1">_xlfn.IFS(N$7&gt;(SAP_Leadsheet!$E$21+12),0,N$7=(SAP_Leadsheet!$E$21+12),SAP_Spreadsheet!N184,N$7&lt;(SAP_Leadsheet!$E$21+12),$E323*N184)</f>
        <v>2.8009474535068191E-3</v>
      </c>
      <c r="O323" s="263" cm="1">
        <f t="array" aca="1" ref="O323" ca="1">_xlfn.IFS(O$7&gt;(SAP_Leadsheet!$E$21+12),0,O$7=(SAP_Leadsheet!$E$21+12),SAP_Spreadsheet!O184,O$7&lt;(SAP_Leadsheet!$E$21+12),$E323*O184)</f>
        <v>2.4884502956320307E-3</v>
      </c>
      <c r="P323" s="263" cm="1">
        <f t="array" aca="1" ref="P323" ca="1">_xlfn.IFS(P$7&gt;(SAP_Leadsheet!$E$21+12),0,P$7=(SAP_Leadsheet!$E$21+12),SAP_Spreadsheet!P184,P$7&lt;(SAP_Leadsheet!$E$21+12),$E323*P184)</f>
        <v>2.1087526896393181E-3</v>
      </c>
      <c r="Q323" s="263" cm="1">
        <f t="array" aca="1" ref="Q323" ca="1">_xlfn.IFS(Q$7&gt;(SAP_Leadsheet!$E$21+12),0,Q$7=(SAP_Leadsheet!$E$21+12),SAP_Spreadsheet!Q184,Q$7&lt;(SAP_Leadsheet!$E$21+12),$E323*Q184)</f>
        <v>1.8291640873362375E-3</v>
      </c>
      <c r="R323" s="263" cm="1">
        <f t="array" aca="1" ref="R323" ca="1">_xlfn.IFS(R$7&gt;(SAP_Leadsheet!$E$21+12),0,R$7=(SAP_Leadsheet!$E$21+12),SAP_Spreadsheet!R184,R$7&lt;(SAP_Leadsheet!$E$21+12),$E323*R184)</f>
        <v>1.6012862160806533E-3</v>
      </c>
      <c r="S323" s="263" cm="1">
        <f t="array" aca="1" ref="S323" ca="1">_xlfn.IFS(S$7&gt;(SAP_Leadsheet!$E$21+12),0,S$7=(SAP_Leadsheet!$E$21+12),SAP_Spreadsheet!S184,S$7&lt;(SAP_Leadsheet!$E$21+12),$E323*S184)</f>
        <v>1.363548324850556E-3</v>
      </c>
      <c r="T323" s="263" cm="1">
        <f t="array" aca="1" ref="T323" ca="1">_xlfn.IFS(T$7&gt;(SAP_Leadsheet!$E$21+12),0,T$7=(SAP_Leadsheet!$E$21+12),SAP_Spreadsheet!T184,T$7&lt;(SAP_Leadsheet!$E$21+12),$E323*T184)</f>
        <v>1.1650540963367055E-3</v>
      </c>
      <c r="U323" s="263" cm="1">
        <f t="array" aca="1" ref="U323" ca="1">_xlfn.IFS(U$7&gt;(SAP_Leadsheet!$E$21+12),0,U$7=(SAP_Leadsheet!$E$21+12),SAP_Spreadsheet!U184,U$7&lt;(SAP_Leadsheet!$E$21+12),$E323*U184)</f>
        <v>5.851208939868629E-4</v>
      </c>
      <c r="V323" s="263" cm="1">
        <f t="array" aca="1" ref="V323" ca="1">_xlfn.IFS(V$7&gt;(SAP_Leadsheet!$E$21+12),0,V$7=(SAP_Leadsheet!$E$21+12),SAP_Spreadsheet!V184,V$7&lt;(SAP_Leadsheet!$E$21+12),$E323*V184)</f>
        <v>6.0066747702827304E-4</v>
      </c>
      <c r="W323" s="263" cm="1">
        <f t="array" aca="1" ref="W323" ca="1">_xlfn.IFS(W$7&gt;(SAP_Leadsheet!$E$21+12),0,W$7=(SAP_Leadsheet!$E$21+12),SAP_Spreadsheet!W184,W$7&lt;(SAP_Leadsheet!$E$21+12),$E323*W184)</f>
        <v>6.9122837661784303E-4</v>
      </c>
      <c r="X323" s="263" cm="1">
        <f t="array" aca="1" ref="X323" ca="1">_xlfn.IFS(X$7&gt;(SAP_Leadsheet!$E$21+12),0,X$7=(SAP_Leadsheet!$E$21+12),SAP_Spreadsheet!X184,X$7&lt;(SAP_Leadsheet!$E$21+12),$E323*X184)</f>
        <v>7.1281709161042273E-4</v>
      </c>
      <c r="Y323" s="263" cm="1">
        <f t="array" aca="1" ref="Y323" ca="1">_xlfn.IFS(Y$7&gt;(SAP_Leadsheet!$E$21+12),0,Y$7=(SAP_Leadsheet!$E$21+12),SAP_Spreadsheet!Y184,Y$7&lt;(SAP_Leadsheet!$E$21+12),$E323*Y184)</f>
        <v>6.7870623076911687E-4</v>
      </c>
      <c r="Z323" s="263" cm="1">
        <f t="array" aca="1" ref="Z323" ca="1">_xlfn.IFS(Z$7&gt;(SAP_Leadsheet!$E$21+12),0,Z$7=(SAP_Leadsheet!$E$21+12),SAP_Spreadsheet!Z184,Z$7&lt;(SAP_Leadsheet!$E$21+12),$E323*Z184)</f>
        <v>6.8731423296360876E-4</v>
      </c>
      <c r="AA323" s="263" cm="1">
        <f t="array" aca="1" ref="AA323" ca="1">_xlfn.IFS(AA$7&gt;(SAP_Leadsheet!$E$21+12),0,AA$7=(SAP_Leadsheet!$E$21+12),SAP_Spreadsheet!AA184,AA$7&lt;(SAP_Leadsheet!$E$21+12),$E323*AA184)</f>
        <v>7.0445455837135455E-4</v>
      </c>
      <c r="AB323" s="263" cm="1">
        <f t="array" aca="1" ref="AB323" ca="1">_xlfn.IFS(AB$7&gt;(SAP_Leadsheet!$E$21+12),0,AB$7=(SAP_Leadsheet!$E$21+12),SAP_Spreadsheet!AB184,AB$7&lt;(SAP_Leadsheet!$E$21+12),$E323*AB184)</f>
        <v>7.1363543088147862E-4</v>
      </c>
      <c r="AC323" s="263" cm="1">
        <f t="array" aca="1" ref="AC323" ca="1">_xlfn.IFS(AC$7&gt;(SAP_Leadsheet!$E$21+12),0,AC$7=(SAP_Leadsheet!$E$21+12),SAP_Spreadsheet!AC184,AC$7&lt;(SAP_Leadsheet!$E$21+12),$E323*AC184)</f>
        <v>7.1125835460505104E-4</v>
      </c>
      <c r="AD323" s="263" cm="1">
        <f t="array" aca="1" ref="AD323" ca="1">_xlfn.IFS(AD$7&gt;(SAP_Leadsheet!$E$21+12),0,AD$7=(SAP_Leadsheet!$E$21+12),SAP_Spreadsheet!AD184,AD$7&lt;(SAP_Leadsheet!$E$21+12),$E323*AD184)</f>
        <v>6.9629458922487459E-4</v>
      </c>
      <c r="AE323" s="263" cm="1">
        <f t="array" aca="1" ref="AE323" ca="1">_xlfn.IFS(AE$7&gt;(SAP_Leadsheet!$E$21+12),0,AE$7=(SAP_Leadsheet!$E$21+12),SAP_Spreadsheet!AE184,AE$7&lt;(SAP_Leadsheet!$E$21+12),$E323*AE184)</f>
        <v>6.5285600509984085E-4</v>
      </c>
      <c r="AF323" s="263" cm="1">
        <f t="array" aca="1" ref="AF323" ca="1">_xlfn.IFS(AF$7&gt;(SAP_Leadsheet!$E$21+12),0,AF$7=(SAP_Leadsheet!$E$21+12),SAP_Spreadsheet!AF184,AF$7&lt;(SAP_Leadsheet!$E$21+12),$E323*AF184)</f>
        <v>6.3536260160453094E-4</v>
      </c>
      <c r="AG323" s="263" cm="1">
        <f t="array" aca="1" ref="AG323" ca="1">_xlfn.IFS(AG$7&gt;(SAP_Leadsheet!$E$21+12),0,AG$7=(SAP_Leadsheet!$E$21+12),SAP_Spreadsheet!AG184,AG$7&lt;(SAP_Leadsheet!$E$21+12),$E323*AG184)</f>
        <v>5.1980695368037788E-4</v>
      </c>
      <c r="AH323" s="263" cm="1">
        <f t="array" aca="1" ref="AH323" ca="1">_xlfn.IFS(AH$7&gt;(SAP_Leadsheet!$E$21+12),0,AH$7=(SAP_Leadsheet!$E$21+12),SAP_Spreadsheet!AH184,AH$7&lt;(SAP_Leadsheet!$E$21+12),$E323*AH184)</f>
        <v>5.3042680413183726E-4</v>
      </c>
      <c r="AI323" s="263" cm="1">
        <f t="array" aca="1" ref="AI323" ca="1">_xlfn.IFS(AI$7&gt;(SAP_Leadsheet!$E$21+12),0,AI$7=(SAP_Leadsheet!$E$21+12),SAP_Spreadsheet!AI184,AI$7&lt;(SAP_Leadsheet!$E$21+12),$E323*AI184)</f>
        <v>5.6304858072589664E-4</v>
      </c>
      <c r="AJ323" s="263" cm="1">
        <f t="array" aca="1" ref="AJ323" ca="1">_xlfn.IFS(AJ$7&gt;(SAP_Leadsheet!$E$21+12),0,AJ$7=(SAP_Leadsheet!$E$21+12),SAP_Spreadsheet!AJ184,AJ$7&lt;(SAP_Leadsheet!$E$21+12),$E323*AJ184)</f>
        <v>5.8319838323845556E-4</v>
      </c>
      <c r="AK323" s="263" cm="1">
        <f t="array" aca="1" ref="AK323" ca="1">_xlfn.IFS(AK$7&gt;(SAP_Leadsheet!$E$21+12),0,AK$7=(SAP_Leadsheet!$E$21+12),SAP_Spreadsheet!AK184,AK$7&lt;(SAP_Leadsheet!$E$21+12),$E323*AK184)</f>
        <v>5.8606715834708697E-4</v>
      </c>
      <c r="AL323" s="263" cm="1">
        <f t="array" aca="1" ref="AL323" ca="1">_xlfn.IFS(AL$7&gt;(SAP_Leadsheet!$E$21+12),0,AL$7=(SAP_Leadsheet!$E$21+12),SAP_Spreadsheet!AL184,AL$7&lt;(SAP_Leadsheet!$E$21+12),$E323*AL184)</f>
        <v>5.7763047391648612E-4</v>
      </c>
      <c r="AM323" s="263" cm="1">
        <f t="array" aca="1" ref="AM323" ca="1">_xlfn.IFS(AM$7&gt;(SAP_Leadsheet!$E$21+12),0,AM$7=(SAP_Leadsheet!$E$21+12),SAP_Spreadsheet!AM184,AM$7&lt;(SAP_Leadsheet!$E$21+12),$E323*AM184)</f>
        <v>5.6419634604211639E-4</v>
      </c>
      <c r="AN323" s="263" cm="1">
        <f t="array" aca="1" ref="AN323" ca="1">_xlfn.IFS(AN$7&gt;(SAP_Leadsheet!$E$21+12),0,AN$7=(SAP_Leadsheet!$E$21+12),SAP_Spreadsheet!AN184,AN$7&lt;(SAP_Leadsheet!$E$21+12),$E323*AN184)</f>
        <v>5.4937633645655432E-4</v>
      </c>
      <c r="AO323" s="263" cm="1">
        <f t="array" aca="1" ref="AO323" ca="1">_xlfn.IFS(AO$7&gt;(SAP_Leadsheet!$E$21+12),0,AO$7=(SAP_Leadsheet!$E$21+12),SAP_Spreadsheet!AO184,AO$7&lt;(SAP_Leadsheet!$E$21+12),$E323*AO184)</f>
        <v>5.5292448368067656E-4</v>
      </c>
      <c r="AP323" s="263" cm="1">
        <f t="array" aca="1" ref="AP323" ca="1">_xlfn.IFS(AP$7&gt;(SAP_Leadsheet!$E$21+12),0,AP$7=(SAP_Leadsheet!$E$21+12),SAP_Spreadsheet!AP184,AP$7&lt;(SAP_Leadsheet!$E$21+12),$E323*AP184)</f>
        <v>5.3558362666326041E-4</v>
      </c>
      <c r="AQ323" s="263" cm="1">
        <f t="array" aca="1" ref="AQ323" ca="1">_xlfn.IFS(AQ$7&gt;(SAP_Leadsheet!$E$21+12),0,AQ$7=(SAP_Leadsheet!$E$21+12),SAP_Spreadsheet!AQ184,AQ$7&lt;(SAP_Leadsheet!$E$21+12),$E323*AQ184)</f>
        <v>5.1367461811249585E-4</v>
      </c>
      <c r="AR323" s="263" cm="1">
        <f t="array" aca="1" ref="AR323" ca="1">_xlfn.IFS(AR$7&gt;(SAP_Leadsheet!$E$21+12),0,AR$7=(SAP_Leadsheet!$E$21+12),SAP_Spreadsheet!AR184,AR$7&lt;(SAP_Leadsheet!$E$21+12),$E323*AR184)</f>
        <v>4.7563629599378508E-4</v>
      </c>
      <c r="AS323" s="263" cm="1">
        <f t="array" aca="1" ref="AS323" ca="1">_xlfn.IFS(AS$7&gt;(SAP_Leadsheet!$E$21+12),0,AS$7=(SAP_Leadsheet!$E$21+12),SAP_Spreadsheet!AS184,AS$7&lt;(SAP_Leadsheet!$E$21+12),$E323*AS184)</f>
        <v>3.8253702977343476E-4</v>
      </c>
      <c r="AT323" s="263" cm="1">
        <f t="array" aca="1" ref="AT323" ca="1">_xlfn.IFS(AT$7&gt;(SAP_Leadsheet!$E$21+12),0,AT$7=(SAP_Leadsheet!$E$21+12),SAP_Spreadsheet!AT184,AT$7&lt;(SAP_Leadsheet!$E$21+12),$E323*AT184)</f>
        <v>3.7406939828065145E-4</v>
      </c>
      <c r="AU323" s="263" cm="1">
        <f t="array" aca="1" ref="AU323" ca="1">_xlfn.IFS(AU$7&gt;(SAP_Leadsheet!$E$21+12),0,AU$7=(SAP_Leadsheet!$E$21+12),SAP_Spreadsheet!AU184,AU$7&lt;(SAP_Leadsheet!$E$21+12),$E323*AU184)</f>
        <v>3.6714940431192069E-4</v>
      </c>
      <c r="AV323" s="263" cm="1">
        <f t="array" aca="1" ref="AV323" ca="1">_xlfn.IFS(AV$7&gt;(SAP_Leadsheet!$E$21+12),0,AV$7=(SAP_Leadsheet!$E$21+12),SAP_Spreadsheet!AV184,AV$7&lt;(SAP_Leadsheet!$E$21+12),$E323*AV184)</f>
        <v>3.6097823398924386E-4</v>
      </c>
      <c r="AW323" s="263" cm="1">
        <f t="array" aca="1" ref="AW323" ca="1">_xlfn.IFS(AW$7&gt;(SAP_Leadsheet!$E$21+12),0,AW$7=(SAP_Leadsheet!$E$21+12),SAP_Spreadsheet!AW184,AW$7&lt;(SAP_Leadsheet!$E$21+12),$E323*AW184)</f>
        <v>3.5495754860681881E-4</v>
      </c>
      <c r="AX323" s="263" cm="1">
        <f t="array" aca="1" ref="AX323" ca="1">_xlfn.IFS(AX$7&gt;(SAP_Leadsheet!$E$21+12),0,AX$7=(SAP_Leadsheet!$E$21+12),SAP_Spreadsheet!AX184,AX$7&lt;(SAP_Leadsheet!$E$21+12),$E323*AX184)</f>
        <v>3.4885857808434365E-4</v>
      </c>
      <c r="AY323" s="263" cm="1">
        <f t="array" aca="1" ref="AY323" ca="1">_xlfn.IFS(AY$7&gt;(SAP_Leadsheet!$E$21+12),0,AY$7=(SAP_Leadsheet!$E$21+12),SAP_Spreadsheet!AY184,AY$7&lt;(SAP_Leadsheet!$E$21+12),$E323*AY184)</f>
        <v>3.4264848781227899E-4</v>
      </c>
      <c r="AZ323" s="263" cm="1">
        <f t="array" aca="1" ref="AZ323" ca="1">_xlfn.IFS(AZ$7&gt;(SAP_Leadsheet!$E$21+12),0,AZ$7=(SAP_Leadsheet!$E$21+12),SAP_Spreadsheet!AZ184,AZ$7&lt;(SAP_Leadsheet!$E$21+12),$E323*AZ184)</f>
        <v>3.3627700993169496E-4</v>
      </c>
      <c r="BA323" s="263" cm="1">
        <f t="array" aca="1" ref="BA323" ca="1">_xlfn.IFS(BA$7&gt;(SAP_Leadsheet!$E$21+12),0,BA$7=(SAP_Leadsheet!$E$21+12),SAP_Spreadsheet!BA184,BA$7&lt;(SAP_Leadsheet!$E$21+12),$E323*BA184)</f>
        <v>3.2966586220014703E-4</v>
      </c>
      <c r="BB323" s="263" cm="1">
        <f t="array" aca="1" ref="BB323" ca="1">_xlfn.IFS(BB$7&gt;(SAP_Leadsheet!$E$21+12),0,BB$7=(SAP_Leadsheet!$E$21+12),SAP_Spreadsheet!BB184,BB$7&lt;(SAP_Leadsheet!$E$21+12),$E323*BB184)</f>
        <v>3.2255915502664255E-4</v>
      </c>
      <c r="BC323" s="263" cm="1">
        <f t="array" aca="1" ref="BC323" ca="1">_xlfn.IFS(BC$7&gt;(SAP_Leadsheet!$E$21+12),0,BC$7=(SAP_Leadsheet!$E$21+12),SAP_Spreadsheet!BC184,BC$7&lt;(SAP_Leadsheet!$E$21+12),$E323*BC184)</f>
        <v>3.1471963356161282E-4</v>
      </c>
      <c r="BD323" s="263" cm="1">
        <f t="array" aca="1" ref="BD323" ca="1">_xlfn.IFS(BD$7&gt;(SAP_Leadsheet!$E$21+12),0,BD$7=(SAP_Leadsheet!$E$21+12),SAP_Spreadsheet!BD184,BD$7&lt;(SAP_Leadsheet!$E$21+12),$E323*BD184)</f>
        <v>3.0638433927055348E-4</v>
      </c>
      <c r="BE323" s="263" cm="1">
        <f t="array" aca="1" ref="BE323" ca="1">_xlfn.IFS(BE$7&gt;(SAP_Leadsheet!$E$21+12),0,BE$7=(SAP_Leadsheet!$E$21+12),SAP_Spreadsheet!BE184,BE$7&lt;(SAP_Leadsheet!$E$21+12),$E323*BE184)</f>
        <v>2.6208635081773014E-4</v>
      </c>
      <c r="BF323" s="263" cm="1">
        <f t="array" aca="1" ref="BF323" ca="1">_xlfn.IFS(BF$7&gt;(SAP_Leadsheet!$E$21+12),0,BF$7=(SAP_Leadsheet!$E$21+12),SAP_Spreadsheet!BF184,BF$7&lt;(SAP_Leadsheet!$E$21+12),$E323*BF184)</f>
        <v>2.5551735475818206E-4</v>
      </c>
      <c r="BG323" s="263" cm="1">
        <f t="array" aca="1" ref="BG323" ca="1">_xlfn.IFS(BG$7&gt;(SAP_Leadsheet!$E$21+12),0,BG$7=(SAP_Leadsheet!$E$21+12),SAP_Spreadsheet!BG184,BG$7&lt;(SAP_Leadsheet!$E$21+12),$E323*BG184)</f>
        <v>2.4896458591748734E-4</v>
      </c>
      <c r="BH323" s="263" cm="1">
        <f t="array" aca="1" ref="BH323" ca="1">_xlfn.IFS(BH$7&gt;(SAP_Leadsheet!$E$21+12),0,BH$7=(SAP_Leadsheet!$E$21+12),SAP_Spreadsheet!BH184,BH$7&lt;(SAP_Leadsheet!$E$21+12),$E323*BH184)</f>
        <v>2.4246982244576661E-4</v>
      </c>
      <c r="BI323" s="263" cm="1">
        <f t="array" aca="1" ref="BI323" ca="1">_xlfn.IFS(BI$7&gt;(SAP_Leadsheet!$E$21+12),0,BI$7=(SAP_Leadsheet!$E$21+12),SAP_Spreadsheet!BI184,BI$7&lt;(SAP_Leadsheet!$E$21+12),$E323*BI184)</f>
        <v>2.3600570139200959E-4</v>
      </c>
      <c r="BJ323" s="263" cm="1">
        <f t="array" aca="1" ref="BJ323" ca="1">_xlfn.IFS(BJ$7&gt;(SAP_Leadsheet!$E$21+12),0,BJ$7=(SAP_Leadsheet!$E$21+12),SAP_Spreadsheet!BJ184,BJ$7&lt;(SAP_Leadsheet!$E$21+12),$E323*BJ184)</f>
        <v>2.295554405300157E-4</v>
      </c>
      <c r="BK323" s="263" cm="1">
        <f t="array" aca="1" ref="BK323" ca="1">_xlfn.IFS(BK$7&gt;(SAP_Leadsheet!$E$21+12),0,BK$7=(SAP_Leadsheet!$E$21+12),SAP_Spreadsheet!BK184,BK$7&lt;(SAP_Leadsheet!$E$21+12),$E323*BK184)</f>
        <v>2.2309876034517893E-4</v>
      </c>
      <c r="BL323" s="263" cm="1">
        <f t="array" aca="1" ref="BL323" ca="1">_xlfn.IFS(BL$7&gt;(SAP_Leadsheet!$E$21+12),0,BL$7=(SAP_Leadsheet!$E$21+12),SAP_Spreadsheet!BL184,BL$7&lt;(SAP_Leadsheet!$E$21+12),$E323*BL184)</f>
        <v>2.1662582744350829E-4</v>
      </c>
      <c r="BM323" s="263" cm="1">
        <f t="array" aca="1" ref="BM323" ca="1">_xlfn.IFS(BM$7&gt;(SAP_Leadsheet!$E$21+12),0,BM$7=(SAP_Leadsheet!$E$21+12),SAP_Spreadsheet!BM184,BM$7&lt;(SAP_Leadsheet!$E$21+12),$E323*BM184)</f>
        <v>2.101351161849567E-4</v>
      </c>
      <c r="BN323" s="263" cm="1">
        <f t="array" aca="1" ref="BN323" ca="1">_xlfn.IFS(BN$7&gt;(SAP_Leadsheet!$E$21+12),0,BN$7=(SAP_Leadsheet!$E$21+12),SAP_Spreadsheet!BN184,BN$7&lt;(SAP_Leadsheet!$E$21+12),$E323*BN184)</f>
        <v>2.0355023929348226E-4</v>
      </c>
      <c r="BO323" s="263" cm="1">
        <f t="array" aca="1" ref="BO323" ca="1">_xlfn.IFS(BO$7&gt;(SAP_Leadsheet!$E$21+12),0,BO$7=(SAP_Leadsheet!$E$21+12),SAP_Spreadsheet!BO184,BO$7&lt;(SAP_Leadsheet!$E$21+12),$E323*BO184)</f>
        <v>1.9674686842838688E-4</v>
      </c>
      <c r="BP323" s="263" cm="1">
        <f t="array" aca="1" ref="BP323" ca="1">_xlfn.IFS(BP$7&gt;(SAP_Leadsheet!$E$21+12),0,BP$7=(SAP_Leadsheet!$E$21+12),SAP_Spreadsheet!BP184,BP$7&lt;(SAP_Leadsheet!$E$21+12),$E323*BP184)</f>
        <v>1.8978332962319325E-4</v>
      </c>
      <c r="BQ323" s="263" cm="1">
        <f t="array" aca="1" ref="BQ323" ca="1">_xlfn.IFS(BQ$7&gt;(SAP_Leadsheet!$E$21+12),0,BQ$7=(SAP_Leadsheet!$E$21+12),SAP_Spreadsheet!BQ184,BQ$7&lt;(SAP_Leadsheet!$E$21+12),$E323*BQ184)</f>
        <v>1.8274167711580322E-4</v>
      </c>
      <c r="BR323" s="263" cm="1">
        <f t="array" aca="1" ref="BR323" ca="1">_xlfn.IFS(BR$7&gt;(SAP_Leadsheet!$E$21+12),0,BR$7=(SAP_Leadsheet!$E$21+12),SAP_Spreadsheet!BR184,BR$7&lt;(SAP_Leadsheet!$E$21+12),$E323*BR184)</f>
        <v>0</v>
      </c>
      <c r="BS323" s="263" cm="1">
        <f t="array" aca="1" ref="BS323" ca="1">_xlfn.IFS(BS$7&gt;(SAP_Leadsheet!$E$21+12),0,BS$7=(SAP_Leadsheet!$E$21+12),SAP_Spreadsheet!BS184,BS$7&lt;(SAP_Leadsheet!$E$21+12),$E323*BS184)</f>
        <v>0</v>
      </c>
      <c r="BT323" s="263" cm="1">
        <f t="array" aca="1" ref="BT323" ca="1">_xlfn.IFS(BT$7&gt;(SAP_Leadsheet!$E$21+12),0,BT$7=(SAP_Leadsheet!$E$21+12),SAP_Spreadsheet!BT184,BT$7&lt;(SAP_Leadsheet!$E$21+12),$E323*BT184)</f>
        <v>0</v>
      </c>
      <c r="BU323" s="263" cm="1">
        <f t="array" aca="1" ref="BU323" ca="1">_xlfn.IFS(BU$7&gt;(SAP_Leadsheet!$E$21+12),0,BU$7=(SAP_Leadsheet!$E$21+12),SAP_Spreadsheet!BU184,BU$7&lt;(SAP_Leadsheet!$E$21+12),$E323*BU184)</f>
        <v>0</v>
      </c>
      <c r="BV323" s="263" cm="1">
        <f t="array" aca="1" ref="BV323" ca="1">_xlfn.IFS(BV$7&gt;(SAP_Leadsheet!$E$21+12),0,BV$7=(SAP_Leadsheet!$E$21+12),SAP_Spreadsheet!BV184,BV$7&lt;(SAP_Leadsheet!$E$21+12),$E323*BV184)</f>
        <v>0</v>
      </c>
      <c r="BW323" s="263" cm="1">
        <f t="array" aca="1" ref="BW323" ca="1">_xlfn.IFS(BW$7&gt;(SAP_Leadsheet!$E$21+12),0,BW$7=(SAP_Leadsheet!$E$21+12),SAP_Spreadsheet!BW184,BW$7&lt;(SAP_Leadsheet!$E$21+12),$E323*BW184)</f>
        <v>0</v>
      </c>
      <c r="BX323" s="263" cm="1">
        <f t="array" aca="1" ref="BX323" ca="1">_xlfn.IFS(BX$7&gt;(SAP_Leadsheet!$E$21+12),0,BX$7=(SAP_Leadsheet!$E$21+12),SAP_Spreadsheet!BX184,BX$7&lt;(SAP_Leadsheet!$E$21+12),$E323*BX184)</f>
        <v>0</v>
      </c>
      <c r="BY323" s="263" cm="1">
        <f t="array" aca="1" ref="BY323" ca="1">_xlfn.IFS(BY$7&gt;(SAP_Leadsheet!$E$21+12),0,BY$7=(SAP_Leadsheet!$E$21+12),SAP_Spreadsheet!BY184,BY$7&lt;(SAP_Leadsheet!$E$21+12),$E323*BY184)</f>
        <v>0</v>
      </c>
      <c r="BZ323" s="263" cm="1">
        <f t="array" aca="1" ref="BZ323" ca="1">_xlfn.IFS(BZ$7&gt;(SAP_Leadsheet!$E$21+12),0,BZ$7=(SAP_Leadsheet!$E$21+12),SAP_Spreadsheet!BZ184,BZ$7&lt;(SAP_Leadsheet!$E$21+12),$E323*BZ184)</f>
        <v>0</v>
      </c>
      <c r="CA323" s="263"/>
      <c r="CB323" s="263"/>
      <c r="CC323" s="263"/>
      <c r="CD323" s="263"/>
      <c r="CE323" s="263"/>
      <c r="CF323" s="263"/>
      <c r="CG323" s="263"/>
      <c r="CH323" s="263"/>
      <c r="CI323" s="263"/>
      <c r="CJ323" s="263"/>
      <c r="CK323" s="263"/>
      <c r="CL323" s="263"/>
      <c r="CM323" s="263"/>
      <c r="CN323" s="263"/>
      <c r="CO323" s="263"/>
      <c r="CP323" s="263"/>
      <c r="CQ323" s="263"/>
      <c r="CR323" s="263"/>
      <c r="CS323" s="263"/>
      <c r="CT323" s="263"/>
      <c r="CU323" s="263"/>
      <c r="CV323" s="263"/>
      <c r="CW323" s="263"/>
      <c r="CX323" s="263"/>
      <c r="CY323" s="263"/>
      <c r="CZ323" s="263"/>
      <c r="DA323" s="263"/>
      <c r="DB323" s="263"/>
      <c r="DC323" s="263"/>
      <c r="DD323" s="263"/>
      <c r="DE323" s="263"/>
      <c r="DF323" s="263"/>
      <c r="DG323" s="263"/>
      <c r="DH323" s="263"/>
      <c r="DI323" s="263"/>
      <c r="DJ323" s="263"/>
      <c r="DK323" s="263"/>
      <c r="DL323" s="263"/>
      <c r="DM323" s="263"/>
      <c r="DN323" s="263"/>
      <c r="DO323" s="263"/>
      <c r="DP323" s="263"/>
      <c r="DQ323" s="263"/>
      <c r="DR323" s="263"/>
      <c r="DS323" s="263"/>
      <c r="DT323" s="263"/>
      <c r="DU323" s="263"/>
      <c r="DV323" s="263"/>
      <c r="DW323" s="263"/>
      <c r="DX323" s="263"/>
      <c r="DY323" s="263"/>
      <c r="DZ323" s="263"/>
      <c r="EA323" s="263"/>
      <c r="EB323" s="263"/>
      <c r="EC323" s="263"/>
      <c r="ED323" s="263"/>
      <c r="EE323" s="263"/>
      <c r="EF323" s="263"/>
      <c r="EG323" s="263"/>
      <c r="EH323" s="263"/>
      <c r="EI323" s="263"/>
      <c r="EJ323" s="263"/>
      <c r="EK323" s="263"/>
      <c r="EL323" s="263"/>
      <c r="EM323" s="263"/>
      <c r="EN323" s="263"/>
      <c r="EO323" s="263"/>
      <c r="EP323" s="263"/>
      <c r="EQ323" s="263"/>
      <c r="ER323" s="263"/>
      <c r="ES323" s="263"/>
      <c r="ET323" s="263"/>
      <c r="EU323" s="263"/>
      <c r="EV323" s="263"/>
      <c r="EW323" s="263"/>
      <c r="EX323" s="263"/>
      <c r="EY323" s="263"/>
      <c r="EZ323" s="263"/>
      <c r="FA323" s="263"/>
      <c r="FB323" s="263"/>
      <c r="FC323" s="263"/>
      <c r="FD323" s="263"/>
      <c r="FE323" s="263"/>
      <c r="FF323" s="263"/>
      <c r="FG323" s="263"/>
      <c r="FH323" s="263"/>
      <c r="FI323" s="263"/>
      <c r="FJ323" s="263"/>
      <c r="FK323" s="263"/>
      <c r="FL323" s="263"/>
      <c r="FM323" s="263"/>
      <c r="FN323" s="263"/>
      <c r="FO323" s="263"/>
      <c r="FP323" s="263"/>
      <c r="FQ323" s="263"/>
      <c r="FR323" s="263"/>
      <c r="FS323" s="263"/>
      <c r="FT323" s="263"/>
      <c r="FU323" s="263"/>
      <c r="FV323" s="263"/>
      <c r="FW323" s="263"/>
      <c r="FX323" s="263"/>
      <c r="FY323" s="263"/>
      <c r="FZ323" s="263"/>
      <c r="GA323" s="263"/>
      <c r="GB323" s="263"/>
      <c r="GC323" s="263"/>
      <c r="GD323" s="263"/>
      <c r="GE323" s="263"/>
      <c r="GF323" s="263"/>
      <c r="GG323" s="263"/>
      <c r="GH323" s="263"/>
      <c r="GI323" s="263"/>
      <c r="GJ323" s="263"/>
      <c r="GK323" s="263"/>
      <c r="GL323" s="263"/>
      <c r="GM323" s="263"/>
      <c r="GN323" s="263"/>
      <c r="GO323" s="263"/>
      <c r="GP323" s="263"/>
      <c r="GQ323" s="263"/>
      <c r="GR323" s="263"/>
      <c r="GS323" s="263"/>
      <c r="GT323" s="263"/>
      <c r="GU323" s="263"/>
      <c r="GV323" s="263"/>
      <c r="GW323" s="263"/>
      <c r="GX323" s="263"/>
      <c r="GY323" s="263"/>
    </row>
    <row r="324" spans="1:207" x14ac:dyDescent="0.15">
      <c r="A324" s="62"/>
      <c r="C324" s="23"/>
      <c r="D324" s="26" t="s">
        <v>415</v>
      </c>
      <c r="E324" s="39">
        <v>0.20749999999999999</v>
      </c>
      <c r="F324" s="80"/>
      <c r="G324" s="263" cm="1">
        <f t="array" ref="G324">_xlfn.IFS(G$7&gt;(SAP_Leadsheet!$E$21+12),0,G$7=(SAP_Leadsheet!$E$21+12),SAP_Spreadsheet!G185,G$7&lt;(SAP_Leadsheet!$E$21+12),$E324*G185)</f>
        <v>0</v>
      </c>
      <c r="H324" s="263" cm="1">
        <f t="array" aca="1" ref="H324" ca="1">_xlfn.IFS(H$7&gt;(SAP_Leadsheet!$E$21+12),0,H$7=(SAP_Leadsheet!$E$21+12),SAP_Spreadsheet!H185,H$7&lt;(SAP_Leadsheet!$E$21+12),$E324*H185)</f>
        <v>0</v>
      </c>
      <c r="I324" s="263" cm="1">
        <f t="array" aca="1" ref="I324" ca="1">_xlfn.IFS(I$7&gt;(SAP_Leadsheet!$E$21+12),0,I$7=(SAP_Leadsheet!$E$21+12),SAP_Spreadsheet!I185,I$7&lt;(SAP_Leadsheet!$E$21+12),$E324*I185)</f>
        <v>0</v>
      </c>
      <c r="J324" s="263" cm="1">
        <f t="array" aca="1" ref="J324" ca="1">_xlfn.IFS(J$7&gt;(SAP_Leadsheet!$E$21+12),0,J$7=(SAP_Leadsheet!$E$21+12),SAP_Spreadsheet!J185,J$7&lt;(SAP_Leadsheet!$E$21+12),$E324*J185)</f>
        <v>0</v>
      </c>
      <c r="K324" s="263" cm="1">
        <f t="array" aca="1" ref="K324" ca="1">_xlfn.IFS(K$7&gt;(SAP_Leadsheet!$E$21+12),0,K$7=(SAP_Leadsheet!$E$21+12),SAP_Spreadsheet!K185,K$7&lt;(SAP_Leadsheet!$E$21+12),$E324*K185)</f>
        <v>5.2334256392308981E-3</v>
      </c>
      <c r="L324" s="263" cm="1">
        <f t="array" aca="1" ref="L324" ca="1">_xlfn.IFS(L$7&gt;(SAP_Leadsheet!$E$21+12),0,L$7=(SAP_Leadsheet!$E$21+12),SAP_Spreadsheet!L185,L$7&lt;(SAP_Leadsheet!$E$21+12),$E324*L185)</f>
        <v>9.2251851851828034E-3</v>
      </c>
      <c r="M324" s="263" cm="1">
        <f t="array" aca="1" ref="M324" ca="1">_xlfn.IFS(M$7&gt;(SAP_Leadsheet!$E$21+12),0,M$7=(SAP_Leadsheet!$E$21+12),SAP_Spreadsheet!M185,M$7&lt;(SAP_Leadsheet!$E$21+12),$E324*M185)</f>
        <v>1.0851650154967011E-2</v>
      </c>
      <c r="N324" s="263" cm="1">
        <f t="array" aca="1" ref="N324" ca="1">_xlfn.IFS(N$7&gt;(SAP_Leadsheet!$E$21+12),0,N$7=(SAP_Leadsheet!$E$21+12),SAP_Spreadsheet!N185,N$7&lt;(SAP_Leadsheet!$E$21+12),$E324*N185)</f>
        <v>1.0794789617800501E-2</v>
      </c>
      <c r="O324" s="263" cm="1">
        <f t="array" aca="1" ref="O324" ca="1">_xlfn.IFS(O$7&gt;(SAP_Leadsheet!$E$21+12),0,O$7=(SAP_Leadsheet!$E$21+12),SAP_Spreadsheet!O185,O$7&lt;(SAP_Leadsheet!$E$21+12),$E324*O185)</f>
        <v>9.9260283135964508E-3</v>
      </c>
      <c r="P324" s="263" cm="1">
        <f t="array" aca="1" ref="P324" ca="1">_xlfn.IFS(P$7&gt;(SAP_Leadsheet!$E$21+12),0,P$7=(SAP_Leadsheet!$E$21+12),SAP_Spreadsheet!P185,P$7&lt;(SAP_Leadsheet!$E$21+12),$E324*P185)</f>
        <v>8.8185974572624597E-3</v>
      </c>
      <c r="Q324" s="263" cm="1">
        <f t="array" aca="1" ref="Q324" ca="1">_xlfn.IFS(Q$7&gt;(SAP_Leadsheet!$E$21+12),0,Q$7=(SAP_Leadsheet!$E$21+12),SAP_Spreadsheet!Q185,Q$7&lt;(SAP_Leadsheet!$E$21+12),$E324*Q185)</f>
        <v>7.4730209156640935E-3</v>
      </c>
      <c r="R324" s="263" cm="1">
        <f t="array" aca="1" ref="R324" ca="1">_xlfn.IFS(R$7&gt;(SAP_Leadsheet!$E$21+12),0,R$7=(SAP_Leadsheet!$E$21+12),SAP_Spreadsheet!R185,R$7&lt;(SAP_Leadsheet!$E$21+12),$E324*R185)</f>
        <v>6.4822117595891918E-3</v>
      </c>
      <c r="S324" s="263" cm="1">
        <f t="array" aca="1" ref="S324" ca="1">_xlfn.IFS(S$7&gt;(SAP_Leadsheet!$E$21+12),0,S$7=(SAP_Leadsheet!$E$21+12),SAP_Spreadsheet!S185,S$7&lt;(SAP_Leadsheet!$E$21+12),$E324*S185)</f>
        <v>5.5675518169616767E-3</v>
      </c>
      <c r="T324" s="263" cm="1">
        <f t="array" aca="1" ref="T324" ca="1">_xlfn.IFS(T$7&gt;(SAP_Leadsheet!$E$21+12),0,T$7=(SAP_Leadsheet!$E$21+12),SAP_Spreadsheet!T185,T$7&lt;(SAP_Leadsheet!$E$21+12),$E324*T185)</f>
        <v>4.7409550380807059E-3</v>
      </c>
      <c r="U324" s="263" cm="1">
        <f t="array" aca="1" ref="U324" ca="1">_xlfn.IFS(U$7&gt;(SAP_Leadsheet!$E$21+12),0,U$7=(SAP_Leadsheet!$E$21+12),SAP_Spreadsheet!U185,U$7&lt;(SAP_Leadsheet!$E$21+12),$E324*U185)</f>
        <v>4.0508055248202786E-3</v>
      </c>
      <c r="V324" s="263" cm="1">
        <f t="array" aca="1" ref="V324" ca="1">_xlfn.IFS(V$7&gt;(SAP_Leadsheet!$E$21+12),0,V$7=(SAP_Leadsheet!$E$21+12),SAP_Spreadsheet!V185,V$7&lt;(SAP_Leadsheet!$E$21+12),$E324*V185)</f>
        <v>2.0344213693616877E-3</v>
      </c>
      <c r="W324" s="263" cm="1">
        <f t="array" aca="1" ref="W324" ca="1">_xlfn.IFS(W$7&gt;(SAP_Leadsheet!$E$21+12),0,W$7=(SAP_Leadsheet!$E$21+12),SAP_Spreadsheet!W185,W$7&lt;(SAP_Leadsheet!$E$21+12),$E324*W185)</f>
        <v>2.0884756700797736E-3</v>
      </c>
      <c r="X324" s="263" cm="1">
        <f t="array" aca="1" ref="X324" ca="1">_xlfn.IFS(X$7&gt;(SAP_Leadsheet!$E$21+12),0,X$7=(SAP_Leadsheet!$E$21+12),SAP_Spreadsheet!X185,X$7&lt;(SAP_Leadsheet!$E$21+12),$E324*X185)</f>
        <v>2.4033491111874429E-3</v>
      </c>
      <c r="Y324" s="263" cm="1">
        <f t="array" aca="1" ref="Y324" ca="1">_xlfn.IFS(Y$7&gt;(SAP_Leadsheet!$E$21+12),0,Y$7=(SAP_Leadsheet!$E$21+12),SAP_Spreadsheet!Y185,Y$7&lt;(SAP_Leadsheet!$E$21+12),$E324*Y185)</f>
        <v>2.4784114505592265E-3</v>
      </c>
      <c r="Z324" s="263" cm="1">
        <f t="array" aca="1" ref="Z324" ca="1">_xlfn.IFS(Z$7&gt;(SAP_Leadsheet!$E$21+12),0,Z$7=(SAP_Leadsheet!$E$21+12),SAP_Spreadsheet!Z185,Z$7&lt;(SAP_Leadsheet!$E$21+12),$E324*Z185)</f>
        <v>2.3598105512646719E-3</v>
      </c>
      <c r="AA324" s="263" cm="1">
        <f t="array" aca="1" ref="AA324" ca="1">_xlfn.IFS(AA$7&gt;(SAP_Leadsheet!$E$21+12),0,AA$7=(SAP_Leadsheet!$E$21+12),SAP_Spreadsheet!AA185,AA$7&lt;(SAP_Leadsheet!$E$21+12),$E324*AA185)</f>
        <v>2.3897399278976997E-3</v>
      </c>
      <c r="AB324" s="263" cm="1">
        <f t="array" aca="1" ref="AB324" ca="1">_xlfn.IFS(AB$7&gt;(SAP_Leadsheet!$E$21+12),0,AB$7=(SAP_Leadsheet!$E$21+12),SAP_Spreadsheet!AB185,AB$7&lt;(SAP_Leadsheet!$E$21+12),$E324*AB185)</f>
        <v>2.4493355510341961E-3</v>
      </c>
      <c r="AC324" s="263" cm="1">
        <f t="array" aca="1" ref="AC324" ca="1">_xlfn.IFS(AC$7&gt;(SAP_Leadsheet!$E$21+12),0,AC$7=(SAP_Leadsheet!$E$21+12),SAP_Spreadsheet!AC185,AC$7&lt;(SAP_Leadsheet!$E$21+12),$E324*AC185)</f>
        <v>2.481256754696428E-3</v>
      </c>
      <c r="AD324" s="263" cm="1">
        <f t="array" aca="1" ref="AD324" ca="1">_xlfn.IFS(AD$7&gt;(SAP_Leadsheet!$E$21+12),0,AD$7=(SAP_Leadsheet!$E$21+12),SAP_Spreadsheet!AD185,AD$7&lt;(SAP_Leadsheet!$E$21+12),$E324*AD185)</f>
        <v>2.4729918391498034E-3</v>
      </c>
      <c r="AE324" s="263" cm="1">
        <f t="array" aca="1" ref="AE324" ca="1">_xlfn.IFS(AE$7&gt;(SAP_Leadsheet!$E$21+12),0,AE$7=(SAP_Leadsheet!$E$21+12),SAP_Spreadsheet!AE185,AE$7&lt;(SAP_Leadsheet!$E$21+12),$E324*AE185)</f>
        <v>2.387079493929624E-3</v>
      </c>
      <c r="AF324" s="263" cm="1">
        <f t="array" aca="1" ref="AF324" ca="1">_xlfn.IFS(AF$7&gt;(SAP_Leadsheet!$E$21+12),0,AF$7=(SAP_Leadsheet!$E$21+12),SAP_Spreadsheet!AF185,AF$7&lt;(SAP_Leadsheet!$E$21+12),$E324*AF185)</f>
        <v>2.2381606957444541E-3</v>
      </c>
      <c r="AG324" s="263" cm="1">
        <f t="array" aca="1" ref="AG324" ca="1">_xlfn.IFS(AG$7&gt;(SAP_Leadsheet!$E$21+12),0,AG$7=(SAP_Leadsheet!$E$21+12),SAP_Spreadsheet!AG185,AG$7&lt;(SAP_Leadsheet!$E$21+12),$E324*AG185)</f>
        <v>2.1781887450659679E-3</v>
      </c>
      <c r="AH324" s="263" cm="1">
        <f t="array" aca="1" ref="AH324" ca="1">_xlfn.IFS(AH$7&gt;(SAP_Leadsheet!$E$21+12),0,AH$7=(SAP_Leadsheet!$E$21+12),SAP_Spreadsheet!AH185,AH$7&lt;(SAP_Leadsheet!$E$21+12),$E324*AH185)</f>
        <v>1.7820338390303386E-3</v>
      </c>
      <c r="AI324" s="263" cm="1">
        <f t="array" aca="1" ref="AI324" ca="1">_xlfn.IFS(AI$7&gt;(SAP_Leadsheet!$E$21+12),0,AI$7=(SAP_Leadsheet!$E$21+12),SAP_Spreadsheet!AI185,AI$7&lt;(SAP_Leadsheet!$E$21+12),$E324*AI185)</f>
        <v>1.8184414567737112E-3</v>
      </c>
      <c r="AJ324" s="263" cm="1">
        <f t="array" aca="1" ref="AJ324" ca="1">_xlfn.IFS(AJ$7&gt;(SAP_Leadsheet!$E$21+12),0,AJ$7=(SAP_Leadsheet!$E$21+12),SAP_Spreadsheet!AJ185,AJ$7&lt;(SAP_Leadsheet!$E$21+12),$E324*AJ185)</f>
        <v>1.9302774169668237E-3</v>
      </c>
      <c r="AK324" s="263" cm="1">
        <f t="array" aca="1" ref="AK324" ca="1">_xlfn.IFS(AK$7&gt;(SAP_Leadsheet!$E$21+12),0,AK$7=(SAP_Leadsheet!$E$21+12),SAP_Spreadsheet!AK185,AK$7&lt;(SAP_Leadsheet!$E$21+12),$E324*AK185)</f>
        <v>1.9993561964500961E-3</v>
      </c>
      <c r="AL324" s="263" cm="1">
        <f t="array" aca="1" ref="AL324" ca="1">_xlfn.IFS(AL$7&gt;(SAP_Leadsheet!$E$21+12),0,AL$7=(SAP_Leadsheet!$E$21+12),SAP_Spreadsheet!AL185,AL$7&lt;(SAP_Leadsheet!$E$21+12),$E324*AL185)</f>
        <v>2.0091911058985998E-3</v>
      </c>
      <c r="AM324" s="263" cm="1">
        <f t="array" aca="1" ref="AM324" ca="1">_xlfn.IFS(AM$7&gt;(SAP_Leadsheet!$E$21+12),0,AM$7=(SAP_Leadsheet!$E$21+12),SAP_Spreadsheet!AM185,AM$7&lt;(SAP_Leadsheet!$E$21+12),$E324*AM185)</f>
        <v>1.980267950796301E-3</v>
      </c>
      <c r="AN324" s="263" cm="1">
        <f t="array" aca="1" ref="AN324" ca="1">_xlfn.IFS(AN$7&gt;(SAP_Leadsheet!$E$21+12),0,AN$7=(SAP_Leadsheet!$E$21+12),SAP_Spreadsheet!AN185,AN$7&lt;(SAP_Leadsheet!$E$21+12),$E324*AN185)</f>
        <v>1.9342122558878637E-3</v>
      </c>
      <c r="AO324" s="263" cm="1">
        <f t="array" aca="1" ref="AO324" ca="1">_xlfn.IFS(AO$7&gt;(SAP_Leadsheet!$E$21+12),0,AO$7=(SAP_Leadsheet!$E$21+12),SAP_Spreadsheet!AO185,AO$7&lt;(SAP_Leadsheet!$E$21+12),$E324*AO185)</f>
        <v>1.8834053969390998E-3</v>
      </c>
      <c r="AP324" s="263" cm="1">
        <f t="array" aca="1" ref="AP324" ca="1">_xlfn.IFS(AP$7&gt;(SAP_Leadsheet!$E$21+12),0,AP$7=(SAP_Leadsheet!$E$21+12),SAP_Spreadsheet!AP185,AP$7&lt;(SAP_Leadsheet!$E$21+12),$E324*AP185)</f>
        <v>1.8955693712270148E-3</v>
      </c>
      <c r="AQ324" s="263" cm="1">
        <f t="array" aca="1" ref="AQ324" ca="1">_xlfn.IFS(AQ$7&gt;(SAP_Leadsheet!$E$21+12),0,AQ$7=(SAP_Leadsheet!$E$21+12),SAP_Spreadsheet!AQ185,AQ$7&lt;(SAP_Leadsheet!$E$21+12),$E324*AQ185)</f>
        <v>1.8361203896694817E-3</v>
      </c>
      <c r="AR324" s="263" cm="1">
        <f t="array" aca="1" ref="AR324" ca="1">_xlfn.IFS(AR$7&gt;(SAP_Leadsheet!$E$21+12),0,AR$7=(SAP_Leadsheet!$E$21+12),SAP_Spreadsheet!AR185,AR$7&lt;(SAP_Leadsheet!$E$21+12),$E324*AR185)</f>
        <v>1.7610105929639257E-3</v>
      </c>
      <c r="AS324" s="263" cm="1">
        <f t="array" aca="1" ref="AS324" ca="1">_xlfn.IFS(AS$7&gt;(SAP_Leadsheet!$E$21+12),0,AS$7=(SAP_Leadsheet!$E$21+12),SAP_Spreadsheet!AS185,AS$7&lt;(SAP_Leadsheet!$E$21+12),$E324*AS185)</f>
        <v>1.6306053017004325E-3</v>
      </c>
      <c r="AT324" s="263" cm="1">
        <f t="array" aca="1" ref="AT324" ca="1">_xlfn.IFS(AT$7&gt;(SAP_Leadsheet!$E$21+12),0,AT$7=(SAP_Leadsheet!$E$21+12),SAP_Spreadsheet!AT185,AT$7&lt;(SAP_Leadsheet!$E$21+12),$E324*AT185)</f>
        <v>1.3114367303319707E-3</v>
      </c>
      <c r="AU324" s="263" cm="1">
        <f t="array" aca="1" ref="AU324" ca="1">_xlfn.IFS(AU$7&gt;(SAP_Leadsheet!$E$21+12),0,AU$7=(SAP_Leadsheet!$E$21+12),SAP_Spreadsheet!AU185,AU$7&lt;(SAP_Leadsheet!$E$21+12),$E324*AU185)</f>
        <v>1.2824074806273636E-3</v>
      </c>
      <c r="AV324" s="263" cm="1">
        <f t="array" aca="1" ref="AV324" ca="1">_xlfn.IFS(AV$7&gt;(SAP_Leadsheet!$E$21+12),0,AV$7=(SAP_Leadsheet!$E$21+12),SAP_Spreadsheet!AV185,AV$7&lt;(SAP_Leadsheet!$E$21+12),$E324*AV185)</f>
        <v>1.2586839360867366E-3</v>
      </c>
      <c r="AW324" s="263" cm="1">
        <f t="array" aca="1" ref="AW324" ca="1">_xlfn.IFS(AW$7&gt;(SAP_Leadsheet!$E$21+12),0,AW$7=(SAP_Leadsheet!$E$21+12),SAP_Spreadsheet!AW185,AW$7&lt;(SAP_Leadsheet!$E$21+12),$E324*AW185)</f>
        <v>1.2375275543500817E-3</v>
      </c>
      <c r="AX324" s="263" cm="1">
        <f t="array" aca="1" ref="AX324" ca="1">_xlfn.IFS(AX$7&gt;(SAP_Leadsheet!$E$21+12),0,AX$7=(SAP_Leadsheet!$E$21+12),SAP_Spreadsheet!AX185,AX$7&lt;(SAP_Leadsheet!$E$21+12),$E324*AX185)</f>
        <v>1.2168870742455505E-3</v>
      </c>
      <c r="AY324" s="263" cm="1">
        <f t="array" aca="1" ref="AY324" ca="1">_xlfn.IFS(AY$7&gt;(SAP_Leadsheet!$E$21+12),0,AY$7=(SAP_Leadsheet!$E$21+12),SAP_Spreadsheet!AY185,AY$7&lt;(SAP_Leadsheet!$E$21+12),$E324*AY185)</f>
        <v>1.1959782122587172E-3</v>
      </c>
      <c r="AZ324" s="263" cm="1">
        <f t="array" aca="1" ref="AZ324" ca="1">_xlfn.IFS(AZ$7&gt;(SAP_Leadsheet!$E$21+12),0,AZ$7=(SAP_Leadsheet!$E$21+12),SAP_Spreadsheet!AZ185,AZ$7&lt;(SAP_Leadsheet!$E$21+12),$E324*AZ185)</f>
        <v>1.1746884027825301E-3</v>
      </c>
      <c r="BA324" s="263" cm="1">
        <f t="array" aca="1" ref="BA324" ca="1">_xlfn.IFS(BA$7&gt;(SAP_Leadsheet!$E$21+12),0,BA$7=(SAP_Leadsheet!$E$21+12),SAP_Spreadsheet!BA185,BA$7&lt;(SAP_Leadsheet!$E$21+12),$E324*BA185)</f>
        <v>1.1528453144832235E-3</v>
      </c>
      <c r="BB324" s="263" cm="1">
        <f t="array" aca="1" ref="BB324" ca="1">_xlfn.IFS(BB$7&gt;(SAP_Leadsheet!$E$21+12),0,BB$7=(SAP_Leadsheet!$E$21+12),SAP_Spreadsheet!BB185,BB$7&lt;(SAP_Leadsheet!$E$21+12),$E324*BB185)</f>
        <v>1.1301805754122432E-3</v>
      </c>
      <c r="BC324" s="263" cm="1">
        <f t="array" aca="1" ref="BC324" ca="1">_xlfn.IFS(BC$7&gt;(SAP_Leadsheet!$E$21+12),0,BC$7=(SAP_Leadsheet!$E$21+12),SAP_Spreadsheet!BC185,BC$7&lt;(SAP_Leadsheet!$E$21+12),$E324*BC185)</f>
        <v>1.1058169292978593E-3</v>
      </c>
      <c r="BD324" s="263" cm="1">
        <f t="array" aca="1" ref="BD324" ca="1">_xlfn.IFS(BD$7&gt;(SAP_Leadsheet!$E$21+12),0,BD$7=(SAP_Leadsheet!$E$21+12),SAP_Spreadsheet!BD185,BD$7&lt;(SAP_Leadsheet!$E$21+12),$E324*BD185)</f>
        <v>1.0789410046231813E-3</v>
      </c>
      <c r="BE324" s="263" cm="1">
        <f t="array" aca="1" ref="BE324" ca="1">_xlfn.IFS(BE$7&gt;(SAP_Leadsheet!$E$21+12),0,BE$7=(SAP_Leadsheet!$E$21+12),SAP_Spreadsheet!BE185,BE$7&lt;(SAP_Leadsheet!$E$21+12),$E324*BE185)</f>
        <v>1.050365441368832E-3</v>
      </c>
      <c r="BF324" s="263" cm="1">
        <f t="array" aca="1" ref="BF324" ca="1">_xlfn.IFS(BF$7&gt;(SAP_Leadsheet!$E$21+12),0,BF$7=(SAP_Leadsheet!$E$21+12),SAP_Spreadsheet!BF185,BF$7&lt;(SAP_Leadsheet!$E$21+12),$E324*BF185)</f>
        <v>8.9850038095556591E-4</v>
      </c>
      <c r="BG324" s="263" cm="1">
        <f t="array" aca="1" ref="BG324" ca="1">_xlfn.IFS(BG$7&gt;(SAP_Leadsheet!$E$21+12),0,BG$7=(SAP_Leadsheet!$E$21+12),SAP_Spreadsheet!BG185,BG$7&lt;(SAP_Leadsheet!$E$21+12),$E324*BG185)</f>
        <v>8.7598014881228926E-4</v>
      </c>
      <c r="BH324" s="263" cm="1">
        <f t="array" aca="1" ref="BH324" ca="1">_xlfn.IFS(BH$7&gt;(SAP_Leadsheet!$E$21+12),0,BH$7=(SAP_Leadsheet!$E$21+12),SAP_Spreadsheet!BH185,BH$7&lt;(SAP_Leadsheet!$E$21+12),$E324*BH185)</f>
        <v>8.5351554780842926E-4</v>
      </c>
      <c r="BI324" s="263" cm="1">
        <f t="array" aca="1" ref="BI324" ca="1">_xlfn.IFS(BI$7&gt;(SAP_Leadsheet!$E$21+12),0,BI$7=(SAP_Leadsheet!$E$21+12),SAP_Spreadsheet!BI185,BI$7&lt;(SAP_Leadsheet!$E$21+12),$E324*BI185)</f>
        <v>8.3124980434124752E-4</v>
      </c>
      <c r="BJ324" s="263" cm="1">
        <f t="array" aca="1" ref="BJ324" ca="1">_xlfn.IFS(BJ$7&gt;(SAP_Leadsheet!$E$21+12),0,BJ$7=(SAP_Leadsheet!$E$21+12),SAP_Spreadsheet!BJ185,BJ$7&lt;(SAP_Leadsheet!$E$21+12),$E324*BJ185)</f>
        <v>8.0908911107651965E-4</v>
      </c>
      <c r="BK324" s="263" cm="1">
        <f t="array" aca="1" ref="BK324" ca="1">_xlfn.IFS(BK$7&gt;(SAP_Leadsheet!$E$21+12),0,BK$7=(SAP_Leadsheet!$E$21+12),SAP_Spreadsheet!BK185,BK$7&lt;(SAP_Leadsheet!$E$21+12),$E324*BK185)</f>
        <v>7.8697593416485797E-4</v>
      </c>
      <c r="BL324" s="263" cm="1">
        <f t="array" aca="1" ref="BL324" ca="1">_xlfn.IFS(BL$7&gt;(SAP_Leadsheet!$E$21+12),0,BL$7=(SAP_Leadsheet!$E$21+12),SAP_Spreadsheet!BL185,BL$7&lt;(SAP_Leadsheet!$E$21+12),$E324*BL185)</f>
        <v>7.6484075013988513E-4</v>
      </c>
      <c r="BM324" s="263" cm="1">
        <f t="array" aca="1" ref="BM324" ca="1">_xlfn.IFS(BM$7&gt;(SAP_Leadsheet!$E$21+12),0,BM$7=(SAP_Leadsheet!$E$21+12),SAP_Spreadsheet!BM185,BM$7&lt;(SAP_Leadsheet!$E$21+12),$E324*BM185)</f>
        <v>7.4264984756176628E-4</v>
      </c>
      <c r="BN324" s="263" cm="1">
        <f t="array" aca="1" ref="BN324" ca="1">_xlfn.IFS(BN$7&gt;(SAP_Leadsheet!$E$21+12),0,BN$7=(SAP_Leadsheet!$E$21+12),SAP_Spreadsheet!BN185,BN$7&lt;(SAP_Leadsheet!$E$21+12),$E324*BN185)</f>
        <v>7.203979961384275E-4</v>
      </c>
      <c r="BO324" s="263" cm="1">
        <f t="array" aca="1" ref="BO324" ca="1">_xlfn.IFS(BO$7&gt;(SAP_Leadsheet!$E$21+12),0,BO$7=(SAP_Leadsheet!$E$21+12),SAP_Spreadsheet!BO185,BO$7&lt;(SAP_Leadsheet!$E$21+12),$E324*BO185)</f>
        <v>6.9782332036048139E-4</v>
      </c>
      <c r="BP324" s="263" cm="1">
        <f t="array" aca="1" ref="BP324" ca="1">_xlfn.IFS(BP$7&gt;(SAP_Leadsheet!$E$21+12),0,BP$7=(SAP_Leadsheet!$E$21+12),SAP_Spreadsheet!BP185,BP$7&lt;(SAP_Leadsheet!$E$21+12),$E324*BP185)</f>
        <v>6.7449959024253492E-4</v>
      </c>
      <c r="BQ324" s="263" cm="1">
        <f t="array" aca="1" ref="BQ324" ca="1">_xlfn.IFS(BQ$7&gt;(SAP_Leadsheet!$E$21+12),0,BQ$7=(SAP_Leadsheet!$E$21+12),SAP_Spreadsheet!BQ185,BQ$7&lt;(SAP_Leadsheet!$E$21+12),$E324*BQ185)</f>
        <v>6.5062676264299082E-4</v>
      </c>
      <c r="BR324" s="263" cm="1">
        <f t="array" aca="1" ref="BR324" ca="1">_xlfn.IFS(BR$7&gt;(SAP_Leadsheet!$E$21+12),0,BR$7=(SAP_Leadsheet!$E$21+12),SAP_Spreadsheet!BR185,BR$7&lt;(SAP_Leadsheet!$E$21+12),$E324*BR185)</f>
        <v>6.2648614089482965E-4</v>
      </c>
      <c r="BS324" s="263" cm="1">
        <f t="array" aca="1" ref="BS324" ca="1">_xlfn.IFS(BS$7&gt;(SAP_Leadsheet!$E$21+12),0,BS$7=(SAP_Leadsheet!$E$21+12),SAP_Spreadsheet!BS185,BS$7&lt;(SAP_Leadsheet!$E$21+12),$E324*BS185)</f>
        <v>0</v>
      </c>
      <c r="BT324" s="263" cm="1">
        <f t="array" aca="1" ref="BT324" ca="1">_xlfn.IFS(BT$7&gt;(SAP_Leadsheet!$E$21+12),0,BT$7=(SAP_Leadsheet!$E$21+12),SAP_Spreadsheet!BT185,BT$7&lt;(SAP_Leadsheet!$E$21+12),$E324*BT185)</f>
        <v>0</v>
      </c>
      <c r="BU324" s="263" cm="1">
        <f t="array" aca="1" ref="BU324" ca="1">_xlfn.IFS(BU$7&gt;(SAP_Leadsheet!$E$21+12),0,BU$7=(SAP_Leadsheet!$E$21+12),SAP_Spreadsheet!BU185,BU$7&lt;(SAP_Leadsheet!$E$21+12),$E324*BU185)</f>
        <v>0</v>
      </c>
      <c r="BV324" s="263" cm="1">
        <f t="array" aca="1" ref="BV324" ca="1">_xlfn.IFS(BV$7&gt;(SAP_Leadsheet!$E$21+12),0,BV$7=(SAP_Leadsheet!$E$21+12),SAP_Spreadsheet!BV185,BV$7&lt;(SAP_Leadsheet!$E$21+12),$E324*BV185)</f>
        <v>0</v>
      </c>
      <c r="BW324" s="263" cm="1">
        <f t="array" aca="1" ref="BW324" ca="1">_xlfn.IFS(BW$7&gt;(SAP_Leadsheet!$E$21+12),0,BW$7=(SAP_Leadsheet!$E$21+12),SAP_Spreadsheet!BW185,BW$7&lt;(SAP_Leadsheet!$E$21+12),$E324*BW185)</f>
        <v>0</v>
      </c>
      <c r="BX324" s="263" cm="1">
        <f t="array" aca="1" ref="BX324" ca="1">_xlfn.IFS(BX$7&gt;(SAP_Leadsheet!$E$21+12),0,BX$7=(SAP_Leadsheet!$E$21+12),SAP_Spreadsheet!BX185,BX$7&lt;(SAP_Leadsheet!$E$21+12),$E324*BX185)</f>
        <v>0</v>
      </c>
      <c r="BY324" s="263" cm="1">
        <f t="array" aca="1" ref="BY324" ca="1">_xlfn.IFS(BY$7&gt;(SAP_Leadsheet!$E$21+12),0,BY$7=(SAP_Leadsheet!$E$21+12),SAP_Spreadsheet!BY185,BY$7&lt;(SAP_Leadsheet!$E$21+12),$E324*BY185)</f>
        <v>0</v>
      </c>
      <c r="BZ324" s="263" cm="1">
        <f t="array" aca="1" ref="BZ324" ca="1">_xlfn.IFS(BZ$7&gt;(SAP_Leadsheet!$E$21+12),0,BZ$7=(SAP_Leadsheet!$E$21+12),SAP_Spreadsheet!BZ185,BZ$7&lt;(SAP_Leadsheet!$E$21+12),$E324*BZ185)</f>
        <v>0</v>
      </c>
      <c r="CA324" s="263"/>
      <c r="CB324" s="263"/>
      <c r="CC324" s="263"/>
      <c r="CD324" s="263"/>
      <c r="CE324" s="263"/>
      <c r="CF324" s="263"/>
      <c r="CG324" s="263"/>
      <c r="CH324" s="263"/>
      <c r="CI324" s="263"/>
      <c r="CJ324" s="263"/>
      <c r="CK324" s="263"/>
      <c r="CL324" s="263"/>
      <c r="CM324" s="263"/>
      <c r="CN324" s="263"/>
      <c r="CO324" s="263"/>
      <c r="CP324" s="263"/>
      <c r="CQ324" s="263"/>
      <c r="CR324" s="263"/>
      <c r="CS324" s="263"/>
      <c r="CT324" s="263"/>
      <c r="CU324" s="263"/>
      <c r="CV324" s="263"/>
      <c r="CW324" s="263"/>
      <c r="CX324" s="263"/>
      <c r="CY324" s="263"/>
      <c r="CZ324" s="263"/>
      <c r="DA324" s="263"/>
      <c r="DB324" s="263"/>
      <c r="DC324" s="263"/>
      <c r="DD324" s="263"/>
      <c r="DE324" s="263"/>
      <c r="DF324" s="263"/>
      <c r="DG324" s="263"/>
      <c r="DH324" s="263"/>
      <c r="DI324" s="263"/>
      <c r="DJ324" s="263"/>
      <c r="DK324" s="263"/>
      <c r="DL324" s="263"/>
      <c r="DM324" s="263"/>
      <c r="DN324" s="263"/>
      <c r="DO324" s="263"/>
      <c r="DP324" s="263"/>
      <c r="DQ324" s="263"/>
      <c r="DR324" s="263"/>
      <c r="DS324" s="263"/>
      <c r="DT324" s="263"/>
      <c r="DU324" s="263"/>
      <c r="DV324" s="263"/>
      <c r="DW324" s="263"/>
      <c r="DX324" s="263"/>
      <c r="DY324" s="263"/>
      <c r="DZ324" s="263"/>
      <c r="EA324" s="263"/>
      <c r="EB324" s="263"/>
      <c r="EC324" s="263"/>
      <c r="ED324" s="263"/>
      <c r="EE324" s="263"/>
      <c r="EF324" s="263"/>
      <c r="EG324" s="263"/>
      <c r="EH324" s="263"/>
      <c r="EI324" s="263"/>
      <c r="EJ324" s="263"/>
      <c r="EK324" s="263"/>
      <c r="EL324" s="263"/>
      <c r="EM324" s="263"/>
      <c r="EN324" s="263"/>
      <c r="EO324" s="263"/>
      <c r="EP324" s="263"/>
      <c r="EQ324" s="263"/>
      <c r="ER324" s="263"/>
      <c r="ES324" s="263"/>
      <c r="ET324" s="263"/>
      <c r="EU324" s="263"/>
      <c r="EV324" s="263"/>
      <c r="EW324" s="263"/>
      <c r="EX324" s="263"/>
      <c r="EY324" s="263"/>
      <c r="EZ324" s="263"/>
      <c r="FA324" s="263"/>
      <c r="FB324" s="263"/>
      <c r="FC324" s="263"/>
      <c r="FD324" s="263"/>
      <c r="FE324" s="263"/>
      <c r="FF324" s="263"/>
      <c r="FG324" s="263"/>
      <c r="FH324" s="263"/>
      <c r="FI324" s="263"/>
      <c r="FJ324" s="263"/>
      <c r="FK324" s="263"/>
      <c r="FL324" s="263"/>
      <c r="FM324" s="263"/>
      <c r="FN324" s="263"/>
      <c r="FO324" s="263"/>
      <c r="FP324" s="263"/>
      <c r="FQ324" s="263"/>
      <c r="FR324" s="263"/>
      <c r="FS324" s="263"/>
      <c r="FT324" s="263"/>
      <c r="FU324" s="263"/>
      <c r="FV324" s="263"/>
      <c r="FW324" s="263"/>
      <c r="FX324" s="263"/>
      <c r="FY324" s="263"/>
      <c r="FZ324" s="263"/>
      <c r="GA324" s="263"/>
      <c r="GB324" s="263"/>
      <c r="GC324" s="263"/>
      <c r="GD324" s="263"/>
      <c r="GE324" s="263"/>
      <c r="GF324" s="263"/>
      <c r="GG324" s="263"/>
      <c r="GH324" s="263"/>
      <c r="GI324" s="263"/>
      <c r="GJ324" s="263"/>
      <c r="GK324" s="263"/>
      <c r="GL324" s="263"/>
      <c r="GM324" s="263"/>
      <c r="GN324" s="263"/>
      <c r="GO324" s="263"/>
      <c r="GP324" s="263"/>
      <c r="GQ324" s="263"/>
      <c r="GR324" s="263"/>
      <c r="GS324" s="263"/>
      <c r="GT324" s="263"/>
      <c r="GU324" s="263"/>
      <c r="GV324" s="263"/>
      <c r="GW324" s="263"/>
      <c r="GX324" s="263"/>
      <c r="GY324" s="263"/>
    </row>
    <row r="325" spans="1:207" x14ac:dyDescent="0.15">
      <c r="A325" s="62"/>
      <c r="C325" s="23"/>
      <c r="D325" s="26" t="s">
        <v>416</v>
      </c>
      <c r="E325" s="39">
        <v>0.20749999999999999</v>
      </c>
      <c r="F325" s="80"/>
      <c r="G325" s="263" cm="1">
        <f t="array" ref="G325">_xlfn.IFS(G$7&gt;(SAP_Leadsheet!$E$21+12),0,G$7=(SAP_Leadsheet!$E$21+12),SAP_Spreadsheet!G186,G$7&lt;(SAP_Leadsheet!$E$21+12),$E325*G186)</f>
        <v>0</v>
      </c>
      <c r="H325" s="263" cm="1">
        <f t="array" aca="1" ref="H325" ca="1">_xlfn.IFS(H$7&gt;(SAP_Leadsheet!$E$21+12),0,H$7=(SAP_Leadsheet!$E$21+12),SAP_Spreadsheet!H186,H$7&lt;(SAP_Leadsheet!$E$21+12),$E325*H186)</f>
        <v>0</v>
      </c>
      <c r="I325" s="263" cm="1">
        <f t="array" aca="1" ref="I325" ca="1">_xlfn.IFS(I$7&gt;(SAP_Leadsheet!$E$21+12),0,I$7=(SAP_Leadsheet!$E$21+12),SAP_Spreadsheet!I186,I$7&lt;(SAP_Leadsheet!$E$21+12),$E325*I186)</f>
        <v>0</v>
      </c>
      <c r="J325" s="263" cm="1">
        <f t="array" aca="1" ref="J325" ca="1">_xlfn.IFS(J$7&gt;(SAP_Leadsheet!$E$21+12),0,J$7=(SAP_Leadsheet!$E$21+12),SAP_Spreadsheet!J186,J$7&lt;(SAP_Leadsheet!$E$21+12),$E325*J186)</f>
        <v>0</v>
      </c>
      <c r="K325" s="263" cm="1">
        <f t="array" aca="1" ref="K325" ca="1">_xlfn.IFS(K$7&gt;(SAP_Leadsheet!$E$21+12),0,K$7=(SAP_Leadsheet!$E$21+12),SAP_Spreadsheet!K186,K$7&lt;(SAP_Leadsheet!$E$21+12),$E325*K186)</f>
        <v>0</v>
      </c>
      <c r="L325" s="263" cm="1">
        <f t="array" aca="1" ref="L325" ca="1">_xlfn.IFS(L$7&gt;(SAP_Leadsheet!$E$21+12),0,L$7=(SAP_Leadsheet!$E$21+12),SAP_Spreadsheet!L186,L$7&lt;(SAP_Leadsheet!$E$21+12),$E325*L186)</f>
        <v>5.1548276133832087E-3</v>
      </c>
      <c r="M325" s="263" cm="1">
        <f t="array" aca="1" ref="M325" ca="1">_xlfn.IFS(M$7&gt;(SAP_Leadsheet!$E$21+12),0,M$7=(SAP_Leadsheet!$E$21+12),SAP_Spreadsheet!M186,M$7&lt;(SAP_Leadsheet!$E$21+12),$E325*M186)</f>
        <v>9.0866370536875629E-3</v>
      </c>
      <c r="N325" s="263" cm="1">
        <f t="array" aca="1" ref="N325" ca="1">_xlfn.IFS(N$7&gt;(SAP_Leadsheet!$E$21+12),0,N$7=(SAP_Leadsheet!$E$21+12),SAP_Spreadsheet!N186,N$7&lt;(SAP_Leadsheet!$E$21+12),$E325*N186)</f>
        <v>1.0688675014367606E-2</v>
      </c>
      <c r="O325" s="263" cm="1">
        <f t="array" aca="1" ref="O325" ca="1">_xlfn.IFS(O$7&gt;(SAP_Leadsheet!$E$21+12),0,O$7=(SAP_Leadsheet!$E$21+12),SAP_Spreadsheet!O186,O$7&lt;(SAP_Leadsheet!$E$21+12),$E325*O186)</f>
        <v>1.0632668435254199E-2</v>
      </c>
      <c r="P325" s="263" cm="1">
        <f t="array" aca="1" ref="P325" ca="1">_xlfn.IFS(P$7&gt;(SAP_Leadsheet!$E$21+12),0,P$7=(SAP_Leadsheet!$E$21+12),SAP_Spreadsheet!P186,P$7&lt;(SAP_Leadsheet!$E$21+12),$E325*P186)</f>
        <v>9.7769545932958005E-3</v>
      </c>
      <c r="Q325" s="263" cm="1">
        <f t="array" aca="1" ref="Q325" ca="1">_xlfn.IFS(Q$7&gt;(SAP_Leadsheet!$E$21+12),0,Q$7=(SAP_Leadsheet!$E$21+12),SAP_Spreadsheet!Q186,Q$7&lt;(SAP_Leadsheet!$E$21+12),$E325*Q186)</f>
        <v>8.6861556497988199E-3</v>
      </c>
      <c r="R325" s="263" cm="1">
        <f t="array" aca="1" ref="R325" ca="1">_xlfn.IFS(R$7&gt;(SAP_Leadsheet!$E$21+12),0,R$7=(SAP_Leadsheet!$E$21+12),SAP_Spreadsheet!R186,R$7&lt;(SAP_Leadsheet!$E$21+12),$E325*R186)</f>
        <v>7.3607876039520331E-3</v>
      </c>
      <c r="S325" s="263" cm="1">
        <f t="array" aca="1" ref="S325" ca="1">_xlfn.IFS(S$7&gt;(SAP_Leadsheet!$E$21+12),0,S$7=(SAP_Leadsheet!$E$21+12),SAP_Spreadsheet!S186,S$7&lt;(SAP_Leadsheet!$E$21+12),$E325*S186)</f>
        <v>6.324784837052645E-3</v>
      </c>
      <c r="T325" s="263" cm="1">
        <f t="array" aca="1" ref="T325" ca="1">_xlfn.IFS(T$7&gt;(SAP_Leadsheet!$E$21+12),0,T$7=(SAP_Leadsheet!$E$21+12),SAP_Spreadsheet!T186,T$7&lt;(SAP_Leadsheet!$E$21+12),$E325*T186)</f>
        <v>5.4323383155961205E-3</v>
      </c>
      <c r="U325" s="263" cm="1">
        <f t="array" aca="1" ref="U325" ca="1">_xlfn.IFS(U$7&gt;(SAP_Leadsheet!$E$21+12),0,U$7=(SAP_Leadsheet!$E$21+12),SAP_Spreadsheet!U186,U$7&lt;(SAP_Leadsheet!$E$21+12),$E325*U186)</f>
        <v>4.6258162568730268E-3</v>
      </c>
      <c r="V325" s="263" cm="1">
        <f t="array" aca="1" ref="V325" ca="1">_xlfn.IFS(V$7&gt;(SAP_Leadsheet!$E$21+12),0,V$7=(SAP_Leadsheet!$E$21+12),SAP_Spreadsheet!V186,V$7&lt;(SAP_Leadsheet!$E$21+12),$E325*V186)</f>
        <v>3.9524277069985861E-3</v>
      </c>
      <c r="W325" s="263" cm="1">
        <f t="array" aca="1" ref="W325" ca="1">_xlfn.IFS(W$7&gt;(SAP_Leadsheet!$E$21+12),0,W$7=(SAP_Leadsheet!$E$21+12),SAP_Spreadsheet!W186,W$7&lt;(SAP_Leadsheet!$E$21+12),$E325*W186)</f>
        <v>1.9850134346629461E-3</v>
      </c>
      <c r="X325" s="263" cm="1">
        <f t="array" aca="1" ref="X325" ca="1">_xlfn.IFS(X$7&gt;(SAP_Leadsheet!$E$21+12),0,X$7=(SAP_Leadsheet!$E$21+12),SAP_Spreadsheet!X186,X$7&lt;(SAP_Leadsheet!$E$21+12),$E325*X186)</f>
        <v>2.0377549732363328E-3</v>
      </c>
      <c r="Y325" s="263" cm="1">
        <f t="array" aca="1" ref="Y325" ca="1">_xlfn.IFS(Y$7&gt;(SAP_Leadsheet!$E$21+12),0,Y$7=(SAP_Leadsheet!$E$21+12),SAP_Spreadsheet!Y186,Y$7&lt;(SAP_Leadsheet!$E$21+12),$E325*Y186)</f>
        <v>2.3449814014631369E-3</v>
      </c>
      <c r="Z325" s="263" cm="1">
        <f t="array" aca="1" ref="Z325" ca="1">_xlfn.IFS(Z$7&gt;(SAP_Leadsheet!$E$21+12),0,Z$7=(SAP_Leadsheet!$E$21+12),SAP_Spreadsheet!Z186,Z$7&lt;(SAP_Leadsheet!$E$21+12),$E325*Z186)</f>
        <v>2.4182207776976528E-3</v>
      </c>
      <c r="AA325" s="263" cm="1">
        <f t="array" aca="1" ref="AA325" ca="1">_xlfn.IFS(AA$7&gt;(SAP_Leadsheet!$E$21+12),0,AA$7=(SAP_Leadsheet!$E$21+12),SAP_Spreadsheet!AA186,AA$7&lt;(SAP_Leadsheet!$E$21+12),$E325*AA186)</f>
        <v>2.3025002185213285E-3</v>
      </c>
      <c r="AB325" s="263" cm="1">
        <f t="array" aca="1" ref="AB325" ca="1">_xlfn.IFS(AB$7&gt;(SAP_Leadsheet!$E$21+12),0,AB$7=(SAP_Leadsheet!$E$21+12),SAP_Spreadsheet!AB186,AB$7&lt;(SAP_Leadsheet!$E$21+12),$E325*AB186)</f>
        <v>2.3317027306470678E-3</v>
      </c>
      <c r="AC325" s="263" cm="1">
        <f t="array" aca="1" ref="AC325" ca="1">_xlfn.IFS(AC$7&gt;(SAP_Leadsheet!$E$21+12),0,AC$7=(SAP_Leadsheet!$E$21+12),SAP_Spreadsheet!AC186,AC$7&lt;(SAP_Leadsheet!$E$21+12),$E325*AC186)</f>
        <v>2.3898510151443802E-3</v>
      </c>
      <c r="AD325" s="263" cm="1">
        <f t="array" aca="1" ref="AD325" ca="1">_xlfn.IFS(AD$7&gt;(SAP_Leadsheet!$E$21+12),0,AD$7=(SAP_Leadsheet!$E$21+12),SAP_Spreadsheet!AD186,AD$7&lt;(SAP_Leadsheet!$E$21+12),$E325*AD186)</f>
        <v>2.4209969808102949E-3</v>
      </c>
      <c r="AE325" s="263" cm="1">
        <f t="array" aca="1" ref="AE325" ca="1">_xlfn.IFS(AE$7&gt;(SAP_Leadsheet!$E$21+12),0,AE$7=(SAP_Leadsheet!$E$21+12),SAP_Spreadsheet!AE186,AE$7&lt;(SAP_Leadsheet!$E$21+12),$E325*AE186)</f>
        <v>2.4482619207583053E-3</v>
      </c>
      <c r="AF325" s="263" cm="1">
        <f t="array" aca="1" ref="AF325" ca="1">_xlfn.IFS(AF$7&gt;(SAP_Leadsheet!$E$21+12),0,AF$7=(SAP_Leadsheet!$E$21+12),SAP_Spreadsheet!AF186,AF$7&lt;(SAP_Leadsheet!$E$21+12),$E325*AF186)</f>
        <v>2.3632086989903277E-3</v>
      </c>
      <c r="AG325" s="263" cm="1">
        <f t="array" aca="1" ref="AG325" ca="1">_xlfn.IFS(AG$7&gt;(SAP_Leadsheet!$E$21+12),0,AG$7=(SAP_Leadsheet!$E$21+12),SAP_Spreadsheet!AG186,AG$7&lt;(SAP_Leadsheet!$E$21+12),$E325*AG186)</f>
        <v>2.2157790887870092E-3</v>
      </c>
      <c r="AH325" s="263" cm="1">
        <f t="array" aca="1" ref="AH325" ca="1">_xlfn.IFS(AH$7&gt;(SAP_Leadsheet!$E$21+12),0,AH$7=(SAP_Leadsheet!$E$21+12),SAP_Spreadsheet!AH186,AH$7&lt;(SAP_Leadsheet!$E$21+12),$E325*AH186)</f>
        <v>2.1564068576153078E-3</v>
      </c>
      <c r="AI325" s="263" cm="1">
        <f t="array" aca="1" ref="AI325" ca="1">_xlfn.IFS(AI$7&gt;(SAP_Leadsheet!$E$21+12),0,AI$7=(SAP_Leadsheet!$E$21+12),SAP_Spreadsheet!AI186,AI$7&lt;(SAP_Leadsheet!$E$21+12),$E325*AI186)</f>
        <v>1.7642135006400352E-3</v>
      </c>
      <c r="AJ325" s="263" cm="1">
        <f t="array" aca="1" ref="AJ325" ca="1">_xlfn.IFS(AJ$7&gt;(SAP_Leadsheet!$E$21+12),0,AJ$7=(SAP_Leadsheet!$E$21+12),SAP_Spreadsheet!AJ186,AJ$7&lt;(SAP_Leadsheet!$E$21+12),$E325*AJ186)</f>
        <v>1.8002570422059739E-3</v>
      </c>
      <c r="AK325" s="263" cm="1">
        <f t="array" aca="1" ref="AK325" ca="1">_xlfn.IFS(AK$7&gt;(SAP_Leadsheet!$E$21+12),0,AK$7=(SAP_Leadsheet!$E$21+12),SAP_Spreadsheet!AK186,AK$7&lt;(SAP_Leadsheet!$E$21+12),$E325*AK186)</f>
        <v>1.9109746427971553E-3</v>
      </c>
      <c r="AL325" s="263" cm="1">
        <f t="array" aca="1" ref="AL325" ca="1">_xlfn.IFS(AL$7&gt;(SAP_Leadsheet!$E$21+12),0,AL$7=(SAP_Leadsheet!$E$21+12),SAP_Spreadsheet!AL186,AL$7&lt;(SAP_Leadsheet!$E$21+12),$E325*AL186)</f>
        <v>1.9793626344855953E-3</v>
      </c>
      <c r="AM325" s="263" cm="1">
        <f t="array" aca="1" ref="AM325" ca="1">_xlfn.IFS(AM$7&gt;(SAP_Leadsheet!$E$21+12),0,AM$7=(SAP_Leadsheet!$E$21+12),SAP_Spreadsheet!AM186,AM$7&lt;(SAP_Leadsheet!$E$21+12),$E325*AM186)</f>
        <v>1.9890991948396139E-3</v>
      </c>
      <c r="AN325" s="263" cm="1">
        <f t="array" aca="1" ref="AN325" ca="1">_xlfn.IFS(AN$7&gt;(SAP_Leadsheet!$E$21+12),0,AN$7=(SAP_Leadsheet!$E$21+12),SAP_Spreadsheet!AN186,AN$7&lt;(SAP_Leadsheet!$E$21+12),$E325*AN186)</f>
        <v>1.9604652712883379E-3</v>
      </c>
      <c r="AO325" s="263" cm="1">
        <f t="array" aca="1" ref="AO325" ca="1">_xlfn.IFS(AO$7&gt;(SAP_Leadsheet!$E$21+12),0,AO$7=(SAP_Leadsheet!$E$21+12),SAP_Spreadsheet!AO186,AO$7&lt;(SAP_Leadsheet!$E$21+12),$E325*AO186)</f>
        <v>1.9148701333289852E-3</v>
      </c>
      <c r="AP325" s="263" cm="1">
        <f t="array" aca="1" ref="AP325" ca="1">_xlfn.IFS(AP$7&gt;(SAP_Leadsheet!$E$21+12),0,AP$7=(SAP_Leadsheet!$E$21+12),SAP_Spreadsheet!AP186,AP$7&lt;(SAP_Leadsheet!$E$21+12),$E325*AP186)</f>
        <v>1.8645713429697088E-3</v>
      </c>
      <c r="AQ325" s="263" cm="1">
        <f t="array" aca="1" ref="AQ325" ca="1">_xlfn.IFS(AQ$7&gt;(SAP_Leadsheet!$E$21+12),0,AQ$7=(SAP_Leadsheet!$E$21+12),SAP_Spreadsheet!AQ186,AQ$7&lt;(SAP_Leadsheet!$E$21+12),$E325*AQ186)</f>
        <v>1.8766136775147445E-3</v>
      </c>
      <c r="AR325" s="263" cm="1">
        <f t="array" aca="1" ref="AR325" ca="1">_xlfn.IFS(AR$7&gt;(SAP_Leadsheet!$E$21+12),0,AR$7=(SAP_Leadsheet!$E$21+12),SAP_Spreadsheet!AR186,AR$7&lt;(SAP_Leadsheet!$E$21+12),$E325*AR186)</f>
        <v>1.8177591857727866E-3</v>
      </c>
      <c r="AS325" s="263" cm="1">
        <f t="array" aca="1" ref="AS325" ca="1">_xlfn.IFS(AS$7&gt;(SAP_Leadsheet!$E$21+12),0,AS$7=(SAP_Leadsheet!$E$21+12),SAP_Spreadsheet!AS186,AS$7&lt;(SAP_Leadsheet!$E$21+12),$E325*AS186)</f>
        <v>1.7434004870342864E-3</v>
      </c>
      <c r="AT325" s="263" cm="1">
        <f t="array" aca="1" ref="AT325" ca="1">_xlfn.IFS(AT$7&gt;(SAP_Leadsheet!$E$21+12),0,AT$7=(SAP_Leadsheet!$E$21+12),SAP_Spreadsheet!AT186,AT$7&lt;(SAP_Leadsheet!$E$21+12),$E325*AT186)</f>
        <v>1.614299248683428E-3</v>
      </c>
      <c r="AU325" s="263" cm="1">
        <f t="array" aca="1" ref="AU325" ca="1">_xlfn.IFS(AU$7&gt;(SAP_Leadsheet!$E$21+12),0,AU$7=(SAP_Leadsheet!$E$21+12),SAP_Spreadsheet!AU186,AU$7&lt;(SAP_Leadsheet!$E$21+12),$E325*AU186)</f>
        <v>1.2983223630286512E-3</v>
      </c>
      <c r="AV325" s="263" cm="1">
        <f t="array" aca="1" ref="AV325" ca="1">_xlfn.IFS(AV$7&gt;(SAP_Leadsheet!$E$21+12),0,AV$7=(SAP_Leadsheet!$E$21+12),SAP_Spreadsheet!AV186,AV$7&lt;(SAP_Leadsheet!$E$21+12),$E325*AV186)</f>
        <v>1.26958340582109E-3</v>
      </c>
      <c r="AW325" s="263" cm="1">
        <f t="array" aca="1" ref="AW325" ca="1">_xlfn.IFS(AW$7&gt;(SAP_Leadsheet!$E$21+12),0,AW$7=(SAP_Leadsheet!$E$21+12),SAP_Spreadsheet!AW186,AW$7&lt;(SAP_Leadsheet!$E$21+12),$E325*AW186)</f>
        <v>1.2460970967258691E-3</v>
      </c>
      <c r="AX325" s="263" cm="1">
        <f t="array" aca="1" ref="AX325" ca="1">_xlfn.IFS(AX$7&gt;(SAP_Leadsheet!$E$21+12),0,AX$7=(SAP_Leadsheet!$E$21+12),SAP_Spreadsheet!AX186,AX$7&lt;(SAP_Leadsheet!$E$21+12),$E325*AX186)</f>
        <v>1.2251522788065809E-3</v>
      </c>
      <c r="AY325" s="263" cm="1">
        <f t="array" aca="1" ref="AY325" ca="1">_xlfn.IFS(AY$7&gt;(SAP_Leadsheet!$E$21+12),0,AY$7=(SAP_Leadsheet!$E$21+12),SAP_Spreadsheet!AY186,AY$7&lt;(SAP_Leadsheet!$E$21+12),$E325*AY186)</f>
        <v>1.2047182035030948E-3</v>
      </c>
      <c r="AZ325" s="263" cm="1">
        <f t="array" aca="1" ref="AZ325" ca="1">_xlfn.IFS(AZ$7&gt;(SAP_Leadsheet!$E$21+12),0,AZ$7=(SAP_Leadsheet!$E$21+12),SAP_Spreadsheet!AZ186,AZ$7&lt;(SAP_Leadsheet!$E$21+12),$E325*AZ186)</f>
        <v>1.1840184301361301E-3</v>
      </c>
      <c r="BA325" s="263" cm="1">
        <f t="array" aca="1" ref="BA325" ca="1">_xlfn.IFS(BA$7&gt;(SAP_Leadsheet!$E$21+12),0,BA$7=(SAP_Leadsheet!$E$21+12),SAP_Spreadsheet!BA186,BA$7&lt;(SAP_Leadsheet!$E$21+12),$E325*BA186)</f>
        <v>1.162941518754705E-3</v>
      </c>
      <c r="BB325" s="263" cm="1">
        <f t="array" aca="1" ref="BB325" ca="1">_xlfn.IFS(BB$7&gt;(SAP_Leadsheet!$E$21+12),0,BB$7=(SAP_Leadsheet!$E$21+12),SAP_Spreadsheet!BB186,BB$7&lt;(SAP_Leadsheet!$E$21+12),$E325*BB186)</f>
        <v>1.1413168613383913E-3</v>
      </c>
      <c r="BC325" s="263" cm="1">
        <f t="array" aca="1" ref="BC325" ca="1">_xlfn.IFS(BC$7&gt;(SAP_Leadsheet!$E$21+12),0,BC$7=(SAP_Leadsheet!$E$21+12),SAP_Spreadsheet!BC186,BC$7&lt;(SAP_Leadsheet!$E$21+12),$E325*BC186)</f>
        <v>1.1188787696581207E-3</v>
      </c>
      <c r="BD325" s="263" cm="1">
        <f t="array" aca="1" ref="BD325" ca="1">_xlfn.IFS(BD$7&gt;(SAP_Leadsheet!$E$21+12),0,BD$7=(SAP_Leadsheet!$E$21+12),SAP_Spreadsheet!BD186,BD$7&lt;(SAP_Leadsheet!$E$21+12),$E325*BD186)</f>
        <v>1.0947587600048808E-3</v>
      </c>
      <c r="BE325" s="263" cm="1">
        <f t="array" aca="1" ref="BE325" ca="1">_xlfn.IFS(BE$7&gt;(SAP_Leadsheet!$E$21+12),0,BE$7=(SAP_Leadsheet!$E$21+12),SAP_Spreadsheet!BE186,BE$7&lt;(SAP_Leadsheet!$E$21+12),$E325*BE186)</f>
        <v>1.0681515945769493E-3</v>
      </c>
      <c r="BF325" s="263" cm="1">
        <f t="array" aca="1" ref="BF325" ca="1">_xlfn.IFS(BF$7&gt;(SAP_Leadsheet!$E$21+12),0,BF$7=(SAP_Leadsheet!$E$21+12),SAP_Spreadsheet!BF186,BF$7&lt;(SAP_Leadsheet!$E$21+12),$E325*BF186)</f>
        <v>1.0398617869551436E-3</v>
      </c>
      <c r="BG325" s="263" cm="1">
        <f t="array" aca="1" ref="BG325" ca="1">_xlfn.IFS(BG$7&gt;(SAP_Leadsheet!$E$21+12),0,BG$7=(SAP_Leadsheet!$E$21+12),SAP_Spreadsheet!BG186,BG$7&lt;(SAP_Leadsheet!$E$21+12),$E325*BG186)</f>
        <v>8.8951537714601029E-4</v>
      </c>
      <c r="BH325" s="263" cm="1">
        <f t="array" aca="1" ref="BH325" ca="1">_xlfn.IFS(BH$7&gt;(SAP_Leadsheet!$E$21+12),0,BH$7=(SAP_Leadsheet!$E$21+12),SAP_Spreadsheet!BH186,BH$7&lt;(SAP_Leadsheet!$E$21+12),$E325*BH186)</f>
        <v>8.6722034732416632E-4</v>
      </c>
      <c r="BI325" s="263" cm="1">
        <f t="array" aca="1" ref="BI325" ca="1">_xlfn.IFS(BI$7&gt;(SAP_Leadsheet!$E$21+12),0,BI$7=(SAP_Leadsheet!$E$21+12),SAP_Spreadsheet!BI186,BI$7&lt;(SAP_Leadsheet!$E$21+12),$E325*BI186)</f>
        <v>8.4498039233034503E-4</v>
      </c>
      <c r="BJ325" s="263" cm="1">
        <f t="array" aca="1" ref="BJ325" ca="1">_xlfn.IFS(BJ$7&gt;(SAP_Leadsheet!$E$21+12),0,BJ$7=(SAP_Leadsheet!$E$21+12),SAP_Spreadsheet!BJ186,BJ$7&lt;(SAP_Leadsheet!$E$21+12),$E325*BJ186)</f>
        <v>8.2293730629783512E-4</v>
      </c>
      <c r="BK325" s="263" cm="1">
        <f t="array" aca="1" ref="BK325" ca="1">_xlfn.IFS(BK$7&gt;(SAP_Leadsheet!$E$21+12),0,BK$7=(SAP_Leadsheet!$E$21+12),SAP_Spreadsheet!BK186,BK$7&lt;(SAP_Leadsheet!$E$21+12),$E325*BK186)</f>
        <v>8.0099821996575452E-4</v>
      </c>
      <c r="BL325" s="263" cm="1">
        <f t="array" aca="1" ref="BL325" ca="1">_xlfn.IFS(BL$7&gt;(SAP_Leadsheet!$E$21+12),0,BL$7=(SAP_Leadsheet!$E$21+12),SAP_Spreadsheet!BL186,BL$7&lt;(SAP_Leadsheet!$E$21+12),$E325*BL186)</f>
        <v>7.7910617482320941E-4</v>
      </c>
      <c r="BM325" s="263" cm="1">
        <f t="array" aca="1" ref="BM325" ca="1">_xlfn.IFS(BM$7&gt;(SAP_Leadsheet!$E$21+12),0,BM$7=(SAP_Leadsheet!$E$21+12),SAP_Spreadsheet!BM186,BM$7&lt;(SAP_Leadsheet!$E$21+12),$E325*BM186)</f>
        <v>7.5719234263848633E-4</v>
      </c>
      <c r="BN325" s="263" cm="1">
        <f t="array" aca="1" ref="BN325" ca="1">_xlfn.IFS(BN$7&gt;(SAP_Leadsheet!$E$21+12),0,BN$7=(SAP_Leadsheet!$E$21+12),SAP_Spreadsheet!BN186,BN$7&lt;(SAP_Leadsheet!$E$21+12),$E325*BN186)</f>
        <v>7.3522334908614868E-4</v>
      </c>
      <c r="BO325" s="263" cm="1">
        <f t="array" aca="1" ref="BO325" ca="1">_xlfn.IFS(BO$7&gt;(SAP_Leadsheet!$E$21+12),0,BO$7=(SAP_Leadsheet!$E$21+12),SAP_Spreadsheet!BO186,BO$7&lt;(SAP_Leadsheet!$E$21+12),$E325*BO186)</f>
        <v>7.1319401617704321E-4</v>
      </c>
      <c r="BP325" s="263" cm="1">
        <f t="array" aca="1" ref="BP325" ca="1">_xlfn.IFS(BP$7&gt;(SAP_Leadsheet!$E$21+12),0,BP$7=(SAP_Leadsheet!$E$21+12),SAP_Spreadsheet!BP186,BP$7&lt;(SAP_Leadsheet!$E$21+12),$E325*BP186)</f>
        <v>6.908450871568766E-4</v>
      </c>
      <c r="BQ325" s="263" cm="1">
        <f t="array" aca="1" ref="BQ325" ca="1">_xlfn.IFS(BQ$7&gt;(SAP_Leadsheet!$E$21+12),0,BQ$7=(SAP_Leadsheet!$E$21+12),SAP_Spreadsheet!BQ186,BQ$7&lt;(SAP_Leadsheet!$E$21+12),$E325*BQ186)</f>
        <v>6.6775459434010957E-4</v>
      </c>
      <c r="BR325" s="263" cm="1">
        <f t="array" aca="1" ref="BR325" ca="1">_xlfn.IFS(BR$7&gt;(SAP_Leadsheet!$E$21+12),0,BR$7=(SAP_Leadsheet!$E$21+12),SAP_Spreadsheet!BR186,BR$7&lt;(SAP_Leadsheet!$E$21+12),$E325*BR186)</f>
        <v>6.4412049501656092E-4</v>
      </c>
      <c r="BS325" s="263" cm="1">
        <f t="array" aca="1" ref="BS325" ca="1">_xlfn.IFS(BS$7&gt;(SAP_Leadsheet!$E$21+12),0,BS$7=(SAP_Leadsheet!$E$21+12),SAP_Spreadsheet!BS186,BS$7&lt;(SAP_Leadsheet!$E$21+12),$E325*BS186)</f>
        <v>6.2022127948588139E-4</v>
      </c>
      <c r="BT325" s="263" cm="1">
        <f t="array" aca="1" ref="BT325" ca="1">_xlfn.IFS(BT$7&gt;(SAP_Leadsheet!$E$21+12),0,BT$7=(SAP_Leadsheet!$E$21+12),SAP_Spreadsheet!BT186,BT$7&lt;(SAP_Leadsheet!$E$21+12),$E325*BT186)</f>
        <v>0</v>
      </c>
      <c r="BU325" s="263" cm="1">
        <f t="array" aca="1" ref="BU325" ca="1">_xlfn.IFS(BU$7&gt;(SAP_Leadsheet!$E$21+12),0,BU$7=(SAP_Leadsheet!$E$21+12),SAP_Spreadsheet!BU186,BU$7&lt;(SAP_Leadsheet!$E$21+12),$E325*BU186)</f>
        <v>0</v>
      </c>
      <c r="BV325" s="263" cm="1">
        <f t="array" aca="1" ref="BV325" ca="1">_xlfn.IFS(BV$7&gt;(SAP_Leadsheet!$E$21+12),0,BV$7=(SAP_Leadsheet!$E$21+12),SAP_Spreadsheet!BV186,BV$7&lt;(SAP_Leadsheet!$E$21+12),$E325*BV186)</f>
        <v>0</v>
      </c>
      <c r="BW325" s="263" cm="1">
        <f t="array" aca="1" ref="BW325" ca="1">_xlfn.IFS(BW$7&gt;(SAP_Leadsheet!$E$21+12),0,BW$7=(SAP_Leadsheet!$E$21+12),SAP_Spreadsheet!BW186,BW$7&lt;(SAP_Leadsheet!$E$21+12),$E325*BW186)</f>
        <v>0</v>
      </c>
      <c r="BX325" s="263" cm="1">
        <f t="array" aca="1" ref="BX325" ca="1">_xlfn.IFS(BX$7&gt;(SAP_Leadsheet!$E$21+12),0,BX$7=(SAP_Leadsheet!$E$21+12),SAP_Spreadsheet!BX186,BX$7&lt;(SAP_Leadsheet!$E$21+12),$E325*BX186)</f>
        <v>0</v>
      </c>
      <c r="BY325" s="263" cm="1">
        <f t="array" aca="1" ref="BY325" ca="1">_xlfn.IFS(BY$7&gt;(SAP_Leadsheet!$E$21+12),0,BY$7=(SAP_Leadsheet!$E$21+12),SAP_Spreadsheet!BY186,BY$7&lt;(SAP_Leadsheet!$E$21+12),$E325*BY186)</f>
        <v>0</v>
      </c>
      <c r="BZ325" s="263" cm="1">
        <f t="array" aca="1" ref="BZ325" ca="1">_xlfn.IFS(BZ$7&gt;(SAP_Leadsheet!$E$21+12),0,BZ$7=(SAP_Leadsheet!$E$21+12),SAP_Spreadsheet!BZ186,BZ$7&lt;(SAP_Leadsheet!$E$21+12),$E325*BZ186)</f>
        <v>0</v>
      </c>
      <c r="CA325" s="263"/>
      <c r="CB325" s="263"/>
      <c r="CC325" s="263"/>
      <c r="CD325" s="263"/>
      <c r="CE325" s="263"/>
      <c r="CF325" s="263"/>
      <c r="CG325" s="263"/>
      <c r="CH325" s="263"/>
      <c r="CI325" s="263"/>
      <c r="CJ325" s="263"/>
      <c r="CK325" s="263"/>
      <c r="CL325" s="263"/>
      <c r="CM325" s="263"/>
      <c r="CN325" s="263"/>
      <c r="CO325" s="263"/>
      <c r="CP325" s="263"/>
      <c r="CQ325" s="263"/>
      <c r="CR325" s="263"/>
      <c r="CS325" s="263"/>
      <c r="CT325" s="263"/>
      <c r="CU325" s="263"/>
      <c r="CV325" s="263"/>
      <c r="CW325" s="263"/>
      <c r="CX325" s="263"/>
      <c r="CY325" s="263"/>
      <c r="CZ325" s="263"/>
      <c r="DA325" s="263"/>
      <c r="DB325" s="263"/>
      <c r="DC325" s="263"/>
      <c r="DD325" s="263"/>
      <c r="DE325" s="263"/>
      <c r="DF325" s="263"/>
      <c r="DG325" s="263"/>
      <c r="DH325" s="263"/>
      <c r="DI325" s="263"/>
      <c r="DJ325" s="263"/>
      <c r="DK325" s="263"/>
      <c r="DL325" s="263"/>
      <c r="DM325" s="263"/>
      <c r="DN325" s="263"/>
      <c r="DO325" s="263"/>
      <c r="DP325" s="263"/>
      <c r="DQ325" s="263"/>
      <c r="DR325" s="263"/>
      <c r="DS325" s="263"/>
      <c r="DT325" s="263"/>
      <c r="DU325" s="263"/>
      <c r="DV325" s="263"/>
      <c r="DW325" s="263"/>
      <c r="DX325" s="263"/>
      <c r="DY325" s="263"/>
      <c r="DZ325" s="263"/>
      <c r="EA325" s="263"/>
      <c r="EB325" s="263"/>
      <c r="EC325" s="263"/>
      <c r="ED325" s="263"/>
      <c r="EE325" s="263"/>
      <c r="EF325" s="263"/>
      <c r="EG325" s="263"/>
      <c r="EH325" s="263"/>
      <c r="EI325" s="263"/>
      <c r="EJ325" s="263"/>
      <c r="EK325" s="263"/>
      <c r="EL325" s="263"/>
      <c r="EM325" s="263"/>
      <c r="EN325" s="263"/>
      <c r="EO325" s="263"/>
      <c r="EP325" s="263"/>
      <c r="EQ325" s="263"/>
      <c r="ER325" s="263"/>
      <c r="ES325" s="263"/>
      <c r="ET325" s="263"/>
      <c r="EU325" s="263"/>
      <c r="EV325" s="263"/>
      <c r="EW325" s="263"/>
      <c r="EX325" s="263"/>
      <c r="EY325" s="263"/>
      <c r="EZ325" s="263"/>
      <c r="FA325" s="263"/>
      <c r="FB325" s="263"/>
      <c r="FC325" s="263"/>
      <c r="FD325" s="263"/>
      <c r="FE325" s="263"/>
      <c r="FF325" s="263"/>
      <c r="FG325" s="263"/>
      <c r="FH325" s="263"/>
      <c r="FI325" s="263"/>
      <c r="FJ325" s="263"/>
      <c r="FK325" s="263"/>
      <c r="FL325" s="263"/>
      <c r="FM325" s="263"/>
      <c r="FN325" s="263"/>
      <c r="FO325" s="263"/>
      <c r="FP325" s="263"/>
      <c r="FQ325" s="263"/>
      <c r="FR325" s="263"/>
      <c r="FS325" s="263"/>
      <c r="FT325" s="263"/>
      <c r="FU325" s="263"/>
      <c r="FV325" s="263"/>
      <c r="FW325" s="263"/>
      <c r="FX325" s="263"/>
      <c r="FY325" s="263"/>
      <c r="FZ325" s="263"/>
      <c r="GA325" s="263"/>
      <c r="GB325" s="263"/>
      <c r="GC325" s="263"/>
      <c r="GD325" s="263"/>
      <c r="GE325" s="263"/>
      <c r="GF325" s="263"/>
      <c r="GG325" s="263"/>
      <c r="GH325" s="263"/>
      <c r="GI325" s="263"/>
      <c r="GJ325" s="263"/>
      <c r="GK325" s="263"/>
      <c r="GL325" s="263"/>
      <c r="GM325" s="263"/>
      <c r="GN325" s="263"/>
      <c r="GO325" s="263"/>
      <c r="GP325" s="263"/>
      <c r="GQ325" s="263"/>
      <c r="GR325" s="263"/>
      <c r="GS325" s="263"/>
      <c r="GT325" s="263"/>
      <c r="GU325" s="263"/>
      <c r="GV325" s="263"/>
      <c r="GW325" s="263"/>
      <c r="GX325" s="263"/>
      <c r="GY325" s="263"/>
    </row>
    <row r="326" spans="1:207" x14ac:dyDescent="0.15">
      <c r="A326" s="62"/>
      <c r="C326" s="23"/>
      <c r="D326" s="26" t="s">
        <v>417</v>
      </c>
      <c r="E326" s="39">
        <v>0.20749999999999999</v>
      </c>
      <c r="F326" s="80"/>
      <c r="G326" s="263" cm="1">
        <f t="array" ref="G326">_xlfn.IFS(G$7&gt;(SAP_Leadsheet!$E$21+12),0,G$7=(SAP_Leadsheet!$E$21+12),SAP_Spreadsheet!G187,G$7&lt;(SAP_Leadsheet!$E$21+12),$E326*G187)</f>
        <v>0</v>
      </c>
      <c r="H326" s="263" cm="1">
        <f t="array" aca="1" ref="H326" ca="1">_xlfn.IFS(H$7&gt;(SAP_Leadsheet!$E$21+12),0,H$7=(SAP_Leadsheet!$E$21+12),SAP_Spreadsheet!H187,H$7&lt;(SAP_Leadsheet!$E$21+12),$E326*H187)</f>
        <v>0</v>
      </c>
      <c r="I326" s="263" cm="1">
        <f t="array" aca="1" ref="I326" ca="1">_xlfn.IFS(I$7&gt;(SAP_Leadsheet!$E$21+12),0,I$7=(SAP_Leadsheet!$E$21+12),SAP_Spreadsheet!I187,I$7&lt;(SAP_Leadsheet!$E$21+12),$E326*I187)</f>
        <v>0</v>
      </c>
      <c r="J326" s="263" cm="1">
        <f t="array" aca="1" ref="J326" ca="1">_xlfn.IFS(J$7&gt;(SAP_Leadsheet!$E$21+12),0,J$7=(SAP_Leadsheet!$E$21+12),SAP_Spreadsheet!J187,J$7&lt;(SAP_Leadsheet!$E$21+12),$E326*J187)</f>
        <v>0</v>
      </c>
      <c r="K326" s="263" cm="1">
        <f t="array" aca="1" ref="K326" ca="1">_xlfn.IFS(K$7&gt;(SAP_Leadsheet!$E$21+12),0,K$7=(SAP_Leadsheet!$E$21+12),SAP_Spreadsheet!K187,K$7&lt;(SAP_Leadsheet!$E$21+12),$E326*K187)</f>
        <v>0</v>
      </c>
      <c r="L326" s="263" cm="1">
        <f t="array" aca="1" ref="L326" ca="1">_xlfn.IFS(L$7&gt;(SAP_Leadsheet!$E$21+12),0,L$7=(SAP_Leadsheet!$E$21+12),SAP_Spreadsheet!L187,L$7&lt;(SAP_Leadsheet!$E$21+12),$E326*L187)</f>
        <v>0</v>
      </c>
      <c r="M326" s="263" cm="1">
        <f t="array" aca="1" ref="M326" ca="1">_xlfn.IFS(M$7&gt;(SAP_Leadsheet!$E$21+12),0,M$7=(SAP_Leadsheet!$E$21+12),SAP_Spreadsheet!M187,M$7&lt;(SAP_Leadsheet!$E$21+12),$E326*M187)</f>
        <v>5.0789671266765288E-3</v>
      </c>
      <c r="N326" s="263" cm="1">
        <f t="array" aca="1" ref="N326" ca="1">_xlfn.IFS(N$7&gt;(SAP_Leadsheet!$E$21+12),0,N$7=(SAP_Leadsheet!$E$21+12),SAP_Spreadsheet!N187,N$7&lt;(SAP_Leadsheet!$E$21+12),$E326*N187)</f>
        <v>8.952914500555029E-3</v>
      </c>
      <c r="O326" s="263" cm="1">
        <f t="array" aca="1" ref="O326" ca="1">_xlfn.IFS(O$7&gt;(SAP_Leadsheet!$E$21+12),0,O$7=(SAP_Leadsheet!$E$21+12),SAP_Spreadsheet!O187,O$7&lt;(SAP_Leadsheet!$E$21+12),$E326*O187)</f>
        <v>1.0531376235503636E-2</v>
      </c>
      <c r="P326" s="263" cm="1">
        <f t="array" aca="1" ref="P326" ca="1">_xlfn.IFS(P$7&gt;(SAP_Leadsheet!$E$21+12),0,P$7=(SAP_Leadsheet!$E$21+12),SAP_Spreadsheet!P187,P$7&lt;(SAP_Leadsheet!$E$21+12),$E326*P187)</f>
        <v>1.0476193871411365E-2</v>
      </c>
      <c r="Q326" s="263" cm="1">
        <f t="array" aca="1" ref="Q326" ca="1">_xlfn.IFS(Q$7&gt;(SAP_Leadsheet!$E$21+12),0,Q$7=(SAP_Leadsheet!$E$21+12),SAP_Spreadsheet!Q187,Q$7&lt;(SAP_Leadsheet!$E$21+12),$E326*Q187)</f>
        <v>9.6330730535851544E-3</v>
      </c>
      <c r="R326" s="263" cm="1">
        <f t="array" aca="1" ref="R326" ca="1">_xlfn.IFS(R$7&gt;(SAP_Leadsheet!$E$21+12),0,R$7=(SAP_Leadsheet!$E$21+12),SAP_Spreadsheet!R187,R$7&lt;(SAP_Leadsheet!$E$21+12),$E326*R187)</f>
        <v>8.5583267397702951E-3</v>
      </c>
      <c r="S326" s="263" cm="1">
        <f t="array" aca="1" ref="S326" ca="1">_xlfn.IFS(S$7&gt;(SAP_Leadsheet!$E$21+12),0,S$7=(SAP_Leadsheet!$E$21+12),SAP_Spreadsheet!S187,S$7&lt;(SAP_Leadsheet!$E$21+12),$E326*S187)</f>
        <v>7.2389273272829343E-3</v>
      </c>
      <c r="T326" s="263" cm="1">
        <f t="array" aca="1" ref="T326" ca="1">_xlfn.IFS(T$7&gt;(SAP_Leadsheet!$E$21+12),0,T$7=(SAP_Leadsheet!$E$21+12),SAP_Spreadsheet!T187,T$7&lt;(SAP_Leadsheet!$E$21+12),$E326*T187)</f>
        <v>6.2200759293126705E-3</v>
      </c>
      <c r="U326" s="263" cm="1">
        <f t="array" aca="1" ref="U326" ca="1">_xlfn.IFS(U$7&gt;(SAP_Leadsheet!$E$21+12),0,U$7=(SAP_Leadsheet!$E$21+12),SAP_Spreadsheet!U187,U$7&lt;(SAP_Leadsheet!$E$21+12),$E326*U187)</f>
        <v>5.3424041555962766E-3</v>
      </c>
      <c r="V326" s="263" cm="1">
        <f t="array" aca="1" ref="V326" ca="1">_xlfn.IFS(V$7&gt;(SAP_Leadsheet!$E$21+12),0,V$7=(SAP_Leadsheet!$E$21+12),SAP_Spreadsheet!V187,V$7&lt;(SAP_Leadsheet!$E$21+12),$E326*V187)</f>
        <v>4.5492343366746631E-3</v>
      </c>
      <c r="W326" s="263" cm="1">
        <f t="array" aca="1" ref="W326" ca="1">_xlfn.IFS(W$7&gt;(SAP_Leadsheet!$E$21+12),0,W$7=(SAP_Leadsheet!$E$21+12),SAP_Spreadsheet!W187,W$7&lt;(SAP_Leadsheet!$E$21+12),$E326*W187)</f>
        <v>3.8869939572690236E-3</v>
      </c>
      <c r="X326" s="263" cm="1">
        <f t="array" aca="1" ref="X326" ca="1">_xlfn.IFS(X$7&gt;(SAP_Leadsheet!$E$21+12),0,X$7=(SAP_Leadsheet!$E$21+12),SAP_Spreadsheet!X187,X$7&lt;(SAP_Leadsheet!$E$21+12),$E326*X187)</f>
        <v>1.9521508798175881E-3</v>
      </c>
      <c r="Y326" s="263" cm="1">
        <f t="array" aca="1" ref="Y326" ca="1">_xlfn.IFS(Y$7&gt;(SAP_Leadsheet!$E$21+12),0,Y$7=(SAP_Leadsheet!$E$21+12),SAP_Spreadsheet!Y187,Y$7&lt;(SAP_Leadsheet!$E$21+12),$E326*Y187)</f>
        <v>2.0040192647519462E-3</v>
      </c>
      <c r="Z326" s="263" cm="1">
        <f t="array" aca="1" ref="Z326" ca="1">_xlfn.IFS(Z$7&gt;(SAP_Leadsheet!$E$21+12),0,Z$7=(SAP_Leadsheet!$E$21+12),SAP_Spreadsheet!Z187,Z$7&lt;(SAP_Leadsheet!$E$21+12),$E326*Z187)</f>
        <v>2.3061594577063623E-3</v>
      </c>
      <c r="AA326" s="263" cm="1">
        <f t="array" aca="1" ref="AA326" ca="1">_xlfn.IFS(AA$7&gt;(SAP_Leadsheet!$E$21+12),0,AA$7=(SAP_Leadsheet!$E$21+12),SAP_Spreadsheet!AA187,AA$7&lt;(SAP_Leadsheet!$E$21+12),$E326*AA187)</f>
        <v>2.3781863318105062E-3</v>
      </c>
      <c r="AB326" s="263" cm="1">
        <f t="array" aca="1" ref="AB326" ca="1">_xlfn.IFS(AB$7&gt;(SAP_Leadsheet!$E$21+12),0,AB$7=(SAP_Leadsheet!$E$21+12),SAP_Spreadsheet!AB187,AB$7&lt;(SAP_Leadsheet!$E$21+12),$E326*AB187)</f>
        <v>2.2643815648178819E-3</v>
      </c>
      <c r="AC326" s="263" cm="1">
        <f t="array" aca="1" ref="AC326" ca="1">_xlfn.IFS(AC$7&gt;(SAP_Leadsheet!$E$21+12),0,AC$7=(SAP_Leadsheet!$E$21+12),SAP_Spreadsheet!AC187,AC$7&lt;(SAP_Leadsheet!$E$21+12),$E326*AC187)</f>
        <v>2.2931006196835356E-3</v>
      </c>
      <c r="AD326" s="263" cm="1">
        <f t="array" aca="1" ref="AD326" ca="1">_xlfn.IFS(AD$7&gt;(SAP_Leadsheet!$E$21+12),0,AD$7=(SAP_Leadsheet!$E$21+12),SAP_Spreadsheet!AD187,AD$7&lt;(SAP_Leadsheet!$E$21+12),$E326*AD187)</f>
        <v>2.3502862400723405E-3</v>
      </c>
      <c r="AE326" s="263" cm="1">
        <f t="array" aca="1" ref="AE326" ca="1">_xlfn.IFS(AE$7&gt;(SAP_Leadsheet!$E$21+12),0,AE$7=(SAP_Leadsheet!$E$21+12),SAP_Spreadsheet!AE187,AE$7&lt;(SAP_Leadsheet!$E$21+12),$E326*AE187)</f>
        <v>2.3967870110021918E-3</v>
      </c>
      <c r="AF326" s="263" cm="1">
        <f t="array" aca="1" ref="AF326" ca="1">_xlfn.IFS(AF$7&gt;(SAP_Leadsheet!$E$21+12),0,AF$7=(SAP_Leadsheet!$E$21+12),SAP_Spreadsheet!AF187,AF$7&lt;(SAP_Leadsheet!$E$21+12),$E326*AF187)</f>
        <v>2.4237793015507219E-3</v>
      </c>
      <c r="AG326" s="263" cm="1">
        <f t="array" aca="1" ref="AG326" ca="1">_xlfn.IFS(AG$7&gt;(SAP_Leadsheet!$E$21+12),0,AG$7=(SAP_Leadsheet!$E$21+12),SAP_Spreadsheet!AG187,AG$7&lt;(SAP_Leadsheet!$E$21+12),$E326*AG187)</f>
        <v>2.3395766120004242E-3</v>
      </c>
      <c r="AH326" s="263" cm="1">
        <f t="array" aca="1" ref="AH326" ca="1">_xlfn.IFS(AH$7&gt;(SAP_Leadsheet!$E$21+12),0,AH$7=(SAP_Leadsheet!$E$21+12),SAP_Spreadsheet!AH187,AH$7&lt;(SAP_Leadsheet!$E$21+12),$E326*AH187)</f>
        <v>2.1936212978991391E-3</v>
      </c>
      <c r="AI326" s="263" cm="1">
        <f t="array" aca="1" ref="AI326" ca="1">_xlfn.IFS(AI$7&gt;(SAP_Leadsheet!$E$21+12),0,AI$7=(SAP_Leadsheet!$E$21+12),SAP_Spreadsheet!AI187,AI$7&lt;(SAP_Leadsheet!$E$21+12),$E326*AI187)</f>
        <v>2.1348427890391548E-3</v>
      </c>
      <c r="AJ326" s="263" cm="1">
        <f t="array" aca="1" ref="AJ326" ca="1">_xlfn.IFS(AJ$7&gt;(SAP_Leadsheet!$E$21+12),0,AJ$7=(SAP_Leadsheet!$E$21+12),SAP_Spreadsheet!AJ187,AJ$7&lt;(SAP_Leadsheet!$E$21+12),$E326*AJ187)</f>
        <v>1.7465713656336348E-3</v>
      </c>
      <c r="AK326" s="263" cm="1">
        <f t="array" aca="1" ref="AK326" ca="1">_xlfn.IFS(AK$7&gt;(SAP_Leadsheet!$E$21+12),0,AK$7=(SAP_Leadsheet!$E$21+12),SAP_Spreadsheet!AK187,AK$7&lt;(SAP_Leadsheet!$E$21+12),$E326*AK187)</f>
        <v>1.7822544717839145E-3</v>
      </c>
      <c r="AL326" s="263" cm="1">
        <f t="array" aca="1" ref="AL326" ca="1">_xlfn.IFS(AL$7&gt;(SAP_Leadsheet!$E$21+12),0,AL$7=(SAP_Leadsheet!$E$21+12),SAP_Spreadsheet!AL187,AL$7&lt;(SAP_Leadsheet!$E$21+12),$E326*AL187)</f>
        <v>1.8918648963691836E-3</v>
      </c>
      <c r="AM326" s="263" cm="1">
        <f t="array" aca="1" ref="AM326" ca="1">_xlfn.IFS(AM$7&gt;(SAP_Leadsheet!$E$21+12),0,AM$7=(SAP_Leadsheet!$E$21+12),SAP_Spreadsheet!AM187,AM$7&lt;(SAP_Leadsheet!$E$21+12),$E326*AM187)</f>
        <v>1.9595690081407394E-3</v>
      </c>
      <c r="AN326" s="263" cm="1">
        <f t="array" aca="1" ref="AN326" ca="1">_xlfn.IFS(AN$7&gt;(SAP_Leadsheet!$E$21+12),0,AN$7=(SAP_Leadsheet!$E$21+12),SAP_Spreadsheet!AN187,AN$7&lt;(SAP_Leadsheet!$E$21+12),$E326*AN187)</f>
        <v>1.9692082028912178E-3</v>
      </c>
      <c r="AO326" s="263" cm="1">
        <f t="array" aca="1" ref="AO326" ca="1">_xlfn.IFS(AO$7&gt;(SAP_Leadsheet!$E$21+12),0,AO$7=(SAP_Leadsheet!$E$21+12),SAP_Spreadsheet!AO187,AO$7&lt;(SAP_Leadsheet!$E$21+12),$E326*AO187)</f>
        <v>1.9408606185754543E-3</v>
      </c>
      <c r="AP326" s="263" cm="1">
        <f t="array" aca="1" ref="AP326" ca="1">_xlfn.IFS(AP$7&gt;(SAP_Leadsheet!$E$21+12),0,AP$7=(SAP_Leadsheet!$E$21+12),SAP_Spreadsheet!AP187,AP$7&lt;(SAP_Leadsheet!$E$21+12),$E326*AP187)</f>
        <v>1.8957214319956952E-3</v>
      </c>
      <c r="AQ326" s="263" cm="1">
        <f t="array" aca="1" ref="AQ326" ca="1">_xlfn.IFS(AQ$7&gt;(SAP_Leadsheet!$E$21+12),0,AQ$7=(SAP_Leadsheet!$E$21+12),SAP_Spreadsheet!AQ187,AQ$7&lt;(SAP_Leadsheet!$E$21+12),$E326*AQ187)</f>
        <v>1.8459256295400117E-3</v>
      </c>
      <c r="AR326" s="263" cm="1">
        <f t="array" aca="1" ref="AR326" ca="1">_xlfn.IFS(AR$7&gt;(SAP_Leadsheet!$E$21+12),0,AR$7=(SAP_Leadsheet!$E$21+12),SAP_Spreadsheet!AR187,AR$7&lt;(SAP_Leadsheet!$E$21+12),$E326*AR187)</f>
        <v>1.8578475407395971E-3</v>
      </c>
      <c r="AS326" s="263" cm="1">
        <f t="array" aca="1" ref="AS326" ca="1">_xlfn.IFS(AS$7&gt;(SAP_Leadsheet!$E$21+12),0,AS$7=(SAP_Leadsheet!$E$21+12),SAP_Spreadsheet!AS187,AS$7&lt;(SAP_Leadsheet!$E$21+12),$E326*AS187)</f>
        <v>1.7995815939150588E-3</v>
      </c>
      <c r="AT326" s="263" cm="1">
        <f t="array" aca="1" ref="AT326" ca="1">_xlfn.IFS(AT$7&gt;(SAP_Leadsheet!$E$21+12),0,AT$7=(SAP_Leadsheet!$E$21+12),SAP_Spreadsheet!AT187,AT$7&lt;(SAP_Leadsheet!$E$21+12),$E326*AT187)</f>
        <v>1.7259664821639435E-3</v>
      </c>
      <c r="AU326" s="263" cm="1">
        <f t="array" aca="1" ref="AU326" ca="1">_xlfn.IFS(AU$7&gt;(SAP_Leadsheet!$E$21+12),0,AU$7=(SAP_Leadsheet!$E$21+12),SAP_Spreadsheet!AU187,AU$7&lt;(SAP_Leadsheet!$E$21+12),$E326*AU187)</f>
        <v>1.5981562561965938E-3</v>
      </c>
      <c r="AV326" s="263" cm="1">
        <f t="array" aca="1" ref="AV326" ca="1">_xlfn.IFS(AV$7&gt;(SAP_Leadsheet!$E$21+12),0,AV$7=(SAP_Leadsheet!$E$21+12),SAP_Spreadsheet!AV187,AV$7&lt;(SAP_Leadsheet!$E$21+12),$E326*AV187)</f>
        <v>1.2853391393983645E-3</v>
      </c>
      <c r="AW326" s="263" cm="1">
        <f t="array" aca="1" ref="AW326" ca="1">_xlfn.IFS(AW$7&gt;(SAP_Leadsheet!$E$21+12),0,AW$7=(SAP_Leadsheet!$E$21+12),SAP_Spreadsheet!AW187,AW$7&lt;(SAP_Leadsheet!$E$21+12),$E326*AW187)</f>
        <v>1.2568875717628789E-3</v>
      </c>
      <c r="AX326" s="263" cm="1">
        <f t="array" aca="1" ref="AX326" ca="1">_xlfn.IFS(AX$7&gt;(SAP_Leadsheet!$E$21+12),0,AX$7=(SAP_Leadsheet!$E$21+12),SAP_Spreadsheet!AX187,AX$7&lt;(SAP_Leadsheet!$E$21+12),$E326*AX187)</f>
        <v>1.2336361257586103E-3</v>
      </c>
      <c r="AY326" s="263" cm="1">
        <f t="array" aca="1" ref="AY326" ca="1">_xlfn.IFS(AY$7&gt;(SAP_Leadsheet!$E$21+12),0,AY$7=(SAP_Leadsheet!$E$21+12),SAP_Spreadsheet!AY187,AY$7&lt;(SAP_Leadsheet!$E$21+12),$E326*AY187)</f>
        <v>1.212900756018515E-3</v>
      </c>
      <c r="AZ326" s="263" cm="1">
        <f t="array" aca="1" ref="AZ326" ca="1">_xlfn.IFS(AZ$7&gt;(SAP_Leadsheet!$E$21+12),0,AZ$7=(SAP_Leadsheet!$E$21+12),SAP_Spreadsheet!AZ187,AZ$7&lt;(SAP_Leadsheet!$E$21+12),$E326*AZ187)</f>
        <v>1.1926710214680638E-3</v>
      </c>
      <c r="BA326" s="263" cm="1">
        <f t="array" aca="1" ref="BA326" ca="1">_xlfn.IFS(BA$7&gt;(SAP_Leadsheet!$E$21+12),0,BA$7=(SAP_Leadsheet!$E$21+12),SAP_Spreadsheet!BA187,BA$7&lt;(SAP_Leadsheet!$E$21+12),$E326*BA187)</f>
        <v>1.1721782458347686E-3</v>
      </c>
      <c r="BB326" s="263" cm="1">
        <f t="array" aca="1" ref="BB326" ca="1">_xlfn.IFS(BB$7&gt;(SAP_Leadsheet!$E$21+12),0,BB$7=(SAP_Leadsheet!$E$21+12),SAP_Spreadsheet!BB187,BB$7&lt;(SAP_Leadsheet!$E$21+12),$E326*BB187)</f>
        <v>1.1513121035671579E-3</v>
      </c>
      <c r="BC326" s="263" cm="1">
        <f t="array" aca="1" ref="BC326" ca="1">_xlfn.IFS(BC$7&gt;(SAP_Leadsheet!$E$21+12),0,BC$7=(SAP_Leadsheet!$E$21+12),SAP_Spreadsheet!BC187,BC$7&lt;(SAP_Leadsheet!$E$21+12),$E326*BC187)</f>
        <v>1.1299036927250074E-3</v>
      </c>
      <c r="BD326" s="263" cm="1">
        <f t="array" aca="1" ref="BD326" ca="1">_xlfn.IFS(BD$7&gt;(SAP_Leadsheet!$E$21+12),0,BD$7=(SAP_Leadsheet!$E$21+12),SAP_Spreadsheet!BD187,BD$7&lt;(SAP_Leadsheet!$E$21+12),$E326*BD187)</f>
        <v>1.1076899819615392E-3</v>
      </c>
      <c r="BE326" s="263" cm="1">
        <f t="array" aca="1" ref="BE326" ca="1">_xlfn.IFS(BE$7&gt;(SAP_Leadsheet!$E$21+12),0,BE$7=(SAP_Leadsheet!$E$21+12),SAP_Spreadsheet!BE187,BE$7&lt;(SAP_Leadsheet!$E$21+12),$E326*BE187)</f>
        <v>1.0838111724048318E-3</v>
      </c>
      <c r="BF326" s="263" cm="1">
        <f t="array" aca="1" ref="BF326" ca="1">_xlfn.IFS(BF$7&gt;(SAP_Leadsheet!$E$21+12),0,BF$7=(SAP_Leadsheet!$E$21+12),SAP_Spreadsheet!BF187,BF$7&lt;(SAP_Leadsheet!$E$21+12),$E326*BF187)</f>
        <v>1.0574700786311799E-3</v>
      </c>
      <c r="BG326" s="263" cm="1">
        <f t="array" aca="1" ref="BG326" ca="1">_xlfn.IFS(BG$7&gt;(SAP_Leadsheet!$E$21+12),0,BG$7=(SAP_Leadsheet!$E$21+12),SAP_Spreadsheet!BG187,BG$7&lt;(SAP_Leadsheet!$E$21+12),$E326*BG187)</f>
        <v>1.0294631690855923E-3</v>
      </c>
      <c r="BH326" s="263" cm="1">
        <f t="array" aca="1" ref="BH326" ca="1">_xlfn.IFS(BH$7&gt;(SAP_Leadsheet!$E$21+12),0,BH$7=(SAP_Leadsheet!$E$21+12),SAP_Spreadsheet!BH187,BH$7&lt;(SAP_Leadsheet!$E$21+12),$E326*BH187)</f>
        <v>8.8062022337455023E-4</v>
      </c>
      <c r="BI326" s="263" cm="1">
        <f t="array" aca="1" ref="BI326" ca="1">_xlfn.IFS(BI$7&gt;(SAP_Leadsheet!$E$21+12),0,BI$7=(SAP_Leadsheet!$E$21+12),SAP_Spreadsheet!BI187,BI$7&lt;(SAP_Leadsheet!$E$21+12),$E326*BI187)</f>
        <v>8.5854814385092455E-4</v>
      </c>
      <c r="BJ326" s="263" cm="1">
        <f t="array" aca="1" ref="BJ326" ca="1">_xlfn.IFS(BJ$7&gt;(SAP_Leadsheet!$E$21+12),0,BJ$7=(SAP_Leadsheet!$E$21+12),SAP_Spreadsheet!BJ187,BJ$7&lt;(SAP_Leadsheet!$E$21+12),$E326*BJ187)</f>
        <v>8.3653058840704145E-4</v>
      </c>
      <c r="BK326" s="263" cm="1">
        <f t="array" aca="1" ref="BK326" ca="1">_xlfn.IFS(BK$7&gt;(SAP_Leadsheet!$E$21+12),0,BK$7=(SAP_Leadsheet!$E$21+12),SAP_Spreadsheet!BK187,BK$7&lt;(SAP_Leadsheet!$E$21+12),$E326*BK187)</f>
        <v>8.1470793323485682E-4</v>
      </c>
      <c r="BL326" s="263" cm="1">
        <f t="array" aca="1" ref="BL326" ca="1">_xlfn.IFS(BL$7&gt;(SAP_Leadsheet!$E$21+12),0,BL$7=(SAP_Leadsheet!$E$21+12),SAP_Spreadsheet!BL187,BL$7&lt;(SAP_Leadsheet!$E$21+12),$E326*BL187)</f>
        <v>7.9298823776609696E-4</v>
      </c>
      <c r="BM326" s="263" cm="1">
        <f t="array" aca="1" ref="BM326" ca="1">_xlfn.IFS(BM$7&gt;(SAP_Leadsheet!$E$21+12),0,BM$7=(SAP_Leadsheet!$E$21+12),SAP_Spreadsheet!BM187,BM$7&lt;(SAP_Leadsheet!$E$21+12),$E326*BM187)</f>
        <v>7.713151130749774E-4</v>
      </c>
      <c r="BN326" s="263" cm="1">
        <f t="array" aca="1" ref="BN326" ca="1">_xlfn.IFS(BN$7&gt;(SAP_Leadsheet!$E$21+12),0,BN$7=(SAP_Leadsheet!$E$21+12),SAP_Spreadsheet!BN187,BN$7&lt;(SAP_Leadsheet!$E$21+12),$E326*BN187)</f>
        <v>7.4962041921210144E-4</v>
      </c>
      <c r="BO326" s="263" cm="1">
        <f t="array" aca="1" ref="BO326" ca="1">_xlfn.IFS(BO$7&gt;(SAP_Leadsheet!$E$21+12),0,BO$7=(SAP_Leadsheet!$E$21+12),SAP_Spreadsheet!BO187,BO$7&lt;(SAP_Leadsheet!$E$21+12),$E326*BO187)</f>
        <v>7.2787111559528719E-4</v>
      </c>
      <c r="BP326" s="263" cm="1">
        <f t="array" aca="1" ref="BP326" ca="1">_xlfn.IFS(BP$7&gt;(SAP_Leadsheet!$E$21+12),0,BP$7=(SAP_Leadsheet!$E$21+12),SAP_Spreadsheet!BP187,BP$7&lt;(SAP_Leadsheet!$E$21+12),$E326*BP187)</f>
        <v>7.0606207601527277E-4</v>
      </c>
      <c r="BQ326" s="263" cm="1">
        <f t="array" aca="1" ref="BQ326" ca="1">_xlfn.IFS(BQ$7&gt;(SAP_Leadsheet!$E$21+12),0,BQ$7=(SAP_Leadsheet!$E$21+12),SAP_Spreadsheet!BQ187,BQ$7&lt;(SAP_Leadsheet!$E$21+12),$E326*BQ187)</f>
        <v>6.8393663628530776E-4</v>
      </c>
      <c r="BR326" s="263" cm="1">
        <f t="array" aca="1" ref="BR326" ca="1">_xlfn.IFS(BR$7&gt;(SAP_Leadsheet!$E$21+12),0,BR$7=(SAP_Leadsheet!$E$21+12),SAP_Spreadsheet!BR187,BR$7&lt;(SAP_Leadsheet!$E$21+12),$E326*BR187)</f>
        <v>6.6107704839670845E-4</v>
      </c>
      <c r="BS326" s="263" cm="1">
        <f t="array" aca="1" ref="BS326" ca="1">_xlfn.IFS(BS$7&gt;(SAP_Leadsheet!$E$21+12),0,BS$7=(SAP_Leadsheet!$E$21+12),SAP_Spreadsheet!BS187,BS$7&lt;(SAP_Leadsheet!$E$21+12),$E326*BS187)</f>
        <v>6.3767929006639532E-4</v>
      </c>
      <c r="BT326" s="263" cm="1">
        <f t="array" aca="1" ref="BT326" ca="1">_xlfn.IFS(BT$7&gt;(SAP_Leadsheet!$E$21+12),0,BT$7=(SAP_Leadsheet!$E$21+12),SAP_Spreadsheet!BT187,BT$7&lt;(SAP_Leadsheet!$E$21+12),$E326*BT187)</f>
        <v>6.1401906669102254E-4</v>
      </c>
      <c r="BU326" s="263" cm="1">
        <f t="array" aca="1" ref="BU326" ca="1">_xlfn.IFS(BU$7&gt;(SAP_Leadsheet!$E$21+12),0,BU$7=(SAP_Leadsheet!$E$21+12),SAP_Spreadsheet!BU187,BU$7&lt;(SAP_Leadsheet!$E$21+12),$E326*BU187)</f>
        <v>0</v>
      </c>
      <c r="BV326" s="263" cm="1">
        <f t="array" aca="1" ref="BV326" ca="1">_xlfn.IFS(BV$7&gt;(SAP_Leadsheet!$E$21+12),0,BV$7=(SAP_Leadsheet!$E$21+12),SAP_Spreadsheet!BV187,BV$7&lt;(SAP_Leadsheet!$E$21+12),$E326*BV187)</f>
        <v>0</v>
      </c>
      <c r="BW326" s="263" cm="1">
        <f t="array" aca="1" ref="BW326" ca="1">_xlfn.IFS(BW$7&gt;(SAP_Leadsheet!$E$21+12),0,BW$7=(SAP_Leadsheet!$E$21+12),SAP_Spreadsheet!BW187,BW$7&lt;(SAP_Leadsheet!$E$21+12),$E326*BW187)</f>
        <v>0</v>
      </c>
      <c r="BX326" s="263" cm="1">
        <f t="array" aca="1" ref="BX326" ca="1">_xlfn.IFS(BX$7&gt;(SAP_Leadsheet!$E$21+12),0,BX$7=(SAP_Leadsheet!$E$21+12),SAP_Spreadsheet!BX187,BX$7&lt;(SAP_Leadsheet!$E$21+12),$E326*BX187)</f>
        <v>0</v>
      </c>
      <c r="BY326" s="263" cm="1">
        <f t="array" aca="1" ref="BY326" ca="1">_xlfn.IFS(BY$7&gt;(SAP_Leadsheet!$E$21+12),0,BY$7=(SAP_Leadsheet!$E$21+12),SAP_Spreadsheet!BY187,BY$7&lt;(SAP_Leadsheet!$E$21+12),$E326*BY187)</f>
        <v>0</v>
      </c>
      <c r="BZ326" s="263" cm="1">
        <f t="array" aca="1" ref="BZ326" ca="1">_xlfn.IFS(BZ$7&gt;(SAP_Leadsheet!$E$21+12),0,BZ$7=(SAP_Leadsheet!$E$21+12),SAP_Spreadsheet!BZ187,BZ$7&lt;(SAP_Leadsheet!$E$21+12),$E326*BZ187)</f>
        <v>0</v>
      </c>
      <c r="CA326" s="263"/>
      <c r="CB326" s="263"/>
      <c r="CC326" s="263"/>
      <c r="CD326" s="263"/>
      <c r="CE326" s="263"/>
      <c r="CF326" s="263"/>
      <c r="CG326" s="263"/>
      <c r="CH326" s="263"/>
      <c r="CI326" s="263"/>
      <c r="CJ326" s="263"/>
      <c r="CK326" s="263"/>
      <c r="CL326" s="263"/>
      <c r="CM326" s="263"/>
      <c r="CN326" s="263"/>
      <c r="CO326" s="263"/>
      <c r="CP326" s="263"/>
      <c r="CQ326" s="263"/>
      <c r="CR326" s="263"/>
      <c r="CS326" s="263"/>
      <c r="CT326" s="263"/>
      <c r="CU326" s="263"/>
      <c r="CV326" s="263"/>
      <c r="CW326" s="263"/>
      <c r="CX326" s="263"/>
      <c r="CY326" s="263"/>
      <c r="CZ326" s="263"/>
      <c r="DA326" s="263"/>
      <c r="DB326" s="263"/>
      <c r="DC326" s="263"/>
      <c r="DD326" s="263"/>
      <c r="DE326" s="263"/>
      <c r="DF326" s="263"/>
      <c r="DG326" s="263"/>
      <c r="DH326" s="263"/>
      <c r="DI326" s="263"/>
      <c r="DJ326" s="263"/>
      <c r="DK326" s="263"/>
      <c r="DL326" s="263"/>
      <c r="DM326" s="263"/>
      <c r="DN326" s="263"/>
      <c r="DO326" s="263"/>
      <c r="DP326" s="263"/>
      <c r="DQ326" s="263"/>
      <c r="DR326" s="263"/>
      <c r="DS326" s="263"/>
      <c r="DT326" s="263"/>
      <c r="DU326" s="263"/>
      <c r="DV326" s="263"/>
      <c r="DW326" s="263"/>
      <c r="DX326" s="263"/>
      <c r="DY326" s="263"/>
      <c r="DZ326" s="263"/>
      <c r="EA326" s="263"/>
      <c r="EB326" s="263"/>
      <c r="EC326" s="263"/>
      <c r="ED326" s="263"/>
      <c r="EE326" s="263"/>
      <c r="EF326" s="263"/>
      <c r="EG326" s="263"/>
      <c r="EH326" s="263"/>
      <c r="EI326" s="263"/>
      <c r="EJ326" s="263"/>
      <c r="EK326" s="263"/>
      <c r="EL326" s="263"/>
      <c r="EM326" s="263"/>
      <c r="EN326" s="263"/>
      <c r="EO326" s="263"/>
      <c r="EP326" s="263"/>
      <c r="EQ326" s="263"/>
      <c r="ER326" s="263"/>
      <c r="ES326" s="263"/>
      <c r="ET326" s="263"/>
      <c r="EU326" s="263"/>
      <c r="EV326" s="263"/>
      <c r="EW326" s="263"/>
      <c r="EX326" s="263"/>
      <c r="EY326" s="263"/>
      <c r="EZ326" s="263"/>
      <c r="FA326" s="263"/>
      <c r="FB326" s="263"/>
      <c r="FC326" s="263"/>
      <c r="FD326" s="263"/>
      <c r="FE326" s="263"/>
      <c r="FF326" s="263"/>
      <c r="FG326" s="263"/>
      <c r="FH326" s="263"/>
      <c r="FI326" s="263"/>
      <c r="FJ326" s="263"/>
      <c r="FK326" s="263"/>
      <c r="FL326" s="263"/>
      <c r="FM326" s="263"/>
      <c r="FN326" s="263"/>
      <c r="FO326" s="263"/>
      <c r="FP326" s="263"/>
      <c r="FQ326" s="263"/>
      <c r="FR326" s="263"/>
      <c r="FS326" s="263"/>
      <c r="FT326" s="263"/>
      <c r="FU326" s="263"/>
      <c r="FV326" s="263"/>
      <c r="FW326" s="263"/>
      <c r="FX326" s="263"/>
      <c r="FY326" s="263"/>
      <c r="FZ326" s="263"/>
      <c r="GA326" s="263"/>
      <c r="GB326" s="263"/>
      <c r="GC326" s="263"/>
      <c r="GD326" s="263"/>
      <c r="GE326" s="263"/>
      <c r="GF326" s="263"/>
      <c r="GG326" s="263"/>
      <c r="GH326" s="263"/>
      <c r="GI326" s="263"/>
      <c r="GJ326" s="263"/>
      <c r="GK326" s="263"/>
      <c r="GL326" s="263"/>
      <c r="GM326" s="263"/>
      <c r="GN326" s="263"/>
      <c r="GO326" s="263"/>
      <c r="GP326" s="263"/>
      <c r="GQ326" s="263"/>
      <c r="GR326" s="263"/>
      <c r="GS326" s="263"/>
      <c r="GT326" s="263"/>
      <c r="GU326" s="263"/>
      <c r="GV326" s="263"/>
      <c r="GW326" s="263"/>
      <c r="GX326" s="263"/>
      <c r="GY326" s="263"/>
    </row>
    <row r="327" spans="1:207" x14ac:dyDescent="0.15">
      <c r="A327" s="62"/>
      <c r="C327" s="23"/>
      <c r="D327" s="26" t="s">
        <v>418</v>
      </c>
      <c r="E327" s="39">
        <v>0.50749999999999995</v>
      </c>
      <c r="F327" s="80"/>
      <c r="G327" s="263" cm="1">
        <f t="array" ref="G327">_xlfn.IFS(G$7&gt;(SAP_Leadsheet!$E$21+12),0,G$7=(SAP_Leadsheet!$E$21+12),SAP_Spreadsheet!G188,G$7&lt;(SAP_Leadsheet!$E$21+12),$E327*G188)</f>
        <v>0</v>
      </c>
      <c r="H327" s="263" cm="1">
        <f t="array" aca="1" ref="H327" ca="1">_xlfn.IFS(H$7&gt;(SAP_Leadsheet!$E$21+12),0,H$7=(SAP_Leadsheet!$E$21+12),SAP_Spreadsheet!H188,H$7&lt;(SAP_Leadsheet!$E$21+12),$E327*H188)</f>
        <v>0</v>
      </c>
      <c r="I327" s="263" cm="1">
        <f t="array" aca="1" ref="I327" ca="1">_xlfn.IFS(I$7&gt;(SAP_Leadsheet!$E$21+12),0,I$7=(SAP_Leadsheet!$E$21+12),SAP_Spreadsheet!I188,I$7&lt;(SAP_Leadsheet!$E$21+12),$E327*I188)</f>
        <v>0</v>
      </c>
      <c r="J327" s="263" cm="1">
        <f t="array" aca="1" ref="J327" ca="1">_xlfn.IFS(J$7&gt;(SAP_Leadsheet!$E$21+12),0,J$7=(SAP_Leadsheet!$E$21+12),SAP_Spreadsheet!J188,J$7&lt;(SAP_Leadsheet!$E$21+12),$E327*J188)</f>
        <v>0</v>
      </c>
      <c r="K327" s="263" cm="1">
        <f t="array" aca="1" ref="K327" ca="1">_xlfn.IFS(K$7&gt;(SAP_Leadsheet!$E$21+12),0,K$7=(SAP_Leadsheet!$E$21+12),SAP_Spreadsheet!K188,K$7&lt;(SAP_Leadsheet!$E$21+12),$E327*K188)</f>
        <v>0</v>
      </c>
      <c r="L327" s="263" cm="1">
        <f t="array" aca="1" ref="L327" ca="1">_xlfn.IFS(L$7&gt;(SAP_Leadsheet!$E$21+12),0,L$7=(SAP_Leadsheet!$E$21+12),SAP_Spreadsheet!L188,L$7&lt;(SAP_Leadsheet!$E$21+12),$E327*L188)</f>
        <v>0</v>
      </c>
      <c r="M327" s="263" cm="1">
        <f t="array" aca="1" ref="M327" ca="1">_xlfn.IFS(M$7&gt;(SAP_Leadsheet!$E$21+12),0,M$7=(SAP_Leadsheet!$E$21+12),SAP_Spreadsheet!M188,M$7&lt;(SAP_Leadsheet!$E$21+12),$E327*M188)</f>
        <v>0</v>
      </c>
      <c r="N327" s="263" cm="1">
        <f t="array" aca="1" ref="N327" ca="1">_xlfn.IFS(N$7&gt;(SAP_Leadsheet!$E$21+12),0,N$7=(SAP_Leadsheet!$E$21+12),SAP_Spreadsheet!N188,N$7&lt;(SAP_Leadsheet!$E$21+12),$E327*N188)</f>
        <v>1.2337873122556907E-2</v>
      </c>
      <c r="O327" s="263" cm="1">
        <f t="array" aca="1" ref="O327" ca="1">_xlfn.IFS(O$7&gt;(SAP_Leadsheet!$E$21+12),0,O$7=(SAP_Leadsheet!$E$21+12),SAP_Spreadsheet!O188,O$7&lt;(SAP_Leadsheet!$E$21+12),$E327*O188)</f>
        <v>2.1748501305466888E-2</v>
      </c>
      <c r="P327" s="263" cm="1">
        <f t="array" aca="1" ref="P327" ca="1">_xlfn.IFS(P$7&gt;(SAP_Leadsheet!$E$21+12),0,P$7=(SAP_Leadsheet!$E$21+12),SAP_Spreadsheet!P188,P$7&lt;(SAP_Leadsheet!$E$21+12),$E327*P188)</f>
        <v>2.5582914903522703E-2</v>
      </c>
      <c r="Q327" s="263" cm="1">
        <f t="array" aca="1" ref="Q327" ca="1">_xlfn.IFS(Q$7&gt;(SAP_Leadsheet!$E$21+12),0,Q$7=(SAP_Leadsheet!$E$21+12),SAP_Spreadsheet!Q188,Q$7&lt;(SAP_Leadsheet!$E$21+12),$E327*Q188)</f>
        <v>2.5448865402946649E-2</v>
      </c>
      <c r="R327" s="263" cm="1">
        <f t="array" aca="1" ref="R327" ca="1">_xlfn.IFS(R$7&gt;(SAP_Leadsheet!$E$21+12),0,R$7=(SAP_Leadsheet!$E$21+12),SAP_Spreadsheet!R188,R$7&lt;(SAP_Leadsheet!$E$21+12),$E327*R188)</f>
        <v>2.3400748646551523E-2</v>
      </c>
      <c r="S327" s="263" cm="1">
        <f t="array" aca="1" ref="S327" ca="1">_xlfn.IFS(S$7&gt;(SAP_Leadsheet!$E$21+12),0,S$7=(SAP_Leadsheet!$E$21+12),SAP_Spreadsheet!S188,S$7&lt;(SAP_Leadsheet!$E$21+12),$E327*S188)</f>
        <v>2.065249972606303E-2</v>
      </c>
      <c r="T327" s="263" cm="1">
        <f t="array" aca="1" ref="T327" ca="1">_xlfn.IFS(T$7&gt;(SAP_Leadsheet!$E$21+12),0,T$7=(SAP_Leadsheet!$E$21+12),SAP_Spreadsheet!T188,T$7&lt;(SAP_Leadsheet!$E$21+12),$E327*T188)</f>
        <v>1.7468595110884208E-2</v>
      </c>
      <c r="U327" s="263" cm="1">
        <f t="array" aca="1" ref="U327" ca="1">_xlfn.IFS(U$7&gt;(SAP_Leadsheet!$E$21+12),0,U$7=(SAP_Leadsheet!$E$21+12),SAP_Spreadsheet!U188,U$7&lt;(SAP_Leadsheet!$E$21+12),$E327*U188)</f>
        <v>1.5009957008216425E-2</v>
      </c>
      <c r="V327" s="263" cm="1">
        <f t="array" aca="1" ref="V327" ca="1">_xlfn.IFS(V$7&gt;(SAP_Leadsheet!$E$21+12),0,V$7=(SAP_Leadsheet!$E$21+12),SAP_Spreadsheet!V188,V$7&lt;(SAP_Leadsheet!$E$21+12),$E327*V188)</f>
        <v>1.2892006079558892E-2</v>
      </c>
      <c r="W327" s="263" cm="1">
        <f t="array" aca="1" ref="W327" ca="1">_xlfn.IFS(W$7&gt;(SAP_Leadsheet!$E$21+12),0,W$7=(SAP_Leadsheet!$E$21+12),SAP_Spreadsheet!W188,W$7&lt;(SAP_Leadsheet!$E$21+12),$E327*W188)</f>
        <v>1.0977970781995604E-2</v>
      </c>
      <c r="X327" s="263" cm="1">
        <f t="array" aca="1" ref="X327" ca="1">_xlfn.IFS(X$7&gt;(SAP_Leadsheet!$E$21+12),0,X$7=(SAP_Leadsheet!$E$21+12),SAP_Spreadsheet!X188,X$7&lt;(SAP_Leadsheet!$E$21+12),$E327*X188)</f>
        <v>9.379887456816326E-3</v>
      </c>
      <c r="Y327" s="263" cm="1">
        <f t="array" aca="1" ref="Y327" ca="1">_xlfn.IFS(Y$7&gt;(SAP_Leadsheet!$E$21+12),0,Y$7=(SAP_Leadsheet!$E$21+12),SAP_Spreadsheet!Y188,Y$7&lt;(SAP_Leadsheet!$E$21+12),$E327*Y188)</f>
        <v>4.7108268633067564E-3</v>
      </c>
      <c r="Z327" s="263" cm="1">
        <f t="array" aca="1" ref="Z327" ca="1">_xlfn.IFS(Z$7&gt;(SAP_Leadsheet!$E$21+12),0,Z$7=(SAP_Leadsheet!$E$21+12),SAP_Spreadsheet!Z188,Z$7&lt;(SAP_Leadsheet!$E$21+12),$E327*Z188)</f>
        <v>4.8359928961330418E-3</v>
      </c>
      <c r="AA327" s="263" cm="1">
        <f t="array" aca="1" ref="AA327" ca="1">_xlfn.IFS(AA$7&gt;(SAP_Leadsheet!$E$21+12),0,AA$7=(SAP_Leadsheet!$E$21+12),SAP_Spreadsheet!AA188,AA$7&lt;(SAP_Leadsheet!$E$21+12),$E327*AA188)</f>
        <v>5.565101569120115E-3</v>
      </c>
      <c r="AB327" s="263" cm="1">
        <f t="array" aca="1" ref="AB327" ca="1">_xlfn.IFS(AB$7&gt;(SAP_Leadsheet!$E$21+12),0,AB$7=(SAP_Leadsheet!$E$21+12),SAP_Spreadsheet!AB188,AB$7&lt;(SAP_Leadsheet!$E$21+12),$E327*AB188)</f>
        <v>5.7389129977948898E-3</v>
      </c>
      <c r="AC327" s="263" cm="1">
        <f t="array" aca="1" ref="AC327" ca="1">_xlfn.IFS(AC$7&gt;(SAP_Leadsheet!$E$21+12),0,AC$7=(SAP_Leadsheet!$E$21+12),SAP_Spreadsheet!AC188,AC$7&lt;(SAP_Leadsheet!$E$21+12),$E327*AC188)</f>
        <v>5.4642853759937953E-3</v>
      </c>
      <c r="AD327" s="263" cm="1">
        <f t="array" aca="1" ref="AD327" ca="1">_xlfn.IFS(AD$7&gt;(SAP_Leadsheet!$E$21+12),0,AD$7=(SAP_Leadsheet!$E$21+12),SAP_Spreadsheet!AD188,AD$7&lt;(SAP_Leadsheet!$E$21+12),$E327*AD188)</f>
        <v>5.5335886744983373E-3</v>
      </c>
      <c r="AE327" s="263" cm="1">
        <f t="array" aca="1" ref="AE327" ca="1">_xlfn.IFS(AE$7&gt;(SAP_Leadsheet!$E$21+12),0,AE$7=(SAP_Leadsheet!$E$21+12),SAP_Spreadsheet!AE188,AE$7&lt;(SAP_Leadsheet!$E$21+12),$E327*AE188)</f>
        <v>5.6908075381607017E-3</v>
      </c>
      <c r="AF327" s="263" cm="1">
        <f t="array" aca="1" ref="AF327" ca="1">_xlfn.IFS(AF$7&gt;(SAP_Leadsheet!$E$21+12),0,AF$7=(SAP_Leadsheet!$E$21+12),SAP_Spreadsheet!AF188,AF$7&lt;(SAP_Leadsheet!$E$21+12),$E327*AF188)</f>
        <v>5.8034010313386805E-3</v>
      </c>
      <c r="AG327" s="263" cm="1">
        <f t="array" aca="1" ref="AG327" ca="1">_xlfn.IFS(AG$7&gt;(SAP_Leadsheet!$E$21+12),0,AG$7=(SAP_Leadsheet!$E$21+12),SAP_Spreadsheet!AG188,AG$7&lt;(SAP_Leadsheet!$E$21+12),$E327*AG188)</f>
        <v>5.8687581473813076E-3</v>
      </c>
      <c r="AH327" s="263" cm="1">
        <f t="array" aca="1" ref="AH327" ca="1">_xlfn.IFS(AH$7&gt;(SAP_Leadsheet!$E$21+12),0,AH$7=(SAP_Leadsheet!$E$21+12),SAP_Spreadsheet!AH188,AH$7&lt;(SAP_Leadsheet!$E$21+12),$E327*AH188)</f>
        <v>5.6648760447436776E-3</v>
      </c>
      <c r="AI327" s="263" cm="1">
        <f t="array" aca="1" ref="AI327" ca="1">_xlfn.IFS(AI$7&gt;(SAP_Leadsheet!$E$21+12),0,AI$7=(SAP_Leadsheet!$E$21+12),SAP_Spreadsheet!AI188,AI$7&lt;(SAP_Leadsheet!$E$21+12),$E327*AI188)</f>
        <v>5.3114707498649388E-3</v>
      </c>
      <c r="AJ327" s="263" cm="1">
        <f t="array" aca="1" ref="AJ327" ca="1">_xlfn.IFS(AJ$7&gt;(SAP_Leadsheet!$E$21+12),0,AJ$7=(SAP_Leadsheet!$E$21+12),SAP_Spreadsheet!AJ188,AJ$7&lt;(SAP_Leadsheet!$E$21+12),$E327*AJ188)</f>
        <v>5.1691488591951683E-3</v>
      </c>
      <c r="AK327" s="263" cm="1">
        <f t="array" aca="1" ref="AK327" ca="1">_xlfn.IFS(AK$7&gt;(SAP_Leadsheet!$E$21+12),0,AK$7=(SAP_Leadsheet!$E$21+12),SAP_Spreadsheet!AK188,AK$7&lt;(SAP_Leadsheet!$E$21+12),$E327*AK188)</f>
        <v>4.2290174379685736E-3</v>
      </c>
      <c r="AL327" s="263" cm="1">
        <f t="array" aca="1" ref="AL327" ca="1">_xlfn.IFS(AL$7&gt;(SAP_Leadsheet!$E$21+12),0,AL$7=(SAP_Leadsheet!$E$21+12),SAP_Spreadsheet!AL188,AL$7&lt;(SAP_Leadsheet!$E$21+12),$E327*AL188)</f>
        <v>4.3154178457158222E-3</v>
      </c>
      <c r="AM327" s="263" cm="1">
        <f t="array" aca="1" ref="AM327" ca="1">_xlfn.IFS(AM$7&gt;(SAP_Leadsheet!$E$21+12),0,AM$7=(SAP_Leadsheet!$E$21+12),SAP_Spreadsheet!AM188,AM$7&lt;(SAP_Leadsheet!$E$21+12),$E327*AM188)</f>
        <v>4.5808203400399374E-3</v>
      </c>
      <c r="AN327" s="263" cm="1">
        <f t="array" aca="1" ref="AN327" ca="1">_xlfn.IFS(AN$7&gt;(SAP_Leadsheet!$E$21+12),0,AN$7=(SAP_Leadsheet!$E$21+12),SAP_Spreadsheet!AN188,AN$7&lt;(SAP_Leadsheet!$E$21+12),$E327*AN188)</f>
        <v>4.7447540188680038E-3</v>
      </c>
      <c r="AO327" s="263" cm="1">
        <f t="array" aca="1" ref="AO327" ca="1">_xlfn.IFS(AO$7&gt;(SAP_Leadsheet!$E$21+12),0,AO$7=(SAP_Leadsheet!$E$21+12),SAP_Spreadsheet!AO188,AO$7&lt;(SAP_Leadsheet!$E$21+12),$E327*AO188)</f>
        <v>4.7680936450005783E-3</v>
      </c>
      <c r="AP327" s="263" cm="1">
        <f t="array" aca="1" ref="AP327" ca="1">_xlfn.IFS(AP$7&gt;(SAP_Leadsheet!$E$21+12),0,AP$7=(SAP_Leadsheet!$E$21+12),SAP_Spreadsheet!AP188,AP$7&lt;(SAP_Leadsheet!$E$21+12),$E327*AP188)</f>
        <v>4.6994549218687832E-3</v>
      </c>
      <c r="AQ327" s="263" cm="1">
        <f t="array" aca="1" ref="AQ327" ca="1">_xlfn.IFS(AQ$7&gt;(SAP_Leadsheet!$E$21+12),0,AQ$7=(SAP_Leadsheet!$E$21+12),SAP_Spreadsheet!AQ188,AQ$7&lt;(SAP_Leadsheet!$E$21+12),$E327*AQ188)</f>
        <v>4.590158267327408E-3</v>
      </c>
      <c r="AR327" s="263" cm="1">
        <f t="array" aca="1" ref="AR327" ca="1">_xlfn.IFS(AR$7&gt;(SAP_Leadsheet!$E$21+12),0,AR$7=(SAP_Leadsheet!$E$21+12),SAP_Spreadsheet!AR188,AR$7&lt;(SAP_Leadsheet!$E$21+12),$E327*AR188)</f>
        <v>4.4695864309476641E-3</v>
      </c>
      <c r="AS327" s="263" cm="1">
        <f t="array" aca="1" ref="AS327" ca="1">_xlfn.IFS(AS$7&gt;(SAP_Leadsheet!$E$21+12),0,AS$7=(SAP_Leadsheet!$E$21+12),SAP_Spreadsheet!AS188,AS$7&lt;(SAP_Leadsheet!$E$21+12),$E327*AS188)</f>
        <v>4.4984532561739366E-3</v>
      </c>
      <c r="AT327" s="263" cm="1">
        <f t="array" aca="1" ref="AT327" ca="1">_xlfn.IFS(AT$7&gt;(SAP_Leadsheet!$E$21+12),0,AT$7=(SAP_Leadsheet!$E$21+12),SAP_Spreadsheet!AT188,AT$7&lt;(SAP_Leadsheet!$E$21+12),$E327*AT188)</f>
        <v>4.3573724449290285E-3</v>
      </c>
      <c r="AU327" s="263" cm="1">
        <f t="array" aca="1" ref="AU327" ca="1">_xlfn.IFS(AU$7&gt;(SAP_Leadsheet!$E$21+12),0,AU$7=(SAP_Leadsheet!$E$21+12),SAP_Spreadsheet!AU188,AU$7&lt;(SAP_Leadsheet!$E$21+12),$E327*AU188)</f>
        <v>4.1791263122950327E-3</v>
      </c>
      <c r="AV327" s="263" cm="1">
        <f t="array" aca="1" ref="AV327" ca="1">_xlfn.IFS(AV$7&gt;(SAP_Leadsheet!$E$21+12),0,AV$7=(SAP_Leadsheet!$E$21+12),SAP_Spreadsheet!AV188,AV$7&lt;(SAP_Leadsheet!$E$21+12),$E327*AV188)</f>
        <v>3.8696561784075834E-3</v>
      </c>
      <c r="AW327" s="263" cm="1">
        <f t="array" aca="1" ref="AW327" ca="1">_xlfn.IFS(AW$7&gt;(SAP_Leadsheet!$E$21+12),0,AW$7=(SAP_Leadsheet!$E$21+12),SAP_Spreadsheet!AW188,AW$7&lt;(SAP_Leadsheet!$E$21+12),$E327*AW188)</f>
        <v>3.112224178854088E-3</v>
      </c>
      <c r="AX327" s="263" cm="1">
        <f t="array" aca="1" ref="AX327" ca="1">_xlfn.IFS(AX$7&gt;(SAP_Leadsheet!$E$21+12),0,AX$7=(SAP_Leadsheet!$E$21+12),SAP_Spreadsheet!AX188,AX$7&lt;(SAP_Leadsheet!$E$21+12),$E327*AX188)</f>
        <v>3.0433336782793468E-3</v>
      </c>
      <c r="AY327" s="263" cm="1">
        <f t="array" aca="1" ref="AY327" ca="1">_xlfn.IFS(AY$7&gt;(SAP_Leadsheet!$E$21+12),0,AY$7=(SAP_Leadsheet!$E$21+12),SAP_Spreadsheet!AY188,AY$7&lt;(SAP_Leadsheet!$E$21+12),$E327*AY188)</f>
        <v>2.9870343637796132E-3</v>
      </c>
      <c r="AZ327" s="263" cm="1">
        <f t="array" aca="1" ref="AZ327" ca="1">_xlfn.IFS(AZ$7&gt;(SAP_Leadsheet!$E$21+12),0,AZ$7=(SAP_Leadsheet!$E$21+12),SAP_Spreadsheet!AZ188,AZ$7&lt;(SAP_Leadsheet!$E$21+12),$E327*AZ188)</f>
        <v>2.9368272883980836E-3</v>
      </c>
      <c r="BA327" s="263" cm="1">
        <f t="array" aca="1" ref="BA327" ca="1">_xlfn.IFS(BA$7&gt;(SAP_Leadsheet!$E$21+12),0,BA$7=(SAP_Leadsheet!$E$21+12),SAP_Spreadsheet!BA188,BA$7&lt;(SAP_Leadsheet!$E$21+12),$E327*BA188)</f>
        <v>2.8878445202944187E-3</v>
      </c>
      <c r="BB327" s="263" cm="1">
        <f t="array" aca="1" ref="BB327" ca="1">_xlfn.IFS(BB$7&gt;(SAP_Leadsheet!$E$21+12),0,BB$7=(SAP_Leadsheet!$E$21+12),SAP_Spreadsheet!BB188,BB$7&lt;(SAP_Leadsheet!$E$21+12),$E327*BB188)</f>
        <v>2.8382248441616081E-3</v>
      </c>
      <c r="BC327" s="263" cm="1">
        <f t="array" aca="1" ref="BC327" ca="1">_xlfn.IFS(BC$7&gt;(SAP_Leadsheet!$E$21+12),0,BC$7=(SAP_Leadsheet!$E$21+12),SAP_Spreadsheet!BC188,BC$7&lt;(SAP_Leadsheet!$E$21+12),$E327*BC188)</f>
        <v>2.7877011259505023E-3</v>
      </c>
      <c r="BD327" s="263" cm="1">
        <f t="array" aca="1" ref="BD327" ca="1">_xlfn.IFS(BD$7&gt;(SAP_Leadsheet!$E$21+12),0,BD$7=(SAP_Leadsheet!$E$21+12),SAP_Spreadsheet!BD188,BD$7&lt;(SAP_Leadsheet!$E$21+12),$E327*BD188)</f>
        <v>2.7358643991198155E-3</v>
      </c>
      <c r="BE327" s="263" cm="1">
        <f t="array" aca="1" ref="BE327" ca="1">_xlfn.IFS(BE$7&gt;(SAP_Leadsheet!$E$21+12),0,BE$7=(SAP_Leadsheet!$E$21+12),SAP_Spreadsheet!BE188,BE$7&lt;(SAP_Leadsheet!$E$21+12),$E327*BE188)</f>
        <v>2.6820777792145849E-3</v>
      </c>
      <c r="BF327" s="263" cm="1">
        <f t="array" aca="1" ref="BF327" ca="1">_xlfn.IFS(BF$7&gt;(SAP_Leadsheet!$E$21+12),0,BF$7=(SAP_Leadsheet!$E$21+12),SAP_Spreadsheet!BF188,BF$7&lt;(SAP_Leadsheet!$E$21+12),$E327*BF188)</f>
        <v>2.6242594134722776E-3</v>
      </c>
      <c r="BG327" s="263" cm="1">
        <f t="array" aca="1" ref="BG327" ca="1">_xlfn.IFS(BG$7&gt;(SAP_Leadsheet!$E$21+12),0,BG$7=(SAP_Leadsheet!$E$21+12),SAP_Spreadsheet!BG188,BG$7&lt;(SAP_Leadsheet!$E$21+12),$E327*BG188)</f>
        <v>2.5604790566567254E-3</v>
      </c>
      <c r="BH327" s="263" cm="1">
        <f t="array" aca="1" ref="BH327" ca="1">_xlfn.IFS(BH$7&gt;(SAP_Leadsheet!$E$21+12),0,BH$7=(SAP_Leadsheet!$E$21+12),SAP_Spreadsheet!BH188,BH$7&lt;(SAP_Leadsheet!$E$21+12),$E327*BH188)</f>
        <v>2.4926652179654393E-3</v>
      </c>
      <c r="BI327" s="263" cm="1">
        <f t="array" aca="1" ref="BI327" ca="1">_xlfn.IFS(BI$7&gt;(SAP_Leadsheet!$E$21+12),0,BI$7=(SAP_Leadsheet!$E$21+12),SAP_Spreadsheet!BI188,BI$7&lt;(SAP_Leadsheet!$E$21+12),$E327*BI188)</f>
        <v>2.1322680276094378E-3</v>
      </c>
      <c r="BJ327" s="263" cm="1">
        <f t="array" aca="1" ref="BJ327" ca="1">_xlfn.IFS(BJ$7&gt;(SAP_Leadsheet!$E$21+12),0,BJ$7=(SAP_Leadsheet!$E$21+12),SAP_Spreadsheet!BJ188,BJ$7&lt;(SAP_Leadsheet!$E$21+12),$E327*BJ188)</f>
        <v>2.0788243430086783E-3</v>
      </c>
      <c r="BK327" s="263" cm="1">
        <f t="array" aca="1" ref="BK327" ca="1">_xlfn.IFS(BK$7&gt;(SAP_Leadsheet!$E$21+12),0,BK$7=(SAP_Leadsheet!$E$21+12),SAP_Spreadsheet!BK188,BK$7&lt;(SAP_Leadsheet!$E$21+12),$E327*BK188)</f>
        <v>2.0255126789417246E-3</v>
      </c>
      <c r="BL327" s="263" cm="1">
        <f t="array" aca="1" ref="BL327" ca="1">_xlfn.IFS(BL$7&gt;(SAP_Leadsheet!$E$21+12),0,BL$7=(SAP_Leadsheet!$E$21+12),SAP_Spreadsheet!BL188,BL$7&lt;(SAP_Leadsheet!$E$21+12),$E327*BL188)</f>
        <v>1.9726729318338453E-3</v>
      </c>
      <c r="BM327" s="263" cm="1">
        <f t="array" aca="1" ref="BM327" ca="1">_xlfn.IFS(BM$7&gt;(SAP_Leadsheet!$E$21+12),0,BM$7=(SAP_Leadsheet!$E$21+12),SAP_Spreadsheet!BM188,BM$7&lt;(SAP_Leadsheet!$E$21+12),$E327*BM188)</f>
        <v>1.9200824836608735E-3</v>
      </c>
      <c r="BN327" s="263" cm="1">
        <f t="array" aca="1" ref="BN327" ca="1">_xlfn.IFS(BN$7&gt;(SAP_Leadsheet!$E$21+12),0,BN$7=(SAP_Leadsheet!$E$21+12),SAP_Spreadsheet!BN188,BN$7&lt;(SAP_Leadsheet!$E$21+12),$E327*BN188)</f>
        <v>1.8676047984900986E-3</v>
      </c>
      <c r="BO327" s="263" cm="1">
        <f t="array" aca="1" ref="BO327" ca="1">_xlfn.IFS(BO$7&gt;(SAP_Leadsheet!$E$21+12),0,BO$7=(SAP_Leadsheet!$E$21+12),SAP_Spreadsheet!BO188,BO$7&lt;(SAP_Leadsheet!$E$21+12),$E327*BO188)</f>
        <v>1.8150748873380243E-3</v>
      </c>
      <c r="BP327" s="263" cm="1">
        <f t="array" aca="1" ref="BP327" ca="1">_xlfn.IFS(BP$7&gt;(SAP_Leadsheet!$E$21+12),0,BP$7=(SAP_Leadsheet!$E$21+12),SAP_Spreadsheet!BP188,BP$7&lt;(SAP_Leadsheet!$E$21+12),$E327*BP188)</f>
        <v>1.7624127482070465E-3</v>
      </c>
      <c r="BQ327" s="263" cm="1">
        <f t="array" aca="1" ref="BQ327" ca="1">_xlfn.IFS(BQ$7&gt;(SAP_Leadsheet!$E$21+12),0,BQ$7=(SAP_Leadsheet!$E$21+12),SAP_Spreadsheet!BQ188,BQ$7&lt;(SAP_Leadsheet!$E$21+12),$E327*BQ188)</f>
        <v>1.7096059688769805E-3</v>
      </c>
      <c r="BR327" s="263" cm="1">
        <f t="array" aca="1" ref="BR327" ca="1">_xlfn.IFS(BR$7&gt;(SAP_Leadsheet!$E$21+12),0,BR$7=(SAP_Leadsheet!$E$21+12),SAP_Spreadsheet!BR188,BR$7&lt;(SAP_Leadsheet!$E$21+12),$E327*BR188)</f>
        <v>1.6560330818585337E-3</v>
      </c>
      <c r="BS327" s="263" cm="1">
        <f t="array" aca="1" ref="BS327" ca="1">_xlfn.IFS(BS$7&gt;(SAP_Leadsheet!$E$21+12),0,BS$7=(SAP_Leadsheet!$E$21+12),SAP_Spreadsheet!BS188,BS$7&lt;(SAP_Leadsheet!$E$21+12),$E327*BS188)</f>
        <v>1.6006825833287529E-3</v>
      </c>
      <c r="BT327" s="263" cm="1">
        <f t="array" aca="1" ref="BT327" ca="1">_xlfn.IFS(BT$7&gt;(SAP_Leadsheet!$E$21+12),0,BT$7=(SAP_Leadsheet!$E$21+12),SAP_Spreadsheet!BT188,BT$7&lt;(SAP_Leadsheet!$E$21+12),$E327*BT188)</f>
        <v>1.5440289990920897E-3</v>
      </c>
      <c r="BU327" s="263" cm="1">
        <f t="array" aca="1" ref="BU327" ca="1">_xlfn.IFS(BU$7&gt;(SAP_Leadsheet!$E$21+12),0,BU$7=(SAP_Leadsheet!$E$21+12),SAP_Spreadsheet!BU188,BU$7&lt;(SAP_Leadsheet!$E$21+12),$E327*BU188)</f>
        <v>1.486739901601142E-3</v>
      </c>
      <c r="BV327" s="263" cm="1">
        <f t="array" aca="1" ref="BV327" ca="1">_xlfn.IFS(BV$7&gt;(SAP_Leadsheet!$E$21+12),0,BV$7=(SAP_Leadsheet!$E$21+12),SAP_Spreadsheet!BV188,BV$7&lt;(SAP_Leadsheet!$E$21+12),$E327*BV188)</f>
        <v>0</v>
      </c>
      <c r="BW327" s="263" cm="1">
        <f t="array" aca="1" ref="BW327" ca="1">_xlfn.IFS(BW$7&gt;(SAP_Leadsheet!$E$21+12),0,BW$7=(SAP_Leadsheet!$E$21+12),SAP_Spreadsheet!BW188,BW$7&lt;(SAP_Leadsheet!$E$21+12),$E327*BW188)</f>
        <v>0</v>
      </c>
      <c r="BX327" s="263" cm="1">
        <f t="array" aca="1" ref="BX327" ca="1">_xlfn.IFS(BX$7&gt;(SAP_Leadsheet!$E$21+12),0,BX$7=(SAP_Leadsheet!$E$21+12),SAP_Spreadsheet!BX188,BX$7&lt;(SAP_Leadsheet!$E$21+12),$E327*BX188)</f>
        <v>0</v>
      </c>
      <c r="BY327" s="263" cm="1">
        <f t="array" aca="1" ref="BY327" ca="1">_xlfn.IFS(BY$7&gt;(SAP_Leadsheet!$E$21+12),0,BY$7=(SAP_Leadsheet!$E$21+12),SAP_Spreadsheet!BY188,BY$7&lt;(SAP_Leadsheet!$E$21+12),$E327*BY188)</f>
        <v>0</v>
      </c>
      <c r="BZ327" s="263" cm="1">
        <f t="array" aca="1" ref="BZ327" ca="1">_xlfn.IFS(BZ$7&gt;(SAP_Leadsheet!$E$21+12),0,BZ$7=(SAP_Leadsheet!$E$21+12),SAP_Spreadsheet!BZ188,BZ$7&lt;(SAP_Leadsheet!$E$21+12),$E327*BZ188)</f>
        <v>0</v>
      </c>
      <c r="CA327" s="263"/>
      <c r="CB327" s="263"/>
      <c r="CC327" s="263"/>
      <c r="CD327" s="263"/>
      <c r="CE327" s="263"/>
      <c r="CF327" s="263"/>
      <c r="CG327" s="263"/>
      <c r="CH327" s="263"/>
      <c r="CI327" s="263"/>
      <c r="CJ327" s="263"/>
      <c r="CK327" s="263"/>
      <c r="CL327" s="263"/>
      <c r="CM327" s="263"/>
      <c r="CN327" s="263"/>
      <c r="CO327" s="263"/>
      <c r="CP327" s="263"/>
      <c r="CQ327" s="263"/>
      <c r="CR327" s="263"/>
      <c r="CS327" s="263"/>
      <c r="CT327" s="263"/>
      <c r="CU327" s="263"/>
      <c r="CV327" s="263"/>
      <c r="CW327" s="263"/>
      <c r="CX327" s="263"/>
      <c r="CY327" s="263"/>
      <c r="CZ327" s="263"/>
      <c r="DA327" s="263"/>
      <c r="DB327" s="263"/>
      <c r="DC327" s="263"/>
      <c r="DD327" s="263"/>
      <c r="DE327" s="263"/>
      <c r="DF327" s="263"/>
      <c r="DG327" s="263"/>
      <c r="DH327" s="263"/>
      <c r="DI327" s="263"/>
      <c r="DJ327" s="263"/>
      <c r="DK327" s="263"/>
      <c r="DL327" s="263"/>
      <c r="DM327" s="263"/>
      <c r="DN327" s="263"/>
      <c r="DO327" s="263"/>
      <c r="DP327" s="263"/>
      <c r="DQ327" s="263"/>
      <c r="DR327" s="263"/>
      <c r="DS327" s="263"/>
      <c r="DT327" s="263"/>
      <c r="DU327" s="263"/>
      <c r="DV327" s="263"/>
      <c r="DW327" s="263"/>
      <c r="DX327" s="263"/>
      <c r="DY327" s="263"/>
      <c r="DZ327" s="263"/>
      <c r="EA327" s="263"/>
      <c r="EB327" s="263"/>
      <c r="EC327" s="263"/>
      <c r="ED327" s="263"/>
      <c r="EE327" s="263"/>
      <c r="EF327" s="263"/>
      <c r="EG327" s="263"/>
      <c r="EH327" s="263"/>
      <c r="EI327" s="263"/>
      <c r="EJ327" s="263"/>
      <c r="EK327" s="263"/>
      <c r="EL327" s="263"/>
      <c r="EM327" s="263"/>
      <c r="EN327" s="263"/>
      <c r="EO327" s="263"/>
      <c r="EP327" s="263"/>
      <c r="EQ327" s="263"/>
      <c r="ER327" s="263"/>
      <c r="ES327" s="263"/>
      <c r="ET327" s="263"/>
      <c r="EU327" s="263"/>
      <c r="EV327" s="263"/>
      <c r="EW327" s="263"/>
      <c r="EX327" s="263"/>
      <c r="EY327" s="263"/>
      <c r="EZ327" s="263"/>
      <c r="FA327" s="263"/>
      <c r="FB327" s="263"/>
      <c r="FC327" s="263"/>
      <c r="FD327" s="263"/>
      <c r="FE327" s="263"/>
      <c r="FF327" s="263"/>
      <c r="FG327" s="263"/>
      <c r="FH327" s="263"/>
      <c r="FI327" s="263"/>
      <c r="FJ327" s="263"/>
      <c r="FK327" s="263"/>
      <c r="FL327" s="263"/>
      <c r="FM327" s="263"/>
      <c r="FN327" s="263"/>
      <c r="FO327" s="263"/>
      <c r="FP327" s="263"/>
      <c r="FQ327" s="263"/>
      <c r="FR327" s="263"/>
      <c r="FS327" s="263"/>
      <c r="FT327" s="263"/>
      <c r="FU327" s="263"/>
      <c r="FV327" s="263"/>
      <c r="FW327" s="263"/>
      <c r="FX327" s="263"/>
      <c r="FY327" s="263"/>
      <c r="FZ327" s="263"/>
      <c r="GA327" s="263"/>
      <c r="GB327" s="263"/>
      <c r="GC327" s="263"/>
      <c r="GD327" s="263"/>
      <c r="GE327" s="263"/>
      <c r="GF327" s="263"/>
      <c r="GG327" s="263"/>
      <c r="GH327" s="263"/>
      <c r="GI327" s="263"/>
      <c r="GJ327" s="263"/>
      <c r="GK327" s="263"/>
      <c r="GL327" s="263"/>
      <c r="GM327" s="263"/>
      <c r="GN327" s="263"/>
      <c r="GO327" s="263"/>
      <c r="GP327" s="263"/>
      <c r="GQ327" s="263"/>
      <c r="GR327" s="263"/>
      <c r="GS327" s="263"/>
      <c r="GT327" s="263"/>
      <c r="GU327" s="263"/>
      <c r="GV327" s="263"/>
      <c r="GW327" s="263"/>
      <c r="GX327" s="263"/>
      <c r="GY327" s="263"/>
    </row>
    <row r="328" spans="1:207" x14ac:dyDescent="0.15">
      <c r="A328" s="62"/>
      <c r="D328" s="26" t="s">
        <v>424</v>
      </c>
      <c r="E328" s="39">
        <v>1</v>
      </c>
      <c r="F328" s="80"/>
      <c r="G328" s="263" cm="1">
        <f t="array" ref="G328">_xlfn.IFS(G$7&gt;(SAP_Leadsheet!$E$21+12),0,G$7&lt;=(SAP_Leadsheet!$E$21+12),SUM(G189:G195))</f>
        <v>0</v>
      </c>
      <c r="H328" s="263" cm="1">
        <f t="array" aca="1" ref="H328" ca="1">_xlfn.IFS(H$7&gt;(SAP_Leadsheet!$E$21+12),0,H$7&lt;=(SAP_Leadsheet!$E$21+12),SUM(H189:H195))</f>
        <v>0</v>
      </c>
      <c r="I328" s="263" cm="1">
        <f t="array" aca="1" ref="I328" ca="1">_xlfn.IFS(I$7&gt;(SAP_Leadsheet!$E$21+12),0,I$7&lt;=(SAP_Leadsheet!$E$21+12),SUM(I189:I195))</f>
        <v>0</v>
      </c>
      <c r="J328" s="263" cm="1">
        <f t="array" aca="1" ref="J328" ca="1">_xlfn.IFS(J$7&gt;(SAP_Leadsheet!$E$21+12),0,J$7&lt;=(SAP_Leadsheet!$E$21+12),SUM(J189:J195))</f>
        <v>0</v>
      </c>
      <c r="K328" s="263" cm="1">
        <f t="array" aca="1" ref="K328" ca="1">_xlfn.IFS(K$7&gt;(SAP_Leadsheet!$E$21+12),0,K$7&lt;=(SAP_Leadsheet!$E$21+12),SUM(K189:K195))</f>
        <v>0</v>
      </c>
      <c r="L328" s="263" cm="1">
        <f t="array" aca="1" ref="L328" ca="1">_xlfn.IFS(L$7&gt;(SAP_Leadsheet!$E$21+12),0,L$7&lt;=(SAP_Leadsheet!$E$21+12),SUM(L189:L195))</f>
        <v>0</v>
      </c>
      <c r="M328" s="263" cm="1">
        <f t="array" aca="1" ref="M328" ca="1">_xlfn.IFS(M$7&gt;(SAP_Leadsheet!$E$21+12),0,M$7&lt;=(SAP_Leadsheet!$E$21+12),SUM(M189:M195))</f>
        <v>0</v>
      </c>
      <c r="N328" s="263" cm="1">
        <f t="array" aca="1" ref="N328" ca="1">_xlfn.IFS(N$7&gt;(SAP_Leadsheet!$E$21+12),0,N$7&lt;=(SAP_Leadsheet!$E$21+12),SUM(N189:N195))</f>
        <v>0</v>
      </c>
      <c r="O328" s="263" cm="1">
        <f t="array" aca="1" ref="O328" ca="1">_xlfn.IFS(O$7&gt;(SAP_Leadsheet!$E$21+12),0,O$7&lt;=(SAP_Leadsheet!$E$21+12),SUM(O189:O195))</f>
        <v>2.4311080044447108E-2</v>
      </c>
      <c r="P328" s="263" cm="1">
        <f t="array" aca="1" ref="P328" ca="1">_xlfn.IFS(P$7&gt;(SAP_Leadsheet!$E$21+12),0,P$7&lt;=(SAP_Leadsheet!$E$21+12),SUM(P189:P195))</f>
        <v>6.716526980891388E-2</v>
      </c>
      <c r="Q328" s="263" cm="1">
        <f t="array" aca="1" ref="Q328" ca="1">_xlfn.IFS(Q$7&gt;(SAP_Leadsheet!$E$21+12),0,Q$7&lt;=(SAP_Leadsheet!$E$21+12),SUM(Q189:Q195))</f>
        <v>0.11757495434787489</v>
      </c>
      <c r="R328" s="263" cm="1">
        <f t="array" aca="1" ref="R328" ca="1">_xlfn.IFS(R$7&gt;(SAP_Leadsheet!$E$21+12),0,R$7&lt;=(SAP_Leadsheet!$E$21+12),SUM(R189:R195))</f>
        <v>0.16772050193988797</v>
      </c>
      <c r="S328" s="263" cm="1">
        <f t="array" aca="1" ref="S328" ca="1">_xlfn.IFS(S$7&gt;(SAP_Leadsheet!$E$21+12),0,S$7&lt;=(SAP_Leadsheet!$E$21+12),SUM(S189:S195))</f>
        <v>0.21383035148974319</v>
      </c>
      <c r="T328" s="263" cm="1">
        <f t="array" aca="1" ref="T328" ca="1">_xlfn.IFS(T$7&gt;(SAP_Leadsheet!$E$21+12),0,T$7&lt;=(SAP_Leadsheet!$E$21+12),SUM(T189:T195))</f>
        <v>0.25452493223075412</v>
      </c>
      <c r="U328" s="263" cm="1">
        <f t="array" aca="1" ref="U328" ca="1">_xlfn.IFS(U$7&gt;(SAP_Leadsheet!$E$21+12),0,U$7&lt;=(SAP_Leadsheet!$E$21+12),SUM(U189:U195))</f>
        <v>0.28894580929653579</v>
      </c>
      <c r="V328" s="263" cm="1">
        <f t="array" aca="1" ref="V328" ca="1">_xlfn.IFS(V$7&gt;(SAP_Leadsheet!$E$21+12),0,V$7&lt;=(SAP_Leadsheet!$E$21+12),SUM(V189:V195))</f>
        <v>0.31852207926346476</v>
      </c>
      <c r="W328" s="263" cm="1">
        <f t="array" aca="1" ref="W328" ca="1">_xlfn.IFS(W$7&gt;(SAP_Leadsheet!$E$21+12),0,W$7&lt;=(SAP_Leadsheet!$E$21+12),SUM(W189:W195))</f>
        <v>0.3439250469079157</v>
      </c>
      <c r="X328" s="263" cm="1">
        <f t="array" aca="1" ref="X328" ca="1">_xlfn.IFS(X$7&gt;(SAP_Leadsheet!$E$21+12),0,X$7&lt;=(SAP_Leadsheet!$E$21+12),SUM(X189:X195))</f>
        <v>0.36555651642908932</v>
      </c>
      <c r="Y328" s="263" cm="1">
        <f t="array" aca="1" ref="Y328" ca="1">_xlfn.IFS(Y$7&gt;(SAP_Leadsheet!$E$21+12),0,Y$7&lt;=(SAP_Leadsheet!$E$21+12),SUM(Y189:Y195))</f>
        <v>0.38403905328981114</v>
      </c>
      <c r="Z328" s="263" cm="1">
        <f t="array" aca="1" ref="Z328" ca="1">_xlfn.IFS(Z$7&gt;(SAP_Leadsheet!$E$21+12),0,Z$7&lt;=(SAP_Leadsheet!$E$21+12),SUM(Z189:Z195))</f>
        <v>0.393321470754455</v>
      </c>
      <c r="AA328" s="263" cm="1">
        <f t="array" aca="1" ref="AA328" ca="1">_xlfn.IFS(AA$7&gt;(SAP_Leadsheet!$E$21+12),0,AA$7&lt;=(SAP_Leadsheet!$E$21+12),SUM(AA189:AA195))</f>
        <v>0.40285052079609651</v>
      </c>
      <c r="AB328" s="263" cm="1">
        <f t="array" aca="1" ref="AB328" ca="1">_xlfn.IFS(AB$7&gt;(SAP_Leadsheet!$E$21+12),0,AB$7&lt;=(SAP_Leadsheet!$E$21+12),SUM(AB189:AB195))</f>
        <v>0.41381623817367308</v>
      </c>
      <c r="AC328" s="263" cm="1">
        <f t="array" aca="1" ref="AC328" ca="1">_xlfn.IFS(AC$7&gt;(SAP_Leadsheet!$E$21+12),0,AC$7&lt;=(SAP_Leadsheet!$E$21+12),SUM(AC189:AC195))</f>
        <v>0.42512444112499304</v>
      </c>
      <c r="AD328" s="263" cm="1">
        <f t="array" aca="1" ref="AD328" ca="1">_xlfn.IFS(AD$7&gt;(SAP_Leadsheet!$E$21+12),0,AD$7&lt;=(SAP_Leadsheet!$E$21+12),SUM(AD189:AD195))</f>
        <v>0.43589150590527642</v>
      </c>
      <c r="AE328" s="263" cm="1">
        <f t="array" aca="1" ref="AE328" ca="1">_xlfn.IFS(AE$7&gt;(SAP_Leadsheet!$E$21+12),0,AE$7&lt;=(SAP_Leadsheet!$E$21+12),SUM(AE189:AE195))</f>
        <v>0.44679512890921402</v>
      </c>
      <c r="AF328" s="263" cm="1">
        <f t="array" aca="1" ref="AF328" ca="1">_xlfn.IFS(AF$7&gt;(SAP_Leadsheet!$E$21+12),0,AF$7&lt;=(SAP_Leadsheet!$E$21+12),SUM(AF189:AF195))</f>
        <v>0.45800854277751102</v>
      </c>
      <c r="AG328" s="263" cm="1">
        <f t="array" aca="1" ref="AG328" ca="1">_xlfn.IFS(AG$7&gt;(SAP_Leadsheet!$E$21+12),0,AG$7&lt;=(SAP_Leadsheet!$E$21+12),SUM(AG189:AG195))</f>
        <v>0.46944381574566602</v>
      </c>
      <c r="AH328" s="263" cm="1">
        <f t="array" aca="1" ref="AH328" ca="1">_xlfn.IFS(AH$7&gt;(SAP_Leadsheet!$E$21+12),0,AH$7&lt;=(SAP_Leadsheet!$E$21+12),SUM(AH189:AH195))</f>
        <v>0.48100787120848632</v>
      </c>
      <c r="AI328" s="263" cm="1">
        <f t="array" aca="1" ref="AI328" ca="1">_xlfn.IFS(AI$7&gt;(SAP_Leadsheet!$E$21+12),0,AI$7&lt;=(SAP_Leadsheet!$E$21+12),SUM(AI189:AI195))</f>
        <v>0.49217018853803052</v>
      </c>
      <c r="AJ328" s="263" cm="1">
        <f t="array" aca="1" ref="AJ328" ca="1">_xlfn.IFS(AJ$7&gt;(SAP_Leadsheet!$E$21+12),0,AJ$7&lt;=(SAP_Leadsheet!$E$21+12),SUM(AJ189:AJ195))</f>
        <v>0.50263614075451313</v>
      </c>
      <c r="AK328" s="263" cm="1">
        <f t="array" aca="1" ref="AK328" ca="1">_xlfn.IFS(AK$7&gt;(SAP_Leadsheet!$E$21+12),0,AK$7&lt;=(SAP_Leadsheet!$E$21+12),SUM(AK189:AK195))</f>
        <v>0.51282165574800109</v>
      </c>
      <c r="AL328" s="263" cm="1">
        <f t="array" aca="1" ref="AL328" ca="1">_xlfn.IFS(AL$7&gt;(SAP_Leadsheet!$E$21+12),0,AL$7&lt;=(SAP_Leadsheet!$E$21+12),SUM(AL189:AL195))</f>
        <v>0.52115469503463874</v>
      </c>
      <c r="AM328" s="263" cm="1">
        <f t="array" aca="1" ref="AM328" ca="1">_xlfn.IFS(AM$7&gt;(SAP_Leadsheet!$E$21+12),0,AM$7&lt;=(SAP_Leadsheet!$E$21+12),SUM(AM189:AM195))</f>
        <v>0.52965798143013787</v>
      </c>
      <c r="AN328" s="263" cm="1">
        <f t="array" aca="1" ref="AN328" ca="1">_xlfn.IFS(AN$7&gt;(SAP_Leadsheet!$E$21+12),0,AN$7&lt;=(SAP_Leadsheet!$E$21+12),SUM(AN189:AN195))</f>
        <v>0.53868422840558605</v>
      </c>
      <c r="AO328" s="263" cm="1">
        <f t="array" aca="1" ref="AO328" ca="1">_xlfn.IFS(AO$7&gt;(SAP_Leadsheet!$E$21+12),0,AO$7&lt;=(SAP_Leadsheet!$E$21+12),SUM(AO189:AO195))</f>
        <v>0.54803349740828156</v>
      </c>
      <c r="AP328" s="263" cm="1">
        <f t="array" aca="1" ref="AP328" ca="1">_xlfn.IFS(AP$7&gt;(SAP_Leadsheet!$E$21+12),0,AP$7&lt;=(SAP_Leadsheet!$E$21+12),SUM(AP189:AP195))</f>
        <v>0.55742875582207585</v>
      </c>
      <c r="AQ328" s="263" cm="1">
        <f t="array" aca="1" ref="AQ328" ca="1">_xlfn.IFS(AQ$7&gt;(SAP_Leadsheet!$E$21+12),0,AQ$7&lt;=(SAP_Leadsheet!$E$21+12),SUM(AQ189:AQ195))</f>
        <v>0.56668876552033942</v>
      </c>
      <c r="AR328" s="263" cm="1">
        <f t="array" aca="1" ref="AR328" ca="1">_xlfn.IFS(AR$7&gt;(SAP_Leadsheet!$E$21+12),0,AR$7&lt;=(SAP_Leadsheet!$E$21+12),SUM(AR189:AR195))</f>
        <v>0.57573341235251163</v>
      </c>
      <c r="AS328" s="263" cm="1">
        <f t="array" aca="1" ref="AS328" ca="1">_xlfn.IFS(AS$7&gt;(SAP_Leadsheet!$E$21+12),0,AS$7&lt;=(SAP_Leadsheet!$E$21+12),SUM(AS189:AS195))</f>
        <v>0.58454047921152175</v>
      </c>
      <c r="AT328" s="263" cm="1">
        <f t="array" aca="1" ref="AT328" ca="1">_xlfn.IFS(AT$7&gt;(SAP_Leadsheet!$E$21+12),0,AT$7&lt;=(SAP_Leadsheet!$E$21+12),SUM(AT189:AT195))</f>
        <v>0.59340442651432757</v>
      </c>
      <c r="AU328" s="263" cm="1">
        <f t="array" aca="1" ref="AU328" ca="1">_xlfn.IFS(AU$7&gt;(SAP_Leadsheet!$E$21+12),0,AU$7&lt;=(SAP_Leadsheet!$E$21+12),SUM(AU189:AU195))</f>
        <v>0.60199038207083799</v>
      </c>
      <c r="AV328" s="263" cm="1">
        <f t="array" aca="1" ref="AV328" ca="1">_xlfn.IFS(AV$7&gt;(SAP_Leadsheet!$E$21+12),0,AV$7&lt;=(SAP_Leadsheet!$E$21+12),SUM(AV189:AV195))</f>
        <v>0.61022511372068045</v>
      </c>
      <c r="AW328" s="263" cm="1">
        <f t="array" aca="1" ref="AW328" ca="1">_xlfn.IFS(AW$7&gt;(SAP_Leadsheet!$E$21+12),0,AW$7&lt;=(SAP_Leadsheet!$E$21+12),SUM(AW189:AW195))</f>
        <v>0.61785005200325693</v>
      </c>
      <c r="AX328" s="263" cm="1">
        <f t="array" aca="1" ref="AX328" ca="1">_xlfn.IFS(AX$7&gt;(SAP_Leadsheet!$E$21+12),0,AX$7&lt;=(SAP_Leadsheet!$E$21+12),SUM(AX189:AX195))</f>
        <v>0.62398251343942268</v>
      </c>
      <c r="AY328" s="263" cm="1">
        <f t="array" aca="1" ref="AY328" ca="1">_xlfn.IFS(AY$7&gt;(SAP_Leadsheet!$E$21+12),0,AY$7&lt;=(SAP_Leadsheet!$E$21+12),SUM(AY189:AY195))</f>
        <v>0.62997923004686962</v>
      </c>
      <c r="AZ328" s="263" cm="1">
        <f t="array" aca="1" ref="AZ328" ca="1">_xlfn.IFS(AZ$7&gt;(SAP_Leadsheet!$E$21+12),0,AZ$7&lt;=(SAP_Leadsheet!$E$21+12),SUM(AZ189:AZ195))</f>
        <v>0.63586501204446499</v>
      </c>
      <c r="BA328" s="263" cm="1">
        <f t="array" aca="1" ref="BA328" ca="1">_xlfn.IFS(BA$7&gt;(SAP_Leadsheet!$E$21+12),0,BA$7&lt;=(SAP_Leadsheet!$E$21+12),SUM(BA189:BA195))</f>
        <v>0.6416518638442642</v>
      </c>
      <c r="BB328" s="263" cm="1">
        <f t="array" aca="1" ref="BB328" ca="1">_xlfn.IFS(BB$7&gt;(SAP_Leadsheet!$E$21+12),0,BB$7&lt;=(SAP_Leadsheet!$E$21+12),SUM(BB189:BB195))</f>
        <v>0.64734219787440106</v>
      </c>
      <c r="BC328" s="263" cm="1">
        <f t="array" aca="1" ref="BC328" ca="1">_xlfn.IFS(BC$7&gt;(SAP_Leadsheet!$E$21+12),0,BC$7&lt;=(SAP_Leadsheet!$E$21+12),SUM(BC189:BC195))</f>
        <v>0.65293475914368493</v>
      </c>
      <c r="BD328" s="263" cm="1">
        <f t="array" aca="1" ref="BD328" ca="1">_xlfn.IFS(BD$7&gt;(SAP_Leadsheet!$E$21+12),0,BD$7&lt;=(SAP_Leadsheet!$E$21+12),SUM(BD189:BD195))</f>
        <v>0.65842776628841493</v>
      </c>
      <c r="BE328" s="263" cm="1">
        <f t="array" aca="1" ref="BE328" ca="1">_xlfn.IFS(BE$7&gt;(SAP_Leadsheet!$E$21+12),0,BE$7&lt;=(SAP_Leadsheet!$E$21+12),SUM(BE189:BE195))</f>
        <v>0.66381863209948844</v>
      </c>
      <c r="BF328" s="263" cm="1">
        <f t="array" aca="1" ref="BF328" ca="1">_xlfn.IFS(BF$7&gt;(SAP_Leadsheet!$E$21+12),0,BF$7&lt;=(SAP_Leadsheet!$E$21+12),SUM(BF189:BF195))</f>
        <v>0.66910351442306393</v>
      </c>
      <c r="BG328" s="263" cm="1">
        <f t="array" aca="1" ref="BG328" ca="1">_xlfn.IFS(BG$7&gt;(SAP_Leadsheet!$E$21+12),0,BG$7&lt;=(SAP_Leadsheet!$E$21+12),SUM(BG189:BG195))</f>
        <v>0.67427446893236898</v>
      </c>
      <c r="BH328" s="263" cm="1">
        <f t="array" aca="1" ref="BH328" ca="1">_xlfn.IFS(BH$7&gt;(SAP_Leadsheet!$E$21+12),0,BH$7&lt;=(SAP_Leadsheet!$E$21+12),SUM(BH189:BH195))</f>
        <v>0.67931974786174176</v>
      </c>
      <c r="BI328" s="263" cm="1">
        <f t="array" aca="1" ref="BI328" ca="1">_xlfn.IFS(BI$7&gt;(SAP_Leadsheet!$E$21+12),0,BI$7&lt;=(SAP_Leadsheet!$E$21+12),SUM(BI189:BI195))</f>
        <v>0.68423140346364408</v>
      </c>
      <c r="BJ328" s="263" cm="1">
        <f t="array" aca="1" ref="BJ328" ca="1">_xlfn.IFS(BJ$7&gt;(SAP_Leadsheet!$E$21+12),0,BJ$7&lt;=(SAP_Leadsheet!$E$21+12),SUM(BJ189:BJ195))</f>
        <v>0.68843291681853946</v>
      </c>
      <c r="BK328" s="263" cm="1">
        <f t="array" aca="1" ref="BK328" ca="1">_xlfn.IFS(BK$7&gt;(SAP_Leadsheet!$E$21+12),0,BK$7&lt;=(SAP_Leadsheet!$E$21+12),SUM(BK189:BK195))</f>
        <v>0.692529122420527</v>
      </c>
      <c r="BL328" s="263" cm="1">
        <f t="array" aca="1" ref="BL328" ca="1">_xlfn.IFS(BL$7&gt;(SAP_Leadsheet!$E$21+12),0,BL$7&lt;=(SAP_Leadsheet!$E$21+12),SUM(BL189:BL195))</f>
        <v>0.69652028040858949</v>
      </c>
      <c r="BM328" s="263" cm="1">
        <f t="array" aca="1" ref="BM328" ca="1">_xlfn.IFS(BM$7&gt;(SAP_Leadsheet!$E$21+12),0,BM$7&lt;=(SAP_Leadsheet!$E$21+12),SUM(BM189:BM195))</f>
        <v>0.70040732066836053</v>
      </c>
      <c r="BN328" s="263" cm="1">
        <f t="array" aca="1" ref="BN328" ca="1">_xlfn.IFS(BN$7&gt;(SAP_Leadsheet!$E$21+12),0,BN$7&lt;=(SAP_Leadsheet!$E$21+12),SUM(BN189:BN195))</f>
        <v>0.70419073442926872</v>
      </c>
      <c r="BO328" s="263" cm="1">
        <f t="array" aca="1" ref="BO328" ca="1">_xlfn.IFS(BO$7&gt;(SAP_Leadsheet!$E$21+12),0,BO$7&lt;=(SAP_Leadsheet!$E$21+12),SUM(BO189:BO195))</f>
        <v>0.70787074388442162</v>
      </c>
      <c r="BP328" s="263" cm="1">
        <f t="array" aca="1" ref="BP328" ca="1">_xlfn.IFS(BP$7&gt;(SAP_Leadsheet!$E$21+12),0,BP$7&lt;=(SAP_Leadsheet!$E$21+12),SUM(BP189:BP195))</f>
        <v>0.71144724612548182</v>
      </c>
      <c r="BQ328" s="263" cm="1">
        <f t="array" aca="1" ref="BQ328" ca="1">_xlfn.IFS(BQ$7&gt;(SAP_Leadsheet!$E$21+12),0,BQ$7&lt;=(SAP_Leadsheet!$E$21+12),SUM(BQ189:BQ195))</f>
        <v>0.71491998060470752</v>
      </c>
      <c r="BR328" s="263" cm="1">
        <f t="array" aca="1" ref="BR328" ca="1">_xlfn.IFS(BR$7&gt;(SAP_Leadsheet!$E$21+12),0,BR$7&lt;=(SAP_Leadsheet!$E$21+12),SUM(BR189:BR195))</f>
        <v>0.71828866231678035</v>
      </c>
      <c r="BS328" s="263" cm="1">
        <f t="array" aca="1" ref="BS328" ca="1">_xlfn.IFS(BS$7&gt;(SAP_Leadsheet!$E$21+12),0,BS$7&lt;=(SAP_Leadsheet!$E$21+12),SUM(BS189:BS195))</f>
        <v>0.72155178168990064</v>
      </c>
      <c r="BT328" s="263" cm="1">
        <f t="array" aca="1" ref="BT328" ca="1">_xlfn.IFS(BT$7&gt;(SAP_Leadsheet!$E$21+12),0,BT$7&lt;=(SAP_Leadsheet!$E$21+12),SUM(BT189:BT195))</f>
        <v>0.72470583604128735</v>
      </c>
      <c r="BU328" s="263" cm="1">
        <f t="array" aca="1" ref="BU328" ca="1">_xlfn.IFS(BU$7&gt;(SAP_Leadsheet!$E$21+12),0,BU$7&lt;=(SAP_Leadsheet!$E$21+12),SUM(BU189:BU195))</f>
        <v>0.72774825771437512</v>
      </c>
      <c r="BV328" s="263" cm="1">
        <f t="array" aca="1" ref="BV328" ca="1">_xlfn.IFS(BV$7&gt;(SAP_Leadsheet!$E$21+12),0,BV$7&lt;=(SAP_Leadsheet!$E$21+12),SUM(BV189:BV195))</f>
        <v>0.73067779446629855</v>
      </c>
      <c r="BW328" s="263" cm="1">
        <f t="array" aca="1" ref="BW328" ca="1">_xlfn.IFS(BW$7&gt;(SAP_Leadsheet!$E$21+12),0,BW$7&lt;=(SAP_Leadsheet!$E$21+12),SUM(BW189:BW195))</f>
        <v>0.73067779446629855</v>
      </c>
      <c r="BX328" s="263" cm="1">
        <f t="array" aca="1" ref="BX328" ca="1">_xlfn.IFS(BX$7&gt;(SAP_Leadsheet!$E$21+12),0,BX$7&lt;=(SAP_Leadsheet!$E$21+12),SUM(BX189:BX195))</f>
        <v>0.73067779446629855</v>
      </c>
      <c r="BY328" s="263" cm="1">
        <f t="array" aca="1" ref="BY328" ca="1">_xlfn.IFS(BY$7&gt;(SAP_Leadsheet!$E$21+12),0,BY$7&lt;=(SAP_Leadsheet!$E$21+12),SUM(BY189:BY195))</f>
        <v>0.73067779446629855</v>
      </c>
      <c r="BZ328" s="263" cm="1">
        <f t="array" aca="1" ref="BZ328" ca="1">_xlfn.IFS(BZ$7&gt;(SAP_Leadsheet!$E$21+12),0,BZ$7&lt;=(SAP_Leadsheet!$E$21+12),SUM(BZ189:BZ195))</f>
        <v>0.73067779446629855</v>
      </c>
      <c r="CA328" s="263"/>
      <c r="CB328" s="263"/>
      <c r="CC328" s="263"/>
      <c r="CD328" s="263"/>
      <c r="CE328" s="263"/>
      <c r="CF328" s="263"/>
      <c r="CG328" s="263"/>
      <c r="CH328" s="263"/>
      <c r="CI328" s="263"/>
      <c r="CJ328" s="263"/>
      <c r="CK328" s="263"/>
      <c r="CL328" s="263"/>
      <c r="CM328" s="263"/>
      <c r="CN328" s="263"/>
      <c r="CO328" s="263"/>
      <c r="CP328" s="263"/>
      <c r="CQ328" s="263"/>
      <c r="CR328" s="263"/>
      <c r="CS328" s="263"/>
      <c r="CT328" s="263"/>
      <c r="CU328" s="263"/>
      <c r="CV328" s="263"/>
      <c r="CW328" s="263"/>
      <c r="CX328" s="263"/>
      <c r="CY328" s="263"/>
      <c r="CZ328" s="263"/>
      <c r="DA328" s="263"/>
      <c r="DB328" s="263"/>
      <c r="DC328" s="263"/>
      <c r="DD328" s="263"/>
      <c r="DE328" s="263"/>
      <c r="DF328" s="263"/>
      <c r="DG328" s="263"/>
      <c r="DH328" s="263"/>
      <c r="DI328" s="263"/>
      <c r="DJ328" s="263"/>
      <c r="DK328" s="263"/>
      <c r="DL328" s="263"/>
      <c r="DM328" s="263"/>
      <c r="DN328" s="263"/>
      <c r="DO328" s="263"/>
      <c r="DP328" s="263"/>
      <c r="DQ328" s="263"/>
      <c r="DR328" s="263"/>
      <c r="DS328" s="263"/>
      <c r="DT328" s="263"/>
      <c r="DU328" s="263"/>
      <c r="DV328" s="263"/>
      <c r="DW328" s="263"/>
      <c r="DX328" s="263"/>
      <c r="DY328" s="263"/>
      <c r="DZ328" s="263"/>
      <c r="EA328" s="263"/>
      <c r="EB328" s="263"/>
      <c r="EC328" s="263"/>
      <c r="ED328" s="263"/>
      <c r="EE328" s="263"/>
      <c r="EF328" s="263"/>
      <c r="EG328" s="263"/>
      <c r="EH328" s="263"/>
      <c r="EI328" s="263"/>
      <c r="EJ328" s="263"/>
      <c r="EK328" s="263"/>
      <c r="EL328" s="263"/>
      <c r="EM328" s="263"/>
      <c r="EN328" s="263"/>
      <c r="EO328" s="263"/>
      <c r="EP328" s="263"/>
      <c r="EQ328" s="263"/>
      <c r="ER328" s="263"/>
      <c r="ES328" s="263"/>
      <c r="ET328" s="263"/>
      <c r="EU328" s="263"/>
      <c r="EV328" s="263"/>
      <c r="EW328" s="263"/>
      <c r="EX328" s="263"/>
      <c r="EY328" s="263"/>
      <c r="EZ328" s="263"/>
      <c r="FA328" s="263"/>
      <c r="FB328" s="263"/>
      <c r="FC328" s="263"/>
      <c r="FD328" s="263"/>
      <c r="FE328" s="263"/>
      <c r="FF328" s="263"/>
      <c r="FG328" s="263"/>
      <c r="FH328" s="263"/>
      <c r="FI328" s="263"/>
      <c r="FJ328" s="263"/>
      <c r="FK328" s="263"/>
      <c r="FL328" s="263"/>
      <c r="FM328" s="263"/>
      <c r="FN328" s="263"/>
      <c r="FO328" s="263"/>
      <c r="FP328" s="263"/>
      <c r="FQ328" s="263"/>
      <c r="FR328" s="263"/>
      <c r="FS328" s="263"/>
      <c r="FT328" s="263"/>
      <c r="FU328" s="263"/>
      <c r="FV328" s="263"/>
      <c r="FW328" s="263"/>
      <c r="FX328" s="263"/>
      <c r="FY328" s="263"/>
      <c r="FZ328" s="263"/>
      <c r="GA328" s="263"/>
      <c r="GB328" s="263"/>
      <c r="GC328" s="263"/>
      <c r="GD328" s="263"/>
      <c r="GE328" s="263"/>
      <c r="GF328" s="263"/>
      <c r="GG328" s="263"/>
      <c r="GH328" s="263"/>
      <c r="GI328" s="263"/>
      <c r="GJ328" s="263"/>
      <c r="GK328" s="263"/>
      <c r="GL328" s="263"/>
      <c r="GM328" s="263"/>
      <c r="GN328" s="263"/>
      <c r="GO328" s="263"/>
      <c r="GP328" s="263"/>
      <c r="GQ328" s="263"/>
      <c r="GR328" s="263"/>
      <c r="GS328" s="263"/>
      <c r="GT328" s="263"/>
      <c r="GU328" s="263"/>
      <c r="GV328" s="263"/>
      <c r="GW328" s="263"/>
      <c r="GX328" s="263"/>
      <c r="GY328" s="263"/>
    </row>
    <row r="329" spans="1:207" x14ac:dyDescent="0.15">
      <c r="A329" s="62"/>
      <c r="E329" s="39"/>
      <c r="F329" s="80"/>
      <c r="G329" s="263"/>
      <c r="H329" s="263"/>
      <c r="I329" s="263"/>
      <c r="J329" s="263"/>
      <c r="K329" s="263"/>
      <c r="L329" s="263"/>
      <c r="M329" s="263"/>
      <c r="N329" s="263"/>
      <c r="O329" s="263"/>
      <c r="P329" s="263"/>
      <c r="Q329" s="263"/>
      <c r="R329" s="263"/>
      <c r="S329" s="263"/>
      <c r="T329" s="263"/>
      <c r="U329" s="263"/>
      <c r="V329" s="263"/>
      <c r="W329" s="263"/>
      <c r="X329" s="263"/>
      <c r="Y329" s="263"/>
      <c r="Z329" s="263"/>
      <c r="AA329" s="263"/>
      <c r="AB329" s="263"/>
      <c r="AC329" s="263"/>
      <c r="AD329" s="263"/>
      <c r="AE329" s="263"/>
      <c r="AF329" s="263"/>
      <c r="AG329" s="263"/>
      <c r="AH329" s="263"/>
      <c r="AI329" s="263"/>
      <c r="AJ329" s="263"/>
      <c r="AK329" s="263"/>
      <c r="AL329" s="263"/>
      <c r="AM329" s="263"/>
      <c r="AN329" s="263"/>
      <c r="AO329" s="263"/>
      <c r="AP329" s="263"/>
      <c r="AQ329" s="263"/>
      <c r="AR329" s="263"/>
      <c r="AS329" s="263"/>
      <c r="AT329" s="263"/>
      <c r="AU329" s="263"/>
      <c r="AV329" s="263"/>
      <c r="AW329" s="263"/>
      <c r="AX329" s="263"/>
      <c r="AY329" s="263"/>
      <c r="AZ329" s="263"/>
      <c r="BA329" s="263"/>
      <c r="BB329" s="263"/>
      <c r="BC329" s="263"/>
      <c r="BD329" s="263"/>
      <c r="BE329" s="263"/>
      <c r="BF329" s="263"/>
      <c r="BG329" s="263"/>
      <c r="BH329" s="263"/>
      <c r="BI329" s="263"/>
      <c r="BJ329" s="263"/>
      <c r="BK329" s="263"/>
      <c r="BL329" s="263"/>
      <c r="BM329" s="263"/>
      <c r="BN329" s="263"/>
      <c r="BO329" s="263"/>
      <c r="BP329" s="263"/>
      <c r="BQ329" s="263"/>
      <c r="BR329" s="263"/>
      <c r="BS329" s="263"/>
      <c r="BT329" s="263"/>
      <c r="BU329" s="263"/>
      <c r="BV329" s="263"/>
      <c r="BW329" s="263"/>
      <c r="BX329" s="263"/>
      <c r="BY329" s="263"/>
      <c r="BZ329" s="263"/>
      <c r="CA329" s="263"/>
      <c r="CB329" s="263"/>
      <c r="CC329" s="263"/>
      <c r="CD329" s="263"/>
      <c r="CE329" s="263"/>
      <c r="CF329" s="263"/>
      <c r="CG329" s="263"/>
      <c r="CH329" s="263"/>
      <c r="CI329" s="263"/>
      <c r="CJ329" s="263"/>
      <c r="CK329" s="263"/>
      <c r="CL329" s="263"/>
      <c r="CM329" s="263"/>
      <c r="CN329" s="263"/>
      <c r="CO329" s="263"/>
      <c r="CP329" s="263"/>
      <c r="CQ329" s="263"/>
      <c r="CR329" s="263"/>
      <c r="CS329" s="263"/>
      <c r="CT329" s="263"/>
      <c r="CU329" s="263"/>
      <c r="CV329" s="263"/>
      <c r="CW329" s="263"/>
      <c r="CX329" s="263"/>
      <c r="CY329" s="263"/>
      <c r="CZ329" s="263"/>
      <c r="DA329" s="263"/>
      <c r="DB329" s="263"/>
      <c r="DC329" s="263"/>
      <c r="DD329" s="263"/>
      <c r="DE329" s="263"/>
      <c r="DF329" s="263"/>
      <c r="DG329" s="263"/>
      <c r="DH329" s="263"/>
      <c r="DI329" s="263"/>
      <c r="DJ329" s="263"/>
      <c r="DK329" s="263"/>
      <c r="DL329" s="263"/>
      <c r="DM329" s="263"/>
      <c r="DN329" s="263"/>
      <c r="DO329" s="263"/>
      <c r="DP329" s="263"/>
      <c r="DQ329" s="263"/>
      <c r="DR329" s="263"/>
      <c r="DS329" s="263"/>
      <c r="DT329" s="263"/>
      <c r="DU329" s="263"/>
      <c r="DV329" s="263"/>
      <c r="DW329" s="263"/>
      <c r="DX329" s="263"/>
      <c r="DY329" s="263"/>
      <c r="DZ329" s="263"/>
      <c r="EA329" s="263"/>
      <c r="EB329" s="263"/>
      <c r="EC329" s="263"/>
      <c r="ED329" s="263"/>
      <c r="EE329" s="263"/>
      <c r="EF329" s="263"/>
      <c r="EG329" s="263"/>
      <c r="EH329" s="263"/>
      <c r="EI329" s="263"/>
      <c r="EJ329" s="263"/>
      <c r="EK329" s="263"/>
      <c r="EL329" s="263"/>
      <c r="EM329" s="263"/>
      <c r="EN329" s="263"/>
      <c r="EO329" s="263"/>
      <c r="EP329" s="263"/>
      <c r="EQ329" s="263"/>
      <c r="ER329" s="263"/>
      <c r="ES329" s="263"/>
      <c r="ET329" s="263"/>
      <c r="EU329" s="263"/>
      <c r="EV329" s="263"/>
      <c r="EW329" s="263"/>
      <c r="EX329" s="263"/>
      <c r="EY329" s="263"/>
      <c r="EZ329" s="263"/>
      <c r="FA329" s="263"/>
      <c r="FB329" s="263"/>
      <c r="FC329" s="263"/>
      <c r="FD329" s="263"/>
      <c r="FE329" s="263"/>
      <c r="FF329" s="263"/>
      <c r="FG329" s="263"/>
      <c r="FH329" s="263"/>
      <c r="FI329" s="263"/>
      <c r="FJ329" s="263"/>
      <c r="FK329" s="263"/>
      <c r="FL329" s="263"/>
      <c r="FM329" s="263"/>
      <c r="FN329" s="263"/>
      <c r="FO329" s="263"/>
      <c r="FP329" s="263"/>
      <c r="FQ329" s="263"/>
      <c r="FR329" s="263"/>
      <c r="FS329" s="263"/>
      <c r="FT329" s="263"/>
      <c r="FU329" s="263"/>
      <c r="FV329" s="263"/>
      <c r="FW329" s="263"/>
      <c r="FX329" s="263"/>
      <c r="FY329" s="263"/>
      <c r="FZ329" s="263"/>
      <c r="GA329" s="263"/>
      <c r="GB329" s="263"/>
      <c r="GC329" s="263"/>
      <c r="GD329" s="263"/>
      <c r="GE329" s="263"/>
      <c r="GF329" s="263"/>
      <c r="GG329" s="263"/>
      <c r="GH329" s="263"/>
      <c r="GI329" s="263"/>
      <c r="GJ329" s="263"/>
      <c r="GK329" s="263"/>
      <c r="GL329" s="263"/>
      <c r="GM329" s="263"/>
      <c r="GN329" s="263"/>
      <c r="GO329" s="263"/>
      <c r="GP329" s="263"/>
      <c r="GQ329" s="263"/>
      <c r="GR329" s="263"/>
      <c r="GS329" s="263"/>
      <c r="GT329" s="263"/>
      <c r="GU329" s="263"/>
      <c r="GV329" s="263"/>
      <c r="GW329" s="263"/>
      <c r="GX329" s="263"/>
      <c r="GY329" s="263"/>
    </row>
    <row r="330" spans="1:207" x14ac:dyDescent="0.15">
      <c r="A330" s="62"/>
      <c r="D330" s="26" t="s">
        <v>421</v>
      </c>
      <c r="F330" s="80"/>
      <c r="G330" s="263">
        <f ca="1">SUM(G320:G328)</f>
        <v>3.429902928923262E-3</v>
      </c>
      <c r="H330" s="263">
        <f t="shared" ref="H330:BS330" ca="1" si="44">SUM(H320:H328)</f>
        <v>7.755272845229309E-3</v>
      </c>
      <c r="I330" s="263">
        <f t="shared" ca="1" si="44"/>
        <v>1.1663250524583658E-2</v>
      </c>
      <c r="J330" s="263">
        <f t="shared" ca="1" si="44"/>
        <v>1.4807303459775012E-2</v>
      </c>
      <c r="K330" s="263">
        <f t="shared" ca="1" si="44"/>
        <v>2.1057271953714114E-2</v>
      </c>
      <c r="L330" s="263">
        <f t="shared" ca="1" si="44"/>
        <v>2.9636575343041881E-2</v>
      </c>
      <c r="M330" s="263">
        <f t="shared" ca="1" si="44"/>
        <v>3.8758852700787723E-2</v>
      </c>
      <c r="N330" s="263">
        <f t="shared" ca="1" si="44"/>
        <v>5.4856358669049768E-2</v>
      </c>
      <c r="O330" s="263">
        <f t="shared" ca="1" si="44"/>
        <v>8.7670888061337937E-2</v>
      </c>
      <c r="P330" s="263">
        <f t="shared" ca="1" si="44"/>
        <v>0.13096714040553356</v>
      </c>
      <c r="Q330" s="263">
        <f t="shared" ca="1" si="44"/>
        <v>0.17690544035672123</v>
      </c>
      <c r="R330" s="263">
        <f t="shared" ca="1" si="44"/>
        <v>0.22082755073134841</v>
      </c>
      <c r="S330" s="263">
        <f t="shared" ca="1" si="44"/>
        <v>0.25980681740669398</v>
      </c>
      <c r="T330" s="263">
        <f t="shared" ca="1" si="44"/>
        <v>0.29420213671078521</v>
      </c>
      <c r="U330" s="263">
        <f t="shared" ca="1" si="44"/>
        <v>0.32344323112449369</v>
      </c>
      <c r="V330" s="263">
        <f t="shared" ca="1" si="44"/>
        <v>0.34739833452464691</v>
      </c>
      <c r="W330" s="263">
        <f t="shared" ca="1" si="44"/>
        <v>0.36842294682749444</v>
      </c>
      <c r="X330" s="263">
        <f t="shared" ca="1" si="44"/>
        <v>0.38696560014671222</v>
      </c>
      <c r="Y330" s="263">
        <f t="shared" ca="1" si="44"/>
        <v>0.40125338032692076</v>
      </c>
      <c r="Z330" s="263">
        <f t="shared" ca="1" si="44"/>
        <v>0.41094524869085064</v>
      </c>
      <c r="AA330" s="263">
        <f t="shared" ca="1" si="44"/>
        <v>0.42114312827482303</v>
      </c>
      <c r="AB330" s="263">
        <f t="shared" ca="1" si="44"/>
        <v>0.43213279458767589</v>
      </c>
      <c r="AC330" s="263">
        <f t="shared" ca="1" si="44"/>
        <v>0.44323581819206315</v>
      </c>
      <c r="AD330" s="263">
        <f t="shared" ca="1" si="44"/>
        <v>0.45396708768181698</v>
      </c>
      <c r="AE330" s="263">
        <f t="shared" ca="1" si="44"/>
        <v>0.46486002584367675</v>
      </c>
      <c r="AF330" s="263">
        <f t="shared" ca="1" si="44"/>
        <v>0.47603725280846726</v>
      </c>
      <c r="AG330" s="263">
        <f t="shared" ca="1" si="44"/>
        <v>0.48730347277942226</v>
      </c>
      <c r="AH330" s="263">
        <f t="shared" ca="1" si="44"/>
        <v>0.49815270162755709</v>
      </c>
      <c r="AI330" s="263">
        <f t="shared" ca="1" si="44"/>
        <v>0.50855679552076394</v>
      </c>
      <c r="AJ330" s="263">
        <f t="shared" ca="1" si="44"/>
        <v>0.5185738853971642</v>
      </c>
      <c r="AK330" s="263">
        <f t="shared" ca="1" si="44"/>
        <v>0.52792400089844727</v>
      </c>
      <c r="AL330" s="263">
        <f t="shared" ca="1" si="44"/>
        <v>0.53650872263083071</v>
      </c>
      <c r="AM330" s="263">
        <f t="shared" ca="1" si="44"/>
        <v>0.54519984766583718</v>
      </c>
      <c r="AN330" s="263">
        <f t="shared" ca="1" si="44"/>
        <v>0.55416336745343475</v>
      </c>
      <c r="AO330" s="263">
        <f t="shared" ca="1" si="44"/>
        <v>0.56324859455053744</v>
      </c>
      <c r="AP330" s="263">
        <f t="shared" ca="1" si="44"/>
        <v>0.57232301952126519</v>
      </c>
      <c r="AQ330" s="263">
        <f t="shared" ca="1" si="44"/>
        <v>0.58112169211969877</v>
      </c>
      <c r="AR330" s="263">
        <f t="shared" ca="1" si="44"/>
        <v>0.58972033730386397</v>
      </c>
      <c r="AS330" s="263">
        <f t="shared" ca="1" si="44"/>
        <v>0.59813640357735609</v>
      </c>
      <c r="AT330" s="263">
        <f t="shared" ca="1" si="44"/>
        <v>0.60626902940892857</v>
      </c>
      <c r="AU330" s="263">
        <f t="shared" ca="1" si="44"/>
        <v>0.61413758811999564</v>
      </c>
      <c r="AV330" s="263">
        <f t="shared" ca="1" si="44"/>
        <v>0.62163123775011886</v>
      </c>
      <c r="AW330" s="263">
        <f t="shared" ca="1" si="44"/>
        <v>0.62835805720043092</v>
      </c>
      <c r="AX330" s="263">
        <f t="shared" ca="1" si="44"/>
        <v>0.63428703617871507</v>
      </c>
      <c r="AY330" s="263">
        <f t="shared" ca="1" si="44"/>
        <v>0.64009140562679645</v>
      </c>
      <c r="AZ330" s="263">
        <f t="shared" ca="1" si="44"/>
        <v>0.64578436548084628</v>
      </c>
      <c r="BA330" s="263">
        <f t="shared" ca="1" si="44"/>
        <v>0.65137302534066688</v>
      </c>
      <c r="BB330" s="263">
        <f t="shared" ca="1" si="44"/>
        <v>0.65685916876291306</v>
      </c>
      <c r="BC330" s="263">
        <f t="shared" ca="1" si="44"/>
        <v>0.6622002776982735</v>
      </c>
      <c r="BD330" s="263">
        <f t="shared" ca="1" si="44"/>
        <v>0.66744760068377895</v>
      </c>
      <c r="BE330" s="263">
        <f t="shared" ca="1" si="44"/>
        <v>0.67259143914202613</v>
      </c>
      <c r="BF330" s="263">
        <f t="shared" ca="1" si="44"/>
        <v>0.6775359078545935</v>
      </c>
      <c r="BG330" s="263">
        <f t="shared" ca="1" si="44"/>
        <v>0.6823663465406844</v>
      </c>
      <c r="BH330" s="263">
        <f t="shared" ca="1" si="44"/>
        <v>0.68707440558265842</v>
      </c>
      <c r="BI330" s="263">
        <f t="shared" ca="1" si="44"/>
        <v>0.69148318603764691</v>
      </c>
      <c r="BJ330" s="263">
        <f t="shared" ca="1" si="44"/>
        <v>0.69548897195280091</v>
      </c>
      <c r="BK330" s="263">
        <f t="shared" ca="1" si="44"/>
        <v>0.69938910397314324</v>
      </c>
      <c r="BL330" s="263">
        <f t="shared" ca="1" si="44"/>
        <v>0.70318282230545148</v>
      </c>
      <c r="BM330" s="263">
        <f t="shared" ca="1" si="44"/>
        <v>0.70687089649693269</v>
      </c>
      <c r="BN330" s="263">
        <f t="shared" ca="1" si="44"/>
        <v>0.71045411665220859</v>
      </c>
      <c r="BO330" s="263">
        <f t="shared" ca="1" si="44"/>
        <v>0.71248613234345193</v>
      </c>
      <c r="BP330" s="263">
        <f t="shared" ca="1" si="44"/>
        <v>0.71567389526463321</v>
      </c>
      <c r="BQ330" s="263">
        <f t="shared" ca="1" si="44"/>
        <v>0.71881464624396874</v>
      </c>
      <c r="BR330" s="263">
        <f t="shared" ca="1" si="44"/>
        <v>0.721876379082947</v>
      </c>
      <c r="BS330" s="263">
        <f t="shared" ca="1" si="44"/>
        <v>0.72441036484278165</v>
      </c>
      <c r="BT330" s="263">
        <f t="shared" ref="BT330:BZ330" ca="1" si="45">SUM(BT320:BT328)</f>
        <v>0.72686388410707048</v>
      </c>
      <c r="BU330" s="263">
        <f t="shared" ca="1" si="45"/>
        <v>0.72923499761597632</v>
      </c>
      <c r="BV330" s="263">
        <f t="shared" ca="1" si="45"/>
        <v>0.73067779446629855</v>
      </c>
      <c r="BW330" s="263">
        <f t="shared" ca="1" si="45"/>
        <v>0.73067779446629855</v>
      </c>
      <c r="BX330" s="263">
        <f t="shared" ca="1" si="45"/>
        <v>0.73067779446629855</v>
      </c>
      <c r="BY330" s="263">
        <f t="shared" ca="1" si="45"/>
        <v>0.73067779446629855</v>
      </c>
      <c r="BZ330" s="263">
        <f t="shared" ca="1" si="45"/>
        <v>0.73067779446629855</v>
      </c>
      <c r="CA330" s="263"/>
      <c r="CB330" s="263"/>
      <c r="CC330" s="263"/>
      <c r="CD330" s="263"/>
      <c r="CE330" s="263"/>
      <c r="CF330" s="263"/>
      <c r="CG330" s="263"/>
      <c r="CH330" s="263"/>
      <c r="CI330" s="263"/>
      <c r="CJ330" s="263"/>
      <c r="CK330" s="263"/>
      <c r="CL330" s="263"/>
      <c r="CM330" s="263"/>
      <c r="CN330" s="263"/>
      <c r="CO330" s="263"/>
      <c r="CP330" s="263"/>
      <c r="CQ330" s="263"/>
      <c r="CR330" s="263"/>
      <c r="CS330" s="263"/>
      <c r="CT330" s="263"/>
      <c r="CU330" s="263"/>
      <c r="CV330" s="263"/>
      <c r="CW330" s="263"/>
      <c r="CX330" s="263"/>
      <c r="CY330" s="263"/>
      <c r="CZ330" s="263"/>
      <c r="DA330" s="263"/>
      <c r="DB330" s="263"/>
      <c r="DC330" s="263"/>
      <c r="DD330" s="263"/>
      <c r="DE330" s="263"/>
      <c r="DF330" s="263"/>
      <c r="DG330" s="263"/>
      <c r="DH330" s="263"/>
      <c r="DI330" s="263"/>
      <c r="DJ330" s="263"/>
      <c r="DK330" s="263"/>
      <c r="DL330" s="263"/>
      <c r="DM330" s="263"/>
      <c r="DN330" s="263"/>
      <c r="DO330" s="263"/>
      <c r="DP330" s="263"/>
      <c r="DQ330" s="263"/>
      <c r="DR330" s="263"/>
      <c r="DS330" s="263"/>
      <c r="DT330" s="263"/>
      <c r="DU330" s="263"/>
      <c r="DV330" s="263"/>
      <c r="DW330" s="263"/>
      <c r="DX330" s="263"/>
      <c r="DY330" s="263"/>
      <c r="DZ330" s="263"/>
      <c r="EA330" s="263"/>
      <c r="EB330" s="263"/>
      <c r="EC330" s="263"/>
      <c r="ED330" s="263"/>
      <c r="EE330" s="263"/>
      <c r="EF330" s="263"/>
      <c r="EG330" s="263"/>
      <c r="EH330" s="263"/>
      <c r="EI330" s="263"/>
      <c r="EJ330" s="263"/>
      <c r="EK330" s="263"/>
      <c r="EL330" s="263"/>
      <c r="EM330" s="263"/>
      <c r="EN330" s="263"/>
      <c r="EO330" s="263"/>
      <c r="EP330" s="263"/>
      <c r="EQ330" s="263"/>
      <c r="ER330" s="263"/>
      <c r="ES330" s="263"/>
      <c r="ET330" s="263"/>
      <c r="EU330" s="263"/>
      <c r="EV330" s="263"/>
      <c r="EW330" s="263"/>
      <c r="EX330" s="263"/>
      <c r="EY330" s="263"/>
      <c r="EZ330" s="263"/>
      <c r="FA330" s="263"/>
      <c r="FB330" s="263"/>
      <c r="FC330" s="263"/>
      <c r="FD330" s="263"/>
      <c r="FE330" s="263"/>
      <c r="FF330" s="263"/>
      <c r="FG330" s="263"/>
      <c r="FH330" s="263"/>
      <c r="FI330" s="263"/>
      <c r="FJ330" s="263"/>
      <c r="FK330" s="263"/>
      <c r="FL330" s="263"/>
      <c r="FM330" s="263"/>
      <c r="FN330" s="263"/>
      <c r="FO330" s="263"/>
      <c r="FP330" s="263"/>
      <c r="FQ330" s="263"/>
      <c r="FR330" s="263"/>
      <c r="FS330" s="263"/>
      <c r="FT330" s="263"/>
      <c r="FU330" s="263"/>
      <c r="FV330" s="263"/>
      <c r="FW330" s="263"/>
      <c r="FX330" s="263"/>
      <c r="FY330" s="263"/>
      <c r="FZ330" s="263"/>
      <c r="GA330" s="263"/>
      <c r="GB330" s="263"/>
      <c r="GC330" s="263"/>
      <c r="GD330" s="263"/>
      <c r="GE330" s="263"/>
      <c r="GF330" s="263"/>
      <c r="GG330" s="263"/>
      <c r="GH330" s="263"/>
      <c r="GI330" s="263"/>
      <c r="GJ330" s="263"/>
      <c r="GK330" s="263"/>
      <c r="GL330" s="263"/>
      <c r="GM330" s="263"/>
      <c r="GN330" s="263"/>
      <c r="GO330" s="263"/>
      <c r="GP330" s="263"/>
      <c r="GQ330" s="263"/>
      <c r="GR330" s="263"/>
      <c r="GS330" s="263"/>
      <c r="GT330" s="263"/>
      <c r="GU330" s="263"/>
      <c r="GV330" s="263"/>
      <c r="GW330" s="263"/>
      <c r="GX330" s="263"/>
      <c r="GY330" s="263"/>
    </row>
    <row r="331" spans="1:207" x14ac:dyDescent="0.15">
      <c r="A331" s="62"/>
      <c r="D331" s="26" t="s">
        <v>261</v>
      </c>
      <c r="F331" s="80"/>
      <c r="G331" s="262">
        <f ca="1">G330</f>
        <v>3.429902928923262E-3</v>
      </c>
      <c r="H331" s="262">
        <f ca="1">IF(H7&gt;(SAP_Leadsheet!$E$21+12),0,SAP_Spreadsheet!H330-SAP_Spreadsheet!G330)</f>
        <v>4.3253699163060474E-3</v>
      </c>
      <c r="I331" s="262">
        <f ca="1">IF(I7&gt;(SAP_Leadsheet!$E$21+12),0,SAP_Spreadsheet!I330-SAP_Spreadsheet!H330)</f>
        <v>3.9079776793543488E-3</v>
      </c>
      <c r="J331" s="262">
        <f ca="1">IF(J7&gt;(SAP_Leadsheet!$E$21+12),0,SAP_Spreadsheet!J330-SAP_Spreadsheet!I330)</f>
        <v>3.1440529351913545E-3</v>
      </c>
      <c r="K331" s="262">
        <f ca="1">IF(K7&gt;(SAP_Leadsheet!$E$21+12),0,SAP_Spreadsheet!K330-SAP_Spreadsheet!J330)</f>
        <v>6.2499684939391013E-3</v>
      </c>
      <c r="L331" s="262">
        <f ca="1">IF(L7&gt;(SAP_Leadsheet!$E$21+12),0,SAP_Spreadsheet!L330-SAP_Spreadsheet!K330)</f>
        <v>8.5793033893277679E-3</v>
      </c>
      <c r="M331" s="262">
        <f ca="1">IF(M7&gt;(SAP_Leadsheet!$E$21+12),0,SAP_Spreadsheet!M330-SAP_Spreadsheet!L330)</f>
        <v>9.1222773577458414E-3</v>
      </c>
      <c r="N331" s="262">
        <f ca="1">IF(N7&gt;(SAP_Leadsheet!$E$21+12),0,SAP_Spreadsheet!N330-SAP_Spreadsheet!M330)</f>
        <v>1.6097505968262045E-2</v>
      </c>
      <c r="O331" s="262">
        <f ca="1">IF(O7&gt;(SAP_Leadsheet!$E$21+12),0,SAP_Spreadsheet!O330-SAP_Spreadsheet!N330)</f>
        <v>3.2814529392288169E-2</v>
      </c>
      <c r="P331" s="262">
        <f ca="1">IF(P7&gt;(SAP_Leadsheet!$E$21+12),0,SAP_Spreadsheet!P330-SAP_Spreadsheet!O330)</f>
        <v>4.3296252344195624E-2</v>
      </c>
      <c r="Q331" s="262">
        <f ca="1">IF(Q7&gt;(SAP_Leadsheet!$E$21+12),0,SAP_Spreadsheet!Q330-SAP_Spreadsheet!P330)</f>
        <v>4.5938299951187672E-2</v>
      </c>
      <c r="R331" s="262">
        <f ca="1">IF(R7&gt;(SAP_Leadsheet!$E$21+12),0,SAP_Spreadsheet!R330-SAP_Spreadsheet!Q330)</f>
        <v>4.3922110374627177E-2</v>
      </c>
      <c r="S331" s="262">
        <f ca="1">IF(S7&gt;(SAP_Leadsheet!$E$21+12),0,SAP_Spreadsheet!S330-SAP_Spreadsheet!R330)</f>
        <v>3.897926667534557E-2</v>
      </c>
      <c r="T331" s="262">
        <f ca="1">IF(T7&gt;(SAP_Leadsheet!$E$21+12),0,SAP_Spreadsheet!T330-SAP_Spreadsheet!S330)</f>
        <v>3.4395319304091232E-2</v>
      </c>
      <c r="U331" s="262">
        <f ca="1">IF(U7&gt;(SAP_Leadsheet!$E$21+12),0,SAP_Spreadsheet!U330-SAP_Spreadsheet!T330)</f>
        <v>2.9241094413708479E-2</v>
      </c>
      <c r="V331" s="262">
        <f ca="1">IF(V7&gt;(SAP_Leadsheet!$E$21+12),0,SAP_Spreadsheet!V330-SAP_Spreadsheet!U330)</f>
        <v>2.3955103400153221E-2</v>
      </c>
      <c r="W331" s="262">
        <f ca="1">IF(W7&gt;(SAP_Leadsheet!$E$21+12),0,SAP_Spreadsheet!W330-SAP_Spreadsheet!V330)</f>
        <v>2.1024612302847523E-2</v>
      </c>
      <c r="X331" s="262">
        <f ca="1">IF(X7&gt;(SAP_Leadsheet!$E$21+12),0,SAP_Spreadsheet!X330-SAP_Spreadsheet!W330)</f>
        <v>1.8542653319217783E-2</v>
      </c>
      <c r="Y331" s="262">
        <f ca="1">IF(Y7&gt;(SAP_Leadsheet!$E$21+12),0,SAP_Spreadsheet!Y330-SAP_Spreadsheet!X330)</f>
        <v>1.4287780180208542E-2</v>
      </c>
      <c r="Z331" s="262">
        <f ca="1">IF(Z7&gt;(SAP_Leadsheet!$E$21+12),0,SAP_Spreadsheet!Z330-SAP_Spreadsheet!Y330)</f>
        <v>9.6918683639298786E-3</v>
      </c>
      <c r="AA331" s="262">
        <f ca="1">IF(AA7&gt;(SAP_Leadsheet!$E$21+12),0,SAP_Spreadsheet!AA330-SAP_Spreadsheet!Z330)</f>
        <v>1.0197879583972391E-2</v>
      </c>
      <c r="AB331" s="262">
        <f ca="1">IF(AB7&gt;(SAP_Leadsheet!$E$21+12),0,SAP_Spreadsheet!AB330-SAP_Spreadsheet!AA330)</f>
        <v>1.0989666312852864E-2</v>
      </c>
      <c r="AC331" s="262">
        <f ca="1">IF(AC7&gt;(SAP_Leadsheet!$E$21+12),0,SAP_Spreadsheet!AC330-SAP_Spreadsheet!AB330)</f>
        <v>1.1103023604387252E-2</v>
      </c>
      <c r="AD331" s="262">
        <f ca="1">IF(AD7&gt;(SAP_Leadsheet!$E$21+12),0,SAP_Spreadsheet!AD330-SAP_Spreadsheet!AC330)</f>
        <v>1.0731269489753836E-2</v>
      </c>
      <c r="AE331" s="262">
        <f ca="1">IF(AE7&gt;(SAP_Leadsheet!$E$21+12),0,SAP_Spreadsheet!AE330-SAP_Spreadsheet!AD330)</f>
        <v>1.0892938161859766E-2</v>
      </c>
      <c r="AF331" s="262">
        <f ca="1">IF(AF7&gt;(SAP_Leadsheet!$E$21+12),0,SAP_Spreadsheet!AF330-SAP_Spreadsheet!AE330)</f>
        <v>1.117722696479051E-2</v>
      </c>
      <c r="AG331" s="262">
        <f ca="1">IF(AG7&gt;(SAP_Leadsheet!$E$21+12),0,SAP_Spreadsheet!AG330-SAP_Spreadsheet!AF330)</f>
        <v>1.1266219970955005E-2</v>
      </c>
      <c r="AH331" s="262">
        <f ca="1">IF(AH7&gt;(SAP_Leadsheet!$E$21+12),0,SAP_Spreadsheet!AH330-SAP_Spreadsheet!AG330)</f>
        <v>1.0849228848134829E-2</v>
      </c>
      <c r="AI331" s="262">
        <f ca="1">IF(AI7&gt;(SAP_Leadsheet!$E$21+12),0,SAP_Spreadsheet!AI330-SAP_Spreadsheet!AH330)</f>
        <v>1.0404093893206845E-2</v>
      </c>
      <c r="AJ331" s="262">
        <f ca="1">IF(AJ7&gt;(SAP_Leadsheet!$E$21+12),0,SAP_Spreadsheet!AJ330-SAP_Spreadsheet!AI330)</f>
        <v>1.0017089876400265E-2</v>
      </c>
      <c r="AK331" s="262">
        <f ca="1">IF(AK7&gt;(SAP_Leadsheet!$E$21+12),0,SAP_Spreadsheet!AK330-SAP_Spreadsheet!AJ330)</f>
        <v>9.3501155012830628E-3</v>
      </c>
      <c r="AL331" s="262">
        <f ca="1">IF(AL7&gt;(SAP_Leadsheet!$E$21+12),0,SAP_Spreadsheet!AL330-SAP_Spreadsheet!AK330)</f>
        <v>8.584721732383449E-3</v>
      </c>
      <c r="AM331" s="262">
        <f ca="1">IF(AM7&gt;(SAP_Leadsheet!$E$21+12),0,SAP_Spreadsheet!AM330-SAP_Spreadsheet!AL330)</f>
        <v>8.6911250350064639E-3</v>
      </c>
      <c r="AN331" s="262">
        <f ca="1">IF(AN7&gt;(SAP_Leadsheet!$E$21+12),0,SAP_Spreadsheet!AN330-SAP_Spreadsheet!AM330)</f>
        <v>8.9635197875975736E-3</v>
      </c>
      <c r="AO331" s="262">
        <f ca="1">IF(AO7&gt;(SAP_Leadsheet!$E$21+12),0,SAP_Spreadsheet!AO330-SAP_Spreadsheet!AN330)</f>
        <v>9.0852270971026883E-3</v>
      </c>
      <c r="AP331" s="262">
        <f ca="1">IF(AP7&gt;(SAP_Leadsheet!$E$21+12),0,SAP_Spreadsheet!AP330-SAP_Spreadsheet!AO330)</f>
        <v>9.0744249707277458E-3</v>
      </c>
      <c r="AQ331" s="262">
        <f ca="1">IF(AQ7&gt;(SAP_Leadsheet!$E$21+12),0,SAP_Spreadsheet!AQ330-SAP_Spreadsheet!AP330)</f>
        <v>8.7986725984335878E-3</v>
      </c>
      <c r="AR331" s="262">
        <f ca="1">IF(AR7&gt;(SAP_Leadsheet!$E$21+12),0,SAP_Spreadsheet!AR330-SAP_Spreadsheet!AQ330)</f>
        <v>8.598645184165199E-3</v>
      </c>
      <c r="AS331" s="262">
        <f ca="1">IF(AS7&gt;(SAP_Leadsheet!$E$21+12),0,SAP_Spreadsheet!AS330-SAP_Spreadsheet!AR330)</f>
        <v>8.4160662734921177E-3</v>
      </c>
      <c r="AT331" s="262">
        <f ca="1">IF(AT7&gt;(SAP_Leadsheet!$E$21+12),0,SAP_Spreadsheet!AT330-SAP_Spreadsheet!AS330)</f>
        <v>8.132625831572482E-3</v>
      </c>
      <c r="AU331" s="262">
        <f ca="1">IF(AU7&gt;(SAP_Leadsheet!$E$21+12),0,SAP_Spreadsheet!AU330-SAP_Spreadsheet!AT330)</f>
        <v>7.8685587110670641E-3</v>
      </c>
      <c r="AV331" s="262">
        <f ca="1">IF(AV7&gt;(SAP_Leadsheet!$E$21+12),0,SAP_Spreadsheet!AV330-SAP_Spreadsheet!AU330)</f>
        <v>7.4936496301232225E-3</v>
      </c>
      <c r="AW331" s="262">
        <f ca="1">IF(AW7&gt;(SAP_Leadsheet!$E$21+12),0,SAP_Spreadsheet!AW330-SAP_Spreadsheet!AV330)</f>
        <v>6.7268194503120604E-3</v>
      </c>
      <c r="AX331" s="262">
        <f ca="1">IF(AX7&gt;(SAP_Leadsheet!$E$21+12),0,SAP_Spreadsheet!AX330-SAP_Spreadsheet!AW330)</f>
        <v>5.9289789782841495E-3</v>
      </c>
      <c r="AY331" s="262">
        <f ca="1">IF(AY7&gt;(SAP_Leadsheet!$E$21+12),0,SAP_Spreadsheet!AY330-SAP_Spreadsheet!AX330)</f>
        <v>5.8043694480813812E-3</v>
      </c>
      <c r="AZ331" s="262">
        <f ca="1">IF(AZ7&gt;(SAP_Leadsheet!$E$21+12),0,SAP_Spreadsheet!AZ330-SAP_Spreadsheet!AY330)</f>
        <v>5.6929598540498283E-3</v>
      </c>
      <c r="BA331" s="262">
        <f ca="1">IF(BA7&gt;(SAP_Leadsheet!$E$21+12),0,SAP_Spreadsheet!BA330-SAP_Spreadsheet!AZ330)</f>
        <v>5.5886598598205994E-3</v>
      </c>
      <c r="BB331" s="262">
        <f ca="1">IF(BB7&gt;(SAP_Leadsheet!$E$21+12),0,SAP_Spreadsheet!BB330-SAP_Spreadsheet!BA330)</f>
        <v>5.4861434222461813E-3</v>
      </c>
      <c r="BC331" s="262">
        <f ca="1">IF(BC7&gt;(SAP_Leadsheet!$E$21+12),0,SAP_Spreadsheet!BC330-SAP_Spreadsheet!BB330)</f>
        <v>5.3411089353604391E-3</v>
      </c>
      <c r="BD331" s="262">
        <f ca="1">IF(BD7&gt;(SAP_Leadsheet!$E$21+12),0,SAP_Spreadsheet!BD330-SAP_Spreadsheet!BC330)</f>
        <v>5.2473229855054537E-3</v>
      </c>
      <c r="BE331" s="262">
        <f ca="1">IF(BE7&gt;(SAP_Leadsheet!$E$21+12),0,SAP_Spreadsheet!BE330-SAP_Spreadsheet!BD330)</f>
        <v>5.1438384582471741E-3</v>
      </c>
      <c r="BF331" s="262">
        <f ca="1">IF(BF7&gt;(SAP_Leadsheet!$E$21+12),0,SAP_Spreadsheet!BF330-SAP_Spreadsheet!BE330)</f>
        <v>4.9444687125673736E-3</v>
      </c>
      <c r="BG331" s="262">
        <f ca="1">IF(BG7&gt;(SAP_Leadsheet!$E$21+12),0,SAP_Spreadsheet!BG330-SAP_Spreadsheet!BF330)</f>
        <v>4.8304386860908988E-3</v>
      </c>
      <c r="BH331" s="262">
        <f ca="1">IF(BH7&gt;(SAP_Leadsheet!$E$21+12),0,SAP_Spreadsheet!BH330-SAP_Spreadsheet!BG330)</f>
        <v>4.708059041974022E-3</v>
      </c>
      <c r="BI331" s="262">
        <f ca="1">IF(BI7&gt;(SAP_Leadsheet!$E$21+12),0,SAP_Spreadsheet!BI330-SAP_Spreadsheet!BH330)</f>
        <v>4.4087804549884924E-3</v>
      </c>
      <c r="BJ331" s="262">
        <f ca="1">IF(BJ7&gt;(SAP_Leadsheet!$E$21+12),0,SAP_Spreadsheet!BJ330-SAP_Spreadsheet!BI330)</f>
        <v>4.0057859151539921E-3</v>
      </c>
      <c r="BK331" s="262">
        <f ca="1">IF(BK7&gt;(SAP_Leadsheet!$E$21+12),0,SAP_Spreadsheet!BK330-SAP_Spreadsheet!BJ330)</f>
        <v>3.9001320203423395E-3</v>
      </c>
      <c r="BL331" s="262">
        <f ca="1">IF(BL7&gt;(SAP_Leadsheet!$E$21+12),0,SAP_Spreadsheet!BL330-SAP_Spreadsheet!BK330)</f>
        <v>3.793718332308238E-3</v>
      </c>
      <c r="BM331" s="262">
        <f ca="1">IF(BM7&gt;(SAP_Leadsheet!$E$21+12),0,SAP_Spreadsheet!BM330-SAP_Spreadsheet!BL330)</f>
        <v>3.6880741914812054E-3</v>
      </c>
      <c r="BN331" s="262">
        <f ca="1">IF(BN7&gt;(SAP_Leadsheet!$E$21+12),0,SAP_Spreadsheet!BN330-SAP_Spreadsheet!BM330)</f>
        <v>3.5832201552759013E-3</v>
      </c>
      <c r="BO331" s="262">
        <f ca="1">IF(BO7&gt;(SAP_Leadsheet!$E$21+12),0,SAP_Spreadsheet!BO330-SAP_Spreadsheet!BN330)</f>
        <v>2.0320156912433385E-3</v>
      </c>
      <c r="BP331" s="262">
        <f ca="1">IF(BP7&gt;(SAP_Leadsheet!$E$21+12),0,SAP_Spreadsheet!BP330-SAP_Spreadsheet!BO330)</f>
        <v>3.1877629211812808E-3</v>
      </c>
      <c r="BQ331" s="262">
        <f ca="1">IF(BQ7&gt;(SAP_Leadsheet!$E$21+12),0,SAP_Spreadsheet!BQ330-SAP_Spreadsheet!BP330)</f>
        <v>3.140750979335527E-3</v>
      </c>
      <c r="BR331" s="262">
        <f ca="1">IF(BR7&gt;(SAP_Leadsheet!$E$21+12),0,SAP_Spreadsheet!BR330-SAP_Spreadsheet!BQ330)</f>
        <v>3.0617328389782594E-3</v>
      </c>
      <c r="BS331" s="262">
        <f ca="1">IF(BS7&gt;(SAP_Leadsheet!$E$21+12),0,SAP_Spreadsheet!BS330-SAP_Spreadsheet!BR330)</f>
        <v>2.533985759834656E-3</v>
      </c>
      <c r="BT331" s="262">
        <f ca="1">IF(BT7&gt;(SAP_Leadsheet!$E$21+12),0,SAP_Spreadsheet!BT330-SAP_Spreadsheet!BS330)</f>
        <v>2.4535192642888282E-3</v>
      </c>
      <c r="BU331" s="262">
        <f ca="1">IF(BU7&gt;(SAP_Leadsheet!$E$21+12),0,SAP_Spreadsheet!BU330-SAP_Spreadsheet!BT330)</f>
        <v>2.3711135089058422E-3</v>
      </c>
      <c r="BV331" s="262">
        <f ca="1">IF(BV7&gt;(SAP_Leadsheet!$E$21+12),0,SAP_Spreadsheet!BV330-SAP_Spreadsheet!BU330)</f>
        <v>1.4427968503222255E-3</v>
      </c>
      <c r="BW331" s="262">
        <f ca="1">IF(BW7&gt;(SAP_Leadsheet!$E$21+12),0,SAP_Spreadsheet!BW330-SAP_Spreadsheet!BV330)</f>
        <v>0</v>
      </c>
      <c r="BX331" s="262">
        <f ca="1">IF(BX7&gt;(SAP_Leadsheet!$E$21+12),0,SAP_Spreadsheet!BX330-SAP_Spreadsheet!BW330)</f>
        <v>0</v>
      </c>
      <c r="BY331" s="262">
        <f ca="1">IF(BY7&gt;(SAP_Leadsheet!$E$21+12),0,SAP_Spreadsheet!BY330-SAP_Spreadsheet!BX330)</f>
        <v>0</v>
      </c>
      <c r="BZ331" s="262">
        <f ca="1">IF(BZ7&gt;(SAP_Leadsheet!$E$21+12),0,SAP_Spreadsheet!BZ330-SAP_Spreadsheet!BY330)</f>
        <v>0</v>
      </c>
      <c r="CA331" s="263"/>
      <c r="CB331" s="263"/>
      <c r="CC331" s="263"/>
      <c r="CD331" s="263"/>
      <c r="CE331" s="263"/>
      <c r="CF331" s="263"/>
      <c r="CG331" s="263"/>
      <c r="CH331" s="263"/>
      <c r="CI331" s="263"/>
      <c r="CJ331" s="263"/>
      <c r="CK331" s="263"/>
      <c r="CL331" s="263"/>
      <c r="CM331" s="263"/>
      <c r="CN331" s="263"/>
      <c r="CO331" s="263"/>
      <c r="CP331" s="263"/>
      <c r="CQ331" s="263"/>
      <c r="CR331" s="263"/>
      <c r="CS331" s="263"/>
      <c r="CT331" s="263"/>
      <c r="CU331" s="263"/>
      <c r="CV331" s="263"/>
      <c r="CW331" s="263"/>
      <c r="CX331" s="263"/>
      <c r="CY331" s="263"/>
      <c r="CZ331" s="263"/>
      <c r="DA331" s="263"/>
      <c r="DB331" s="263"/>
      <c r="DC331" s="263"/>
      <c r="DD331" s="263"/>
      <c r="DE331" s="263"/>
      <c r="DF331" s="263"/>
      <c r="DG331" s="263"/>
      <c r="DH331" s="263"/>
      <c r="DI331" s="263"/>
      <c r="DJ331" s="263"/>
      <c r="DK331" s="263"/>
      <c r="DL331" s="263"/>
      <c r="DM331" s="263"/>
      <c r="DN331" s="263"/>
      <c r="DO331" s="263"/>
      <c r="DP331" s="263"/>
      <c r="DQ331" s="263"/>
      <c r="DR331" s="263"/>
      <c r="DS331" s="263"/>
      <c r="DT331" s="263"/>
      <c r="DU331" s="263"/>
      <c r="DV331" s="263"/>
      <c r="DW331" s="263"/>
      <c r="DX331" s="263"/>
      <c r="DY331" s="263"/>
      <c r="DZ331" s="263"/>
      <c r="EA331" s="263"/>
      <c r="EB331" s="263"/>
      <c r="EC331" s="263"/>
      <c r="ED331" s="263"/>
      <c r="EE331" s="263"/>
      <c r="EF331" s="263"/>
      <c r="EG331" s="263"/>
      <c r="EH331" s="263"/>
      <c r="EI331" s="263"/>
      <c r="EJ331" s="263"/>
      <c r="EK331" s="263"/>
      <c r="EL331" s="263"/>
      <c r="EM331" s="263"/>
      <c r="EN331" s="263"/>
      <c r="EO331" s="263"/>
      <c r="EP331" s="263"/>
      <c r="EQ331" s="263"/>
      <c r="ER331" s="263"/>
      <c r="ES331" s="263"/>
      <c r="ET331" s="263"/>
      <c r="EU331" s="263"/>
      <c r="EV331" s="263"/>
      <c r="EW331" s="263"/>
      <c r="EX331" s="263"/>
      <c r="EY331" s="263"/>
      <c r="EZ331" s="263"/>
      <c r="FA331" s="263"/>
      <c r="FB331" s="263"/>
      <c r="FC331" s="263"/>
      <c r="FD331" s="263"/>
      <c r="FE331" s="263"/>
      <c r="FF331" s="263"/>
      <c r="FG331" s="263"/>
      <c r="FH331" s="263"/>
      <c r="FI331" s="263"/>
      <c r="FJ331" s="263"/>
      <c r="FK331" s="263"/>
      <c r="FL331" s="263"/>
      <c r="FM331" s="263"/>
      <c r="FN331" s="263"/>
      <c r="FO331" s="263"/>
      <c r="FP331" s="263"/>
      <c r="FQ331" s="263"/>
      <c r="FR331" s="263"/>
      <c r="FS331" s="263"/>
      <c r="FT331" s="263"/>
      <c r="FU331" s="263"/>
      <c r="FV331" s="263"/>
      <c r="FW331" s="263"/>
      <c r="FX331" s="263"/>
      <c r="FY331" s="263"/>
      <c r="FZ331" s="263"/>
      <c r="GA331" s="263"/>
      <c r="GB331" s="263"/>
      <c r="GC331" s="263"/>
      <c r="GD331" s="263"/>
      <c r="GE331" s="263"/>
      <c r="GF331" s="263"/>
      <c r="GG331" s="263"/>
      <c r="GH331" s="263"/>
      <c r="GI331" s="263"/>
      <c r="GJ331" s="263"/>
      <c r="GK331" s="263"/>
      <c r="GL331" s="263"/>
      <c r="GM331" s="263"/>
      <c r="GN331" s="263"/>
      <c r="GO331" s="263"/>
      <c r="GP331" s="263"/>
      <c r="GQ331" s="263"/>
      <c r="GR331" s="263"/>
      <c r="GS331" s="263"/>
      <c r="GT331" s="263"/>
      <c r="GU331" s="263"/>
      <c r="GV331" s="263"/>
      <c r="GW331" s="263"/>
      <c r="GX331" s="263"/>
      <c r="GY331" s="263"/>
    </row>
    <row r="332" spans="1:207" x14ac:dyDescent="0.15">
      <c r="A332" s="62"/>
      <c r="D332" s="26" t="s">
        <v>261</v>
      </c>
      <c r="F332" s="80"/>
      <c r="G332" s="263"/>
      <c r="H332" s="263"/>
      <c r="I332" s="263"/>
      <c r="J332" s="263"/>
      <c r="K332" s="263"/>
      <c r="L332" s="263"/>
      <c r="M332" s="263"/>
      <c r="N332" s="263"/>
      <c r="O332" s="263"/>
      <c r="P332" s="263"/>
      <c r="Q332" s="263"/>
      <c r="R332" s="263"/>
      <c r="S332" s="263"/>
      <c r="T332" s="263"/>
      <c r="U332" s="263"/>
      <c r="V332" s="263"/>
      <c r="W332" s="263"/>
      <c r="X332" s="263"/>
      <c r="Y332" s="263"/>
      <c r="Z332" s="263"/>
      <c r="AA332" s="263"/>
      <c r="AB332" s="263"/>
      <c r="AC332" s="263"/>
      <c r="AD332" s="263"/>
      <c r="AE332" s="263"/>
      <c r="AF332" s="263"/>
      <c r="AG332" s="263"/>
      <c r="AH332" s="263"/>
      <c r="AI332" s="263"/>
      <c r="AJ332" s="263"/>
      <c r="AK332" s="263"/>
      <c r="AL332" s="263"/>
      <c r="AM332" s="263"/>
      <c r="AN332" s="263"/>
      <c r="AO332" s="263"/>
      <c r="AP332" s="263"/>
      <c r="AQ332" s="263"/>
      <c r="AR332" s="263"/>
      <c r="AS332" s="263"/>
      <c r="AT332" s="263"/>
      <c r="AU332" s="263"/>
      <c r="AV332" s="263"/>
      <c r="AW332" s="263"/>
      <c r="AX332" s="263"/>
      <c r="AY332" s="263"/>
      <c r="AZ332" s="263"/>
      <c r="BA332" s="263"/>
      <c r="BB332" s="263"/>
      <c r="BC332" s="263"/>
      <c r="BD332" s="263"/>
      <c r="BE332" s="263"/>
      <c r="BF332" s="263"/>
      <c r="BG332" s="263"/>
      <c r="BH332" s="263"/>
      <c r="BI332" s="263"/>
      <c r="BJ332" s="263"/>
      <c r="BK332" s="263"/>
      <c r="BL332" s="263"/>
      <c r="BM332" s="263"/>
      <c r="BN332" s="263"/>
      <c r="BO332" s="263"/>
      <c r="BP332" s="263"/>
      <c r="BQ332" s="263"/>
      <c r="BR332" s="263"/>
      <c r="BS332" s="263"/>
      <c r="BT332" s="263"/>
      <c r="BU332" s="263"/>
      <c r="BV332" s="263"/>
      <c r="BW332" s="263"/>
      <c r="BX332" s="263"/>
      <c r="BY332" s="263"/>
      <c r="BZ332" s="263"/>
      <c r="CA332" s="263"/>
      <c r="CB332" s="263"/>
      <c r="CC332" s="263"/>
      <c r="CD332" s="263"/>
      <c r="CE332" s="263"/>
      <c r="CF332" s="263"/>
      <c r="CG332" s="263"/>
      <c r="CH332" s="263"/>
      <c r="CI332" s="263"/>
      <c r="CJ332" s="263"/>
      <c r="CK332" s="263"/>
      <c r="CL332" s="263"/>
      <c r="CM332" s="263"/>
      <c r="CN332" s="263"/>
      <c r="CO332" s="263"/>
      <c r="CP332" s="263"/>
      <c r="CQ332" s="263"/>
      <c r="CR332" s="263"/>
      <c r="CS332" s="263"/>
      <c r="CT332" s="263"/>
      <c r="CU332" s="263"/>
      <c r="CV332" s="263"/>
      <c r="CW332" s="263"/>
      <c r="CX332" s="263"/>
      <c r="CY332" s="263"/>
      <c r="CZ332" s="263"/>
      <c r="DA332" s="263"/>
      <c r="DB332" s="263"/>
      <c r="DC332" s="263"/>
      <c r="DD332" s="263"/>
      <c r="DE332" s="263"/>
      <c r="DF332" s="263"/>
      <c r="DG332" s="263"/>
      <c r="DH332" s="263"/>
      <c r="DI332" s="263"/>
      <c r="DJ332" s="263"/>
      <c r="DK332" s="263"/>
      <c r="DL332" s="263"/>
      <c r="DM332" s="263"/>
      <c r="DN332" s="263"/>
      <c r="DO332" s="263"/>
      <c r="DP332" s="263"/>
      <c r="DQ332" s="263"/>
      <c r="DR332" s="263"/>
      <c r="DS332" s="263"/>
      <c r="DT332" s="263"/>
      <c r="DU332" s="263"/>
      <c r="DV332" s="263"/>
      <c r="DW332" s="263"/>
      <c r="DX332" s="263"/>
      <c r="DY332" s="263"/>
      <c r="DZ332" s="263"/>
      <c r="EA332" s="263"/>
      <c r="EB332" s="263"/>
      <c r="EC332" s="263"/>
      <c r="ED332" s="263"/>
      <c r="EE332" s="263"/>
      <c r="EF332" s="263"/>
      <c r="EG332" s="263"/>
      <c r="EH332" s="263"/>
      <c r="EI332" s="263"/>
      <c r="EJ332" s="263"/>
      <c r="EK332" s="263"/>
      <c r="EL332" s="263"/>
      <c r="EM332" s="263"/>
      <c r="EN332" s="263"/>
      <c r="EO332" s="263"/>
      <c r="EP332" s="263"/>
      <c r="EQ332" s="263"/>
      <c r="ER332" s="263"/>
      <c r="ES332" s="263"/>
      <c r="ET332" s="263"/>
      <c r="EU332" s="263"/>
      <c r="EV332" s="263"/>
      <c r="EW332" s="263"/>
      <c r="EX332" s="263"/>
      <c r="EY332" s="263"/>
      <c r="EZ332" s="263"/>
      <c r="FA332" s="263"/>
      <c r="FB332" s="263"/>
      <c r="FC332" s="263"/>
      <c r="FD332" s="263"/>
      <c r="FE332" s="263"/>
      <c r="FF332" s="263"/>
      <c r="FG332" s="263"/>
      <c r="FH332" s="263"/>
      <c r="FI332" s="263"/>
      <c r="FJ332" s="263"/>
      <c r="FK332" s="263"/>
      <c r="FL332" s="263"/>
      <c r="FM332" s="263"/>
      <c r="FN332" s="263"/>
      <c r="FO332" s="263"/>
      <c r="FP332" s="263"/>
      <c r="FQ332" s="263"/>
      <c r="FR332" s="263"/>
      <c r="FS332" s="263"/>
      <c r="FT332" s="263"/>
      <c r="FU332" s="263"/>
      <c r="FV332" s="263"/>
      <c r="FW332" s="263"/>
      <c r="FX332" s="263"/>
      <c r="FY332" s="263"/>
      <c r="FZ332" s="263"/>
      <c r="GA332" s="263"/>
      <c r="GB332" s="263"/>
      <c r="GC332" s="263"/>
      <c r="GD332" s="263"/>
      <c r="GE332" s="263"/>
      <c r="GF332" s="263"/>
      <c r="GG332" s="263"/>
      <c r="GH332" s="263"/>
      <c r="GI332" s="263"/>
      <c r="GJ332" s="263"/>
      <c r="GK332" s="263"/>
      <c r="GL332" s="263"/>
      <c r="GM332" s="263"/>
      <c r="GN332" s="263"/>
      <c r="GO332" s="263"/>
      <c r="GP332" s="263"/>
      <c r="GQ332" s="263"/>
      <c r="GR332" s="263"/>
      <c r="GS332" s="263"/>
      <c r="GT332" s="263"/>
      <c r="GU332" s="263"/>
      <c r="GV332" s="263"/>
      <c r="GW332" s="263"/>
      <c r="GX332" s="263"/>
      <c r="GY332" s="263"/>
    </row>
    <row r="333" spans="1:207" x14ac:dyDescent="0.15">
      <c r="A333" s="62"/>
      <c r="F333" s="80"/>
      <c r="G333" s="263"/>
      <c r="H333" s="263"/>
      <c r="I333" s="263"/>
      <c r="J333" s="263"/>
      <c r="K333" s="263"/>
      <c r="L333" s="263"/>
      <c r="M333" s="263"/>
      <c r="N333" s="263"/>
      <c r="O333" s="263"/>
      <c r="P333" s="263"/>
      <c r="Q333" s="263"/>
      <c r="R333" s="263"/>
      <c r="S333" s="263"/>
      <c r="T333" s="263"/>
      <c r="U333" s="263"/>
      <c r="V333" s="263"/>
      <c r="W333" s="263"/>
      <c r="X333" s="263"/>
      <c r="Y333" s="263"/>
      <c r="Z333" s="263"/>
      <c r="AA333" s="263"/>
      <c r="AB333" s="263"/>
      <c r="AC333" s="263"/>
      <c r="AD333" s="263"/>
      <c r="AE333" s="263"/>
      <c r="AF333" s="263"/>
      <c r="AG333" s="263"/>
      <c r="AH333" s="263"/>
      <c r="AI333" s="263"/>
      <c r="AJ333" s="263"/>
      <c r="AK333" s="263"/>
      <c r="AL333" s="263"/>
      <c r="AM333" s="263"/>
      <c r="AN333" s="263"/>
      <c r="AO333" s="263"/>
      <c r="AP333" s="263"/>
      <c r="AQ333" s="263"/>
      <c r="AR333" s="263"/>
      <c r="AS333" s="263"/>
      <c r="AT333" s="263"/>
      <c r="AU333" s="263"/>
      <c r="AV333" s="263"/>
      <c r="AW333" s="263"/>
      <c r="AX333" s="263"/>
      <c r="AY333" s="263"/>
      <c r="AZ333" s="263"/>
      <c r="BA333" s="263"/>
      <c r="BB333" s="263"/>
      <c r="BC333" s="263"/>
      <c r="BD333" s="263"/>
      <c r="BE333" s="263"/>
      <c r="BF333" s="263"/>
      <c r="BG333" s="263"/>
      <c r="BH333" s="263"/>
      <c r="BI333" s="263"/>
      <c r="BJ333" s="263"/>
      <c r="BK333" s="263"/>
      <c r="BL333" s="263"/>
      <c r="BM333" s="263"/>
      <c r="BN333" s="263"/>
      <c r="BO333" s="263"/>
      <c r="BP333" s="263"/>
      <c r="BQ333" s="263"/>
      <c r="BR333" s="263"/>
      <c r="BS333" s="263"/>
      <c r="BT333" s="263"/>
      <c r="BU333" s="263"/>
      <c r="BV333" s="263"/>
      <c r="BW333" s="263"/>
      <c r="BX333" s="263"/>
      <c r="BY333" s="263"/>
      <c r="BZ333" s="263"/>
      <c r="CA333" s="263"/>
      <c r="CB333" s="263"/>
      <c r="CC333" s="263"/>
      <c r="CD333" s="263"/>
      <c r="CE333" s="263"/>
      <c r="CF333" s="263"/>
      <c r="CG333" s="263"/>
      <c r="CH333" s="263"/>
      <c r="CI333" s="263"/>
      <c r="CJ333" s="263"/>
      <c r="CK333" s="263"/>
      <c r="CL333" s="263"/>
      <c r="CM333" s="263"/>
      <c r="CN333" s="263"/>
      <c r="CO333" s="263"/>
      <c r="CP333" s="263"/>
      <c r="CQ333" s="263"/>
      <c r="CR333" s="263"/>
      <c r="CS333" s="263"/>
      <c r="CT333" s="263"/>
      <c r="CU333" s="263"/>
      <c r="CV333" s="263"/>
      <c r="CW333" s="263"/>
      <c r="CX333" s="263"/>
      <c r="CY333" s="263"/>
      <c r="CZ333" s="263"/>
      <c r="DA333" s="263"/>
      <c r="DB333" s="263"/>
      <c r="DC333" s="263"/>
      <c r="DD333" s="263"/>
      <c r="DE333" s="263"/>
      <c r="DF333" s="263"/>
      <c r="DG333" s="263"/>
      <c r="DH333" s="263"/>
      <c r="DI333" s="263"/>
      <c r="DJ333" s="263"/>
      <c r="DK333" s="263"/>
      <c r="DL333" s="263"/>
      <c r="DM333" s="263"/>
      <c r="DN333" s="263"/>
      <c r="DO333" s="263"/>
      <c r="DP333" s="263"/>
      <c r="DQ333" s="263"/>
      <c r="DR333" s="263"/>
      <c r="DS333" s="263"/>
      <c r="DT333" s="263"/>
      <c r="DU333" s="263"/>
      <c r="DV333" s="263"/>
      <c r="DW333" s="263"/>
      <c r="DX333" s="263"/>
      <c r="DY333" s="263"/>
      <c r="DZ333" s="263"/>
      <c r="EA333" s="263"/>
      <c r="EB333" s="263"/>
      <c r="EC333" s="263"/>
      <c r="ED333" s="263"/>
      <c r="EE333" s="263"/>
      <c r="EF333" s="263"/>
      <c r="EG333" s="263"/>
      <c r="EH333" s="263"/>
      <c r="EI333" s="263"/>
      <c r="EJ333" s="263"/>
      <c r="EK333" s="263"/>
      <c r="EL333" s="263"/>
      <c r="EM333" s="263"/>
      <c r="EN333" s="263"/>
      <c r="EO333" s="263"/>
      <c r="EP333" s="263"/>
      <c r="EQ333" s="263"/>
      <c r="ER333" s="263"/>
      <c r="ES333" s="263"/>
      <c r="ET333" s="263"/>
      <c r="EU333" s="263"/>
      <c r="EV333" s="263"/>
      <c r="EW333" s="263"/>
      <c r="EX333" s="263"/>
      <c r="EY333" s="263"/>
      <c r="EZ333" s="263"/>
      <c r="FA333" s="263"/>
      <c r="FB333" s="263"/>
      <c r="FC333" s="263"/>
      <c r="FD333" s="263"/>
      <c r="FE333" s="263"/>
      <c r="FF333" s="263"/>
      <c r="FG333" s="263"/>
      <c r="FH333" s="263"/>
      <c r="FI333" s="263"/>
      <c r="FJ333" s="263"/>
      <c r="FK333" s="263"/>
      <c r="FL333" s="263"/>
      <c r="FM333" s="263"/>
      <c r="FN333" s="263"/>
      <c r="FO333" s="263"/>
      <c r="FP333" s="263"/>
      <c r="FQ333" s="263"/>
      <c r="FR333" s="263"/>
      <c r="FS333" s="263"/>
      <c r="FT333" s="263"/>
      <c r="FU333" s="263"/>
      <c r="FV333" s="263"/>
      <c r="FW333" s="263"/>
      <c r="FX333" s="263"/>
      <c r="FY333" s="263"/>
      <c r="FZ333" s="263"/>
      <c r="GA333" s="263"/>
      <c r="GB333" s="263"/>
      <c r="GC333" s="263"/>
      <c r="GD333" s="263"/>
      <c r="GE333" s="263"/>
      <c r="GF333" s="263"/>
      <c r="GG333" s="263"/>
      <c r="GH333" s="263"/>
      <c r="GI333" s="263"/>
      <c r="GJ333" s="263"/>
      <c r="GK333" s="263"/>
      <c r="GL333" s="263"/>
      <c r="GM333" s="263"/>
      <c r="GN333" s="263"/>
      <c r="GO333" s="263"/>
      <c r="GP333" s="263"/>
      <c r="GQ333" s="263"/>
      <c r="GR333" s="263"/>
      <c r="GS333" s="263"/>
      <c r="GT333" s="263"/>
      <c r="GU333" s="263"/>
      <c r="GV333" s="263"/>
      <c r="GW333" s="263"/>
      <c r="GX333" s="263"/>
      <c r="GY333" s="263"/>
    </row>
    <row r="334" spans="1:207" x14ac:dyDescent="0.15">
      <c r="A334" s="62"/>
      <c r="F334" s="80"/>
      <c r="G334" s="263"/>
      <c r="H334" s="263"/>
      <c r="I334" s="263"/>
      <c r="J334" s="263"/>
      <c r="K334" s="263"/>
      <c r="L334" s="263"/>
      <c r="M334" s="263"/>
      <c r="N334" s="263"/>
      <c r="O334" s="263"/>
      <c r="P334" s="263"/>
      <c r="Q334" s="263"/>
      <c r="R334" s="263"/>
      <c r="S334" s="263"/>
      <c r="T334" s="263"/>
      <c r="U334" s="263"/>
      <c r="V334" s="263"/>
      <c r="W334" s="263"/>
      <c r="X334" s="263"/>
      <c r="Y334" s="263"/>
      <c r="Z334" s="263"/>
      <c r="AA334" s="263"/>
      <c r="AB334" s="263"/>
      <c r="AC334" s="263"/>
      <c r="AD334" s="263"/>
      <c r="AE334" s="263"/>
      <c r="AF334" s="263"/>
      <c r="AG334" s="263"/>
      <c r="AH334" s="263"/>
      <c r="AI334" s="263"/>
      <c r="AJ334" s="263"/>
      <c r="AK334" s="263"/>
      <c r="AL334" s="263"/>
      <c r="AM334" s="263"/>
      <c r="AN334" s="263"/>
      <c r="AO334" s="263"/>
      <c r="AP334" s="263"/>
      <c r="AQ334" s="263"/>
      <c r="AR334" s="263"/>
      <c r="AS334" s="263"/>
      <c r="AT334" s="263"/>
      <c r="AU334" s="263"/>
      <c r="AV334" s="263"/>
      <c r="AW334" s="263"/>
      <c r="AX334" s="263"/>
      <c r="AY334" s="263"/>
      <c r="AZ334" s="263"/>
      <c r="BA334" s="263"/>
      <c r="BB334" s="263"/>
      <c r="BC334" s="263"/>
      <c r="BD334" s="263"/>
      <c r="BE334" s="263"/>
      <c r="BF334" s="263"/>
      <c r="BG334" s="263"/>
      <c r="BH334" s="263"/>
      <c r="BI334" s="263"/>
      <c r="BJ334" s="263"/>
      <c r="BK334" s="263"/>
      <c r="BL334" s="263"/>
      <c r="BM334" s="263"/>
      <c r="BN334" s="263"/>
      <c r="BO334" s="263"/>
      <c r="BP334" s="263"/>
      <c r="BQ334" s="263"/>
      <c r="BR334" s="263"/>
      <c r="BS334" s="263"/>
      <c r="BT334" s="263"/>
      <c r="BU334" s="263"/>
      <c r="BV334" s="263"/>
      <c r="BW334" s="263"/>
      <c r="BX334" s="263"/>
      <c r="BY334" s="263"/>
      <c r="BZ334" s="263"/>
      <c r="CA334" s="263"/>
      <c r="CB334" s="263"/>
      <c r="CC334" s="263"/>
      <c r="CD334" s="263"/>
      <c r="CE334" s="263"/>
      <c r="CF334" s="263"/>
      <c r="CG334" s="263"/>
      <c r="CH334" s="263"/>
      <c r="CI334" s="263"/>
      <c r="CJ334" s="263"/>
      <c r="CK334" s="263"/>
      <c r="CL334" s="263"/>
      <c r="CM334" s="263"/>
      <c r="CN334" s="263"/>
      <c r="CO334" s="263"/>
      <c r="CP334" s="263"/>
      <c r="CQ334" s="263"/>
      <c r="CR334" s="263"/>
      <c r="CS334" s="263"/>
      <c r="CT334" s="263"/>
      <c r="CU334" s="263"/>
      <c r="CV334" s="263"/>
      <c r="CW334" s="263"/>
      <c r="CX334" s="263"/>
      <c r="CY334" s="263"/>
      <c r="CZ334" s="263"/>
      <c r="DA334" s="263"/>
      <c r="DB334" s="263"/>
      <c r="DC334" s="263"/>
      <c r="DD334" s="263"/>
      <c r="DE334" s="263"/>
      <c r="DF334" s="263"/>
      <c r="DG334" s="263"/>
      <c r="DH334" s="263"/>
      <c r="DI334" s="263"/>
      <c r="DJ334" s="263"/>
      <c r="DK334" s="263"/>
      <c r="DL334" s="263"/>
      <c r="DM334" s="263"/>
      <c r="DN334" s="263"/>
      <c r="DO334" s="263"/>
      <c r="DP334" s="263"/>
      <c r="DQ334" s="263"/>
      <c r="DR334" s="263"/>
      <c r="DS334" s="263"/>
      <c r="DT334" s="263"/>
      <c r="DU334" s="263"/>
      <c r="DV334" s="263"/>
      <c r="DW334" s="263"/>
      <c r="DX334" s="263"/>
      <c r="DY334" s="263"/>
      <c r="DZ334" s="263"/>
      <c r="EA334" s="263"/>
      <c r="EB334" s="263"/>
      <c r="EC334" s="263"/>
      <c r="ED334" s="263"/>
      <c r="EE334" s="263"/>
      <c r="EF334" s="263"/>
      <c r="EG334" s="263"/>
      <c r="EH334" s="263"/>
      <c r="EI334" s="263"/>
      <c r="EJ334" s="263"/>
      <c r="EK334" s="263"/>
      <c r="EL334" s="263"/>
      <c r="EM334" s="263"/>
      <c r="EN334" s="263"/>
      <c r="EO334" s="263"/>
      <c r="EP334" s="263"/>
      <c r="EQ334" s="263"/>
      <c r="ER334" s="263"/>
      <c r="ES334" s="263"/>
      <c r="ET334" s="263"/>
      <c r="EU334" s="263"/>
      <c r="EV334" s="263"/>
      <c r="EW334" s="263"/>
      <c r="EX334" s="263"/>
      <c r="EY334" s="263"/>
      <c r="EZ334" s="263"/>
      <c r="FA334" s="263"/>
      <c r="FB334" s="263"/>
      <c r="FC334" s="263"/>
      <c r="FD334" s="263"/>
      <c r="FE334" s="263"/>
      <c r="FF334" s="263"/>
      <c r="FG334" s="263"/>
      <c r="FH334" s="263"/>
      <c r="FI334" s="263"/>
      <c r="FJ334" s="263"/>
      <c r="FK334" s="263"/>
      <c r="FL334" s="263"/>
      <c r="FM334" s="263"/>
      <c r="FN334" s="263"/>
      <c r="FO334" s="263"/>
      <c r="FP334" s="263"/>
      <c r="FQ334" s="263"/>
      <c r="FR334" s="263"/>
      <c r="FS334" s="263"/>
      <c r="FT334" s="263"/>
      <c r="FU334" s="263"/>
      <c r="FV334" s="263"/>
      <c r="FW334" s="263"/>
      <c r="FX334" s="263"/>
      <c r="FY334" s="263"/>
      <c r="FZ334" s="263"/>
      <c r="GA334" s="263"/>
      <c r="GB334" s="263"/>
      <c r="GC334" s="263"/>
      <c r="GD334" s="263"/>
      <c r="GE334" s="263"/>
      <c r="GF334" s="263"/>
      <c r="GG334" s="263"/>
      <c r="GH334" s="263"/>
      <c r="GI334" s="263"/>
      <c r="GJ334" s="263"/>
      <c r="GK334" s="263"/>
      <c r="GL334" s="263"/>
      <c r="GM334" s="263"/>
      <c r="GN334" s="263"/>
      <c r="GO334" s="263"/>
      <c r="GP334" s="263"/>
      <c r="GQ334" s="263"/>
      <c r="GR334" s="263"/>
      <c r="GS334" s="263"/>
      <c r="GT334" s="263"/>
      <c r="GU334" s="263"/>
      <c r="GV334" s="263"/>
      <c r="GW334" s="263"/>
      <c r="GX334" s="263"/>
      <c r="GY334" s="263"/>
    </row>
    <row r="335" spans="1:207" x14ac:dyDescent="0.15">
      <c r="A335" s="62"/>
      <c r="D335" s="23" t="s">
        <v>261</v>
      </c>
      <c r="F335" s="80"/>
      <c r="G335" s="262" cm="1">
        <f t="array" aca="1" ref="G335" ca="1">-_xlfn.IFS(SAP_Leadsheet!$C$7="IFRS",G297,AND(SAP_Leadsheet!$C$7="VAS",SAP_Leadsheet!$C$6="DPD360+"),G317,AND(SAP_Leadsheet!$C$7="VAS",SAP_Leadsheet!$C$6="DPD180+"),G331)</f>
        <v>-3.429902928923262E-3</v>
      </c>
      <c r="H335" s="262" cm="1">
        <f t="array" aca="1" ref="H335" ca="1">-_xlfn.IFS(SAP_Leadsheet!$C$7="IFRS",H297,AND(SAP_Leadsheet!$C$7="VAS",SAP_Leadsheet!$C$6="DPD360+"),H317,AND(SAP_Leadsheet!$C$7="VAS",SAP_Leadsheet!$C$6="DPD180+"),H331)</f>
        <v>-4.3253699163060474E-3</v>
      </c>
      <c r="I335" s="262" cm="1">
        <f t="array" aca="1" ref="I335" ca="1">-_xlfn.IFS(SAP_Leadsheet!$C$7="IFRS",I297,AND(SAP_Leadsheet!$C$7="VAS",SAP_Leadsheet!$C$6="DPD360+"),I317,AND(SAP_Leadsheet!$C$7="VAS",SAP_Leadsheet!$C$6="DPD180+"),I331)</f>
        <v>-3.9079776793543488E-3</v>
      </c>
      <c r="J335" s="262" cm="1">
        <f t="array" aca="1" ref="J335" ca="1">-_xlfn.IFS(SAP_Leadsheet!$C$7="IFRS",J297,AND(SAP_Leadsheet!$C$7="VAS",SAP_Leadsheet!$C$6="DPD360+"),J317,AND(SAP_Leadsheet!$C$7="VAS",SAP_Leadsheet!$C$6="DPD180+"),J331)</f>
        <v>-3.1440529351913545E-3</v>
      </c>
      <c r="K335" s="262" cm="1">
        <f t="array" aca="1" ref="K335" ca="1">-_xlfn.IFS(SAP_Leadsheet!$C$7="IFRS",K297,AND(SAP_Leadsheet!$C$7="VAS",SAP_Leadsheet!$C$6="DPD360+"),K317,AND(SAP_Leadsheet!$C$7="VAS",SAP_Leadsheet!$C$6="DPD180+"),K331)</f>
        <v>-6.2499684939391013E-3</v>
      </c>
      <c r="L335" s="262" cm="1">
        <f t="array" aca="1" ref="L335" ca="1">-_xlfn.IFS(SAP_Leadsheet!$C$7="IFRS",L297,AND(SAP_Leadsheet!$C$7="VAS",SAP_Leadsheet!$C$6="DPD360+"),L317,AND(SAP_Leadsheet!$C$7="VAS",SAP_Leadsheet!$C$6="DPD180+"),L331)</f>
        <v>-8.5793033893277679E-3</v>
      </c>
      <c r="M335" s="262" cm="1">
        <f t="array" aca="1" ref="M335" ca="1">-_xlfn.IFS(SAP_Leadsheet!$C$7="IFRS",M297,AND(SAP_Leadsheet!$C$7="VAS",SAP_Leadsheet!$C$6="DPD360+"),M317,AND(SAP_Leadsheet!$C$7="VAS",SAP_Leadsheet!$C$6="DPD180+"),M331)</f>
        <v>-9.1222773577458414E-3</v>
      </c>
      <c r="N335" s="262" cm="1">
        <f t="array" aca="1" ref="N335" ca="1">-_xlfn.IFS(SAP_Leadsheet!$C$7="IFRS",N297,AND(SAP_Leadsheet!$C$7="VAS",SAP_Leadsheet!$C$6="DPD360+"),N317,AND(SAP_Leadsheet!$C$7="VAS",SAP_Leadsheet!$C$6="DPD180+"),N331)</f>
        <v>-1.6097505968262045E-2</v>
      </c>
      <c r="O335" s="262" cm="1">
        <f t="array" aca="1" ref="O335" ca="1">-_xlfn.IFS(SAP_Leadsheet!$C$7="IFRS",O297,AND(SAP_Leadsheet!$C$7="VAS",SAP_Leadsheet!$C$6="DPD360+"),O317,AND(SAP_Leadsheet!$C$7="VAS",SAP_Leadsheet!$C$6="DPD180+"),O331)</f>
        <v>-3.2814529392288169E-2</v>
      </c>
      <c r="P335" s="262" cm="1">
        <f t="array" aca="1" ref="P335" ca="1">-_xlfn.IFS(SAP_Leadsheet!$C$7="IFRS",P297,AND(SAP_Leadsheet!$C$7="VAS",SAP_Leadsheet!$C$6="DPD360+"),P317,AND(SAP_Leadsheet!$C$7="VAS",SAP_Leadsheet!$C$6="DPD180+"),P331)</f>
        <v>-4.3296252344195624E-2</v>
      </c>
      <c r="Q335" s="262" cm="1">
        <f t="array" aca="1" ref="Q335" ca="1">-_xlfn.IFS(SAP_Leadsheet!$C$7="IFRS",Q297,AND(SAP_Leadsheet!$C$7="VAS",SAP_Leadsheet!$C$6="DPD360+"),Q317,AND(SAP_Leadsheet!$C$7="VAS",SAP_Leadsheet!$C$6="DPD180+"),Q331)</f>
        <v>-4.5938299951187672E-2</v>
      </c>
      <c r="R335" s="262" cm="1">
        <f t="array" aca="1" ref="R335" ca="1">-_xlfn.IFS(SAP_Leadsheet!$C$7="IFRS",R297,AND(SAP_Leadsheet!$C$7="VAS",SAP_Leadsheet!$C$6="DPD360+"),R317,AND(SAP_Leadsheet!$C$7="VAS",SAP_Leadsheet!$C$6="DPD180+"),R331)</f>
        <v>-4.3922110374627177E-2</v>
      </c>
      <c r="S335" s="262" cm="1">
        <f t="array" aca="1" ref="S335" ca="1">-_xlfn.IFS(SAP_Leadsheet!$C$7="IFRS",S297,AND(SAP_Leadsheet!$C$7="VAS",SAP_Leadsheet!$C$6="DPD360+"),S317,AND(SAP_Leadsheet!$C$7="VAS",SAP_Leadsheet!$C$6="DPD180+"),S331)</f>
        <v>-3.897926667534557E-2</v>
      </c>
      <c r="T335" s="262" cm="1">
        <f t="array" aca="1" ref="T335" ca="1">-_xlfn.IFS(SAP_Leadsheet!$C$7="IFRS",T297,AND(SAP_Leadsheet!$C$7="VAS",SAP_Leadsheet!$C$6="DPD360+"),T317,AND(SAP_Leadsheet!$C$7="VAS",SAP_Leadsheet!$C$6="DPD180+"),T331)</f>
        <v>-3.4395319304091232E-2</v>
      </c>
      <c r="U335" s="262" cm="1">
        <f t="array" aca="1" ref="U335" ca="1">-_xlfn.IFS(SAP_Leadsheet!$C$7="IFRS",U297,AND(SAP_Leadsheet!$C$7="VAS",SAP_Leadsheet!$C$6="DPD360+"),U317,AND(SAP_Leadsheet!$C$7="VAS",SAP_Leadsheet!$C$6="DPD180+"),U331)</f>
        <v>-2.9241094413708479E-2</v>
      </c>
      <c r="V335" s="262" cm="1">
        <f t="array" aca="1" ref="V335" ca="1">-_xlfn.IFS(SAP_Leadsheet!$C$7="IFRS",V297,AND(SAP_Leadsheet!$C$7="VAS",SAP_Leadsheet!$C$6="DPD360+"),V317,AND(SAP_Leadsheet!$C$7="VAS",SAP_Leadsheet!$C$6="DPD180+"),V331)</f>
        <v>-2.3955103400153221E-2</v>
      </c>
      <c r="W335" s="262" cm="1">
        <f t="array" aca="1" ref="W335" ca="1">-_xlfn.IFS(SAP_Leadsheet!$C$7="IFRS",W297,AND(SAP_Leadsheet!$C$7="VAS",SAP_Leadsheet!$C$6="DPD360+"),W317,AND(SAP_Leadsheet!$C$7="VAS",SAP_Leadsheet!$C$6="DPD180+"),W331)</f>
        <v>-2.1024612302847523E-2</v>
      </c>
      <c r="X335" s="262" cm="1">
        <f t="array" aca="1" ref="X335" ca="1">-_xlfn.IFS(SAP_Leadsheet!$C$7="IFRS",X297,AND(SAP_Leadsheet!$C$7="VAS",SAP_Leadsheet!$C$6="DPD360+"),X317,AND(SAP_Leadsheet!$C$7="VAS",SAP_Leadsheet!$C$6="DPD180+"),X331)</f>
        <v>-1.8542653319217783E-2</v>
      </c>
      <c r="Y335" s="262" cm="1">
        <f t="array" aca="1" ref="Y335" ca="1">-_xlfn.IFS(SAP_Leadsheet!$C$7="IFRS",Y297,AND(SAP_Leadsheet!$C$7="VAS",SAP_Leadsheet!$C$6="DPD360+"),Y317,AND(SAP_Leadsheet!$C$7="VAS",SAP_Leadsheet!$C$6="DPD180+"),Y331)</f>
        <v>-1.4287780180208542E-2</v>
      </c>
      <c r="Z335" s="262" cm="1">
        <f t="array" aca="1" ref="Z335" ca="1">-_xlfn.IFS(SAP_Leadsheet!$C$7="IFRS",Z297,AND(SAP_Leadsheet!$C$7="VAS",SAP_Leadsheet!$C$6="DPD360+"),Z317,AND(SAP_Leadsheet!$C$7="VAS",SAP_Leadsheet!$C$6="DPD180+"),Z331)</f>
        <v>-9.6918683639298786E-3</v>
      </c>
      <c r="AA335" s="262" cm="1">
        <f t="array" aca="1" ref="AA335" ca="1">-_xlfn.IFS(SAP_Leadsheet!$C$7="IFRS",AA297,AND(SAP_Leadsheet!$C$7="VAS",SAP_Leadsheet!$C$6="DPD360+"),AA317,AND(SAP_Leadsheet!$C$7="VAS",SAP_Leadsheet!$C$6="DPD180+"),AA331)</f>
        <v>-1.0197879583972391E-2</v>
      </c>
      <c r="AB335" s="262" cm="1">
        <f t="array" aca="1" ref="AB335" ca="1">-_xlfn.IFS(SAP_Leadsheet!$C$7="IFRS",AB297,AND(SAP_Leadsheet!$C$7="VAS",SAP_Leadsheet!$C$6="DPD360+"),AB317,AND(SAP_Leadsheet!$C$7="VAS",SAP_Leadsheet!$C$6="DPD180+"),AB331)</f>
        <v>-1.0989666312852864E-2</v>
      </c>
      <c r="AC335" s="262" cm="1">
        <f t="array" aca="1" ref="AC335" ca="1">-_xlfn.IFS(SAP_Leadsheet!$C$7="IFRS",AC297,AND(SAP_Leadsheet!$C$7="VAS",SAP_Leadsheet!$C$6="DPD360+"),AC317,AND(SAP_Leadsheet!$C$7="VAS",SAP_Leadsheet!$C$6="DPD180+"),AC331)</f>
        <v>-1.1103023604387252E-2</v>
      </c>
      <c r="AD335" s="262" cm="1">
        <f t="array" aca="1" ref="AD335" ca="1">-_xlfn.IFS(SAP_Leadsheet!$C$7="IFRS",AD297,AND(SAP_Leadsheet!$C$7="VAS",SAP_Leadsheet!$C$6="DPD360+"),AD317,AND(SAP_Leadsheet!$C$7="VAS",SAP_Leadsheet!$C$6="DPD180+"),AD331)</f>
        <v>-1.0731269489753836E-2</v>
      </c>
      <c r="AE335" s="262" cm="1">
        <f t="array" aca="1" ref="AE335" ca="1">-_xlfn.IFS(SAP_Leadsheet!$C$7="IFRS",AE297,AND(SAP_Leadsheet!$C$7="VAS",SAP_Leadsheet!$C$6="DPD360+"),AE317,AND(SAP_Leadsheet!$C$7="VAS",SAP_Leadsheet!$C$6="DPD180+"),AE331)</f>
        <v>-1.0892938161859766E-2</v>
      </c>
      <c r="AF335" s="262" cm="1">
        <f t="array" aca="1" ref="AF335" ca="1">-_xlfn.IFS(SAP_Leadsheet!$C$7="IFRS",AF297,AND(SAP_Leadsheet!$C$7="VAS",SAP_Leadsheet!$C$6="DPD360+"),AF317,AND(SAP_Leadsheet!$C$7="VAS",SAP_Leadsheet!$C$6="DPD180+"),AF331)</f>
        <v>-1.117722696479051E-2</v>
      </c>
      <c r="AG335" s="262" cm="1">
        <f t="array" aca="1" ref="AG335" ca="1">-_xlfn.IFS(SAP_Leadsheet!$C$7="IFRS",AG297,AND(SAP_Leadsheet!$C$7="VAS",SAP_Leadsheet!$C$6="DPD360+"),AG317,AND(SAP_Leadsheet!$C$7="VAS",SAP_Leadsheet!$C$6="DPD180+"),AG331)</f>
        <v>-1.1266219970955005E-2</v>
      </c>
      <c r="AH335" s="262" cm="1">
        <f t="array" aca="1" ref="AH335" ca="1">-_xlfn.IFS(SAP_Leadsheet!$C$7="IFRS",AH297,AND(SAP_Leadsheet!$C$7="VAS",SAP_Leadsheet!$C$6="DPD360+"),AH317,AND(SAP_Leadsheet!$C$7="VAS",SAP_Leadsheet!$C$6="DPD180+"),AH331)</f>
        <v>-1.0849228848134829E-2</v>
      </c>
      <c r="AI335" s="262" cm="1">
        <f t="array" aca="1" ref="AI335" ca="1">-_xlfn.IFS(SAP_Leadsheet!$C$7="IFRS",AI297,AND(SAP_Leadsheet!$C$7="VAS",SAP_Leadsheet!$C$6="DPD360+"),AI317,AND(SAP_Leadsheet!$C$7="VAS",SAP_Leadsheet!$C$6="DPD180+"),AI331)</f>
        <v>-1.0404093893206845E-2</v>
      </c>
      <c r="AJ335" s="262" cm="1">
        <f t="array" aca="1" ref="AJ335" ca="1">-_xlfn.IFS(SAP_Leadsheet!$C$7="IFRS",AJ297,AND(SAP_Leadsheet!$C$7="VAS",SAP_Leadsheet!$C$6="DPD360+"),AJ317,AND(SAP_Leadsheet!$C$7="VAS",SAP_Leadsheet!$C$6="DPD180+"),AJ331)</f>
        <v>-1.0017089876400265E-2</v>
      </c>
      <c r="AK335" s="262" cm="1">
        <f t="array" aca="1" ref="AK335" ca="1">-_xlfn.IFS(SAP_Leadsheet!$C$7="IFRS",AK297,AND(SAP_Leadsheet!$C$7="VAS",SAP_Leadsheet!$C$6="DPD360+"),AK317,AND(SAP_Leadsheet!$C$7="VAS",SAP_Leadsheet!$C$6="DPD180+"),AK331)</f>
        <v>-9.3501155012830628E-3</v>
      </c>
      <c r="AL335" s="262" cm="1">
        <f t="array" aca="1" ref="AL335" ca="1">-_xlfn.IFS(SAP_Leadsheet!$C$7="IFRS",AL297,AND(SAP_Leadsheet!$C$7="VAS",SAP_Leadsheet!$C$6="DPD360+"),AL317,AND(SAP_Leadsheet!$C$7="VAS",SAP_Leadsheet!$C$6="DPD180+"),AL331)</f>
        <v>-8.584721732383449E-3</v>
      </c>
      <c r="AM335" s="262" cm="1">
        <f t="array" aca="1" ref="AM335" ca="1">-_xlfn.IFS(SAP_Leadsheet!$C$7="IFRS",AM297,AND(SAP_Leadsheet!$C$7="VAS",SAP_Leadsheet!$C$6="DPD360+"),AM317,AND(SAP_Leadsheet!$C$7="VAS",SAP_Leadsheet!$C$6="DPD180+"),AM331)</f>
        <v>-8.6911250350064639E-3</v>
      </c>
      <c r="AN335" s="262" cm="1">
        <f t="array" aca="1" ref="AN335" ca="1">-_xlfn.IFS(SAP_Leadsheet!$C$7="IFRS",AN297,AND(SAP_Leadsheet!$C$7="VAS",SAP_Leadsheet!$C$6="DPD360+"),AN317,AND(SAP_Leadsheet!$C$7="VAS",SAP_Leadsheet!$C$6="DPD180+"),AN331)</f>
        <v>-8.9635197875975736E-3</v>
      </c>
      <c r="AO335" s="262" cm="1">
        <f t="array" aca="1" ref="AO335" ca="1">-_xlfn.IFS(SAP_Leadsheet!$C$7="IFRS",AO297,AND(SAP_Leadsheet!$C$7="VAS",SAP_Leadsheet!$C$6="DPD360+"),AO317,AND(SAP_Leadsheet!$C$7="VAS",SAP_Leadsheet!$C$6="DPD180+"),AO331)</f>
        <v>-9.0852270971026883E-3</v>
      </c>
      <c r="AP335" s="262" cm="1">
        <f t="array" aca="1" ref="AP335" ca="1">-_xlfn.IFS(SAP_Leadsheet!$C$7="IFRS",AP297,AND(SAP_Leadsheet!$C$7="VAS",SAP_Leadsheet!$C$6="DPD360+"),AP317,AND(SAP_Leadsheet!$C$7="VAS",SAP_Leadsheet!$C$6="DPD180+"),AP331)</f>
        <v>-9.0744249707277458E-3</v>
      </c>
      <c r="AQ335" s="262" cm="1">
        <f t="array" aca="1" ref="AQ335" ca="1">-_xlfn.IFS(SAP_Leadsheet!$C$7="IFRS",AQ297,AND(SAP_Leadsheet!$C$7="VAS",SAP_Leadsheet!$C$6="DPD360+"),AQ317,AND(SAP_Leadsheet!$C$7="VAS",SAP_Leadsheet!$C$6="DPD180+"),AQ331)</f>
        <v>-8.7986725984335878E-3</v>
      </c>
      <c r="AR335" s="262" cm="1">
        <f t="array" aca="1" ref="AR335" ca="1">-_xlfn.IFS(SAP_Leadsheet!$C$7="IFRS",AR297,AND(SAP_Leadsheet!$C$7="VAS",SAP_Leadsheet!$C$6="DPD360+"),AR317,AND(SAP_Leadsheet!$C$7="VAS",SAP_Leadsheet!$C$6="DPD180+"),AR331)</f>
        <v>-8.598645184165199E-3</v>
      </c>
      <c r="AS335" s="262" cm="1">
        <f t="array" aca="1" ref="AS335" ca="1">-_xlfn.IFS(SAP_Leadsheet!$C$7="IFRS",AS297,AND(SAP_Leadsheet!$C$7="VAS",SAP_Leadsheet!$C$6="DPD360+"),AS317,AND(SAP_Leadsheet!$C$7="VAS",SAP_Leadsheet!$C$6="DPD180+"),AS331)</f>
        <v>-8.4160662734921177E-3</v>
      </c>
      <c r="AT335" s="262" cm="1">
        <f t="array" aca="1" ref="AT335" ca="1">-_xlfn.IFS(SAP_Leadsheet!$C$7="IFRS",AT297,AND(SAP_Leadsheet!$C$7="VAS",SAP_Leadsheet!$C$6="DPD360+"),AT317,AND(SAP_Leadsheet!$C$7="VAS",SAP_Leadsheet!$C$6="DPD180+"),AT331)</f>
        <v>-8.132625831572482E-3</v>
      </c>
      <c r="AU335" s="262" cm="1">
        <f t="array" aca="1" ref="AU335" ca="1">-_xlfn.IFS(SAP_Leadsheet!$C$7="IFRS",AU297,AND(SAP_Leadsheet!$C$7="VAS",SAP_Leadsheet!$C$6="DPD360+"),AU317,AND(SAP_Leadsheet!$C$7="VAS",SAP_Leadsheet!$C$6="DPD180+"),AU331)</f>
        <v>-7.8685587110670641E-3</v>
      </c>
      <c r="AV335" s="262" cm="1">
        <f t="array" aca="1" ref="AV335" ca="1">-_xlfn.IFS(SAP_Leadsheet!$C$7="IFRS",AV297,AND(SAP_Leadsheet!$C$7="VAS",SAP_Leadsheet!$C$6="DPD360+"),AV317,AND(SAP_Leadsheet!$C$7="VAS",SAP_Leadsheet!$C$6="DPD180+"),AV331)</f>
        <v>-7.4936496301232225E-3</v>
      </c>
      <c r="AW335" s="262" cm="1">
        <f t="array" aca="1" ref="AW335" ca="1">-_xlfn.IFS(SAP_Leadsheet!$C$7="IFRS",AW297,AND(SAP_Leadsheet!$C$7="VAS",SAP_Leadsheet!$C$6="DPD360+"),AW317,AND(SAP_Leadsheet!$C$7="VAS",SAP_Leadsheet!$C$6="DPD180+"),AW331)</f>
        <v>-6.7268194503120604E-3</v>
      </c>
      <c r="AX335" s="262" cm="1">
        <f t="array" aca="1" ref="AX335" ca="1">-_xlfn.IFS(SAP_Leadsheet!$C$7="IFRS",AX297,AND(SAP_Leadsheet!$C$7="VAS",SAP_Leadsheet!$C$6="DPD360+"),AX317,AND(SAP_Leadsheet!$C$7="VAS",SAP_Leadsheet!$C$6="DPD180+"),AX331)</f>
        <v>-5.9289789782841495E-3</v>
      </c>
      <c r="AY335" s="262" cm="1">
        <f t="array" aca="1" ref="AY335" ca="1">-_xlfn.IFS(SAP_Leadsheet!$C$7="IFRS",AY297,AND(SAP_Leadsheet!$C$7="VAS",SAP_Leadsheet!$C$6="DPD360+"),AY317,AND(SAP_Leadsheet!$C$7="VAS",SAP_Leadsheet!$C$6="DPD180+"),AY331)</f>
        <v>-5.8043694480813812E-3</v>
      </c>
      <c r="AZ335" s="262" cm="1">
        <f t="array" aca="1" ref="AZ335" ca="1">-_xlfn.IFS(SAP_Leadsheet!$C$7="IFRS",AZ297,AND(SAP_Leadsheet!$C$7="VAS",SAP_Leadsheet!$C$6="DPD360+"),AZ317,AND(SAP_Leadsheet!$C$7="VAS",SAP_Leadsheet!$C$6="DPD180+"),AZ331)</f>
        <v>-5.6929598540498283E-3</v>
      </c>
      <c r="BA335" s="262" cm="1">
        <f t="array" aca="1" ref="BA335" ca="1">-_xlfn.IFS(SAP_Leadsheet!$C$7="IFRS",BA297,AND(SAP_Leadsheet!$C$7="VAS",SAP_Leadsheet!$C$6="DPD360+"),BA317,AND(SAP_Leadsheet!$C$7="VAS",SAP_Leadsheet!$C$6="DPD180+"),BA331)</f>
        <v>-5.5886598598205994E-3</v>
      </c>
      <c r="BB335" s="262" cm="1">
        <f t="array" aca="1" ref="BB335" ca="1">-_xlfn.IFS(SAP_Leadsheet!$C$7="IFRS",BB297,AND(SAP_Leadsheet!$C$7="VAS",SAP_Leadsheet!$C$6="DPD360+"),BB317,AND(SAP_Leadsheet!$C$7="VAS",SAP_Leadsheet!$C$6="DPD180+"),BB331)</f>
        <v>-5.4861434222461813E-3</v>
      </c>
      <c r="BC335" s="262" cm="1">
        <f t="array" aca="1" ref="BC335" ca="1">-_xlfn.IFS(SAP_Leadsheet!$C$7="IFRS",BC297,AND(SAP_Leadsheet!$C$7="VAS",SAP_Leadsheet!$C$6="DPD360+"),BC317,AND(SAP_Leadsheet!$C$7="VAS",SAP_Leadsheet!$C$6="DPD180+"),BC331)</f>
        <v>-5.3411089353604391E-3</v>
      </c>
      <c r="BD335" s="262" cm="1">
        <f t="array" aca="1" ref="BD335" ca="1">-_xlfn.IFS(SAP_Leadsheet!$C$7="IFRS",BD297,AND(SAP_Leadsheet!$C$7="VAS",SAP_Leadsheet!$C$6="DPD360+"),BD317,AND(SAP_Leadsheet!$C$7="VAS",SAP_Leadsheet!$C$6="DPD180+"),BD331)</f>
        <v>-5.2473229855054537E-3</v>
      </c>
      <c r="BE335" s="262" cm="1">
        <f t="array" aca="1" ref="BE335" ca="1">-_xlfn.IFS(SAP_Leadsheet!$C$7="IFRS",BE297,AND(SAP_Leadsheet!$C$7="VAS",SAP_Leadsheet!$C$6="DPD360+"),BE317,AND(SAP_Leadsheet!$C$7="VAS",SAP_Leadsheet!$C$6="DPD180+"),BE331)</f>
        <v>-5.1438384582471741E-3</v>
      </c>
      <c r="BF335" s="262" cm="1">
        <f t="array" aca="1" ref="BF335" ca="1">-_xlfn.IFS(SAP_Leadsheet!$C$7="IFRS",BF297,AND(SAP_Leadsheet!$C$7="VAS",SAP_Leadsheet!$C$6="DPD360+"),BF317,AND(SAP_Leadsheet!$C$7="VAS",SAP_Leadsheet!$C$6="DPD180+"),BF331)</f>
        <v>-4.9444687125673736E-3</v>
      </c>
      <c r="BG335" s="262" cm="1">
        <f t="array" aca="1" ref="BG335" ca="1">-_xlfn.IFS(SAP_Leadsheet!$C$7="IFRS",BG297,AND(SAP_Leadsheet!$C$7="VAS",SAP_Leadsheet!$C$6="DPD360+"),BG317,AND(SAP_Leadsheet!$C$7="VAS",SAP_Leadsheet!$C$6="DPD180+"),BG331)</f>
        <v>-4.8304386860908988E-3</v>
      </c>
      <c r="BH335" s="262" cm="1">
        <f t="array" aca="1" ref="BH335" ca="1">-_xlfn.IFS(SAP_Leadsheet!$C$7="IFRS",BH297,AND(SAP_Leadsheet!$C$7="VAS",SAP_Leadsheet!$C$6="DPD360+"),BH317,AND(SAP_Leadsheet!$C$7="VAS",SAP_Leadsheet!$C$6="DPD180+"),BH331)</f>
        <v>-4.708059041974022E-3</v>
      </c>
      <c r="BI335" s="262" cm="1">
        <f t="array" aca="1" ref="BI335" ca="1">-_xlfn.IFS(SAP_Leadsheet!$C$7="IFRS",BI297,AND(SAP_Leadsheet!$C$7="VAS",SAP_Leadsheet!$C$6="DPD360+"),BI317,AND(SAP_Leadsheet!$C$7="VAS",SAP_Leadsheet!$C$6="DPD180+"),BI331)</f>
        <v>-4.4087804549884924E-3</v>
      </c>
      <c r="BJ335" s="262" cm="1">
        <f t="array" aca="1" ref="BJ335" ca="1">-_xlfn.IFS(SAP_Leadsheet!$C$7="IFRS",BJ297,AND(SAP_Leadsheet!$C$7="VAS",SAP_Leadsheet!$C$6="DPD360+"),BJ317,AND(SAP_Leadsheet!$C$7="VAS",SAP_Leadsheet!$C$6="DPD180+"),BJ331)</f>
        <v>-4.0057859151539921E-3</v>
      </c>
      <c r="BK335" s="262" cm="1">
        <f t="array" aca="1" ref="BK335" ca="1">-_xlfn.IFS(SAP_Leadsheet!$C$7="IFRS",BK297,AND(SAP_Leadsheet!$C$7="VAS",SAP_Leadsheet!$C$6="DPD360+"),BK317,AND(SAP_Leadsheet!$C$7="VAS",SAP_Leadsheet!$C$6="DPD180+"),BK331)</f>
        <v>-3.9001320203423395E-3</v>
      </c>
      <c r="BL335" s="262" cm="1">
        <f t="array" aca="1" ref="BL335" ca="1">-_xlfn.IFS(SAP_Leadsheet!$C$7="IFRS",BL297,AND(SAP_Leadsheet!$C$7="VAS",SAP_Leadsheet!$C$6="DPD360+"),BL317,AND(SAP_Leadsheet!$C$7="VAS",SAP_Leadsheet!$C$6="DPD180+"),BL331)</f>
        <v>-3.793718332308238E-3</v>
      </c>
      <c r="BM335" s="262" cm="1">
        <f t="array" aca="1" ref="BM335" ca="1">-_xlfn.IFS(SAP_Leadsheet!$C$7="IFRS",BM297,AND(SAP_Leadsheet!$C$7="VAS",SAP_Leadsheet!$C$6="DPD360+"),BM317,AND(SAP_Leadsheet!$C$7="VAS",SAP_Leadsheet!$C$6="DPD180+"),BM331)</f>
        <v>-3.6880741914812054E-3</v>
      </c>
      <c r="BN335" s="262" cm="1">
        <f t="array" aca="1" ref="BN335" ca="1">-_xlfn.IFS(SAP_Leadsheet!$C$7="IFRS",BN297,AND(SAP_Leadsheet!$C$7="VAS",SAP_Leadsheet!$C$6="DPD360+"),BN317,AND(SAP_Leadsheet!$C$7="VAS",SAP_Leadsheet!$C$6="DPD180+"),BN331)</f>
        <v>-3.5832201552759013E-3</v>
      </c>
      <c r="BO335" s="262" cm="1">
        <f t="array" aca="1" ref="BO335" ca="1">-_xlfn.IFS(SAP_Leadsheet!$C$7="IFRS",BO297,AND(SAP_Leadsheet!$C$7="VAS",SAP_Leadsheet!$C$6="DPD360+"),BO317,AND(SAP_Leadsheet!$C$7="VAS",SAP_Leadsheet!$C$6="DPD180+"),BO331)</f>
        <v>-2.0320156912433385E-3</v>
      </c>
      <c r="BP335" s="262" cm="1">
        <f t="array" aca="1" ref="BP335" ca="1">-_xlfn.IFS(SAP_Leadsheet!$C$7="IFRS",BP297,AND(SAP_Leadsheet!$C$7="VAS",SAP_Leadsheet!$C$6="DPD360+"),BP317,AND(SAP_Leadsheet!$C$7="VAS",SAP_Leadsheet!$C$6="DPD180+"),BP331)</f>
        <v>-3.1877629211812808E-3</v>
      </c>
      <c r="BQ335" s="262" cm="1">
        <f t="array" aca="1" ref="BQ335" ca="1">-_xlfn.IFS(SAP_Leadsheet!$C$7="IFRS",BQ297,AND(SAP_Leadsheet!$C$7="VAS",SAP_Leadsheet!$C$6="DPD360+"),BQ317,AND(SAP_Leadsheet!$C$7="VAS",SAP_Leadsheet!$C$6="DPD180+"),BQ331)</f>
        <v>-3.140750979335527E-3</v>
      </c>
      <c r="BR335" s="262" cm="1">
        <f t="array" aca="1" ref="BR335" ca="1">-_xlfn.IFS(SAP_Leadsheet!$C$7="IFRS",BR297,AND(SAP_Leadsheet!$C$7="VAS",SAP_Leadsheet!$C$6="DPD360+"),BR317,AND(SAP_Leadsheet!$C$7="VAS",SAP_Leadsheet!$C$6="DPD180+"),BR331)</f>
        <v>-3.0617328389782594E-3</v>
      </c>
      <c r="BS335" s="262" cm="1">
        <f t="array" aca="1" ref="BS335" ca="1">-_xlfn.IFS(SAP_Leadsheet!$C$7="IFRS",BS297,AND(SAP_Leadsheet!$C$7="VAS",SAP_Leadsheet!$C$6="DPD360+"),BS317,AND(SAP_Leadsheet!$C$7="VAS",SAP_Leadsheet!$C$6="DPD180+"),BS331)</f>
        <v>-2.533985759834656E-3</v>
      </c>
      <c r="BT335" s="262" cm="1">
        <f t="array" aca="1" ref="BT335" ca="1">-_xlfn.IFS(SAP_Leadsheet!$C$7="IFRS",BT297,AND(SAP_Leadsheet!$C$7="VAS",SAP_Leadsheet!$C$6="DPD360+"),BT317,AND(SAP_Leadsheet!$C$7="VAS",SAP_Leadsheet!$C$6="DPD180+"),BT331)</f>
        <v>-2.4535192642888282E-3</v>
      </c>
      <c r="BU335" s="262" cm="1">
        <f t="array" aca="1" ref="BU335" ca="1">-_xlfn.IFS(SAP_Leadsheet!$C$7="IFRS",BU297,AND(SAP_Leadsheet!$C$7="VAS",SAP_Leadsheet!$C$6="DPD360+"),BU317,AND(SAP_Leadsheet!$C$7="VAS",SAP_Leadsheet!$C$6="DPD180+"),BU331)</f>
        <v>-2.3711135089058422E-3</v>
      </c>
      <c r="BV335" s="262" cm="1">
        <f t="array" aca="1" ref="BV335" ca="1">-_xlfn.IFS(SAP_Leadsheet!$C$7="IFRS",BV297,AND(SAP_Leadsheet!$C$7="VAS",SAP_Leadsheet!$C$6="DPD360+"),BV317,AND(SAP_Leadsheet!$C$7="VAS",SAP_Leadsheet!$C$6="DPD180+"),BV331)</f>
        <v>-1.4427968503222255E-3</v>
      </c>
      <c r="BW335" s="262" cm="1">
        <f t="array" aca="1" ref="BW335" ca="1">-_xlfn.IFS(SAP_Leadsheet!$C$7="IFRS",BW297,AND(SAP_Leadsheet!$C$7="VAS",SAP_Leadsheet!$C$6="DPD360+"),BW317,AND(SAP_Leadsheet!$C$7="VAS",SAP_Leadsheet!$C$6="DPD180+"),BW331)</f>
        <v>0</v>
      </c>
      <c r="BX335" s="262" cm="1">
        <f t="array" aca="1" ref="BX335" ca="1">-_xlfn.IFS(SAP_Leadsheet!$C$7="IFRS",BX297,AND(SAP_Leadsheet!$C$7="VAS",SAP_Leadsheet!$C$6="DPD360+"),BX317,AND(SAP_Leadsheet!$C$7="VAS",SAP_Leadsheet!$C$6="DPD180+"),BX331)</f>
        <v>0</v>
      </c>
      <c r="BY335" s="262" cm="1">
        <f t="array" aca="1" ref="BY335" ca="1">-_xlfn.IFS(SAP_Leadsheet!$C$7="IFRS",BY297,AND(SAP_Leadsheet!$C$7="VAS",SAP_Leadsheet!$C$6="DPD360+"),BY317,AND(SAP_Leadsheet!$C$7="VAS",SAP_Leadsheet!$C$6="DPD180+"),BY331)</f>
        <v>0</v>
      </c>
      <c r="BZ335" s="262" cm="1">
        <f t="array" aca="1" ref="BZ335" ca="1">-_xlfn.IFS(SAP_Leadsheet!$C$7="IFRS",BZ297,AND(SAP_Leadsheet!$C$7="VAS",SAP_Leadsheet!$C$6="DPD360+"),BZ317,AND(SAP_Leadsheet!$C$7="VAS",SAP_Leadsheet!$C$6="DPD180+"),BZ331)</f>
        <v>0</v>
      </c>
      <c r="CA335" s="263"/>
      <c r="CB335" s="263"/>
      <c r="CC335" s="263"/>
      <c r="CD335" s="263"/>
      <c r="CE335" s="263"/>
      <c r="CF335" s="263"/>
      <c r="CG335" s="263"/>
      <c r="CH335" s="263"/>
      <c r="CI335" s="263"/>
      <c r="CJ335" s="263"/>
      <c r="CK335" s="263"/>
      <c r="CL335" s="263"/>
      <c r="CM335" s="263"/>
      <c r="CN335" s="263"/>
      <c r="CO335" s="263"/>
      <c r="CP335" s="263"/>
      <c r="CQ335" s="263"/>
      <c r="CR335" s="263"/>
      <c r="CS335" s="263"/>
      <c r="CT335" s="263"/>
      <c r="CU335" s="263"/>
      <c r="CV335" s="263"/>
      <c r="CW335" s="263"/>
      <c r="CX335" s="263"/>
      <c r="CY335" s="263"/>
      <c r="CZ335" s="263"/>
      <c r="DA335" s="263"/>
      <c r="DB335" s="263"/>
      <c r="DC335" s="263"/>
      <c r="DD335" s="263"/>
      <c r="DE335" s="263"/>
      <c r="DF335" s="263"/>
      <c r="DG335" s="263"/>
      <c r="DH335" s="263"/>
      <c r="DI335" s="263"/>
      <c r="DJ335" s="263"/>
      <c r="DK335" s="263"/>
      <c r="DL335" s="263"/>
      <c r="DM335" s="263"/>
      <c r="DN335" s="263"/>
      <c r="DO335" s="263"/>
      <c r="DP335" s="263"/>
      <c r="DQ335" s="263"/>
      <c r="DR335" s="263"/>
      <c r="DS335" s="263"/>
      <c r="DT335" s="263"/>
      <c r="DU335" s="263"/>
      <c r="DV335" s="263"/>
      <c r="DW335" s="263"/>
      <c r="DX335" s="263"/>
      <c r="DY335" s="263"/>
      <c r="DZ335" s="263"/>
      <c r="EA335" s="263"/>
      <c r="EB335" s="263"/>
      <c r="EC335" s="263"/>
      <c r="ED335" s="263"/>
      <c r="EE335" s="263"/>
      <c r="EF335" s="263"/>
      <c r="EG335" s="263"/>
      <c r="EH335" s="263"/>
      <c r="EI335" s="263"/>
      <c r="EJ335" s="263"/>
      <c r="EK335" s="263"/>
      <c r="EL335" s="263"/>
      <c r="EM335" s="263"/>
      <c r="EN335" s="263"/>
      <c r="EO335" s="263"/>
      <c r="EP335" s="263"/>
      <c r="EQ335" s="263"/>
      <c r="ER335" s="263"/>
      <c r="ES335" s="263"/>
      <c r="ET335" s="263"/>
      <c r="EU335" s="263"/>
      <c r="EV335" s="263"/>
      <c r="EW335" s="263"/>
      <c r="EX335" s="263"/>
      <c r="EY335" s="263"/>
      <c r="EZ335" s="263"/>
      <c r="FA335" s="263"/>
      <c r="FB335" s="263"/>
      <c r="FC335" s="263"/>
      <c r="FD335" s="263"/>
      <c r="FE335" s="263"/>
      <c r="FF335" s="263"/>
      <c r="FG335" s="263"/>
      <c r="FH335" s="263"/>
      <c r="FI335" s="263"/>
      <c r="FJ335" s="263"/>
      <c r="FK335" s="263"/>
      <c r="FL335" s="263"/>
      <c r="FM335" s="263"/>
      <c r="FN335" s="263"/>
      <c r="FO335" s="263"/>
      <c r="FP335" s="263"/>
      <c r="FQ335" s="263"/>
      <c r="FR335" s="263"/>
      <c r="FS335" s="263"/>
      <c r="FT335" s="263"/>
      <c r="FU335" s="263"/>
      <c r="FV335" s="263"/>
      <c r="FW335" s="263"/>
      <c r="FX335" s="263"/>
      <c r="FY335" s="263"/>
      <c r="FZ335" s="263"/>
      <c r="GA335" s="263"/>
      <c r="GB335" s="263"/>
      <c r="GC335" s="263"/>
      <c r="GD335" s="263"/>
      <c r="GE335" s="263"/>
      <c r="GF335" s="263"/>
      <c r="GG335" s="263"/>
      <c r="GH335" s="263"/>
      <c r="GI335" s="263"/>
      <c r="GJ335" s="263"/>
      <c r="GK335" s="263"/>
      <c r="GL335" s="263"/>
      <c r="GM335" s="263"/>
      <c r="GN335" s="263"/>
      <c r="GO335" s="263"/>
      <c r="GP335" s="263"/>
      <c r="GQ335" s="263"/>
      <c r="GR335" s="263"/>
      <c r="GS335" s="263"/>
      <c r="GT335" s="263"/>
      <c r="GU335" s="263"/>
      <c r="GV335" s="263"/>
      <c r="GW335" s="263"/>
      <c r="GX335" s="263"/>
      <c r="GY335" s="263"/>
    </row>
    <row r="336" spans="1:207" ht="14" collapsed="1" thickBot="1" x14ac:dyDescent="0.2">
      <c r="A336" s="250">
        <v>7</v>
      </c>
      <c r="B336" s="251" t="s">
        <v>425</v>
      </c>
      <c r="C336" s="252"/>
      <c r="D336" s="252"/>
      <c r="E336" s="252"/>
      <c r="F336" s="252"/>
      <c r="G336" s="263"/>
      <c r="H336" s="263"/>
      <c r="I336" s="263"/>
      <c r="J336" s="263"/>
      <c r="K336" s="263"/>
      <c r="L336" s="263"/>
      <c r="M336" s="263"/>
      <c r="N336" s="263"/>
      <c r="O336" s="263"/>
      <c r="P336" s="263"/>
      <c r="Q336" s="263"/>
      <c r="R336" s="263"/>
      <c r="S336" s="263"/>
      <c r="T336" s="263"/>
      <c r="U336" s="263"/>
      <c r="V336" s="263"/>
      <c r="W336" s="263"/>
      <c r="X336" s="263"/>
      <c r="Y336" s="263"/>
      <c r="Z336" s="263"/>
      <c r="AA336" s="263"/>
      <c r="AB336" s="263"/>
      <c r="AC336" s="263"/>
      <c r="AD336" s="263"/>
      <c r="AE336" s="263"/>
      <c r="AF336" s="263"/>
      <c r="AG336" s="263"/>
      <c r="AH336" s="263"/>
      <c r="AI336" s="263"/>
      <c r="AJ336" s="263"/>
      <c r="AK336" s="263"/>
      <c r="AL336" s="263"/>
      <c r="AM336" s="263"/>
      <c r="AN336" s="263"/>
      <c r="AO336" s="263"/>
      <c r="AP336" s="263"/>
      <c r="AQ336" s="263"/>
      <c r="AR336" s="263"/>
      <c r="AS336" s="263"/>
      <c r="AT336" s="263"/>
      <c r="AU336" s="263"/>
      <c r="AV336" s="263"/>
      <c r="AW336" s="263"/>
      <c r="AX336" s="263"/>
      <c r="AY336" s="263"/>
      <c r="AZ336" s="263"/>
      <c r="BA336" s="263"/>
      <c r="BB336" s="263"/>
      <c r="BC336" s="263"/>
      <c r="BD336" s="263"/>
      <c r="BE336" s="263"/>
      <c r="BF336" s="263"/>
      <c r="BG336" s="263"/>
      <c r="BH336" s="263"/>
      <c r="BI336" s="263"/>
      <c r="BJ336" s="263"/>
      <c r="BK336" s="263"/>
      <c r="BL336" s="263"/>
      <c r="BM336" s="263"/>
      <c r="BN336" s="263"/>
      <c r="BO336" s="263"/>
      <c r="BP336" s="263"/>
      <c r="BQ336" s="263"/>
      <c r="BR336" s="263"/>
      <c r="BS336" s="263"/>
      <c r="BT336" s="263"/>
      <c r="BU336" s="263"/>
      <c r="BV336" s="263"/>
      <c r="BW336" s="263"/>
      <c r="BX336" s="263"/>
      <c r="BY336" s="263"/>
      <c r="BZ336" s="263"/>
      <c r="CA336" s="263"/>
      <c r="CB336" s="263"/>
      <c r="CC336" s="263"/>
      <c r="CD336" s="263"/>
      <c r="CE336" s="263"/>
      <c r="CF336" s="263"/>
      <c r="CG336" s="263"/>
      <c r="CH336" s="263"/>
      <c r="CI336" s="263"/>
      <c r="CJ336" s="263"/>
      <c r="CK336" s="263"/>
      <c r="CL336" s="263"/>
      <c r="CM336" s="263"/>
      <c r="CN336" s="263"/>
      <c r="CO336" s="263"/>
      <c r="CP336" s="263"/>
      <c r="CQ336" s="263"/>
      <c r="CR336" s="263"/>
      <c r="CS336" s="263"/>
      <c r="CT336" s="263"/>
      <c r="CU336" s="263"/>
      <c r="CV336" s="263"/>
      <c r="CW336" s="263"/>
      <c r="CX336" s="263"/>
      <c r="CY336" s="263"/>
      <c r="CZ336" s="263"/>
      <c r="DA336" s="263"/>
      <c r="DB336" s="263"/>
      <c r="DC336" s="263"/>
      <c r="DD336" s="263"/>
      <c r="DE336" s="263"/>
      <c r="DF336" s="263"/>
      <c r="DG336" s="263"/>
      <c r="DH336" s="263"/>
      <c r="DI336" s="263"/>
      <c r="DJ336" s="263"/>
      <c r="DK336" s="263"/>
      <c r="DL336" s="263"/>
      <c r="DM336" s="263"/>
      <c r="DN336" s="263"/>
      <c r="DO336" s="263"/>
      <c r="DP336" s="263"/>
      <c r="DQ336" s="263"/>
      <c r="DR336" s="263"/>
      <c r="DS336" s="263"/>
      <c r="DT336" s="263"/>
      <c r="DU336" s="263"/>
      <c r="DV336" s="263"/>
      <c r="DW336" s="263"/>
      <c r="DX336" s="263"/>
      <c r="DY336" s="263"/>
      <c r="DZ336" s="263"/>
      <c r="EA336" s="263"/>
      <c r="EB336" s="263"/>
      <c r="EC336" s="263"/>
      <c r="ED336" s="263"/>
      <c r="EE336" s="263"/>
      <c r="EF336" s="263"/>
      <c r="EG336" s="263"/>
      <c r="EH336" s="263"/>
      <c r="EI336" s="263"/>
      <c r="EJ336" s="263"/>
      <c r="EK336" s="263"/>
      <c r="EL336" s="263"/>
      <c r="EM336" s="263"/>
      <c r="EN336" s="263"/>
      <c r="EO336" s="263"/>
      <c r="EP336" s="263"/>
      <c r="EQ336" s="263"/>
      <c r="ER336" s="263"/>
      <c r="ES336" s="263"/>
      <c r="ET336" s="263"/>
      <c r="EU336" s="263"/>
      <c r="EV336" s="263"/>
      <c r="EW336" s="263"/>
      <c r="EX336" s="263"/>
      <c r="EY336" s="263"/>
      <c r="EZ336" s="263"/>
      <c r="FA336" s="263"/>
      <c r="FB336" s="263"/>
      <c r="FC336" s="263"/>
      <c r="FD336" s="263"/>
      <c r="FE336" s="263"/>
      <c r="FF336" s="263"/>
      <c r="FG336" s="263"/>
      <c r="FH336" s="263"/>
      <c r="FI336" s="263"/>
      <c r="FJ336" s="263"/>
      <c r="FK336" s="263"/>
      <c r="FL336" s="263"/>
      <c r="FM336" s="263"/>
      <c r="FN336" s="263"/>
      <c r="FO336" s="263"/>
      <c r="FP336" s="263"/>
      <c r="FQ336" s="263"/>
      <c r="FR336" s="263"/>
      <c r="FS336" s="263"/>
      <c r="FT336" s="263"/>
      <c r="FU336" s="263"/>
      <c r="FV336" s="263"/>
      <c r="FW336" s="263"/>
      <c r="FX336" s="263"/>
      <c r="FY336" s="263"/>
      <c r="FZ336" s="263"/>
      <c r="GA336" s="263"/>
      <c r="GB336" s="263"/>
      <c r="GC336" s="263"/>
      <c r="GD336" s="263"/>
      <c r="GE336" s="263"/>
      <c r="GF336" s="263"/>
      <c r="GG336" s="263"/>
      <c r="GH336" s="263"/>
      <c r="GI336" s="263"/>
      <c r="GJ336" s="263"/>
      <c r="GK336" s="263"/>
      <c r="GL336" s="263"/>
      <c r="GM336" s="263"/>
      <c r="GN336" s="263"/>
      <c r="GO336" s="263"/>
      <c r="GP336" s="263"/>
      <c r="GQ336" s="263"/>
      <c r="GR336" s="263"/>
      <c r="GS336" s="263"/>
      <c r="GT336" s="263"/>
      <c r="GU336" s="263"/>
      <c r="GV336" s="263"/>
      <c r="GW336" s="263"/>
      <c r="GX336" s="263"/>
      <c r="GY336" s="263"/>
    </row>
    <row r="337" spans="1:207" ht="14" thickTop="1" x14ac:dyDescent="0.15">
      <c r="G337" s="263"/>
      <c r="H337" s="263"/>
      <c r="I337" s="263"/>
      <c r="J337" s="263"/>
      <c r="K337" s="263"/>
      <c r="L337" s="263"/>
      <c r="M337" s="263"/>
      <c r="N337" s="263"/>
      <c r="O337" s="263"/>
      <c r="P337" s="263"/>
      <c r="Q337" s="263"/>
      <c r="R337" s="263"/>
      <c r="S337" s="263"/>
      <c r="T337" s="263"/>
      <c r="U337" s="263"/>
      <c r="V337" s="263"/>
      <c r="W337" s="263"/>
      <c r="X337" s="263"/>
      <c r="Y337" s="263"/>
      <c r="Z337" s="263"/>
      <c r="AA337" s="263"/>
      <c r="AB337" s="263"/>
      <c r="AC337" s="263"/>
      <c r="AD337" s="263"/>
      <c r="AE337" s="263"/>
      <c r="AF337" s="263"/>
      <c r="AG337" s="263"/>
      <c r="AH337" s="263"/>
      <c r="AI337" s="263"/>
      <c r="AJ337" s="263"/>
      <c r="AK337" s="263"/>
      <c r="AL337" s="263"/>
      <c r="AM337" s="263"/>
      <c r="AN337" s="263"/>
      <c r="AO337" s="263"/>
      <c r="AP337" s="263"/>
      <c r="AQ337" s="263"/>
      <c r="AR337" s="263"/>
      <c r="AS337" s="263"/>
      <c r="AT337" s="263"/>
      <c r="AU337" s="263"/>
      <c r="AV337" s="263"/>
      <c r="AW337" s="263"/>
      <c r="AX337" s="263"/>
      <c r="AY337" s="263"/>
      <c r="AZ337" s="263"/>
      <c r="BA337" s="263"/>
      <c r="BB337" s="263"/>
      <c r="BC337" s="263"/>
      <c r="BD337" s="263"/>
      <c r="BE337" s="263"/>
      <c r="BF337" s="263"/>
      <c r="BG337" s="263"/>
      <c r="BH337" s="263"/>
      <c r="BI337" s="263"/>
      <c r="BJ337" s="263"/>
      <c r="BK337" s="263"/>
      <c r="BL337" s="263"/>
      <c r="BM337" s="263"/>
      <c r="BN337" s="263"/>
      <c r="BO337" s="263"/>
      <c r="BP337" s="263"/>
      <c r="BQ337" s="263"/>
      <c r="BR337" s="263"/>
      <c r="BS337" s="263"/>
      <c r="BT337" s="263"/>
      <c r="BU337" s="263"/>
      <c r="BV337" s="263"/>
      <c r="BW337" s="263"/>
      <c r="BX337" s="263"/>
      <c r="BY337" s="263"/>
      <c r="BZ337" s="263"/>
      <c r="CA337" s="263"/>
      <c r="CB337" s="263"/>
      <c r="CC337" s="263"/>
      <c r="CD337" s="263"/>
      <c r="CE337" s="263"/>
      <c r="CF337" s="263"/>
      <c r="CG337" s="263"/>
      <c r="CH337" s="263"/>
      <c r="CI337" s="263"/>
      <c r="CJ337" s="263"/>
      <c r="CK337" s="263"/>
      <c r="CL337" s="263"/>
      <c r="CM337" s="263"/>
      <c r="CN337" s="263"/>
      <c r="CO337" s="263"/>
      <c r="CP337" s="263"/>
      <c r="CQ337" s="263"/>
      <c r="CR337" s="263"/>
      <c r="CS337" s="263"/>
      <c r="CT337" s="263"/>
      <c r="CU337" s="263"/>
      <c r="CV337" s="263"/>
      <c r="CW337" s="263"/>
      <c r="CX337" s="263"/>
      <c r="CY337" s="263"/>
      <c r="CZ337" s="263"/>
      <c r="DA337" s="263"/>
      <c r="DB337" s="263"/>
      <c r="DC337" s="263"/>
      <c r="DD337" s="263"/>
      <c r="DE337" s="263"/>
      <c r="DF337" s="263"/>
      <c r="DG337" s="263"/>
      <c r="DH337" s="263"/>
      <c r="DI337" s="263"/>
      <c r="DJ337" s="263"/>
      <c r="DK337" s="263"/>
      <c r="DL337" s="263"/>
      <c r="DM337" s="263"/>
      <c r="DN337" s="263"/>
      <c r="DO337" s="263"/>
      <c r="DP337" s="263"/>
      <c r="DQ337" s="263"/>
      <c r="DR337" s="263"/>
      <c r="DS337" s="263"/>
      <c r="DT337" s="263"/>
      <c r="DU337" s="263"/>
      <c r="DV337" s="263"/>
      <c r="DW337" s="263"/>
      <c r="DX337" s="263"/>
      <c r="DY337" s="263"/>
      <c r="DZ337" s="263"/>
      <c r="EA337" s="263"/>
      <c r="EB337" s="263"/>
      <c r="EC337" s="263"/>
      <c r="ED337" s="263"/>
      <c r="EE337" s="263"/>
      <c r="EF337" s="263"/>
      <c r="EG337" s="263"/>
      <c r="EH337" s="263"/>
      <c r="EI337" s="263"/>
      <c r="EJ337" s="263"/>
      <c r="EK337" s="263"/>
      <c r="EL337" s="263"/>
      <c r="EM337" s="263"/>
      <c r="EN337" s="263"/>
      <c r="EO337" s="263"/>
      <c r="EP337" s="263"/>
      <c r="EQ337" s="263"/>
      <c r="ER337" s="263"/>
      <c r="ES337" s="263"/>
      <c r="ET337" s="263"/>
      <c r="EU337" s="263"/>
      <c r="EV337" s="263"/>
      <c r="EW337" s="263"/>
      <c r="EX337" s="263"/>
      <c r="EY337" s="263"/>
      <c r="EZ337" s="263"/>
      <c r="FA337" s="263"/>
      <c r="FB337" s="263"/>
      <c r="FC337" s="263"/>
      <c r="FD337" s="263"/>
      <c r="FE337" s="263"/>
      <c r="FF337" s="263"/>
      <c r="FG337" s="263"/>
      <c r="FH337" s="263"/>
      <c r="FI337" s="263"/>
      <c r="FJ337" s="263"/>
      <c r="FK337" s="263"/>
      <c r="FL337" s="263"/>
      <c r="FM337" s="263"/>
      <c r="FN337" s="263"/>
      <c r="FO337" s="263"/>
      <c r="FP337" s="263"/>
      <c r="FQ337" s="263"/>
      <c r="FR337" s="263"/>
      <c r="FS337" s="263"/>
      <c r="FT337" s="263"/>
      <c r="FU337" s="263"/>
      <c r="FV337" s="263"/>
      <c r="FW337" s="263"/>
      <c r="FX337" s="263"/>
      <c r="FY337" s="263"/>
      <c r="FZ337" s="263"/>
      <c r="GA337" s="263"/>
      <c r="GB337" s="263"/>
      <c r="GC337" s="263"/>
      <c r="GD337" s="263"/>
      <c r="GE337" s="263"/>
      <c r="GF337" s="263"/>
      <c r="GG337" s="263"/>
      <c r="GH337" s="263"/>
      <c r="GI337" s="263"/>
      <c r="GJ337" s="263"/>
      <c r="GK337" s="263"/>
      <c r="GL337" s="263"/>
      <c r="GM337" s="263"/>
      <c r="GN337" s="263"/>
      <c r="GO337" s="263"/>
      <c r="GP337" s="263"/>
      <c r="GQ337" s="263"/>
      <c r="GR337" s="263"/>
      <c r="GS337" s="263"/>
      <c r="GT337" s="263"/>
      <c r="GU337" s="263"/>
      <c r="GV337" s="263"/>
      <c r="GW337" s="263"/>
      <c r="GX337" s="263"/>
      <c r="GY337" s="263"/>
    </row>
    <row r="338" spans="1:207" x14ac:dyDescent="0.15">
      <c r="C338" s="23"/>
      <c r="D338" s="26" t="s">
        <v>426</v>
      </c>
      <c r="G338" s="263">
        <f t="shared" ref="G338:BR338" ca="1" si="46">G339-G273</f>
        <v>0.10300749725328041</v>
      </c>
      <c r="H338" s="263">
        <f t="shared" ca="1" si="46"/>
        <v>4.3258487585724835E-2</v>
      </c>
      <c r="I338" s="263">
        <f t="shared" ca="1" si="46"/>
        <v>4.8078940432356797E-2</v>
      </c>
      <c r="J338" s="263">
        <f t="shared" ca="1" si="46"/>
        <v>4.9415642270878642E-2</v>
      </c>
      <c r="K338" s="263">
        <f t="shared" ca="1" si="46"/>
        <v>4.1147443023437549E-2</v>
      </c>
      <c r="L338" s="263">
        <f t="shared" ca="1" si="46"/>
        <v>0.14629298948718558</v>
      </c>
      <c r="M338" s="263">
        <f t="shared" ca="1" si="46"/>
        <v>3.6419568651899874E-2</v>
      </c>
      <c r="N338" s="263">
        <f t="shared" ca="1" si="46"/>
        <v>3.9253545066545104E-2</v>
      </c>
      <c r="O338" s="263">
        <f t="shared" ca="1" si="46"/>
        <v>5.316329634651798E-2</v>
      </c>
      <c r="P338" s="263">
        <f t="shared" ca="1" si="46"/>
        <v>6.179974316245266E-2</v>
      </c>
      <c r="Q338" s="263">
        <f t="shared" ca="1" si="46"/>
        <v>6.2755608189227374E-2</v>
      </c>
      <c r="R338" s="263">
        <f t="shared" ca="1" si="46"/>
        <v>5.9188092655348683E-2</v>
      </c>
      <c r="S338" s="263">
        <f t="shared" ca="1" si="46"/>
        <v>5.3769143577400362E-2</v>
      </c>
      <c r="T338" s="263">
        <f t="shared" ca="1" si="46"/>
        <v>4.9639813291751149E-2</v>
      </c>
      <c r="U338" s="263">
        <f t="shared" ca="1" si="46"/>
        <v>0.15622089418007051</v>
      </c>
      <c r="V338" s="263">
        <f t="shared" ca="1" si="46"/>
        <v>4.0817859118844162E-2</v>
      </c>
      <c r="W338" s="263">
        <f t="shared" ca="1" si="46"/>
        <v>3.7502106684155039E-2</v>
      </c>
      <c r="X338" s="263">
        <f t="shared" ca="1" si="46"/>
        <v>3.4217035140739746E-2</v>
      </c>
      <c r="Y338" s="263">
        <f t="shared" ca="1" si="46"/>
        <v>2.9746553167547148E-2</v>
      </c>
      <c r="Z338" s="263">
        <f t="shared" ca="1" si="46"/>
        <v>2.4501034609958651E-2</v>
      </c>
      <c r="AA338" s="263">
        <f t="shared" ca="1" si="46"/>
        <v>2.4416042911949834E-2</v>
      </c>
      <c r="AB338" s="263">
        <f t="shared" ca="1" si="46"/>
        <v>2.4663184178750783E-2</v>
      </c>
      <c r="AC338" s="263">
        <f t="shared" ca="1" si="46"/>
        <v>2.4181315276667916E-2</v>
      </c>
      <c r="AD338" s="263">
        <f t="shared" ca="1" si="46"/>
        <v>0.13638632962794095</v>
      </c>
      <c r="AE338" s="263">
        <f t="shared" ca="1" si="46"/>
        <v>2.308094773751845E-2</v>
      </c>
      <c r="AF338" s="263">
        <f t="shared" ca="1" si="46"/>
        <v>2.3146127218523195E-2</v>
      </c>
      <c r="AG338" s="263">
        <f t="shared" ca="1" si="46"/>
        <v>2.3219976609378152E-2</v>
      </c>
      <c r="AH338" s="263">
        <f t="shared" ca="1" si="46"/>
        <v>2.2813477778791252E-2</v>
      </c>
      <c r="AI338" s="263">
        <f t="shared" ca="1" si="46"/>
        <v>2.2219988639425023E-2</v>
      </c>
      <c r="AJ338" s="263">
        <f t="shared" ca="1" si="46"/>
        <v>2.1530455951037218E-2</v>
      </c>
      <c r="AK338" s="263">
        <f t="shared" ca="1" si="46"/>
        <v>2.049407820547644E-2</v>
      </c>
      <c r="AL338" s="263">
        <f t="shared" ca="1" si="46"/>
        <v>1.926153162098632E-2</v>
      </c>
      <c r="AM338" s="263">
        <f t="shared" ca="1" si="46"/>
        <v>1.8999721056422759E-2</v>
      </c>
      <c r="AN338" s="263">
        <f t="shared" ca="1" si="46"/>
        <v>1.8938783921045487E-2</v>
      </c>
      <c r="AO338" s="263">
        <f t="shared" ca="1" si="46"/>
        <v>1.8648563823892808E-2</v>
      </c>
      <c r="AP338" s="263">
        <f t="shared" ca="1" si="46"/>
        <v>1.829076656596321E-2</v>
      </c>
      <c r="AQ338" s="263">
        <f t="shared" ca="1" si="46"/>
        <v>1.7705012774599811E-2</v>
      </c>
      <c r="AR338" s="263">
        <f t="shared" ca="1" si="46"/>
        <v>1.7308305449231988E-2</v>
      </c>
      <c r="AS338" s="263">
        <f t="shared" ca="1" si="46"/>
        <v>1.6942740566572627E-2</v>
      </c>
      <c r="AT338" s="263">
        <f t="shared" ca="1" si="46"/>
        <v>1.6498923100755798E-2</v>
      </c>
      <c r="AU338" s="263">
        <f t="shared" ca="1" si="46"/>
        <v>1.6072390884034393E-2</v>
      </c>
      <c r="AV338" s="263">
        <f t="shared" ca="1" si="46"/>
        <v>1.5525662160462542E-2</v>
      </c>
      <c r="AW338" s="263">
        <f t="shared" ca="1" si="46"/>
        <v>1.4565392657104199E-2</v>
      </c>
      <c r="AX338" s="263">
        <f t="shared" ca="1" si="46"/>
        <v>1.3510281629675158E-2</v>
      </c>
      <c r="AY338" s="263">
        <f t="shared" ca="1" si="46"/>
        <v>1.3138406706412743E-2</v>
      </c>
      <c r="AZ338" s="263">
        <f t="shared" ca="1" si="46"/>
        <v>1.2785032404031983E-2</v>
      </c>
      <c r="BA338" s="263">
        <f t="shared" ca="1" si="46"/>
        <v>1.2437291819296984E-2</v>
      </c>
      <c r="BB338" s="263">
        <f t="shared" ca="1" si="46"/>
        <v>1.2136749944534122E-2</v>
      </c>
      <c r="BC338" s="263">
        <f t="shared" ca="1" si="46"/>
        <v>1.1756399104837835E-2</v>
      </c>
      <c r="BD338" s="263">
        <f t="shared" ca="1" si="46"/>
        <v>1.1470072773719959E-2</v>
      </c>
      <c r="BE338" s="263">
        <f t="shared" ca="1" si="46"/>
        <v>1.1174088416234278E-2</v>
      </c>
      <c r="BF338" s="263">
        <f t="shared" ca="1" si="46"/>
        <v>1.0784017019865397E-2</v>
      </c>
      <c r="BG338" s="263">
        <f t="shared" ca="1" si="46"/>
        <v>1.0481458358676622E-2</v>
      </c>
      <c r="BH338" s="263">
        <f t="shared" ca="1" si="46"/>
        <v>1.0171744106088444E-2</v>
      </c>
      <c r="BI338" s="263">
        <f t="shared" ca="1" si="46"/>
        <v>9.6857644775674382E-3</v>
      </c>
      <c r="BJ338" s="263">
        <f t="shared" ca="1" si="46"/>
        <v>9.0680469181001564E-3</v>
      </c>
      <c r="BK338" s="263">
        <f t="shared" ca="1" si="46"/>
        <v>8.7521180768972296E-3</v>
      </c>
      <c r="BL338" s="263">
        <f t="shared" ca="1" si="46"/>
        <v>8.439032628703564E-3</v>
      </c>
      <c r="BM338" s="263">
        <f t="shared" ca="1" si="46"/>
        <v>8.1279283217636777E-3</v>
      </c>
      <c r="BN338" s="263">
        <f t="shared" ca="1" si="46"/>
        <v>7.851571021067285E-3</v>
      </c>
      <c r="BO338" s="263">
        <f t="shared" ca="1" si="46"/>
        <v>2.0320156912433385E-3</v>
      </c>
      <c r="BP338" s="263">
        <f t="shared" ca="1" si="46"/>
        <v>3.1877629211812808E-3</v>
      </c>
      <c r="BQ338" s="263">
        <f t="shared" ca="1" si="46"/>
        <v>3.140750979335527E-3</v>
      </c>
      <c r="BR338" s="263">
        <f t="shared" ca="1" si="46"/>
        <v>3.0617328389782594E-3</v>
      </c>
      <c r="BS338" s="263">
        <f t="shared" ref="BS338:CD338" ca="1" si="47">BS339-BS273</f>
        <v>2.533985759834656E-3</v>
      </c>
      <c r="BT338" s="263">
        <f t="shared" ca="1" si="47"/>
        <v>2.4535192642888282E-3</v>
      </c>
      <c r="BU338" s="263">
        <f t="shared" ca="1" si="47"/>
        <v>2.3711135089058422E-3</v>
      </c>
      <c r="BV338" s="263">
        <f t="shared" ca="1" si="47"/>
        <v>1.4427968503222255E-3</v>
      </c>
      <c r="BW338" s="263">
        <f t="shared" ca="1" si="47"/>
        <v>0</v>
      </c>
      <c r="BX338" s="263">
        <f t="shared" ca="1" si="47"/>
        <v>0</v>
      </c>
      <c r="BY338" s="263">
        <f t="shared" ca="1" si="47"/>
        <v>0</v>
      </c>
      <c r="BZ338" s="263">
        <f t="shared" ca="1" si="47"/>
        <v>0</v>
      </c>
      <c r="CA338" s="263"/>
      <c r="CB338" s="263"/>
      <c r="CC338" s="263"/>
      <c r="CD338" s="263"/>
      <c r="CE338" s="263"/>
      <c r="CF338" s="263"/>
      <c r="CG338" s="263"/>
      <c r="CH338" s="263"/>
      <c r="CI338" s="263"/>
      <c r="CJ338" s="263"/>
      <c r="CK338" s="263"/>
      <c r="CL338" s="263"/>
      <c r="CM338" s="263"/>
      <c r="CN338" s="263"/>
      <c r="CO338" s="263"/>
      <c r="CP338" s="263"/>
      <c r="CQ338" s="263"/>
      <c r="CR338" s="263"/>
      <c r="CS338" s="263"/>
      <c r="CT338" s="263"/>
      <c r="CU338" s="263"/>
      <c r="CV338" s="263"/>
      <c r="CW338" s="263"/>
      <c r="CX338" s="263"/>
      <c r="CY338" s="263"/>
      <c r="CZ338" s="263"/>
      <c r="DA338" s="263"/>
      <c r="DB338" s="263"/>
      <c r="DC338" s="263"/>
      <c r="DD338" s="263"/>
      <c r="DE338" s="263"/>
      <c r="DF338" s="263"/>
      <c r="DG338" s="263"/>
      <c r="DH338" s="263"/>
      <c r="DI338" s="263"/>
      <c r="DJ338" s="263"/>
      <c r="DK338" s="263"/>
      <c r="DL338" s="263"/>
      <c r="DM338" s="263"/>
      <c r="DN338" s="263"/>
      <c r="DO338" s="263"/>
      <c r="DP338" s="263"/>
      <c r="DQ338" s="263"/>
      <c r="DR338" s="263"/>
      <c r="DS338" s="263"/>
      <c r="DT338" s="263"/>
      <c r="DU338" s="263"/>
      <c r="DV338" s="263"/>
      <c r="DW338" s="263"/>
      <c r="DX338" s="263"/>
      <c r="DY338" s="263"/>
      <c r="DZ338" s="263"/>
      <c r="EA338" s="263"/>
      <c r="EB338" s="263"/>
      <c r="EC338" s="263"/>
      <c r="ED338" s="263"/>
      <c r="EE338" s="263"/>
      <c r="EF338" s="263"/>
      <c r="EG338" s="263"/>
      <c r="EH338" s="263"/>
      <c r="EI338" s="263"/>
      <c r="EJ338" s="263"/>
      <c r="EK338" s="263"/>
      <c r="EL338" s="263"/>
      <c r="EM338" s="263"/>
      <c r="EN338" s="263"/>
      <c r="EO338" s="263"/>
      <c r="EP338" s="263"/>
      <c r="EQ338" s="263"/>
      <c r="ER338" s="263"/>
      <c r="ES338" s="263"/>
      <c r="ET338" s="263"/>
      <c r="EU338" s="263"/>
      <c r="EV338" s="263"/>
      <c r="EW338" s="263"/>
      <c r="EX338" s="263"/>
      <c r="EY338" s="263"/>
      <c r="EZ338" s="263"/>
      <c r="FA338" s="263"/>
      <c r="FB338" s="263"/>
      <c r="FC338" s="263"/>
      <c r="FD338" s="263"/>
      <c r="FE338" s="263"/>
      <c r="FF338" s="263"/>
      <c r="FG338" s="263"/>
      <c r="FH338" s="263"/>
      <c r="FI338" s="263"/>
      <c r="FJ338" s="263"/>
      <c r="FK338" s="263"/>
      <c r="FL338" s="263"/>
      <c r="FM338" s="263"/>
      <c r="FN338" s="263"/>
      <c r="FO338" s="263"/>
      <c r="FP338" s="263"/>
      <c r="FQ338" s="263"/>
      <c r="FR338" s="263"/>
      <c r="FS338" s="263"/>
      <c r="FT338" s="263"/>
      <c r="FU338" s="263"/>
      <c r="FV338" s="263"/>
      <c r="FW338" s="263"/>
      <c r="FX338" s="263"/>
      <c r="FY338" s="263"/>
      <c r="FZ338" s="263"/>
      <c r="GA338" s="263"/>
      <c r="GB338" s="263"/>
      <c r="GC338" s="263"/>
      <c r="GD338" s="263"/>
      <c r="GE338" s="263"/>
      <c r="GF338" s="263"/>
      <c r="GG338" s="263"/>
      <c r="GH338" s="263"/>
      <c r="GI338" s="263"/>
      <c r="GJ338" s="263"/>
      <c r="GK338" s="263"/>
      <c r="GL338" s="263"/>
      <c r="GM338" s="263"/>
      <c r="GN338" s="263"/>
      <c r="GO338" s="263"/>
      <c r="GP338" s="263"/>
      <c r="GQ338" s="263"/>
      <c r="GR338" s="263"/>
      <c r="GS338" s="263"/>
      <c r="GT338" s="263"/>
      <c r="GU338" s="263"/>
      <c r="GV338" s="263"/>
      <c r="GW338" s="263"/>
      <c r="GX338" s="263"/>
      <c r="GY338" s="263"/>
    </row>
    <row r="339" spans="1:207" x14ac:dyDescent="0.15">
      <c r="C339" s="23"/>
      <c r="D339" s="26" t="s">
        <v>427</v>
      </c>
      <c r="G339" s="262">
        <f t="shared" ref="G339:BR339" ca="1" si="48">G239-G275-G335</f>
        <v>0.10071419137594738</v>
      </c>
      <c r="H339" s="262">
        <f t="shared" ca="1" si="48"/>
        <v>4.1049732556937363E-2</v>
      </c>
      <c r="I339" s="262">
        <f t="shared" ca="1" si="48"/>
        <v>4.5954736252114887E-2</v>
      </c>
      <c r="J339" s="262">
        <f t="shared" ca="1" si="48"/>
        <v>4.7375988939182295E-2</v>
      </c>
      <c r="K339" s="262">
        <f t="shared" ca="1" si="48"/>
        <v>3.9192340540286759E-2</v>
      </c>
      <c r="L339" s="262">
        <f t="shared" ca="1" si="48"/>
        <v>0.14442243785258035</v>
      </c>
      <c r="M339" s="262">
        <f t="shared" ca="1" si="48"/>
        <v>3.4633567865840209E-2</v>
      </c>
      <c r="N339" s="262">
        <f t="shared" ca="1" si="48"/>
        <v>3.7552095129031002E-2</v>
      </c>
      <c r="O339" s="262">
        <f t="shared" ca="1" si="48"/>
        <v>5.1546397257549441E-2</v>
      </c>
      <c r="P339" s="262">
        <f t="shared" ca="1" si="48"/>
        <v>6.0267394922029677E-2</v>
      </c>
      <c r="Q339" s="262">
        <f t="shared" ca="1" si="48"/>
        <v>6.1307810797349954E-2</v>
      </c>
      <c r="R339" s="262">
        <f t="shared" ca="1" si="48"/>
        <v>5.7824846112016826E-2</v>
      </c>
      <c r="S339" s="262">
        <f t="shared" ca="1" si="48"/>
        <v>5.2392519281186378E-2</v>
      </c>
      <c r="T339" s="262">
        <f t="shared" ca="1" si="48"/>
        <v>4.829752487167166E-2</v>
      </c>
      <c r="U339" s="262">
        <f t="shared" ca="1" si="48"/>
        <v>0.15491294163612551</v>
      </c>
      <c r="V339" s="262">
        <f t="shared" ca="1" si="48"/>
        <v>3.9544242451033648E-2</v>
      </c>
      <c r="W339" s="262">
        <f t="shared" ca="1" si="48"/>
        <v>3.626282589247902E-2</v>
      </c>
      <c r="X339" s="262">
        <f t="shared" ca="1" si="48"/>
        <v>3.3012090225198215E-2</v>
      </c>
      <c r="Y339" s="262">
        <f t="shared" ca="1" si="48"/>
        <v>2.8575944128140109E-2</v>
      </c>
      <c r="Z339" s="262">
        <f t="shared" ca="1" si="48"/>
        <v>2.3364761446686099E-2</v>
      </c>
      <c r="AA339" s="262">
        <f t="shared" ca="1" si="48"/>
        <v>2.3314105624811773E-2</v>
      </c>
      <c r="AB339" s="262">
        <f t="shared" ca="1" si="48"/>
        <v>2.3595582767747213E-2</v>
      </c>
      <c r="AC339" s="262">
        <f t="shared" ca="1" si="48"/>
        <v>2.3148049741798838E-2</v>
      </c>
      <c r="AD339" s="262">
        <f t="shared" ca="1" si="48"/>
        <v>0.13535243743115066</v>
      </c>
      <c r="AE339" s="262">
        <f t="shared" ca="1" si="48"/>
        <v>2.206851616222965E-2</v>
      </c>
      <c r="AF339" s="262">
        <f t="shared" ca="1" si="48"/>
        <v>2.2155156264735895E-2</v>
      </c>
      <c r="AG339" s="262">
        <f t="shared" ca="1" si="48"/>
        <v>2.2250466277092353E-2</v>
      </c>
      <c r="AH339" s="262">
        <f t="shared" ca="1" si="48"/>
        <v>2.1865428068006953E-2</v>
      </c>
      <c r="AI339" s="262">
        <f t="shared" ca="1" si="48"/>
        <v>2.1293399550142224E-2</v>
      </c>
      <c r="AJ339" s="262">
        <f t="shared" ca="1" si="48"/>
        <v>2.062532748325592E-2</v>
      </c>
      <c r="AK339" s="262">
        <f t="shared" ca="1" si="48"/>
        <v>1.9610410359196643E-2</v>
      </c>
      <c r="AL339" s="262">
        <f t="shared" ca="1" si="48"/>
        <v>1.8399324396208023E-2</v>
      </c>
      <c r="AM339" s="262">
        <f t="shared" ca="1" si="48"/>
        <v>1.8158974453145963E-2</v>
      </c>
      <c r="AN339" s="262">
        <f t="shared" ca="1" si="48"/>
        <v>1.8119497939270188E-2</v>
      </c>
      <c r="AO339" s="262">
        <f t="shared" ca="1" si="48"/>
        <v>1.7850738463619009E-2</v>
      </c>
      <c r="AP339" s="262">
        <f t="shared" ca="1" si="48"/>
        <v>1.7487229061333882E-2</v>
      </c>
      <c r="AQ339" s="262">
        <f t="shared" ca="1" si="48"/>
        <v>1.691841994574763E-2</v>
      </c>
      <c r="AR339" s="262">
        <f t="shared" ca="1" si="48"/>
        <v>1.6538657296156951E-2</v>
      </c>
      <c r="AS339" s="262">
        <f t="shared" ca="1" si="48"/>
        <v>1.6190037089274738E-2</v>
      </c>
      <c r="AT339" s="262">
        <f t="shared" ca="1" si="48"/>
        <v>1.5763164299235057E-2</v>
      </c>
      <c r="AU339" s="262">
        <f t="shared" ca="1" si="48"/>
        <v>1.5353576758290797E-2</v>
      </c>
      <c r="AV339" s="262">
        <f t="shared" ca="1" si="48"/>
        <v>1.4823792710496093E-2</v>
      </c>
      <c r="AW339" s="262">
        <f t="shared" ca="1" si="48"/>
        <v>1.3880467882914898E-2</v>
      </c>
      <c r="AX339" s="262">
        <f t="shared" ca="1" si="48"/>
        <v>1.2842301531263003E-2</v>
      </c>
      <c r="AY339" s="262">
        <f t="shared" ca="1" si="48"/>
        <v>1.2487371283777735E-2</v>
      </c>
      <c r="AZ339" s="262">
        <f t="shared" ca="1" si="48"/>
        <v>1.2150941657174121E-2</v>
      </c>
      <c r="BA339" s="262">
        <f t="shared" ca="1" si="48"/>
        <v>1.1820145748216269E-2</v>
      </c>
      <c r="BB339" s="262">
        <f t="shared" ca="1" si="48"/>
        <v>1.1515541500394928E-2</v>
      </c>
      <c r="BC339" s="262">
        <f t="shared" ca="1" si="48"/>
        <v>1.1151602802435982E-2</v>
      </c>
      <c r="BD339" s="262">
        <f t="shared" ca="1" si="48"/>
        <v>1.0881688613055447E-2</v>
      </c>
      <c r="BE339" s="262">
        <f t="shared" ca="1" si="48"/>
        <v>1.0602116397307106E-2</v>
      </c>
      <c r="BF339" s="262">
        <f t="shared" ca="1" si="48"/>
        <v>1.0228457142675566E-2</v>
      </c>
      <c r="BG339" s="262">
        <f t="shared" ca="1" si="48"/>
        <v>9.9423106232241314E-3</v>
      </c>
      <c r="BH339" s="262">
        <f t="shared" ca="1" si="48"/>
        <v>9.6490085123732919E-3</v>
      </c>
      <c r="BI339" s="262">
        <f t="shared" ca="1" si="48"/>
        <v>9.1794410255896276E-3</v>
      </c>
      <c r="BJ339" s="262">
        <f t="shared" ca="1" si="48"/>
        <v>8.5781356078596868E-3</v>
      </c>
      <c r="BK339" s="262">
        <f t="shared" ca="1" si="48"/>
        <v>8.2786189083940993E-3</v>
      </c>
      <c r="BL339" s="262">
        <f t="shared" ca="1" si="48"/>
        <v>7.9819456019377746E-3</v>
      </c>
      <c r="BM339" s="262">
        <f t="shared" ca="1" si="48"/>
        <v>7.6872534367352294E-3</v>
      </c>
      <c r="BN339" s="262">
        <f t="shared" ca="1" si="48"/>
        <v>7.4124590817609875E-3</v>
      </c>
      <c r="BO339" s="262">
        <f t="shared" ca="1" si="48"/>
        <v>2.0320156912433385E-3</v>
      </c>
      <c r="BP339" s="262">
        <f t="shared" ca="1" si="48"/>
        <v>3.1877629211812808E-3</v>
      </c>
      <c r="BQ339" s="262">
        <f t="shared" ca="1" si="48"/>
        <v>3.140750979335527E-3</v>
      </c>
      <c r="BR339" s="262">
        <f t="shared" ca="1" si="48"/>
        <v>3.0617328389782594E-3</v>
      </c>
      <c r="BS339" s="262">
        <f t="shared" ref="BS339:CD339" ca="1" si="49">BS239-BS275-BS335</f>
        <v>2.533985759834656E-3</v>
      </c>
      <c r="BT339" s="262">
        <f t="shared" ca="1" si="49"/>
        <v>2.4535192642888282E-3</v>
      </c>
      <c r="BU339" s="262">
        <f t="shared" ca="1" si="49"/>
        <v>2.3711135089058422E-3</v>
      </c>
      <c r="BV339" s="262">
        <f t="shared" ca="1" si="49"/>
        <v>1.4427968503222255E-3</v>
      </c>
      <c r="BW339" s="262">
        <f t="shared" ca="1" si="49"/>
        <v>0</v>
      </c>
      <c r="BX339" s="262">
        <f t="shared" ca="1" si="49"/>
        <v>0</v>
      </c>
      <c r="BY339" s="262">
        <f t="shared" ca="1" si="49"/>
        <v>0</v>
      </c>
      <c r="BZ339" s="262">
        <f t="shared" ca="1" si="49"/>
        <v>0</v>
      </c>
      <c r="CA339" s="263"/>
      <c r="CB339" s="263"/>
      <c r="CC339" s="263"/>
      <c r="CD339" s="263"/>
      <c r="CE339" s="263"/>
      <c r="CF339" s="263"/>
      <c r="CG339" s="263"/>
      <c r="CH339" s="263"/>
      <c r="CI339" s="263"/>
      <c r="CJ339" s="263"/>
      <c r="CK339" s="263"/>
      <c r="CL339" s="263"/>
      <c r="CM339" s="263"/>
      <c r="CN339" s="263"/>
      <c r="CO339" s="263"/>
      <c r="CP339" s="263"/>
      <c r="CQ339" s="263"/>
      <c r="CR339" s="263"/>
      <c r="CS339" s="263"/>
      <c r="CT339" s="263"/>
      <c r="CU339" s="263"/>
      <c r="CV339" s="263"/>
      <c r="CW339" s="263"/>
      <c r="CX339" s="263"/>
      <c r="CY339" s="263"/>
      <c r="CZ339" s="263"/>
      <c r="DA339" s="263"/>
      <c r="DB339" s="263"/>
      <c r="DC339" s="263"/>
      <c r="DD339" s="263"/>
      <c r="DE339" s="263"/>
      <c r="DF339" s="263"/>
      <c r="DG339" s="263"/>
      <c r="DH339" s="263"/>
      <c r="DI339" s="263"/>
      <c r="DJ339" s="263"/>
      <c r="DK339" s="263"/>
      <c r="DL339" s="263"/>
      <c r="DM339" s="263"/>
      <c r="DN339" s="263"/>
      <c r="DO339" s="263"/>
      <c r="DP339" s="263"/>
      <c r="DQ339" s="263"/>
      <c r="DR339" s="263"/>
      <c r="DS339" s="263"/>
      <c r="DT339" s="263"/>
      <c r="DU339" s="263"/>
      <c r="DV339" s="263"/>
      <c r="DW339" s="263"/>
      <c r="DX339" s="263"/>
      <c r="DY339" s="263"/>
      <c r="DZ339" s="263"/>
      <c r="EA339" s="263"/>
      <c r="EB339" s="263"/>
      <c r="EC339" s="263"/>
      <c r="ED339" s="263"/>
      <c r="EE339" s="263"/>
      <c r="EF339" s="263"/>
      <c r="EG339" s="263"/>
      <c r="EH339" s="263"/>
      <c r="EI339" s="263"/>
      <c r="EJ339" s="263"/>
      <c r="EK339" s="263"/>
      <c r="EL339" s="263"/>
      <c r="EM339" s="263"/>
      <c r="EN339" s="263"/>
      <c r="EO339" s="263"/>
      <c r="EP339" s="263"/>
      <c r="EQ339" s="263"/>
      <c r="ER339" s="263"/>
      <c r="ES339" s="263"/>
      <c r="ET339" s="263"/>
      <c r="EU339" s="263"/>
      <c r="EV339" s="263"/>
      <c r="EW339" s="263"/>
      <c r="EX339" s="263"/>
      <c r="EY339" s="263"/>
      <c r="EZ339" s="263"/>
      <c r="FA339" s="263"/>
      <c r="FB339" s="263"/>
      <c r="FC339" s="263"/>
      <c r="FD339" s="263"/>
      <c r="FE339" s="263"/>
      <c r="FF339" s="263"/>
      <c r="FG339" s="263"/>
      <c r="FH339" s="263"/>
      <c r="FI339" s="263"/>
      <c r="FJ339" s="263"/>
      <c r="FK339" s="263"/>
      <c r="FL339" s="263"/>
      <c r="FM339" s="263"/>
      <c r="FN339" s="263"/>
      <c r="FO339" s="263"/>
      <c r="FP339" s="263"/>
      <c r="FQ339" s="263"/>
      <c r="FR339" s="263"/>
      <c r="FS339" s="263"/>
      <c r="FT339" s="263"/>
      <c r="FU339" s="263"/>
      <c r="FV339" s="263"/>
      <c r="FW339" s="263"/>
      <c r="FX339" s="263"/>
      <c r="FY339" s="263"/>
      <c r="FZ339" s="263"/>
      <c r="GA339" s="263"/>
      <c r="GB339" s="263"/>
      <c r="GC339" s="263"/>
      <c r="GD339" s="263"/>
      <c r="GE339" s="263"/>
      <c r="GF339" s="263"/>
      <c r="GG339" s="263"/>
      <c r="GH339" s="263"/>
      <c r="GI339" s="263"/>
      <c r="GJ339" s="263"/>
      <c r="GK339" s="263"/>
      <c r="GL339" s="263"/>
      <c r="GM339" s="263"/>
      <c r="GN339" s="263"/>
      <c r="GO339" s="263"/>
      <c r="GP339" s="263"/>
      <c r="GQ339" s="263"/>
      <c r="GR339" s="263"/>
      <c r="GS339" s="263"/>
      <c r="GT339" s="263"/>
      <c r="GU339" s="263"/>
      <c r="GV339" s="263"/>
      <c r="GW339" s="263"/>
      <c r="GX339" s="263"/>
      <c r="GY339" s="263"/>
    </row>
    <row r="340" spans="1:207" x14ac:dyDescent="0.15">
      <c r="C340" s="23"/>
      <c r="G340" s="263"/>
      <c r="H340" s="263"/>
      <c r="I340" s="263"/>
      <c r="J340" s="263"/>
      <c r="K340" s="263"/>
      <c r="L340" s="263"/>
      <c r="M340" s="263"/>
      <c r="N340" s="263"/>
      <c r="O340" s="263"/>
      <c r="P340" s="263"/>
      <c r="Q340" s="263"/>
      <c r="R340" s="263"/>
      <c r="S340" s="263"/>
      <c r="T340" s="263"/>
      <c r="U340" s="263"/>
      <c r="V340" s="263"/>
      <c r="W340" s="263"/>
      <c r="X340" s="263"/>
      <c r="Y340" s="263"/>
      <c r="Z340" s="263"/>
      <c r="AA340" s="263"/>
      <c r="AB340" s="263"/>
      <c r="AC340" s="263"/>
      <c r="AD340" s="263"/>
      <c r="AE340" s="263"/>
      <c r="AF340" s="263"/>
      <c r="AG340" s="263"/>
      <c r="AH340" s="263"/>
      <c r="AI340" s="263"/>
      <c r="AJ340" s="263"/>
      <c r="AK340" s="263"/>
      <c r="AL340" s="263"/>
      <c r="AM340" s="263"/>
      <c r="AN340" s="263"/>
      <c r="AO340" s="263"/>
      <c r="AP340" s="263"/>
      <c r="AQ340" s="263"/>
      <c r="AR340" s="263"/>
      <c r="AS340" s="263"/>
      <c r="AT340" s="263"/>
      <c r="AU340" s="263"/>
      <c r="AV340" s="263"/>
      <c r="AW340" s="263"/>
      <c r="AX340" s="263"/>
      <c r="AY340" s="263"/>
      <c r="AZ340" s="263"/>
      <c r="BA340" s="263"/>
      <c r="BB340" s="263"/>
      <c r="BC340" s="263"/>
      <c r="BD340" s="263"/>
      <c r="BE340" s="263"/>
      <c r="BF340" s="263"/>
      <c r="BG340" s="263"/>
      <c r="BH340" s="263"/>
      <c r="BI340" s="263"/>
      <c r="BJ340" s="263"/>
      <c r="BK340" s="263"/>
      <c r="BL340" s="263"/>
      <c r="BM340" s="263"/>
      <c r="BN340" s="263"/>
      <c r="BO340" s="263"/>
      <c r="BP340" s="263"/>
      <c r="BQ340" s="263"/>
      <c r="BR340" s="263"/>
      <c r="BS340" s="263"/>
      <c r="BT340" s="263"/>
      <c r="BU340" s="263"/>
      <c r="BV340" s="263"/>
      <c r="BW340" s="263"/>
      <c r="BX340" s="263"/>
      <c r="BY340" s="263"/>
      <c r="BZ340" s="263"/>
      <c r="CA340" s="263"/>
      <c r="CB340" s="263"/>
      <c r="CC340" s="263"/>
      <c r="CD340" s="263"/>
      <c r="CE340" s="263"/>
      <c r="CF340" s="263"/>
      <c r="CG340" s="263"/>
      <c r="CH340" s="263"/>
      <c r="CI340" s="263"/>
      <c r="CJ340" s="263"/>
      <c r="CK340" s="263"/>
      <c r="CL340" s="263"/>
      <c r="CM340" s="263"/>
      <c r="CN340" s="263"/>
      <c r="CO340" s="263"/>
      <c r="CP340" s="263"/>
      <c r="CQ340" s="263"/>
      <c r="CR340" s="263"/>
      <c r="CS340" s="263"/>
      <c r="CT340" s="263"/>
      <c r="CU340" s="263"/>
      <c r="CV340" s="263"/>
      <c r="CW340" s="263"/>
      <c r="CX340" s="263"/>
      <c r="CY340" s="263"/>
      <c r="CZ340" s="263"/>
      <c r="DA340" s="263"/>
      <c r="DB340" s="263"/>
      <c r="DC340" s="263"/>
      <c r="DD340" s="263"/>
      <c r="DE340" s="263"/>
      <c r="DF340" s="263"/>
      <c r="DG340" s="263"/>
      <c r="DH340" s="263"/>
      <c r="DI340" s="263"/>
      <c r="DJ340" s="263"/>
      <c r="DK340" s="263"/>
      <c r="DL340" s="263"/>
      <c r="DM340" s="263"/>
      <c r="DN340" s="263"/>
      <c r="DO340" s="263"/>
      <c r="DP340" s="263"/>
      <c r="DQ340" s="263"/>
      <c r="DR340" s="263"/>
      <c r="DS340" s="263"/>
      <c r="DT340" s="263"/>
      <c r="DU340" s="263"/>
      <c r="DV340" s="263"/>
      <c r="DW340" s="263"/>
      <c r="DX340" s="263"/>
      <c r="DY340" s="263"/>
      <c r="DZ340" s="263"/>
      <c r="EA340" s="263"/>
      <c r="EB340" s="263"/>
      <c r="EC340" s="263"/>
      <c r="ED340" s="263"/>
      <c r="EE340" s="263"/>
      <c r="EF340" s="263"/>
      <c r="EG340" s="263"/>
      <c r="EH340" s="263"/>
      <c r="EI340" s="263"/>
      <c r="EJ340" s="263"/>
      <c r="EK340" s="263"/>
      <c r="EL340" s="263"/>
      <c r="EM340" s="263"/>
      <c r="EN340" s="263"/>
      <c r="EO340" s="263"/>
      <c r="EP340" s="263"/>
      <c r="EQ340" s="263"/>
      <c r="ER340" s="263"/>
      <c r="ES340" s="263"/>
      <c r="ET340" s="263"/>
      <c r="EU340" s="263"/>
      <c r="EV340" s="263"/>
      <c r="EW340" s="263"/>
      <c r="EX340" s="263"/>
      <c r="EY340" s="263"/>
      <c r="EZ340" s="263"/>
      <c r="FA340" s="263"/>
      <c r="FB340" s="263"/>
      <c r="FC340" s="263"/>
      <c r="FD340" s="263"/>
      <c r="FE340" s="263"/>
      <c r="FF340" s="263"/>
      <c r="FG340" s="263"/>
      <c r="FH340" s="263"/>
      <c r="FI340" s="263"/>
      <c r="FJ340" s="263"/>
      <c r="FK340" s="263"/>
      <c r="FL340" s="263"/>
      <c r="FM340" s="263"/>
      <c r="FN340" s="263"/>
      <c r="FO340" s="263"/>
      <c r="FP340" s="263"/>
      <c r="FQ340" s="263"/>
      <c r="FR340" s="263"/>
      <c r="FS340" s="263"/>
      <c r="FT340" s="263"/>
      <c r="FU340" s="263"/>
      <c r="FV340" s="263"/>
      <c r="FW340" s="263"/>
      <c r="FX340" s="263"/>
      <c r="FY340" s="263"/>
      <c r="FZ340" s="263"/>
      <c r="GA340" s="263"/>
      <c r="GB340" s="263"/>
      <c r="GC340" s="263"/>
      <c r="GD340" s="263"/>
      <c r="GE340" s="263"/>
      <c r="GF340" s="263"/>
      <c r="GG340" s="263"/>
      <c r="GH340" s="263"/>
      <c r="GI340" s="263"/>
      <c r="GJ340" s="263"/>
      <c r="GK340" s="263"/>
      <c r="GL340" s="263"/>
      <c r="GM340" s="263"/>
      <c r="GN340" s="263"/>
      <c r="GO340" s="263"/>
      <c r="GP340" s="263"/>
      <c r="GQ340" s="263"/>
      <c r="GR340" s="263"/>
      <c r="GS340" s="263"/>
      <c r="GT340" s="263"/>
      <c r="GU340" s="263"/>
      <c r="GV340" s="263"/>
      <c r="GW340" s="263"/>
      <c r="GX340" s="263"/>
      <c r="GY340" s="263"/>
    </row>
    <row r="341" spans="1:207" s="304" customFormat="1" x14ac:dyDescent="0.15">
      <c r="A341" s="303"/>
      <c r="G341" s="263"/>
      <c r="H341" s="263"/>
      <c r="I341" s="263"/>
      <c r="J341" s="263"/>
      <c r="K341" s="263"/>
      <c r="L341" s="263"/>
      <c r="M341" s="263"/>
      <c r="N341" s="263"/>
      <c r="O341" s="263"/>
      <c r="P341" s="263"/>
      <c r="Q341" s="263"/>
      <c r="R341" s="263"/>
      <c r="S341" s="263"/>
      <c r="T341" s="263"/>
      <c r="U341" s="263"/>
      <c r="V341" s="263"/>
      <c r="W341" s="263"/>
      <c r="X341" s="263"/>
      <c r="Y341" s="263"/>
      <c r="Z341" s="263"/>
      <c r="AA341" s="263"/>
      <c r="AB341" s="263"/>
      <c r="AC341" s="263"/>
      <c r="AD341" s="263"/>
      <c r="AE341" s="263"/>
      <c r="AF341" s="263"/>
      <c r="AG341" s="263"/>
      <c r="AH341" s="263"/>
      <c r="AI341" s="263"/>
      <c r="AJ341" s="263"/>
      <c r="AK341" s="263"/>
      <c r="AL341" s="263"/>
      <c r="AM341" s="263"/>
      <c r="AN341" s="263"/>
      <c r="AO341" s="263"/>
      <c r="AP341" s="263"/>
      <c r="AQ341" s="263"/>
      <c r="AR341" s="263"/>
      <c r="AS341" s="263"/>
      <c r="AT341" s="263"/>
      <c r="AU341" s="263"/>
      <c r="AV341" s="263"/>
      <c r="AW341" s="263"/>
      <c r="AX341" s="263"/>
      <c r="AY341" s="263"/>
      <c r="AZ341" s="263"/>
      <c r="BA341" s="263"/>
      <c r="BB341" s="263"/>
      <c r="BC341" s="263"/>
      <c r="BD341" s="263"/>
      <c r="BE341" s="263"/>
      <c r="BF341" s="263"/>
      <c r="BG341" s="263"/>
      <c r="BH341" s="263"/>
      <c r="BI341" s="263"/>
      <c r="BJ341" s="263"/>
      <c r="BK341" s="263"/>
      <c r="BL341" s="263"/>
      <c r="BM341" s="263"/>
      <c r="BN341" s="263"/>
      <c r="BO341" s="263"/>
      <c r="BP341" s="263"/>
      <c r="BQ341" s="263"/>
      <c r="BR341" s="263"/>
      <c r="BS341" s="263"/>
      <c r="BT341" s="263"/>
      <c r="BU341" s="263"/>
      <c r="BV341" s="263"/>
      <c r="BW341" s="263"/>
      <c r="BX341" s="263"/>
      <c r="BY341" s="263"/>
      <c r="BZ341" s="263"/>
      <c r="CA341" s="263"/>
      <c r="CB341" s="263"/>
      <c r="CC341" s="263"/>
      <c r="CD341" s="263"/>
      <c r="CE341" s="263"/>
      <c r="CF341" s="263"/>
      <c r="CG341" s="263"/>
      <c r="CH341" s="263"/>
      <c r="CI341" s="263"/>
      <c r="CJ341" s="263"/>
      <c r="CK341" s="263"/>
      <c r="CL341" s="263"/>
      <c r="CM341" s="263"/>
      <c r="CN341" s="263"/>
      <c r="CO341" s="263"/>
      <c r="CP341" s="263"/>
      <c r="CQ341" s="263"/>
      <c r="CR341" s="263"/>
      <c r="CS341" s="263"/>
      <c r="CT341" s="263"/>
      <c r="CU341" s="263"/>
      <c r="CV341" s="263"/>
      <c r="CW341" s="263"/>
      <c r="CX341" s="263"/>
      <c r="CY341" s="263"/>
      <c r="CZ341" s="263"/>
      <c r="DA341" s="263"/>
      <c r="DB341" s="263"/>
      <c r="DC341" s="263"/>
      <c r="DD341" s="263"/>
      <c r="DE341" s="263"/>
      <c r="DF341" s="263"/>
      <c r="DG341" s="263"/>
      <c r="DH341" s="263"/>
      <c r="DI341" s="263"/>
      <c r="DJ341" s="263"/>
      <c r="DK341" s="263"/>
      <c r="DL341" s="263"/>
      <c r="DM341" s="263"/>
      <c r="DN341" s="263"/>
      <c r="DO341" s="263"/>
      <c r="DP341" s="263"/>
      <c r="DQ341" s="263"/>
      <c r="DR341" s="263"/>
      <c r="DS341" s="263"/>
      <c r="DT341" s="263"/>
      <c r="DU341" s="263"/>
      <c r="DV341" s="263"/>
      <c r="DW341" s="263"/>
      <c r="DX341" s="263"/>
      <c r="DY341" s="263"/>
      <c r="DZ341" s="263"/>
      <c r="EA341" s="263"/>
      <c r="EB341" s="263"/>
      <c r="EC341" s="263"/>
      <c r="ED341" s="263"/>
      <c r="EE341" s="263"/>
      <c r="EF341" s="263"/>
      <c r="EG341" s="263"/>
      <c r="EH341" s="263"/>
      <c r="EI341" s="263"/>
      <c r="EJ341" s="263"/>
      <c r="EK341" s="263"/>
      <c r="EL341" s="263"/>
      <c r="EM341" s="263"/>
      <c r="EN341" s="263"/>
      <c r="EO341" s="263"/>
      <c r="EP341" s="263"/>
      <c r="EQ341" s="263"/>
      <c r="ER341" s="263"/>
      <c r="ES341" s="263"/>
      <c r="ET341" s="263"/>
      <c r="EU341" s="263"/>
      <c r="EV341" s="263"/>
      <c r="EW341" s="263"/>
      <c r="EX341" s="263"/>
      <c r="EY341" s="263"/>
      <c r="EZ341" s="263"/>
      <c r="FA341" s="263"/>
      <c r="FB341" s="263"/>
      <c r="FC341" s="263"/>
      <c r="FD341" s="263"/>
      <c r="FE341" s="263"/>
      <c r="FF341" s="263"/>
      <c r="FG341" s="263"/>
      <c r="FH341" s="263"/>
      <c r="FI341" s="263"/>
      <c r="FJ341" s="263"/>
      <c r="FK341" s="263"/>
      <c r="FL341" s="263"/>
      <c r="FM341" s="263"/>
      <c r="FN341" s="263"/>
      <c r="FO341" s="263"/>
      <c r="FP341" s="263"/>
      <c r="FQ341" s="263"/>
      <c r="FR341" s="263"/>
      <c r="FS341" s="263"/>
      <c r="FT341" s="263"/>
      <c r="FU341" s="263"/>
      <c r="FV341" s="263"/>
      <c r="FW341" s="263"/>
      <c r="FX341" s="263"/>
      <c r="FY341" s="263"/>
      <c r="FZ341" s="263"/>
      <c r="GA341" s="263"/>
      <c r="GB341" s="263"/>
      <c r="GC341" s="263"/>
      <c r="GD341" s="263"/>
      <c r="GE341" s="263"/>
      <c r="GF341" s="263"/>
      <c r="GG341" s="263"/>
      <c r="GH341" s="263"/>
      <c r="GI341" s="263"/>
      <c r="GJ341" s="263"/>
      <c r="GK341" s="263"/>
      <c r="GL341" s="263"/>
      <c r="GM341" s="263"/>
      <c r="GN341" s="263"/>
      <c r="GO341" s="263"/>
      <c r="GP341" s="263"/>
      <c r="GQ341" s="263"/>
      <c r="GR341" s="263"/>
      <c r="GS341" s="263"/>
      <c r="GT341" s="263"/>
      <c r="GU341" s="263"/>
      <c r="GV341" s="263"/>
      <c r="GW341" s="263"/>
      <c r="GX341" s="263"/>
      <c r="GY341" s="263"/>
    </row>
    <row r="342" spans="1:207" x14ac:dyDescent="0.15">
      <c r="F342" s="198"/>
      <c r="G342" s="263"/>
      <c r="H342" s="263"/>
      <c r="I342" s="263"/>
      <c r="J342" s="263"/>
      <c r="K342" s="263"/>
      <c r="L342" s="263"/>
      <c r="M342" s="263"/>
      <c r="N342" s="263"/>
      <c r="O342" s="263"/>
      <c r="P342" s="263"/>
      <c r="Q342" s="263"/>
      <c r="R342" s="263"/>
      <c r="S342" s="263"/>
      <c r="T342" s="263"/>
      <c r="U342" s="263"/>
      <c r="V342" s="263"/>
      <c r="W342" s="263"/>
      <c r="X342" s="263"/>
      <c r="Y342" s="263"/>
      <c r="Z342" s="263"/>
      <c r="AA342" s="263"/>
      <c r="AB342" s="263"/>
      <c r="AC342" s="263"/>
      <c r="AD342" s="263"/>
      <c r="AE342" s="263"/>
      <c r="AF342" s="263"/>
      <c r="AG342" s="263"/>
      <c r="AH342" s="263"/>
      <c r="AI342" s="263"/>
      <c r="AJ342" s="263"/>
      <c r="AK342" s="263"/>
      <c r="AL342" s="263"/>
      <c r="AM342" s="263"/>
      <c r="AN342" s="263"/>
      <c r="AO342" s="263"/>
      <c r="AP342" s="263"/>
      <c r="AQ342" s="263"/>
      <c r="AR342" s="263"/>
      <c r="AS342" s="263"/>
      <c r="AT342" s="263"/>
      <c r="AU342" s="263"/>
      <c r="AV342" s="263"/>
      <c r="AW342" s="263"/>
      <c r="AX342" s="263"/>
      <c r="AY342" s="263"/>
      <c r="AZ342" s="263"/>
      <c r="BA342" s="263"/>
      <c r="BB342" s="263"/>
      <c r="BC342" s="263"/>
      <c r="BD342" s="263"/>
      <c r="BE342" s="263"/>
      <c r="BF342" s="263"/>
      <c r="BG342" s="263"/>
      <c r="BH342" s="263"/>
      <c r="BI342" s="263"/>
      <c r="BJ342" s="263"/>
      <c r="BK342" s="263"/>
      <c r="BL342" s="263"/>
      <c r="BM342" s="263"/>
      <c r="BN342" s="263"/>
      <c r="BO342" s="263"/>
      <c r="BP342" s="263"/>
      <c r="BQ342" s="263"/>
      <c r="BR342" s="263"/>
      <c r="BS342" s="263"/>
      <c r="BT342" s="263"/>
      <c r="BU342" s="263"/>
      <c r="BV342" s="263"/>
      <c r="BW342" s="263"/>
      <c r="BX342" s="263"/>
      <c r="BY342" s="263"/>
      <c r="BZ342" s="263"/>
      <c r="CA342" s="263"/>
      <c r="CB342" s="263"/>
      <c r="CC342" s="263"/>
      <c r="CD342" s="263"/>
      <c r="CE342" s="263"/>
      <c r="CF342" s="263"/>
      <c r="CG342" s="263"/>
      <c r="CH342" s="263"/>
      <c r="CI342" s="263"/>
      <c r="CJ342" s="263"/>
      <c r="CK342" s="263"/>
      <c r="CL342" s="263"/>
      <c r="CM342" s="263"/>
      <c r="CN342" s="263"/>
      <c r="CO342" s="263"/>
      <c r="CP342" s="263"/>
      <c r="CQ342" s="263"/>
      <c r="CR342" s="263"/>
      <c r="CS342" s="263"/>
      <c r="CT342" s="263"/>
      <c r="CU342" s="263"/>
      <c r="CV342" s="263"/>
      <c r="CW342" s="263"/>
      <c r="CX342" s="263"/>
      <c r="CY342" s="263"/>
      <c r="CZ342" s="263"/>
      <c r="DA342" s="263"/>
      <c r="DB342" s="263"/>
      <c r="DC342" s="263"/>
      <c r="DD342" s="263"/>
      <c r="DE342" s="263"/>
      <c r="DF342" s="263"/>
      <c r="DG342" s="263"/>
      <c r="DH342" s="263"/>
      <c r="DI342" s="263"/>
      <c r="DJ342" s="263"/>
      <c r="DK342" s="263"/>
      <c r="DL342" s="263"/>
      <c r="DM342" s="263"/>
      <c r="DN342" s="263"/>
      <c r="DO342" s="263"/>
      <c r="DP342" s="263"/>
      <c r="DQ342" s="263"/>
      <c r="DR342" s="263"/>
      <c r="DS342" s="263"/>
      <c r="DT342" s="263"/>
      <c r="DU342" s="263"/>
      <c r="DV342" s="263"/>
      <c r="DW342" s="263"/>
      <c r="DX342" s="263"/>
      <c r="DY342" s="263"/>
      <c r="DZ342" s="263"/>
      <c r="EA342" s="263"/>
      <c r="EB342" s="263"/>
      <c r="EC342" s="263"/>
      <c r="ED342" s="263"/>
      <c r="EE342" s="263"/>
      <c r="EF342" s="263"/>
      <c r="EG342" s="263"/>
      <c r="EH342" s="263"/>
      <c r="EI342" s="263"/>
      <c r="EJ342" s="263"/>
      <c r="EK342" s="263"/>
      <c r="EL342" s="263"/>
      <c r="EM342" s="263"/>
      <c r="EN342" s="263"/>
      <c r="EO342" s="263"/>
      <c r="EP342" s="263"/>
      <c r="EQ342" s="263"/>
      <c r="ER342" s="263"/>
      <c r="ES342" s="263"/>
      <c r="ET342" s="263"/>
      <c r="EU342" s="263"/>
      <c r="EV342" s="263"/>
      <c r="EW342" s="263"/>
      <c r="EX342" s="263"/>
      <c r="EY342" s="263"/>
      <c r="EZ342" s="263"/>
      <c r="FA342" s="263"/>
      <c r="FB342" s="263"/>
      <c r="FC342" s="263"/>
      <c r="FD342" s="263"/>
      <c r="FE342" s="263"/>
      <c r="FF342" s="263"/>
      <c r="FG342" s="263"/>
      <c r="FH342" s="263"/>
      <c r="FI342" s="263"/>
      <c r="FJ342" s="263"/>
      <c r="FK342" s="263"/>
      <c r="FL342" s="263"/>
      <c r="FM342" s="263"/>
      <c r="FN342" s="263"/>
      <c r="FO342" s="263"/>
      <c r="FP342" s="263"/>
      <c r="FQ342" s="263"/>
      <c r="FR342" s="263"/>
      <c r="FS342" s="263"/>
      <c r="FT342" s="263"/>
      <c r="FU342" s="263"/>
      <c r="FV342" s="263"/>
      <c r="FW342" s="263"/>
      <c r="FX342" s="263"/>
      <c r="FY342" s="263"/>
      <c r="FZ342" s="263"/>
      <c r="GA342" s="263"/>
      <c r="GB342" s="263"/>
      <c r="GC342" s="263"/>
      <c r="GD342" s="263"/>
      <c r="GE342" s="263"/>
      <c r="GF342" s="263"/>
      <c r="GG342" s="263"/>
      <c r="GH342" s="263"/>
      <c r="GI342" s="263"/>
      <c r="GJ342" s="263"/>
      <c r="GK342" s="263"/>
      <c r="GL342" s="263"/>
      <c r="GM342" s="263"/>
      <c r="GN342" s="263"/>
      <c r="GO342" s="263"/>
      <c r="GP342" s="263"/>
      <c r="GQ342" s="263"/>
      <c r="GR342" s="263"/>
      <c r="GS342" s="263"/>
      <c r="GT342" s="263"/>
      <c r="GU342" s="263"/>
      <c r="GV342" s="263"/>
      <c r="GW342" s="263"/>
      <c r="GX342" s="263"/>
      <c r="GY342" s="263"/>
    </row>
    <row r="343" spans="1:207" x14ac:dyDescent="0.15">
      <c r="G343" s="263"/>
      <c r="H343" s="263"/>
      <c r="I343" s="263"/>
      <c r="J343" s="263"/>
      <c r="K343" s="263"/>
      <c r="L343" s="263"/>
      <c r="M343" s="263"/>
      <c r="N343" s="263"/>
      <c r="O343" s="263"/>
      <c r="P343" s="263"/>
      <c r="Q343" s="263"/>
      <c r="R343" s="263"/>
      <c r="S343" s="263"/>
      <c r="T343" s="263"/>
      <c r="U343" s="263"/>
      <c r="V343" s="263"/>
      <c r="W343" s="263"/>
      <c r="X343" s="263"/>
      <c r="Y343" s="263"/>
      <c r="Z343" s="263"/>
      <c r="AA343" s="263"/>
      <c r="AB343" s="263"/>
      <c r="AC343" s="263"/>
      <c r="AD343" s="263"/>
      <c r="AE343" s="263"/>
      <c r="AF343" s="263"/>
      <c r="AG343" s="263"/>
      <c r="AH343" s="263"/>
      <c r="AI343" s="263"/>
      <c r="AJ343" s="263"/>
      <c r="AK343" s="263"/>
      <c r="AL343" s="263"/>
      <c r="AM343" s="263"/>
      <c r="AN343" s="263"/>
      <c r="AO343" s="263"/>
      <c r="AP343" s="263"/>
      <c r="AQ343" s="263"/>
      <c r="AR343" s="263"/>
      <c r="AS343" s="263"/>
      <c r="AT343" s="263"/>
      <c r="AU343" s="263"/>
      <c r="AV343" s="263"/>
      <c r="AW343" s="263"/>
      <c r="AX343" s="263"/>
      <c r="AY343" s="263"/>
      <c r="AZ343" s="263"/>
      <c r="BA343" s="263"/>
      <c r="BB343" s="263"/>
      <c r="BC343" s="263"/>
      <c r="BD343" s="263"/>
      <c r="BE343" s="263"/>
      <c r="BF343" s="263"/>
      <c r="BG343" s="263"/>
      <c r="BH343" s="263"/>
      <c r="BI343" s="263"/>
      <c r="BJ343" s="263"/>
      <c r="BK343" s="263"/>
      <c r="BL343" s="263"/>
      <c r="BM343" s="263"/>
      <c r="BN343" s="263"/>
      <c r="BO343" s="263"/>
      <c r="BP343" s="263"/>
      <c r="BQ343" s="263"/>
      <c r="BR343" s="263"/>
      <c r="BS343" s="263"/>
      <c r="BT343" s="263"/>
      <c r="BU343" s="263"/>
      <c r="BV343" s="263"/>
      <c r="BW343" s="263"/>
      <c r="BX343" s="263"/>
      <c r="BY343" s="263"/>
      <c r="BZ343" s="263"/>
      <c r="CA343" s="263"/>
      <c r="CB343" s="263"/>
      <c r="CC343" s="263"/>
      <c r="CD343" s="263"/>
      <c r="CE343" s="263"/>
      <c r="CF343" s="263"/>
      <c r="CG343" s="263"/>
      <c r="CH343" s="263"/>
      <c r="CI343" s="263"/>
      <c r="CJ343" s="263"/>
      <c r="CK343" s="263"/>
      <c r="CL343" s="263"/>
      <c r="CM343" s="263"/>
      <c r="CN343" s="263"/>
      <c r="CO343" s="263"/>
      <c r="CP343" s="263"/>
      <c r="CQ343" s="263"/>
      <c r="CR343" s="263"/>
      <c r="CS343" s="263"/>
      <c r="CT343" s="263"/>
      <c r="CU343" s="263"/>
      <c r="CV343" s="263"/>
      <c r="CW343" s="263"/>
      <c r="CX343" s="263"/>
      <c r="CY343" s="263"/>
      <c r="CZ343" s="263"/>
      <c r="DA343" s="263"/>
      <c r="DB343" s="263"/>
      <c r="DC343" s="263"/>
      <c r="DD343" s="263"/>
      <c r="DE343" s="263"/>
      <c r="DF343" s="263"/>
      <c r="DG343" s="263"/>
      <c r="DH343" s="263"/>
      <c r="DI343" s="263"/>
      <c r="DJ343" s="263"/>
      <c r="DK343" s="263"/>
      <c r="DL343" s="263"/>
      <c r="DM343" s="263"/>
      <c r="DN343" s="263"/>
      <c r="DO343" s="263"/>
      <c r="DP343" s="263"/>
      <c r="DQ343" s="263"/>
      <c r="DR343" s="263"/>
      <c r="DS343" s="263"/>
      <c r="DT343" s="263"/>
      <c r="DU343" s="263"/>
      <c r="DV343" s="263"/>
      <c r="DW343" s="263"/>
      <c r="DX343" s="263"/>
      <c r="DY343" s="263"/>
      <c r="DZ343" s="263"/>
      <c r="EA343" s="263"/>
      <c r="EB343" s="263"/>
      <c r="EC343" s="263"/>
      <c r="ED343" s="263"/>
      <c r="EE343" s="263"/>
      <c r="EF343" s="263"/>
      <c r="EG343" s="263"/>
      <c r="EH343" s="263"/>
      <c r="EI343" s="263"/>
      <c r="EJ343" s="263"/>
      <c r="EK343" s="263"/>
      <c r="EL343" s="263"/>
      <c r="EM343" s="263"/>
      <c r="EN343" s="263"/>
      <c r="EO343" s="263"/>
      <c r="EP343" s="263"/>
      <c r="EQ343" s="263"/>
      <c r="ER343" s="263"/>
      <c r="ES343" s="263"/>
      <c r="ET343" s="263"/>
      <c r="EU343" s="263"/>
      <c r="EV343" s="263"/>
      <c r="EW343" s="263"/>
      <c r="EX343" s="263"/>
      <c r="EY343" s="263"/>
      <c r="EZ343" s="263"/>
      <c r="FA343" s="263"/>
      <c r="FB343" s="263"/>
      <c r="FC343" s="263"/>
      <c r="FD343" s="263"/>
      <c r="FE343" s="263"/>
      <c r="FF343" s="263"/>
      <c r="FG343" s="263"/>
      <c r="FH343" s="263"/>
      <c r="FI343" s="263"/>
      <c r="FJ343" s="263"/>
      <c r="FK343" s="263"/>
      <c r="FL343" s="263"/>
      <c r="FM343" s="263"/>
      <c r="FN343" s="263"/>
      <c r="FO343" s="263"/>
      <c r="FP343" s="263"/>
      <c r="FQ343" s="263"/>
      <c r="FR343" s="263"/>
      <c r="FS343" s="263"/>
      <c r="FT343" s="263"/>
      <c r="FU343" s="263"/>
      <c r="FV343" s="263"/>
      <c r="FW343" s="263"/>
      <c r="FX343" s="263"/>
      <c r="FY343" s="263"/>
      <c r="FZ343" s="263"/>
      <c r="GA343" s="263"/>
      <c r="GB343" s="263"/>
      <c r="GC343" s="263"/>
      <c r="GD343" s="263"/>
      <c r="GE343" s="263"/>
      <c r="GF343" s="263"/>
      <c r="GG343" s="263"/>
      <c r="GH343" s="263"/>
      <c r="GI343" s="263"/>
      <c r="GJ343" s="263"/>
      <c r="GK343" s="263"/>
      <c r="GL343" s="263"/>
      <c r="GM343" s="263"/>
      <c r="GN343" s="263"/>
      <c r="GO343" s="263"/>
      <c r="GP343" s="263"/>
      <c r="GQ343" s="263"/>
      <c r="GR343" s="263"/>
      <c r="GS343" s="263"/>
      <c r="GT343" s="263"/>
      <c r="GU343" s="263"/>
      <c r="GV343" s="263"/>
      <c r="GW343" s="263"/>
      <c r="GX343" s="263"/>
      <c r="GY343" s="263"/>
    </row>
    <row r="344" spans="1:207" x14ac:dyDescent="0.15">
      <c r="G344" s="263"/>
      <c r="H344" s="263"/>
      <c r="I344" s="263"/>
      <c r="J344" s="263"/>
      <c r="K344" s="263"/>
      <c r="L344" s="263"/>
      <c r="M344" s="263"/>
      <c r="N344" s="263"/>
      <c r="O344" s="263"/>
      <c r="P344" s="263"/>
      <c r="Q344" s="263"/>
      <c r="R344" s="263"/>
      <c r="S344" s="263"/>
      <c r="T344" s="263"/>
      <c r="U344" s="263"/>
      <c r="V344" s="263"/>
      <c r="W344" s="263"/>
      <c r="X344" s="263"/>
      <c r="Y344" s="263"/>
      <c r="Z344" s="263"/>
      <c r="AA344" s="263"/>
      <c r="AB344" s="263"/>
      <c r="AC344" s="263"/>
      <c r="AD344" s="263"/>
      <c r="AE344" s="263"/>
      <c r="AF344" s="263"/>
      <c r="AG344" s="263"/>
      <c r="AH344" s="263"/>
      <c r="AI344" s="263"/>
      <c r="AJ344" s="263"/>
      <c r="AK344" s="263"/>
      <c r="AL344" s="263"/>
      <c r="AM344" s="263"/>
      <c r="AN344" s="263"/>
      <c r="AO344" s="263"/>
      <c r="AP344" s="263"/>
      <c r="AQ344" s="263"/>
      <c r="AR344" s="263"/>
      <c r="AS344" s="263"/>
      <c r="AT344" s="263"/>
      <c r="AU344" s="263"/>
      <c r="AV344" s="263"/>
      <c r="AW344" s="263"/>
      <c r="AX344" s="263"/>
      <c r="AY344" s="263"/>
      <c r="AZ344" s="263"/>
      <c r="BA344" s="263"/>
      <c r="BB344" s="263"/>
      <c r="BC344" s="263"/>
      <c r="BD344" s="263"/>
      <c r="BE344" s="263"/>
      <c r="BF344" s="263"/>
      <c r="BG344" s="263"/>
      <c r="BH344" s="263"/>
      <c r="BI344" s="263"/>
      <c r="BJ344" s="263"/>
      <c r="BK344" s="263"/>
      <c r="BL344" s="263"/>
      <c r="BM344" s="263"/>
      <c r="BN344" s="263"/>
      <c r="BO344" s="263"/>
      <c r="BP344" s="263"/>
      <c r="BQ344" s="263"/>
      <c r="BR344" s="263"/>
      <c r="BS344" s="263"/>
      <c r="BT344" s="263"/>
      <c r="BU344" s="263"/>
      <c r="BV344" s="263"/>
      <c r="BW344" s="263"/>
      <c r="BX344" s="263"/>
      <c r="BY344" s="263"/>
      <c r="BZ344" s="263"/>
      <c r="CA344" s="263"/>
      <c r="CB344" s="263"/>
      <c r="CC344" s="263"/>
      <c r="CD344" s="263"/>
      <c r="CE344" s="263"/>
      <c r="CF344" s="263"/>
      <c r="CG344" s="263"/>
      <c r="CH344" s="263"/>
      <c r="CI344" s="263"/>
      <c r="CJ344" s="263"/>
      <c r="CK344" s="263"/>
      <c r="CL344" s="263"/>
      <c r="CM344" s="263"/>
      <c r="CN344" s="263"/>
      <c r="CO344" s="263"/>
      <c r="CP344" s="263"/>
      <c r="CQ344" s="263"/>
      <c r="CR344" s="263"/>
      <c r="CS344" s="263"/>
      <c r="CT344" s="263"/>
      <c r="CU344" s="263"/>
      <c r="CV344" s="263"/>
      <c r="CW344" s="263"/>
      <c r="CX344" s="263"/>
      <c r="CY344" s="263"/>
      <c r="CZ344" s="263"/>
      <c r="DA344" s="263"/>
      <c r="DB344" s="263"/>
      <c r="DC344" s="263"/>
      <c r="DD344" s="263"/>
      <c r="DE344" s="263"/>
      <c r="DF344" s="263"/>
      <c r="DG344" s="263"/>
      <c r="DH344" s="263"/>
      <c r="DI344" s="263"/>
      <c r="DJ344" s="263"/>
      <c r="DK344" s="263"/>
      <c r="DL344" s="263"/>
      <c r="DM344" s="263"/>
      <c r="DN344" s="263"/>
      <c r="DO344" s="263"/>
      <c r="DP344" s="263"/>
      <c r="DQ344" s="263"/>
      <c r="DR344" s="263"/>
      <c r="DS344" s="263"/>
      <c r="DT344" s="263"/>
      <c r="DU344" s="263"/>
      <c r="DV344" s="263"/>
      <c r="DW344" s="263"/>
      <c r="DX344" s="263"/>
      <c r="DY344" s="263"/>
      <c r="DZ344" s="263"/>
      <c r="EA344" s="263"/>
      <c r="EB344" s="263"/>
      <c r="EC344" s="263"/>
      <c r="ED344" s="263"/>
      <c r="EE344" s="263"/>
      <c r="EF344" s="263"/>
      <c r="EG344" s="263"/>
      <c r="EH344" s="263"/>
      <c r="EI344" s="263"/>
      <c r="EJ344" s="263"/>
      <c r="EK344" s="263"/>
      <c r="EL344" s="263"/>
      <c r="EM344" s="263"/>
      <c r="EN344" s="263"/>
      <c r="EO344" s="263"/>
      <c r="EP344" s="263"/>
      <c r="EQ344" s="263"/>
      <c r="ER344" s="263"/>
      <c r="ES344" s="263"/>
      <c r="ET344" s="263"/>
      <c r="EU344" s="263"/>
      <c r="EV344" s="263"/>
      <c r="EW344" s="263"/>
      <c r="EX344" s="263"/>
      <c r="EY344" s="263"/>
      <c r="EZ344" s="263"/>
      <c r="FA344" s="263"/>
      <c r="FB344" s="263"/>
      <c r="FC344" s="263"/>
      <c r="FD344" s="263"/>
      <c r="FE344" s="263"/>
      <c r="FF344" s="263"/>
      <c r="FG344" s="263"/>
      <c r="FH344" s="263"/>
      <c r="FI344" s="263"/>
      <c r="FJ344" s="263"/>
      <c r="FK344" s="263"/>
      <c r="FL344" s="263"/>
      <c r="FM344" s="263"/>
      <c r="FN344" s="263"/>
      <c r="FO344" s="263"/>
      <c r="FP344" s="263"/>
      <c r="FQ344" s="263"/>
      <c r="FR344" s="263"/>
      <c r="FS344" s="263"/>
      <c r="FT344" s="263"/>
      <c r="FU344" s="263"/>
      <c r="FV344" s="263"/>
      <c r="FW344" s="263"/>
      <c r="FX344" s="263"/>
      <c r="FY344" s="263"/>
      <c r="FZ344" s="263"/>
      <c r="GA344" s="263"/>
      <c r="GB344" s="263"/>
      <c r="GC344" s="263"/>
      <c r="GD344" s="263"/>
      <c r="GE344" s="263"/>
      <c r="GF344" s="263"/>
      <c r="GG344" s="263"/>
      <c r="GH344" s="263"/>
      <c r="GI344" s="263"/>
      <c r="GJ344" s="263"/>
      <c r="GK344" s="263"/>
      <c r="GL344" s="263"/>
      <c r="GM344" s="263"/>
      <c r="GN344" s="263"/>
      <c r="GO344" s="263"/>
      <c r="GP344" s="263"/>
      <c r="GQ344" s="263"/>
      <c r="GR344" s="263"/>
      <c r="GS344" s="263"/>
      <c r="GT344" s="263"/>
      <c r="GU344" s="263"/>
      <c r="GV344" s="263"/>
      <c r="GW344" s="263"/>
      <c r="GX344" s="263"/>
      <c r="GY344" s="263"/>
    </row>
    <row r="345" spans="1:207" x14ac:dyDescent="0.15">
      <c r="G345" s="263"/>
      <c r="H345" s="263"/>
      <c r="I345" s="263"/>
      <c r="J345" s="263"/>
      <c r="K345" s="263"/>
      <c r="L345" s="263"/>
      <c r="M345" s="263"/>
      <c r="N345" s="263"/>
      <c r="O345" s="263"/>
      <c r="P345" s="263"/>
      <c r="Q345" s="263"/>
      <c r="R345" s="263"/>
      <c r="S345" s="263"/>
      <c r="T345" s="263"/>
      <c r="U345" s="263"/>
      <c r="V345" s="263"/>
      <c r="W345" s="263"/>
      <c r="X345" s="263"/>
      <c r="Y345" s="263"/>
      <c r="Z345" s="263"/>
      <c r="AA345" s="263"/>
      <c r="AB345" s="263"/>
      <c r="AC345" s="263"/>
      <c r="AD345" s="263"/>
      <c r="AE345" s="263"/>
      <c r="AF345" s="263"/>
      <c r="AG345" s="263"/>
      <c r="AH345" s="263"/>
      <c r="AI345" s="263"/>
      <c r="AJ345" s="263"/>
      <c r="AK345" s="263"/>
      <c r="AL345" s="263"/>
      <c r="AM345" s="263"/>
      <c r="AN345" s="263"/>
      <c r="AO345" s="263"/>
      <c r="AP345" s="263"/>
      <c r="AQ345" s="263"/>
      <c r="AR345" s="263"/>
      <c r="AS345" s="263"/>
      <c r="AT345" s="263"/>
      <c r="AU345" s="263"/>
      <c r="AV345" s="263"/>
      <c r="AW345" s="263"/>
      <c r="AX345" s="263"/>
      <c r="AY345" s="263"/>
      <c r="AZ345" s="263"/>
      <c r="BA345" s="263"/>
      <c r="BB345" s="263"/>
      <c r="BC345" s="263"/>
      <c r="BD345" s="263"/>
      <c r="BE345" s="263"/>
      <c r="BF345" s="263"/>
      <c r="BG345" s="263"/>
      <c r="BH345" s="263"/>
      <c r="BI345" s="263"/>
      <c r="BJ345" s="263"/>
      <c r="BK345" s="263"/>
      <c r="BL345" s="263"/>
      <c r="BM345" s="263"/>
      <c r="BN345" s="263"/>
      <c r="BO345" s="263"/>
      <c r="BP345" s="263"/>
      <c r="BQ345" s="263"/>
      <c r="BR345" s="263"/>
      <c r="BS345" s="263"/>
      <c r="BT345" s="263"/>
      <c r="BU345" s="263"/>
      <c r="BV345" s="263"/>
      <c r="BW345" s="263"/>
      <c r="BX345" s="263"/>
      <c r="BY345" s="263"/>
      <c r="BZ345" s="263"/>
      <c r="CA345" s="263"/>
      <c r="CB345" s="263"/>
      <c r="CC345" s="263"/>
      <c r="CD345" s="263"/>
      <c r="CE345" s="263"/>
      <c r="CF345" s="263"/>
      <c r="CG345" s="263"/>
      <c r="CH345" s="263"/>
      <c r="CI345" s="263"/>
      <c r="CJ345" s="263"/>
      <c r="CK345" s="263"/>
      <c r="CL345" s="263"/>
      <c r="CM345" s="263"/>
      <c r="CN345" s="263"/>
      <c r="CO345" s="263"/>
      <c r="CP345" s="263"/>
      <c r="CQ345" s="263"/>
      <c r="CR345" s="263"/>
      <c r="CS345" s="263"/>
      <c r="CT345" s="263"/>
      <c r="CU345" s="263"/>
      <c r="CV345" s="263"/>
      <c r="CW345" s="263"/>
      <c r="CX345" s="263"/>
      <c r="CY345" s="263"/>
      <c r="CZ345" s="263"/>
      <c r="DA345" s="263"/>
      <c r="DB345" s="263"/>
      <c r="DC345" s="263"/>
      <c r="DD345" s="263"/>
      <c r="DE345" s="263"/>
      <c r="DF345" s="263"/>
      <c r="DG345" s="263"/>
      <c r="DH345" s="263"/>
      <c r="DI345" s="263"/>
      <c r="DJ345" s="263"/>
      <c r="DK345" s="263"/>
      <c r="DL345" s="263"/>
      <c r="DM345" s="263"/>
      <c r="DN345" s="263"/>
      <c r="DO345" s="263"/>
      <c r="DP345" s="263"/>
      <c r="DQ345" s="263"/>
      <c r="DR345" s="263"/>
      <c r="DS345" s="263"/>
      <c r="DT345" s="263"/>
      <c r="DU345" s="263"/>
      <c r="DV345" s="263"/>
      <c r="DW345" s="263"/>
      <c r="DX345" s="263"/>
      <c r="DY345" s="263"/>
      <c r="DZ345" s="263"/>
      <c r="EA345" s="263"/>
      <c r="EB345" s="263"/>
      <c r="EC345" s="263"/>
      <c r="ED345" s="263"/>
      <c r="EE345" s="263"/>
      <c r="EF345" s="263"/>
      <c r="EG345" s="263"/>
      <c r="EH345" s="263"/>
      <c r="EI345" s="263"/>
      <c r="EJ345" s="263"/>
      <c r="EK345" s="263"/>
      <c r="EL345" s="263"/>
      <c r="EM345" s="263"/>
      <c r="EN345" s="263"/>
      <c r="EO345" s="263"/>
      <c r="EP345" s="263"/>
      <c r="EQ345" s="263"/>
      <c r="ER345" s="263"/>
      <c r="ES345" s="263"/>
      <c r="ET345" s="263"/>
      <c r="EU345" s="263"/>
      <c r="EV345" s="263"/>
      <c r="EW345" s="263"/>
      <c r="EX345" s="263"/>
      <c r="EY345" s="263"/>
      <c r="EZ345" s="263"/>
      <c r="FA345" s="263"/>
      <c r="FB345" s="263"/>
      <c r="FC345" s="263"/>
      <c r="FD345" s="263"/>
      <c r="FE345" s="263"/>
      <c r="FF345" s="263"/>
      <c r="FG345" s="263"/>
      <c r="FH345" s="263"/>
      <c r="FI345" s="263"/>
      <c r="FJ345" s="263"/>
      <c r="FK345" s="263"/>
      <c r="FL345" s="263"/>
      <c r="FM345" s="263"/>
      <c r="FN345" s="263"/>
      <c r="FO345" s="263"/>
      <c r="FP345" s="263"/>
      <c r="FQ345" s="263"/>
      <c r="FR345" s="263"/>
      <c r="FS345" s="263"/>
      <c r="FT345" s="263"/>
      <c r="FU345" s="263"/>
      <c r="FV345" s="263"/>
      <c r="FW345" s="263"/>
      <c r="FX345" s="263"/>
      <c r="FY345" s="263"/>
      <c r="FZ345" s="263"/>
      <c r="GA345" s="263"/>
      <c r="GB345" s="263"/>
      <c r="GC345" s="263"/>
      <c r="GD345" s="263"/>
      <c r="GE345" s="263"/>
      <c r="GF345" s="263"/>
      <c r="GG345" s="263"/>
      <c r="GH345" s="263"/>
      <c r="GI345" s="263"/>
      <c r="GJ345" s="263"/>
      <c r="GK345" s="263"/>
      <c r="GL345" s="263"/>
      <c r="GM345" s="263"/>
      <c r="GN345" s="263"/>
      <c r="GO345" s="263"/>
      <c r="GP345" s="263"/>
      <c r="GQ345" s="263"/>
      <c r="GR345" s="263"/>
      <c r="GS345" s="263"/>
      <c r="GT345" s="263"/>
      <c r="GU345" s="263"/>
      <c r="GV345" s="263"/>
      <c r="GW345" s="263"/>
      <c r="GX345" s="263"/>
      <c r="GY345" s="263"/>
    </row>
    <row r="346" spans="1:207" x14ac:dyDescent="0.15">
      <c r="G346" s="263"/>
      <c r="H346" s="263"/>
      <c r="I346" s="263"/>
      <c r="J346" s="263"/>
      <c r="K346" s="263"/>
      <c r="L346" s="263"/>
      <c r="M346" s="263"/>
      <c r="N346" s="263"/>
      <c r="O346" s="263"/>
      <c r="P346" s="263"/>
      <c r="Q346" s="263"/>
      <c r="R346" s="263"/>
      <c r="S346" s="263"/>
      <c r="T346" s="263"/>
      <c r="U346" s="263"/>
      <c r="V346" s="263"/>
      <c r="W346" s="263"/>
      <c r="X346" s="263"/>
      <c r="Y346" s="263"/>
      <c r="Z346" s="263"/>
      <c r="AA346" s="263"/>
      <c r="AB346" s="263"/>
      <c r="AC346" s="263"/>
      <c r="AD346" s="263"/>
      <c r="AE346" s="263"/>
      <c r="AF346" s="263"/>
      <c r="AG346" s="263"/>
      <c r="AH346" s="263"/>
      <c r="AI346" s="263"/>
      <c r="AJ346" s="263"/>
      <c r="AK346" s="263"/>
      <c r="AL346" s="263"/>
      <c r="AM346" s="263"/>
      <c r="AN346" s="263"/>
      <c r="AO346" s="263"/>
      <c r="AP346" s="263"/>
      <c r="AQ346" s="263"/>
      <c r="AR346" s="263"/>
      <c r="AS346" s="263"/>
      <c r="AT346" s="263"/>
      <c r="AU346" s="263"/>
      <c r="AV346" s="263"/>
      <c r="AW346" s="263"/>
      <c r="AX346" s="263"/>
      <c r="AY346" s="263"/>
      <c r="AZ346" s="263"/>
      <c r="BA346" s="263"/>
      <c r="BB346" s="263"/>
      <c r="BC346" s="263"/>
      <c r="BD346" s="263"/>
      <c r="BE346" s="263"/>
      <c r="BF346" s="263"/>
      <c r="BG346" s="263"/>
      <c r="BH346" s="263"/>
      <c r="BI346" s="263"/>
      <c r="BJ346" s="263"/>
      <c r="BK346" s="263"/>
      <c r="BL346" s="263"/>
      <c r="BM346" s="263"/>
      <c r="BN346" s="263"/>
      <c r="BO346" s="263"/>
      <c r="BP346" s="263"/>
      <c r="BQ346" s="263"/>
      <c r="BR346" s="263"/>
      <c r="BS346" s="263"/>
      <c r="BT346" s="263"/>
      <c r="BU346" s="263"/>
      <c r="BV346" s="263"/>
      <c r="BW346" s="263"/>
      <c r="BX346" s="263"/>
      <c r="BY346" s="263"/>
      <c r="BZ346" s="263"/>
      <c r="CA346" s="263"/>
      <c r="CB346" s="263"/>
      <c r="CC346" s="263"/>
      <c r="CD346" s="263"/>
      <c r="CE346" s="263"/>
      <c r="CF346" s="263"/>
      <c r="CG346" s="263"/>
      <c r="CH346" s="263"/>
      <c r="CI346" s="263"/>
      <c r="CJ346" s="263"/>
      <c r="CK346" s="263"/>
      <c r="CL346" s="263"/>
      <c r="CM346" s="263"/>
      <c r="CN346" s="263"/>
      <c r="CO346" s="263"/>
      <c r="CP346" s="263"/>
      <c r="CQ346" s="263"/>
      <c r="CR346" s="263"/>
      <c r="CS346" s="263"/>
      <c r="CT346" s="263"/>
      <c r="CU346" s="263"/>
      <c r="CV346" s="263"/>
      <c r="CW346" s="263"/>
      <c r="CX346" s="263"/>
      <c r="CY346" s="263"/>
      <c r="CZ346" s="263"/>
      <c r="DA346" s="263"/>
      <c r="DB346" s="263"/>
      <c r="DC346" s="263"/>
      <c r="DD346" s="263"/>
      <c r="DE346" s="263"/>
      <c r="DF346" s="263"/>
      <c r="DG346" s="263"/>
      <c r="DH346" s="263"/>
      <c r="DI346" s="263"/>
      <c r="DJ346" s="263"/>
      <c r="DK346" s="263"/>
      <c r="DL346" s="263"/>
      <c r="DM346" s="263"/>
      <c r="DN346" s="263"/>
      <c r="DO346" s="263"/>
      <c r="DP346" s="263"/>
      <c r="DQ346" s="263"/>
      <c r="DR346" s="263"/>
      <c r="DS346" s="263"/>
      <c r="DT346" s="263"/>
      <c r="DU346" s="263"/>
      <c r="DV346" s="263"/>
      <c r="DW346" s="263"/>
      <c r="DX346" s="263"/>
      <c r="DY346" s="263"/>
      <c r="DZ346" s="263"/>
      <c r="EA346" s="263"/>
      <c r="EB346" s="263"/>
      <c r="EC346" s="263"/>
      <c r="ED346" s="263"/>
      <c r="EE346" s="263"/>
      <c r="EF346" s="263"/>
      <c r="EG346" s="263"/>
      <c r="EH346" s="263"/>
      <c r="EI346" s="263"/>
      <c r="EJ346" s="263"/>
      <c r="EK346" s="263"/>
      <c r="EL346" s="263"/>
      <c r="EM346" s="263"/>
      <c r="EN346" s="263"/>
      <c r="EO346" s="263"/>
      <c r="EP346" s="263"/>
      <c r="EQ346" s="263"/>
      <c r="ER346" s="263"/>
      <c r="ES346" s="263"/>
      <c r="ET346" s="263"/>
      <c r="EU346" s="263"/>
      <c r="EV346" s="263"/>
      <c r="EW346" s="263"/>
      <c r="EX346" s="263"/>
      <c r="EY346" s="263"/>
      <c r="EZ346" s="263"/>
      <c r="FA346" s="263"/>
      <c r="FB346" s="263"/>
      <c r="FC346" s="263"/>
      <c r="FD346" s="263"/>
      <c r="FE346" s="263"/>
      <c r="FF346" s="263"/>
      <c r="FG346" s="263"/>
      <c r="FH346" s="263"/>
      <c r="FI346" s="263"/>
      <c r="FJ346" s="263"/>
      <c r="FK346" s="263"/>
      <c r="FL346" s="263"/>
      <c r="FM346" s="263"/>
      <c r="FN346" s="263"/>
      <c r="FO346" s="263"/>
      <c r="FP346" s="263"/>
      <c r="FQ346" s="263"/>
      <c r="FR346" s="263"/>
      <c r="FS346" s="263"/>
      <c r="FT346" s="263"/>
      <c r="FU346" s="263"/>
      <c r="FV346" s="263"/>
      <c r="FW346" s="263"/>
      <c r="FX346" s="263"/>
      <c r="FY346" s="263"/>
      <c r="FZ346" s="263"/>
      <c r="GA346" s="263"/>
      <c r="GB346" s="263"/>
      <c r="GC346" s="263"/>
      <c r="GD346" s="263"/>
      <c r="GE346" s="263"/>
      <c r="GF346" s="263"/>
      <c r="GG346" s="263"/>
      <c r="GH346" s="263"/>
      <c r="GI346" s="263"/>
      <c r="GJ346" s="263"/>
      <c r="GK346" s="263"/>
      <c r="GL346" s="263"/>
      <c r="GM346" s="263"/>
      <c r="GN346" s="263"/>
      <c r="GO346" s="263"/>
      <c r="GP346" s="263"/>
      <c r="GQ346" s="263"/>
      <c r="GR346" s="263"/>
      <c r="GS346" s="263"/>
      <c r="GT346" s="263"/>
      <c r="GU346" s="263"/>
      <c r="GV346" s="263"/>
      <c r="GW346" s="263"/>
      <c r="GX346" s="263"/>
      <c r="GY346" s="263"/>
    </row>
    <row r="347" spans="1:207" x14ac:dyDescent="0.15">
      <c r="G347" s="263"/>
      <c r="H347" s="263"/>
      <c r="I347" s="263"/>
      <c r="J347" s="263"/>
      <c r="K347" s="263"/>
      <c r="L347" s="263"/>
      <c r="M347" s="263"/>
      <c r="N347" s="263"/>
      <c r="O347" s="263"/>
      <c r="P347" s="263"/>
      <c r="Q347" s="263"/>
      <c r="R347" s="263"/>
      <c r="S347" s="263"/>
      <c r="T347" s="263"/>
      <c r="U347" s="263"/>
      <c r="V347" s="263"/>
      <c r="W347" s="263"/>
      <c r="X347" s="263"/>
      <c r="Y347" s="263"/>
      <c r="Z347" s="263"/>
      <c r="AA347" s="263"/>
      <c r="AB347" s="263"/>
      <c r="AC347" s="263"/>
      <c r="AD347" s="263"/>
      <c r="AE347" s="263"/>
      <c r="AF347" s="263"/>
      <c r="AG347" s="263"/>
      <c r="AH347" s="263"/>
      <c r="AI347" s="263"/>
      <c r="AJ347" s="263"/>
      <c r="AK347" s="263"/>
      <c r="AL347" s="263"/>
      <c r="AM347" s="263"/>
      <c r="AN347" s="263"/>
      <c r="AO347" s="263"/>
      <c r="AP347" s="263"/>
      <c r="AQ347" s="263"/>
      <c r="AR347" s="263"/>
      <c r="AS347" s="263"/>
      <c r="AT347" s="263"/>
      <c r="AU347" s="263"/>
      <c r="AV347" s="263"/>
      <c r="AW347" s="263"/>
      <c r="AX347" s="263"/>
      <c r="AY347" s="263"/>
      <c r="AZ347" s="263"/>
      <c r="BA347" s="263"/>
      <c r="BB347" s="263"/>
      <c r="BC347" s="263"/>
      <c r="BD347" s="263"/>
      <c r="BE347" s="263"/>
      <c r="BF347" s="263"/>
      <c r="BG347" s="263"/>
      <c r="BH347" s="263"/>
      <c r="BI347" s="263"/>
      <c r="BJ347" s="263"/>
      <c r="BK347" s="263"/>
      <c r="BL347" s="263"/>
      <c r="BM347" s="263"/>
      <c r="BN347" s="263"/>
      <c r="BO347" s="263"/>
      <c r="BP347" s="263"/>
      <c r="BQ347" s="263"/>
      <c r="BR347" s="263"/>
      <c r="BS347" s="263"/>
      <c r="BT347" s="263"/>
      <c r="BU347" s="263"/>
      <c r="BV347" s="263"/>
      <c r="BW347" s="263"/>
      <c r="BX347" s="263"/>
      <c r="BY347" s="263"/>
      <c r="BZ347" s="263"/>
      <c r="CA347" s="263"/>
      <c r="CB347" s="263"/>
      <c r="CC347" s="263"/>
      <c r="CD347" s="263"/>
      <c r="CE347" s="263"/>
      <c r="CF347" s="263"/>
      <c r="CG347" s="263"/>
      <c r="CH347" s="263"/>
      <c r="CI347" s="263"/>
      <c r="CJ347" s="263"/>
      <c r="CK347" s="263"/>
      <c r="CL347" s="263"/>
      <c r="CM347" s="263"/>
      <c r="CN347" s="263"/>
      <c r="CO347" s="263"/>
      <c r="CP347" s="263"/>
      <c r="CQ347" s="263"/>
      <c r="CR347" s="263"/>
      <c r="CS347" s="263"/>
      <c r="CT347" s="263"/>
      <c r="CU347" s="263"/>
      <c r="CV347" s="263"/>
      <c r="CW347" s="263"/>
      <c r="CX347" s="263"/>
      <c r="CY347" s="263"/>
      <c r="CZ347" s="263"/>
      <c r="DA347" s="263"/>
      <c r="DB347" s="263"/>
      <c r="DC347" s="263"/>
      <c r="DD347" s="263"/>
      <c r="DE347" s="263"/>
      <c r="DF347" s="263"/>
      <c r="DG347" s="263"/>
      <c r="DH347" s="263"/>
      <c r="DI347" s="263"/>
      <c r="DJ347" s="263"/>
      <c r="DK347" s="263"/>
      <c r="DL347" s="263"/>
      <c r="DM347" s="263"/>
      <c r="DN347" s="263"/>
      <c r="DO347" s="263"/>
      <c r="DP347" s="263"/>
      <c r="DQ347" s="263"/>
      <c r="DR347" s="263"/>
      <c r="DS347" s="263"/>
      <c r="DT347" s="263"/>
      <c r="DU347" s="263"/>
      <c r="DV347" s="263"/>
      <c r="DW347" s="263"/>
      <c r="DX347" s="263"/>
      <c r="DY347" s="263"/>
      <c r="DZ347" s="263"/>
      <c r="EA347" s="263"/>
      <c r="EB347" s="263"/>
      <c r="EC347" s="263"/>
      <c r="ED347" s="263"/>
      <c r="EE347" s="263"/>
      <c r="EF347" s="263"/>
      <c r="EG347" s="263"/>
      <c r="EH347" s="263"/>
      <c r="EI347" s="263"/>
      <c r="EJ347" s="263"/>
      <c r="EK347" s="263"/>
      <c r="EL347" s="263"/>
      <c r="EM347" s="263"/>
      <c r="EN347" s="263"/>
      <c r="EO347" s="263"/>
      <c r="EP347" s="263"/>
      <c r="EQ347" s="263"/>
      <c r="ER347" s="263"/>
      <c r="ES347" s="263"/>
      <c r="ET347" s="263"/>
      <c r="EU347" s="263"/>
      <c r="EV347" s="263"/>
      <c r="EW347" s="263"/>
      <c r="EX347" s="263"/>
      <c r="EY347" s="263"/>
      <c r="EZ347" s="263"/>
      <c r="FA347" s="263"/>
      <c r="FB347" s="263"/>
      <c r="FC347" s="263"/>
      <c r="FD347" s="263"/>
      <c r="FE347" s="263"/>
      <c r="FF347" s="263"/>
      <c r="FG347" s="263"/>
      <c r="FH347" s="263"/>
      <c r="FI347" s="263"/>
      <c r="FJ347" s="263"/>
      <c r="FK347" s="263"/>
      <c r="FL347" s="263"/>
      <c r="FM347" s="263"/>
      <c r="FN347" s="263"/>
      <c r="FO347" s="263"/>
      <c r="FP347" s="263"/>
      <c r="FQ347" s="263"/>
      <c r="FR347" s="263"/>
      <c r="FS347" s="263"/>
      <c r="FT347" s="263"/>
      <c r="FU347" s="263"/>
      <c r="FV347" s="263"/>
      <c r="FW347" s="263"/>
      <c r="FX347" s="263"/>
      <c r="FY347" s="263"/>
      <c r="FZ347" s="263"/>
      <c r="GA347" s="263"/>
      <c r="GB347" s="263"/>
      <c r="GC347" s="263"/>
      <c r="GD347" s="263"/>
      <c r="GE347" s="263"/>
      <c r="GF347" s="263"/>
      <c r="GG347" s="263"/>
      <c r="GH347" s="263"/>
      <c r="GI347" s="263"/>
      <c r="GJ347" s="263"/>
      <c r="GK347" s="263"/>
      <c r="GL347" s="263"/>
      <c r="GM347" s="263"/>
      <c r="GN347" s="263"/>
      <c r="GO347" s="263"/>
      <c r="GP347" s="263"/>
      <c r="GQ347" s="263"/>
      <c r="GR347" s="263"/>
      <c r="GS347" s="263"/>
      <c r="GT347" s="263"/>
      <c r="GU347" s="263"/>
      <c r="GV347" s="263"/>
      <c r="GW347" s="263"/>
      <c r="GX347" s="263"/>
      <c r="GY347" s="263"/>
    </row>
    <row r="348" spans="1:207" x14ac:dyDescent="0.15">
      <c r="G348" s="263"/>
      <c r="H348" s="263"/>
      <c r="I348" s="263"/>
      <c r="J348" s="263"/>
      <c r="K348" s="263"/>
      <c r="L348" s="263"/>
      <c r="M348" s="263"/>
      <c r="N348" s="263"/>
      <c r="O348" s="263"/>
      <c r="P348" s="263"/>
      <c r="Q348" s="263"/>
      <c r="R348" s="263"/>
      <c r="S348" s="263"/>
      <c r="T348" s="263"/>
      <c r="U348" s="263"/>
      <c r="V348" s="263"/>
      <c r="W348" s="263"/>
      <c r="X348" s="263"/>
      <c r="Y348" s="263"/>
      <c r="Z348" s="263"/>
      <c r="AA348" s="263"/>
      <c r="AB348" s="263"/>
      <c r="AC348" s="263"/>
      <c r="AD348" s="263"/>
      <c r="AE348" s="263"/>
      <c r="AF348" s="263"/>
      <c r="AG348" s="263"/>
      <c r="AH348" s="263"/>
      <c r="AI348" s="263"/>
      <c r="AJ348" s="263"/>
      <c r="AK348" s="263"/>
      <c r="AL348" s="263"/>
      <c r="AM348" s="263"/>
      <c r="AN348" s="263"/>
      <c r="AO348" s="263"/>
      <c r="AP348" s="263"/>
      <c r="AQ348" s="263"/>
      <c r="AR348" s="263"/>
      <c r="AS348" s="263"/>
      <c r="AT348" s="263"/>
      <c r="AU348" s="263"/>
      <c r="AV348" s="263"/>
      <c r="AW348" s="263"/>
      <c r="AX348" s="263"/>
      <c r="AY348" s="263"/>
      <c r="AZ348" s="263"/>
      <c r="BA348" s="263"/>
      <c r="BB348" s="263"/>
      <c r="BC348" s="263"/>
      <c r="BD348" s="263"/>
      <c r="BE348" s="263"/>
      <c r="BF348" s="263"/>
      <c r="BG348" s="263"/>
      <c r="BH348" s="263"/>
      <c r="BI348" s="263"/>
      <c r="BJ348" s="263"/>
      <c r="BK348" s="263"/>
      <c r="BL348" s="263"/>
      <c r="BM348" s="263"/>
      <c r="BN348" s="263"/>
      <c r="BO348" s="263"/>
      <c r="BP348" s="263"/>
      <c r="BQ348" s="263"/>
      <c r="BR348" s="263"/>
      <c r="BS348" s="263"/>
      <c r="BT348" s="263"/>
      <c r="BU348" s="263"/>
      <c r="BV348" s="263"/>
      <c r="BW348" s="263"/>
      <c r="BX348" s="263"/>
      <c r="BY348" s="263"/>
      <c r="BZ348" s="263"/>
      <c r="CA348" s="263"/>
      <c r="CB348" s="263"/>
      <c r="CC348" s="263"/>
      <c r="CD348" s="263"/>
      <c r="CE348" s="263"/>
      <c r="CF348" s="263"/>
      <c r="CG348" s="263"/>
      <c r="CH348" s="263"/>
      <c r="CI348" s="263"/>
      <c r="CJ348" s="263"/>
      <c r="CK348" s="263"/>
      <c r="CL348" s="263"/>
      <c r="CM348" s="263"/>
      <c r="CN348" s="263"/>
      <c r="CO348" s="263"/>
      <c r="CP348" s="263"/>
      <c r="CQ348" s="263"/>
      <c r="CR348" s="263"/>
      <c r="CS348" s="263"/>
      <c r="CT348" s="263"/>
      <c r="CU348" s="263"/>
      <c r="CV348" s="263"/>
      <c r="CW348" s="263"/>
      <c r="CX348" s="263"/>
      <c r="CY348" s="263"/>
      <c r="CZ348" s="263"/>
      <c r="DA348" s="263"/>
      <c r="DB348" s="263"/>
      <c r="DC348" s="263"/>
      <c r="DD348" s="263"/>
      <c r="DE348" s="263"/>
      <c r="DF348" s="263"/>
      <c r="DG348" s="263"/>
      <c r="DH348" s="263"/>
      <c r="DI348" s="263"/>
      <c r="DJ348" s="263"/>
      <c r="DK348" s="263"/>
      <c r="DL348" s="263"/>
      <c r="DM348" s="263"/>
      <c r="DN348" s="263"/>
      <c r="DO348" s="263"/>
      <c r="DP348" s="263"/>
      <c r="DQ348" s="263"/>
      <c r="DR348" s="263"/>
      <c r="DS348" s="263"/>
      <c r="DT348" s="263"/>
      <c r="DU348" s="263"/>
      <c r="DV348" s="263"/>
      <c r="DW348" s="263"/>
      <c r="DX348" s="263"/>
      <c r="DY348" s="263"/>
      <c r="DZ348" s="263"/>
      <c r="EA348" s="263"/>
      <c r="EB348" s="263"/>
      <c r="EC348" s="263"/>
      <c r="ED348" s="263"/>
      <c r="EE348" s="263"/>
      <c r="EF348" s="263"/>
      <c r="EG348" s="263"/>
      <c r="EH348" s="263"/>
      <c r="EI348" s="263"/>
      <c r="EJ348" s="263"/>
      <c r="EK348" s="263"/>
      <c r="EL348" s="263"/>
      <c r="EM348" s="263"/>
      <c r="EN348" s="263"/>
      <c r="EO348" s="263"/>
      <c r="EP348" s="263"/>
      <c r="EQ348" s="263"/>
      <c r="ER348" s="263"/>
      <c r="ES348" s="263"/>
      <c r="ET348" s="263"/>
      <c r="EU348" s="263"/>
      <c r="EV348" s="263"/>
      <c r="EW348" s="263"/>
      <c r="EX348" s="263"/>
      <c r="EY348" s="263"/>
      <c r="EZ348" s="263"/>
      <c r="FA348" s="263"/>
      <c r="FB348" s="263"/>
      <c r="FC348" s="263"/>
      <c r="FD348" s="263"/>
      <c r="FE348" s="263"/>
      <c r="FF348" s="263"/>
      <c r="FG348" s="263"/>
      <c r="FH348" s="263"/>
      <c r="FI348" s="263"/>
      <c r="FJ348" s="263"/>
      <c r="FK348" s="263"/>
      <c r="FL348" s="263"/>
      <c r="FM348" s="263"/>
      <c r="FN348" s="263"/>
      <c r="FO348" s="263"/>
      <c r="FP348" s="263"/>
      <c r="FQ348" s="263"/>
      <c r="FR348" s="263"/>
      <c r="FS348" s="263"/>
      <c r="FT348" s="263"/>
      <c r="FU348" s="263"/>
      <c r="FV348" s="263"/>
      <c r="FW348" s="263"/>
      <c r="FX348" s="263"/>
      <c r="FY348" s="263"/>
      <c r="FZ348" s="263"/>
      <c r="GA348" s="263"/>
      <c r="GB348" s="263"/>
      <c r="GC348" s="263"/>
      <c r="GD348" s="263"/>
      <c r="GE348" s="263"/>
      <c r="GF348" s="263"/>
      <c r="GG348" s="263"/>
      <c r="GH348" s="263"/>
      <c r="GI348" s="263"/>
      <c r="GJ348" s="263"/>
      <c r="GK348" s="263"/>
      <c r="GL348" s="263"/>
      <c r="GM348" s="263"/>
      <c r="GN348" s="263"/>
      <c r="GO348" s="263"/>
      <c r="GP348" s="263"/>
      <c r="GQ348" s="263"/>
      <c r="GR348" s="263"/>
      <c r="GS348" s="263"/>
      <c r="GT348" s="263"/>
      <c r="GU348" s="263"/>
      <c r="GV348" s="263"/>
      <c r="GW348" s="263"/>
      <c r="GX348" s="263"/>
      <c r="GY348" s="263"/>
    </row>
    <row r="349" spans="1:207" x14ac:dyDescent="0.15">
      <c r="G349" s="263"/>
      <c r="H349" s="263"/>
      <c r="I349" s="263"/>
      <c r="J349" s="263"/>
      <c r="K349" s="263"/>
      <c r="L349" s="263"/>
      <c r="M349" s="263"/>
      <c r="N349" s="263"/>
      <c r="O349" s="263"/>
      <c r="P349" s="263"/>
      <c r="Q349" s="263"/>
      <c r="R349" s="263"/>
      <c r="S349" s="263"/>
      <c r="T349" s="263"/>
      <c r="U349" s="263"/>
      <c r="V349" s="263"/>
      <c r="W349" s="263"/>
      <c r="X349" s="263"/>
      <c r="Y349" s="263"/>
      <c r="Z349" s="263"/>
      <c r="AA349" s="263"/>
      <c r="AB349" s="263"/>
      <c r="AC349" s="263"/>
      <c r="AD349" s="263"/>
      <c r="AE349" s="263"/>
      <c r="AF349" s="263"/>
      <c r="AG349" s="263"/>
      <c r="AH349" s="263"/>
      <c r="AI349" s="263"/>
      <c r="AJ349" s="263"/>
      <c r="AK349" s="263"/>
      <c r="AL349" s="263"/>
      <c r="AM349" s="263"/>
      <c r="AN349" s="263"/>
      <c r="AO349" s="263"/>
      <c r="AP349" s="263"/>
      <c r="AQ349" s="263"/>
      <c r="AR349" s="263"/>
      <c r="AS349" s="263"/>
      <c r="AT349" s="263"/>
      <c r="AU349" s="263"/>
      <c r="AV349" s="263"/>
      <c r="AW349" s="263"/>
      <c r="AX349" s="263"/>
      <c r="AY349" s="263"/>
      <c r="AZ349" s="263"/>
      <c r="BA349" s="263"/>
      <c r="BB349" s="263"/>
      <c r="BC349" s="263"/>
      <c r="BD349" s="263"/>
      <c r="BE349" s="263"/>
      <c r="BF349" s="263"/>
      <c r="BG349" s="263"/>
      <c r="BH349" s="263"/>
      <c r="BI349" s="263"/>
      <c r="BJ349" s="263"/>
      <c r="BK349" s="263"/>
      <c r="BL349" s="263"/>
      <c r="BM349" s="263"/>
      <c r="BN349" s="263"/>
      <c r="BO349" s="263"/>
      <c r="BP349" s="263"/>
      <c r="BQ349" s="263"/>
      <c r="BR349" s="263"/>
      <c r="BS349" s="263"/>
      <c r="BT349" s="263"/>
      <c r="BU349" s="263"/>
      <c r="BV349" s="263"/>
      <c r="BW349" s="263"/>
      <c r="BX349" s="263"/>
      <c r="BY349" s="263"/>
      <c r="BZ349" s="263"/>
      <c r="CA349" s="263"/>
      <c r="CB349" s="263"/>
      <c r="CC349" s="263"/>
      <c r="CD349" s="263"/>
      <c r="CE349" s="263"/>
      <c r="CF349" s="263"/>
      <c r="CG349" s="263"/>
      <c r="CH349" s="263"/>
      <c r="CI349" s="263"/>
      <c r="CJ349" s="263"/>
      <c r="CK349" s="263"/>
      <c r="CL349" s="263"/>
      <c r="CM349" s="263"/>
      <c r="CN349" s="263"/>
      <c r="CO349" s="263"/>
      <c r="CP349" s="263"/>
      <c r="CQ349" s="263"/>
      <c r="CR349" s="263"/>
      <c r="CS349" s="263"/>
      <c r="CT349" s="263"/>
      <c r="CU349" s="263"/>
      <c r="CV349" s="263"/>
      <c r="CW349" s="263"/>
      <c r="CX349" s="263"/>
      <c r="CY349" s="263"/>
      <c r="CZ349" s="263"/>
      <c r="DA349" s="263"/>
      <c r="DB349" s="263"/>
      <c r="DC349" s="263"/>
      <c r="DD349" s="263"/>
      <c r="DE349" s="263"/>
      <c r="DF349" s="263"/>
      <c r="DG349" s="263"/>
      <c r="DH349" s="263"/>
      <c r="DI349" s="263"/>
      <c r="DJ349" s="263"/>
      <c r="DK349" s="263"/>
      <c r="DL349" s="263"/>
      <c r="DM349" s="263"/>
      <c r="DN349" s="263"/>
      <c r="DO349" s="263"/>
      <c r="DP349" s="263"/>
      <c r="DQ349" s="263"/>
      <c r="DR349" s="263"/>
      <c r="DS349" s="263"/>
      <c r="DT349" s="263"/>
      <c r="DU349" s="263"/>
      <c r="DV349" s="263"/>
      <c r="DW349" s="263"/>
      <c r="DX349" s="263"/>
      <c r="DY349" s="263"/>
      <c r="DZ349" s="263"/>
      <c r="EA349" s="263"/>
      <c r="EB349" s="263"/>
      <c r="EC349" s="263"/>
      <c r="ED349" s="263"/>
      <c r="EE349" s="263"/>
      <c r="EF349" s="263"/>
      <c r="EG349" s="263"/>
      <c r="EH349" s="263"/>
      <c r="EI349" s="263"/>
      <c r="EJ349" s="263"/>
      <c r="EK349" s="263"/>
      <c r="EL349" s="263"/>
      <c r="EM349" s="263"/>
      <c r="EN349" s="263"/>
      <c r="EO349" s="263"/>
      <c r="EP349" s="263"/>
      <c r="EQ349" s="263"/>
      <c r="ER349" s="263"/>
      <c r="ES349" s="263"/>
      <c r="ET349" s="263"/>
      <c r="EU349" s="263"/>
      <c r="EV349" s="263"/>
      <c r="EW349" s="263"/>
      <c r="EX349" s="263"/>
      <c r="EY349" s="263"/>
      <c r="EZ349" s="263"/>
      <c r="FA349" s="263"/>
      <c r="FB349" s="263"/>
      <c r="FC349" s="263"/>
      <c r="FD349" s="263"/>
      <c r="FE349" s="263"/>
      <c r="FF349" s="263"/>
      <c r="FG349" s="263"/>
      <c r="FH349" s="263"/>
      <c r="FI349" s="263"/>
      <c r="FJ349" s="263"/>
      <c r="FK349" s="263"/>
      <c r="FL349" s="263"/>
      <c r="FM349" s="263"/>
      <c r="FN349" s="263"/>
      <c r="FO349" s="263"/>
      <c r="FP349" s="263"/>
      <c r="FQ349" s="263"/>
      <c r="FR349" s="263"/>
      <c r="FS349" s="263"/>
      <c r="FT349" s="263"/>
      <c r="FU349" s="263"/>
      <c r="FV349" s="263"/>
      <c r="FW349" s="263"/>
      <c r="FX349" s="263"/>
      <c r="FY349" s="263"/>
      <c r="FZ349" s="263"/>
      <c r="GA349" s="263"/>
      <c r="GB349" s="263"/>
      <c r="GC349" s="263"/>
      <c r="GD349" s="263"/>
      <c r="GE349" s="263"/>
      <c r="GF349" s="263"/>
      <c r="GG349" s="263"/>
      <c r="GH349" s="263"/>
      <c r="GI349" s="263"/>
      <c r="GJ349" s="263"/>
      <c r="GK349" s="263"/>
      <c r="GL349" s="263"/>
      <c r="GM349" s="263"/>
      <c r="GN349" s="263"/>
      <c r="GO349" s="263"/>
      <c r="GP349" s="263"/>
      <c r="GQ349" s="263"/>
      <c r="GR349" s="263"/>
      <c r="GS349" s="263"/>
      <c r="GT349" s="263"/>
      <c r="GU349" s="263"/>
      <c r="GV349" s="263"/>
      <c r="GW349" s="263"/>
      <c r="GX349" s="263"/>
      <c r="GY349" s="263"/>
    </row>
  </sheetData>
  <sheetProtection algorithmName="SHA-512" hashValue="xMAh9qoYSYclMnon81paKGc4L9F1yGj3kN9c3/9A5Ja5d3DgF+2Umv+XQKWuhbH6ofdxSRasDUEXqHmL/njq4Q==" saltValue="aHP2odMs77Mssq31JMTSvQ==" spinCount="100000" sheet="1" objects="1" scenarios="1"/>
  <hyperlinks>
    <hyperlink ref="A1" location="Index!A1" display="Index!A1" xr:uid="{2A360A7B-3BE0-B94A-AACD-49BE373D417D}"/>
  </hyperlink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BD7A-36F4-714E-B1D9-C8B06E3E9CCB}">
  <sheetPr>
    <tabColor rgb="FFFFFF00"/>
  </sheetPr>
  <dimension ref="A1:BW52"/>
  <sheetViews>
    <sheetView showGridLines="0" topLeftCell="F1" zoomScale="106" zoomScaleNormal="170" workbookViewId="0">
      <selection activeCell="P2" sqref="P2"/>
    </sheetView>
  </sheetViews>
  <sheetFormatPr baseColWidth="10" defaultColWidth="10.1640625" defaultRowHeight="11" outlineLevelRow="1" x14ac:dyDescent="0.15"/>
  <cols>
    <col min="1" max="4" width="0" style="305" hidden="1" customWidth="1"/>
    <col min="5" max="5" width="6.83203125" style="305" customWidth="1"/>
    <col min="6" max="6" width="6.1640625" style="307" customWidth="1"/>
    <col min="7" max="7" width="6.5" style="305" customWidth="1"/>
    <col min="8" max="8" width="24.5" style="305" customWidth="1"/>
    <col min="9" max="9" width="0.83203125" style="305" customWidth="1"/>
    <col min="10" max="70" width="10.5" style="305" customWidth="1"/>
    <col min="71" max="16384" width="10.1640625" style="305"/>
  </cols>
  <sheetData>
    <row r="1" spans="1:75" x14ac:dyDescent="0.15">
      <c r="E1" s="306" t="s">
        <v>428</v>
      </c>
      <c r="H1" s="305" t="str">
        <f>SAP_Leadsheet!C6</f>
        <v>DPD180+</v>
      </c>
    </row>
    <row r="3" spans="1:75" ht="12" thickBot="1" x14ac:dyDescent="0.2">
      <c r="A3" s="306" t="s">
        <v>429</v>
      </c>
      <c r="B3" s="306" t="s">
        <v>430</v>
      </c>
      <c r="C3" s="306" t="s">
        <v>431</v>
      </c>
      <c r="D3" s="306" t="s">
        <v>432</v>
      </c>
      <c r="E3" s="306"/>
      <c r="F3" s="308" t="s">
        <v>433</v>
      </c>
      <c r="G3" s="309" t="s">
        <v>434</v>
      </c>
      <c r="H3" s="310"/>
    </row>
    <row r="4" spans="1:75" x14ac:dyDescent="0.15">
      <c r="A4" s="305" t="str">
        <f>B4&amp;D4&amp;C4</f>
        <v>Auto loan</v>
      </c>
      <c r="B4" s="305" t="s">
        <v>435</v>
      </c>
      <c r="E4" s="306"/>
      <c r="F4" s="311"/>
      <c r="G4" s="306"/>
    </row>
    <row r="5" spans="1:75" x14ac:dyDescent="0.15">
      <c r="E5" s="306"/>
      <c r="F5" s="311"/>
      <c r="G5" s="306"/>
      <c r="H5" s="312" t="s">
        <v>436</v>
      </c>
    </row>
    <row r="6" spans="1:75" x14ac:dyDescent="0.15">
      <c r="A6" s="305" t="str">
        <f>B6&amp;D6&amp;C6</f>
        <v>Auto loan</v>
      </c>
      <c r="B6" s="305" t="s">
        <v>435</v>
      </c>
      <c r="H6" s="312" t="s">
        <v>437</v>
      </c>
      <c r="I6" s="311"/>
      <c r="J6" s="313"/>
      <c r="K6" s="313"/>
      <c r="L6" s="313"/>
      <c r="M6" s="313"/>
      <c r="N6" s="313"/>
    </row>
    <row r="7" spans="1:75" x14ac:dyDescent="0.15">
      <c r="H7" s="312"/>
      <c r="I7" s="311"/>
      <c r="J7" s="313"/>
      <c r="K7" s="313"/>
      <c r="L7" s="313"/>
      <c r="M7" s="313"/>
      <c r="N7" s="313"/>
    </row>
    <row r="8" spans="1:75" x14ac:dyDescent="0.15">
      <c r="A8" s="305" t="str">
        <f>B8&amp;D8&amp;C8</f>
        <v>Auto loan</v>
      </c>
      <c r="B8" s="305" t="s">
        <v>435</v>
      </c>
      <c r="H8" s="314" t="s">
        <v>438</v>
      </c>
      <c r="I8" s="314"/>
      <c r="J8" s="315">
        <v>45658</v>
      </c>
      <c r="K8" s="316">
        <f>EOMONTH(J8,1)</f>
        <v>45716</v>
      </c>
      <c r="L8" s="316">
        <f>EOMONTH(K8,1)</f>
        <v>45747</v>
      </c>
      <c r="M8" s="316">
        <f t="shared" ref="M8:BR8" si="0">EOMONTH(L8,1)</f>
        <v>45777</v>
      </c>
      <c r="N8" s="316">
        <f t="shared" si="0"/>
        <v>45808</v>
      </c>
      <c r="O8" s="316">
        <f t="shared" si="0"/>
        <v>45838</v>
      </c>
      <c r="P8" s="316">
        <f t="shared" si="0"/>
        <v>45869</v>
      </c>
      <c r="Q8" s="316">
        <f t="shared" si="0"/>
        <v>45900</v>
      </c>
      <c r="R8" s="316">
        <f t="shared" si="0"/>
        <v>45930</v>
      </c>
      <c r="S8" s="316">
        <f t="shared" si="0"/>
        <v>45961</v>
      </c>
      <c r="T8" s="316">
        <f t="shared" si="0"/>
        <v>45991</v>
      </c>
      <c r="U8" s="316">
        <f t="shared" si="0"/>
        <v>46022</v>
      </c>
      <c r="V8" s="316">
        <f t="shared" si="0"/>
        <v>46053</v>
      </c>
      <c r="W8" s="316">
        <f t="shared" si="0"/>
        <v>46081</v>
      </c>
      <c r="X8" s="316">
        <f t="shared" si="0"/>
        <v>46112</v>
      </c>
      <c r="Y8" s="316">
        <f t="shared" si="0"/>
        <v>46142</v>
      </c>
      <c r="Z8" s="316">
        <f t="shared" si="0"/>
        <v>46173</v>
      </c>
      <c r="AA8" s="316">
        <f t="shared" si="0"/>
        <v>46203</v>
      </c>
      <c r="AB8" s="316">
        <f t="shared" si="0"/>
        <v>46234</v>
      </c>
      <c r="AC8" s="316">
        <f t="shared" si="0"/>
        <v>46265</v>
      </c>
      <c r="AD8" s="316">
        <f t="shared" si="0"/>
        <v>46295</v>
      </c>
      <c r="AE8" s="316">
        <f t="shared" si="0"/>
        <v>46326</v>
      </c>
      <c r="AF8" s="316">
        <f t="shared" si="0"/>
        <v>46356</v>
      </c>
      <c r="AG8" s="316">
        <f t="shared" si="0"/>
        <v>46387</v>
      </c>
      <c r="AH8" s="316">
        <f t="shared" si="0"/>
        <v>46418</v>
      </c>
      <c r="AI8" s="316">
        <f t="shared" si="0"/>
        <v>46446</v>
      </c>
      <c r="AJ8" s="316">
        <f t="shared" si="0"/>
        <v>46477</v>
      </c>
      <c r="AK8" s="316">
        <f t="shared" si="0"/>
        <v>46507</v>
      </c>
      <c r="AL8" s="316">
        <f t="shared" si="0"/>
        <v>46538</v>
      </c>
      <c r="AM8" s="316">
        <f t="shared" si="0"/>
        <v>46568</v>
      </c>
      <c r="AN8" s="316">
        <f t="shared" si="0"/>
        <v>46599</v>
      </c>
      <c r="AO8" s="316">
        <f t="shared" si="0"/>
        <v>46630</v>
      </c>
      <c r="AP8" s="316">
        <f t="shared" si="0"/>
        <v>46660</v>
      </c>
      <c r="AQ8" s="316">
        <f t="shared" si="0"/>
        <v>46691</v>
      </c>
      <c r="AR8" s="316">
        <f t="shared" si="0"/>
        <v>46721</v>
      </c>
      <c r="AS8" s="316">
        <f t="shared" si="0"/>
        <v>46752</v>
      </c>
      <c r="AT8" s="316">
        <f t="shared" si="0"/>
        <v>46783</v>
      </c>
      <c r="AU8" s="316">
        <f t="shared" si="0"/>
        <v>46812</v>
      </c>
      <c r="AV8" s="316">
        <f t="shared" si="0"/>
        <v>46843</v>
      </c>
      <c r="AW8" s="316">
        <f t="shared" si="0"/>
        <v>46873</v>
      </c>
      <c r="AX8" s="316">
        <f t="shared" si="0"/>
        <v>46904</v>
      </c>
      <c r="AY8" s="316">
        <f t="shared" si="0"/>
        <v>46934</v>
      </c>
      <c r="AZ8" s="316">
        <f t="shared" si="0"/>
        <v>46965</v>
      </c>
      <c r="BA8" s="316">
        <f t="shared" si="0"/>
        <v>46996</v>
      </c>
      <c r="BB8" s="316">
        <f t="shared" si="0"/>
        <v>47026</v>
      </c>
      <c r="BC8" s="316">
        <f t="shared" si="0"/>
        <v>47057</v>
      </c>
      <c r="BD8" s="316">
        <f t="shared" si="0"/>
        <v>47087</v>
      </c>
      <c r="BE8" s="316">
        <f t="shared" si="0"/>
        <v>47118</v>
      </c>
      <c r="BF8" s="316">
        <f t="shared" si="0"/>
        <v>47149</v>
      </c>
      <c r="BG8" s="316">
        <f t="shared" si="0"/>
        <v>47177</v>
      </c>
      <c r="BH8" s="316">
        <f t="shared" si="0"/>
        <v>47208</v>
      </c>
      <c r="BI8" s="316">
        <f t="shared" si="0"/>
        <v>47238</v>
      </c>
      <c r="BJ8" s="316">
        <f t="shared" si="0"/>
        <v>47269</v>
      </c>
      <c r="BK8" s="316">
        <f t="shared" si="0"/>
        <v>47299</v>
      </c>
      <c r="BL8" s="316">
        <f t="shared" si="0"/>
        <v>47330</v>
      </c>
      <c r="BM8" s="316">
        <f t="shared" si="0"/>
        <v>47361</v>
      </c>
      <c r="BN8" s="316">
        <f t="shared" si="0"/>
        <v>47391</v>
      </c>
      <c r="BO8" s="316">
        <f t="shared" si="0"/>
        <v>47422</v>
      </c>
      <c r="BP8" s="316">
        <f t="shared" si="0"/>
        <v>47452</v>
      </c>
      <c r="BQ8" s="316">
        <f t="shared" si="0"/>
        <v>47483</v>
      </c>
      <c r="BR8" s="316">
        <f t="shared" si="0"/>
        <v>47514</v>
      </c>
      <c r="BS8" s="317"/>
      <c r="BT8" s="317"/>
      <c r="BU8" s="317"/>
      <c r="BV8" s="317"/>
      <c r="BW8" s="317"/>
    </row>
    <row r="9" spans="1:75" s="318" customFormat="1" x14ac:dyDescent="0.15">
      <c r="F9" s="307"/>
      <c r="H9" s="319" t="s">
        <v>439</v>
      </c>
      <c r="I9" s="319"/>
      <c r="J9" s="320">
        <f>YEAR(J8)</f>
        <v>2025</v>
      </c>
      <c r="K9" s="320">
        <f t="shared" ref="K9:BR9" si="1">YEAR(K8)</f>
        <v>2025</v>
      </c>
      <c r="L9" s="320">
        <f>YEAR(L8)</f>
        <v>2025</v>
      </c>
      <c r="M9" s="320">
        <f t="shared" si="1"/>
        <v>2025</v>
      </c>
      <c r="N9" s="320">
        <f t="shared" si="1"/>
        <v>2025</v>
      </c>
      <c r="O9" s="320">
        <f t="shared" si="1"/>
        <v>2025</v>
      </c>
      <c r="P9" s="320">
        <f t="shared" si="1"/>
        <v>2025</v>
      </c>
      <c r="Q9" s="320">
        <f t="shared" si="1"/>
        <v>2025</v>
      </c>
      <c r="R9" s="320">
        <f t="shared" si="1"/>
        <v>2025</v>
      </c>
      <c r="S9" s="320">
        <f t="shared" si="1"/>
        <v>2025</v>
      </c>
      <c r="T9" s="320">
        <f t="shared" si="1"/>
        <v>2025</v>
      </c>
      <c r="U9" s="320">
        <f t="shared" si="1"/>
        <v>2025</v>
      </c>
      <c r="V9" s="320">
        <f t="shared" si="1"/>
        <v>2026</v>
      </c>
      <c r="W9" s="320">
        <f t="shared" si="1"/>
        <v>2026</v>
      </c>
      <c r="X9" s="320">
        <f t="shared" si="1"/>
        <v>2026</v>
      </c>
      <c r="Y9" s="320">
        <f t="shared" si="1"/>
        <v>2026</v>
      </c>
      <c r="Z9" s="320">
        <f t="shared" si="1"/>
        <v>2026</v>
      </c>
      <c r="AA9" s="320">
        <f t="shared" si="1"/>
        <v>2026</v>
      </c>
      <c r="AB9" s="320">
        <f t="shared" si="1"/>
        <v>2026</v>
      </c>
      <c r="AC9" s="320">
        <f t="shared" si="1"/>
        <v>2026</v>
      </c>
      <c r="AD9" s="320">
        <f t="shared" si="1"/>
        <v>2026</v>
      </c>
      <c r="AE9" s="320">
        <f t="shared" si="1"/>
        <v>2026</v>
      </c>
      <c r="AF9" s="320">
        <f t="shared" si="1"/>
        <v>2026</v>
      </c>
      <c r="AG9" s="320">
        <f t="shared" si="1"/>
        <v>2026</v>
      </c>
      <c r="AH9" s="320">
        <f t="shared" si="1"/>
        <v>2027</v>
      </c>
      <c r="AI9" s="320">
        <f t="shared" si="1"/>
        <v>2027</v>
      </c>
      <c r="AJ9" s="320">
        <f t="shared" si="1"/>
        <v>2027</v>
      </c>
      <c r="AK9" s="320">
        <f t="shared" si="1"/>
        <v>2027</v>
      </c>
      <c r="AL9" s="320">
        <f t="shared" si="1"/>
        <v>2027</v>
      </c>
      <c r="AM9" s="320">
        <f t="shared" si="1"/>
        <v>2027</v>
      </c>
      <c r="AN9" s="320">
        <f t="shared" si="1"/>
        <v>2027</v>
      </c>
      <c r="AO9" s="320">
        <f t="shared" si="1"/>
        <v>2027</v>
      </c>
      <c r="AP9" s="320">
        <f t="shared" si="1"/>
        <v>2027</v>
      </c>
      <c r="AQ9" s="320">
        <f t="shared" si="1"/>
        <v>2027</v>
      </c>
      <c r="AR9" s="320">
        <f t="shared" si="1"/>
        <v>2027</v>
      </c>
      <c r="AS9" s="320">
        <f t="shared" si="1"/>
        <v>2027</v>
      </c>
      <c r="AT9" s="320">
        <f t="shared" si="1"/>
        <v>2028</v>
      </c>
      <c r="AU9" s="320">
        <f t="shared" si="1"/>
        <v>2028</v>
      </c>
      <c r="AV9" s="320">
        <f t="shared" si="1"/>
        <v>2028</v>
      </c>
      <c r="AW9" s="320">
        <f t="shared" si="1"/>
        <v>2028</v>
      </c>
      <c r="AX9" s="320">
        <f t="shared" si="1"/>
        <v>2028</v>
      </c>
      <c r="AY9" s="320">
        <f t="shared" si="1"/>
        <v>2028</v>
      </c>
      <c r="AZ9" s="320">
        <f t="shared" si="1"/>
        <v>2028</v>
      </c>
      <c r="BA9" s="320">
        <f t="shared" si="1"/>
        <v>2028</v>
      </c>
      <c r="BB9" s="320">
        <f t="shared" si="1"/>
        <v>2028</v>
      </c>
      <c r="BC9" s="320">
        <f t="shared" si="1"/>
        <v>2028</v>
      </c>
      <c r="BD9" s="320">
        <f t="shared" si="1"/>
        <v>2028</v>
      </c>
      <c r="BE9" s="320">
        <f t="shared" si="1"/>
        <v>2028</v>
      </c>
      <c r="BF9" s="320">
        <f t="shared" si="1"/>
        <v>2029</v>
      </c>
      <c r="BG9" s="320">
        <f t="shared" si="1"/>
        <v>2029</v>
      </c>
      <c r="BH9" s="320">
        <f t="shared" si="1"/>
        <v>2029</v>
      </c>
      <c r="BI9" s="320">
        <f t="shared" si="1"/>
        <v>2029</v>
      </c>
      <c r="BJ9" s="320">
        <f t="shared" si="1"/>
        <v>2029</v>
      </c>
      <c r="BK9" s="320">
        <f t="shared" si="1"/>
        <v>2029</v>
      </c>
      <c r="BL9" s="320">
        <f t="shared" si="1"/>
        <v>2029</v>
      </c>
      <c r="BM9" s="320">
        <f t="shared" si="1"/>
        <v>2029</v>
      </c>
      <c r="BN9" s="320">
        <f t="shared" si="1"/>
        <v>2029</v>
      </c>
      <c r="BO9" s="320">
        <f t="shared" si="1"/>
        <v>2029</v>
      </c>
      <c r="BP9" s="320">
        <f t="shared" si="1"/>
        <v>2029</v>
      </c>
      <c r="BQ9" s="320">
        <f t="shared" si="1"/>
        <v>2029</v>
      </c>
      <c r="BR9" s="320">
        <f t="shared" si="1"/>
        <v>2030</v>
      </c>
      <c r="BS9" s="321"/>
      <c r="BT9" s="321"/>
      <c r="BU9" s="321"/>
      <c r="BV9" s="321"/>
      <c r="BW9" s="321"/>
    </row>
    <row r="10" spans="1:75" ht="13" x14ac:dyDescent="0.15">
      <c r="A10" s="305" t="str">
        <f>B10&amp;D10&amp;C10</f>
        <v>Auto loan</v>
      </c>
      <c r="B10" s="305" t="s">
        <v>435</v>
      </c>
      <c r="H10" s="305" t="s">
        <v>440</v>
      </c>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22"/>
      <c r="AU10" s="322"/>
      <c r="AV10" s="322"/>
      <c r="AW10" s="322"/>
      <c r="AX10" s="322"/>
      <c r="AY10" s="322"/>
      <c r="AZ10" s="322"/>
      <c r="BA10" s="322"/>
      <c r="BB10" s="322"/>
      <c r="BC10" s="322"/>
      <c r="BD10" s="322"/>
      <c r="BE10" s="322"/>
      <c r="BF10" s="322"/>
      <c r="BG10" s="322"/>
      <c r="BH10" s="322"/>
      <c r="BI10" s="322"/>
      <c r="BJ10" s="322"/>
      <c r="BK10" s="322"/>
      <c r="BL10" s="322"/>
      <c r="BM10" s="322"/>
      <c r="BN10" s="322"/>
      <c r="BO10" s="322"/>
      <c r="BP10" s="322"/>
      <c r="BQ10" s="322"/>
      <c r="BR10" s="322"/>
    </row>
    <row r="11" spans="1:75" s="323" customFormat="1" x14ac:dyDescent="0.15">
      <c r="J11" s="324"/>
      <c r="K11" s="324"/>
      <c r="L11" s="324"/>
      <c r="M11" s="324"/>
      <c r="N11" s="324"/>
      <c r="O11" s="324"/>
      <c r="P11" s="324"/>
      <c r="Q11" s="324"/>
      <c r="R11" s="324"/>
      <c r="S11" s="324"/>
      <c r="T11" s="324"/>
      <c r="U11" s="324"/>
    </row>
    <row r="12" spans="1:75" ht="14" thickBot="1" x14ac:dyDescent="0.2">
      <c r="F12" s="325" t="s">
        <v>441</v>
      </c>
      <c r="G12" s="326" t="s">
        <v>442</v>
      </c>
      <c r="H12" s="327"/>
      <c r="I12" s="328"/>
      <c r="J12" s="328"/>
      <c r="K12" s="328"/>
      <c r="L12" s="328"/>
      <c r="M12" s="329"/>
      <c r="N12" s="329"/>
      <c r="O12" s="329"/>
      <c r="P12" s="329"/>
      <c r="Q12" s="317"/>
      <c r="R12" s="317"/>
      <c r="S12" s="317"/>
      <c r="T12" s="317"/>
      <c r="U12" s="317"/>
      <c r="V12" s="317"/>
      <c r="W12" s="317"/>
      <c r="X12" s="317"/>
      <c r="Y12" s="317"/>
      <c r="Z12" s="317"/>
    </row>
    <row r="13" spans="1:75" ht="13" x14ac:dyDescent="0.15">
      <c r="F13" s="330"/>
      <c r="G13" s="331"/>
      <c r="H13" s="328"/>
      <c r="I13" s="328"/>
      <c r="J13" s="328"/>
      <c r="K13" s="328"/>
      <c r="L13" s="328"/>
      <c r="M13" s="329"/>
      <c r="N13" s="329"/>
      <c r="O13" s="329"/>
      <c r="P13" s="329"/>
      <c r="Q13" s="317"/>
      <c r="R13" s="317"/>
      <c r="S13" s="317"/>
      <c r="T13" s="317"/>
      <c r="U13" s="317"/>
      <c r="V13" s="317"/>
      <c r="W13" s="317"/>
      <c r="X13" s="317"/>
      <c r="Y13" s="317"/>
      <c r="Z13" s="317"/>
    </row>
    <row r="14" spans="1:75" ht="13" x14ac:dyDescent="0.15">
      <c r="F14" s="330"/>
      <c r="G14" s="331"/>
      <c r="H14" s="331" t="s">
        <v>443</v>
      </c>
      <c r="I14" s="328"/>
      <c r="J14" s="332" t="s">
        <v>444</v>
      </c>
      <c r="K14" s="333">
        <f>J9</f>
        <v>2025</v>
      </c>
      <c r="L14" s="332">
        <f>K14+1</f>
        <v>2026</v>
      </c>
      <c r="M14" s="332">
        <f>L14+1</f>
        <v>2027</v>
      </c>
      <c r="N14" s="332">
        <f>M14+1</f>
        <v>2028</v>
      </c>
      <c r="O14" s="332">
        <f>N14+1</f>
        <v>2029</v>
      </c>
      <c r="P14" s="332">
        <f>O14+1</f>
        <v>2030</v>
      </c>
      <c r="Q14" s="334"/>
      <c r="S14" s="317"/>
      <c r="U14" s="317"/>
      <c r="W14" s="317"/>
      <c r="X14" s="317"/>
      <c r="Y14" s="317"/>
      <c r="Z14" s="317"/>
    </row>
    <row r="15" spans="1:75" ht="13" x14ac:dyDescent="0.15">
      <c r="F15" s="330"/>
      <c r="G15" s="331"/>
      <c r="H15" s="335"/>
      <c r="I15" s="328"/>
      <c r="J15" s="336" t="s">
        <v>445</v>
      </c>
      <c r="K15" s="336" t="s">
        <v>445</v>
      </c>
      <c r="L15" s="336" t="s">
        <v>445</v>
      </c>
      <c r="M15" s="336" t="s">
        <v>445</v>
      </c>
      <c r="N15" s="336" t="s">
        <v>445</v>
      </c>
      <c r="O15" s="336" t="s">
        <v>445</v>
      </c>
      <c r="P15" s="336" t="s">
        <v>445</v>
      </c>
      <c r="Q15" s="317"/>
      <c r="S15" s="317"/>
      <c r="U15" s="317"/>
      <c r="W15" s="317"/>
      <c r="X15" s="317"/>
      <c r="Y15" s="317"/>
      <c r="Z15" s="317"/>
    </row>
    <row r="16" spans="1:75" ht="13" x14ac:dyDescent="0.15">
      <c r="F16" s="330"/>
      <c r="G16" s="331"/>
      <c r="H16" s="328"/>
      <c r="I16" s="328"/>
      <c r="J16" s="328"/>
      <c r="K16" s="328"/>
      <c r="L16" s="328"/>
      <c r="M16" s="329"/>
      <c r="N16" s="329"/>
      <c r="O16" s="329"/>
      <c r="P16" s="329"/>
      <c r="Q16" s="317"/>
      <c r="S16" s="317"/>
      <c r="T16" s="282"/>
      <c r="U16" s="317"/>
      <c r="W16" s="317"/>
      <c r="X16" s="317"/>
      <c r="Y16" s="317"/>
      <c r="Z16" s="317"/>
    </row>
    <row r="17" spans="6:38" ht="14" x14ac:dyDescent="0.2">
      <c r="F17" s="337"/>
      <c r="G17" s="328"/>
      <c r="H17" s="331" t="s">
        <v>446</v>
      </c>
      <c r="I17" s="328"/>
      <c r="J17" s="338">
        <f>SUM(K17:U17)</f>
        <v>0</v>
      </c>
      <c r="K17" s="338">
        <f t="shared" ref="K17:P17" si="2">SUMIF($J$9:$BQ$9,K$14,$J$10:$BQ$10)</f>
        <v>0</v>
      </c>
      <c r="L17" s="338">
        <f t="shared" si="2"/>
        <v>0</v>
      </c>
      <c r="M17" s="338">
        <f t="shared" si="2"/>
        <v>0</v>
      </c>
      <c r="N17" s="338">
        <f t="shared" si="2"/>
        <v>0</v>
      </c>
      <c r="O17" s="338">
        <f t="shared" si="2"/>
        <v>0</v>
      </c>
      <c r="P17" s="338">
        <f t="shared" si="2"/>
        <v>0</v>
      </c>
      <c r="Q17" s="339"/>
      <c r="S17" s="339"/>
      <c r="T17" s="282"/>
      <c r="U17" s="340"/>
      <c r="W17" s="341"/>
      <c r="X17" s="341"/>
      <c r="Y17" s="341"/>
      <c r="Z17" s="341"/>
      <c r="AA17" s="341"/>
      <c r="AB17" s="341"/>
      <c r="AC17" s="341"/>
      <c r="AD17" s="341"/>
      <c r="AE17" s="341"/>
      <c r="AF17" s="341"/>
      <c r="AG17" s="341"/>
      <c r="AH17" s="341"/>
      <c r="AI17" s="341"/>
      <c r="AJ17" s="341"/>
      <c r="AK17" s="341"/>
      <c r="AL17" s="341"/>
    </row>
    <row r="18" spans="6:38" ht="14" x14ac:dyDescent="0.2">
      <c r="F18" s="337"/>
      <c r="G18" s="328"/>
      <c r="H18" s="331" t="s">
        <v>447</v>
      </c>
      <c r="I18" s="328"/>
      <c r="J18" s="342" t="e">
        <f>AVERAGE(J10:AS10)</f>
        <v>#DIV/0!</v>
      </c>
      <c r="K18" s="342">
        <f>K17/COUNTIF($J$9:$AS$9,K14)</f>
        <v>0</v>
      </c>
      <c r="L18" s="342">
        <f>L17/COUNTIF($J$9:$AS$9,L14)</f>
        <v>0</v>
      </c>
      <c r="M18" s="342">
        <f>M17/COUNTIF($J$9:$AS$9,M14)</f>
        <v>0</v>
      </c>
      <c r="N18" s="342">
        <f>N17/COUNTIF($J$9:$BQ$9,N14)</f>
        <v>0</v>
      </c>
      <c r="O18" s="342">
        <f>O17/COUNTIF($J$9:$BQ$9,O14)</f>
        <v>0</v>
      </c>
      <c r="P18" s="342">
        <f>IFERROR(P17/COUNTIF($J$9:$BQ$9,P14),0)</f>
        <v>0</v>
      </c>
      <c r="Q18" s="340"/>
      <c r="S18" s="340"/>
      <c r="T18" s="282"/>
      <c r="U18" s="340"/>
      <c r="W18" s="341"/>
      <c r="X18" s="341"/>
      <c r="Y18" s="341"/>
      <c r="Z18" s="341"/>
      <c r="AA18" s="341"/>
      <c r="AB18" s="341"/>
      <c r="AC18" s="341"/>
      <c r="AD18" s="341"/>
      <c r="AE18" s="341"/>
      <c r="AF18" s="341"/>
      <c r="AG18" s="341"/>
      <c r="AH18" s="341"/>
      <c r="AI18" s="341"/>
      <c r="AJ18" s="341"/>
      <c r="AK18" s="341"/>
      <c r="AL18" s="341"/>
    </row>
    <row r="19" spans="6:38" ht="14" x14ac:dyDescent="0.2">
      <c r="F19" s="337"/>
      <c r="G19" s="328"/>
      <c r="H19" s="331"/>
      <c r="I19" s="328"/>
      <c r="J19" s="343"/>
      <c r="K19" s="343"/>
      <c r="L19" s="343"/>
      <c r="M19" s="343"/>
      <c r="N19" s="343"/>
      <c r="O19" s="343"/>
      <c r="P19" s="343"/>
      <c r="Q19" s="340"/>
      <c r="S19" s="340"/>
      <c r="T19" s="282"/>
      <c r="U19" s="340"/>
      <c r="W19" s="341"/>
      <c r="X19" s="341"/>
      <c r="Y19" s="341"/>
      <c r="Z19" s="341"/>
      <c r="AA19" s="341"/>
      <c r="AB19" s="341"/>
      <c r="AC19" s="341"/>
      <c r="AD19" s="341"/>
      <c r="AE19" s="341"/>
      <c r="AF19" s="341"/>
      <c r="AG19" s="341"/>
      <c r="AH19" s="341"/>
      <c r="AI19" s="341"/>
      <c r="AJ19" s="341"/>
      <c r="AK19" s="341"/>
      <c r="AL19" s="341"/>
    </row>
    <row r="20" spans="6:38" ht="14" x14ac:dyDescent="0.2">
      <c r="F20" s="337"/>
      <c r="G20" s="328"/>
      <c r="H20" s="344" t="s">
        <v>448</v>
      </c>
      <c r="I20" s="328"/>
      <c r="J20" s="345"/>
      <c r="K20" s="345">
        <f ca="1">OFFSET(PnL_Speadsheet!$D$7,0,MATCH(DATE('Sales plan&amp; PnL'!K$14,12,31),PnL_Speadsheet!$E$4:$BL$4,0))/1000</f>
        <v>0</v>
      </c>
      <c r="L20" s="345">
        <f ca="1">OFFSET(PnL_Speadsheet!$D$7,0,MATCH(DATE('Sales plan&amp; PnL'!L$14,12,31),PnL_Speadsheet!$E$4:$BL$4,0))/1000</f>
        <v>0</v>
      </c>
      <c r="M20" s="345">
        <f ca="1">OFFSET(PnL_Speadsheet!$D$7,0,MATCH(DATE('Sales plan&amp; PnL'!M$14,12,31),PnL_Speadsheet!$E$4:$BL$4,0))/1000</f>
        <v>0</v>
      </c>
      <c r="N20" s="345">
        <f ca="1">OFFSET(PnL_Speadsheet!$D$7,0,MATCH(DATE('Sales plan&amp; PnL'!N$14,12,31),PnL_Speadsheet!$E$4:$BL$4,0))/1000</f>
        <v>0</v>
      </c>
      <c r="O20" s="345">
        <f ca="1">PnL_Speadsheet!BL7/1000</f>
        <v>0</v>
      </c>
      <c r="P20" s="345">
        <f>PnL_Speadsheet!BN7/1000</f>
        <v>0</v>
      </c>
      <c r="Q20" s="346"/>
      <c r="S20" s="346"/>
      <c r="T20" s="186"/>
      <c r="U20" s="347"/>
      <c r="W20" s="341"/>
      <c r="X20" s="341"/>
      <c r="Y20" s="341"/>
      <c r="Z20" s="341"/>
      <c r="AA20" s="341"/>
      <c r="AB20" s="341"/>
      <c r="AC20" s="341"/>
      <c r="AD20" s="341"/>
      <c r="AE20" s="341"/>
      <c r="AF20" s="341"/>
      <c r="AG20" s="341"/>
      <c r="AH20" s="341"/>
      <c r="AI20" s="341"/>
      <c r="AJ20" s="341"/>
      <c r="AK20" s="341"/>
      <c r="AL20" s="341"/>
    </row>
    <row r="21" spans="6:38" ht="14" x14ac:dyDescent="0.2">
      <c r="F21" s="348"/>
      <c r="G21" s="328"/>
      <c r="H21" s="344" t="s">
        <v>449</v>
      </c>
      <c r="I21" s="328"/>
      <c r="J21" s="349">
        <f ca="1">SUM(PnL_Speadsheet!E8:BK8)/1000/COUNT(PnL_Speadsheet!E3:BK3)</f>
        <v>0</v>
      </c>
      <c r="K21" s="349">
        <f ca="1">SUMIF(PnL_Speadsheet!$E$3:$BL$3,K$14,PnL_Speadsheet!$E8:$BL8)/1000/COUNTIF(PnL_Speadsheet!$E$3:$BL$3,'Sales plan&amp; PnL'!K$14)</f>
        <v>0</v>
      </c>
      <c r="L21" s="349">
        <f ca="1">SUMIF(PnL_Speadsheet!$E$3:$BL$3,L$14,PnL_Speadsheet!$E8:$BL8)/1000/COUNTIF(PnL_Speadsheet!$E$3:$BL$3,'Sales plan&amp; PnL'!L$14)</f>
        <v>0</v>
      </c>
      <c r="M21" s="349">
        <f ca="1">SUMIF(PnL_Speadsheet!$E$3:$BL$3,M$14,PnL_Speadsheet!$E8:$BL8)/1000/COUNTIF(PnL_Speadsheet!$E$3:$BL$3,'Sales plan&amp; PnL'!M$14)</f>
        <v>0</v>
      </c>
      <c r="N21" s="349">
        <f ca="1">SUMIF(PnL_Speadsheet!$E$3:$BL$3,N$14,PnL_Speadsheet!$E8:$BL8)/1000/COUNTIF(PnL_Speadsheet!$E$3:$BL$3,'Sales plan&amp; PnL'!N$14)</f>
        <v>0</v>
      </c>
      <c r="O21" s="349">
        <f ca="1">SUMIF(PnL_Speadsheet!$E$3:$BL$3,O$14,PnL_Speadsheet!$E8:$BL8)/1000/COUNTIF(PnL_Speadsheet!$E$3:$BL$3,'Sales plan&amp; PnL'!O$14)</f>
        <v>0</v>
      </c>
      <c r="P21" s="349">
        <f>IFERROR(SUMIF(PnL_Speadsheet!$E$3:$BL$3,P$14,PnL_Speadsheet!$E8:$BL8)/1000/COUNTIF(PnL_Speadsheet!$E$3:$BL$3,'Sales plan&amp; PnL'!P$14),0)</f>
        <v>0</v>
      </c>
      <c r="Q21" s="346"/>
      <c r="S21" s="346"/>
      <c r="T21" s="282"/>
      <c r="U21" s="350"/>
      <c r="W21" s="351"/>
      <c r="X21" s="351"/>
      <c r="Y21" s="351"/>
      <c r="Z21" s="351"/>
      <c r="AA21" s="351"/>
      <c r="AB21" s="351"/>
      <c r="AC21" s="351"/>
      <c r="AD21" s="351"/>
      <c r="AE21" s="351"/>
      <c r="AF21" s="351"/>
      <c r="AG21" s="351"/>
      <c r="AH21" s="351"/>
      <c r="AI21" s="351"/>
      <c r="AJ21" s="351"/>
      <c r="AK21" s="351"/>
      <c r="AL21" s="351"/>
    </row>
    <row r="22" spans="6:38" ht="14" x14ac:dyDescent="0.2">
      <c r="F22" s="337"/>
      <c r="G22" s="328"/>
      <c r="H22" s="352"/>
      <c r="I22" s="328"/>
      <c r="J22" s="343"/>
      <c r="K22" s="343"/>
      <c r="L22" s="343"/>
      <c r="M22" s="343"/>
      <c r="N22" s="343"/>
      <c r="O22" s="343"/>
      <c r="P22" s="343"/>
      <c r="Q22" s="340"/>
      <c r="S22" s="340"/>
      <c r="T22" s="282"/>
      <c r="U22" s="351"/>
      <c r="W22" s="351"/>
      <c r="X22" s="351"/>
      <c r="Y22" s="351"/>
      <c r="Z22" s="351"/>
      <c r="AA22" s="351"/>
      <c r="AB22" s="351"/>
      <c r="AC22" s="351"/>
      <c r="AD22" s="351"/>
      <c r="AE22" s="351"/>
      <c r="AF22" s="351"/>
      <c r="AG22" s="351"/>
      <c r="AH22" s="351"/>
      <c r="AI22" s="351"/>
      <c r="AJ22" s="351"/>
      <c r="AK22" s="351"/>
      <c r="AL22" s="351"/>
    </row>
    <row r="23" spans="6:38" s="306" customFormat="1" ht="14" x14ac:dyDescent="0.2">
      <c r="F23" s="330"/>
      <c r="G23" s="331"/>
      <c r="H23" s="344" t="s">
        <v>159</v>
      </c>
      <c r="I23" s="331"/>
      <c r="J23" s="338">
        <f t="shared" ref="J23:J49" ca="1" si="3">SUM(K23:U23)</f>
        <v>0</v>
      </c>
      <c r="K23" s="338">
        <f ca="1">SUMIF(PnL_Speadsheet!$E$3:$BL$3,K$14,PnL_Speadsheet!$E9:$BL9)/1000</f>
        <v>0</v>
      </c>
      <c r="L23" s="338">
        <f ca="1">SUMIF(PnL_Speadsheet!$E$3:$BL$3,L$14,PnL_Speadsheet!$E9:$BL9)/1000</f>
        <v>0</v>
      </c>
      <c r="M23" s="338">
        <f ca="1">SUMIF(PnL_Speadsheet!$E$3:$BL$3,M$14,PnL_Speadsheet!$E9:$BL9)/1000</f>
        <v>0</v>
      </c>
      <c r="N23" s="338">
        <f ca="1">SUMIF(PnL_Speadsheet!$E$3:$BL$3,N$14,PnL_Speadsheet!$E9:$BL9)/1000</f>
        <v>0</v>
      </c>
      <c r="O23" s="338">
        <f ca="1">SUMIF(PnL_Speadsheet!$E$3:$BL$3,O$14,PnL_Speadsheet!$E9:$BL9)/1000</f>
        <v>0</v>
      </c>
      <c r="P23" s="338">
        <f>SUMIF(PnL_Speadsheet!$E$3:$BL$3,P$14,PnL_Speadsheet!$E9:$BL9)/1000</f>
        <v>0</v>
      </c>
      <c r="Q23" s="339"/>
      <c r="S23" s="339"/>
      <c r="T23" s="282"/>
      <c r="U23" s="353"/>
      <c r="W23" s="353"/>
      <c r="X23" s="353"/>
      <c r="Y23" s="353"/>
      <c r="Z23" s="353"/>
      <c r="AA23" s="353"/>
      <c r="AB23" s="353"/>
      <c r="AC23" s="353"/>
      <c r="AD23" s="353"/>
      <c r="AE23" s="353"/>
      <c r="AF23" s="353"/>
      <c r="AG23" s="353"/>
      <c r="AH23" s="353"/>
      <c r="AI23" s="353"/>
      <c r="AJ23" s="353"/>
      <c r="AK23" s="353"/>
      <c r="AL23" s="353"/>
    </row>
    <row r="24" spans="6:38" ht="14" x14ac:dyDescent="0.2">
      <c r="F24" s="337"/>
      <c r="G24" s="328"/>
      <c r="H24" s="354" t="s">
        <v>388</v>
      </c>
      <c r="I24" s="328"/>
      <c r="J24" s="338">
        <f t="shared" ca="1" si="3"/>
        <v>0</v>
      </c>
      <c r="K24" s="338">
        <f ca="1">SUMIF(PnL_Speadsheet!$E$3:$BL$3,K$14,PnL_Speadsheet!$E10:$BL10)/1000</f>
        <v>0</v>
      </c>
      <c r="L24" s="338">
        <f ca="1">SUMIF(PnL_Speadsheet!$E$3:$BL$3,L$14,PnL_Speadsheet!$E10:$BL10)/1000</f>
        <v>0</v>
      </c>
      <c r="M24" s="338">
        <f ca="1">SUMIF(PnL_Speadsheet!$E$3:$BL$3,M$14,PnL_Speadsheet!$E10:$BL10)/1000</f>
        <v>0</v>
      </c>
      <c r="N24" s="338">
        <f ca="1">SUMIF(PnL_Speadsheet!$E$3:$BL$3,N$14,PnL_Speadsheet!$E10:$BL10)/1000</f>
        <v>0</v>
      </c>
      <c r="O24" s="338">
        <f ca="1">SUMIF(PnL_Speadsheet!$E$3:$BL$3,O$14,PnL_Speadsheet!$E10:$BL10)/1000</f>
        <v>0</v>
      </c>
      <c r="P24" s="338">
        <f>SUMIF(PnL_Speadsheet!$E$3:$BL$3,P$14,PnL_Speadsheet!$E10:$BL10)/1000</f>
        <v>0</v>
      </c>
      <c r="Q24" s="340"/>
      <c r="S24" s="340"/>
      <c r="T24" s="186"/>
      <c r="U24" s="353"/>
    </row>
    <row r="25" spans="6:38" ht="14" x14ac:dyDescent="0.2">
      <c r="F25" s="337"/>
      <c r="G25" s="328"/>
      <c r="H25" s="355" t="s">
        <v>191</v>
      </c>
      <c r="I25" s="356"/>
      <c r="J25" s="343">
        <f t="shared" ca="1" si="3"/>
        <v>0</v>
      </c>
      <c r="K25" s="357">
        <f ca="1">SUMIF(PnL_Speadsheet!$E$3:$BL$3,K$14,PnL_Speadsheet!$E11:$BL11)/1000</f>
        <v>0</v>
      </c>
      <c r="L25" s="343">
        <f ca="1">SUMIF(PnL_Speadsheet!$E$3:$BL$3,L$14,PnL_Speadsheet!$E11:$BL11)/1000</f>
        <v>0</v>
      </c>
      <c r="M25" s="343">
        <f ca="1">SUMIF(PnL_Speadsheet!$E$3:$BL$3,M$14,PnL_Speadsheet!$E11:$BL11)/1000</f>
        <v>0</v>
      </c>
      <c r="N25" s="343">
        <f ca="1">SUMIF(PnL_Speadsheet!$E$3:$BL$3,N$14,PnL_Speadsheet!$E11:$BL11)/1000</f>
        <v>0</v>
      </c>
      <c r="O25" s="343">
        <f ca="1">SUMIF(PnL_Speadsheet!$E$3:$BL$3,O$14,PnL_Speadsheet!$E11:$BL11)/1000</f>
        <v>0</v>
      </c>
      <c r="P25" s="343">
        <f>SUMIF(PnL_Speadsheet!$E$3:$BL$3,P$14,PnL_Speadsheet!$E11:$BL11)/1000</f>
        <v>0</v>
      </c>
      <c r="Q25" s="340"/>
      <c r="S25" s="340"/>
      <c r="T25" s="358"/>
      <c r="U25" s="359"/>
    </row>
    <row r="26" spans="6:38" ht="14" x14ac:dyDescent="0.2">
      <c r="F26" s="337"/>
      <c r="G26" s="328"/>
      <c r="H26" s="355" t="s">
        <v>194</v>
      </c>
      <c r="I26" s="356"/>
      <c r="J26" s="343">
        <f t="shared" ca="1" si="3"/>
        <v>0</v>
      </c>
      <c r="K26" s="357">
        <f ca="1">SUMIF(PnL_Speadsheet!$E$3:$BL$3,K$14,PnL_Speadsheet!$E12:$BL12)/1000</f>
        <v>0</v>
      </c>
      <c r="L26" s="343">
        <f ca="1">SUMIF(PnL_Speadsheet!$E$3:$BL$3,L$14,PnL_Speadsheet!$E12:$BL12)/1000</f>
        <v>0</v>
      </c>
      <c r="M26" s="343">
        <f ca="1">SUMIF(PnL_Speadsheet!$E$3:$BL$3,M$14,PnL_Speadsheet!$E12:$BL12)/1000</f>
        <v>0</v>
      </c>
      <c r="N26" s="343">
        <f ca="1">SUMIF(PnL_Speadsheet!$E$3:$BL$3,N$14,PnL_Speadsheet!$E12:$BL12)/1000</f>
        <v>0</v>
      </c>
      <c r="O26" s="343">
        <f ca="1">SUMIF(PnL_Speadsheet!$E$3:$BL$3,O$14,PnL_Speadsheet!$E12:$BL12)/1000</f>
        <v>0</v>
      </c>
      <c r="P26" s="343">
        <f>SUMIF(PnL_Speadsheet!$E$3:$BL$3,P$14,PnL_Speadsheet!$E12:$BL12)/1000</f>
        <v>0</v>
      </c>
      <c r="Q26" s="340"/>
      <c r="S26" s="340"/>
      <c r="U26" s="359"/>
    </row>
    <row r="27" spans="6:38" ht="14" x14ac:dyDescent="0.2">
      <c r="F27" s="337"/>
      <c r="G27" s="328"/>
      <c r="H27" s="360" t="s">
        <v>391</v>
      </c>
      <c r="I27" s="356"/>
      <c r="J27" s="338">
        <f t="shared" ca="1" si="3"/>
        <v>0</v>
      </c>
      <c r="K27" s="338">
        <f ca="1">SUMIF(PnL_Speadsheet!$E$3:$BL$3,K$14,PnL_Speadsheet!$E13:$BL13)/1000</f>
        <v>0</v>
      </c>
      <c r="L27" s="338">
        <f ca="1">SUMIF(PnL_Speadsheet!$E$3:$BL$3,L$14,PnL_Speadsheet!$E13:$BL13)/1000</f>
        <v>0</v>
      </c>
      <c r="M27" s="338">
        <f ca="1">SUMIF(PnL_Speadsheet!$E$3:$BL$3,M$14,PnL_Speadsheet!$E13:$BL13)/1000</f>
        <v>0</v>
      </c>
      <c r="N27" s="338">
        <f ca="1">SUMIF(PnL_Speadsheet!$E$3:$BL$3,N$14,PnL_Speadsheet!$E13:$BL13)/1000</f>
        <v>0</v>
      </c>
      <c r="O27" s="338">
        <f ca="1">SUMIF(PnL_Speadsheet!$E$3:$BL$3,O$14,PnL_Speadsheet!$E13:$BL13)/1000</f>
        <v>0</v>
      </c>
      <c r="P27" s="338">
        <f>SUMIF(PnL_Speadsheet!$E$3:$BL$3,P$14,PnL_Speadsheet!$E13:$BL13)/1000</f>
        <v>0</v>
      </c>
      <c r="Q27" s="340"/>
      <c r="S27" s="340"/>
      <c r="U27" s="359"/>
    </row>
    <row r="28" spans="6:38" ht="14" outlineLevel="1" x14ac:dyDescent="0.2">
      <c r="F28" s="337"/>
      <c r="G28" s="328"/>
      <c r="H28" s="355" t="s">
        <v>59</v>
      </c>
      <c r="I28" s="356"/>
      <c r="J28" s="343">
        <f ca="1">SUM(K28:U28)</f>
        <v>0</v>
      </c>
      <c r="K28" s="343">
        <f ca="1">SUMIF(PnL_Speadsheet!$E$3:$BL$3,K$14,PnL_Speadsheet!$E14:$BL14)/1000</f>
        <v>0</v>
      </c>
      <c r="L28" s="343">
        <f ca="1">SUMIF(PnL_Speadsheet!$E$3:$BL$3,L$14,PnL_Speadsheet!$E14:$BL14)/1000</f>
        <v>0</v>
      </c>
      <c r="M28" s="343">
        <f ca="1">SUMIF(PnL_Speadsheet!$E$3:$BL$3,M$14,PnL_Speadsheet!$E14:$BL14)/1000</f>
        <v>0</v>
      </c>
      <c r="N28" s="343">
        <f ca="1">SUMIF(PnL_Speadsheet!$E$3:$BL$3,N$14,PnL_Speadsheet!$E14:$BL14)/1000</f>
        <v>0</v>
      </c>
      <c r="O28" s="343">
        <f ca="1">SUMIF(PnL_Speadsheet!$E$3:$BL$3,O$14,PnL_Speadsheet!$E14:$BL14)/1000</f>
        <v>0</v>
      </c>
      <c r="P28" s="343">
        <f>SUMIF(PnL_Speadsheet!$E$3:$BL$3,P$14,PnL_Speadsheet!$E14:$BL14)/1000</f>
        <v>0</v>
      </c>
      <c r="Q28" s="340"/>
      <c r="S28" s="340"/>
      <c r="U28" s="359"/>
    </row>
    <row r="29" spans="6:38" ht="14" outlineLevel="1" x14ac:dyDescent="0.2">
      <c r="F29" s="337"/>
      <c r="G29" s="328"/>
      <c r="H29" s="361" t="s">
        <v>64</v>
      </c>
      <c r="I29" s="356"/>
      <c r="J29" s="343">
        <f ca="1">SUM(K29:U29)</f>
        <v>0</v>
      </c>
      <c r="K29" s="343">
        <f ca="1">SUMIF(PnL_Speadsheet!$E$3:$BL$3,K$14,PnL_Speadsheet!$E15:$BL15)/1000</f>
        <v>0</v>
      </c>
      <c r="L29" s="343">
        <f ca="1">SUMIF(PnL_Speadsheet!$E$3:$BL$3,L$14,PnL_Speadsheet!$E15:$BL15)/1000</f>
        <v>0</v>
      </c>
      <c r="M29" s="343">
        <f ca="1">SUMIF(PnL_Speadsheet!$E$3:$BL$3,M$14,PnL_Speadsheet!$E15:$BL15)/1000</f>
        <v>0</v>
      </c>
      <c r="N29" s="343">
        <f ca="1">SUMIF(PnL_Speadsheet!$E$3:$BL$3,N$14,PnL_Speadsheet!$E15:$BL15)/1000</f>
        <v>0</v>
      </c>
      <c r="O29" s="343">
        <f ca="1">SUMIF(PnL_Speadsheet!$E$3:$BL$3,O$14,PnL_Speadsheet!$E15:$BL15)/1000</f>
        <v>0</v>
      </c>
      <c r="P29" s="343">
        <f>SUMIF(PnL_Speadsheet!$E$3:$BL$3,P$14,PnL_Speadsheet!$E15:$BL15)/1000</f>
        <v>0</v>
      </c>
      <c r="Q29" s="340"/>
      <c r="S29" s="340"/>
      <c r="U29" s="359"/>
    </row>
    <row r="30" spans="6:38" ht="14" outlineLevel="1" x14ac:dyDescent="0.2">
      <c r="F30" s="337"/>
      <c r="G30" s="328"/>
      <c r="H30" s="361" t="s">
        <v>202</v>
      </c>
      <c r="I30" s="356"/>
      <c r="J30" s="343">
        <f t="shared" ca="1" si="3"/>
        <v>0</v>
      </c>
      <c r="K30" s="343">
        <f ca="1">SUMIF(PnL_Speadsheet!$E$3:$BL$3,K$14,PnL_Speadsheet!$E16:$BL16)/1000</f>
        <v>0</v>
      </c>
      <c r="L30" s="343">
        <f ca="1">SUMIF(PnL_Speadsheet!$E$3:$BL$3,L$14,PnL_Speadsheet!$E16:$BL16)/1000</f>
        <v>0</v>
      </c>
      <c r="M30" s="343">
        <f ca="1">SUMIF(PnL_Speadsheet!$E$3:$BL$3,M$14,PnL_Speadsheet!$E16:$BL16)/1000</f>
        <v>0</v>
      </c>
      <c r="N30" s="343">
        <f ca="1">SUMIF(PnL_Speadsheet!$E$3:$BL$3,N$14,PnL_Speadsheet!$E16:$BL16)/1000</f>
        <v>0</v>
      </c>
      <c r="O30" s="343">
        <f ca="1">SUMIF(PnL_Speadsheet!$E$3:$BL$3,O$14,PnL_Speadsheet!$E16:$BL16)/1000</f>
        <v>0</v>
      </c>
      <c r="P30" s="343">
        <f>SUMIF(PnL_Speadsheet!$E$3:$BL$3,P$14,PnL_Speadsheet!$E16:$BL16)/1000</f>
        <v>0</v>
      </c>
      <c r="Q30" s="340"/>
      <c r="S30" s="340"/>
      <c r="U30" s="359"/>
    </row>
    <row r="31" spans="6:38" ht="14" outlineLevel="1" x14ac:dyDescent="0.2">
      <c r="F31" s="337"/>
      <c r="G31" s="328"/>
      <c r="H31" s="361" t="s">
        <v>66</v>
      </c>
      <c r="I31" s="356"/>
      <c r="J31" s="343">
        <f ca="1">SUM(K31:U31)</f>
        <v>0</v>
      </c>
      <c r="K31" s="343">
        <f ca="1">SUMIF(PnL_Speadsheet!$E$3:$BL$3,K$14,PnL_Speadsheet!$E17:$BL17)/1000</f>
        <v>0</v>
      </c>
      <c r="L31" s="343">
        <f ca="1">SUMIF(PnL_Speadsheet!$E$3:$BL$3,L$14,PnL_Speadsheet!$E17:$BL17)/1000</f>
        <v>0</v>
      </c>
      <c r="M31" s="343">
        <f ca="1">SUMIF(PnL_Speadsheet!$E$3:$BL$3,M$14,PnL_Speadsheet!$E17:$BL17)/1000</f>
        <v>0</v>
      </c>
      <c r="N31" s="343">
        <f ca="1">SUMIF(PnL_Speadsheet!$E$3:$BL$3,N$14,PnL_Speadsheet!$E17:$BL17)/1000</f>
        <v>0</v>
      </c>
      <c r="O31" s="343">
        <f ca="1">SUMIF(PnL_Speadsheet!$E$3:$BL$3,O$14,PnL_Speadsheet!$E17:$BL17)/1000</f>
        <v>0</v>
      </c>
      <c r="P31" s="343">
        <f>SUMIF(PnL_Speadsheet!$E$3:$BL$3,P$14,PnL_Speadsheet!$E17:$BL17)/1000</f>
        <v>0</v>
      </c>
      <c r="Q31" s="340"/>
      <c r="S31" s="340"/>
      <c r="U31" s="359"/>
    </row>
    <row r="32" spans="6:38" ht="14" outlineLevel="1" x14ac:dyDescent="0.2">
      <c r="F32" s="337"/>
      <c r="G32" s="328"/>
      <c r="H32" s="362" t="s">
        <v>68</v>
      </c>
      <c r="I32" s="356"/>
      <c r="J32" s="343">
        <f ca="1">SUM(K32:U32)</f>
        <v>0</v>
      </c>
      <c r="K32" s="343">
        <f ca="1">SUMIF(PnL_Speadsheet!$E$3:$BL$3,K$14,PnL_Speadsheet!$E18:$BL18)/1000</f>
        <v>0</v>
      </c>
      <c r="L32" s="343">
        <f ca="1">SUMIF(PnL_Speadsheet!$E$3:$BL$3,L$14,PnL_Speadsheet!$E18:$BL18)/1000</f>
        <v>0</v>
      </c>
      <c r="M32" s="343">
        <f ca="1">SUMIF(PnL_Speadsheet!$E$3:$BL$3,M$14,PnL_Speadsheet!$E18:$BL18)/1000</f>
        <v>0</v>
      </c>
      <c r="N32" s="343">
        <f ca="1">SUMIF(PnL_Speadsheet!$E$3:$BL$3,N$14,PnL_Speadsheet!$E18:$BL18)/1000</f>
        <v>0</v>
      </c>
      <c r="O32" s="343">
        <f ca="1">SUMIF(PnL_Speadsheet!$E$3:$BL$3,O$14,PnL_Speadsheet!$E18:$BL18)/1000</f>
        <v>0</v>
      </c>
      <c r="P32" s="343">
        <f>SUMIF(PnL_Speadsheet!$E$3:$BL$3,P$14,PnL_Speadsheet!$E18:$BL18)/1000</f>
        <v>0</v>
      </c>
      <c r="Q32" s="340"/>
      <c r="S32" s="340"/>
      <c r="U32" s="359"/>
    </row>
    <row r="33" spans="6:21" ht="14" outlineLevel="1" x14ac:dyDescent="0.2">
      <c r="F33" s="337"/>
      <c r="G33" s="328"/>
      <c r="H33" s="355" t="s">
        <v>206</v>
      </c>
      <c r="I33" s="356"/>
      <c r="J33" s="343">
        <f t="shared" ca="1" si="3"/>
        <v>0</v>
      </c>
      <c r="K33" s="343">
        <f ca="1">SUMIF(PnL_Speadsheet!$E$3:$BL$3,K$14,PnL_Speadsheet!$E19:$BL19)/1000</f>
        <v>0</v>
      </c>
      <c r="L33" s="343">
        <f ca="1">SUMIF(PnL_Speadsheet!$E$3:$BL$3,L$14,PnL_Speadsheet!$E19:$BL19)/1000</f>
        <v>0</v>
      </c>
      <c r="M33" s="343">
        <f ca="1">SUMIF(PnL_Speadsheet!$E$3:$BL$3,M$14,PnL_Speadsheet!$E19:$BL19)/1000</f>
        <v>0</v>
      </c>
      <c r="N33" s="343">
        <f ca="1">SUMIF(PnL_Speadsheet!$E$3:$BL$3,N$14,PnL_Speadsheet!$E19:$BL19)/1000</f>
        <v>0</v>
      </c>
      <c r="O33" s="343">
        <f ca="1">SUMIF(PnL_Speadsheet!$E$3:$BL$3,O$14,PnL_Speadsheet!$E19:$BL19)/1000</f>
        <v>0</v>
      </c>
      <c r="P33" s="343">
        <f>SUMIF(PnL_Speadsheet!$E$3:$BL$3,P$14,PnL_Speadsheet!$E19:$BL19)/1000</f>
        <v>0</v>
      </c>
      <c r="Q33" s="340"/>
      <c r="S33" s="340"/>
      <c r="U33" s="359"/>
    </row>
    <row r="34" spans="6:21" ht="14" outlineLevel="1" x14ac:dyDescent="0.2">
      <c r="F34" s="337"/>
      <c r="G34" s="328"/>
      <c r="H34" s="361" t="s">
        <v>74</v>
      </c>
      <c r="I34" s="356"/>
      <c r="J34" s="343">
        <f t="shared" ca="1" si="3"/>
        <v>0</v>
      </c>
      <c r="K34" s="343">
        <f ca="1">SUMIF(PnL_Speadsheet!$E$3:$BL$3,K$14,PnL_Speadsheet!$E20:$BL20)/1000</f>
        <v>0</v>
      </c>
      <c r="L34" s="343">
        <f ca="1">SUMIF(PnL_Speadsheet!$E$3:$BL$3,L$14,PnL_Speadsheet!$E20:$BL20)/1000</f>
        <v>0</v>
      </c>
      <c r="M34" s="343">
        <f ca="1">SUMIF(PnL_Speadsheet!$E$3:$BL$3,M$14,PnL_Speadsheet!$E20:$BL20)/1000</f>
        <v>0</v>
      </c>
      <c r="N34" s="343">
        <f ca="1">SUMIF(PnL_Speadsheet!$E$3:$BL$3,N$14,PnL_Speadsheet!$E20:$BL20)/1000</f>
        <v>0</v>
      </c>
      <c r="O34" s="343">
        <f ca="1">SUMIF(PnL_Speadsheet!$E$3:$BL$3,O$14,PnL_Speadsheet!$E20:$BL20)/1000</f>
        <v>0</v>
      </c>
      <c r="P34" s="343">
        <f>SUMIF(PnL_Speadsheet!$E$3:$BL$3,P$14,PnL_Speadsheet!$E20:$BL20)/1000</f>
        <v>0</v>
      </c>
      <c r="Q34" s="340"/>
      <c r="S34" s="340"/>
      <c r="U34" s="359"/>
    </row>
    <row r="35" spans="6:21" ht="14" outlineLevel="1" x14ac:dyDescent="0.2">
      <c r="F35" s="337"/>
      <c r="G35" s="328"/>
      <c r="H35" s="355" t="s">
        <v>450</v>
      </c>
      <c r="I35" s="356"/>
      <c r="J35" s="343">
        <f t="shared" ca="1" si="3"/>
        <v>0</v>
      </c>
      <c r="K35" s="343">
        <f ca="1">SUMIF(PnL_Speadsheet!$E$3:$BL$3,K$14,PnL_Speadsheet!$E21:$BL21)/1000</f>
        <v>0</v>
      </c>
      <c r="L35" s="343">
        <f ca="1">SUMIF(PnL_Speadsheet!$E$3:$BL$3,L$14,PnL_Speadsheet!$E21:$BL21)/1000</f>
        <v>0</v>
      </c>
      <c r="M35" s="343">
        <f ca="1">SUMIF(PnL_Speadsheet!$E$3:$BL$3,M$14,PnL_Speadsheet!$E21:$BL21)/1000</f>
        <v>0</v>
      </c>
      <c r="N35" s="343">
        <f ca="1">SUMIF(PnL_Speadsheet!$E$3:$BL$3,N$14,PnL_Speadsheet!$E21:$BL21)/1000</f>
        <v>0</v>
      </c>
      <c r="O35" s="343">
        <f ca="1">SUMIF(PnL_Speadsheet!$E$3:$BL$3,O$14,PnL_Speadsheet!$E21:$BL21)/1000</f>
        <v>0</v>
      </c>
      <c r="P35" s="343">
        <f>SUMIF(PnL_Speadsheet!$E$3:$BL$3,P$14,PnL_Speadsheet!$E21:$BL21)/1000</f>
        <v>0</v>
      </c>
      <c r="Q35" s="340"/>
      <c r="S35" s="340"/>
      <c r="U35" s="359"/>
    </row>
    <row r="36" spans="6:21" ht="14" outlineLevel="1" x14ac:dyDescent="0.2">
      <c r="F36" s="337"/>
      <c r="G36" s="328"/>
      <c r="H36" s="362" t="s">
        <v>214</v>
      </c>
      <c r="I36" s="356"/>
      <c r="J36" s="343">
        <f t="shared" ca="1" si="3"/>
        <v>0</v>
      </c>
      <c r="K36" s="343">
        <f ca="1">SUMIF(PnL_Speadsheet!$E$3:$BL$3,K$14,PnL_Speadsheet!$E22:$BL22)/1000</f>
        <v>0</v>
      </c>
      <c r="L36" s="343">
        <f ca="1">SUMIF(PnL_Speadsheet!$E$3:$BL$3,L$14,PnL_Speadsheet!$E22:$BL22)/1000</f>
        <v>0</v>
      </c>
      <c r="M36" s="343">
        <f ca="1">SUMIF(PnL_Speadsheet!$E$3:$BL$3,M$14,PnL_Speadsheet!$E22:$BL22)/1000</f>
        <v>0</v>
      </c>
      <c r="N36" s="343">
        <f ca="1">SUMIF(PnL_Speadsheet!$E$3:$BL$3,N$14,PnL_Speadsheet!$E22:$BL22)/1000</f>
        <v>0</v>
      </c>
      <c r="O36" s="343">
        <f ca="1">SUMIF(PnL_Speadsheet!$E$3:$BL$3,O$14,PnL_Speadsheet!$E22:$BL22)/1000</f>
        <v>0</v>
      </c>
      <c r="P36" s="343">
        <f>SUMIF(PnL_Speadsheet!$E$3:$BL$3,P$14,PnL_Speadsheet!$E22:$BL22)/1000</f>
        <v>0</v>
      </c>
      <c r="Q36" s="340"/>
      <c r="S36" s="340"/>
      <c r="U36" s="359"/>
    </row>
    <row r="37" spans="6:21" ht="14" outlineLevel="1" x14ac:dyDescent="0.2">
      <c r="F37" s="337"/>
      <c r="G37" s="328"/>
      <c r="H37" s="355" t="s">
        <v>215</v>
      </c>
      <c r="I37" s="356"/>
      <c r="J37" s="343">
        <f t="shared" ca="1" si="3"/>
        <v>0</v>
      </c>
      <c r="K37" s="343">
        <f ca="1">SUMIF(PnL_Speadsheet!$E$3:$BL$3,K$14,PnL_Speadsheet!$E23:$BL23)/1000</f>
        <v>0</v>
      </c>
      <c r="L37" s="343">
        <f ca="1">SUMIF(PnL_Speadsheet!$E$3:$BL$3,L$14,PnL_Speadsheet!$E23:$BL23)/1000</f>
        <v>0</v>
      </c>
      <c r="M37" s="343">
        <f ca="1">SUMIF(PnL_Speadsheet!$E$3:$BL$3,M$14,PnL_Speadsheet!$E23:$BL23)/1000</f>
        <v>0</v>
      </c>
      <c r="N37" s="343">
        <f ca="1">SUMIF(PnL_Speadsheet!$E$3:$BL$3,N$14,PnL_Speadsheet!$E23:$BL23)/1000</f>
        <v>0</v>
      </c>
      <c r="O37" s="343">
        <f ca="1">SUMIF(PnL_Speadsheet!$E$3:$BL$3,O$14,PnL_Speadsheet!$E23:$BL23)/1000</f>
        <v>0</v>
      </c>
      <c r="P37" s="343">
        <f>SUMIF(PnL_Speadsheet!$E$3:$BL$3,P$14,PnL_Speadsheet!$E23:$BL23)/1000</f>
        <v>0</v>
      </c>
      <c r="Q37" s="340"/>
      <c r="S37" s="340"/>
      <c r="U37" s="359"/>
    </row>
    <row r="38" spans="6:21" s="306" customFormat="1" ht="14" x14ac:dyDescent="0.2">
      <c r="F38" s="330"/>
      <c r="G38" s="331"/>
      <c r="H38" s="363" t="s">
        <v>167</v>
      </c>
      <c r="I38" s="363"/>
      <c r="J38" s="364">
        <f ca="1">SUM(K38:U38)</f>
        <v>0</v>
      </c>
      <c r="K38" s="364">
        <f ca="1">(SUMIF(PnL_Speadsheet!$E$3:$BL$3,K$14,PnL_Speadsheet!$E24:$BL24)/1000)</f>
        <v>0</v>
      </c>
      <c r="L38" s="364">
        <f ca="1">(SUMIF(PnL_Speadsheet!$E$3:$BL$3,L$14,PnL_Speadsheet!$E24:$BL24)/1000)</f>
        <v>0</v>
      </c>
      <c r="M38" s="364">
        <f ca="1">(SUMIF(PnL_Speadsheet!$E$3:$BL$3,M$14,PnL_Speadsheet!$E24:$BL24)/1000)</f>
        <v>0</v>
      </c>
      <c r="N38" s="364">
        <f ca="1">(SUMIF(PnL_Speadsheet!$E$3:$BL$3,N$14,PnL_Speadsheet!$E24:$BL24)/1000)</f>
        <v>0</v>
      </c>
      <c r="O38" s="364">
        <f ca="1">(SUMIF(PnL_Speadsheet!$E$3:$BL$3,O$14,PnL_Speadsheet!$E24:$BL24)/1000)</f>
        <v>0</v>
      </c>
      <c r="P38" s="364">
        <f>(SUMIF(PnL_Speadsheet!$E$3:$BL$3,P$14,PnL_Speadsheet!$E24:$BL24)/1000)</f>
        <v>0</v>
      </c>
      <c r="Q38" s="359"/>
      <c r="S38" s="359"/>
      <c r="U38" s="359"/>
    </row>
    <row r="39" spans="6:21" ht="14" outlineLevel="1" x14ac:dyDescent="0.2">
      <c r="F39" s="337"/>
      <c r="G39" s="328"/>
      <c r="H39" s="365" t="s">
        <v>451</v>
      </c>
      <c r="I39" s="356"/>
      <c r="J39" s="366">
        <f ca="1">SUM(K39:U39)</f>
        <v>0</v>
      </c>
      <c r="K39" s="366">
        <f ca="1">(SUMIF(PnL_Speadsheet!$E$3:$BL$3,K$14,PnL_Speadsheet!$E25:$BL25)/1000)-K40</f>
        <v>0</v>
      </c>
      <c r="L39" s="366">
        <f ca="1">(SUMIF(PnL_Speadsheet!$E$3:$BL$3,L$14,PnL_Speadsheet!$E25:$BL25)/1000)-L40</f>
        <v>0</v>
      </c>
      <c r="M39" s="366">
        <f ca="1">(SUMIF(PnL_Speadsheet!$E$3:$BL$3,M$14,PnL_Speadsheet!$E25:$BL25)/1000)-M40</f>
        <v>0</v>
      </c>
      <c r="N39" s="366">
        <f ca="1">(SUMIF(PnL_Speadsheet!$E$3:$BL$3,N$14,PnL_Speadsheet!$E25:$BL25)/1000)-N40</f>
        <v>0</v>
      </c>
      <c r="O39" s="366">
        <f ca="1">(SUMIF(PnL_Speadsheet!$E$3:$BL$3,O$14,PnL_Speadsheet!$E25:$BL25)/1000)-O40</f>
        <v>0</v>
      </c>
      <c r="P39" s="366">
        <f>(SUMIF(PnL_Speadsheet!$E$3:$BL$3,P$14,PnL_Speadsheet!$E25:$BL25)/1000)-P40</f>
        <v>0</v>
      </c>
      <c r="Q39" s="367"/>
      <c r="S39" s="367"/>
      <c r="U39" s="359"/>
    </row>
    <row r="40" spans="6:21" ht="14" outlineLevel="1" x14ac:dyDescent="0.2">
      <c r="F40" s="337"/>
      <c r="G40" s="328"/>
      <c r="H40" s="365" t="s">
        <v>452</v>
      </c>
      <c r="I40" s="356"/>
      <c r="J40" s="366">
        <f ca="1">SUM(K40:U40)</f>
        <v>0</v>
      </c>
      <c r="K40" s="366">
        <f ca="1">SUMIF(PnL_Speadsheet!$E$3:$BL$3,K$14,PnL_Speadsheet!$E29:$BL29)/1000</f>
        <v>0</v>
      </c>
      <c r="L40" s="366">
        <f ca="1">SUMIF(PnL_Speadsheet!$E$3:$BL$3,L$14,PnL_Speadsheet!$E29:$BL29)/1000</f>
        <v>0</v>
      </c>
      <c r="M40" s="366">
        <f ca="1">SUMIF(PnL_Speadsheet!$E$3:$BL$3,M$14,PnL_Speadsheet!$E29:$BL29)/1000</f>
        <v>0</v>
      </c>
      <c r="N40" s="366">
        <f ca="1">SUMIF(PnL_Speadsheet!$E$3:$BL$3,N$14,PnL_Speadsheet!$E29:$BL29)/1000</f>
        <v>0</v>
      </c>
      <c r="O40" s="366">
        <f ca="1">SUMIF(PnL_Speadsheet!$E$3:$BL$3,O$14,PnL_Speadsheet!$E29:$BL29)/1000</f>
        <v>0</v>
      </c>
      <c r="P40" s="366">
        <f>SUMIF(PnL_Speadsheet!$E$3:$BL$3,P$14,PnL_Speadsheet!$E29:$BL29)/1000</f>
        <v>0</v>
      </c>
      <c r="Q40" s="367"/>
      <c r="S40" s="367"/>
      <c r="U40" s="359"/>
    </row>
    <row r="41" spans="6:21" ht="14" outlineLevel="1" x14ac:dyDescent="0.2">
      <c r="F41" s="337"/>
      <c r="G41" s="328"/>
      <c r="H41" s="365" t="s">
        <v>453</v>
      </c>
      <c r="I41" s="356"/>
      <c r="J41" s="366">
        <f ca="1">SUM(K41:U41)</f>
        <v>0</v>
      </c>
      <c r="K41" s="366">
        <f ca="1">(SUMIF(PnL_Speadsheet!$E$3:$BL$3,K$14,PnL_Speadsheet!$E30:$BL30)/1000)</f>
        <v>0</v>
      </c>
      <c r="L41" s="366">
        <f ca="1">(SUMIF(PnL_Speadsheet!$E$3:$BL$3,L$14,PnL_Speadsheet!$E30:$BL30)/1000)</f>
        <v>0</v>
      </c>
      <c r="M41" s="366">
        <f ca="1">(SUMIF(PnL_Speadsheet!$E$3:$BL$3,M$14,PnL_Speadsheet!$E30:$BL30)/1000)</f>
        <v>0</v>
      </c>
      <c r="N41" s="366">
        <f ca="1">(SUMIF(PnL_Speadsheet!$E$3:$BL$3,N$14,PnL_Speadsheet!$E30:$BL30)/1000)</f>
        <v>0</v>
      </c>
      <c r="O41" s="366">
        <f ca="1">(SUMIF(PnL_Speadsheet!$E$3:$BL$3,O$14,PnL_Speadsheet!$E30:$BL30)/1000)</f>
        <v>0</v>
      </c>
      <c r="P41" s="366">
        <f>(SUMIF(PnL_Speadsheet!$E$3:$BL$3,P$14,PnL_Speadsheet!$E30:$BL30)/1000)</f>
        <v>0</v>
      </c>
      <c r="Q41" s="367"/>
      <c r="S41" s="367"/>
      <c r="U41" s="359"/>
    </row>
    <row r="42" spans="6:21" ht="14" outlineLevel="1" x14ac:dyDescent="0.2">
      <c r="F42" s="337"/>
      <c r="G42" s="328"/>
      <c r="H42" s="365" t="s">
        <v>454</v>
      </c>
      <c r="I42" s="356"/>
      <c r="J42" s="366">
        <f t="shared" ca="1" si="3"/>
        <v>0</v>
      </c>
      <c r="K42" s="366">
        <f ca="1">SUMIF(PnL_Speadsheet!$E$3:$BL$3,K$14,PnL_Speadsheet!$E31:$BL31)/1000</f>
        <v>0</v>
      </c>
      <c r="L42" s="366">
        <f ca="1">SUMIF(PnL_Speadsheet!$E$3:$BL$3,L$14,PnL_Speadsheet!$E31:$BL31)/1000</f>
        <v>0</v>
      </c>
      <c r="M42" s="366">
        <f ca="1">SUMIF(PnL_Speadsheet!$E$3:$BL$3,M$14,PnL_Speadsheet!$E31:$BL31)/1000</f>
        <v>0</v>
      </c>
      <c r="N42" s="366">
        <f ca="1">SUMIF(PnL_Speadsheet!$E$3:$BL$3,N$14,PnL_Speadsheet!$E31:$BL31)/1000</f>
        <v>0</v>
      </c>
      <c r="O42" s="366">
        <f ca="1">SUMIF(PnL_Speadsheet!$E$3:$BL$3,O$14,PnL_Speadsheet!$E31:$BL31)/1000</f>
        <v>0</v>
      </c>
      <c r="P42" s="366">
        <f>SUMIF(PnL_Speadsheet!$E$3:$BL$3,P$14,PnL_Speadsheet!$E31:$BL31)/1000</f>
        <v>0</v>
      </c>
      <c r="Q42" s="367"/>
      <c r="S42" s="367"/>
      <c r="U42" s="359"/>
    </row>
    <row r="43" spans="6:21" ht="14" outlineLevel="1" x14ac:dyDescent="0.2">
      <c r="F43" s="337"/>
      <c r="G43" s="328"/>
      <c r="H43" s="365" t="s">
        <v>121</v>
      </c>
      <c r="I43" s="356"/>
      <c r="J43" s="366">
        <f t="shared" ca="1" si="3"/>
        <v>0</v>
      </c>
      <c r="K43" s="366">
        <f ca="1">SUMIF(PnL_Speadsheet!$E$3:$BL$3,K$14,PnL_Speadsheet!$E32:$BL32)/1000</f>
        <v>0</v>
      </c>
      <c r="L43" s="366">
        <f ca="1">SUMIF(PnL_Speadsheet!$E$3:$BL$3,L$14,PnL_Speadsheet!$E32:$BL32)/1000</f>
        <v>0</v>
      </c>
      <c r="M43" s="366">
        <f ca="1">SUMIF(PnL_Speadsheet!$E$3:$BL$3,M$14,PnL_Speadsheet!$E32:$BL32)/1000</f>
        <v>0</v>
      </c>
      <c r="N43" s="366">
        <f ca="1">SUMIF(PnL_Speadsheet!$E$3:$BL$3,N$14,PnL_Speadsheet!$E32:$BL32)/1000</f>
        <v>0</v>
      </c>
      <c r="O43" s="366">
        <f ca="1">SUMIF(PnL_Speadsheet!$E$3:$BL$3,O$14,PnL_Speadsheet!$E32:$BL32)/1000</f>
        <v>0</v>
      </c>
      <c r="P43" s="366">
        <f>SUMIF(PnL_Speadsheet!$E$3:$BL$3,P$14,PnL_Speadsheet!$E32:$BL32)/1000</f>
        <v>0</v>
      </c>
      <c r="Q43" s="367"/>
      <c r="S43" s="367"/>
      <c r="U43" s="359"/>
    </row>
    <row r="44" spans="6:21" ht="14" outlineLevel="1" x14ac:dyDescent="0.2">
      <c r="F44" s="337"/>
      <c r="G44" s="328"/>
      <c r="H44" s="355" t="s">
        <v>124</v>
      </c>
      <c r="I44" s="356"/>
      <c r="J44" s="366">
        <f t="shared" ca="1" si="3"/>
        <v>0</v>
      </c>
      <c r="K44" s="366">
        <f ca="1">SUMIF(PnL_Speadsheet!$E$3:$BL$3,K$14,PnL_Speadsheet!$E35:$BL35)/1000</f>
        <v>0</v>
      </c>
      <c r="L44" s="366">
        <f ca="1">SUMIF(PnL_Speadsheet!$E$3:$BL$3,L$14,PnL_Speadsheet!$E35:$BL35)/1000</f>
        <v>0</v>
      </c>
      <c r="M44" s="366">
        <f ca="1">SUMIF(PnL_Speadsheet!$E$3:$BL$3,M$14,PnL_Speadsheet!$E35:$BL35)/1000</f>
        <v>0</v>
      </c>
      <c r="N44" s="366">
        <f ca="1">SUMIF(PnL_Speadsheet!$E$3:$BL$3,N$14,PnL_Speadsheet!$E35:$BL35)/1000</f>
        <v>0</v>
      </c>
      <c r="O44" s="366">
        <f ca="1">SUMIF(PnL_Speadsheet!$E$3:$BL$3,O$14,PnL_Speadsheet!$E35:$BL35)/1000</f>
        <v>0</v>
      </c>
      <c r="P44" s="366">
        <f>SUMIF(PnL_Speadsheet!$E$3:$BL$3,P$14,PnL_Speadsheet!$E35:$BL35)/1000</f>
        <v>0</v>
      </c>
      <c r="Q44" s="367"/>
      <c r="S44" s="367"/>
      <c r="U44" s="359"/>
    </row>
    <row r="45" spans="6:21" ht="14" outlineLevel="1" x14ac:dyDescent="0.2">
      <c r="F45" s="337"/>
      <c r="G45" s="328"/>
      <c r="H45" s="355" t="s">
        <v>240</v>
      </c>
      <c r="I45" s="356"/>
      <c r="J45" s="366">
        <f t="shared" ca="1" si="3"/>
        <v>0</v>
      </c>
      <c r="K45" s="366">
        <f ca="1">SUMIF(PnL_Speadsheet!$E$3:$BL$3,K$14,PnL_Speadsheet!$E36:$BL36)/1000</f>
        <v>0</v>
      </c>
      <c r="L45" s="366">
        <f ca="1">SUMIF(PnL_Speadsheet!$E$3:$BL$3,L$14,PnL_Speadsheet!$E36:$BL36)/1000</f>
        <v>0</v>
      </c>
      <c r="M45" s="366">
        <f ca="1">SUMIF(PnL_Speadsheet!$E$3:$BL$3,M$14,PnL_Speadsheet!$E36:$BL36)/1000</f>
        <v>0</v>
      </c>
      <c r="N45" s="366">
        <f ca="1">SUMIF(PnL_Speadsheet!$E$3:$BL$3,N$14,PnL_Speadsheet!$E36:$BL36)/1000</f>
        <v>0</v>
      </c>
      <c r="O45" s="366">
        <f ca="1">SUMIF(PnL_Speadsheet!$E$3:$BL$3,O$14,PnL_Speadsheet!$E36:$BL36)/1000</f>
        <v>0</v>
      </c>
      <c r="P45" s="366">
        <f>SUMIF(PnL_Speadsheet!$E$3:$BL$3,P$14,PnL_Speadsheet!$E36:$BL36)/1000</f>
        <v>0</v>
      </c>
      <c r="Q45" s="367"/>
      <c r="S45" s="367"/>
      <c r="U45" s="359"/>
    </row>
    <row r="46" spans="6:21" s="306" customFormat="1" ht="14" x14ac:dyDescent="0.2">
      <c r="F46" s="330"/>
      <c r="G46" s="331"/>
      <c r="H46" s="363" t="s">
        <v>164</v>
      </c>
      <c r="I46" s="363"/>
      <c r="J46" s="338">
        <f t="shared" ca="1" si="3"/>
        <v>0</v>
      </c>
      <c r="K46" s="338">
        <f ca="1">SUMIF(PnL_Speadsheet!$E$3:$BL$3,K$14,PnL_Speadsheet!$E37:$BL37)/1000</f>
        <v>0</v>
      </c>
      <c r="L46" s="338">
        <f ca="1">SUMIF(PnL_Speadsheet!$E$3:$BL$3,L$14,PnL_Speadsheet!$E37:$BL37)/1000</f>
        <v>0</v>
      </c>
      <c r="M46" s="338">
        <f ca="1">SUMIF(PnL_Speadsheet!$E$3:$BL$3,M$14,PnL_Speadsheet!$E37:$BL37)/1000</f>
        <v>0</v>
      </c>
      <c r="N46" s="338">
        <f ca="1">SUMIF(PnL_Speadsheet!$E$3:$BL$3,N$14,PnL_Speadsheet!$E37:$BL37)/1000</f>
        <v>0</v>
      </c>
      <c r="O46" s="338">
        <f ca="1">SUMIF(PnL_Speadsheet!$E$3:$BL$3,O$14,PnL_Speadsheet!$E37:$BL37)/1000</f>
        <v>0</v>
      </c>
      <c r="P46" s="338">
        <f>SUMIF(PnL_Speadsheet!$E$3:$BL$3,P$14,PnL_Speadsheet!$E37:$BL37)/1000</f>
        <v>0</v>
      </c>
      <c r="Q46" s="339"/>
      <c r="S46" s="339"/>
      <c r="U46" s="359"/>
    </row>
    <row r="47" spans="6:21" s="306" customFormat="1" ht="14" x14ac:dyDescent="0.2">
      <c r="F47" s="330"/>
      <c r="G47" s="331"/>
      <c r="H47" s="363" t="s">
        <v>216</v>
      </c>
      <c r="I47" s="363"/>
      <c r="J47" s="338">
        <f t="shared" ca="1" si="3"/>
        <v>0</v>
      </c>
      <c r="K47" s="338">
        <f ca="1">SUMIF(PnL_Speadsheet!$E$3:$BL$3,K$14,PnL_Speadsheet!$E38:$BL38)/1000</f>
        <v>0</v>
      </c>
      <c r="L47" s="338">
        <f ca="1">SUMIF(PnL_Speadsheet!$E$3:$BL$3,L$14,PnL_Speadsheet!$E38:$BL38)/1000</f>
        <v>0</v>
      </c>
      <c r="M47" s="338">
        <f ca="1">SUMIF(PnL_Speadsheet!$E$3:$BL$3,M$14,PnL_Speadsheet!$E38:$BL38)/1000</f>
        <v>0</v>
      </c>
      <c r="N47" s="338">
        <f ca="1">SUMIF(PnL_Speadsheet!$E$3:$BL$3,N$14,PnL_Speadsheet!$E38:$BL38)/1000</f>
        <v>0</v>
      </c>
      <c r="O47" s="338">
        <f ca="1">SUMIF(PnL_Speadsheet!$E$3:$BL$3,O$14,PnL_Speadsheet!$E38:$BL38)/1000</f>
        <v>0</v>
      </c>
      <c r="P47" s="338">
        <f>SUMIF(PnL_Speadsheet!$E$3:$BL$3,P$14,PnL_Speadsheet!$E38:$BL38)/1000</f>
        <v>0</v>
      </c>
      <c r="Q47" s="339"/>
      <c r="S47" s="339"/>
      <c r="U47" s="359"/>
    </row>
    <row r="48" spans="6:21" s="306" customFormat="1" ht="14" x14ac:dyDescent="0.2">
      <c r="F48" s="330"/>
      <c r="G48" s="331"/>
      <c r="H48" s="363" t="s">
        <v>244</v>
      </c>
      <c r="I48" s="363"/>
      <c r="J48" s="368">
        <f t="shared" ca="1" si="3"/>
        <v>0</v>
      </c>
      <c r="K48" s="368">
        <f ca="1">SUMIF(PnL_Speadsheet!$E$3:$BL$3,K$14,PnL_Speadsheet!$E39:$BL39)/1000</f>
        <v>0</v>
      </c>
      <c r="L48" s="368">
        <f ca="1">SUMIF(PnL_Speadsheet!$E$3:$BL$3,L$14,PnL_Speadsheet!$E39:$BL39)/1000</f>
        <v>0</v>
      </c>
      <c r="M48" s="368">
        <f ca="1">SUMIF(PnL_Speadsheet!$E$3:$BL$3,M$14,PnL_Speadsheet!$E39:$BL39)/1000</f>
        <v>0</v>
      </c>
      <c r="N48" s="368">
        <f ca="1">SUMIF(PnL_Speadsheet!$E$3:$BL$3,N$14,PnL_Speadsheet!$E39:$BL39)/1000</f>
        <v>0</v>
      </c>
      <c r="O48" s="368">
        <f ca="1">SUMIF(PnL_Speadsheet!$E$3:$BL$3,O$14,PnL_Speadsheet!$E39:$BL39)/1000</f>
        <v>0</v>
      </c>
      <c r="P48" s="368">
        <f>SUMIF(PnL_Speadsheet!$E$3:$BL$3,P$14,PnL_Speadsheet!$E39:$BL39)/1000</f>
        <v>0</v>
      </c>
      <c r="Q48" s="339"/>
      <c r="S48" s="339"/>
      <c r="U48" s="359"/>
    </row>
    <row r="49" spans="6:22" ht="14" x14ac:dyDescent="0.2">
      <c r="F49" s="337"/>
      <c r="G49" s="328"/>
      <c r="H49" s="356" t="s">
        <v>455</v>
      </c>
      <c r="I49" s="356"/>
      <c r="J49" s="369">
        <f t="shared" ca="1" si="3"/>
        <v>0</v>
      </c>
      <c r="K49" s="369">
        <f t="shared" ref="K49:P49" ca="1" si="4">K23+K46+SUM(K41:K44)</f>
        <v>0</v>
      </c>
      <c r="L49" s="369">
        <f t="shared" ca="1" si="4"/>
        <v>0</v>
      </c>
      <c r="M49" s="369">
        <f t="shared" ca="1" si="4"/>
        <v>0</v>
      </c>
      <c r="N49" s="369">
        <f t="shared" ca="1" si="4"/>
        <v>0</v>
      </c>
      <c r="O49" s="369">
        <f t="shared" ca="1" si="4"/>
        <v>0</v>
      </c>
      <c r="P49" s="369">
        <f t="shared" si="4"/>
        <v>0</v>
      </c>
      <c r="Q49" s="340"/>
      <c r="S49" s="340"/>
      <c r="U49" s="370"/>
    </row>
    <row r="50" spans="6:22" x14ac:dyDescent="0.15">
      <c r="H50" s="370"/>
      <c r="I50" s="370"/>
      <c r="J50" s="370"/>
      <c r="K50" s="370"/>
      <c r="L50" s="370"/>
      <c r="M50" s="370"/>
      <c r="N50" s="370"/>
      <c r="O50" s="370"/>
      <c r="P50" s="370"/>
      <c r="Q50" s="370"/>
      <c r="R50" s="370"/>
      <c r="S50" s="370"/>
      <c r="T50" s="370"/>
      <c r="U50" s="370"/>
      <c r="V50" s="370"/>
    </row>
    <row r="51" spans="6:22" x14ac:dyDescent="0.15">
      <c r="H51" s="370"/>
      <c r="I51" s="370"/>
      <c r="J51" s="370"/>
      <c r="K51" s="370"/>
      <c r="L51" s="370"/>
      <c r="M51" s="370"/>
      <c r="N51" s="370"/>
      <c r="O51" s="370"/>
      <c r="P51" s="370"/>
      <c r="Q51" s="370"/>
      <c r="R51" s="370"/>
      <c r="S51" s="370"/>
      <c r="T51" s="370"/>
      <c r="U51" s="370"/>
      <c r="V51" s="370"/>
    </row>
    <row r="52" spans="6:22" x14ac:dyDescent="0.15">
      <c r="H52" s="370"/>
      <c r="I52" s="370"/>
      <c r="J52" s="370"/>
      <c r="K52" s="370"/>
      <c r="L52" s="370"/>
      <c r="M52" s="370"/>
      <c r="N52" s="370"/>
      <c r="O52" s="370"/>
      <c r="P52" s="370"/>
      <c r="Q52" s="370"/>
      <c r="R52" s="370"/>
      <c r="S52" s="370"/>
      <c r="T52" s="370"/>
      <c r="U52" s="370"/>
      <c r="V52" s="370"/>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0434E-FF5D-504D-8CDF-5182D675AB33}">
  <sheetPr>
    <tabColor theme="3" tint="0.499984740745262"/>
  </sheetPr>
  <dimension ref="A1:BM122"/>
  <sheetViews>
    <sheetView showGridLines="0" zoomScale="83" zoomScaleNormal="40" workbookViewId="0">
      <pane xSplit="4" ySplit="6" topLeftCell="E7"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1" outlineLevelRow="1" outlineLevelCol="1" x14ac:dyDescent="0.15"/>
  <cols>
    <col min="1" max="1" width="9" style="371" hidden="1" customWidth="1" outlineLevel="1"/>
    <col min="2" max="2" width="9.1640625" style="371" customWidth="1" collapsed="1"/>
    <col min="3" max="3" width="9.83203125" style="323" customWidth="1"/>
    <col min="4" max="4" width="22.1640625" style="372" customWidth="1"/>
    <col min="5" max="39" width="9.5" style="323" customWidth="1"/>
    <col min="40" max="16384" width="9" style="323"/>
  </cols>
  <sheetData>
    <row r="1" spans="1:65" x14ac:dyDescent="0.15">
      <c r="C1" s="323" t="str">
        <f>'Sales plan&amp; PnL'!H1</f>
        <v>DPD180+</v>
      </c>
      <c r="D1" s="372" t="s">
        <v>456</v>
      </c>
    </row>
    <row r="2" spans="1:65" x14ac:dyDescent="0.15">
      <c r="D2" s="372" t="s">
        <v>457</v>
      </c>
    </row>
    <row r="3" spans="1:65" x14ac:dyDescent="0.15">
      <c r="E3" s="320">
        <f t="shared" ref="E3:BL3" si="0">YEAR(E4)</f>
        <v>2025</v>
      </c>
      <c r="F3" s="320">
        <f t="shared" si="0"/>
        <v>2025</v>
      </c>
      <c r="G3" s="320">
        <f t="shared" si="0"/>
        <v>2025</v>
      </c>
      <c r="H3" s="320">
        <f t="shared" si="0"/>
        <v>2025</v>
      </c>
      <c r="I3" s="320">
        <f t="shared" si="0"/>
        <v>2025</v>
      </c>
      <c r="J3" s="320">
        <f t="shared" si="0"/>
        <v>2025</v>
      </c>
      <c r="K3" s="320">
        <f t="shared" si="0"/>
        <v>2025</v>
      </c>
      <c r="L3" s="320">
        <f t="shared" si="0"/>
        <v>2025</v>
      </c>
      <c r="M3" s="320">
        <f t="shared" si="0"/>
        <v>2025</v>
      </c>
      <c r="N3" s="320">
        <f t="shared" si="0"/>
        <v>2025</v>
      </c>
      <c r="O3" s="320">
        <f t="shared" si="0"/>
        <v>2025</v>
      </c>
      <c r="P3" s="320">
        <f t="shared" si="0"/>
        <v>2025</v>
      </c>
      <c r="Q3" s="320">
        <f t="shared" si="0"/>
        <v>2026</v>
      </c>
      <c r="R3" s="320">
        <f t="shared" si="0"/>
        <v>2026</v>
      </c>
      <c r="S3" s="320">
        <f t="shared" si="0"/>
        <v>2026</v>
      </c>
      <c r="T3" s="320">
        <f t="shared" si="0"/>
        <v>2026</v>
      </c>
      <c r="U3" s="320">
        <f t="shared" si="0"/>
        <v>2026</v>
      </c>
      <c r="V3" s="320">
        <f t="shared" si="0"/>
        <v>2026</v>
      </c>
      <c r="W3" s="320">
        <f t="shared" si="0"/>
        <v>2026</v>
      </c>
      <c r="X3" s="320">
        <f t="shared" si="0"/>
        <v>2026</v>
      </c>
      <c r="Y3" s="320">
        <f t="shared" si="0"/>
        <v>2026</v>
      </c>
      <c r="Z3" s="320">
        <f t="shared" si="0"/>
        <v>2026</v>
      </c>
      <c r="AA3" s="320">
        <f t="shared" si="0"/>
        <v>2026</v>
      </c>
      <c r="AB3" s="320">
        <f t="shared" si="0"/>
        <v>2026</v>
      </c>
      <c r="AC3" s="320">
        <f t="shared" si="0"/>
        <v>2027</v>
      </c>
      <c r="AD3" s="320">
        <f t="shared" si="0"/>
        <v>2027</v>
      </c>
      <c r="AE3" s="320">
        <f t="shared" si="0"/>
        <v>2027</v>
      </c>
      <c r="AF3" s="320">
        <f t="shared" si="0"/>
        <v>2027</v>
      </c>
      <c r="AG3" s="320">
        <f t="shared" si="0"/>
        <v>2027</v>
      </c>
      <c r="AH3" s="320">
        <f t="shared" si="0"/>
        <v>2027</v>
      </c>
      <c r="AI3" s="320">
        <f t="shared" si="0"/>
        <v>2027</v>
      </c>
      <c r="AJ3" s="320">
        <f t="shared" si="0"/>
        <v>2027</v>
      </c>
      <c r="AK3" s="320">
        <f t="shared" si="0"/>
        <v>2027</v>
      </c>
      <c r="AL3" s="320">
        <f t="shared" si="0"/>
        <v>2027</v>
      </c>
      <c r="AM3" s="320">
        <f t="shared" si="0"/>
        <v>2027</v>
      </c>
      <c r="AN3" s="320">
        <f t="shared" si="0"/>
        <v>2027</v>
      </c>
      <c r="AO3" s="320">
        <f t="shared" si="0"/>
        <v>2028</v>
      </c>
      <c r="AP3" s="320">
        <f t="shared" si="0"/>
        <v>2028</v>
      </c>
      <c r="AQ3" s="320">
        <f t="shared" si="0"/>
        <v>2028</v>
      </c>
      <c r="AR3" s="320">
        <f t="shared" si="0"/>
        <v>2028</v>
      </c>
      <c r="AS3" s="320">
        <f t="shared" si="0"/>
        <v>2028</v>
      </c>
      <c r="AT3" s="320">
        <f t="shared" si="0"/>
        <v>2028</v>
      </c>
      <c r="AU3" s="320">
        <f t="shared" si="0"/>
        <v>2028</v>
      </c>
      <c r="AV3" s="320">
        <f t="shared" si="0"/>
        <v>2028</v>
      </c>
      <c r="AW3" s="320">
        <f t="shared" si="0"/>
        <v>2028</v>
      </c>
      <c r="AX3" s="320">
        <f t="shared" si="0"/>
        <v>2028</v>
      </c>
      <c r="AY3" s="320">
        <f t="shared" si="0"/>
        <v>2028</v>
      </c>
      <c r="AZ3" s="320">
        <f t="shared" si="0"/>
        <v>2028</v>
      </c>
      <c r="BA3" s="320">
        <f t="shared" si="0"/>
        <v>2029</v>
      </c>
      <c r="BB3" s="320">
        <f t="shared" si="0"/>
        <v>2029</v>
      </c>
      <c r="BC3" s="320">
        <f t="shared" si="0"/>
        <v>2029</v>
      </c>
      <c r="BD3" s="320">
        <f t="shared" si="0"/>
        <v>2029</v>
      </c>
      <c r="BE3" s="320">
        <f t="shared" si="0"/>
        <v>2029</v>
      </c>
      <c r="BF3" s="320">
        <f t="shared" si="0"/>
        <v>2029</v>
      </c>
      <c r="BG3" s="320">
        <f t="shared" si="0"/>
        <v>2029</v>
      </c>
      <c r="BH3" s="320">
        <f t="shared" si="0"/>
        <v>2029</v>
      </c>
      <c r="BI3" s="320">
        <f t="shared" si="0"/>
        <v>2029</v>
      </c>
      <c r="BJ3" s="320">
        <f t="shared" si="0"/>
        <v>2029</v>
      </c>
      <c r="BK3" s="320">
        <f t="shared" si="0"/>
        <v>2029</v>
      </c>
      <c r="BL3" s="320">
        <f t="shared" si="0"/>
        <v>2029</v>
      </c>
    </row>
    <row r="4" spans="1:65" x14ac:dyDescent="0.15">
      <c r="D4" s="373" t="s">
        <v>438</v>
      </c>
      <c r="E4" s="374">
        <f>'Sales plan&amp; PnL'!J8</f>
        <v>45658</v>
      </c>
      <c r="F4" s="374">
        <f>'Sales plan&amp; PnL'!K8</f>
        <v>45716</v>
      </c>
      <c r="G4" s="374">
        <f>'Sales plan&amp; PnL'!L8</f>
        <v>45747</v>
      </c>
      <c r="H4" s="374">
        <f>'Sales plan&amp; PnL'!M8</f>
        <v>45777</v>
      </c>
      <c r="I4" s="374">
        <f>'Sales plan&amp; PnL'!N8</f>
        <v>45808</v>
      </c>
      <c r="J4" s="374">
        <f>'Sales plan&amp; PnL'!O8</f>
        <v>45838</v>
      </c>
      <c r="K4" s="374">
        <f>'Sales plan&amp; PnL'!P8</f>
        <v>45869</v>
      </c>
      <c r="L4" s="374">
        <f>'Sales plan&amp; PnL'!Q8</f>
        <v>45900</v>
      </c>
      <c r="M4" s="374">
        <f>'Sales plan&amp; PnL'!R8</f>
        <v>45930</v>
      </c>
      <c r="N4" s="374">
        <f>'Sales plan&amp; PnL'!S8</f>
        <v>45961</v>
      </c>
      <c r="O4" s="374">
        <f>'Sales plan&amp; PnL'!T8</f>
        <v>45991</v>
      </c>
      <c r="P4" s="374">
        <f>'Sales plan&amp; PnL'!U8</f>
        <v>46022</v>
      </c>
      <c r="Q4" s="374">
        <f>'Sales plan&amp; PnL'!V8</f>
        <v>46053</v>
      </c>
      <c r="R4" s="374">
        <f>'Sales plan&amp; PnL'!W8</f>
        <v>46081</v>
      </c>
      <c r="S4" s="374">
        <f>'Sales plan&amp; PnL'!X8</f>
        <v>46112</v>
      </c>
      <c r="T4" s="374">
        <f>'Sales plan&amp; PnL'!Y8</f>
        <v>46142</v>
      </c>
      <c r="U4" s="374">
        <f>'Sales plan&amp; PnL'!Z8</f>
        <v>46173</v>
      </c>
      <c r="V4" s="374">
        <f>'Sales plan&amp; PnL'!AA8</f>
        <v>46203</v>
      </c>
      <c r="W4" s="374">
        <f>'Sales plan&amp; PnL'!AB8</f>
        <v>46234</v>
      </c>
      <c r="X4" s="374">
        <f>'Sales plan&amp; PnL'!AC8</f>
        <v>46265</v>
      </c>
      <c r="Y4" s="374">
        <f>'Sales plan&amp; PnL'!AD8</f>
        <v>46295</v>
      </c>
      <c r="Z4" s="374">
        <f>'Sales plan&amp; PnL'!AE8</f>
        <v>46326</v>
      </c>
      <c r="AA4" s="374">
        <f>'Sales plan&amp; PnL'!AF8</f>
        <v>46356</v>
      </c>
      <c r="AB4" s="374">
        <f>'Sales plan&amp; PnL'!AG8</f>
        <v>46387</v>
      </c>
      <c r="AC4" s="374">
        <f>'Sales plan&amp; PnL'!AH8</f>
        <v>46418</v>
      </c>
      <c r="AD4" s="374">
        <f>'Sales plan&amp; PnL'!AI8</f>
        <v>46446</v>
      </c>
      <c r="AE4" s="374">
        <f>'Sales plan&amp; PnL'!AJ8</f>
        <v>46477</v>
      </c>
      <c r="AF4" s="374">
        <f>'Sales plan&amp; PnL'!AK8</f>
        <v>46507</v>
      </c>
      <c r="AG4" s="374">
        <f>'Sales plan&amp; PnL'!AL8</f>
        <v>46538</v>
      </c>
      <c r="AH4" s="374">
        <f>'Sales plan&amp; PnL'!AM8</f>
        <v>46568</v>
      </c>
      <c r="AI4" s="374">
        <f>'Sales plan&amp; PnL'!AN8</f>
        <v>46599</v>
      </c>
      <c r="AJ4" s="374">
        <f>'Sales plan&amp; PnL'!AO8</f>
        <v>46630</v>
      </c>
      <c r="AK4" s="374">
        <f>'Sales plan&amp; PnL'!AP8</f>
        <v>46660</v>
      </c>
      <c r="AL4" s="374">
        <f>'Sales plan&amp; PnL'!AQ8</f>
        <v>46691</v>
      </c>
      <c r="AM4" s="374">
        <f>'Sales plan&amp; PnL'!AR8</f>
        <v>46721</v>
      </c>
      <c r="AN4" s="374">
        <f>'Sales plan&amp; PnL'!AS8</f>
        <v>46752</v>
      </c>
      <c r="AO4" s="374">
        <f>'Sales plan&amp; PnL'!AT8</f>
        <v>46783</v>
      </c>
      <c r="AP4" s="374">
        <f>'Sales plan&amp; PnL'!AU8</f>
        <v>46812</v>
      </c>
      <c r="AQ4" s="374">
        <f>'Sales plan&amp; PnL'!AV8</f>
        <v>46843</v>
      </c>
      <c r="AR4" s="374">
        <f>'Sales plan&amp; PnL'!AW8</f>
        <v>46873</v>
      </c>
      <c r="AS4" s="374">
        <f>'Sales plan&amp; PnL'!AX8</f>
        <v>46904</v>
      </c>
      <c r="AT4" s="374">
        <f>'Sales plan&amp; PnL'!AY8</f>
        <v>46934</v>
      </c>
      <c r="AU4" s="374">
        <f>'Sales plan&amp; PnL'!AZ8</f>
        <v>46965</v>
      </c>
      <c r="AV4" s="374">
        <f>'Sales plan&amp; PnL'!BA8</f>
        <v>46996</v>
      </c>
      <c r="AW4" s="374">
        <f>'Sales plan&amp; PnL'!BB8</f>
        <v>47026</v>
      </c>
      <c r="AX4" s="374">
        <f>'Sales plan&amp; PnL'!BC8</f>
        <v>47057</v>
      </c>
      <c r="AY4" s="374">
        <f>'Sales plan&amp; PnL'!BD8</f>
        <v>47087</v>
      </c>
      <c r="AZ4" s="374">
        <f>'Sales plan&amp; PnL'!BE8</f>
        <v>47118</v>
      </c>
      <c r="BA4" s="374">
        <f>'Sales plan&amp; PnL'!BF8</f>
        <v>47149</v>
      </c>
      <c r="BB4" s="374">
        <f>'Sales plan&amp; PnL'!BG8</f>
        <v>47177</v>
      </c>
      <c r="BC4" s="374">
        <f>'Sales plan&amp; PnL'!BH8</f>
        <v>47208</v>
      </c>
      <c r="BD4" s="374">
        <f>'Sales plan&amp; PnL'!BI8</f>
        <v>47238</v>
      </c>
      <c r="BE4" s="374">
        <f>'Sales plan&amp; PnL'!BJ8</f>
        <v>47269</v>
      </c>
      <c r="BF4" s="374">
        <f>'Sales plan&amp; PnL'!BK8</f>
        <v>47299</v>
      </c>
      <c r="BG4" s="374">
        <f>'Sales plan&amp; PnL'!BL8</f>
        <v>47330</v>
      </c>
      <c r="BH4" s="374">
        <f>'Sales plan&amp; PnL'!BM8</f>
        <v>47361</v>
      </c>
      <c r="BI4" s="374">
        <f>'Sales plan&amp; PnL'!BN8</f>
        <v>47391</v>
      </c>
      <c r="BJ4" s="374">
        <f>'Sales plan&amp; PnL'!BO8</f>
        <v>47422</v>
      </c>
      <c r="BK4" s="374">
        <f>'Sales plan&amp; PnL'!BP8</f>
        <v>47452</v>
      </c>
      <c r="BL4" s="374">
        <f>'Sales plan&amp; PnL'!BQ8</f>
        <v>47483</v>
      </c>
    </row>
    <row r="5" spans="1:65" s="372" customFormat="1" outlineLevel="1" x14ac:dyDescent="0.15">
      <c r="A5" s="375"/>
      <c r="B5" s="375"/>
      <c r="D5" s="376" t="s">
        <v>458</v>
      </c>
      <c r="E5" s="376">
        <f>1</f>
        <v>1</v>
      </c>
      <c r="F5" s="376">
        <f t="shared" ref="F5:BK5" si="1">E5+1</f>
        <v>2</v>
      </c>
      <c r="G5" s="376">
        <f t="shared" si="1"/>
        <v>3</v>
      </c>
      <c r="H5" s="376">
        <f t="shared" si="1"/>
        <v>4</v>
      </c>
      <c r="I5" s="376">
        <f t="shared" si="1"/>
        <v>5</v>
      </c>
      <c r="J5" s="376">
        <f t="shared" si="1"/>
        <v>6</v>
      </c>
      <c r="K5" s="376">
        <f t="shared" si="1"/>
        <v>7</v>
      </c>
      <c r="L5" s="376">
        <f t="shared" si="1"/>
        <v>8</v>
      </c>
      <c r="M5" s="376">
        <f t="shared" si="1"/>
        <v>9</v>
      </c>
      <c r="N5" s="376">
        <f t="shared" si="1"/>
        <v>10</v>
      </c>
      <c r="O5" s="376">
        <f t="shared" si="1"/>
        <v>11</v>
      </c>
      <c r="P5" s="376">
        <f t="shared" si="1"/>
        <v>12</v>
      </c>
      <c r="Q5" s="376">
        <f t="shared" si="1"/>
        <v>13</v>
      </c>
      <c r="R5" s="376">
        <f t="shared" si="1"/>
        <v>14</v>
      </c>
      <c r="S5" s="376">
        <f t="shared" si="1"/>
        <v>15</v>
      </c>
      <c r="T5" s="376">
        <f t="shared" si="1"/>
        <v>16</v>
      </c>
      <c r="U5" s="376">
        <f t="shared" si="1"/>
        <v>17</v>
      </c>
      <c r="V5" s="376">
        <f t="shared" si="1"/>
        <v>18</v>
      </c>
      <c r="W5" s="376">
        <f t="shared" si="1"/>
        <v>19</v>
      </c>
      <c r="X5" s="376">
        <f t="shared" si="1"/>
        <v>20</v>
      </c>
      <c r="Y5" s="376">
        <f t="shared" si="1"/>
        <v>21</v>
      </c>
      <c r="Z5" s="376">
        <f t="shared" si="1"/>
        <v>22</v>
      </c>
      <c r="AA5" s="376">
        <f t="shared" si="1"/>
        <v>23</v>
      </c>
      <c r="AB5" s="376">
        <f t="shared" si="1"/>
        <v>24</v>
      </c>
      <c r="AC5" s="376">
        <f t="shared" si="1"/>
        <v>25</v>
      </c>
      <c r="AD5" s="376">
        <f t="shared" si="1"/>
        <v>26</v>
      </c>
      <c r="AE5" s="376">
        <f t="shared" si="1"/>
        <v>27</v>
      </c>
      <c r="AF5" s="376">
        <f t="shared" si="1"/>
        <v>28</v>
      </c>
      <c r="AG5" s="376">
        <f t="shared" si="1"/>
        <v>29</v>
      </c>
      <c r="AH5" s="376">
        <f t="shared" si="1"/>
        <v>30</v>
      </c>
      <c r="AI5" s="376">
        <f t="shared" si="1"/>
        <v>31</v>
      </c>
      <c r="AJ5" s="376">
        <f t="shared" si="1"/>
        <v>32</v>
      </c>
      <c r="AK5" s="376">
        <f t="shared" si="1"/>
        <v>33</v>
      </c>
      <c r="AL5" s="376">
        <f t="shared" si="1"/>
        <v>34</v>
      </c>
      <c r="AM5" s="376">
        <f t="shared" si="1"/>
        <v>35</v>
      </c>
      <c r="AN5" s="376">
        <f t="shared" si="1"/>
        <v>36</v>
      </c>
      <c r="AO5" s="376">
        <f t="shared" si="1"/>
        <v>37</v>
      </c>
      <c r="AP5" s="376">
        <f t="shared" si="1"/>
        <v>38</v>
      </c>
      <c r="AQ5" s="376">
        <f t="shared" si="1"/>
        <v>39</v>
      </c>
      <c r="AR5" s="376">
        <f t="shared" si="1"/>
        <v>40</v>
      </c>
      <c r="AS5" s="376">
        <f t="shared" si="1"/>
        <v>41</v>
      </c>
      <c r="AT5" s="376">
        <f t="shared" si="1"/>
        <v>42</v>
      </c>
      <c r="AU5" s="376">
        <f t="shared" si="1"/>
        <v>43</v>
      </c>
      <c r="AV5" s="376">
        <f t="shared" si="1"/>
        <v>44</v>
      </c>
      <c r="AW5" s="376">
        <f t="shared" si="1"/>
        <v>45</v>
      </c>
      <c r="AX5" s="376">
        <f t="shared" si="1"/>
        <v>46</v>
      </c>
      <c r="AY5" s="376">
        <f t="shared" si="1"/>
        <v>47</v>
      </c>
      <c r="AZ5" s="376">
        <f t="shared" si="1"/>
        <v>48</v>
      </c>
      <c r="BA5" s="376">
        <f t="shared" si="1"/>
        <v>49</v>
      </c>
      <c r="BB5" s="376">
        <f t="shared" si="1"/>
        <v>50</v>
      </c>
      <c r="BC5" s="376">
        <f t="shared" si="1"/>
        <v>51</v>
      </c>
      <c r="BD5" s="376">
        <f t="shared" si="1"/>
        <v>52</v>
      </c>
      <c r="BE5" s="376">
        <f t="shared" si="1"/>
        <v>53</v>
      </c>
      <c r="BF5" s="376">
        <f t="shared" si="1"/>
        <v>54</v>
      </c>
      <c r="BG5" s="376">
        <f t="shared" si="1"/>
        <v>55</v>
      </c>
      <c r="BH5" s="376">
        <f t="shared" si="1"/>
        <v>56</v>
      </c>
      <c r="BI5" s="376">
        <f t="shared" si="1"/>
        <v>57</v>
      </c>
      <c r="BJ5" s="376">
        <f t="shared" si="1"/>
        <v>58</v>
      </c>
      <c r="BK5" s="376">
        <f t="shared" si="1"/>
        <v>59</v>
      </c>
      <c r="BL5" s="376">
        <f>BK5+1</f>
        <v>60</v>
      </c>
    </row>
    <row r="6" spans="1:65" x14ac:dyDescent="0.15">
      <c r="D6" s="323" t="s">
        <v>459</v>
      </c>
    </row>
    <row r="7" spans="1:65" s="377" customFormat="1" x14ac:dyDescent="0.15">
      <c r="A7" s="375"/>
      <c r="B7" s="375"/>
      <c r="D7" s="377" t="s">
        <v>321</v>
      </c>
      <c r="E7" s="378" cm="1">
        <f t="array" aca="1" ref="E7" ca="1">SUMPRODUCT(E$63:E$122,TRANSPOSE(SAP_Spreadsheet!$G$172:$BN$172))</f>
        <v>0</v>
      </c>
      <c r="F7" s="378" cm="1">
        <f t="array" aca="1" ref="F7" ca="1">SUMPRODUCT(F$63:F$122,TRANSPOSE(SAP_Spreadsheet!$G$172:$BN$172))</f>
        <v>0</v>
      </c>
      <c r="G7" s="378" cm="1">
        <f t="array" aca="1" ref="G7" ca="1">SUMPRODUCT(G$63:G$122,TRANSPOSE(SAP_Spreadsheet!$G$172:$BN$172))</f>
        <v>0</v>
      </c>
      <c r="H7" s="378" cm="1">
        <f t="array" aca="1" ref="H7" ca="1">SUMPRODUCT(H$63:H$122,TRANSPOSE(SAP_Spreadsheet!$G$172:$BN$172))</f>
        <v>0</v>
      </c>
      <c r="I7" s="378" cm="1">
        <f t="array" aca="1" ref="I7" ca="1">SUMPRODUCT(I$63:I$122,TRANSPOSE(SAP_Spreadsheet!$G$172:$BN$172))</f>
        <v>0</v>
      </c>
      <c r="J7" s="378" cm="1">
        <f t="array" aca="1" ref="J7" ca="1">SUMPRODUCT(J$63:J$122,TRANSPOSE(SAP_Spreadsheet!$G$172:$BN$172))</f>
        <v>0</v>
      </c>
      <c r="K7" s="378" cm="1">
        <f t="array" aca="1" ref="K7" ca="1">SUMPRODUCT(K$63:K$122,TRANSPOSE(SAP_Spreadsheet!$G$172:$BN$172))</f>
        <v>0</v>
      </c>
      <c r="L7" s="378" cm="1">
        <f t="array" aca="1" ref="L7" ca="1">SUMPRODUCT(L$63:L$122,TRANSPOSE(SAP_Spreadsheet!$G$172:$BN$172))</f>
        <v>0</v>
      </c>
      <c r="M7" s="378" cm="1">
        <f t="array" aca="1" ref="M7" ca="1">SUMPRODUCT(M$63:M$122,TRANSPOSE(SAP_Spreadsheet!$G$172:$BN$172))</f>
        <v>0</v>
      </c>
      <c r="N7" s="378" cm="1">
        <f t="array" aca="1" ref="N7" ca="1">SUMPRODUCT(N$63:N$122,TRANSPOSE(SAP_Spreadsheet!$G$172:$BN$172))</f>
        <v>0</v>
      </c>
      <c r="O7" s="378" cm="1">
        <f t="array" aca="1" ref="O7" ca="1">SUMPRODUCT(O$63:O$122,TRANSPOSE(SAP_Spreadsheet!$G$172:$BN$172))</f>
        <v>0</v>
      </c>
      <c r="P7" s="378" cm="1">
        <f t="array" aca="1" ref="P7" ca="1">SUMPRODUCT(P$63:P$122,TRANSPOSE(SAP_Spreadsheet!$G$172:$BN$172))</f>
        <v>0</v>
      </c>
      <c r="Q7" s="378" cm="1">
        <f t="array" aca="1" ref="Q7" ca="1">SUMPRODUCT(Q$63:Q$122,TRANSPOSE(SAP_Spreadsheet!$G$172:$BN$172))</f>
        <v>0</v>
      </c>
      <c r="R7" s="378" cm="1">
        <f t="array" aca="1" ref="R7" ca="1">SUMPRODUCT(R$63:R$122,TRANSPOSE(SAP_Spreadsheet!$G$172:$BN$172))</f>
        <v>0</v>
      </c>
      <c r="S7" s="378" cm="1">
        <f t="array" aca="1" ref="S7" ca="1">SUMPRODUCT(S$63:S$122,TRANSPOSE(SAP_Spreadsheet!$G$172:$BN$172))</f>
        <v>0</v>
      </c>
      <c r="T7" s="378" cm="1">
        <f t="array" aca="1" ref="T7" ca="1">SUMPRODUCT(T$63:T$122,TRANSPOSE(SAP_Spreadsheet!$G$172:$BN$172))</f>
        <v>0</v>
      </c>
      <c r="U7" s="378" cm="1">
        <f t="array" aca="1" ref="U7" ca="1">SUMPRODUCT(U$63:U$122,TRANSPOSE(SAP_Spreadsheet!$G$172:$BN$172))</f>
        <v>0</v>
      </c>
      <c r="V7" s="378" cm="1">
        <f t="array" aca="1" ref="V7" ca="1">SUMPRODUCT(V$63:V$122,TRANSPOSE(SAP_Spreadsheet!$G$172:$BN$172))</f>
        <v>0</v>
      </c>
      <c r="W7" s="378" cm="1">
        <f t="array" aca="1" ref="W7" ca="1">SUMPRODUCT(W$63:W$122,TRANSPOSE(SAP_Spreadsheet!$G$172:$BN$172))</f>
        <v>0</v>
      </c>
      <c r="X7" s="378" cm="1">
        <f t="array" aca="1" ref="X7" ca="1">SUMPRODUCT(X$63:X$122,TRANSPOSE(SAP_Spreadsheet!$G$172:$BN$172))</f>
        <v>0</v>
      </c>
      <c r="Y7" s="378" cm="1">
        <f t="array" aca="1" ref="Y7" ca="1">SUMPRODUCT(Y$63:Y$122,TRANSPOSE(SAP_Spreadsheet!$G$172:$BN$172))</f>
        <v>0</v>
      </c>
      <c r="Z7" s="378" cm="1">
        <f t="array" aca="1" ref="Z7" ca="1">SUMPRODUCT(Z$63:Z$122,TRANSPOSE(SAP_Spreadsheet!$G$172:$BN$172))</f>
        <v>0</v>
      </c>
      <c r="AA7" s="378" cm="1">
        <f t="array" aca="1" ref="AA7" ca="1">SUMPRODUCT(AA$63:AA$122,TRANSPOSE(SAP_Spreadsheet!$G$172:$BN$172))</f>
        <v>0</v>
      </c>
      <c r="AB7" s="378" cm="1">
        <f t="array" aca="1" ref="AB7" ca="1">SUMPRODUCT(AB$63:AB$122,TRANSPOSE(SAP_Spreadsheet!$G$172:$BN$172))</f>
        <v>0</v>
      </c>
      <c r="AC7" s="378" cm="1">
        <f t="array" aca="1" ref="AC7" ca="1">SUMPRODUCT(AC$63:AC$122,TRANSPOSE(SAP_Spreadsheet!$G$172:$BN$172))</f>
        <v>0</v>
      </c>
      <c r="AD7" s="378" cm="1">
        <f t="array" aca="1" ref="AD7" ca="1">SUMPRODUCT(AD$63:AD$122,TRANSPOSE(SAP_Spreadsheet!$G$172:$BN$172))</f>
        <v>0</v>
      </c>
      <c r="AE7" s="378" cm="1">
        <f t="array" aca="1" ref="AE7" ca="1">SUMPRODUCT(AE$63:AE$122,TRANSPOSE(SAP_Spreadsheet!$G$172:$BN$172))</f>
        <v>0</v>
      </c>
      <c r="AF7" s="378" cm="1">
        <f t="array" aca="1" ref="AF7" ca="1">SUMPRODUCT(AF$63:AF$122,TRANSPOSE(SAP_Spreadsheet!$G$172:$BN$172))</f>
        <v>0</v>
      </c>
      <c r="AG7" s="378" cm="1">
        <f t="array" aca="1" ref="AG7" ca="1">SUMPRODUCT(AG$63:AG$122,TRANSPOSE(SAP_Spreadsheet!$G$172:$BN$172))</f>
        <v>0</v>
      </c>
      <c r="AH7" s="378" cm="1">
        <f t="array" aca="1" ref="AH7" ca="1">SUMPRODUCT(AH$63:AH$122,TRANSPOSE(SAP_Spreadsheet!$G$172:$BN$172))</f>
        <v>0</v>
      </c>
      <c r="AI7" s="378" cm="1">
        <f t="array" aca="1" ref="AI7" ca="1">SUMPRODUCT(AI$63:AI$122,TRANSPOSE(SAP_Spreadsheet!$G$172:$BN$172))</f>
        <v>0</v>
      </c>
      <c r="AJ7" s="378" cm="1">
        <f t="array" aca="1" ref="AJ7" ca="1">SUMPRODUCT(AJ$63:AJ$122,TRANSPOSE(SAP_Spreadsheet!$G$172:$BN$172))</f>
        <v>0</v>
      </c>
      <c r="AK7" s="378" cm="1">
        <f t="array" aca="1" ref="AK7" ca="1">SUMPRODUCT(AK$63:AK$122,TRANSPOSE(SAP_Spreadsheet!$G$172:$BN$172))</f>
        <v>0</v>
      </c>
      <c r="AL7" s="378" cm="1">
        <f t="array" aca="1" ref="AL7" ca="1">SUMPRODUCT(AL$63:AL$122,TRANSPOSE(SAP_Spreadsheet!$G$172:$BN$172))</f>
        <v>0</v>
      </c>
      <c r="AM7" s="378" cm="1">
        <f t="array" aca="1" ref="AM7" ca="1">SUMPRODUCT(AM$63:AM$122,TRANSPOSE(SAP_Spreadsheet!$G$172:$BN$172))</f>
        <v>0</v>
      </c>
      <c r="AN7" s="378" cm="1">
        <f t="array" aca="1" ref="AN7" ca="1">SUMPRODUCT(AN$63:AN$122,TRANSPOSE(SAP_Spreadsheet!$G$172:$BN$172))</f>
        <v>0</v>
      </c>
      <c r="AO7" s="378" cm="1">
        <f t="array" aca="1" ref="AO7" ca="1">SUMPRODUCT(AO$63:AO$122,TRANSPOSE(SAP_Spreadsheet!$G$172:$BN$172))</f>
        <v>0</v>
      </c>
      <c r="AP7" s="378" cm="1">
        <f t="array" aca="1" ref="AP7" ca="1">SUMPRODUCT(AP$63:AP$122,TRANSPOSE(SAP_Spreadsheet!$G$172:$BN$172))</f>
        <v>0</v>
      </c>
      <c r="AQ7" s="378" cm="1">
        <f t="array" aca="1" ref="AQ7" ca="1">SUMPRODUCT(AQ$63:AQ$122,TRANSPOSE(SAP_Spreadsheet!$G$172:$BN$172))</f>
        <v>0</v>
      </c>
      <c r="AR7" s="378" cm="1">
        <f t="array" aca="1" ref="AR7" ca="1">SUMPRODUCT(AR$63:AR$122,TRANSPOSE(SAP_Spreadsheet!$G$172:$BN$172))</f>
        <v>0</v>
      </c>
      <c r="AS7" s="378" cm="1">
        <f t="array" aca="1" ref="AS7" ca="1">SUMPRODUCT(AS$63:AS$122,TRANSPOSE(SAP_Spreadsheet!$G$172:$BN$172))</f>
        <v>0</v>
      </c>
      <c r="AT7" s="378" cm="1">
        <f t="array" aca="1" ref="AT7" ca="1">SUMPRODUCT(AT$63:AT$122,TRANSPOSE(SAP_Spreadsheet!$G$172:$BN$172))</f>
        <v>0</v>
      </c>
      <c r="AU7" s="378" cm="1">
        <f t="array" aca="1" ref="AU7" ca="1">SUMPRODUCT(AU$63:AU$122,TRANSPOSE(SAP_Spreadsheet!$G$172:$BN$172))</f>
        <v>0</v>
      </c>
      <c r="AV7" s="378" cm="1">
        <f t="array" aca="1" ref="AV7" ca="1">SUMPRODUCT(AV$63:AV$122,TRANSPOSE(SAP_Spreadsheet!$G$172:$BN$172))</f>
        <v>0</v>
      </c>
      <c r="AW7" s="378" cm="1">
        <f t="array" aca="1" ref="AW7" ca="1">SUMPRODUCT(AW$63:AW$122,TRANSPOSE(SAP_Spreadsheet!$G$172:$BN$172))</f>
        <v>0</v>
      </c>
      <c r="AX7" s="378" cm="1">
        <f t="array" aca="1" ref="AX7" ca="1">SUMPRODUCT(AX$63:AX$122,TRANSPOSE(SAP_Spreadsheet!$G$172:$BN$172))</f>
        <v>0</v>
      </c>
      <c r="AY7" s="378" cm="1">
        <f t="array" aca="1" ref="AY7" ca="1">SUMPRODUCT(AY$63:AY$122,TRANSPOSE(SAP_Spreadsheet!$G$172:$BN$172))</f>
        <v>0</v>
      </c>
      <c r="AZ7" s="378" cm="1">
        <f t="array" aca="1" ref="AZ7" ca="1">SUMPRODUCT(AZ$63:AZ$122,TRANSPOSE(SAP_Spreadsheet!$G$172:$BN$172))</f>
        <v>0</v>
      </c>
      <c r="BA7" s="378" cm="1">
        <f t="array" aca="1" ref="BA7" ca="1">SUMPRODUCT(BA$63:BA$122,TRANSPOSE(SAP_Spreadsheet!$G$172:$BN$172))</f>
        <v>0</v>
      </c>
      <c r="BB7" s="378" cm="1">
        <f t="array" aca="1" ref="BB7" ca="1">SUMPRODUCT(BB$63:BB$122,TRANSPOSE(SAP_Spreadsheet!$G$172:$BN$172))</f>
        <v>0</v>
      </c>
      <c r="BC7" s="378" cm="1">
        <f t="array" aca="1" ref="BC7" ca="1">SUMPRODUCT(BC$63:BC$122,TRANSPOSE(SAP_Spreadsheet!$G$172:$BN$172))</f>
        <v>0</v>
      </c>
      <c r="BD7" s="378" cm="1">
        <f t="array" aca="1" ref="BD7" ca="1">SUMPRODUCT(BD$63:BD$122,TRANSPOSE(SAP_Spreadsheet!$G$172:$BN$172))</f>
        <v>0</v>
      </c>
      <c r="BE7" s="378" cm="1">
        <f t="array" aca="1" ref="BE7" ca="1">SUMPRODUCT(BE$63:BE$122,TRANSPOSE(SAP_Spreadsheet!$G$172:$BN$172))</f>
        <v>0</v>
      </c>
      <c r="BF7" s="378" cm="1">
        <f t="array" aca="1" ref="BF7" ca="1">SUMPRODUCT(BF$63:BF$122,TRANSPOSE(SAP_Spreadsheet!$G$172:$BN$172))</f>
        <v>0</v>
      </c>
      <c r="BG7" s="378" cm="1">
        <f t="array" aca="1" ref="BG7" ca="1">SUMPRODUCT(BG$63:BG$122,TRANSPOSE(SAP_Spreadsheet!$G$172:$BN$172))</f>
        <v>0</v>
      </c>
      <c r="BH7" s="378" cm="1">
        <f t="array" aca="1" ref="BH7" ca="1">SUMPRODUCT(BH$63:BH$122,TRANSPOSE(SAP_Spreadsheet!$G$172:$BN$172))</f>
        <v>0</v>
      </c>
      <c r="BI7" s="378" cm="1">
        <f t="array" aca="1" ref="BI7" ca="1">SUMPRODUCT(BI$63:BI$122,TRANSPOSE(SAP_Spreadsheet!$G$172:$BN$172))</f>
        <v>0</v>
      </c>
      <c r="BJ7" s="378" cm="1">
        <f t="array" aca="1" ref="BJ7" ca="1">SUMPRODUCT(BJ$63:BJ$122,TRANSPOSE(SAP_Spreadsheet!$G$172:$BN$172))</f>
        <v>0</v>
      </c>
      <c r="BK7" s="378" cm="1">
        <f t="array" aca="1" ref="BK7" ca="1">SUMPRODUCT(BK$63:BK$122,TRANSPOSE(SAP_Spreadsheet!$G$172:$BN$172))</f>
        <v>0</v>
      </c>
      <c r="BL7" s="378" cm="1">
        <f t="array" aca="1" ref="BL7" ca="1">SUMPRODUCT(BL$63:BL$122,TRANSPOSE(SAP_Spreadsheet!$G$172:$BN$172))</f>
        <v>0</v>
      </c>
      <c r="BM7" s="378"/>
    </row>
    <row r="8" spans="1:65" s="377" customFormat="1" x14ac:dyDescent="0.15">
      <c r="A8" s="375"/>
      <c r="B8" s="375"/>
      <c r="D8" s="377" t="s">
        <v>158</v>
      </c>
      <c r="E8" s="378" cm="1">
        <f t="array" aca="1" ref="E8" ca="1">SUMPRODUCT(E$63:E$122,TRANSPOSE(SAP_Spreadsheet!$G$202:$BN$202))</f>
        <v>0</v>
      </c>
      <c r="F8" s="378" cm="1">
        <f t="array" aca="1" ref="F8" ca="1">SUMPRODUCT(F$63:F$122,TRANSPOSE(SAP_Spreadsheet!$G$202:$BN$202))</f>
        <v>0</v>
      </c>
      <c r="G8" s="378" cm="1">
        <f t="array" aca="1" ref="G8" ca="1">SUMPRODUCT(G$63:G$122,TRANSPOSE(SAP_Spreadsheet!$G$202:$BN$202))</f>
        <v>0</v>
      </c>
      <c r="H8" s="378" cm="1">
        <f t="array" aca="1" ref="H8" ca="1">SUMPRODUCT(H$63:H$122,TRANSPOSE(SAP_Spreadsheet!$G$202:$BN$202))</f>
        <v>0</v>
      </c>
      <c r="I8" s="378" cm="1">
        <f t="array" aca="1" ref="I8" ca="1">SUMPRODUCT(I$63:I$122,TRANSPOSE(SAP_Spreadsheet!$G$202:$BN$202))</f>
        <v>0</v>
      </c>
      <c r="J8" s="378" cm="1">
        <f t="array" aca="1" ref="J8" ca="1">SUMPRODUCT(J$63:J$122,TRANSPOSE(SAP_Spreadsheet!$G$202:$BN$202))</f>
        <v>0</v>
      </c>
      <c r="K8" s="378" cm="1">
        <f t="array" aca="1" ref="K8" ca="1">SUMPRODUCT(K$63:K$122,TRANSPOSE(SAP_Spreadsheet!$G$202:$BN$202))</f>
        <v>0</v>
      </c>
      <c r="L8" s="378" cm="1">
        <f t="array" aca="1" ref="L8" ca="1">SUMPRODUCT(L$63:L$122,TRANSPOSE(SAP_Spreadsheet!$G$202:$BN$202))</f>
        <v>0</v>
      </c>
      <c r="M8" s="378" cm="1">
        <f t="array" aca="1" ref="M8" ca="1">SUMPRODUCT(M$63:M$122,TRANSPOSE(SAP_Spreadsheet!$G$202:$BN$202))</f>
        <v>0</v>
      </c>
      <c r="N8" s="378" cm="1">
        <f t="array" aca="1" ref="N8" ca="1">SUMPRODUCT(N$63:N$122,TRANSPOSE(SAP_Spreadsheet!$G$202:$BN$202))</f>
        <v>0</v>
      </c>
      <c r="O8" s="378" cm="1">
        <f t="array" aca="1" ref="O8" ca="1">SUMPRODUCT(O$63:O$122,TRANSPOSE(SAP_Spreadsheet!$G$202:$BN$202))</f>
        <v>0</v>
      </c>
      <c r="P8" s="378" cm="1">
        <f t="array" aca="1" ref="P8" ca="1">SUMPRODUCT(P$63:P$122,TRANSPOSE(SAP_Spreadsheet!$G$202:$BN$202))</f>
        <v>0</v>
      </c>
      <c r="Q8" s="378" cm="1">
        <f t="array" aca="1" ref="Q8" ca="1">SUMPRODUCT(Q$63:Q$122,TRANSPOSE(SAP_Spreadsheet!$G$202:$BN$202))</f>
        <v>0</v>
      </c>
      <c r="R8" s="378" cm="1">
        <f t="array" aca="1" ref="R8" ca="1">SUMPRODUCT(R$63:R$122,TRANSPOSE(SAP_Spreadsheet!$G$202:$BN$202))</f>
        <v>0</v>
      </c>
      <c r="S8" s="378" cm="1">
        <f t="array" aca="1" ref="S8" ca="1">SUMPRODUCT(S$63:S$122,TRANSPOSE(SAP_Spreadsheet!$G$202:$BN$202))</f>
        <v>0</v>
      </c>
      <c r="T8" s="378" cm="1">
        <f t="array" aca="1" ref="T8" ca="1">SUMPRODUCT(T$63:T$122,TRANSPOSE(SAP_Spreadsheet!$G$202:$BN$202))</f>
        <v>0</v>
      </c>
      <c r="U8" s="378" cm="1">
        <f t="array" aca="1" ref="U8" ca="1">SUMPRODUCT(U$63:U$122,TRANSPOSE(SAP_Spreadsheet!$G$202:$BN$202))</f>
        <v>0</v>
      </c>
      <c r="V8" s="378" cm="1">
        <f t="array" aca="1" ref="V8" ca="1">SUMPRODUCT(V$63:V$122,TRANSPOSE(SAP_Spreadsheet!$G$202:$BN$202))</f>
        <v>0</v>
      </c>
      <c r="W8" s="378" cm="1">
        <f t="array" aca="1" ref="W8" ca="1">SUMPRODUCT(W$63:W$122,TRANSPOSE(SAP_Spreadsheet!$G$202:$BN$202))</f>
        <v>0</v>
      </c>
      <c r="X8" s="378" cm="1">
        <f t="array" aca="1" ref="X8" ca="1">SUMPRODUCT(X$63:X$122,TRANSPOSE(SAP_Spreadsheet!$G$202:$BN$202))</f>
        <v>0</v>
      </c>
      <c r="Y8" s="378" cm="1">
        <f t="array" aca="1" ref="Y8" ca="1">SUMPRODUCT(Y$63:Y$122,TRANSPOSE(SAP_Spreadsheet!$G$202:$BN$202))</f>
        <v>0</v>
      </c>
      <c r="Z8" s="378" cm="1">
        <f t="array" aca="1" ref="Z8" ca="1">SUMPRODUCT(Z$63:Z$122,TRANSPOSE(SAP_Spreadsheet!$G$202:$BN$202))</f>
        <v>0</v>
      </c>
      <c r="AA8" s="378" cm="1">
        <f t="array" aca="1" ref="AA8" ca="1">SUMPRODUCT(AA$63:AA$122,TRANSPOSE(SAP_Spreadsheet!$G$202:$BN$202))</f>
        <v>0</v>
      </c>
      <c r="AB8" s="378" cm="1">
        <f t="array" aca="1" ref="AB8" ca="1">SUMPRODUCT(AB$63:AB$122,TRANSPOSE(SAP_Spreadsheet!$G$202:$BN$202))</f>
        <v>0</v>
      </c>
      <c r="AC8" s="378" cm="1">
        <f t="array" aca="1" ref="AC8" ca="1">SUMPRODUCT(AC$63:AC$122,TRANSPOSE(SAP_Spreadsheet!$G$202:$BN$202))</f>
        <v>0</v>
      </c>
      <c r="AD8" s="378" cm="1">
        <f t="array" aca="1" ref="AD8" ca="1">SUMPRODUCT(AD$63:AD$122,TRANSPOSE(SAP_Spreadsheet!$G$202:$BN$202))</f>
        <v>0</v>
      </c>
      <c r="AE8" s="378" cm="1">
        <f t="array" aca="1" ref="AE8" ca="1">SUMPRODUCT(AE$63:AE$122,TRANSPOSE(SAP_Spreadsheet!$G$202:$BN$202))</f>
        <v>0</v>
      </c>
      <c r="AF8" s="378" cm="1">
        <f t="array" aca="1" ref="AF8" ca="1">SUMPRODUCT(AF$63:AF$122,TRANSPOSE(SAP_Spreadsheet!$G$202:$BN$202))</f>
        <v>0</v>
      </c>
      <c r="AG8" s="378" cm="1">
        <f t="array" aca="1" ref="AG8" ca="1">SUMPRODUCT(AG$63:AG$122,TRANSPOSE(SAP_Spreadsheet!$G$202:$BN$202))</f>
        <v>0</v>
      </c>
      <c r="AH8" s="378" cm="1">
        <f t="array" aca="1" ref="AH8" ca="1">SUMPRODUCT(AH$63:AH$122,TRANSPOSE(SAP_Spreadsheet!$G$202:$BN$202))</f>
        <v>0</v>
      </c>
      <c r="AI8" s="378" cm="1">
        <f t="array" aca="1" ref="AI8" ca="1">SUMPRODUCT(AI$63:AI$122,TRANSPOSE(SAP_Spreadsheet!$G$202:$BN$202))</f>
        <v>0</v>
      </c>
      <c r="AJ8" s="378" cm="1">
        <f t="array" aca="1" ref="AJ8" ca="1">SUMPRODUCT(AJ$63:AJ$122,TRANSPOSE(SAP_Spreadsheet!$G$202:$BN$202))</f>
        <v>0</v>
      </c>
      <c r="AK8" s="378" cm="1">
        <f t="array" aca="1" ref="AK8" ca="1">SUMPRODUCT(AK$63:AK$122,TRANSPOSE(SAP_Spreadsheet!$G$202:$BN$202))</f>
        <v>0</v>
      </c>
      <c r="AL8" s="378" cm="1">
        <f t="array" aca="1" ref="AL8" ca="1">SUMPRODUCT(AL$63:AL$122,TRANSPOSE(SAP_Spreadsheet!$G$202:$BN$202))</f>
        <v>0</v>
      </c>
      <c r="AM8" s="378" cm="1">
        <f t="array" aca="1" ref="AM8" ca="1">SUMPRODUCT(AM$63:AM$122,TRANSPOSE(SAP_Spreadsheet!$G$202:$BN$202))</f>
        <v>0</v>
      </c>
      <c r="AN8" s="378" cm="1">
        <f t="array" aca="1" ref="AN8" ca="1">SUMPRODUCT(AN$63:AN$122,TRANSPOSE(SAP_Spreadsheet!$G$202:$BN$202))</f>
        <v>0</v>
      </c>
      <c r="AO8" s="378" cm="1">
        <f t="array" aca="1" ref="AO8" ca="1">SUMPRODUCT(AO$63:AO$122,TRANSPOSE(SAP_Spreadsheet!$G$202:$BN$202))</f>
        <v>0</v>
      </c>
      <c r="AP8" s="378" cm="1">
        <f t="array" aca="1" ref="AP8" ca="1">SUMPRODUCT(AP$63:AP$122,TRANSPOSE(SAP_Spreadsheet!$G$202:$BN$202))</f>
        <v>0</v>
      </c>
      <c r="AQ8" s="378" cm="1">
        <f t="array" aca="1" ref="AQ8" ca="1">SUMPRODUCT(AQ$63:AQ$122,TRANSPOSE(SAP_Spreadsheet!$G$202:$BN$202))</f>
        <v>0</v>
      </c>
      <c r="AR8" s="378" cm="1">
        <f t="array" aca="1" ref="AR8" ca="1">SUMPRODUCT(AR$63:AR$122,TRANSPOSE(SAP_Spreadsheet!$G$202:$BN$202))</f>
        <v>0</v>
      </c>
      <c r="AS8" s="378" cm="1">
        <f t="array" aca="1" ref="AS8" ca="1">SUMPRODUCT(AS$63:AS$122,TRANSPOSE(SAP_Spreadsheet!$G$202:$BN$202))</f>
        <v>0</v>
      </c>
      <c r="AT8" s="378" cm="1">
        <f t="array" aca="1" ref="AT8" ca="1">SUMPRODUCT(AT$63:AT$122,TRANSPOSE(SAP_Spreadsheet!$G$202:$BN$202))</f>
        <v>0</v>
      </c>
      <c r="AU8" s="378" cm="1">
        <f t="array" aca="1" ref="AU8" ca="1">SUMPRODUCT(AU$63:AU$122,TRANSPOSE(SAP_Spreadsheet!$G$202:$BN$202))</f>
        <v>0</v>
      </c>
      <c r="AV8" s="378" cm="1">
        <f t="array" aca="1" ref="AV8" ca="1">SUMPRODUCT(AV$63:AV$122,TRANSPOSE(SAP_Spreadsheet!$G$202:$BN$202))</f>
        <v>0</v>
      </c>
      <c r="AW8" s="378" cm="1">
        <f t="array" aca="1" ref="AW8" ca="1">SUMPRODUCT(AW$63:AW$122,TRANSPOSE(SAP_Spreadsheet!$G$202:$BN$202))</f>
        <v>0</v>
      </c>
      <c r="AX8" s="378" cm="1">
        <f t="array" aca="1" ref="AX8" ca="1">SUMPRODUCT(AX$63:AX$122,TRANSPOSE(SAP_Spreadsheet!$G$202:$BN$202))</f>
        <v>0</v>
      </c>
      <c r="AY8" s="378" cm="1">
        <f t="array" aca="1" ref="AY8" ca="1">SUMPRODUCT(AY$63:AY$122,TRANSPOSE(SAP_Spreadsheet!$G$202:$BN$202))</f>
        <v>0</v>
      </c>
      <c r="AZ8" s="378" cm="1">
        <f t="array" aca="1" ref="AZ8" ca="1">SUMPRODUCT(AZ$63:AZ$122,TRANSPOSE(SAP_Spreadsheet!$G$202:$BN$202))</f>
        <v>0</v>
      </c>
      <c r="BA8" s="378" cm="1">
        <f t="array" aca="1" ref="BA8" ca="1">SUMPRODUCT(BA$63:BA$122,TRANSPOSE(SAP_Spreadsheet!$G$202:$BN$202))</f>
        <v>0</v>
      </c>
      <c r="BB8" s="378" cm="1">
        <f t="array" aca="1" ref="BB8" ca="1">SUMPRODUCT(BB$63:BB$122,TRANSPOSE(SAP_Spreadsheet!$G$202:$BN$202))</f>
        <v>0</v>
      </c>
      <c r="BC8" s="378" cm="1">
        <f t="array" aca="1" ref="BC8" ca="1">SUMPRODUCT(BC$63:BC$122,TRANSPOSE(SAP_Spreadsheet!$G$202:$BN$202))</f>
        <v>0</v>
      </c>
      <c r="BD8" s="378" cm="1">
        <f t="array" aca="1" ref="BD8" ca="1">SUMPRODUCT(BD$63:BD$122,TRANSPOSE(SAP_Spreadsheet!$G$202:$BN$202))</f>
        <v>0</v>
      </c>
      <c r="BE8" s="378" cm="1">
        <f t="array" aca="1" ref="BE8" ca="1">SUMPRODUCT(BE$63:BE$122,TRANSPOSE(SAP_Spreadsheet!$G$202:$BN$202))</f>
        <v>0</v>
      </c>
      <c r="BF8" s="378" cm="1">
        <f t="array" aca="1" ref="BF8" ca="1">SUMPRODUCT(BF$63:BF$122,TRANSPOSE(SAP_Spreadsheet!$G$202:$BN$202))</f>
        <v>0</v>
      </c>
      <c r="BG8" s="378" cm="1">
        <f t="array" aca="1" ref="BG8" ca="1">SUMPRODUCT(BG$63:BG$122,TRANSPOSE(SAP_Spreadsheet!$G$202:$BN$202))</f>
        <v>0</v>
      </c>
      <c r="BH8" s="378" cm="1">
        <f t="array" aca="1" ref="BH8" ca="1">SUMPRODUCT(BH$63:BH$122,TRANSPOSE(SAP_Spreadsheet!$G$202:$BN$202))</f>
        <v>0</v>
      </c>
      <c r="BI8" s="378" cm="1">
        <f t="array" aca="1" ref="BI8" ca="1">SUMPRODUCT(BI$63:BI$122,TRANSPOSE(SAP_Spreadsheet!$G$202:$BN$202))</f>
        <v>0</v>
      </c>
      <c r="BJ8" s="378" cm="1">
        <f t="array" aca="1" ref="BJ8" ca="1">SUMPRODUCT(BJ$63:BJ$122,TRANSPOSE(SAP_Spreadsheet!$G$202:$BN$202))</f>
        <v>0</v>
      </c>
      <c r="BK8" s="378" cm="1">
        <f t="array" aca="1" ref="BK8" ca="1">SUMPRODUCT(BK$63:BK$122,TRANSPOSE(SAP_Spreadsheet!$G$202:$BN$202))</f>
        <v>0</v>
      </c>
      <c r="BL8" s="378" cm="1">
        <f t="array" aca="1" ref="BL8" ca="1">SUMPRODUCT(BL$63:BL$122,TRANSPOSE(SAP_Spreadsheet!$G$202:$BN$202))</f>
        <v>0</v>
      </c>
      <c r="BM8" s="378"/>
    </row>
    <row r="9" spans="1:65" s="377" customFormat="1" x14ac:dyDescent="0.15">
      <c r="A9" s="375"/>
      <c r="B9" s="375"/>
      <c r="D9" s="377" t="s">
        <v>159</v>
      </c>
      <c r="E9" s="378">
        <f t="array" aca="1" ref="E9" ca="1">SUMPRODUCT(E$63:E$122,TRANSPOSE(SAP_Spreadsheet!$G$239:$BN$239))</f>
        <v>0</v>
      </c>
      <c r="F9" s="378">
        <f t="array" aca="1" ref="F9" ca="1">SUMPRODUCT(F$63:F$122,TRANSPOSE(SAP_Spreadsheet!$G$239:$BN$239))</f>
        <v>0</v>
      </c>
      <c r="G9" s="378">
        <f t="array" aca="1" ref="G9" ca="1">SUMPRODUCT(G$63:G$122,TRANSPOSE(SAP_Spreadsheet!$G$239:$BN$239))</f>
        <v>0</v>
      </c>
      <c r="H9" s="378">
        <f t="array" aca="1" ref="H9" ca="1">SUMPRODUCT(H$63:H$122,TRANSPOSE(SAP_Spreadsheet!$G$239:$BN$239))</f>
        <v>0</v>
      </c>
      <c r="I9" s="378">
        <f t="array" aca="1" ref="I9" ca="1">SUMPRODUCT(I$63:I$122,TRANSPOSE(SAP_Spreadsheet!$G$239:$BN$239))</f>
        <v>0</v>
      </c>
      <c r="J9" s="378">
        <f t="array" aca="1" ref="J9" ca="1">SUMPRODUCT(J$63:J$122,TRANSPOSE(SAP_Spreadsheet!$G$239:$BN$239))</f>
        <v>0</v>
      </c>
      <c r="K9" s="378">
        <f t="array" aca="1" ref="K9" ca="1">SUMPRODUCT(K$63:K$122,TRANSPOSE(SAP_Spreadsheet!$G$239:$BN$239))</f>
        <v>0</v>
      </c>
      <c r="L9" s="378">
        <f t="array" aca="1" ref="L9" ca="1">SUMPRODUCT(L$63:L$122,TRANSPOSE(SAP_Spreadsheet!$G$239:$BN$239))</f>
        <v>0</v>
      </c>
      <c r="M9" s="378">
        <f t="array" aca="1" ref="M9" ca="1">SUMPRODUCT(M$63:M$122,TRANSPOSE(SAP_Spreadsheet!$G$239:$BN$239))</f>
        <v>0</v>
      </c>
      <c r="N9" s="378">
        <f t="array" aca="1" ref="N9" ca="1">SUMPRODUCT(N$63:N$122,TRANSPOSE(SAP_Spreadsheet!$G$239:$BN$239))</f>
        <v>0</v>
      </c>
      <c r="O9" s="378">
        <f t="array" aca="1" ref="O9" ca="1">SUMPRODUCT(O$63:O$122,TRANSPOSE(SAP_Spreadsheet!$G$239:$BN$239))</f>
        <v>0</v>
      </c>
      <c r="P9" s="378">
        <f t="array" aca="1" ref="P9" ca="1">SUMPRODUCT(P$63:P$122,TRANSPOSE(SAP_Spreadsheet!$G$239:$BN$239))</f>
        <v>0</v>
      </c>
      <c r="Q9" s="378">
        <f t="array" aca="1" ref="Q9" ca="1">SUMPRODUCT(Q$63:Q$122,TRANSPOSE(SAP_Spreadsheet!$G$239:$BN$239))</f>
        <v>0</v>
      </c>
      <c r="R9" s="378">
        <f t="array" aca="1" ref="R9" ca="1">SUMPRODUCT(R$63:R$122,TRANSPOSE(SAP_Spreadsheet!$G$239:$BN$239))</f>
        <v>0</v>
      </c>
      <c r="S9" s="378">
        <f t="array" aca="1" ref="S9" ca="1">SUMPRODUCT(S$63:S$122,TRANSPOSE(SAP_Spreadsheet!$G$239:$BN$239))</f>
        <v>0</v>
      </c>
      <c r="T9" s="378">
        <f t="array" aca="1" ref="T9" ca="1">SUMPRODUCT(T$63:T$122,TRANSPOSE(SAP_Spreadsheet!$G$239:$BN$239))</f>
        <v>0</v>
      </c>
      <c r="U9" s="378">
        <f t="array" aca="1" ref="U9" ca="1">SUMPRODUCT(U$63:U$122,TRANSPOSE(SAP_Spreadsheet!$G$239:$BN$239))</f>
        <v>0</v>
      </c>
      <c r="V9" s="378">
        <f t="array" aca="1" ref="V9" ca="1">SUMPRODUCT(V$63:V$122,TRANSPOSE(SAP_Spreadsheet!$G$239:$BN$239))</f>
        <v>0</v>
      </c>
      <c r="W9" s="378">
        <f t="array" aca="1" ref="W9" ca="1">SUMPRODUCT(W$63:W$122,TRANSPOSE(SAP_Spreadsheet!$G$239:$BN$239))</f>
        <v>0</v>
      </c>
      <c r="X9" s="378">
        <f t="array" aca="1" ref="X9" ca="1">SUMPRODUCT(X$63:X$122,TRANSPOSE(SAP_Spreadsheet!$G$239:$BN$239))</f>
        <v>0</v>
      </c>
      <c r="Y9" s="378">
        <f t="array" aca="1" ref="Y9" ca="1">SUMPRODUCT(Y$63:Y$122,TRANSPOSE(SAP_Spreadsheet!$G$239:$BN$239))</f>
        <v>0</v>
      </c>
      <c r="Z9" s="378">
        <f t="array" aca="1" ref="Z9" ca="1">SUMPRODUCT(Z$63:Z$122,TRANSPOSE(SAP_Spreadsheet!$G$239:$BN$239))</f>
        <v>0</v>
      </c>
      <c r="AA9" s="378">
        <f t="array" aca="1" ref="AA9" ca="1">SUMPRODUCT(AA$63:AA$122,TRANSPOSE(SAP_Spreadsheet!$G$239:$BN$239))</f>
        <v>0</v>
      </c>
      <c r="AB9" s="378">
        <f t="array" aca="1" ref="AB9" ca="1">SUMPRODUCT(AB$63:AB$122,TRANSPOSE(SAP_Spreadsheet!$G$239:$BN$239))</f>
        <v>0</v>
      </c>
      <c r="AC9" s="378">
        <f t="array" aca="1" ref="AC9" ca="1">SUMPRODUCT(AC$63:AC$122,TRANSPOSE(SAP_Spreadsheet!$G$239:$BN$239))</f>
        <v>0</v>
      </c>
      <c r="AD9" s="378">
        <f t="array" aca="1" ref="AD9" ca="1">SUMPRODUCT(AD$63:AD$122,TRANSPOSE(SAP_Spreadsheet!$G$239:$BN$239))</f>
        <v>0</v>
      </c>
      <c r="AE9" s="378">
        <f t="array" aca="1" ref="AE9" ca="1">SUMPRODUCT(AE$63:AE$122,TRANSPOSE(SAP_Spreadsheet!$G$239:$BN$239))</f>
        <v>0</v>
      </c>
      <c r="AF9" s="378">
        <f t="array" aca="1" ref="AF9" ca="1">SUMPRODUCT(AF$63:AF$122,TRANSPOSE(SAP_Spreadsheet!$G$239:$BN$239))</f>
        <v>0</v>
      </c>
      <c r="AG9" s="378">
        <f t="array" aca="1" ref="AG9" ca="1">SUMPRODUCT(AG$63:AG$122,TRANSPOSE(SAP_Spreadsheet!$G$239:$BN$239))</f>
        <v>0</v>
      </c>
      <c r="AH9" s="378">
        <f t="array" aca="1" ref="AH9" ca="1">SUMPRODUCT(AH$63:AH$122,TRANSPOSE(SAP_Spreadsheet!$G$239:$BN$239))</f>
        <v>0</v>
      </c>
      <c r="AI9" s="378">
        <f t="array" aca="1" ref="AI9" ca="1">SUMPRODUCT(AI$63:AI$122,TRANSPOSE(SAP_Spreadsheet!$G$239:$BN$239))</f>
        <v>0</v>
      </c>
      <c r="AJ9" s="378">
        <f t="array" aca="1" ref="AJ9" ca="1">SUMPRODUCT(AJ$63:AJ$122,TRANSPOSE(SAP_Spreadsheet!$G$239:$BN$239))</f>
        <v>0</v>
      </c>
      <c r="AK9" s="378">
        <f t="array" aca="1" ref="AK9" ca="1">SUMPRODUCT(AK$63:AK$122,TRANSPOSE(SAP_Spreadsheet!$G$239:$BN$239))</f>
        <v>0</v>
      </c>
      <c r="AL9" s="378">
        <f t="array" aca="1" ref="AL9" ca="1">SUMPRODUCT(AL$63:AL$122,TRANSPOSE(SAP_Spreadsheet!$G$239:$BN$239))</f>
        <v>0</v>
      </c>
      <c r="AM9" s="378">
        <f t="array" aca="1" ref="AM9" ca="1">SUMPRODUCT(AM$63:AM$122,TRANSPOSE(SAP_Spreadsheet!$G$239:$BN$239))</f>
        <v>0</v>
      </c>
      <c r="AN9" s="378">
        <f t="array" aca="1" ref="AN9" ca="1">SUMPRODUCT(AN$63:AN$122,TRANSPOSE(SAP_Spreadsheet!$G$239:$BN$239))</f>
        <v>0</v>
      </c>
      <c r="AO9" s="378">
        <f t="array" aca="1" ref="AO9" ca="1">SUMPRODUCT(AO$63:AO$122,TRANSPOSE(SAP_Spreadsheet!$G$239:$BN$239))</f>
        <v>0</v>
      </c>
      <c r="AP9" s="378">
        <f t="array" aca="1" ref="AP9" ca="1">SUMPRODUCT(AP$63:AP$122,TRANSPOSE(SAP_Spreadsheet!$G$239:$BN$239))</f>
        <v>0</v>
      </c>
      <c r="AQ9" s="378">
        <f t="array" aca="1" ref="AQ9" ca="1">SUMPRODUCT(AQ$63:AQ$122,TRANSPOSE(SAP_Spreadsheet!$G$239:$BN$239))</f>
        <v>0</v>
      </c>
      <c r="AR9" s="378">
        <f t="array" aca="1" ref="AR9" ca="1">SUMPRODUCT(AR$63:AR$122,TRANSPOSE(SAP_Spreadsheet!$G$239:$BN$239))</f>
        <v>0</v>
      </c>
      <c r="AS9" s="378">
        <f t="array" aca="1" ref="AS9" ca="1">SUMPRODUCT(AS$63:AS$122,TRANSPOSE(SAP_Spreadsheet!$G$239:$BN$239))</f>
        <v>0</v>
      </c>
      <c r="AT9" s="378">
        <f t="array" aca="1" ref="AT9" ca="1">SUMPRODUCT(AT$63:AT$122,TRANSPOSE(SAP_Spreadsheet!$G$239:$BN$239))</f>
        <v>0</v>
      </c>
      <c r="AU9" s="378">
        <f t="array" aca="1" ref="AU9" ca="1">SUMPRODUCT(AU$63:AU$122,TRANSPOSE(SAP_Spreadsheet!$G$239:$BN$239))</f>
        <v>0</v>
      </c>
      <c r="AV9" s="378">
        <f t="array" aca="1" ref="AV9" ca="1">SUMPRODUCT(AV$63:AV$122,TRANSPOSE(SAP_Spreadsheet!$G$239:$BN$239))</f>
        <v>0</v>
      </c>
      <c r="AW9" s="378">
        <f t="array" aca="1" ref="AW9" ca="1">SUMPRODUCT(AW$63:AW$122,TRANSPOSE(SAP_Spreadsheet!$G$239:$BN$239))</f>
        <v>0</v>
      </c>
      <c r="AX9" s="378">
        <f t="array" aca="1" ref="AX9" ca="1">SUMPRODUCT(AX$63:AX$122,TRANSPOSE(SAP_Spreadsheet!$G$239:$BN$239))</f>
        <v>0</v>
      </c>
      <c r="AY9" s="378">
        <f t="array" aca="1" ref="AY9" ca="1">SUMPRODUCT(AY$63:AY$122,TRANSPOSE(SAP_Spreadsheet!$G$239:$BN$239))</f>
        <v>0</v>
      </c>
      <c r="AZ9" s="378">
        <f t="array" aca="1" ref="AZ9" ca="1">SUMPRODUCT(AZ$63:AZ$122,TRANSPOSE(SAP_Spreadsheet!$G$239:$BN$239))</f>
        <v>0</v>
      </c>
      <c r="BA9" s="378">
        <f t="array" aca="1" ref="BA9" ca="1">SUMPRODUCT(BA$63:BA$122,TRANSPOSE(SAP_Spreadsheet!$G$239:$BN$239))</f>
        <v>0</v>
      </c>
      <c r="BB9" s="378">
        <f t="array" aca="1" ref="BB9" ca="1">SUMPRODUCT(BB$63:BB$122,TRANSPOSE(SAP_Spreadsheet!$G$239:$BN$239))</f>
        <v>0</v>
      </c>
      <c r="BC9" s="378">
        <f t="array" aca="1" ref="BC9" ca="1">SUMPRODUCT(BC$63:BC$122,TRANSPOSE(SAP_Spreadsheet!$G$239:$BN$239))</f>
        <v>0</v>
      </c>
      <c r="BD9" s="378">
        <f t="array" aca="1" ref="BD9" ca="1">SUMPRODUCT(BD$63:BD$122,TRANSPOSE(SAP_Spreadsheet!$G$239:$BN$239))</f>
        <v>0</v>
      </c>
      <c r="BE9" s="378">
        <f t="array" aca="1" ref="BE9" ca="1">SUMPRODUCT(BE$63:BE$122,TRANSPOSE(SAP_Spreadsheet!$G$239:$BN$239))</f>
        <v>0</v>
      </c>
      <c r="BF9" s="378">
        <f t="array" aca="1" ref="BF9" ca="1">SUMPRODUCT(BF$63:BF$122,TRANSPOSE(SAP_Spreadsheet!$G$239:$BN$239))</f>
        <v>0</v>
      </c>
      <c r="BG9" s="378">
        <f t="array" aca="1" ref="BG9" ca="1">SUMPRODUCT(BG$63:BG$122,TRANSPOSE(SAP_Spreadsheet!$G$239:$BN$239))</f>
        <v>0</v>
      </c>
      <c r="BH9" s="378">
        <f t="array" aca="1" ref="BH9" ca="1">SUMPRODUCT(BH$63:BH$122,TRANSPOSE(SAP_Spreadsheet!$G$239:$BN$239))</f>
        <v>0</v>
      </c>
      <c r="BI9" s="378">
        <f t="array" aca="1" ref="BI9" ca="1">SUMPRODUCT(BI$63:BI$122,TRANSPOSE(SAP_Spreadsheet!$G$239:$BN$239))</f>
        <v>0</v>
      </c>
      <c r="BJ9" s="378">
        <f t="array" aca="1" ref="BJ9" ca="1">SUMPRODUCT(BJ$63:BJ$122,TRANSPOSE(SAP_Spreadsheet!$G$239:$BN$239))</f>
        <v>0</v>
      </c>
      <c r="BK9" s="378">
        <f t="array" aca="1" ref="BK9" ca="1">SUMPRODUCT(BK$63:BK$122,TRANSPOSE(SAP_Spreadsheet!$G$239:$BN$239))</f>
        <v>0</v>
      </c>
      <c r="BL9" s="378">
        <f t="array" aca="1" ref="BL9" ca="1">SUMPRODUCT(BL$63:BL$122,TRANSPOSE(SAP_Spreadsheet!$G$239:$BN$239))</f>
        <v>0</v>
      </c>
      <c r="BM9" s="379"/>
    </row>
    <row r="10" spans="1:65" s="377" customFormat="1" x14ac:dyDescent="0.15">
      <c r="A10" s="375"/>
      <c r="B10" s="375"/>
      <c r="D10" s="380" t="s">
        <v>161</v>
      </c>
      <c r="E10" s="378">
        <f t="array" aca="1" ref="E10" ca="1">SUMPRODUCT(E$63:E$122,TRANSPOSE(SAP_Spreadsheet!$G$220:$BN$220))</f>
        <v>0</v>
      </c>
      <c r="F10" s="378">
        <f t="array" aca="1" ref="F10" ca="1">SUMPRODUCT(F$63:F$122,TRANSPOSE(SAP_Spreadsheet!$G$220:$BN$220))</f>
        <v>0</v>
      </c>
      <c r="G10" s="378">
        <f t="array" aca="1" ref="G10" ca="1">SUMPRODUCT(G$63:G$122,TRANSPOSE(SAP_Spreadsheet!$G$220:$BN$220))</f>
        <v>0</v>
      </c>
      <c r="H10" s="378">
        <f t="array" aca="1" ref="H10" ca="1">SUMPRODUCT(H$63:H$122,TRANSPOSE(SAP_Spreadsheet!$G$220:$BN$220))</f>
        <v>0</v>
      </c>
      <c r="I10" s="378">
        <f t="array" aca="1" ref="I10" ca="1">SUMPRODUCT(I$63:I$122,TRANSPOSE(SAP_Spreadsheet!$G$220:$BN$220))</f>
        <v>0</v>
      </c>
      <c r="J10" s="378">
        <f t="array" aca="1" ref="J10" ca="1">SUMPRODUCT(J$63:J$122,TRANSPOSE(SAP_Spreadsheet!$G$220:$BN$220))</f>
        <v>0</v>
      </c>
      <c r="K10" s="378">
        <f t="array" aca="1" ref="K10" ca="1">SUMPRODUCT(K$63:K$122,TRANSPOSE(SAP_Spreadsheet!$G$220:$BN$220))</f>
        <v>0</v>
      </c>
      <c r="L10" s="378">
        <f t="array" aca="1" ref="L10" ca="1">SUMPRODUCT(L$63:L$122,TRANSPOSE(SAP_Spreadsheet!$G$220:$BN$220))</f>
        <v>0</v>
      </c>
      <c r="M10" s="378">
        <f t="array" aca="1" ref="M10" ca="1">SUMPRODUCT(M$63:M$122,TRANSPOSE(SAP_Spreadsheet!$G$220:$BN$220))</f>
        <v>0</v>
      </c>
      <c r="N10" s="378">
        <f t="array" aca="1" ref="N10" ca="1">SUMPRODUCT(N$63:N$122,TRANSPOSE(SAP_Spreadsheet!$G$220:$BN$220))</f>
        <v>0</v>
      </c>
      <c r="O10" s="378">
        <f t="array" aca="1" ref="O10" ca="1">SUMPRODUCT(O$63:O$122,TRANSPOSE(SAP_Spreadsheet!$G$220:$BN$220))</f>
        <v>0</v>
      </c>
      <c r="P10" s="378">
        <f t="array" aca="1" ref="P10" ca="1">SUMPRODUCT(P$63:P$122,TRANSPOSE(SAP_Spreadsheet!$G$220:$BN$220))</f>
        <v>0</v>
      </c>
      <c r="Q10" s="378">
        <f t="array" aca="1" ref="Q10" ca="1">SUMPRODUCT(Q$63:Q$122,TRANSPOSE(SAP_Spreadsheet!$G$220:$BN$220))</f>
        <v>0</v>
      </c>
      <c r="R10" s="378">
        <f t="array" aca="1" ref="R10" ca="1">SUMPRODUCT(R$63:R$122,TRANSPOSE(SAP_Spreadsheet!$G$220:$BN$220))</f>
        <v>0</v>
      </c>
      <c r="S10" s="378">
        <f t="array" aca="1" ref="S10" ca="1">SUMPRODUCT(S$63:S$122,TRANSPOSE(SAP_Spreadsheet!$G$220:$BN$220))</f>
        <v>0</v>
      </c>
      <c r="T10" s="378">
        <f t="array" aca="1" ref="T10" ca="1">SUMPRODUCT(T$63:T$122,TRANSPOSE(SAP_Spreadsheet!$G$220:$BN$220))</f>
        <v>0</v>
      </c>
      <c r="U10" s="378">
        <f t="array" aca="1" ref="U10" ca="1">SUMPRODUCT(U$63:U$122,TRANSPOSE(SAP_Spreadsheet!$G$220:$BN$220))</f>
        <v>0</v>
      </c>
      <c r="V10" s="378">
        <f t="array" aca="1" ref="V10" ca="1">SUMPRODUCT(V$63:V$122,TRANSPOSE(SAP_Spreadsheet!$G$220:$BN$220))</f>
        <v>0</v>
      </c>
      <c r="W10" s="378">
        <f t="array" aca="1" ref="W10" ca="1">SUMPRODUCT(W$63:W$122,TRANSPOSE(SAP_Spreadsheet!$G$220:$BN$220))</f>
        <v>0</v>
      </c>
      <c r="X10" s="378">
        <f t="array" aca="1" ref="X10" ca="1">SUMPRODUCT(X$63:X$122,TRANSPOSE(SAP_Spreadsheet!$G$220:$BN$220))</f>
        <v>0</v>
      </c>
      <c r="Y10" s="378">
        <f t="array" aca="1" ref="Y10" ca="1">SUMPRODUCT(Y$63:Y$122,TRANSPOSE(SAP_Spreadsheet!$G$220:$BN$220))</f>
        <v>0</v>
      </c>
      <c r="Z10" s="378">
        <f t="array" aca="1" ref="Z10" ca="1">SUMPRODUCT(Z$63:Z$122,TRANSPOSE(SAP_Spreadsheet!$G$220:$BN$220))</f>
        <v>0</v>
      </c>
      <c r="AA10" s="378">
        <f t="array" aca="1" ref="AA10" ca="1">SUMPRODUCT(AA$63:AA$122,TRANSPOSE(SAP_Spreadsheet!$G$220:$BN$220))</f>
        <v>0</v>
      </c>
      <c r="AB10" s="378">
        <f t="array" aca="1" ref="AB10" ca="1">SUMPRODUCT(AB$63:AB$122,TRANSPOSE(SAP_Spreadsheet!$G$220:$BN$220))</f>
        <v>0</v>
      </c>
      <c r="AC10" s="378">
        <f t="array" aca="1" ref="AC10" ca="1">SUMPRODUCT(AC$63:AC$122,TRANSPOSE(SAP_Spreadsheet!$G$220:$BN$220))</f>
        <v>0</v>
      </c>
      <c r="AD10" s="378">
        <f t="array" aca="1" ref="AD10" ca="1">SUMPRODUCT(AD$63:AD$122,TRANSPOSE(SAP_Spreadsheet!$G$220:$BN$220))</f>
        <v>0</v>
      </c>
      <c r="AE10" s="378">
        <f t="array" aca="1" ref="AE10" ca="1">SUMPRODUCT(AE$63:AE$122,TRANSPOSE(SAP_Spreadsheet!$G$220:$BN$220))</f>
        <v>0</v>
      </c>
      <c r="AF10" s="378">
        <f t="array" aca="1" ref="AF10" ca="1">SUMPRODUCT(AF$63:AF$122,TRANSPOSE(SAP_Spreadsheet!$G$220:$BN$220))</f>
        <v>0</v>
      </c>
      <c r="AG10" s="378">
        <f t="array" aca="1" ref="AG10" ca="1">SUMPRODUCT(AG$63:AG$122,TRANSPOSE(SAP_Spreadsheet!$G$220:$BN$220))</f>
        <v>0</v>
      </c>
      <c r="AH10" s="378">
        <f t="array" aca="1" ref="AH10" ca="1">SUMPRODUCT(AH$63:AH$122,TRANSPOSE(SAP_Spreadsheet!$G$220:$BN$220))</f>
        <v>0</v>
      </c>
      <c r="AI10" s="378">
        <f t="array" aca="1" ref="AI10" ca="1">SUMPRODUCT(AI$63:AI$122,TRANSPOSE(SAP_Spreadsheet!$G$220:$BN$220))</f>
        <v>0</v>
      </c>
      <c r="AJ10" s="378">
        <f t="array" aca="1" ref="AJ10" ca="1">SUMPRODUCT(AJ$63:AJ$122,TRANSPOSE(SAP_Spreadsheet!$G$220:$BN$220))</f>
        <v>0</v>
      </c>
      <c r="AK10" s="378">
        <f t="array" aca="1" ref="AK10" ca="1">SUMPRODUCT(AK$63:AK$122,TRANSPOSE(SAP_Spreadsheet!$G$220:$BN$220))</f>
        <v>0</v>
      </c>
      <c r="AL10" s="378">
        <f t="array" aca="1" ref="AL10" ca="1">SUMPRODUCT(AL$63:AL$122,TRANSPOSE(SAP_Spreadsheet!$G$220:$BN$220))</f>
        <v>0</v>
      </c>
      <c r="AM10" s="378">
        <f t="array" aca="1" ref="AM10" ca="1">SUMPRODUCT(AM$63:AM$122,TRANSPOSE(SAP_Spreadsheet!$G$220:$BN$220))</f>
        <v>0</v>
      </c>
      <c r="AN10" s="378">
        <f t="array" aca="1" ref="AN10" ca="1">SUMPRODUCT(AN$63:AN$122,TRANSPOSE(SAP_Spreadsheet!$G$220:$BN$220))</f>
        <v>0</v>
      </c>
      <c r="AO10" s="378">
        <f t="array" aca="1" ref="AO10" ca="1">SUMPRODUCT(AO$63:AO$122,TRANSPOSE(SAP_Spreadsheet!$G$220:$BN$220))</f>
        <v>0</v>
      </c>
      <c r="AP10" s="378">
        <f t="array" aca="1" ref="AP10" ca="1">SUMPRODUCT(AP$63:AP$122,TRANSPOSE(SAP_Spreadsheet!$G$220:$BN$220))</f>
        <v>0</v>
      </c>
      <c r="AQ10" s="378">
        <f t="array" aca="1" ref="AQ10" ca="1">SUMPRODUCT(AQ$63:AQ$122,TRANSPOSE(SAP_Spreadsheet!$G$220:$BN$220))</f>
        <v>0</v>
      </c>
      <c r="AR10" s="378">
        <f t="array" aca="1" ref="AR10" ca="1">SUMPRODUCT(AR$63:AR$122,TRANSPOSE(SAP_Spreadsheet!$G$220:$BN$220))</f>
        <v>0</v>
      </c>
      <c r="AS10" s="378">
        <f t="array" aca="1" ref="AS10" ca="1">SUMPRODUCT(AS$63:AS$122,TRANSPOSE(SAP_Spreadsheet!$G$220:$BN$220))</f>
        <v>0</v>
      </c>
      <c r="AT10" s="378">
        <f t="array" aca="1" ref="AT10" ca="1">SUMPRODUCT(AT$63:AT$122,TRANSPOSE(SAP_Spreadsheet!$G$220:$BN$220))</f>
        <v>0</v>
      </c>
      <c r="AU10" s="378">
        <f t="array" aca="1" ref="AU10" ca="1">SUMPRODUCT(AU$63:AU$122,TRANSPOSE(SAP_Spreadsheet!$G$220:$BN$220))</f>
        <v>0</v>
      </c>
      <c r="AV10" s="378">
        <f t="array" aca="1" ref="AV10" ca="1">SUMPRODUCT(AV$63:AV$122,TRANSPOSE(SAP_Spreadsheet!$G$220:$BN$220))</f>
        <v>0</v>
      </c>
      <c r="AW10" s="378">
        <f t="array" aca="1" ref="AW10" ca="1">SUMPRODUCT(AW$63:AW$122,TRANSPOSE(SAP_Spreadsheet!$G$220:$BN$220))</f>
        <v>0</v>
      </c>
      <c r="AX10" s="378">
        <f t="array" aca="1" ref="AX10" ca="1">SUMPRODUCT(AX$63:AX$122,TRANSPOSE(SAP_Spreadsheet!$G$220:$BN$220))</f>
        <v>0</v>
      </c>
      <c r="AY10" s="378">
        <f t="array" aca="1" ref="AY10" ca="1">SUMPRODUCT(AY$63:AY$122,TRANSPOSE(SAP_Spreadsheet!$G$220:$BN$220))</f>
        <v>0</v>
      </c>
      <c r="AZ10" s="378">
        <f t="array" aca="1" ref="AZ10" ca="1">SUMPRODUCT(AZ$63:AZ$122,TRANSPOSE(SAP_Spreadsheet!$G$220:$BN$220))</f>
        <v>0</v>
      </c>
      <c r="BA10" s="378">
        <f t="array" aca="1" ref="BA10" ca="1">SUMPRODUCT(BA$63:BA$122,TRANSPOSE(SAP_Spreadsheet!$G$220:$BN$220))</f>
        <v>0</v>
      </c>
      <c r="BB10" s="378">
        <f t="array" aca="1" ref="BB10" ca="1">SUMPRODUCT(BB$63:BB$122,TRANSPOSE(SAP_Spreadsheet!$G$220:$BN$220))</f>
        <v>0</v>
      </c>
      <c r="BC10" s="378">
        <f t="array" aca="1" ref="BC10" ca="1">SUMPRODUCT(BC$63:BC$122,TRANSPOSE(SAP_Spreadsheet!$G$220:$BN$220))</f>
        <v>0</v>
      </c>
      <c r="BD10" s="378">
        <f t="array" aca="1" ref="BD10" ca="1">SUMPRODUCT(BD$63:BD$122,TRANSPOSE(SAP_Spreadsheet!$G$220:$BN$220))</f>
        <v>0</v>
      </c>
      <c r="BE10" s="378">
        <f t="array" aca="1" ref="BE10" ca="1">SUMPRODUCT(BE$63:BE$122,TRANSPOSE(SAP_Spreadsheet!$G$220:$BN$220))</f>
        <v>0</v>
      </c>
      <c r="BF10" s="378">
        <f t="array" aca="1" ref="BF10" ca="1">SUMPRODUCT(BF$63:BF$122,TRANSPOSE(SAP_Spreadsheet!$G$220:$BN$220))</f>
        <v>0</v>
      </c>
      <c r="BG10" s="378">
        <f t="array" aca="1" ref="BG10" ca="1">SUMPRODUCT(BG$63:BG$122,TRANSPOSE(SAP_Spreadsheet!$G$220:$BN$220))</f>
        <v>0</v>
      </c>
      <c r="BH10" s="378">
        <f t="array" aca="1" ref="BH10" ca="1">SUMPRODUCT(BH$63:BH$122,TRANSPOSE(SAP_Spreadsheet!$G$220:$BN$220))</f>
        <v>0</v>
      </c>
      <c r="BI10" s="378">
        <f t="array" aca="1" ref="BI10" ca="1">SUMPRODUCT(BI$63:BI$122,TRANSPOSE(SAP_Spreadsheet!$G$220:$BN$220))</f>
        <v>0</v>
      </c>
      <c r="BJ10" s="378">
        <f t="array" aca="1" ref="BJ10" ca="1">SUMPRODUCT(BJ$63:BJ$122,TRANSPOSE(SAP_Spreadsheet!$G$220:$BN$220))</f>
        <v>0</v>
      </c>
      <c r="BK10" s="378">
        <f t="array" aca="1" ref="BK10" ca="1">SUMPRODUCT(BK$63:BK$122,TRANSPOSE(SAP_Spreadsheet!$G$220:$BN$220))</f>
        <v>0</v>
      </c>
      <c r="BL10" s="378">
        <f t="array" aca="1" ref="BL10" ca="1">SUMPRODUCT(BL$63:BL$122,TRANSPOSE(SAP_Spreadsheet!$G$220:$BN$220))</f>
        <v>0</v>
      </c>
      <c r="BM10" s="379"/>
    </row>
    <row r="11" spans="1:65" s="379" customFormat="1" x14ac:dyDescent="0.15">
      <c r="A11" s="371"/>
      <c r="B11" s="371"/>
      <c r="D11" s="381" t="s">
        <v>191</v>
      </c>
      <c r="E11" s="382">
        <f t="array" aca="1" ref="E11" ca="1">SUMPRODUCT(E$63:E$122,TRANSPOSE(SAP_Spreadsheet!$G$216:$BN$216))</f>
        <v>0</v>
      </c>
      <c r="F11" s="382" cm="1">
        <f t="array" aca="1" ref="F11" ca="1">SUMPRODUCT(F$63:F$122,TRANSPOSE(SAP_Spreadsheet!$G$216:$BN$216))</f>
        <v>0</v>
      </c>
      <c r="G11" s="382">
        <f t="array" aca="1" ref="G11" ca="1">SUMPRODUCT(G$63:G$122,TRANSPOSE(SAP_Spreadsheet!$G$216:$BN$216))</f>
        <v>0</v>
      </c>
      <c r="H11" s="382">
        <f t="array" aca="1" ref="H11" ca="1">SUMPRODUCT(H$63:H$122,TRANSPOSE(SAP_Spreadsheet!$G$216:$BN$216))</f>
        <v>0</v>
      </c>
      <c r="I11" s="382">
        <f t="array" aca="1" ref="I11" ca="1">SUMPRODUCT(I$63:I$122,TRANSPOSE(SAP_Spreadsheet!$G$216:$BN$216))</f>
        <v>0</v>
      </c>
      <c r="J11" s="382">
        <f t="array" aca="1" ref="J11" ca="1">SUMPRODUCT(J$63:J$122,TRANSPOSE(SAP_Spreadsheet!$G$216:$BN$216))</f>
        <v>0</v>
      </c>
      <c r="K11" s="382">
        <f t="array" aca="1" ref="K11" ca="1">SUMPRODUCT(K$63:K$122,TRANSPOSE(SAP_Spreadsheet!$G$216:$BN$216))</f>
        <v>0</v>
      </c>
      <c r="L11" s="382">
        <f t="array" aca="1" ref="L11" ca="1">SUMPRODUCT(L$63:L$122,TRANSPOSE(SAP_Spreadsheet!$G$216:$BN$216))</f>
        <v>0</v>
      </c>
      <c r="M11" s="382">
        <f t="array" aca="1" ref="M11" ca="1">SUMPRODUCT(M$63:M$122,TRANSPOSE(SAP_Spreadsheet!$G$216:$BN$216))</f>
        <v>0</v>
      </c>
      <c r="N11" s="382">
        <f t="array" aca="1" ref="N11" ca="1">SUMPRODUCT(N$63:N$122,TRANSPOSE(SAP_Spreadsheet!$G$216:$BN$216))</f>
        <v>0</v>
      </c>
      <c r="O11" s="382">
        <f t="array" aca="1" ref="O11" ca="1">SUMPRODUCT(O$63:O$122,TRANSPOSE(SAP_Spreadsheet!$G$216:$BN$216))</f>
        <v>0</v>
      </c>
      <c r="P11" s="382">
        <f t="array" aca="1" ref="P11" ca="1">SUMPRODUCT(P$63:P$122,TRANSPOSE(SAP_Spreadsheet!$G$216:$BN$216))</f>
        <v>0</v>
      </c>
      <c r="Q11" s="382">
        <f t="array" aca="1" ref="Q11" ca="1">SUMPRODUCT(Q$63:Q$122,TRANSPOSE(SAP_Spreadsheet!$G$216:$BN$216))</f>
        <v>0</v>
      </c>
      <c r="R11" s="382">
        <f t="array" aca="1" ref="R11" ca="1">SUMPRODUCT(R$63:R$122,TRANSPOSE(SAP_Spreadsheet!$G$216:$BN$216))</f>
        <v>0</v>
      </c>
      <c r="S11" s="382">
        <f t="array" aca="1" ref="S11" ca="1">SUMPRODUCT(S$63:S$122,TRANSPOSE(SAP_Spreadsheet!$G$216:$BN$216))</f>
        <v>0</v>
      </c>
      <c r="T11" s="382">
        <f t="array" aca="1" ref="T11" ca="1">SUMPRODUCT(T$63:T$122,TRANSPOSE(SAP_Spreadsheet!$G$216:$BN$216))</f>
        <v>0</v>
      </c>
      <c r="U11" s="382">
        <f t="array" aca="1" ref="U11" ca="1">SUMPRODUCT(U$63:U$122,TRANSPOSE(SAP_Spreadsheet!$G$216:$BN$216))</f>
        <v>0</v>
      </c>
      <c r="V11" s="382">
        <f t="array" aca="1" ref="V11" ca="1">SUMPRODUCT(V$63:V$122,TRANSPOSE(SAP_Spreadsheet!$G$216:$BN$216))</f>
        <v>0</v>
      </c>
      <c r="W11" s="382">
        <f t="array" aca="1" ref="W11" ca="1">SUMPRODUCT(W$63:W$122,TRANSPOSE(SAP_Spreadsheet!$G$216:$BN$216))</f>
        <v>0</v>
      </c>
      <c r="X11" s="382">
        <f t="array" aca="1" ref="X11" ca="1">SUMPRODUCT(X$63:X$122,TRANSPOSE(SAP_Spreadsheet!$G$216:$BN$216))</f>
        <v>0</v>
      </c>
      <c r="Y11" s="382">
        <f t="array" aca="1" ref="Y11" ca="1">SUMPRODUCT(Y$63:Y$122,TRANSPOSE(SAP_Spreadsheet!$G$216:$BN$216))</f>
        <v>0</v>
      </c>
      <c r="Z11" s="382">
        <f t="array" aca="1" ref="Z11" ca="1">SUMPRODUCT(Z$63:Z$122,TRANSPOSE(SAP_Spreadsheet!$G$216:$BN$216))</f>
        <v>0</v>
      </c>
      <c r="AA11" s="382">
        <f t="array" aca="1" ref="AA11" ca="1">SUMPRODUCT(AA$63:AA$122,TRANSPOSE(SAP_Spreadsheet!$G$216:$BN$216))</f>
        <v>0</v>
      </c>
      <c r="AB11" s="382">
        <f t="array" aca="1" ref="AB11" ca="1">SUMPRODUCT(AB$63:AB$122,TRANSPOSE(SAP_Spreadsheet!$G$216:$BN$216))</f>
        <v>0</v>
      </c>
      <c r="AC11" s="382">
        <f t="array" aca="1" ref="AC11" ca="1">SUMPRODUCT(AC$63:AC$122,TRANSPOSE(SAP_Spreadsheet!$G$216:$BN$216))</f>
        <v>0</v>
      </c>
      <c r="AD11" s="382">
        <f t="array" aca="1" ref="AD11" ca="1">SUMPRODUCT(AD$63:AD$122,TRANSPOSE(SAP_Spreadsheet!$G$216:$BN$216))</f>
        <v>0</v>
      </c>
      <c r="AE11" s="382">
        <f t="array" aca="1" ref="AE11" ca="1">SUMPRODUCT(AE$63:AE$122,TRANSPOSE(SAP_Spreadsheet!$G$216:$BN$216))</f>
        <v>0</v>
      </c>
      <c r="AF11" s="382">
        <f t="array" aca="1" ref="AF11" ca="1">SUMPRODUCT(AF$63:AF$122,TRANSPOSE(SAP_Spreadsheet!$G$216:$BN$216))</f>
        <v>0</v>
      </c>
      <c r="AG11" s="382">
        <f t="array" aca="1" ref="AG11" ca="1">SUMPRODUCT(AG$63:AG$122,TRANSPOSE(SAP_Spreadsheet!$G$216:$BN$216))</f>
        <v>0</v>
      </c>
      <c r="AH11" s="382">
        <f t="array" aca="1" ref="AH11" ca="1">SUMPRODUCT(AH$63:AH$122,TRANSPOSE(SAP_Spreadsheet!$G$216:$BN$216))</f>
        <v>0</v>
      </c>
      <c r="AI11" s="382">
        <f t="array" aca="1" ref="AI11" ca="1">SUMPRODUCT(AI$63:AI$122,TRANSPOSE(SAP_Spreadsheet!$G$216:$BN$216))</f>
        <v>0</v>
      </c>
      <c r="AJ11" s="382">
        <f t="array" aca="1" ref="AJ11" ca="1">SUMPRODUCT(AJ$63:AJ$122,TRANSPOSE(SAP_Spreadsheet!$G$216:$BN$216))</f>
        <v>0</v>
      </c>
      <c r="AK11" s="382">
        <f t="array" aca="1" ref="AK11" ca="1">SUMPRODUCT(AK$63:AK$122,TRANSPOSE(SAP_Spreadsheet!$G$216:$BN$216))</f>
        <v>0</v>
      </c>
      <c r="AL11" s="382">
        <f t="array" aca="1" ref="AL11" ca="1">SUMPRODUCT(AL$63:AL$122,TRANSPOSE(SAP_Spreadsheet!$G$216:$BN$216))</f>
        <v>0</v>
      </c>
      <c r="AM11" s="382">
        <f t="array" aca="1" ref="AM11" ca="1">SUMPRODUCT(AM$63:AM$122,TRANSPOSE(SAP_Spreadsheet!$G$216:$BN$216))</f>
        <v>0</v>
      </c>
      <c r="AN11" s="382">
        <f t="array" aca="1" ref="AN11" ca="1">SUMPRODUCT(AN$63:AN$122,TRANSPOSE(SAP_Spreadsheet!$G$216:$BN$216))</f>
        <v>0</v>
      </c>
      <c r="AO11" s="382">
        <f t="array" aca="1" ref="AO11" ca="1">SUMPRODUCT(AO$63:AO$122,TRANSPOSE(SAP_Spreadsheet!$G$216:$BN$216))</f>
        <v>0</v>
      </c>
      <c r="AP11" s="382">
        <f t="array" aca="1" ref="AP11" ca="1">SUMPRODUCT(AP$63:AP$122,TRANSPOSE(SAP_Spreadsheet!$G$216:$BN$216))</f>
        <v>0</v>
      </c>
      <c r="AQ11" s="382">
        <f t="array" aca="1" ref="AQ11" ca="1">SUMPRODUCT(AQ$63:AQ$122,TRANSPOSE(SAP_Spreadsheet!$G$216:$BN$216))</f>
        <v>0</v>
      </c>
      <c r="AR11" s="382">
        <f t="array" aca="1" ref="AR11" ca="1">SUMPRODUCT(AR$63:AR$122,TRANSPOSE(SAP_Spreadsheet!$G$216:$BN$216))</f>
        <v>0</v>
      </c>
      <c r="AS11" s="382">
        <f t="array" aca="1" ref="AS11" ca="1">SUMPRODUCT(AS$63:AS$122,TRANSPOSE(SAP_Spreadsheet!$G$216:$BN$216))</f>
        <v>0</v>
      </c>
      <c r="AT11" s="382">
        <f t="array" aca="1" ref="AT11" ca="1">SUMPRODUCT(AT$63:AT$122,TRANSPOSE(SAP_Spreadsheet!$G$216:$BN$216))</f>
        <v>0</v>
      </c>
      <c r="AU11" s="382">
        <f t="array" aca="1" ref="AU11" ca="1">SUMPRODUCT(AU$63:AU$122,TRANSPOSE(SAP_Spreadsheet!$G$216:$BN$216))</f>
        <v>0</v>
      </c>
      <c r="AV11" s="382">
        <f t="array" aca="1" ref="AV11" ca="1">SUMPRODUCT(AV$63:AV$122,TRANSPOSE(SAP_Spreadsheet!$G$216:$BN$216))</f>
        <v>0</v>
      </c>
      <c r="AW11" s="382">
        <f t="array" aca="1" ref="AW11" ca="1">SUMPRODUCT(AW$63:AW$122,TRANSPOSE(SAP_Spreadsheet!$G$216:$BN$216))</f>
        <v>0</v>
      </c>
      <c r="AX11" s="382">
        <f t="array" aca="1" ref="AX11" ca="1">SUMPRODUCT(AX$63:AX$122,TRANSPOSE(SAP_Spreadsheet!$G$216:$BN$216))</f>
        <v>0</v>
      </c>
      <c r="AY11" s="382">
        <f t="array" aca="1" ref="AY11" ca="1">SUMPRODUCT(AY$63:AY$122,TRANSPOSE(SAP_Spreadsheet!$G$216:$BN$216))</f>
        <v>0</v>
      </c>
      <c r="AZ11" s="382">
        <f t="array" aca="1" ref="AZ11" ca="1">SUMPRODUCT(AZ$63:AZ$122,TRANSPOSE(SAP_Spreadsheet!$G$216:$BN$216))</f>
        <v>0</v>
      </c>
      <c r="BA11" s="382">
        <f t="array" aca="1" ref="BA11" ca="1">SUMPRODUCT(BA$63:BA$122,TRANSPOSE(SAP_Spreadsheet!$G$216:$BN$216))</f>
        <v>0</v>
      </c>
      <c r="BB11" s="382">
        <f t="array" aca="1" ref="BB11" ca="1">SUMPRODUCT(BB$63:BB$122,TRANSPOSE(SAP_Spreadsheet!$G$216:$BN$216))</f>
        <v>0</v>
      </c>
      <c r="BC11" s="382">
        <f t="array" aca="1" ref="BC11" ca="1">SUMPRODUCT(BC$63:BC$122,TRANSPOSE(SAP_Spreadsheet!$G$216:$BN$216))</f>
        <v>0</v>
      </c>
      <c r="BD11" s="382">
        <f t="array" aca="1" ref="BD11" ca="1">SUMPRODUCT(BD$63:BD$122,TRANSPOSE(SAP_Spreadsheet!$G$216:$BN$216))</f>
        <v>0</v>
      </c>
      <c r="BE11" s="382">
        <f t="array" aca="1" ref="BE11" ca="1">SUMPRODUCT(BE$63:BE$122,TRANSPOSE(SAP_Spreadsheet!$G$216:$BN$216))</f>
        <v>0</v>
      </c>
      <c r="BF11" s="382">
        <f t="array" aca="1" ref="BF11" ca="1">SUMPRODUCT(BF$63:BF$122,TRANSPOSE(SAP_Spreadsheet!$G$216:$BN$216))</f>
        <v>0</v>
      </c>
      <c r="BG11" s="382">
        <f t="array" aca="1" ref="BG11" ca="1">SUMPRODUCT(BG$63:BG$122,TRANSPOSE(SAP_Spreadsheet!$G$216:$BN$216))</f>
        <v>0</v>
      </c>
      <c r="BH11" s="382">
        <f t="array" aca="1" ref="BH11" ca="1">SUMPRODUCT(BH$63:BH$122,TRANSPOSE(SAP_Spreadsheet!$G$216:$BN$216))</f>
        <v>0</v>
      </c>
      <c r="BI11" s="382">
        <f t="array" aca="1" ref="BI11" ca="1">SUMPRODUCT(BI$63:BI$122,TRANSPOSE(SAP_Spreadsheet!$G$216:$BN$216))</f>
        <v>0</v>
      </c>
      <c r="BJ11" s="382">
        <f t="array" aca="1" ref="BJ11" ca="1">SUMPRODUCT(BJ$63:BJ$122,TRANSPOSE(SAP_Spreadsheet!$G$216:$BN$216))</f>
        <v>0</v>
      </c>
      <c r="BK11" s="382">
        <f t="array" aca="1" ref="BK11" ca="1">SUMPRODUCT(BK$63:BK$122,TRANSPOSE(SAP_Spreadsheet!$G$216:$BN$216))</f>
        <v>0</v>
      </c>
      <c r="BL11" s="382">
        <f t="array" aca="1" ref="BL11" ca="1">SUMPRODUCT(BL$63:BL$122,TRANSPOSE(SAP_Spreadsheet!$G$216:$BN$216))</f>
        <v>0</v>
      </c>
    </row>
    <row r="12" spans="1:65" s="379" customFormat="1" x14ac:dyDescent="0.15">
      <c r="A12" s="371"/>
      <c r="B12" s="371"/>
      <c r="D12" s="381" t="s">
        <v>194</v>
      </c>
      <c r="E12" s="382">
        <f t="array" aca="1" ref="E12" ca="1">SUMPRODUCT(E$63:E$122,TRANSPOSE(SAP_Spreadsheet!$G$219:$BN$219))</f>
        <v>0</v>
      </c>
      <c r="F12" s="382">
        <f t="array" aca="1" ref="F12" ca="1">SUMPRODUCT(F$63:F$122,TRANSPOSE(SAP_Spreadsheet!$G$219:$BN$219))</f>
        <v>0</v>
      </c>
      <c r="G12" s="382">
        <f t="array" aca="1" ref="G12" ca="1">SUMPRODUCT(G$63:G$122,TRANSPOSE(SAP_Spreadsheet!$G$219:$BN$219))</f>
        <v>0</v>
      </c>
      <c r="H12" s="382">
        <f t="array" aca="1" ref="H12" ca="1">SUMPRODUCT(H$63:H$122,TRANSPOSE(SAP_Spreadsheet!$G$219:$BN$219))</f>
        <v>0</v>
      </c>
      <c r="I12" s="382">
        <f t="array" aca="1" ref="I12" ca="1">SUMPRODUCT(I$63:I$122,TRANSPOSE(SAP_Spreadsheet!$G$219:$BN$219))</f>
        <v>0</v>
      </c>
      <c r="J12" s="382">
        <f t="array" aca="1" ref="J12" ca="1">SUMPRODUCT(J$63:J$122,TRANSPOSE(SAP_Spreadsheet!$G$219:$BN$219))</f>
        <v>0</v>
      </c>
      <c r="K12" s="382">
        <f t="array" aca="1" ref="K12" ca="1">SUMPRODUCT(K$63:K$122,TRANSPOSE(SAP_Spreadsheet!$G$219:$BN$219))</f>
        <v>0</v>
      </c>
      <c r="L12" s="382">
        <f t="array" aca="1" ref="L12" ca="1">SUMPRODUCT(L$63:L$122,TRANSPOSE(SAP_Spreadsheet!$G$219:$BN$219))</f>
        <v>0</v>
      </c>
      <c r="M12" s="382">
        <f t="array" aca="1" ref="M12" ca="1">SUMPRODUCT(M$63:M$122,TRANSPOSE(SAP_Spreadsheet!$G$219:$BN$219))</f>
        <v>0</v>
      </c>
      <c r="N12" s="382">
        <f t="array" aca="1" ref="N12" ca="1">SUMPRODUCT(N$63:N$122,TRANSPOSE(SAP_Spreadsheet!$G$219:$BN$219))</f>
        <v>0</v>
      </c>
      <c r="O12" s="382">
        <f t="array" aca="1" ref="O12" ca="1">SUMPRODUCT(O$63:O$122,TRANSPOSE(SAP_Spreadsheet!$G$219:$BN$219))</f>
        <v>0</v>
      </c>
      <c r="P12" s="382">
        <f t="array" aca="1" ref="P12" ca="1">SUMPRODUCT(P$63:P$122,TRANSPOSE(SAP_Spreadsheet!$G$219:$BN$219))</f>
        <v>0</v>
      </c>
      <c r="Q12" s="382">
        <f t="array" aca="1" ref="Q12" ca="1">SUMPRODUCT(Q$63:Q$122,TRANSPOSE(SAP_Spreadsheet!$G$219:$BN$219))</f>
        <v>0</v>
      </c>
      <c r="R12" s="382">
        <f t="array" aca="1" ref="R12" ca="1">SUMPRODUCT(R$63:R$122,TRANSPOSE(SAP_Spreadsheet!$G$219:$BN$219))</f>
        <v>0</v>
      </c>
      <c r="S12" s="382">
        <f t="array" aca="1" ref="S12" ca="1">SUMPRODUCT(S$63:S$122,TRANSPOSE(SAP_Spreadsheet!$G$219:$BN$219))</f>
        <v>0</v>
      </c>
      <c r="T12" s="382">
        <f t="array" aca="1" ref="T12" ca="1">SUMPRODUCT(T$63:T$122,TRANSPOSE(SAP_Spreadsheet!$G$219:$BN$219))</f>
        <v>0</v>
      </c>
      <c r="U12" s="382">
        <f t="array" aca="1" ref="U12" ca="1">SUMPRODUCT(U$63:U$122,TRANSPOSE(SAP_Spreadsheet!$G$219:$BN$219))</f>
        <v>0</v>
      </c>
      <c r="V12" s="382">
        <f t="array" aca="1" ref="V12" ca="1">SUMPRODUCT(V$63:V$122,TRANSPOSE(SAP_Spreadsheet!$G$219:$BN$219))</f>
        <v>0</v>
      </c>
      <c r="W12" s="382">
        <f t="array" aca="1" ref="W12" ca="1">SUMPRODUCT(W$63:W$122,TRANSPOSE(SAP_Spreadsheet!$G$219:$BN$219))</f>
        <v>0</v>
      </c>
      <c r="X12" s="382">
        <f t="array" aca="1" ref="X12" ca="1">SUMPRODUCT(X$63:X$122,TRANSPOSE(SAP_Spreadsheet!$G$219:$BN$219))</f>
        <v>0</v>
      </c>
      <c r="Y12" s="382">
        <f t="array" aca="1" ref="Y12" ca="1">SUMPRODUCT(Y$63:Y$122,TRANSPOSE(SAP_Spreadsheet!$G$219:$BN$219))</f>
        <v>0</v>
      </c>
      <c r="Z12" s="382">
        <f t="array" aca="1" ref="Z12" ca="1">SUMPRODUCT(Z$63:Z$122,TRANSPOSE(SAP_Spreadsheet!$G$219:$BN$219))</f>
        <v>0</v>
      </c>
      <c r="AA12" s="382">
        <f t="array" aca="1" ref="AA12" ca="1">SUMPRODUCT(AA$63:AA$122,TRANSPOSE(SAP_Spreadsheet!$G$219:$BN$219))</f>
        <v>0</v>
      </c>
      <c r="AB12" s="382">
        <f t="array" aca="1" ref="AB12" ca="1">SUMPRODUCT(AB$63:AB$122,TRANSPOSE(SAP_Spreadsheet!$G$219:$BN$219))</f>
        <v>0</v>
      </c>
      <c r="AC12" s="382">
        <f t="array" aca="1" ref="AC12" ca="1">SUMPRODUCT(AC$63:AC$122,TRANSPOSE(SAP_Spreadsheet!$G$219:$BN$219))</f>
        <v>0</v>
      </c>
      <c r="AD12" s="382">
        <f t="array" aca="1" ref="AD12" ca="1">SUMPRODUCT(AD$63:AD$122,TRANSPOSE(SAP_Spreadsheet!$G$219:$BN$219))</f>
        <v>0</v>
      </c>
      <c r="AE12" s="382">
        <f t="array" aca="1" ref="AE12" ca="1">SUMPRODUCT(AE$63:AE$122,TRANSPOSE(SAP_Spreadsheet!$G$219:$BN$219))</f>
        <v>0</v>
      </c>
      <c r="AF12" s="382">
        <f t="array" aca="1" ref="AF12" ca="1">SUMPRODUCT(AF$63:AF$122,TRANSPOSE(SAP_Spreadsheet!$G$219:$BN$219))</f>
        <v>0</v>
      </c>
      <c r="AG12" s="382">
        <f t="array" aca="1" ref="AG12" ca="1">SUMPRODUCT(AG$63:AG$122,TRANSPOSE(SAP_Spreadsheet!$G$219:$BN$219))</f>
        <v>0</v>
      </c>
      <c r="AH12" s="382">
        <f t="array" aca="1" ref="AH12" ca="1">SUMPRODUCT(AH$63:AH$122,TRANSPOSE(SAP_Spreadsheet!$G$219:$BN$219))</f>
        <v>0</v>
      </c>
      <c r="AI12" s="382">
        <f t="array" aca="1" ref="AI12" ca="1">SUMPRODUCT(AI$63:AI$122,TRANSPOSE(SAP_Spreadsheet!$G$219:$BN$219))</f>
        <v>0</v>
      </c>
      <c r="AJ12" s="382">
        <f t="array" aca="1" ref="AJ12" ca="1">SUMPRODUCT(AJ$63:AJ$122,TRANSPOSE(SAP_Spreadsheet!$G$219:$BN$219))</f>
        <v>0</v>
      </c>
      <c r="AK12" s="382">
        <f t="array" aca="1" ref="AK12" ca="1">SUMPRODUCT(AK$63:AK$122,TRANSPOSE(SAP_Spreadsheet!$G$219:$BN$219))</f>
        <v>0</v>
      </c>
      <c r="AL12" s="382">
        <f t="array" aca="1" ref="AL12" ca="1">SUMPRODUCT(AL$63:AL$122,TRANSPOSE(SAP_Spreadsheet!$G$219:$BN$219))</f>
        <v>0</v>
      </c>
      <c r="AM12" s="382">
        <f t="array" aca="1" ref="AM12" ca="1">SUMPRODUCT(AM$63:AM$122,TRANSPOSE(SAP_Spreadsheet!$G$219:$BN$219))</f>
        <v>0</v>
      </c>
      <c r="AN12" s="382">
        <f t="array" aca="1" ref="AN12" ca="1">SUMPRODUCT(AN$63:AN$122,TRANSPOSE(SAP_Spreadsheet!$G$219:$BN$219))</f>
        <v>0</v>
      </c>
      <c r="AO12" s="382">
        <f t="array" aca="1" ref="AO12" ca="1">SUMPRODUCT(AO$63:AO$122,TRANSPOSE(SAP_Spreadsheet!$G$219:$BN$219))</f>
        <v>0</v>
      </c>
      <c r="AP12" s="382">
        <f t="array" aca="1" ref="AP12" ca="1">SUMPRODUCT(AP$63:AP$122,TRANSPOSE(SAP_Spreadsheet!$G$219:$BN$219))</f>
        <v>0</v>
      </c>
      <c r="AQ12" s="382">
        <f t="array" aca="1" ref="AQ12" ca="1">SUMPRODUCT(AQ$63:AQ$122,TRANSPOSE(SAP_Spreadsheet!$G$219:$BN$219))</f>
        <v>0</v>
      </c>
      <c r="AR12" s="382">
        <f t="array" aca="1" ref="AR12" ca="1">SUMPRODUCT(AR$63:AR$122,TRANSPOSE(SAP_Spreadsheet!$G$219:$BN$219))</f>
        <v>0</v>
      </c>
      <c r="AS12" s="382">
        <f t="array" aca="1" ref="AS12" ca="1">SUMPRODUCT(AS$63:AS$122,TRANSPOSE(SAP_Spreadsheet!$G$219:$BN$219))</f>
        <v>0</v>
      </c>
      <c r="AT12" s="382">
        <f t="array" aca="1" ref="AT12" ca="1">SUMPRODUCT(AT$63:AT$122,TRANSPOSE(SAP_Spreadsheet!$G$219:$BN$219))</f>
        <v>0</v>
      </c>
      <c r="AU12" s="382">
        <f t="array" aca="1" ref="AU12" ca="1">SUMPRODUCT(AU$63:AU$122,TRANSPOSE(SAP_Spreadsheet!$G$219:$BN$219))</f>
        <v>0</v>
      </c>
      <c r="AV12" s="382">
        <f t="array" aca="1" ref="AV12" ca="1">SUMPRODUCT(AV$63:AV$122,TRANSPOSE(SAP_Spreadsheet!$G$219:$BN$219))</f>
        <v>0</v>
      </c>
      <c r="AW12" s="382">
        <f t="array" aca="1" ref="AW12" ca="1">SUMPRODUCT(AW$63:AW$122,TRANSPOSE(SAP_Spreadsheet!$G$219:$BN$219))</f>
        <v>0</v>
      </c>
      <c r="AX12" s="382">
        <f t="array" aca="1" ref="AX12" ca="1">SUMPRODUCT(AX$63:AX$122,TRANSPOSE(SAP_Spreadsheet!$G$219:$BN$219))</f>
        <v>0</v>
      </c>
      <c r="AY12" s="382">
        <f t="array" aca="1" ref="AY12" ca="1">SUMPRODUCT(AY$63:AY$122,TRANSPOSE(SAP_Spreadsheet!$G$219:$BN$219))</f>
        <v>0</v>
      </c>
      <c r="AZ12" s="382">
        <f t="array" aca="1" ref="AZ12" ca="1">SUMPRODUCT(AZ$63:AZ$122,TRANSPOSE(SAP_Spreadsheet!$G$219:$BN$219))</f>
        <v>0</v>
      </c>
      <c r="BA12" s="382">
        <f t="array" aca="1" ref="BA12" ca="1">SUMPRODUCT(BA$63:BA$122,TRANSPOSE(SAP_Spreadsheet!$G$219:$BN$219))</f>
        <v>0</v>
      </c>
      <c r="BB12" s="382">
        <f t="array" aca="1" ref="BB12" ca="1">SUMPRODUCT(BB$63:BB$122,TRANSPOSE(SAP_Spreadsheet!$G$219:$BN$219))</f>
        <v>0</v>
      </c>
      <c r="BC12" s="382">
        <f t="array" aca="1" ref="BC12" ca="1">SUMPRODUCT(BC$63:BC$122,TRANSPOSE(SAP_Spreadsheet!$G$219:$BN$219))</f>
        <v>0</v>
      </c>
      <c r="BD12" s="382">
        <f t="array" aca="1" ref="BD12" ca="1">SUMPRODUCT(BD$63:BD$122,TRANSPOSE(SAP_Spreadsheet!$G$219:$BN$219))</f>
        <v>0</v>
      </c>
      <c r="BE12" s="382">
        <f t="array" aca="1" ref="BE12" ca="1">SUMPRODUCT(BE$63:BE$122,TRANSPOSE(SAP_Spreadsheet!$G$219:$BN$219))</f>
        <v>0</v>
      </c>
      <c r="BF12" s="382">
        <f t="array" aca="1" ref="BF12" ca="1">SUMPRODUCT(BF$63:BF$122,TRANSPOSE(SAP_Spreadsheet!$G$219:$BN$219))</f>
        <v>0</v>
      </c>
      <c r="BG12" s="382">
        <f t="array" aca="1" ref="BG12" ca="1">SUMPRODUCT(BG$63:BG$122,TRANSPOSE(SAP_Spreadsheet!$G$219:$BN$219))</f>
        <v>0</v>
      </c>
      <c r="BH12" s="382">
        <f t="array" aca="1" ref="BH12" ca="1">SUMPRODUCT(BH$63:BH$122,TRANSPOSE(SAP_Spreadsheet!$G$219:$BN$219))</f>
        <v>0</v>
      </c>
      <c r="BI12" s="382">
        <f t="array" aca="1" ref="BI12" ca="1">SUMPRODUCT(BI$63:BI$122,TRANSPOSE(SAP_Spreadsheet!$G$219:$BN$219))</f>
        <v>0</v>
      </c>
      <c r="BJ12" s="382">
        <f t="array" aca="1" ref="BJ12" ca="1">SUMPRODUCT(BJ$63:BJ$122,TRANSPOSE(SAP_Spreadsheet!$G$219:$BN$219))</f>
        <v>0</v>
      </c>
      <c r="BK12" s="382">
        <f t="array" aca="1" ref="BK12" ca="1">SUMPRODUCT(BK$63:BK$122,TRANSPOSE(SAP_Spreadsheet!$G$219:$BN$219))</f>
        <v>0</v>
      </c>
      <c r="BL12" s="382">
        <f t="array" aca="1" ref="BL12" ca="1">SUMPRODUCT(BL$63:BL$122,TRANSPOSE(SAP_Spreadsheet!$G$219:$BN$219))</f>
        <v>0</v>
      </c>
    </row>
    <row r="13" spans="1:65" s="379" customFormat="1" x14ac:dyDescent="0.15">
      <c r="A13" s="371"/>
      <c r="B13" s="371"/>
      <c r="D13" s="380" t="s">
        <v>197</v>
      </c>
      <c r="E13" s="378">
        <f t="array" aca="1" ref="E13" ca="1">SUMPRODUCT(E$63:E$122,TRANSPOSE(SAP_Spreadsheet!$G$237:$BN$237))</f>
        <v>0</v>
      </c>
      <c r="F13" s="378">
        <f t="array" aca="1" ref="F13" ca="1">SUMPRODUCT(F$63:F$122,TRANSPOSE(SAP_Spreadsheet!$G$237:$BN$237))</f>
        <v>0</v>
      </c>
      <c r="G13" s="378">
        <f t="array" aca="1" ref="G13" ca="1">SUMPRODUCT(G$63:G$122,TRANSPOSE(SAP_Spreadsheet!$G$237:$BN$237))</f>
        <v>0</v>
      </c>
      <c r="H13" s="378">
        <f t="array" aca="1" ref="H13" ca="1">SUMPRODUCT(H$63:H$122,TRANSPOSE(SAP_Spreadsheet!$G$237:$BN$237))</f>
        <v>0</v>
      </c>
      <c r="I13" s="378">
        <f t="array" aca="1" ref="I13" ca="1">SUMPRODUCT(I$63:I$122,TRANSPOSE(SAP_Spreadsheet!$G$237:$BN$237))</f>
        <v>0</v>
      </c>
      <c r="J13" s="378">
        <f t="array" aca="1" ref="J13" ca="1">SUMPRODUCT(J$63:J$122,TRANSPOSE(SAP_Spreadsheet!$G$237:$BN$237))</f>
        <v>0</v>
      </c>
      <c r="K13" s="378">
        <f t="array" aca="1" ref="K13" ca="1">SUMPRODUCT(K$63:K$122,TRANSPOSE(SAP_Spreadsheet!$G$237:$BN$237))</f>
        <v>0</v>
      </c>
      <c r="L13" s="378">
        <f t="array" aca="1" ref="L13" ca="1">SUMPRODUCT(L$63:L$122,TRANSPOSE(SAP_Spreadsheet!$G$237:$BN$237))</f>
        <v>0</v>
      </c>
      <c r="M13" s="378">
        <f t="array" aca="1" ref="M13" ca="1">SUMPRODUCT(M$63:M$122,TRANSPOSE(SAP_Spreadsheet!$G$237:$BN$237))</f>
        <v>0</v>
      </c>
      <c r="N13" s="378">
        <f t="array" aca="1" ref="N13" ca="1">SUMPRODUCT(N$63:N$122,TRANSPOSE(SAP_Spreadsheet!$G$237:$BN$237))</f>
        <v>0</v>
      </c>
      <c r="O13" s="378">
        <f t="array" aca="1" ref="O13" ca="1">SUMPRODUCT(O$63:O$122,TRANSPOSE(SAP_Spreadsheet!$G$237:$BN$237))</f>
        <v>0</v>
      </c>
      <c r="P13" s="378">
        <f t="array" aca="1" ref="P13" ca="1">SUMPRODUCT(P$63:P$122,TRANSPOSE(SAP_Spreadsheet!$G$237:$BN$237))</f>
        <v>0</v>
      </c>
      <c r="Q13" s="378">
        <f t="array" aca="1" ref="Q13" ca="1">SUMPRODUCT(Q$63:Q$122,TRANSPOSE(SAP_Spreadsheet!$G$237:$BN$237))</f>
        <v>0</v>
      </c>
      <c r="R13" s="378">
        <f t="array" aca="1" ref="R13" ca="1">SUMPRODUCT(R$63:R$122,TRANSPOSE(SAP_Spreadsheet!$G$237:$BN$237))</f>
        <v>0</v>
      </c>
      <c r="S13" s="378">
        <f t="array" aca="1" ref="S13" ca="1">SUMPRODUCT(S$63:S$122,TRANSPOSE(SAP_Spreadsheet!$G$237:$BN$237))</f>
        <v>0</v>
      </c>
      <c r="T13" s="378">
        <f t="array" aca="1" ref="T13" ca="1">SUMPRODUCT(T$63:T$122,TRANSPOSE(SAP_Spreadsheet!$G$237:$BN$237))</f>
        <v>0</v>
      </c>
      <c r="U13" s="378">
        <f t="array" aca="1" ref="U13" ca="1">SUMPRODUCT(U$63:U$122,TRANSPOSE(SAP_Spreadsheet!$G$237:$BN$237))</f>
        <v>0</v>
      </c>
      <c r="V13" s="378">
        <f t="array" aca="1" ref="V13" ca="1">SUMPRODUCT(V$63:V$122,TRANSPOSE(SAP_Spreadsheet!$G$237:$BN$237))</f>
        <v>0</v>
      </c>
      <c r="W13" s="378">
        <f t="array" aca="1" ref="W13" ca="1">SUMPRODUCT(W$63:W$122,TRANSPOSE(SAP_Spreadsheet!$G$237:$BN$237))</f>
        <v>0</v>
      </c>
      <c r="X13" s="378">
        <f t="array" aca="1" ref="X13" ca="1">SUMPRODUCT(X$63:X$122,TRANSPOSE(SAP_Spreadsheet!$G$237:$BN$237))</f>
        <v>0</v>
      </c>
      <c r="Y13" s="378">
        <f t="array" aca="1" ref="Y13" ca="1">SUMPRODUCT(Y$63:Y$122,TRANSPOSE(SAP_Spreadsheet!$G$237:$BN$237))</f>
        <v>0</v>
      </c>
      <c r="Z13" s="378">
        <f t="array" aca="1" ref="Z13" ca="1">SUMPRODUCT(Z$63:Z$122,TRANSPOSE(SAP_Spreadsheet!$G$237:$BN$237))</f>
        <v>0</v>
      </c>
      <c r="AA13" s="378">
        <f t="array" aca="1" ref="AA13" ca="1">SUMPRODUCT(AA$63:AA$122,TRANSPOSE(SAP_Spreadsheet!$G$237:$BN$237))</f>
        <v>0</v>
      </c>
      <c r="AB13" s="378">
        <f t="array" aca="1" ref="AB13" ca="1">SUMPRODUCT(AB$63:AB$122,TRANSPOSE(SAP_Spreadsheet!$G$237:$BN$237))</f>
        <v>0</v>
      </c>
      <c r="AC13" s="378">
        <f t="array" aca="1" ref="AC13" ca="1">SUMPRODUCT(AC$63:AC$122,TRANSPOSE(SAP_Spreadsheet!$G$237:$BN$237))</f>
        <v>0</v>
      </c>
      <c r="AD13" s="378">
        <f t="array" aca="1" ref="AD13" ca="1">SUMPRODUCT(AD$63:AD$122,TRANSPOSE(SAP_Spreadsheet!$G$237:$BN$237))</f>
        <v>0</v>
      </c>
      <c r="AE13" s="378">
        <f t="array" aca="1" ref="AE13" ca="1">SUMPRODUCT(AE$63:AE$122,TRANSPOSE(SAP_Spreadsheet!$G$237:$BN$237))</f>
        <v>0</v>
      </c>
      <c r="AF13" s="378">
        <f t="array" aca="1" ref="AF13" ca="1">SUMPRODUCT(AF$63:AF$122,TRANSPOSE(SAP_Spreadsheet!$G$237:$BN$237))</f>
        <v>0</v>
      </c>
      <c r="AG13" s="378">
        <f t="array" aca="1" ref="AG13" ca="1">SUMPRODUCT(AG$63:AG$122,TRANSPOSE(SAP_Spreadsheet!$G$237:$BN$237))</f>
        <v>0</v>
      </c>
      <c r="AH13" s="378">
        <f t="array" aca="1" ref="AH13" ca="1">SUMPRODUCT(AH$63:AH$122,TRANSPOSE(SAP_Spreadsheet!$G$237:$BN$237))</f>
        <v>0</v>
      </c>
      <c r="AI13" s="378">
        <f t="array" aca="1" ref="AI13" ca="1">SUMPRODUCT(AI$63:AI$122,TRANSPOSE(SAP_Spreadsheet!$G$237:$BN$237))</f>
        <v>0</v>
      </c>
      <c r="AJ13" s="378">
        <f t="array" aca="1" ref="AJ13" ca="1">SUMPRODUCT(AJ$63:AJ$122,TRANSPOSE(SAP_Spreadsheet!$G$237:$BN$237))</f>
        <v>0</v>
      </c>
      <c r="AK13" s="378">
        <f t="array" aca="1" ref="AK13" ca="1">SUMPRODUCT(AK$63:AK$122,TRANSPOSE(SAP_Spreadsheet!$G$237:$BN$237))</f>
        <v>0</v>
      </c>
      <c r="AL13" s="378">
        <f t="array" aca="1" ref="AL13" ca="1">SUMPRODUCT(AL$63:AL$122,TRANSPOSE(SAP_Spreadsheet!$G$237:$BN$237))</f>
        <v>0</v>
      </c>
      <c r="AM13" s="378">
        <f t="array" aca="1" ref="AM13" ca="1">SUMPRODUCT(AM$63:AM$122,TRANSPOSE(SAP_Spreadsheet!$G$237:$BN$237))</f>
        <v>0</v>
      </c>
      <c r="AN13" s="378">
        <f t="array" aca="1" ref="AN13" ca="1">SUMPRODUCT(AN$63:AN$122,TRANSPOSE(SAP_Spreadsheet!$G$237:$BN$237))</f>
        <v>0</v>
      </c>
      <c r="AO13" s="378">
        <f t="array" aca="1" ref="AO13" ca="1">SUMPRODUCT(AO$63:AO$122,TRANSPOSE(SAP_Spreadsheet!$G$237:$BN$237))</f>
        <v>0</v>
      </c>
      <c r="AP13" s="378">
        <f t="array" aca="1" ref="AP13" ca="1">SUMPRODUCT(AP$63:AP$122,TRANSPOSE(SAP_Spreadsheet!$G$237:$BN$237))</f>
        <v>0</v>
      </c>
      <c r="AQ13" s="378">
        <f t="array" aca="1" ref="AQ13" ca="1">SUMPRODUCT(AQ$63:AQ$122,TRANSPOSE(SAP_Spreadsheet!$G$237:$BN$237))</f>
        <v>0</v>
      </c>
      <c r="AR13" s="378">
        <f t="array" aca="1" ref="AR13" ca="1">SUMPRODUCT(AR$63:AR$122,TRANSPOSE(SAP_Spreadsheet!$G$237:$BN$237))</f>
        <v>0</v>
      </c>
      <c r="AS13" s="378">
        <f t="array" aca="1" ref="AS13" ca="1">SUMPRODUCT(AS$63:AS$122,TRANSPOSE(SAP_Spreadsheet!$G$237:$BN$237))</f>
        <v>0</v>
      </c>
      <c r="AT13" s="378">
        <f t="array" aca="1" ref="AT13" ca="1">SUMPRODUCT(AT$63:AT$122,TRANSPOSE(SAP_Spreadsheet!$G$237:$BN$237))</f>
        <v>0</v>
      </c>
      <c r="AU13" s="378">
        <f t="array" aca="1" ref="AU13" ca="1">SUMPRODUCT(AU$63:AU$122,TRANSPOSE(SAP_Spreadsheet!$G$237:$BN$237))</f>
        <v>0</v>
      </c>
      <c r="AV13" s="378">
        <f t="array" aca="1" ref="AV13" ca="1">SUMPRODUCT(AV$63:AV$122,TRANSPOSE(SAP_Spreadsheet!$G$237:$BN$237))</f>
        <v>0</v>
      </c>
      <c r="AW13" s="378">
        <f t="array" aca="1" ref="AW13" ca="1">SUMPRODUCT(AW$63:AW$122,TRANSPOSE(SAP_Spreadsheet!$G$237:$BN$237))</f>
        <v>0</v>
      </c>
      <c r="AX13" s="378">
        <f t="array" aca="1" ref="AX13" ca="1">SUMPRODUCT(AX$63:AX$122,TRANSPOSE(SAP_Spreadsheet!$G$237:$BN$237))</f>
        <v>0</v>
      </c>
      <c r="AY13" s="378">
        <f t="array" aca="1" ref="AY13" ca="1">SUMPRODUCT(AY$63:AY$122,TRANSPOSE(SAP_Spreadsheet!$G$237:$BN$237))</f>
        <v>0</v>
      </c>
      <c r="AZ13" s="378">
        <f t="array" aca="1" ref="AZ13" ca="1">SUMPRODUCT(AZ$63:AZ$122,TRANSPOSE(SAP_Spreadsheet!$G$237:$BN$237))</f>
        <v>0</v>
      </c>
      <c r="BA13" s="378">
        <f t="array" aca="1" ref="BA13" ca="1">SUMPRODUCT(BA$63:BA$122,TRANSPOSE(SAP_Spreadsheet!$G$237:$BN$237))</f>
        <v>0</v>
      </c>
      <c r="BB13" s="378">
        <f t="array" aca="1" ref="BB13" ca="1">SUMPRODUCT(BB$63:BB$122,TRANSPOSE(SAP_Spreadsheet!$G$237:$BN$237))</f>
        <v>0</v>
      </c>
      <c r="BC13" s="378">
        <f t="array" aca="1" ref="BC13" ca="1">SUMPRODUCT(BC$63:BC$122,TRANSPOSE(SAP_Spreadsheet!$G$237:$BN$237))</f>
        <v>0</v>
      </c>
      <c r="BD13" s="378">
        <f t="array" aca="1" ref="BD13" ca="1">SUMPRODUCT(BD$63:BD$122,TRANSPOSE(SAP_Spreadsheet!$G$237:$BN$237))</f>
        <v>0</v>
      </c>
      <c r="BE13" s="378">
        <f t="array" aca="1" ref="BE13" ca="1">SUMPRODUCT(BE$63:BE$122,TRANSPOSE(SAP_Spreadsheet!$G$237:$BN$237))</f>
        <v>0</v>
      </c>
      <c r="BF13" s="378">
        <f t="array" aca="1" ref="BF13" ca="1">SUMPRODUCT(BF$63:BF$122,TRANSPOSE(SAP_Spreadsheet!$G$237:$BN$237))</f>
        <v>0</v>
      </c>
      <c r="BG13" s="378">
        <f t="array" aca="1" ref="BG13" ca="1">SUMPRODUCT(BG$63:BG$122,TRANSPOSE(SAP_Spreadsheet!$G$237:$BN$237))</f>
        <v>0</v>
      </c>
      <c r="BH13" s="378">
        <f t="array" aca="1" ref="BH13" ca="1">SUMPRODUCT(BH$63:BH$122,TRANSPOSE(SAP_Spreadsheet!$G$237:$BN$237))</f>
        <v>0</v>
      </c>
      <c r="BI13" s="378">
        <f t="array" aca="1" ref="BI13" ca="1">SUMPRODUCT(BI$63:BI$122,TRANSPOSE(SAP_Spreadsheet!$G$237:$BN$237))</f>
        <v>0</v>
      </c>
      <c r="BJ13" s="378">
        <f t="array" aca="1" ref="BJ13" ca="1">SUMPRODUCT(BJ$63:BJ$122,TRANSPOSE(SAP_Spreadsheet!$G$237:$BN$237))</f>
        <v>0</v>
      </c>
      <c r="BK13" s="378">
        <f t="array" aca="1" ref="BK13" ca="1">SUMPRODUCT(BK$63:BK$122,TRANSPOSE(SAP_Spreadsheet!$G$237:$BN$237))</f>
        <v>0</v>
      </c>
      <c r="BL13" s="378">
        <f t="array" aca="1" ref="BL13" ca="1">SUMPRODUCT(BL$63:BL$122,TRANSPOSE(SAP_Spreadsheet!$G$237:$BN$237))</f>
        <v>0</v>
      </c>
    </row>
    <row r="14" spans="1:65" s="379" customFormat="1" x14ac:dyDescent="0.15">
      <c r="A14" s="371"/>
      <c r="B14" s="371"/>
      <c r="D14" s="381" t="s">
        <v>59</v>
      </c>
      <c r="E14" s="382">
        <f t="array" aca="1" ref="E14" ca="1">SUMPRODUCT(E$63:E$122,TRANSPOSE(SAP_Spreadsheet!$G$222:$BN$222))</f>
        <v>0</v>
      </c>
      <c r="F14" s="382">
        <f t="array" aca="1" ref="F14" ca="1">SUMPRODUCT(F$63:F$122,TRANSPOSE(SAP_Spreadsheet!$G$222:$BN$222))</f>
        <v>0</v>
      </c>
      <c r="G14" s="382">
        <f t="array" aca="1" ref="G14" ca="1">SUMPRODUCT(G$63:G$122,TRANSPOSE(SAP_Spreadsheet!$G$222:$BN$222))</f>
        <v>0</v>
      </c>
      <c r="H14" s="382">
        <f t="array" aca="1" ref="H14" ca="1">SUMPRODUCT(H$63:H$122,TRANSPOSE(SAP_Spreadsheet!$G$222:$BN$222))</f>
        <v>0</v>
      </c>
      <c r="I14" s="382">
        <f t="array" aca="1" ref="I14" ca="1">SUMPRODUCT(I$63:I$122,TRANSPOSE(SAP_Spreadsheet!$G$222:$BN$222))</f>
        <v>0</v>
      </c>
      <c r="J14" s="382">
        <f t="array" aca="1" ref="J14" ca="1">SUMPRODUCT(J$63:J$122,TRANSPOSE(SAP_Spreadsheet!$G$222:$BN$222))</f>
        <v>0</v>
      </c>
      <c r="K14" s="382">
        <f t="array" aca="1" ref="K14" ca="1">SUMPRODUCT(K$63:K$122,TRANSPOSE(SAP_Spreadsheet!$G$222:$BN$222))</f>
        <v>0</v>
      </c>
      <c r="L14" s="382">
        <f t="array" aca="1" ref="L14" ca="1">SUMPRODUCT(L$63:L$122,TRANSPOSE(SAP_Spreadsheet!$G$222:$BN$222))</f>
        <v>0</v>
      </c>
      <c r="M14" s="382">
        <f t="array" aca="1" ref="M14" ca="1">SUMPRODUCT(M$63:M$122,TRANSPOSE(SAP_Spreadsheet!$G$222:$BN$222))</f>
        <v>0</v>
      </c>
      <c r="N14" s="382">
        <f t="array" aca="1" ref="N14" ca="1">SUMPRODUCT(N$63:N$122,TRANSPOSE(SAP_Spreadsheet!$G$222:$BN$222))</f>
        <v>0</v>
      </c>
      <c r="O14" s="382">
        <f t="array" aca="1" ref="O14" ca="1">SUMPRODUCT(O$63:O$122,TRANSPOSE(SAP_Spreadsheet!$G$222:$BN$222))</f>
        <v>0</v>
      </c>
      <c r="P14" s="382">
        <f t="array" aca="1" ref="P14" ca="1">SUMPRODUCT(P$63:P$122,TRANSPOSE(SAP_Spreadsheet!$G$222:$BN$222))</f>
        <v>0</v>
      </c>
      <c r="Q14" s="382">
        <f t="array" aca="1" ref="Q14" ca="1">SUMPRODUCT(Q$63:Q$122,TRANSPOSE(SAP_Spreadsheet!$G$222:$BN$222))</f>
        <v>0</v>
      </c>
      <c r="R14" s="382">
        <f t="array" aca="1" ref="R14" ca="1">SUMPRODUCT(R$63:R$122,TRANSPOSE(SAP_Spreadsheet!$G$222:$BN$222))</f>
        <v>0</v>
      </c>
      <c r="S14" s="382">
        <f t="array" aca="1" ref="S14" ca="1">SUMPRODUCT(S$63:S$122,TRANSPOSE(SAP_Spreadsheet!$G$222:$BN$222))</f>
        <v>0</v>
      </c>
      <c r="T14" s="382">
        <f t="array" aca="1" ref="T14" ca="1">SUMPRODUCT(T$63:T$122,TRANSPOSE(SAP_Spreadsheet!$G$222:$BN$222))</f>
        <v>0</v>
      </c>
      <c r="U14" s="382">
        <f t="array" aca="1" ref="U14" ca="1">SUMPRODUCT(U$63:U$122,TRANSPOSE(SAP_Spreadsheet!$G$222:$BN$222))</f>
        <v>0</v>
      </c>
      <c r="V14" s="382">
        <f t="array" aca="1" ref="V14" ca="1">SUMPRODUCT(V$63:V$122,TRANSPOSE(SAP_Spreadsheet!$G$222:$BN$222))</f>
        <v>0</v>
      </c>
      <c r="W14" s="382">
        <f t="array" aca="1" ref="W14" ca="1">SUMPRODUCT(W$63:W$122,TRANSPOSE(SAP_Spreadsheet!$G$222:$BN$222))</f>
        <v>0</v>
      </c>
      <c r="X14" s="382">
        <f t="array" aca="1" ref="X14" ca="1">SUMPRODUCT(X$63:X$122,TRANSPOSE(SAP_Spreadsheet!$G$222:$BN$222))</f>
        <v>0</v>
      </c>
      <c r="Y14" s="382">
        <f t="array" aca="1" ref="Y14" ca="1">SUMPRODUCT(Y$63:Y$122,TRANSPOSE(SAP_Spreadsheet!$G$222:$BN$222))</f>
        <v>0</v>
      </c>
      <c r="Z14" s="382">
        <f t="array" aca="1" ref="Z14" ca="1">SUMPRODUCT(Z$63:Z$122,TRANSPOSE(SAP_Spreadsheet!$G$222:$BN$222))</f>
        <v>0</v>
      </c>
      <c r="AA14" s="382">
        <f t="array" aca="1" ref="AA14" ca="1">SUMPRODUCT(AA$63:AA$122,TRANSPOSE(SAP_Spreadsheet!$G$222:$BN$222))</f>
        <v>0</v>
      </c>
      <c r="AB14" s="382">
        <f t="array" aca="1" ref="AB14" ca="1">SUMPRODUCT(AB$63:AB$122,TRANSPOSE(SAP_Spreadsheet!$G$222:$BN$222))</f>
        <v>0</v>
      </c>
      <c r="AC14" s="382">
        <f t="array" aca="1" ref="AC14" ca="1">SUMPRODUCT(AC$63:AC$122,TRANSPOSE(SAP_Spreadsheet!$G$222:$BN$222))</f>
        <v>0</v>
      </c>
      <c r="AD14" s="382">
        <f t="array" aca="1" ref="AD14" ca="1">SUMPRODUCT(AD$63:AD$122,TRANSPOSE(SAP_Spreadsheet!$G$222:$BN$222))</f>
        <v>0</v>
      </c>
      <c r="AE14" s="382">
        <f t="array" aca="1" ref="AE14" ca="1">SUMPRODUCT(AE$63:AE$122,TRANSPOSE(SAP_Spreadsheet!$G$222:$BN$222))</f>
        <v>0</v>
      </c>
      <c r="AF14" s="382">
        <f t="array" aca="1" ref="AF14" ca="1">SUMPRODUCT(AF$63:AF$122,TRANSPOSE(SAP_Spreadsheet!$G$222:$BN$222))</f>
        <v>0</v>
      </c>
      <c r="AG14" s="382">
        <f t="array" aca="1" ref="AG14" ca="1">SUMPRODUCT(AG$63:AG$122,TRANSPOSE(SAP_Spreadsheet!$G$222:$BN$222))</f>
        <v>0</v>
      </c>
      <c r="AH14" s="382">
        <f t="array" aca="1" ref="AH14" ca="1">SUMPRODUCT(AH$63:AH$122,TRANSPOSE(SAP_Spreadsheet!$G$222:$BN$222))</f>
        <v>0</v>
      </c>
      <c r="AI14" s="382">
        <f t="array" aca="1" ref="AI14" ca="1">SUMPRODUCT(AI$63:AI$122,TRANSPOSE(SAP_Spreadsheet!$G$222:$BN$222))</f>
        <v>0</v>
      </c>
      <c r="AJ14" s="382">
        <f t="array" aca="1" ref="AJ14" ca="1">SUMPRODUCT(AJ$63:AJ$122,TRANSPOSE(SAP_Spreadsheet!$G$222:$BN$222))</f>
        <v>0</v>
      </c>
      <c r="AK14" s="382">
        <f t="array" aca="1" ref="AK14" ca="1">SUMPRODUCT(AK$63:AK$122,TRANSPOSE(SAP_Spreadsheet!$G$222:$BN$222))</f>
        <v>0</v>
      </c>
      <c r="AL14" s="382">
        <f t="array" aca="1" ref="AL14" ca="1">SUMPRODUCT(AL$63:AL$122,TRANSPOSE(SAP_Spreadsheet!$G$222:$BN$222))</f>
        <v>0</v>
      </c>
      <c r="AM14" s="382">
        <f t="array" aca="1" ref="AM14" ca="1">SUMPRODUCT(AM$63:AM$122,TRANSPOSE(SAP_Spreadsheet!$G$222:$BN$222))</f>
        <v>0</v>
      </c>
      <c r="AN14" s="382">
        <f t="array" aca="1" ref="AN14" ca="1">SUMPRODUCT(AN$63:AN$122,TRANSPOSE(SAP_Spreadsheet!$G$222:$BN$222))</f>
        <v>0</v>
      </c>
      <c r="AO14" s="382">
        <f t="array" aca="1" ref="AO14" ca="1">SUMPRODUCT(AO$63:AO$122,TRANSPOSE(SAP_Spreadsheet!$G$222:$BN$222))</f>
        <v>0</v>
      </c>
      <c r="AP14" s="382">
        <f t="array" aca="1" ref="AP14" ca="1">SUMPRODUCT(AP$63:AP$122,TRANSPOSE(SAP_Spreadsheet!$G$222:$BN$222))</f>
        <v>0</v>
      </c>
      <c r="AQ14" s="382">
        <f t="array" aca="1" ref="AQ14" ca="1">SUMPRODUCT(AQ$63:AQ$122,TRANSPOSE(SAP_Spreadsheet!$G$222:$BN$222))</f>
        <v>0</v>
      </c>
      <c r="AR14" s="382">
        <f t="array" aca="1" ref="AR14" ca="1">SUMPRODUCT(AR$63:AR$122,TRANSPOSE(SAP_Spreadsheet!$G$222:$BN$222))</f>
        <v>0</v>
      </c>
      <c r="AS14" s="382">
        <f t="array" aca="1" ref="AS14" ca="1">SUMPRODUCT(AS$63:AS$122,TRANSPOSE(SAP_Spreadsheet!$G$222:$BN$222))</f>
        <v>0</v>
      </c>
      <c r="AT14" s="382">
        <f t="array" aca="1" ref="AT14" ca="1">SUMPRODUCT(AT$63:AT$122,TRANSPOSE(SAP_Spreadsheet!$G$222:$BN$222))</f>
        <v>0</v>
      </c>
      <c r="AU14" s="382">
        <f t="array" aca="1" ref="AU14" ca="1">SUMPRODUCT(AU$63:AU$122,TRANSPOSE(SAP_Spreadsheet!$G$222:$BN$222))</f>
        <v>0</v>
      </c>
      <c r="AV14" s="382">
        <f t="array" aca="1" ref="AV14" ca="1">SUMPRODUCT(AV$63:AV$122,TRANSPOSE(SAP_Spreadsheet!$G$222:$BN$222))</f>
        <v>0</v>
      </c>
      <c r="AW14" s="382">
        <f t="array" aca="1" ref="AW14" ca="1">SUMPRODUCT(AW$63:AW$122,TRANSPOSE(SAP_Spreadsheet!$G$222:$BN$222))</f>
        <v>0</v>
      </c>
      <c r="AX14" s="382">
        <f t="array" aca="1" ref="AX14" ca="1">SUMPRODUCT(AX$63:AX$122,TRANSPOSE(SAP_Spreadsheet!$G$222:$BN$222))</f>
        <v>0</v>
      </c>
      <c r="AY14" s="382">
        <f t="array" aca="1" ref="AY14" ca="1">SUMPRODUCT(AY$63:AY$122,TRANSPOSE(SAP_Spreadsheet!$G$222:$BN$222))</f>
        <v>0</v>
      </c>
      <c r="AZ14" s="382">
        <f t="array" aca="1" ref="AZ14" ca="1">SUMPRODUCT(AZ$63:AZ$122,TRANSPOSE(SAP_Spreadsheet!$G$222:$BN$222))</f>
        <v>0</v>
      </c>
      <c r="BA14" s="382">
        <f t="array" aca="1" ref="BA14" ca="1">SUMPRODUCT(BA$63:BA$122,TRANSPOSE(SAP_Spreadsheet!$G$222:$BN$222))</f>
        <v>0</v>
      </c>
      <c r="BB14" s="382">
        <f t="array" aca="1" ref="BB14" ca="1">SUMPRODUCT(BB$63:BB$122,TRANSPOSE(SAP_Spreadsheet!$G$222:$BN$222))</f>
        <v>0</v>
      </c>
      <c r="BC14" s="382">
        <f t="array" aca="1" ref="BC14" ca="1">SUMPRODUCT(BC$63:BC$122,TRANSPOSE(SAP_Spreadsheet!$G$222:$BN$222))</f>
        <v>0</v>
      </c>
      <c r="BD14" s="382">
        <f t="array" aca="1" ref="BD14" ca="1">SUMPRODUCT(BD$63:BD$122,TRANSPOSE(SAP_Spreadsheet!$G$222:$BN$222))</f>
        <v>0</v>
      </c>
      <c r="BE14" s="382">
        <f t="array" aca="1" ref="BE14" ca="1">SUMPRODUCT(BE$63:BE$122,TRANSPOSE(SAP_Spreadsheet!$G$222:$BN$222))</f>
        <v>0</v>
      </c>
      <c r="BF14" s="382">
        <f t="array" aca="1" ref="BF14" ca="1">SUMPRODUCT(BF$63:BF$122,TRANSPOSE(SAP_Spreadsheet!$G$222:$BN$222))</f>
        <v>0</v>
      </c>
      <c r="BG14" s="382">
        <f t="array" aca="1" ref="BG14" ca="1">SUMPRODUCT(BG$63:BG$122,TRANSPOSE(SAP_Spreadsheet!$G$222:$BN$222))</f>
        <v>0</v>
      </c>
      <c r="BH14" s="382">
        <f t="array" aca="1" ref="BH14" ca="1">SUMPRODUCT(BH$63:BH$122,TRANSPOSE(SAP_Spreadsheet!$G$222:$BN$222))</f>
        <v>0</v>
      </c>
      <c r="BI14" s="382">
        <f t="array" aca="1" ref="BI14" ca="1">SUMPRODUCT(BI$63:BI$122,TRANSPOSE(SAP_Spreadsheet!$G$222:$BN$222))</f>
        <v>0</v>
      </c>
      <c r="BJ14" s="382">
        <f t="array" aca="1" ref="BJ14" ca="1">SUMPRODUCT(BJ$63:BJ$122,TRANSPOSE(SAP_Spreadsheet!$G$222:$BN$222))</f>
        <v>0</v>
      </c>
      <c r="BK14" s="382">
        <f t="array" aca="1" ref="BK14" ca="1">SUMPRODUCT(BK$63:BK$122,TRANSPOSE(SAP_Spreadsheet!$G$222:$BN$222))</f>
        <v>0</v>
      </c>
      <c r="BL14" s="382">
        <f t="array" aca="1" ref="BL14" ca="1">SUMPRODUCT(BL$63:BL$122,TRANSPOSE(SAP_Spreadsheet!$G$222:$BN$222))</f>
        <v>0</v>
      </c>
    </row>
    <row r="15" spans="1:65" s="379" customFormat="1" x14ac:dyDescent="0.15">
      <c r="A15" s="371"/>
      <c r="B15" s="371"/>
      <c r="D15" s="381" t="s">
        <v>64</v>
      </c>
      <c r="E15" s="382">
        <f t="array" aca="1" ref="E15" ca="1">SUMPRODUCT(E$63:E$122,TRANSPOSE(SAP_Spreadsheet!$G$223:$BN$223))</f>
        <v>0</v>
      </c>
      <c r="F15" s="382">
        <f t="array" aca="1" ref="F15" ca="1">SUMPRODUCT(F$63:F$122,TRANSPOSE(SAP_Spreadsheet!$G$223:$BN$223))</f>
        <v>0</v>
      </c>
      <c r="G15" s="382">
        <f t="array" aca="1" ref="G15" ca="1">SUMPRODUCT(G$63:G$122,TRANSPOSE(SAP_Spreadsheet!$G$223:$BN$223))</f>
        <v>0</v>
      </c>
      <c r="H15" s="382">
        <f t="array" aca="1" ref="H15" ca="1">SUMPRODUCT(H$63:H$122,TRANSPOSE(SAP_Spreadsheet!$G$223:$BN$223))</f>
        <v>0</v>
      </c>
      <c r="I15" s="382">
        <f t="array" aca="1" ref="I15" ca="1">SUMPRODUCT(I$63:I$122,TRANSPOSE(SAP_Spreadsheet!$G$223:$BN$223))</f>
        <v>0</v>
      </c>
      <c r="J15" s="382">
        <f t="array" aca="1" ref="J15" ca="1">SUMPRODUCT(J$63:J$122,TRANSPOSE(SAP_Spreadsheet!$G$223:$BN$223))</f>
        <v>0</v>
      </c>
      <c r="K15" s="382">
        <f t="array" aca="1" ref="K15" ca="1">SUMPRODUCT(K$63:K$122,TRANSPOSE(SAP_Spreadsheet!$G$223:$BN$223))</f>
        <v>0</v>
      </c>
      <c r="L15" s="382">
        <f t="array" aca="1" ref="L15" ca="1">SUMPRODUCT(L$63:L$122,TRANSPOSE(SAP_Spreadsheet!$G$223:$BN$223))</f>
        <v>0</v>
      </c>
      <c r="M15" s="382">
        <f t="array" aca="1" ref="M15" ca="1">SUMPRODUCT(M$63:M$122,TRANSPOSE(SAP_Spreadsheet!$G$223:$BN$223))</f>
        <v>0</v>
      </c>
      <c r="N15" s="382">
        <f t="array" aca="1" ref="N15" ca="1">SUMPRODUCT(N$63:N$122,TRANSPOSE(SAP_Spreadsheet!$G$223:$BN$223))</f>
        <v>0</v>
      </c>
      <c r="O15" s="382">
        <f t="array" aca="1" ref="O15" ca="1">SUMPRODUCT(O$63:O$122,TRANSPOSE(SAP_Spreadsheet!$G$223:$BN$223))</f>
        <v>0</v>
      </c>
      <c r="P15" s="382">
        <f t="array" aca="1" ref="P15" ca="1">SUMPRODUCT(P$63:P$122,TRANSPOSE(SAP_Spreadsheet!$G$223:$BN$223))</f>
        <v>0</v>
      </c>
      <c r="Q15" s="382">
        <f t="array" aca="1" ref="Q15" ca="1">SUMPRODUCT(Q$63:Q$122,TRANSPOSE(SAP_Spreadsheet!$G$223:$BN$223))</f>
        <v>0</v>
      </c>
      <c r="R15" s="382">
        <f t="array" aca="1" ref="R15" ca="1">SUMPRODUCT(R$63:R$122,TRANSPOSE(SAP_Spreadsheet!$G$223:$BN$223))</f>
        <v>0</v>
      </c>
      <c r="S15" s="382">
        <f t="array" aca="1" ref="S15" ca="1">SUMPRODUCT(S$63:S$122,TRANSPOSE(SAP_Spreadsheet!$G$223:$BN$223))</f>
        <v>0</v>
      </c>
      <c r="T15" s="382">
        <f t="array" aca="1" ref="T15" ca="1">SUMPRODUCT(T$63:T$122,TRANSPOSE(SAP_Spreadsheet!$G$223:$BN$223))</f>
        <v>0</v>
      </c>
      <c r="U15" s="382">
        <f t="array" aca="1" ref="U15" ca="1">SUMPRODUCT(U$63:U$122,TRANSPOSE(SAP_Spreadsheet!$G$223:$BN$223))</f>
        <v>0</v>
      </c>
      <c r="V15" s="382">
        <f t="array" aca="1" ref="V15" ca="1">SUMPRODUCT(V$63:V$122,TRANSPOSE(SAP_Spreadsheet!$G$223:$BN$223))</f>
        <v>0</v>
      </c>
      <c r="W15" s="382">
        <f t="array" aca="1" ref="W15" ca="1">SUMPRODUCT(W$63:W$122,TRANSPOSE(SAP_Spreadsheet!$G$223:$BN$223))</f>
        <v>0</v>
      </c>
      <c r="X15" s="382">
        <f t="array" aca="1" ref="X15" ca="1">SUMPRODUCT(X$63:X$122,TRANSPOSE(SAP_Spreadsheet!$G$223:$BN$223))</f>
        <v>0</v>
      </c>
      <c r="Y15" s="382">
        <f t="array" aca="1" ref="Y15" ca="1">SUMPRODUCT(Y$63:Y$122,TRANSPOSE(SAP_Spreadsheet!$G$223:$BN$223))</f>
        <v>0</v>
      </c>
      <c r="Z15" s="382">
        <f t="array" aca="1" ref="Z15" ca="1">SUMPRODUCT(Z$63:Z$122,TRANSPOSE(SAP_Spreadsheet!$G$223:$BN$223))</f>
        <v>0</v>
      </c>
      <c r="AA15" s="382">
        <f t="array" aca="1" ref="AA15" ca="1">SUMPRODUCT(AA$63:AA$122,TRANSPOSE(SAP_Spreadsheet!$G$223:$BN$223))</f>
        <v>0</v>
      </c>
      <c r="AB15" s="382">
        <f t="array" aca="1" ref="AB15" ca="1">SUMPRODUCT(AB$63:AB$122,TRANSPOSE(SAP_Spreadsheet!$G$223:$BN$223))</f>
        <v>0</v>
      </c>
      <c r="AC15" s="382">
        <f t="array" aca="1" ref="AC15" ca="1">SUMPRODUCT(AC$63:AC$122,TRANSPOSE(SAP_Spreadsheet!$G$223:$BN$223))</f>
        <v>0</v>
      </c>
      <c r="AD15" s="382">
        <f t="array" aca="1" ref="AD15" ca="1">SUMPRODUCT(AD$63:AD$122,TRANSPOSE(SAP_Spreadsheet!$G$223:$BN$223))</f>
        <v>0</v>
      </c>
      <c r="AE15" s="382">
        <f t="array" aca="1" ref="AE15" ca="1">SUMPRODUCT(AE$63:AE$122,TRANSPOSE(SAP_Spreadsheet!$G$223:$BN$223))</f>
        <v>0</v>
      </c>
      <c r="AF15" s="382">
        <f t="array" aca="1" ref="AF15" ca="1">SUMPRODUCT(AF$63:AF$122,TRANSPOSE(SAP_Spreadsheet!$G$223:$BN$223))</f>
        <v>0</v>
      </c>
      <c r="AG15" s="382">
        <f t="array" aca="1" ref="AG15" ca="1">SUMPRODUCT(AG$63:AG$122,TRANSPOSE(SAP_Spreadsheet!$G$223:$BN$223))</f>
        <v>0</v>
      </c>
      <c r="AH15" s="382">
        <f t="array" aca="1" ref="AH15" ca="1">SUMPRODUCT(AH$63:AH$122,TRANSPOSE(SAP_Spreadsheet!$G$223:$BN$223))</f>
        <v>0</v>
      </c>
      <c r="AI15" s="382">
        <f t="array" aca="1" ref="AI15" ca="1">SUMPRODUCT(AI$63:AI$122,TRANSPOSE(SAP_Spreadsheet!$G$223:$BN$223))</f>
        <v>0</v>
      </c>
      <c r="AJ15" s="382">
        <f t="array" aca="1" ref="AJ15" ca="1">SUMPRODUCT(AJ$63:AJ$122,TRANSPOSE(SAP_Spreadsheet!$G$223:$BN$223))</f>
        <v>0</v>
      </c>
      <c r="AK15" s="382">
        <f t="array" aca="1" ref="AK15" ca="1">SUMPRODUCT(AK$63:AK$122,TRANSPOSE(SAP_Spreadsheet!$G$223:$BN$223))</f>
        <v>0</v>
      </c>
      <c r="AL15" s="382">
        <f t="array" aca="1" ref="AL15" ca="1">SUMPRODUCT(AL$63:AL$122,TRANSPOSE(SAP_Spreadsheet!$G$223:$BN$223))</f>
        <v>0</v>
      </c>
      <c r="AM15" s="382">
        <f t="array" aca="1" ref="AM15" ca="1">SUMPRODUCT(AM$63:AM$122,TRANSPOSE(SAP_Spreadsheet!$G$223:$BN$223))</f>
        <v>0</v>
      </c>
      <c r="AN15" s="382">
        <f t="array" aca="1" ref="AN15" ca="1">SUMPRODUCT(AN$63:AN$122,TRANSPOSE(SAP_Spreadsheet!$G$223:$BN$223))</f>
        <v>0</v>
      </c>
      <c r="AO15" s="382">
        <f t="array" aca="1" ref="AO15" ca="1">SUMPRODUCT(AO$63:AO$122,TRANSPOSE(SAP_Spreadsheet!$G$223:$BN$223))</f>
        <v>0</v>
      </c>
      <c r="AP15" s="382">
        <f t="array" aca="1" ref="AP15" ca="1">SUMPRODUCT(AP$63:AP$122,TRANSPOSE(SAP_Spreadsheet!$G$223:$BN$223))</f>
        <v>0</v>
      </c>
      <c r="AQ15" s="382">
        <f t="array" aca="1" ref="AQ15" ca="1">SUMPRODUCT(AQ$63:AQ$122,TRANSPOSE(SAP_Spreadsheet!$G$223:$BN$223))</f>
        <v>0</v>
      </c>
      <c r="AR15" s="382">
        <f t="array" aca="1" ref="AR15" ca="1">SUMPRODUCT(AR$63:AR$122,TRANSPOSE(SAP_Spreadsheet!$G$223:$BN$223))</f>
        <v>0</v>
      </c>
      <c r="AS15" s="382">
        <f t="array" aca="1" ref="AS15" ca="1">SUMPRODUCT(AS$63:AS$122,TRANSPOSE(SAP_Spreadsheet!$G$223:$BN$223))</f>
        <v>0</v>
      </c>
      <c r="AT15" s="382">
        <f t="array" aca="1" ref="AT15" ca="1">SUMPRODUCT(AT$63:AT$122,TRANSPOSE(SAP_Spreadsheet!$G$223:$BN$223))</f>
        <v>0</v>
      </c>
      <c r="AU15" s="382">
        <f t="array" aca="1" ref="AU15" ca="1">SUMPRODUCT(AU$63:AU$122,TRANSPOSE(SAP_Spreadsheet!$G$223:$BN$223))</f>
        <v>0</v>
      </c>
      <c r="AV15" s="382">
        <f t="array" aca="1" ref="AV15" ca="1">SUMPRODUCT(AV$63:AV$122,TRANSPOSE(SAP_Spreadsheet!$G$223:$BN$223))</f>
        <v>0</v>
      </c>
      <c r="AW15" s="382">
        <f t="array" aca="1" ref="AW15" ca="1">SUMPRODUCT(AW$63:AW$122,TRANSPOSE(SAP_Spreadsheet!$G$223:$BN$223))</f>
        <v>0</v>
      </c>
      <c r="AX15" s="382">
        <f t="array" aca="1" ref="AX15" ca="1">SUMPRODUCT(AX$63:AX$122,TRANSPOSE(SAP_Spreadsheet!$G$223:$BN$223))</f>
        <v>0</v>
      </c>
      <c r="AY15" s="382">
        <f t="array" aca="1" ref="AY15" ca="1">SUMPRODUCT(AY$63:AY$122,TRANSPOSE(SAP_Spreadsheet!$G$223:$BN$223))</f>
        <v>0</v>
      </c>
      <c r="AZ15" s="382">
        <f t="array" aca="1" ref="AZ15" ca="1">SUMPRODUCT(AZ$63:AZ$122,TRANSPOSE(SAP_Spreadsheet!$G$223:$BN$223))</f>
        <v>0</v>
      </c>
      <c r="BA15" s="382">
        <f t="array" aca="1" ref="BA15" ca="1">SUMPRODUCT(BA$63:BA$122,TRANSPOSE(SAP_Spreadsheet!$G$223:$BN$223))</f>
        <v>0</v>
      </c>
      <c r="BB15" s="382">
        <f t="array" aca="1" ref="BB15" ca="1">SUMPRODUCT(BB$63:BB$122,TRANSPOSE(SAP_Spreadsheet!$G$223:$BN$223))</f>
        <v>0</v>
      </c>
      <c r="BC15" s="382">
        <f t="array" aca="1" ref="BC15" ca="1">SUMPRODUCT(BC$63:BC$122,TRANSPOSE(SAP_Spreadsheet!$G$223:$BN$223))</f>
        <v>0</v>
      </c>
      <c r="BD15" s="382">
        <f t="array" aca="1" ref="BD15" ca="1">SUMPRODUCT(BD$63:BD$122,TRANSPOSE(SAP_Spreadsheet!$G$223:$BN$223))</f>
        <v>0</v>
      </c>
      <c r="BE15" s="382">
        <f t="array" aca="1" ref="BE15" ca="1">SUMPRODUCT(BE$63:BE$122,TRANSPOSE(SAP_Spreadsheet!$G$223:$BN$223))</f>
        <v>0</v>
      </c>
      <c r="BF15" s="382">
        <f t="array" aca="1" ref="BF15" ca="1">SUMPRODUCT(BF$63:BF$122,TRANSPOSE(SAP_Spreadsheet!$G$223:$BN$223))</f>
        <v>0</v>
      </c>
      <c r="BG15" s="382">
        <f t="array" aca="1" ref="BG15" ca="1">SUMPRODUCT(BG$63:BG$122,TRANSPOSE(SAP_Spreadsheet!$G$223:$BN$223))</f>
        <v>0</v>
      </c>
      <c r="BH15" s="382">
        <f t="array" aca="1" ref="BH15" ca="1">SUMPRODUCT(BH$63:BH$122,TRANSPOSE(SAP_Spreadsheet!$G$223:$BN$223))</f>
        <v>0</v>
      </c>
      <c r="BI15" s="382">
        <f t="array" aca="1" ref="BI15" ca="1">SUMPRODUCT(BI$63:BI$122,TRANSPOSE(SAP_Spreadsheet!$G$223:$BN$223))</f>
        <v>0</v>
      </c>
      <c r="BJ15" s="382">
        <f t="array" aca="1" ref="BJ15" ca="1">SUMPRODUCT(BJ$63:BJ$122,TRANSPOSE(SAP_Spreadsheet!$G$223:$BN$223))</f>
        <v>0</v>
      </c>
      <c r="BK15" s="382">
        <f t="array" aca="1" ref="BK15" ca="1">SUMPRODUCT(BK$63:BK$122,TRANSPOSE(SAP_Spreadsheet!$G$223:$BN$223))</f>
        <v>0</v>
      </c>
      <c r="BL15" s="382">
        <f t="array" aca="1" ref="BL15" ca="1">SUMPRODUCT(BL$63:BL$122,TRANSPOSE(SAP_Spreadsheet!$G$223:$BN$223))</f>
        <v>0</v>
      </c>
    </row>
    <row r="16" spans="1:65" s="379" customFormat="1" x14ac:dyDescent="0.15">
      <c r="A16" s="371"/>
      <c r="B16" s="371"/>
      <c r="D16" s="381" t="s">
        <v>202</v>
      </c>
      <c r="E16" s="382">
        <f t="array" aca="1" ref="E16" ca="1">SUMPRODUCT(E$63:E$122,TRANSPOSE(SAP_Spreadsheet!$G$224:$BN$224))</f>
        <v>0</v>
      </c>
      <c r="F16" s="382">
        <f t="array" aca="1" ref="F16" ca="1">SUMPRODUCT(F$63:F$122,TRANSPOSE(SAP_Spreadsheet!$G$224:$BN$224))</f>
        <v>0</v>
      </c>
      <c r="G16" s="382">
        <f t="array" aca="1" ref="G16" ca="1">SUMPRODUCT(G$63:G$122,TRANSPOSE(SAP_Spreadsheet!$G$224:$BN$224))</f>
        <v>0</v>
      </c>
      <c r="H16" s="382">
        <f t="array" aca="1" ref="H16" ca="1">SUMPRODUCT(H$63:H$122,TRANSPOSE(SAP_Spreadsheet!$G$224:$BN$224))</f>
        <v>0</v>
      </c>
      <c r="I16" s="382">
        <f t="array" aca="1" ref="I16" ca="1">SUMPRODUCT(I$63:I$122,TRANSPOSE(SAP_Spreadsheet!$G$224:$BN$224))</f>
        <v>0</v>
      </c>
      <c r="J16" s="382">
        <f t="array" aca="1" ref="J16" ca="1">SUMPRODUCT(J$63:J$122,TRANSPOSE(SAP_Spreadsheet!$G$224:$BN$224))</f>
        <v>0</v>
      </c>
      <c r="K16" s="382">
        <f t="array" aca="1" ref="K16" ca="1">SUMPRODUCT(K$63:K$122,TRANSPOSE(SAP_Spreadsheet!$G$224:$BN$224))</f>
        <v>0</v>
      </c>
      <c r="L16" s="382">
        <f t="array" aca="1" ref="L16" ca="1">SUMPRODUCT(L$63:L$122,TRANSPOSE(SAP_Spreadsheet!$G$224:$BN$224))</f>
        <v>0</v>
      </c>
      <c r="M16" s="382">
        <f t="array" aca="1" ref="M16" ca="1">SUMPRODUCT(M$63:M$122,TRANSPOSE(SAP_Spreadsheet!$G$224:$BN$224))</f>
        <v>0</v>
      </c>
      <c r="N16" s="382">
        <f t="array" aca="1" ref="N16" ca="1">SUMPRODUCT(N$63:N$122,TRANSPOSE(SAP_Spreadsheet!$G$224:$BN$224))</f>
        <v>0</v>
      </c>
      <c r="O16" s="382">
        <f t="array" aca="1" ref="O16" ca="1">SUMPRODUCT(O$63:O$122,TRANSPOSE(SAP_Spreadsheet!$G$224:$BN$224))</f>
        <v>0</v>
      </c>
      <c r="P16" s="382">
        <f t="array" aca="1" ref="P16" ca="1">SUMPRODUCT(P$63:P$122,TRANSPOSE(SAP_Spreadsheet!$G$224:$BN$224))</f>
        <v>0</v>
      </c>
      <c r="Q16" s="382">
        <f t="array" aca="1" ref="Q16" ca="1">SUMPRODUCT(Q$63:Q$122,TRANSPOSE(SAP_Spreadsheet!$G$224:$BN$224))</f>
        <v>0</v>
      </c>
      <c r="R16" s="382">
        <f t="array" aca="1" ref="R16" ca="1">SUMPRODUCT(R$63:R$122,TRANSPOSE(SAP_Spreadsheet!$G$224:$BN$224))</f>
        <v>0</v>
      </c>
      <c r="S16" s="382">
        <f t="array" aca="1" ref="S16" ca="1">SUMPRODUCT(S$63:S$122,TRANSPOSE(SAP_Spreadsheet!$G$224:$BN$224))</f>
        <v>0</v>
      </c>
      <c r="T16" s="382">
        <f t="array" aca="1" ref="T16" ca="1">SUMPRODUCT(T$63:T$122,TRANSPOSE(SAP_Spreadsheet!$G$224:$BN$224))</f>
        <v>0</v>
      </c>
      <c r="U16" s="382">
        <f t="array" aca="1" ref="U16" ca="1">SUMPRODUCT(U$63:U$122,TRANSPOSE(SAP_Spreadsheet!$G$224:$BN$224))</f>
        <v>0</v>
      </c>
      <c r="V16" s="382">
        <f t="array" aca="1" ref="V16" ca="1">SUMPRODUCT(V$63:V$122,TRANSPOSE(SAP_Spreadsheet!$G$224:$BN$224))</f>
        <v>0</v>
      </c>
      <c r="W16" s="382">
        <f t="array" aca="1" ref="W16" ca="1">SUMPRODUCT(W$63:W$122,TRANSPOSE(SAP_Spreadsheet!$G$224:$BN$224))</f>
        <v>0</v>
      </c>
      <c r="X16" s="382">
        <f t="array" aca="1" ref="X16" ca="1">SUMPRODUCT(X$63:X$122,TRANSPOSE(SAP_Spreadsheet!$G$224:$BN$224))</f>
        <v>0</v>
      </c>
      <c r="Y16" s="382">
        <f t="array" aca="1" ref="Y16" ca="1">SUMPRODUCT(Y$63:Y$122,TRANSPOSE(SAP_Spreadsheet!$G$224:$BN$224))</f>
        <v>0</v>
      </c>
      <c r="Z16" s="382">
        <f t="array" aca="1" ref="Z16" ca="1">SUMPRODUCT(Z$63:Z$122,TRANSPOSE(SAP_Spreadsheet!$G$224:$BN$224))</f>
        <v>0</v>
      </c>
      <c r="AA16" s="382">
        <f t="array" aca="1" ref="AA16" ca="1">SUMPRODUCT(AA$63:AA$122,TRANSPOSE(SAP_Spreadsheet!$G$224:$BN$224))</f>
        <v>0</v>
      </c>
      <c r="AB16" s="382">
        <f t="array" aca="1" ref="AB16" ca="1">SUMPRODUCT(AB$63:AB$122,TRANSPOSE(SAP_Spreadsheet!$G$224:$BN$224))</f>
        <v>0</v>
      </c>
      <c r="AC16" s="382">
        <f t="array" aca="1" ref="AC16" ca="1">SUMPRODUCT(AC$63:AC$122,TRANSPOSE(SAP_Spreadsheet!$G$224:$BN$224))</f>
        <v>0</v>
      </c>
      <c r="AD16" s="382">
        <f t="array" aca="1" ref="AD16" ca="1">SUMPRODUCT(AD$63:AD$122,TRANSPOSE(SAP_Spreadsheet!$G$224:$BN$224))</f>
        <v>0</v>
      </c>
      <c r="AE16" s="382">
        <f t="array" aca="1" ref="AE16" ca="1">SUMPRODUCT(AE$63:AE$122,TRANSPOSE(SAP_Spreadsheet!$G$224:$BN$224))</f>
        <v>0</v>
      </c>
      <c r="AF16" s="382">
        <f t="array" aca="1" ref="AF16" ca="1">SUMPRODUCT(AF$63:AF$122,TRANSPOSE(SAP_Spreadsheet!$G$224:$BN$224))</f>
        <v>0</v>
      </c>
      <c r="AG16" s="382">
        <f t="array" aca="1" ref="AG16" ca="1">SUMPRODUCT(AG$63:AG$122,TRANSPOSE(SAP_Spreadsheet!$G$224:$BN$224))</f>
        <v>0</v>
      </c>
      <c r="AH16" s="382">
        <f t="array" aca="1" ref="AH16" ca="1">SUMPRODUCT(AH$63:AH$122,TRANSPOSE(SAP_Spreadsheet!$G$224:$BN$224))</f>
        <v>0</v>
      </c>
      <c r="AI16" s="382">
        <f t="array" aca="1" ref="AI16" ca="1">SUMPRODUCT(AI$63:AI$122,TRANSPOSE(SAP_Spreadsheet!$G$224:$BN$224))</f>
        <v>0</v>
      </c>
      <c r="AJ16" s="382">
        <f t="array" aca="1" ref="AJ16" ca="1">SUMPRODUCT(AJ$63:AJ$122,TRANSPOSE(SAP_Spreadsheet!$G$224:$BN$224))</f>
        <v>0</v>
      </c>
      <c r="AK16" s="382">
        <f t="array" aca="1" ref="AK16" ca="1">SUMPRODUCT(AK$63:AK$122,TRANSPOSE(SAP_Spreadsheet!$G$224:$BN$224))</f>
        <v>0</v>
      </c>
      <c r="AL16" s="382">
        <f t="array" aca="1" ref="AL16" ca="1">SUMPRODUCT(AL$63:AL$122,TRANSPOSE(SAP_Spreadsheet!$G$224:$BN$224))</f>
        <v>0</v>
      </c>
      <c r="AM16" s="382">
        <f t="array" aca="1" ref="AM16" ca="1">SUMPRODUCT(AM$63:AM$122,TRANSPOSE(SAP_Spreadsheet!$G$224:$BN$224))</f>
        <v>0</v>
      </c>
      <c r="AN16" s="382">
        <f t="array" aca="1" ref="AN16" ca="1">SUMPRODUCT(AN$63:AN$122,TRANSPOSE(SAP_Spreadsheet!$G$224:$BN$224))</f>
        <v>0</v>
      </c>
      <c r="AO16" s="382">
        <f t="array" aca="1" ref="AO16" ca="1">SUMPRODUCT(AO$63:AO$122,TRANSPOSE(SAP_Spreadsheet!$G$224:$BN$224))</f>
        <v>0</v>
      </c>
      <c r="AP16" s="382">
        <f t="array" aca="1" ref="AP16" ca="1">SUMPRODUCT(AP$63:AP$122,TRANSPOSE(SAP_Spreadsheet!$G$224:$BN$224))</f>
        <v>0</v>
      </c>
      <c r="AQ16" s="382">
        <f t="array" aca="1" ref="AQ16" ca="1">SUMPRODUCT(AQ$63:AQ$122,TRANSPOSE(SAP_Spreadsheet!$G$224:$BN$224))</f>
        <v>0</v>
      </c>
      <c r="AR16" s="382">
        <f t="array" aca="1" ref="AR16" ca="1">SUMPRODUCT(AR$63:AR$122,TRANSPOSE(SAP_Spreadsheet!$G$224:$BN$224))</f>
        <v>0</v>
      </c>
      <c r="AS16" s="382">
        <f t="array" aca="1" ref="AS16" ca="1">SUMPRODUCT(AS$63:AS$122,TRANSPOSE(SAP_Spreadsheet!$G$224:$BN$224))</f>
        <v>0</v>
      </c>
      <c r="AT16" s="382">
        <f t="array" aca="1" ref="AT16" ca="1">SUMPRODUCT(AT$63:AT$122,TRANSPOSE(SAP_Spreadsheet!$G$224:$BN$224))</f>
        <v>0</v>
      </c>
      <c r="AU16" s="382">
        <f t="array" aca="1" ref="AU16" ca="1">SUMPRODUCT(AU$63:AU$122,TRANSPOSE(SAP_Spreadsheet!$G$224:$BN$224))</f>
        <v>0</v>
      </c>
      <c r="AV16" s="382">
        <f t="array" aca="1" ref="AV16" ca="1">SUMPRODUCT(AV$63:AV$122,TRANSPOSE(SAP_Spreadsheet!$G$224:$BN$224))</f>
        <v>0</v>
      </c>
      <c r="AW16" s="382">
        <f t="array" aca="1" ref="AW16" ca="1">SUMPRODUCT(AW$63:AW$122,TRANSPOSE(SAP_Spreadsheet!$G$224:$BN$224))</f>
        <v>0</v>
      </c>
      <c r="AX16" s="382">
        <f t="array" aca="1" ref="AX16" ca="1">SUMPRODUCT(AX$63:AX$122,TRANSPOSE(SAP_Spreadsheet!$G$224:$BN$224))</f>
        <v>0</v>
      </c>
      <c r="AY16" s="382">
        <f t="array" aca="1" ref="AY16" ca="1">SUMPRODUCT(AY$63:AY$122,TRANSPOSE(SAP_Spreadsheet!$G$224:$BN$224))</f>
        <v>0</v>
      </c>
      <c r="AZ16" s="382">
        <f t="array" aca="1" ref="AZ16" ca="1">SUMPRODUCT(AZ$63:AZ$122,TRANSPOSE(SAP_Spreadsheet!$G$224:$BN$224))</f>
        <v>0</v>
      </c>
      <c r="BA16" s="382">
        <f t="array" aca="1" ref="BA16" ca="1">SUMPRODUCT(BA$63:BA$122,TRANSPOSE(SAP_Spreadsheet!$G$224:$BN$224))</f>
        <v>0</v>
      </c>
      <c r="BB16" s="382">
        <f t="array" aca="1" ref="BB16" ca="1">SUMPRODUCT(BB$63:BB$122,TRANSPOSE(SAP_Spreadsheet!$G$224:$BN$224))</f>
        <v>0</v>
      </c>
      <c r="BC16" s="382">
        <f t="array" aca="1" ref="BC16" ca="1">SUMPRODUCT(BC$63:BC$122,TRANSPOSE(SAP_Spreadsheet!$G$224:$BN$224))</f>
        <v>0</v>
      </c>
      <c r="BD16" s="382">
        <f t="array" aca="1" ref="BD16" ca="1">SUMPRODUCT(BD$63:BD$122,TRANSPOSE(SAP_Spreadsheet!$G$224:$BN$224))</f>
        <v>0</v>
      </c>
      <c r="BE16" s="382">
        <f t="array" aca="1" ref="BE16" ca="1">SUMPRODUCT(BE$63:BE$122,TRANSPOSE(SAP_Spreadsheet!$G$224:$BN$224))</f>
        <v>0</v>
      </c>
      <c r="BF16" s="382">
        <f t="array" aca="1" ref="BF16" ca="1">SUMPRODUCT(BF$63:BF$122,TRANSPOSE(SAP_Spreadsheet!$G$224:$BN$224))</f>
        <v>0</v>
      </c>
      <c r="BG16" s="382">
        <f t="array" aca="1" ref="BG16" ca="1">SUMPRODUCT(BG$63:BG$122,TRANSPOSE(SAP_Spreadsheet!$G$224:$BN$224))</f>
        <v>0</v>
      </c>
      <c r="BH16" s="382">
        <f t="array" aca="1" ref="BH16" ca="1">SUMPRODUCT(BH$63:BH$122,TRANSPOSE(SAP_Spreadsheet!$G$224:$BN$224))</f>
        <v>0</v>
      </c>
      <c r="BI16" s="382">
        <f t="array" aca="1" ref="BI16" ca="1">SUMPRODUCT(BI$63:BI$122,TRANSPOSE(SAP_Spreadsheet!$G$224:$BN$224))</f>
        <v>0</v>
      </c>
      <c r="BJ16" s="382">
        <f t="array" aca="1" ref="BJ16" ca="1">SUMPRODUCT(BJ$63:BJ$122,TRANSPOSE(SAP_Spreadsheet!$G$224:$BN$224))</f>
        <v>0</v>
      </c>
      <c r="BK16" s="382">
        <f t="array" aca="1" ref="BK16" ca="1">SUMPRODUCT(BK$63:BK$122,TRANSPOSE(SAP_Spreadsheet!$G$224:$BN$224))</f>
        <v>0</v>
      </c>
      <c r="BL16" s="382">
        <f t="array" aca="1" ref="BL16" ca="1">SUMPRODUCT(BL$63:BL$122,TRANSPOSE(SAP_Spreadsheet!$G$224:$BN$224))</f>
        <v>0</v>
      </c>
    </row>
    <row r="17" spans="1:65" s="379" customFormat="1" x14ac:dyDescent="0.15">
      <c r="A17" s="371"/>
      <c r="B17" s="371"/>
      <c r="D17" s="381" t="s">
        <v>66</v>
      </c>
      <c r="E17" s="382">
        <f t="array" aca="1" ref="E17" ca="1">SUMPRODUCT(E$63:E$122,TRANSPOSE(SAP_Spreadsheet!$G$225:$BN$225))</f>
        <v>0</v>
      </c>
      <c r="F17" s="382">
        <f t="array" aca="1" ref="F17" ca="1">SUMPRODUCT(F$63:F$122,TRANSPOSE(SAP_Spreadsheet!$G$225:$BN$225))</f>
        <v>0</v>
      </c>
      <c r="G17" s="382">
        <f t="array" aca="1" ref="G17" ca="1">SUMPRODUCT(G$63:G$122,TRANSPOSE(SAP_Spreadsheet!$G$225:$BN$225))</f>
        <v>0</v>
      </c>
      <c r="H17" s="382">
        <f t="array" aca="1" ref="H17" ca="1">SUMPRODUCT(H$63:H$122,TRANSPOSE(SAP_Spreadsheet!$G$225:$BN$225))</f>
        <v>0</v>
      </c>
      <c r="I17" s="382">
        <f t="array" aca="1" ref="I17" ca="1">SUMPRODUCT(I$63:I$122,TRANSPOSE(SAP_Spreadsheet!$G$225:$BN$225))</f>
        <v>0</v>
      </c>
      <c r="J17" s="382">
        <f t="array" aca="1" ref="J17" ca="1">SUMPRODUCT(J$63:J$122,TRANSPOSE(SAP_Spreadsheet!$G$225:$BN$225))</f>
        <v>0</v>
      </c>
      <c r="K17" s="382">
        <f t="array" aca="1" ref="K17" ca="1">SUMPRODUCT(K$63:K$122,TRANSPOSE(SAP_Spreadsheet!$G$225:$BN$225))</f>
        <v>0</v>
      </c>
      <c r="L17" s="382">
        <f t="array" aca="1" ref="L17" ca="1">SUMPRODUCT(L$63:L$122,TRANSPOSE(SAP_Spreadsheet!$G$225:$BN$225))</f>
        <v>0</v>
      </c>
      <c r="M17" s="382">
        <f t="array" aca="1" ref="M17" ca="1">SUMPRODUCT(M$63:M$122,TRANSPOSE(SAP_Spreadsheet!$G$225:$BN$225))</f>
        <v>0</v>
      </c>
      <c r="N17" s="382">
        <f t="array" aca="1" ref="N17" ca="1">SUMPRODUCT(N$63:N$122,TRANSPOSE(SAP_Spreadsheet!$G$225:$BN$225))</f>
        <v>0</v>
      </c>
      <c r="O17" s="382">
        <f t="array" aca="1" ref="O17" ca="1">SUMPRODUCT(O$63:O$122,TRANSPOSE(SAP_Spreadsheet!$G$225:$BN$225))</f>
        <v>0</v>
      </c>
      <c r="P17" s="382">
        <f t="array" aca="1" ref="P17" ca="1">SUMPRODUCT(P$63:P$122,TRANSPOSE(SAP_Spreadsheet!$G$225:$BN$225))</f>
        <v>0</v>
      </c>
      <c r="Q17" s="382">
        <f t="array" aca="1" ref="Q17" ca="1">SUMPRODUCT(Q$63:Q$122,TRANSPOSE(SAP_Spreadsheet!$G$225:$BN$225))</f>
        <v>0</v>
      </c>
      <c r="R17" s="382">
        <f t="array" aca="1" ref="R17" ca="1">SUMPRODUCT(R$63:R$122,TRANSPOSE(SAP_Spreadsheet!$G$225:$BN$225))</f>
        <v>0</v>
      </c>
      <c r="S17" s="382">
        <f t="array" aca="1" ref="S17" ca="1">SUMPRODUCT(S$63:S$122,TRANSPOSE(SAP_Spreadsheet!$G$225:$BN$225))</f>
        <v>0</v>
      </c>
      <c r="T17" s="382">
        <f t="array" aca="1" ref="T17" ca="1">SUMPRODUCT(T$63:T$122,TRANSPOSE(SAP_Spreadsheet!$G$225:$BN$225))</f>
        <v>0</v>
      </c>
      <c r="U17" s="382">
        <f t="array" aca="1" ref="U17" ca="1">SUMPRODUCT(U$63:U$122,TRANSPOSE(SAP_Spreadsheet!$G$225:$BN$225))</f>
        <v>0</v>
      </c>
      <c r="V17" s="382">
        <f t="array" aca="1" ref="V17" ca="1">SUMPRODUCT(V$63:V$122,TRANSPOSE(SAP_Spreadsheet!$G$225:$BN$225))</f>
        <v>0</v>
      </c>
      <c r="W17" s="382">
        <f t="array" aca="1" ref="W17" ca="1">SUMPRODUCT(W$63:W$122,TRANSPOSE(SAP_Spreadsheet!$G$225:$BN$225))</f>
        <v>0</v>
      </c>
      <c r="X17" s="382">
        <f t="array" aca="1" ref="X17" ca="1">SUMPRODUCT(X$63:X$122,TRANSPOSE(SAP_Spreadsheet!$G$225:$BN$225))</f>
        <v>0</v>
      </c>
      <c r="Y17" s="382">
        <f t="array" aca="1" ref="Y17" ca="1">SUMPRODUCT(Y$63:Y$122,TRANSPOSE(SAP_Spreadsheet!$G$225:$BN$225))</f>
        <v>0</v>
      </c>
      <c r="Z17" s="382">
        <f t="array" aca="1" ref="Z17" ca="1">SUMPRODUCT(Z$63:Z$122,TRANSPOSE(SAP_Spreadsheet!$G$225:$BN$225))</f>
        <v>0</v>
      </c>
      <c r="AA17" s="382">
        <f t="array" aca="1" ref="AA17" ca="1">SUMPRODUCT(AA$63:AA$122,TRANSPOSE(SAP_Spreadsheet!$G$225:$BN$225))</f>
        <v>0</v>
      </c>
      <c r="AB17" s="382">
        <f t="array" aca="1" ref="AB17" ca="1">SUMPRODUCT(AB$63:AB$122,TRANSPOSE(SAP_Spreadsheet!$G$225:$BN$225))</f>
        <v>0</v>
      </c>
      <c r="AC17" s="382">
        <f t="array" aca="1" ref="AC17" ca="1">SUMPRODUCT(AC$63:AC$122,TRANSPOSE(SAP_Spreadsheet!$G$225:$BN$225))</f>
        <v>0</v>
      </c>
      <c r="AD17" s="382">
        <f t="array" aca="1" ref="AD17" ca="1">SUMPRODUCT(AD$63:AD$122,TRANSPOSE(SAP_Spreadsheet!$G$225:$BN$225))</f>
        <v>0</v>
      </c>
      <c r="AE17" s="382">
        <f t="array" aca="1" ref="AE17" ca="1">SUMPRODUCT(AE$63:AE$122,TRANSPOSE(SAP_Spreadsheet!$G$225:$BN$225))</f>
        <v>0</v>
      </c>
      <c r="AF17" s="382">
        <f t="array" aca="1" ref="AF17" ca="1">SUMPRODUCT(AF$63:AF$122,TRANSPOSE(SAP_Spreadsheet!$G$225:$BN$225))</f>
        <v>0</v>
      </c>
      <c r="AG17" s="382">
        <f t="array" aca="1" ref="AG17" ca="1">SUMPRODUCT(AG$63:AG$122,TRANSPOSE(SAP_Spreadsheet!$G$225:$BN$225))</f>
        <v>0</v>
      </c>
      <c r="AH17" s="382">
        <f t="array" aca="1" ref="AH17" ca="1">SUMPRODUCT(AH$63:AH$122,TRANSPOSE(SAP_Spreadsheet!$G$225:$BN$225))</f>
        <v>0</v>
      </c>
      <c r="AI17" s="382">
        <f t="array" aca="1" ref="AI17" ca="1">SUMPRODUCT(AI$63:AI$122,TRANSPOSE(SAP_Spreadsheet!$G$225:$BN$225))</f>
        <v>0</v>
      </c>
      <c r="AJ17" s="382">
        <f t="array" aca="1" ref="AJ17" ca="1">SUMPRODUCT(AJ$63:AJ$122,TRANSPOSE(SAP_Spreadsheet!$G$225:$BN$225))</f>
        <v>0</v>
      </c>
      <c r="AK17" s="382">
        <f t="array" aca="1" ref="AK17" ca="1">SUMPRODUCT(AK$63:AK$122,TRANSPOSE(SAP_Spreadsheet!$G$225:$BN$225))</f>
        <v>0</v>
      </c>
      <c r="AL17" s="382">
        <f t="array" aca="1" ref="AL17" ca="1">SUMPRODUCT(AL$63:AL$122,TRANSPOSE(SAP_Spreadsheet!$G$225:$BN$225))</f>
        <v>0</v>
      </c>
      <c r="AM17" s="382">
        <f t="array" aca="1" ref="AM17" ca="1">SUMPRODUCT(AM$63:AM$122,TRANSPOSE(SAP_Spreadsheet!$G$225:$BN$225))</f>
        <v>0</v>
      </c>
      <c r="AN17" s="382">
        <f t="array" aca="1" ref="AN17" ca="1">SUMPRODUCT(AN$63:AN$122,TRANSPOSE(SAP_Spreadsheet!$G$225:$BN$225))</f>
        <v>0</v>
      </c>
      <c r="AO17" s="382">
        <f t="array" aca="1" ref="AO17" ca="1">SUMPRODUCT(AO$63:AO$122,TRANSPOSE(SAP_Spreadsheet!$G$225:$BN$225))</f>
        <v>0</v>
      </c>
      <c r="AP17" s="382">
        <f t="array" aca="1" ref="AP17" ca="1">SUMPRODUCT(AP$63:AP$122,TRANSPOSE(SAP_Spreadsheet!$G$225:$BN$225))</f>
        <v>0</v>
      </c>
      <c r="AQ17" s="382">
        <f t="array" aca="1" ref="AQ17" ca="1">SUMPRODUCT(AQ$63:AQ$122,TRANSPOSE(SAP_Spreadsheet!$G$225:$BN$225))</f>
        <v>0</v>
      </c>
      <c r="AR17" s="382">
        <f t="array" aca="1" ref="AR17" ca="1">SUMPRODUCT(AR$63:AR$122,TRANSPOSE(SAP_Spreadsheet!$G$225:$BN$225))</f>
        <v>0</v>
      </c>
      <c r="AS17" s="382">
        <f t="array" aca="1" ref="AS17" ca="1">SUMPRODUCT(AS$63:AS$122,TRANSPOSE(SAP_Spreadsheet!$G$225:$BN$225))</f>
        <v>0</v>
      </c>
      <c r="AT17" s="382">
        <f t="array" aca="1" ref="AT17" ca="1">SUMPRODUCT(AT$63:AT$122,TRANSPOSE(SAP_Spreadsheet!$G$225:$BN$225))</f>
        <v>0</v>
      </c>
      <c r="AU17" s="382">
        <f t="array" aca="1" ref="AU17" ca="1">SUMPRODUCT(AU$63:AU$122,TRANSPOSE(SAP_Spreadsheet!$G$225:$BN$225))</f>
        <v>0</v>
      </c>
      <c r="AV17" s="382">
        <f t="array" aca="1" ref="AV17" ca="1">SUMPRODUCT(AV$63:AV$122,TRANSPOSE(SAP_Spreadsheet!$G$225:$BN$225))</f>
        <v>0</v>
      </c>
      <c r="AW17" s="382">
        <f t="array" aca="1" ref="AW17" ca="1">SUMPRODUCT(AW$63:AW$122,TRANSPOSE(SAP_Spreadsheet!$G$225:$BN$225))</f>
        <v>0</v>
      </c>
      <c r="AX17" s="382">
        <f t="array" aca="1" ref="AX17" ca="1">SUMPRODUCT(AX$63:AX$122,TRANSPOSE(SAP_Spreadsheet!$G$225:$BN$225))</f>
        <v>0</v>
      </c>
      <c r="AY17" s="382">
        <f t="array" aca="1" ref="AY17" ca="1">SUMPRODUCT(AY$63:AY$122,TRANSPOSE(SAP_Spreadsheet!$G$225:$BN$225))</f>
        <v>0</v>
      </c>
      <c r="AZ17" s="382">
        <f t="array" aca="1" ref="AZ17" ca="1">SUMPRODUCT(AZ$63:AZ$122,TRANSPOSE(SAP_Spreadsheet!$G$225:$BN$225))</f>
        <v>0</v>
      </c>
      <c r="BA17" s="382">
        <f t="array" aca="1" ref="BA17" ca="1">SUMPRODUCT(BA$63:BA$122,TRANSPOSE(SAP_Spreadsheet!$G$225:$BN$225))</f>
        <v>0</v>
      </c>
      <c r="BB17" s="382">
        <f t="array" aca="1" ref="BB17" ca="1">SUMPRODUCT(BB$63:BB$122,TRANSPOSE(SAP_Spreadsheet!$G$225:$BN$225))</f>
        <v>0</v>
      </c>
      <c r="BC17" s="382">
        <f t="array" aca="1" ref="BC17" ca="1">SUMPRODUCT(BC$63:BC$122,TRANSPOSE(SAP_Spreadsheet!$G$225:$BN$225))</f>
        <v>0</v>
      </c>
      <c r="BD17" s="382">
        <f t="array" aca="1" ref="BD17" ca="1">SUMPRODUCT(BD$63:BD$122,TRANSPOSE(SAP_Spreadsheet!$G$225:$BN$225))</f>
        <v>0</v>
      </c>
      <c r="BE17" s="382">
        <f t="array" aca="1" ref="BE17" ca="1">SUMPRODUCT(BE$63:BE$122,TRANSPOSE(SAP_Spreadsheet!$G$225:$BN$225))</f>
        <v>0</v>
      </c>
      <c r="BF17" s="382">
        <f t="array" aca="1" ref="BF17" ca="1">SUMPRODUCT(BF$63:BF$122,TRANSPOSE(SAP_Spreadsheet!$G$225:$BN$225))</f>
        <v>0</v>
      </c>
      <c r="BG17" s="382">
        <f t="array" aca="1" ref="BG17" ca="1">SUMPRODUCT(BG$63:BG$122,TRANSPOSE(SAP_Spreadsheet!$G$225:$BN$225))</f>
        <v>0</v>
      </c>
      <c r="BH17" s="382">
        <f t="array" aca="1" ref="BH17" ca="1">SUMPRODUCT(BH$63:BH$122,TRANSPOSE(SAP_Spreadsheet!$G$225:$BN$225))</f>
        <v>0</v>
      </c>
      <c r="BI17" s="382">
        <f t="array" aca="1" ref="BI17" ca="1">SUMPRODUCT(BI$63:BI$122,TRANSPOSE(SAP_Spreadsheet!$G$225:$BN$225))</f>
        <v>0</v>
      </c>
      <c r="BJ17" s="382">
        <f t="array" aca="1" ref="BJ17" ca="1">SUMPRODUCT(BJ$63:BJ$122,TRANSPOSE(SAP_Spreadsheet!$G$225:$BN$225))</f>
        <v>0</v>
      </c>
      <c r="BK17" s="382">
        <f t="array" aca="1" ref="BK17" ca="1">SUMPRODUCT(BK$63:BK$122,TRANSPOSE(SAP_Spreadsheet!$G$225:$BN$225))</f>
        <v>0</v>
      </c>
      <c r="BL17" s="382">
        <f t="array" aca="1" ref="BL17" ca="1">SUMPRODUCT(BL$63:BL$122,TRANSPOSE(SAP_Spreadsheet!$G$225:$BN$225))</f>
        <v>0</v>
      </c>
    </row>
    <row r="18" spans="1:65" s="379" customFormat="1" x14ac:dyDescent="0.15">
      <c r="A18" s="371"/>
      <c r="B18" s="371"/>
      <c r="D18" s="383" t="s">
        <v>68</v>
      </c>
      <c r="E18" s="382">
        <f t="array" aca="1" ref="E18" ca="1">SUMPRODUCT(E$63:E$122,TRANSPOSE(SAP_Spreadsheet!$G$226:$BN$226))</f>
        <v>0</v>
      </c>
      <c r="F18" s="382">
        <f t="array" aca="1" ref="F18" ca="1">SUMPRODUCT(F$63:F$122,TRANSPOSE(SAP_Spreadsheet!$G$226:$BN$226))</f>
        <v>0</v>
      </c>
      <c r="G18" s="382">
        <f t="array" aca="1" ref="G18" ca="1">SUMPRODUCT(G$63:G$122,TRANSPOSE(SAP_Spreadsheet!$G$226:$BN$226))</f>
        <v>0</v>
      </c>
      <c r="H18" s="382">
        <f t="array" aca="1" ref="H18" ca="1">SUMPRODUCT(H$63:H$122,TRANSPOSE(SAP_Spreadsheet!$G$226:$BN$226))</f>
        <v>0</v>
      </c>
      <c r="I18" s="382">
        <f t="array" aca="1" ref="I18" ca="1">SUMPRODUCT(I$63:I$122,TRANSPOSE(SAP_Spreadsheet!$G$226:$BN$226))</f>
        <v>0</v>
      </c>
      <c r="J18" s="382">
        <f t="array" aca="1" ref="J18" ca="1">SUMPRODUCT(J$63:J$122,TRANSPOSE(SAP_Spreadsheet!$G$226:$BN$226))</f>
        <v>0</v>
      </c>
      <c r="K18" s="382">
        <f t="array" aca="1" ref="K18" ca="1">SUMPRODUCT(K$63:K$122,TRANSPOSE(SAP_Spreadsheet!$G$226:$BN$226))</f>
        <v>0</v>
      </c>
      <c r="L18" s="382">
        <f t="array" aca="1" ref="L18" ca="1">SUMPRODUCT(L$63:L$122,TRANSPOSE(SAP_Spreadsheet!$G$226:$BN$226))</f>
        <v>0</v>
      </c>
      <c r="M18" s="382">
        <f t="array" aca="1" ref="M18" ca="1">SUMPRODUCT(M$63:M$122,TRANSPOSE(SAP_Spreadsheet!$G$226:$BN$226))</f>
        <v>0</v>
      </c>
      <c r="N18" s="382">
        <f t="array" aca="1" ref="N18" ca="1">SUMPRODUCT(N$63:N$122,TRANSPOSE(SAP_Spreadsheet!$G$226:$BN$226))</f>
        <v>0</v>
      </c>
      <c r="O18" s="382">
        <f t="array" aca="1" ref="O18" ca="1">SUMPRODUCT(O$63:O$122,TRANSPOSE(SAP_Spreadsheet!$G$226:$BN$226))</f>
        <v>0</v>
      </c>
      <c r="P18" s="382">
        <f t="array" aca="1" ref="P18" ca="1">SUMPRODUCT(P$63:P$122,TRANSPOSE(SAP_Spreadsheet!$G$226:$BN$226))</f>
        <v>0</v>
      </c>
      <c r="Q18" s="382">
        <f t="array" aca="1" ref="Q18" ca="1">SUMPRODUCT(Q$63:Q$122,TRANSPOSE(SAP_Spreadsheet!$G$226:$BN$226))</f>
        <v>0</v>
      </c>
      <c r="R18" s="382">
        <f t="array" aca="1" ref="R18" ca="1">SUMPRODUCT(R$63:R$122,TRANSPOSE(SAP_Spreadsheet!$G$226:$BN$226))</f>
        <v>0</v>
      </c>
      <c r="S18" s="382">
        <f t="array" aca="1" ref="S18" ca="1">SUMPRODUCT(S$63:S$122,TRANSPOSE(SAP_Spreadsheet!$G$226:$BN$226))</f>
        <v>0</v>
      </c>
      <c r="T18" s="382">
        <f t="array" aca="1" ref="T18" ca="1">SUMPRODUCT(T$63:T$122,TRANSPOSE(SAP_Spreadsheet!$G$226:$BN$226))</f>
        <v>0</v>
      </c>
      <c r="U18" s="382">
        <f t="array" aca="1" ref="U18" ca="1">SUMPRODUCT(U$63:U$122,TRANSPOSE(SAP_Spreadsheet!$G$226:$BN$226))</f>
        <v>0</v>
      </c>
      <c r="V18" s="382">
        <f t="array" aca="1" ref="V18" ca="1">SUMPRODUCT(V$63:V$122,TRANSPOSE(SAP_Spreadsheet!$G$226:$BN$226))</f>
        <v>0</v>
      </c>
      <c r="W18" s="382">
        <f t="array" aca="1" ref="W18" ca="1">SUMPRODUCT(W$63:W$122,TRANSPOSE(SAP_Spreadsheet!$G$226:$BN$226))</f>
        <v>0</v>
      </c>
      <c r="X18" s="382">
        <f t="array" aca="1" ref="X18" ca="1">SUMPRODUCT(X$63:X$122,TRANSPOSE(SAP_Spreadsheet!$G$226:$BN$226))</f>
        <v>0</v>
      </c>
      <c r="Y18" s="382">
        <f t="array" aca="1" ref="Y18" ca="1">SUMPRODUCT(Y$63:Y$122,TRANSPOSE(SAP_Spreadsheet!$G$226:$BN$226))</f>
        <v>0</v>
      </c>
      <c r="Z18" s="382">
        <f t="array" aca="1" ref="Z18" ca="1">SUMPRODUCT(Z$63:Z$122,TRANSPOSE(SAP_Spreadsheet!$G$226:$BN$226))</f>
        <v>0</v>
      </c>
      <c r="AA18" s="382">
        <f t="array" aca="1" ref="AA18" ca="1">SUMPRODUCT(AA$63:AA$122,TRANSPOSE(SAP_Spreadsheet!$G$226:$BN$226))</f>
        <v>0</v>
      </c>
      <c r="AB18" s="382">
        <f t="array" aca="1" ref="AB18" ca="1">SUMPRODUCT(AB$63:AB$122,TRANSPOSE(SAP_Spreadsheet!$G$226:$BN$226))</f>
        <v>0</v>
      </c>
      <c r="AC18" s="382">
        <f t="array" aca="1" ref="AC18" ca="1">SUMPRODUCT(AC$63:AC$122,TRANSPOSE(SAP_Spreadsheet!$G$226:$BN$226))</f>
        <v>0</v>
      </c>
      <c r="AD18" s="382">
        <f t="array" aca="1" ref="AD18" ca="1">SUMPRODUCT(AD$63:AD$122,TRANSPOSE(SAP_Spreadsheet!$G$226:$BN$226))</f>
        <v>0</v>
      </c>
      <c r="AE18" s="382">
        <f t="array" aca="1" ref="AE18" ca="1">SUMPRODUCT(AE$63:AE$122,TRANSPOSE(SAP_Spreadsheet!$G$226:$BN$226))</f>
        <v>0</v>
      </c>
      <c r="AF18" s="382">
        <f t="array" aca="1" ref="AF18" ca="1">SUMPRODUCT(AF$63:AF$122,TRANSPOSE(SAP_Spreadsheet!$G$226:$BN$226))</f>
        <v>0</v>
      </c>
      <c r="AG18" s="382">
        <f t="array" aca="1" ref="AG18" ca="1">SUMPRODUCT(AG$63:AG$122,TRANSPOSE(SAP_Spreadsheet!$G$226:$BN$226))</f>
        <v>0</v>
      </c>
      <c r="AH18" s="382">
        <f t="array" aca="1" ref="AH18" ca="1">SUMPRODUCT(AH$63:AH$122,TRANSPOSE(SAP_Spreadsheet!$G$226:$BN$226))</f>
        <v>0</v>
      </c>
      <c r="AI18" s="382">
        <f t="array" aca="1" ref="AI18" ca="1">SUMPRODUCT(AI$63:AI$122,TRANSPOSE(SAP_Spreadsheet!$G$226:$BN$226))</f>
        <v>0</v>
      </c>
      <c r="AJ18" s="382">
        <f t="array" aca="1" ref="AJ18" ca="1">SUMPRODUCT(AJ$63:AJ$122,TRANSPOSE(SAP_Spreadsheet!$G$226:$BN$226))</f>
        <v>0</v>
      </c>
      <c r="AK18" s="382">
        <f t="array" aca="1" ref="AK18" ca="1">SUMPRODUCT(AK$63:AK$122,TRANSPOSE(SAP_Spreadsheet!$G$226:$BN$226))</f>
        <v>0</v>
      </c>
      <c r="AL18" s="382">
        <f t="array" aca="1" ref="AL18" ca="1">SUMPRODUCT(AL$63:AL$122,TRANSPOSE(SAP_Spreadsheet!$G$226:$BN$226))</f>
        <v>0</v>
      </c>
      <c r="AM18" s="382">
        <f t="array" aca="1" ref="AM18" ca="1">SUMPRODUCT(AM$63:AM$122,TRANSPOSE(SAP_Spreadsheet!$G$226:$BN$226))</f>
        <v>0</v>
      </c>
      <c r="AN18" s="382">
        <f t="array" aca="1" ref="AN18" ca="1">SUMPRODUCT(AN$63:AN$122,TRANSPOSE(SAP_Spreadsheet!$G$226:$BN$226))</f>
        <v>0</v>
      </c>
      <c r="AO18" s="382">
        <f t="array" aca="1" ref="AO18" ca="1">SUMPRODUCT(AO$63:AO$122,TRANSPOSE(SAP_Spreadsheet!$G$226:$BN$226))</f>
        <v>0</v>
      </c>
      <c r="AP18" s="382">
        <f t="array" aca="1" ref="AP18" ca="1">SUMPRODUCT(AP$63:AP$122,TRANSPOSE(SAP_Spreadsheet!$G$226:$BN$226))</f>
        <v>0</v>
      </c>
      <c r="AQ18" s="382">
        <f t="array" aca="1" ref="AQ18" ca="1">SUMPRODUCT(AQ$63:AQ$122,TRANSPOSE(SAP_Spreadsheet!$G$226:$BN$226))</f>
        <v>0</v>
      </c>
      <c r="AR18" s="382">
        <f t="array" aca="1" ref="AR18" ca="1">SUMPRODUCT(AR$63:AR$122,TRANSPOSE(SAP_Spreadsheet!$G$226:$BN$226))</f>
        <v>0</v>
      </c>
      <c r="AS18" s="382">
        <f t="array" aca="1" ref="AS18" ca="1">SUMPRODUCT(AS$63:AS$122,TRANSPOSE(SAP_Spreadsheet!$G$226:$BN$226))</f>
        <v>0</v>
      </c>
      <c r="AT18" s="382">
        <f t="array" aca="1" ref="AT18" ca="1">SUMPRODUCT(AT$63:AT$122,TRANSPOSE(SAP_Spreadsheet!$G$226:$BN$226))</f>
        <v>0</v>
      </c>
      <c r="AU18" s="382">
        <f t="array" aca="1" ref="AU18" ca="1">SUMPRODUCT(AU$63:AU$122,TRANSPOSE(SAP_Spreadsheet!$G$226:$BN$226))</f>
        <v>0</v>
      </c>
      <c r="AV18" s="382">
        <f t="array" aca="1" ref="AV18" ca="1">SUMPRODUCT(AV$63:AV$122,TRANSPOSE(SAP_Spreadsheet!$G$226:$BN$226))</f>
        <v>0</v>
      </c>
      <c r="AW18" s="382">
        <f t="array" aca="1" ref="AW18" ca="1">SUMPRODUCT(AW$63:AW$122,TRANSPOSE(SAP_Spreadsheet!$G$226:$BN$226))</f>
        <v>0</v>
      </c>
      <c r="AX18" s="382">
        <f t="array" aca="1" ref="AX18" ca="1">SUMPRODUCT(AX$63:AX$122,TRANSPOSE(SAP_Spreadsheet!$G$226:$BN$226))</f>
        <v>0</v>
      </c>
      <c r="AY18" s="382">
        <f t="array" aca="1" ref="AY18" ca="1">SUMPRODUCT(AY$63:AY$122,TRANSPOSE(SAP_Spreadsheet!$G$226:$BN$226))</f>
        <v>0</v>
      </c>
      <c r="AZ18" s="382">
        <f t="array" aca="1" ref="AZ18" ca="1">SUMPRODUCT(AZ$63:AZ$122,TRANSPOSE(SAP_Spreadsheet!$G$226:$BN$226))</f>
        <v>0</v>
      </c>
      <c r="BA18" s="382">
        <f t="array" aca="1" ref="BA18" ca="1">SUMPRODUCT(BA$63:BA$122,TRANSPOSE(SAP_Spreadsheet!$G$226:$BN$226))</f>
        <v>0</v>
      </c>
      <c r="BB18" s="382">
        <f t="array" aca="1" ref="BB18" ca="1">SUMPRODUCT(BB$63:BB$122,TRANSPOSE(SAP_Spreadsheet!$G$226:$BN$226))</f>
        <v>0</v>
      </c>
      <c r="BC18" s="382">
        <f t="array" aca="1" ref="BC18" ca="1">SUMPRODUCT(BC$63:BC$122,TRANSPOSE(SAP_Spreadsheet!$G$226:$BN$226))</f>
        <v>0</v>
      </c>
      <c r="BD18" s="382">
        <f t="array" aca="1" ref="BD18" ca="1">SUMPRODUCT(BD$63:BD$122,TRANSPOSE(SAP_Spreadsheet!$G$226:$BN$226))</f>
        <v>0</v>
      </c>
      <c r="BE18" s="382">
        <f t="array" aca="1" ref="BE18" ca="1">SUMPRODUCT(BE$63:BE$122,TRANSPOSE(SAP_Spreadsheet!$G$226:$BN$226))</f>
        <v>0</v>
      </c>
      <c r="BF18" s="382">
        <f t="array" aca="1" ref="BF18" ca="1">SUMPRODUCT(BF$63:BF$122,TRANSPOSE(SAP_Spreadsheet!$G$226:$BN$226))</f>
        <v>0</v>
      </c>
      <c r="BG18" s="382">
        <f t="array" aca="1" ref="BG18" ca="1">SUMPRODUCT(BG$63:BG$122,TRANSPOSE(SAP_Spreadsheet!$G$226:$BN$226))</f>
        <v>0</v>
      </c>
      <c r="BH18" s="382">
        <f t="array" aca="1" ref="BH18" ca="1">SUMPRODUCT(BH$63:BH$122,TRANSPOSE(SAP_Spreadsheet!$G$226:$BN$226))</f>
        <v>0</v>
      </c>
      <c r="BI18" s="382">
        <f t="array" aca="1" ref="BI18" ca="1">SUMPRODUCT(BI$63:BI$122,TRANSPOSE(SAP_Spreadsheet!$G$226:$BN$226))</f>
        <v>0</v>
      </c>
      <c r="BJ18" s="382">
        <f t="array" aca="1" ref="BJ18" ca="1">SUMPRODUCT(BJ$63:BJ$122,TRANSPOSE(SAP_Spreadsheet!$G$226:$BN$226))</f>
        <v>0</v>
      </c>
      <c r="BK18" s="382">
        <f t="array" aca="1" ref="BK18" ca="1">SUMPRODUCT(BK$63:BK$122,TRANSPOSE(SAP_Spreadsheet!$G$226:$BN$226))</f>
        <v>0</v>
      </c>
      <c r="BL18" s="382">
        <f t="array" aca="1" ref="BL18" ca="1">SUMPRODUCT(BL$63:BL$122,TRANSPOSE(SAP_Spreadsheet!$G$226:$BN$226))</f>
        <v>0</v>
      </c>
    </row>
    <row r="19" spans="1:65" s="379" customFormat="1" x14ac:dyDescent="0.15">
      <c r="A19" s="371"/>
      <c r="B19" s="371"/>
      <c r="D19" s="381" t="s">
        <v>206</v>
      </c>
      <c r="E19" s="382">
        <f t="array" aca="1" ref="E19" ca="1">SUMPRODUCT(E$63:E$122,TRANSPOSE(SAP_Spreadsheet!$G$227:$BN$227))</f>
        <v>0</v>
      </c>
      <c r="F19" s="382">
        <f t="array" aca="1" ref="F19" ca="1">SUMPRODUCT(F$63:F$122,TRANSPOSE(SAP_Spreadsheet!$G$227:$BN$227))</f>
        <v>0</v>
      </c>
      <c r="G19" s="382">
        <f t="array" aca="1" ref="G19" ca="1">SUMPRODUCT(G$63:G$122,TRANSPOSE(SAP_Spreadsheet!$G$227:$BN$227))</f>
        <v>0</v>
      </c>
      <c r="H19" s="382">
        <f t="array" aca="1" ref="H19" ca="1">SUMPRODUCT(H$63:H$122,TRANSPOSE(SAP_Spreadsheet!$G$227:$BN$227))</f>
        <v>0</v>
      </c>
      <c r="I19" s="382">
        <f t="array" aca="1" ref="I19" ca="1">SUMPRODUCT(I$63:I$122,TRANSPOSE(SAP_Spreadsheet!$G$227:$BN$227))</f>
        <v>0</v>
      </c>
      <c r="J19" s="382">
        <f t="array" aca="1" ref="J19" ca="1">SUMPRODUCT(J$63:J$122,TRANSPOSE(SAP_Spreadsheet!$G$227:$BN$227))</f>
        <v>0</v>
      </c>
      <c r="K19" s="382">
        <f t="array" aca="1" ref="K19" ca="1">SUMPRODUCT(K$63:K$122,TRANSPOSE(SAP_Spreadsheet!$G$227:$BN$227))</f>
        <v>0</v>
      </c>
      <c r="L19" s="382">
        <f t="array" aca="1" ref="L19" ca="1">SUMPRODUCT(L$63:L$122,TRANSPOSE(SAP_Spreadsheet!$G$227:$BN$227))</f>
        <v>0</v>
      </c>
      <c r="M19" s="382">
        <f t="array" aca="1" ref="M19" ca="1">SUMPRODUCT(M$63:M$122,TRANSPOSE(SAP_Spreadsheet!$G$227:$BN$227))</f>
        <v>0</v>
      </c>
      <c r="N19" s="382">
        <f t="array" aca="1" ref="N19" ca="1">SUMPRODUCT(N$63:N$122,TRANSPOSE(SAP_Spreadsheet!$G$227:$BN$227))</f>
        <v>0</v>
      </c>
      <c r="O19" s="382">
        <f t="array" aca="1" ref="O19" ca="1">SUMPRODUCT(O$63:O$122,TRANSPOSE(SAP_Spreadsheet!$G$227:$BN$227))</f>
        <v>0</v>
      </c>
      <c r="P19" s="382">
        <f t="array" aca="1" ref="P19" ca="1">SUMPRODUCT(P$63:P$122,TRANSPOSE(SAP_Spreadsheet!$G$227:$BN$227))</f>
        <v>0</v>
      </c>
      <c r="Q19" s="382">
        <f t="array" aca="1" ref="Q19" ca="1">SUMPRODUCT(Q$63:Q$122,TRANSPOSE(SAP_Spreadsheet!$G$227:$BN$227))</f>
        <v>0</v>
      </c>
      <c r="R19" s="382">
        <f t="array" aca="1" ref="R19" ca="1">SUMPRODUCT(R$63:R$122,TRANSPOSE(SAP_Spreadsheet!$G$227:$BN$227))</f>
        <v>0</v>
      </c>
      <c r="S19" s="382">
        <f t="array" aca="1" ref="S19" ca="1">SUMPRODUCT(S$63:S$122,TRANSPOSE(SAP_Spreadsheet!$G$227:$BN$227))</f>
        <v>0</v>
      </c>
      <c r="T19" s="382">
        <f t="array" aca="1" ref="T19" ca="1">SUMPRODUCT(T$63:T$122,TRANSPOSE(SAP_Spreadsheet!$G$227:$BN$227))</f>
        <v>0</v>
      </c>
      <c r="U19" s="382">
        <f t="array" aca="1" ref="U19" ca="1">SUMPRODUCT(U$63:U$122,TRANSPOSE(SAP_Spreadsheet!$G$227:$BN$227))</f>
        <v>0</v>
      </c>
      <c r="V19" s="382">
        <f t="array" aca="1" ref="V19" ca="1">SUMPRODUCT(V$63:V$122,TRANSPOSE(SAP_Spreadsheet!$G$227:$BN$227))</f>
        <v>0</v>
      </c>
      <c r="W19" s="382">
        <f t="array" aca="1" ref="W19" ca="1">SUMPRODUCT(W$63:W$122,TRANSPOSE(SAP_Spreadsheet!$G$227:$BN$227))</f>
        <v>0</v>
      </c>
      <c r="X19" s="382">
        <f t="array" aca="1" ref="X19" ca="1">SUMPRODUCT(X$63:X$122,TRANSPOSE(SAP_Spreadsheet!$G$227:$BN$227))</f>
        <v>0</v>
      </c>
      <c r="Y19" s="382">
        <f t="array" aca="1" ref="Y19" ca="1">SUMPRODUCT(Y$63:Y$122,TRANSPOSE(SAP_Spreadsheet!$G$227:$BN$227))</f>
        <v>0</v>
      </c>
      <c r="Z19" s="382">
        <f t="array" aca="1" ref="Z19" ca="1">SUMPRODUCT(Z$63:Z$122,TRANSPOSE(SAP_Spreadsheet!$G$227:$BN$227))</f>
        <v>0</v>
      </c>
      <c r="AA19" s="382">
        <f t="array" aca="1" ref="AA19" ca="1">SUMPRODUCT(AA$63:AA$122,TRANSPOSE(SAP_Spreadsheet!$G$227:$BN$227))</f>
        <v>0</v>
      </c>
      <c r="AB19" s="382">
        <f t="array" aca="1" ref="AB19" ca="1">SUMPRODUCT(AB$63:AB$122,TRANSPOSE(SAP_Spreadsheet!$G$227:$BN$227))</f>
        <v>0</v>
      </c>
      <c r="AC19" s="382">
        <f t="array" aca="1" ref="AC19" ca="1">SUMPRODUCT(AC$63:AC$122,TRANSPOSE(SAP_Spreadsheet!$G$227:$BN$227))</f>
        <v>0</v>
      </c>
      <c r="AD19" s="382">
        <f t="array" aca="1" ref="AD19" ca="1">SUMPRODUCT(AD$63:AD$122,TRANSPOSE(SAP_Spreadsheet!$G$227:$BN$227))</f>
        <v>0</v>
      </c>
      <c r="AE19" s="382">
        <f t="array" aca="1" ref="AE19" ca="1">SUMPRODUCT(AE$63:AE$122,TRANSPOSE(SAP_Spreadsheet!$G$227:$BN$227))</f>
        <v>0</v>
      </c>
      <c r="AF19" s="382">
        <f t="array" aca="1" ref="AF19" ca="1">SUMPRODUCT(AF$63:AF$122,TRANSPOSE(SAP_Spreadsheet!$G$227:$BN$227))</f>
        <v>0</v>
      </c>
      <c r="AG19" s="382">
        <f t="array" aca="1" ref="AG19" ca="1">SUMPRODUCT(AG$63:AG$122,TRANSPOSE(SAP_Spreadsheet!$G$227:$BN$227))</f>
        <v>0</v>
      </c>
      <c r="AH19" s="382">
        <f t="array" aca="1" ref="AH19" ca="1">SUMPRODUCT(AH$63:AH$122,TRANSPOSE(SAP_Spreadsheet!$G$227:$BN$227))</f>
        <v>0</v>
      </c>
      <c r="AI19" s="382">
        <f t="array" aca="1" ref="AI19" ca="1">SUMPRODUCT(AI$63:AI$122,TRANSPOSE(SAP_Spreadsheet!$G$227:$BN$227))</f>
        <v>0</v>
      </c>
      <c r="AJ19" s="382">
        <f t="array" aca="1" ref="AJ19" ca="1">SUMPRODUCT(AJ$63:AJ$122,TRANSPOSE(SAP_Spreadsheet!$G$227:$BN$227))</f>
        <v>0</v>
      </c>
      <c r="AK19" s="382">
        <f t="array" aca="1" ref="AK19" ca="1">SUMPRODUCT(AK$63:AK$122,TRANSPOSE(SAP_Spreadsheet!$G$227:$BN$227))</f>
        <v>0</v>
      </c>
      <c r="AL19" s="382">
        <f t="array" aca="1" ref="AL19" ca="1">SUMPRODUCT(AL$63:AL$122,TRANSPOSE(SAP_Spreadsheet!$G$227:$BN$227))</f>
        <v>0</v>
      </c>
      <c r="AM19" s="382">
        <f t="array" aca="1" ref="AM19" ca="1">SUMPRODUCT(AM$63:AM$122,TRANSPOSE(SAP_Spreadsheet!$G$227:$BN$227))</f>
        <v>0</v>
      </c>
      <c r="AN19" s="382">
        <f t="array" aca="1" ref="AN19" ca="1">SUMPRODUCT(AN$63:AN$122,TRANSPOSE(SAP_Spreadsheet!$G$227:$BN$227))</f>
        <v>0</v>
      </c>
      <c r="AO19" s="382">
        <f t="array" aca="1" ref="AO19" ca="1">SUMPRODUCT(AO$63:AO$122,TRANSPOSE(SAP_Spreadsheet!$G$227:$BN$227))</f>
        <v>0</v>
      </c>
      <c r="AP19" s="382">
        <f t="array" aca="1" ref="AP19" ca="1">SUMPRODUCT(AP$63:AP$122,TRANSPOSE(SAP_Spreadsheet!$G$227:$BN$227))</f>
        <v>0</v>
      </c>
      <c r="AQ19" s="382">
        <f t="array" aca="1" ref="AQ19" ca="1">SUMPRODUCT(AQ$63:AQ$122,TRANSPOSE(SAP_Spreadsheet!$G$227:$BN$227))</f>
        <v>0</v>
      </c>
      <c r="AR19" s="382">
        <f t="array" aca="1" ref="AR19" ca="1">SUMPRODUCT(AR$63:AR$122,TRANSPOSE(SAP_Spreadsheet!$G$227:$BN$227))</f>
        <v>0</v>
      </c>
      <c r="AS19" s="382">
        <f t="array" aca="1" ref="AS19" ca="1">SUMPRODUCT(AS$63:AS$122,TRANSPOSE(SAP_Spreadsheet!$G$227:$BN$227))</f>
        <v>0</v>
      </c>
      <c r="AT19" s="382">
        <f t="array" aca="1" ref="AT19" ca="1">SUMPRODUCT(AT$63:AT$122,TRANSPOSE(SAP_Spreadsheet!$G$227:$BN$227))</f>
        <v>0</v>
      </c>
      <c r="AU19" s="382">
        <f t="array" aca="1" ref="AU19" ca="1">SUMPRODUCT(AU$63:AU$122,TRANSPOSE(SAP_Spreadsheet!$G$227:$BN$227))</f>
        <v>0</v>
      </c>
      <c r="AV19" s="382">
        <f t="array" aca="1" ref="AV19" ca="1">SUMPRODUCT(AV$63:AV$122,TRANSPOSE(SAP_Spreadsheet!$G$227:$BN$227))</f>
        <v>0</v>
      </c>
      <c r="AW19" s="382">
        <f t="array" aca="1" ref="AW19" ca="1">SUMPRODUCT(AW$63:AW$122,TRANSPOSE(SAP_Spreadsheet!$G$227:$BN$227))</f>
        <v>0</v>
      </c>
      <c r="AX19" s="382">
        <f t="array" aca="1" ref="AX19" ca="1">SUMPRODUCT(AX$63:AX$122,TRANSPOSE(SAP_Spreadsheet!$G$227:$BN$227))</f>
        <v>0</v>
      </c>
      <c r="AY19" s="382">
        <f t="array" aca="1" ref="AY19" ca="1">SUMPRODUCT(AY$63:AY$122,TRANSPOSE(SAP_Spreadsheet!$G$227:$BN$227))</f>
        <v>0</v>
      </c>
      <c r="AZ19" s="382">
        <f t="array" aca="1" ref="AZ19" ca="1">SUMPRODUCT(AZ$63:AZ$122,TRANSPOSE(SAP_Spreadsheet!$G$227:$BN$227))</f>
        <v>0</v>
      </c>
      <c r="BA19" s="382">
        <f t="array" aca="1" ref="BA19" ca="1">SUMPRODUCT(BA$63:BA$122,TRANSPOSE(SAP_Spreadsheet!$G$227:$BN$227))</f>
        <v>0</v>
      </c>
      <c r="BB19" s="382">
        <f t="array" aca="1" ref="BB19" ca="1">SUMPRODUCT(BB$63:BB$122,TRANSPOSE(SAP_Spreadsheet!$G$227:$BN$227))</f>
        <v>0</v>
      </c>
      <c r="BC19" s="382">
        <f t="array" aca="1" ref="BC19" ca="1">SUMPRODUCT(BC$63:BC$122,TRANSPOSE(SAP_Spreadsheet!$G$227:$BN$227))</f>
        <v>0</v>
      </c>
      <c r="BD19" s="382">
        <f t="array" aca="1" ref="BD19" ca="1">SUMPRODUCT(BD$63:BD$122,TRANSPOSE(SAP_Spreadsheet!$G$227:$BN$227))</f>
        <v>0</v>
      </c>
      <c r="BE19" s="382">
        <f t="array" aca="1" ref="BE19" ca="1">SUMPRODUCT(BE$63:BE$122,TRANSPOSE(SAP_Spreadsheet!$G$227:$BN$227))</f>
        <v>0</v>
      </c>
      <c r="BF19" s="382">
        <f t="array" aca="1" ref="BF19" ca="1">SUMPRODUCT(BF$63:BF$122,TRANSPOSE(SAP_Spreadsheet!$G$227:$BN$227))</f>
        <v>0</v>
      </c>
      <c r="BG19" s="382">
        <f t="array" aca="1" ref="BG19" ca="1">SUMPRODUCT(BG$63:BG$122,TRANSPOSE(SAP_Spreadsheet!$G$227:$BN$227))</f>
        <v>0</v>
      </c>
      <c r="BH19" s="382">
        <f t="array" aca="1" ref="BH19" ca="1">SUMPRODUCT(BH$63:BH$122,TRANSPOSE(SAP_Spreadsheet!$G$227:$BN$227))</f>
        <v>0</v>
      </c>
      <c r="BI19" s="382">
        <f t="array" aca="1" ref="BI19" ca="1">SUMPRODUCT(BI$63:BI$122,TRANSPOSE(SAP_Spreadsheet!$G$227:$BN$227))</f>
        <v>0</v>
      </c>
      <c r="BJ19" s="382">
        <f t="array" aca="1" ref="BJ19" ca="1">SUMPRODUCT(BJ$63:BJ$122,TRANSPOSE(SAP_Spreadsheet!$G$227:$BN$227))</f>
        <v>0</v>
      </c>
      <c r="BK19" s="382">
        <f t="array" aca="1" ref="BK19" ca="1">SUMPRODUCT(BK$63:BK$122,TRANSPOSE(SAP_Spreadsheet!$G$227:$BN$227))</f>
        <v>0</v>
      </c>
      <c r="BL19" s="382">
        <f t="array" aca="1" ref="BL19" ca="1">SUMPRODUCT(BL$63:BL$122,TRANSPOSE(SAP_Spreadsheet!$G$227:$BN$227))</f>
        <v>0</v>
      </c>
    </row>
    <row r="20" spans="1:65" s="379" customFormat="1" x14ac:dyDescent="0.15">
      <c r="A20" s="371"/>
      <c r="B20" s="371"/>
      <c r="D20" s="384" t="s">
        <v>74</v>
      </c>
      <c r="E20" s="382">
        <f t="array" aca="1" ref="E20" ca="1">SUMPRODUCT(E$63:E$122,TRANSPOSE(SAP_Spreadsheet!$G$230:$BN$230))</f>
        <v>0</v>
      </c>
      <c r="F20" s="382">
        <f t="array" aca="1" ref="F20" ca="1">SUMPRODUCT(F$63:F$122,TRANSPOSE(SAP_Spreadsheet!$G$230:$BN$230))</f>
        <v>0</v>
      </c>
      <c r="G20" s="382">
        <f t="array" aca="1" ref="G20" ca="1">SUMPRODUCT(G$63:G$122,TRANSPOSE(SAP_Spreadsheet!$G$230:$BN$230))</f>
        <v>0</v>
      </c>
      <c r="H20" s="382">
        <f t="array" aca="1" ref="H20" ca="1">SUMPRODUCT(H$63:H$122,TRANSPOSE(SAP_Spreadsheet!$G$230:$BN$230))</f>
        <v>0</v>
      </c>
      <c r="I20" s="382">
        <f t="array" aca="1" ref="I20" ca="1">SUMPRODUCT(I$63:I$122,TRANSPOSE(SAP_Spreadsheet!$G$230:$BN$230))</f>
        <v>0</v>
      </c>
      <c r="J20" s="382">
        <f t="array" aca="1" ref="J20" ca="1">SUMPRODUCT(J$63:J$122,TRANSPOSE(SAP_Spreadsheet!$G$230:$BN$230))</f>
        <v>0</v>
      </c>
      <c r="K20" s="382">
        <f t="array" aca="1" ref="K20" ca="1">SUMPRODUCT(K$63:K$122,TRANSPOSE(SAP_Spreadsheet!$G$230:$BN$230))</f>
        <v>0</v>
      </c>
      <c r="L20" s="382">
        <f t="array" aca="1" ref="L20" ca="1">SUMPRODUCT(L$63:L$122,TRANSPOSE(SAP_Spreadsheet!$G$230:$BN$230))</f>
        <v>0</v>
      </c>
      <c r="M20" s="382">
        <f t="array" aca="1" ref="M20" ca="1">SUMPRODUCT(M$63:M$122,TRANSPOSE(SAP_Spreadsheet!$G$230:$BN$230))</f>
        <v>0</v>
      </c>
      <c r="N20" s="382">
        <f t="array" aca="1" ref="N20" ca="1">SUMPRODUCT(N$63:N$122,TRANSPOSE(SAP_Spreadsheet!$G$230:$BN$230))</f>
        <v>0</v>
      </c>
      <c r="O20" s="382">
        <f t="array" aca="1" ref="O20" ca="1">SUMPRODUCT(O$63:O$122,TRANSPOSE(SAP_Spreadsheet!$G$230:$BN$230))</f>
        <v>0</v>
      </c>
      <c r="P20" s="382">
        <f t="array" aca="1" ref="P20" ca="1">SUMPRODUCT(P$63:P$122,TRANSPOSE(SAP_Spreadsheet!$G$230:$BN$230))</f>
        <v>0</v>
      </c>
      <c r="Q20" s="382">
        <f t="array" aca="1" ref="Q20" ca="1">SUMPRODUCT(Q$63:Q$122,TRANSPOSE(SAP_Spreadsheet!$G$230:$BN$230))</f>
        <v>0</v>
      </c>
      <c r="R20" s="382">
        <f t="array" aca="1" ref="R20" ca="1">SUMPRODUCT(R$63:R$122,TRANSPOSE(SAP_Spreadsheet!$G$230:$BN$230))</f>
        <v>0</v>
      </c>
      <c r="S20" s="382">
        <f t="array" aca="1" ref="S20" ca="1">SUMPRODUCT(S$63:S$122,TRANSPOSE(SAP_Spreadsheet!$G$230:$BN$230))</f>
        <v>0</v>
      </c>
      <c r="T20" s="382">
        <f t="array" aca="1" ref="T20" ca="1">SUMPRODUCT(T$63:T$122,TRANSPOSE(SAP_Spreadsheet!$G$230:$BN$230))</f>
        <v>0</v>
      </c>
      <c r="U20" s="382">
        <f t="array" aca="1" ref="U20" ca="1">SUMPRODUCT(U$63:U$122,TRANSPOSE(SAP_Spreadsheet!$G$230:$BN$230))</f>
        <v>0</v>
      </c>
      <c r="V20" s="382">
        <f t="array" aca="1" ref="V20" ca="1">SUMPRODUCT(V$63:V$122,TRANSPOSE(SAP_Spreadsheet!$G$230:$BN$230))</f>
        <v>0</v>
      </c>
      <c r="W20" s="382">
        <f t="array" aca="1" ref="W20" ca="1">SUMPRODUCT(W$63:W$122,TRANSPOSE(SAP_Spreadsheet!$G$230:$BN$230))</f>
        <v>0</v>
      </c>
      <c r="X20" s="382">
        <f t="array" aca="1" ref="X20" ca="1">SUMPRODUCT(X$63:X$122,TRANSPOSE(SAP_Spreadsheet!$G$230:$BN$230))</f>
        <v>0</v>
      </c>
      <c r="Y20" s="382">
        <f t="array" aca="1" ref="Y20" ca="1">SUMPRODUCT(Y$63:Y$122,TRANSPOSE(SAP_Spreadsheet!$G$230:$BN$230))</f>
        <v>0</v>
      </c>
      <c r="Z20" s="382">
        <f t="array" aca="1" ref="Z20" ca="1">SUMPRODUCT(Z$63:Z$122,TRANSPOSE(SAP_Spreadsheet!$G$230:$BN$230))</f>
        <v>0</v>
      </c>
      <c r="AA20" s="382">
        <f t="array" aca="1" ref="AA20" ca="1">SUMPRODUCT(AA$63:AA$122,TRANSPOSE(SAP_Spreadsheet!$G$230:$BN$230))</f>
        <v>0</v>
      </c>
      <c r="AB20" s="382">
        <f t="array" aca="1" ref="AB20" ca="1">SUMPRODUCT(AB$63:AB$122,TRANSPOSE(SAP_Spreadsheet!$G$230:$BN$230))</f>
        <v>0</v>
      </c>
      <c r="AC20" s="382">
        <f t="array" aca="1" ref="AC20" ca="1">SUMPRODUCT(AC$63:AC$122,TRANSPOSE(SAP_Spreadsheet!$G$230:$BN$230))</f>
        <v>0</v>
      </c>
      <c r="AD20" s="382">
        <f t="array" aca="1" ref="AD20" ca="1">SUMPRODUCT(AD$63:AD$122,TRANSPOSE(SAP_Spreadsheet!$G$230:$BN$230))</f>
        <v>0</v>
      </c>
      <c r="AE20" s="382">
        <f t="array" aca="1" ref="AE20" ca="1">SUMPRODUCT(AE$63:AE$122,TRANSPOSE(SAP_Spreadsheet!$G$230:$BN$230))</f>
        <v>0</v>
      </c>
      <c r="AF20" s="382">
        <f t="array" aca="1" ref="AF20" ca="1">SUMPRODUCT(AF$63:AF$122,TRANSPOSE(SAP_Spreadsheet!$G$230:$BN$230))</f>
        <v>0</v>
      </c>
      <c r="AG20" s="382">
        <f t="array" aca="1" ref="AG20" ca="1">SUMPRODUCT(AG$63:AG$122,TRANSPOSE(SAP_Spreadsheet!$G$230:$BN$230))</f>
        <v>0</v>
      </c>
      <c r="AH20" s="382">
        <f t="array" aca="1" ref="AH20" ca="1">SUMPRODUCT(AH$63:AH$122,TRANSPOSE(SAP_Spreadsheet!$G$230:$BN$230))</f>
        <v>0</v>
      </c>
      <c r="AI20" s="382">
        <f t="array" aca="1" ref="AI20" ca="1">SUMPRODUCT(AI$63:AI$122,TRANSPOSE(SAP_Spreadsheet!$G$230:$BN$230))</f>
        <v>0</v>
      </c>
      <c r="AJ20" s="382">
        <f t="array" aca="1" ref="AJ20" ca="1">SUMPRODUCT(AJ$63:AJ$122,TRANSPOSE(SAP_Spreadsheet!$G$230:$BN$230))</f>
        <v>0</v>
      </c>
      <c r="AK20" s="382">
        <f t="array" aca="1" ref="AK20" ca="1">SUMPRODUCT(AK$63:AK$122,TRANSPOSE(SAP_Spreadsheet!$G$230:$BN$230))</f>
        <v>0</v>
      </c>
      <c r="AL20" s="382">
        <f t="array" aca="1" ref="AL20" ca="1">SUMPRODUCT(AL$63:AL$122,TRANSPOSE(SAP_Spreadsheet!$G$230:$BN$230))</f>
        <v>0</v>
      </c>
      <c r="AM20" s="382">
        <f t="array" aca="1" ref="AM20" ca="1">SUMPRODUCT(AM$63:AM$122,TRANSPOSE(SAP_Spreadsheet!$G$230:$BN$230))</f>
        <v>0</v>
      </c>
      <c r="AN20" s="382">
        <f t="array" aca="1" ref="AN20" ca="1">SUMPRODUCT(AN$63:AN$122,TRANSPOSE(SAP_Spreadsheet!$G$230:$BN$230))</f>
        <v>0</v>
      </c>
      <c r="AO20" s="382">
        <f t="array" aca="1" ref="AO20" ca="1">SUMPRODUCT(AO$63:AO$122,TRANSPOSE(SAP_Spreadsheet!$G$230:$BN$230))</f>
        <v>0</v>
      </c>
      <c r="AP20" s="382">
        <f t="array" aca="1" ref="AP20" ca="1">SUMPRODUCT(AP$63:AP$122,TRANSPOSE(SAP_Spreadsheet!$G$230:$BN$230))</f>
        <v>0</v>
      </c>
      <c r="AQ20" s="382">
        <f t="array" aca="1" ref="AQ20" ca="1">SUMPRODUCT(AQ$63:AQ$122,TRANSPOSE(SAP_Spreadsheet!$G$230:$BN$230))</f>
        <v>0</v>
      </c>
      <c r="AR20" s="382">
        <f t="array" aca="1" ref="AR20" ca="1">SUMPRODUCT(AR$63:AR$122,TRANSPOSE(SAP_Spreadsheet!$G$230:$BN$230))</f>
        <v>0</v>
      </c>
      <c r="AS20" s="382">
        <f t="array" aca="1" ref="AS20" ca="1">SUMPRODUCT(AS$63:AS$122,TRANSPOSE(SAP_Spreadsheet!$G$230:$BN$230))</f>
        <v>0</v>
      </c>
      <c r="AT20" s="382">
        <f t="array" aca="1" ref="AT20" ca="1">SUMPRODUCT(AT$63:AT$122,TRANSPOSE(SAP_Spreadsheet!$G$230:$BN$230))</f>
        <v>0</v>
      </c>
      <c r="AU20" s="382">
        <f t="array" aca="1" ref="AU20" ca="1">SUMPRODUCT(AU$63:AU$122,TRANSPOSE(SAP_Spreadsheet!$G$230:$BN$230))</f>
        <v>0</v>
      </c>
      <c r="AV20" s="382">
        <f t="array" aca="1" ref="AV20" ca="1">SUMPRODUCT(AV$63:AV$122,TRANSPOSE(SAP_Spreadsheet!$G$230:$BN$230))</f>
        <v>0</v>
      </c>
      <c r="AW20" s="382">
        <f t="array" aca="1" ref="AW20" ca="1">SUMPRODUCT(AW$63:AW$122,TRANSPOSE(SAP_Spreadsheet!$G$230:$BN$230))</f>
        <v>0</v>
      </c>
      <c r="AX20" s="382">
        <f t="array" aca="1" ref="AX20" ca="1">SUMPRODUCT(AX$63:AX$122,TRANSPOSE(SAP_Spreadsheet!$G$230:$BN$230))</f>
        <v>0</v>
      </c>
      <c r="AY20" s="382">
        <f t="array" aca="1" ref="AY20" ca="1">SUMPRODUCT(AY$63:AY$122,TRANSPOSE(SAP_Spreadsheet!$G$230:$BN$230))</f>
        <v>0</v>
      </c>
      <c r="AZ20" s="382">
        <f t="array" aca="1" ref="AZ20" ca="1">SUMPRODUCT(AZ$63:AZ$122,TRANSPOSE(SAP_Spreadsheet!$G$230:$BN$230))</f>
        <v>0</v>
      </c>
      <c r="BA20" s="382">
        <f t="array" aca="1" ref="BA20" ca="1">SUMPRODUCT(BA$63:BA$122,TRANSPOSE(SAP_Spreadsheet!$G$230:$BN$230))</f>
        <v>0</v>
      </c>
      <c r="BB20" s="382">
        <f t="array" aca="1" ref="BB20" ca="1">SUMPRODUCT(BB$63:BB$122,TRANSPOSE(SAP_Spreadsheet!$G$230:$BN$230))</f>
        <v>0</v>
      </c>
      <c r="BC20" s="382">
        <f t="array" aca="1" ref="BC20" ca="1">SUMPRODUCT(BC$63:BC$122,TRANSPOSE(SAP_Spreadsheet!$G$230:$BN$230))</f>
        <v>0</v>
      </c>
      <c r="BD20" s="382">
        <f t="array" aca="1" ref="BD20" ca="1">SUMPRODUCT(BD$63:BD$122,TRANSPOSE(SAP_Spreadsheet!$G$230:$BN$230))</f>
        <v>0</v>
      </c>
      <c r="BE20" s="382">
        <f t="array" aca="1" ref="BE20" ca="1">SUMPRODUCT(BE$63:BE$122,TRANSPOSE(SAP_Spreadsheet!$G$230:$BN$230))</f>
        <v>0</v>
      </c>
      <c r="BF20" s="382">
        <f t="array" aca="1" ref="BF20" ca="1">SUMPRODUCT(BF$63:BF$122,TRANSPOSE(SAP_Spreadsheet!$G$230:$BN$230))</f>
        <v>0</v>
      </c>
      <c r="BG20" s="382">
        <f t="array" aca="1" ref="BG20" ca="1">SUMPRODUCT(BG$63:BG$122,TRANSPOSE(SAP_Spreadsheet!$G$230:$BN$230))</f>
        <v>0</v>
      </c>
      <c r="BH20" s="382">
        <f t="array" aca="1" ref="BH20" ca="1">SUMPRODUCT(BH$63:BH$122,TRANSPOSE(SAP_Spreadsheet!$G$230:$BN$230))</f>
        <v>0</v>
      </c>
      <c r="BI20" s="382">
        <f t="array" aca="1" ref="BI20" ca="1">SUMPRODUCT(BI$63:BI$122,TRANSPOSE(SAP_Spreadsheet!$G$230:$BN$230))</f>
        <v>0</v>
      </c>
      <c r="BJ20" s="382">
        <f t="array" aca="1" ref="BJ20" ca="1">SUMPRODUCT(BJ$63:BJ$122,TRANSPOSE(SAP_Spreadsheet!$G$230:$BN$230))</f>
        <v>0</v>
      </c>
      <c r="BK20" s="382">
        <f t="array" aca="1" ref="BK20" ca="1">SUMPRODUCT(BK$63:BK$122,TRANSPOSE(SAP_Spreadsheet!$G$230:$BN$230))</f>
        <v>0</v>
      </c>
      <c r="BL20" s="382">
        <f t="array" aca="1" ref="BL20" ca="1">SUMPRODUCT(BL$63:BL$122,TRANSPOSE(SAP_Spreadsheet!$G$230:$BN$230))</f>
        <v>0</v>
      </c>
    </row>
    <row r="21" spans="1:65" s="379" customFormat="1" x14ac:dyDescent="0.15">
      <c r="A21" s="371"/>
      <c r="B21" s="371"/>
      <c r="D21" s="381" t="s">
        <v>450</v>
      </c>
      <c r="E21" s="382">
        <f t="array" aca="1" ref="E21" ca="1">SUMPRODUCT(E$63:E$122,TRANSPOSE(SAP_Spreadsheet!$G$231:$BN$231))</f>
        <v>0</v>
      </c>
      <c r="F21" s="382">
        <f t="array" aca="1" ref="F21" ca="1">SUMPRODUCT(F$63:F$122,TRANSPOSE(SAP_Spreadsheet!$G$231:$BN$231))</f>
        <v>0</v>
      </c>
      <c r="G21" s="382">
        <f t="array" aca="1" ref="G21" ca="1">SUMPRODUCT(G$63:G$122,TRANSPOSE(SAP_Spreadsheet!$G$231:$BN$231))</f>
        <v>0</v>
      </c>
      <c r="H21" s="382">
        <f t="array" aca="1" ref="H21" ca="1">SUMPRODUCT(H$63:H$122,TRANSPOSE(SAP_Spreadsheet!$G$231:$BN$231))</f>
        <v>0</v>
      </c>
      <c r="I21" s="382">
        <f t="array" aca="1" ref="I21" ca="1">SUMPRODUCT(I$63:I$122,TRANSPOSE(SAP_Spreadsheet!$G$231:$BN$231))</f>
        <v>0</v>
      </c>
      <c r="J21" s="382">
        <f t="array" aca="1" ref="J21" ca="1">SUMPRODUCT(J$63:J$122,TRANSPOSE(SAP_Spreadsheet!$G$231:$BN$231))</f>
        <v>0</v>
      </c>
      <c r="K21" s="382">
        <f t="array" aca="1" ref="K21" ca="1">SUMPRODUCT(K$63:K$122,TRANSPOSE(SAP_Spreadsheet!$G$231:$BN$231))</f>
        <v>0</v>
      </c>
      <c r="L21" s="382">
        <f t="array" aca="1" ref="L21" ca="1">SUMPRODUCT(L$63:L$122,TRANSPOSE(SAP_Spreadsheet!$G$231:$BN$231))</f>
        <v>0</v>
      </c>
      <c r="M21" s="382">
        <f t="array" aca="1" ref="M21" ca="1">SUMPRODUCT(M$63:M$122,TRANSPOSE(SAP_Spreadsheet!$G$231:$BN$231))</f>
        <v>0</v>
      </c>
      <c r="N21" s="382">
        <f t="array" aca="1" ref="N21" ca="1">SUMPRODUCT(N$63:N$122,TRANSPOSE(SAP_Spreadsheet!$G$231:$BN$231))</f>
        <v>0</v>
      </c>
      <c r="O21" s="382">
        <f t="array" aca="1" ref="O21" ca="1">SUMPRODUCT(O$63:O$122,TRANSPOSE(SAP_Spreadsheet!$G$231:$BN$231))</f>
        <v>0</v>
      </c>
      <c r="P21" s="382">
        <f t="array" aca="1" ref="P21" ca="1">SUMPRODUCT(P$63:P$122,TRANSPOSE(SAP_Spreadsheet!$G$231:$BN$231))</f>
        <v>0</v>
      </c>
      <c r="Q21" s="382">
        <f t="array" aca="1" ref="Q21" ca="1">SUMPRODUCT(Q$63:Q$122,TRANSPOSE(SAP_Spreadsheet!$G$231:$BN$231))</f>
        <v>0</v>
      </c>
      <c r="R21" s="382">
        <f t="array" aca="1" ref="R21" ca="1">SUMPRODUCT(R$63:R$122,TRANSPOSE(SAP_Spreadsheet!$G$231:$BN$231))</f>
        <v>0</v>
      </c>
      <c r="S21" s="382">
        <f t="array" aca="1" ref="S21" ca="1">SUMPRODUCT(S$63:S$122,TRANSPOSE(SAP_Spreadsheet!$G$231:$BN$231))</f>
        <v>0</v>
      </c>
      <c r="T21" s="382">
        <f t="array" aca="1" ref="T21" ca="1">SUMPRODUCT(T$63:T$122,TRANSPOSE(SAP_Spreadsheet!$G$231:$BN$231))</f>
        <v>0</v>
      </c>
      <c r="U21" s="382">
        <f t="array" aca="1" ref="U21" ca="1">SUMPRODUCT(U$63:U$122,TRANSPOSE(SAP_Spreadsheet!$G$231:$BN$231))</f>
        <v>0</v>
      </c>
      <c r="V21" s="382">
        <f t="array" aca="1" ref="V21" ca="1">SUMPRODUCT(V$63:V$122,TRANSPOSE(SAP_Spreadsheet!$G$231:$BN$231))</f>
        <v>0</v>
      </c>
      <c r="W21" s="382">
        <f t="array" aca="1" ref="W21" ca="1">SUMPRODUCT(W$63:W$122,TRANSPOSE(SAP_Spreadsheet!$G$231:$BN$231))</f>
        <v>0</v>
      </c>
      <c r="X21" s="382">
        <f t="array" aca="1" ref="X21" ca="1">SUMPRODUCT(X$63:X$122,TRANSPOSE(SAP_Spreadsheet!$G$231:$BN$231))</f>
        <v>0</v>
      </c>
      <c r="Y21" s="382">
        <f t="array" aca="1" ref="Y21" ca="1">SUMPRODUCT(Y$63:Y$122,TRANSPOSE(SAP_Spreadsheet!$G$231:$BN$231))</f>
        <v>0</v>
      </c>
      <c r="Z21" s="382">
        <f t="array" aca="1" ref="Z21" ca="1">SUMPRODUCT(Z$63:Z$122,TRANSPOSE(SAP_Spreadsheet!$G$231:$BN$231))</f>
        <v>0</v>
      </c>
      <c r="AA21" s="382">
        <f t="array" aca="1" ref="AA21" ca="1">SUMPRODUCT(AA$63:AA$122,TRANSPOSE(SAP_Spreadsheet!$G$231:$BN$231))</f>
        <v>0</v>
      </c>
      <c r="AB21" s="382">
        <f t="array" aca="1" ref="AB21" ca="1">SUMPRODUCT(AB$63:AB$122,TRANSPOSE(SAP_Spreadsheet!$G$231:$BN$231))</f>
        <v>0</v>
      </c>
      <c r="AC21" s="382">
        <f t="array" aca="1" ref="AC21" ca="1">SUMPRODUCT(AC$63:AC$122,TRANSPOSE(SAP_Spreadsheet!$G$231:$BN$231))</f>
        <v>0</v>
      </c>
      <c r="AD21" s="382">
        <f t="array" aca="1" ref="AD21" ca="1">SUMPRODUCT(AD$63:AD$122,TRANSPOSE(SAP_Spreadsheet!$G$231:$BN$231))</f>
        <v>0</v>
      </c>
      <c r="AE21" s="382">
        <f t="array" aca="1" ref="AE21" ca="1">SUMPRODUCT(AE$63:AE$122,TRANSPOSE(SAP_Spreadsheet!$G$231:$BN$231))</f>
        <v>0</v>
      </c>
      <c r="AF21" s="382">
        <f t="array" aca="1" ref="AF21" ca="1">SUMPRODUCT(AF$63:AF$122,TRANSPOSE(SAP_Spreadsheet!$G$231:$BN$231))</f>
        <v>0</v>
      </c>
      <c r="AG21" s="382">
        <f t="array" aca="1" ref="AG21" ca="1">SUMPRODUCT(AG$63:AG$122,TRANSPOSE(SAP_Spreadsheet!$G$231:$BN$231))</f>
        <v>0</v>
      </c>
      <c r="AH21" s="382">
        <f t="array" aca="1" ref="AH21" ca="1">SUMPRODUCT(AH$63:AH$122,TRANSPOSE(SAP_Spreadsheet!$G$231:$BN$231))</f>
        <v>0</v>
      </c>
      <c r="AI21" s="382">
        <f t="array" aca="1" ref="AI21" ca="1">SUMPRODUCT(AI$63:AI$122,TRANSPOSE(SAP_Spreadsheet!$G$231:$BN$231))</f>
        <v>0</v>
      </c>
      <c r="AJ21" s="382">
        <f t="array" aca="1" ref="AJ21" ca="1">SUMPRODUCT(AJ$63:AJ$122,TRANSPOSE(SAP_Spreadsheet!$G$231:$BN$231))</f>
        <v>0</v>
      </c>
      <c r="AK21" s="382">
        <f t="array" aca="1" ref="AK21" ca="1">SUMPRODUCT(AK$63:AK$122,TRANSPOSE(SAP_Spreadsheet!$G$231:$BN$231))</f>
        <v>0</v>
      </c>
      <c r="AL21" s="382">
        <f t="array" aca="1" ref="AL21" ca="1">SUMPRODUCT(AL$63:AL$122,TRANSPOSE(SAP_Spreadsheet!$G$231:$BN$231))</f>
        <v>0</v>
      </c>
      <c r="AM21" s="382">
        <f t="array" aca="1" ref="AM21" ca="1">SUMPRODUCT(AM$63:AM$122,TRANSPOSE(SAP_Spreadsheet!$G$231:$BN$231))</f>
        <v>0</v>
      </c>
      <c r="AN21" s="382">
        <f t="array" aca="1" ref="AN21" ca="1">SUMPRODUCT(AN$63:AN$122,TRANSPOSE(SAP_Spreadsheet!$G$231:$BN$231))</f>
        <v>0</v>
      </c>
      <c r="AO21" s="382">
        <f t="array" aca="1" ref="AO21" ca="1">SUMPRODUCT(AO$63:AO$122,TRANSPOSE(SAP_Spreadsheet!$G$231:$BN$231))</f>
        <v>0</v>
      </c>
      <c r="AP21" s="382">
        <f t="array" aca="1" ref="AP21" ca="1">SUMPRODUCT(AP$63:AP$122,TRANSPOSE(SAP_Spreadsheet!$G$231:$BN$231))</f>
        <v>0</v>
      </c>
      <c r="AQ21" s="382">
        <f t="array" aca="1" ref="AQ21" ca="1">SUMPRODUCT(AQ$63:AQ$122,TRANSPOSE(SAP_Spreadsheet!$G$231:$BN$231))</f>
        <v>0</v>
      </c>
      <c r="AR21" s="382">
        <f t="array" aca="1" ref="AR21" ca="1">SUMPRODUCT(AR$63:AR$122,TRANSPOSE(SAP_Spreadsheet!$G$231:$BN$231))</f>
        <v>0</v>
      </c>
      <c r="AS21" s="382">
        <f t="array" aca="1" ref="AS21" ca="1">SUMPRODUCT(AS$63:AS$122,TRANSPOSE(SAP_Spreadsheet!$G$231:$BN$231))</f>
        <v>0</v>
      </c>
      <c r="AT21" s="382">
        <f t="array" aca="1" ref="AT21" ca="1">SUMPRODUCT(AT$63:AT$122,TRANSPOSE(SAP_Spreadsheet!$G$231:$BN$231))</f>
        <v>0</v>
      </c>
      <c r="AU21" s="382">
        <f t="array" aca="1" ref="AU21" ca="1">SUMPRODUCT(AU$63:AU$122,TRANSPOSE(SAP_Spreadsheet!$G$231:$BN$231))</f>
        <v>0</v>
      </c>
      <c r="AV21" s="382">
        <f t="array" aca="1" ref="AV21" ca="1">SUMPRODUCT(AV$63:AV$122,TRANSPOSE(SAP_Spreadsheet!$G$231:$BN$231))</f>
        <v>0</v>
      </c>
      <c r="AW21" s="382">
        <f t="array" aca="1" ref="AW21" ca="1">SUMPRODUCT(AW$63:AW$122,TRANSPOSE(SAP_Spreadsheet!$G$231:$BN$231))</f>
        <v>0</v>
      </c>
      <c r="AX21" s="382">
        <f t="array" aca="1" ref="AX21" ca="1">SUMPRODUCT(AX$63:AX$122,TRANSPOSE(SAP_Spreadsheet!$G$231:$BN$231))</f>
        <v>0</v>
      </c>
      <c r="AY21" s="382">
        <f t="array" aca="1" ref="AY21" ca="1">SUMPRODUCT(AY$63:AY$122,TRANSPOSE(SAP_Spreadsheet!$G$231:$BN$231))</f>
        <v>0</v>
      </c>
      <c r="AZ21" s="382">
        <f t="array" aca="1" ref="AZ21" ca="1">SUMPRODUCT(AZ$63:AZ$122,TRANSPOSE(SAP_Spreadsheet!$G$231:$BN$231))</f>
        <v>0</v>
      </c>
      <c r="BA21" s="382">
        <f t="array" aca="1" ref="BA21" ca="1">SUMPRODUCT(BA$63:BA$122,TRANSPOSE(SAP_Spreadsheet!$G$231:$BN$231))</f>
        <v>0</v>
      </c>
      <c r="BB21" s="382">
        <f t="array" aca="1" ref="BB21" ca="1">SUMPRODUCT(BB$63:BB$122,TRANSPOSE(SAP_Spreadsheet!$G$231:$BN$231))</f>
        <v>0</v>
      </c>
      <c r="BC21" s="382">
        <f t="array" aca="1" ref="BC21" ca="1">SUMPRODUCT(BC$63:BC$122,TRANSPOSE(SAP_Spreadsheet!$G$231:$BN$231))</f>
        <v>0</v>
      </c>
      <c r="BD21" s="382">
        <f t="array" aca="1" ref="BD21" ca="1">SUMPRODUCT(BD$63:BD$122,TRANSPOSE(SAP_Spreadsheet!$G$231:$BN$231))</f>
        <v>0</v>
      </c>
      <c r="BE21" s="382">
        <f t="array" aca="1" ref="BE21" ca="1">SUMPRODUCT(BE$63:BE$122,TRANSPOSE(SAP_Spreadsheet!$G$231:$BN$231))</f>
        <v>0</v>
      </c>
      <c r="BF21" s="382">
        <f t="array" aca="1" ref="BF21" ca="1">SUMPRODUCT(BF$63:BF$122,TRANSPOSE(SAP_Spreadsheet!$G$231:$BN$231))</f>
        <v>0</v>
      </c>
      <c r="BG21" s="382">
        <f t="array" aca="1" ref="BG21" ca="1">SUMPRODUCT(BG$63:BG$122,TRANSPOSE(SAP_Spreadsheet!$G$231:$BN$231))</f>
        <v>0</v>
      </c>
      <c r="BH21" s="382">
        <f t="array" aca="1" ref="BH21" ca="1">SUMPRODUCT(BH$63:BH$122,TRANSPOSE(SAP_Spreadsheet!$G$231:$BN$231))</f>
        <v>0</v>
      </c>
      <c r="BI21" s="382">
        <f t="array" aca="1" ref="BI21" ca="1">SUMPRODUCT(BI$63:BI$122,TRANSPOSE(SAP_Spreadsheet!$G$231:$BN$231))</f>
        <v>0</v>
      </c>
      <c r="BJ21" s="382">
        <f t="array" aca="1" ref="BJ21" ca="1">SUMPRODUCT(BJ$63:BJ$122,TRANSPOSE(SAP_Spreadsheet!$G$231:$BN$231))</f>
        <v>0</v>
      </c>
      <c r="BK21" s="382">
        <f t="array" aca="1" ref="BK21" ca="1">SUMPRODUCT(BK$63:BK$122,TRANSPOSE(SAP_Spreadsheet!$G$231:$BN$231))</f>
        <v>0</v>
      </c>
      <c r="BL21" s="382">
        <f t="array" aca="1" ref="BL21" ca="1">SUMPRODUCT(BL$63:BL$122,TRANSPOSE(SAP_Spreadsheet!$G$231:$BN$231))</f>
        <v>0</v>
      </c>
    </row>
    <row r="22" spans="1:65" s="379" customFormat="1" x14ac:dyDescent="0.15">
      <c r="A22" s="371"/>
      <c r="B22" s="371"/>
      <c r="D22" s="385" t="s">
        <v>396</v>
      </c>
      <c r="E22" s="382">
        <f t="array" aca="1" ref="E22" ca="1">SUMPRODUCT(E$63:E$122,TRANSPOSE(SAP_Spreadsheet!$G$235:$BN$235))</f>
        <v>0</v>
      </c>
      <c r="F22" s="382">
        <f t="array" aca="1" ref="F22" ca="1">SUMPRODUCT(F$63:F$122,TRANSPOSE(SAP_Spreadsheet!$G$235:$BN$235))</f>
        <v>0</v>
      </c>
      <c r="G22" s="382">
        <f t="array" aca="1" ref="G22" ca="1">SUMPRODUCT(G$63:G$122,TRANSPOSE(SAP_Spreadsheet!$G$235:$BN$235))</f>
        <v>0</v>
      </c>
      <c r="H22" s="382">
        <f t="array" aca="1" ref="H22" ca="1">SUMPRODUCT(H$63:H$122,TRANSPOSE(SAP_Spreadsheet!$G$235:$BN$235))</f>
        <v>0</v>
      </c>
      <c r="I22" s="382">
        <f t="array" aca="1" ref="I22" ca="1">SUMPRODUCT(I$63:I$122,TRANSPOSE(SAP_Spreadsheet!$G$235:$BN$235))</f>
        <v>0</v>
      </c>
      <c r="J22" s="382">
        <f t="array" aca="1" ref="J22" ca="1">SUMPRODUCT(J$63:J$122,TRANSPOSE(SAP_Spreadsheet!$G$235:$BN$235))</f>
        <v>0</v>
      </c>
      <c r="K22" s="382">
        <f t="array" aca="1" ref="K22" ca="1">SUMPRODUCT(K$63:K$122,TRANSPOSE(SAP_Spreadsheet!$G$235:$BN$235))</f>
        <v>0</v>
      </c>
      <c r="L22" s="382">
        <f t="array" aca="1" ref="L22" ca="1">SUMPRODUCT(L$63:L$122,TRANSPOSE(SAP_Spreadsheet!$G$235:$BN$235))</f>
        <v>0</v>
      </c>
      <c r="M22" s="382">
        <f t="array" aca="1" ref="M22" ca="1">SUMPRODUCT(M$63:M$122,TRANSPOSE(SAP_Spreadsheet!$G$235:$BN$235))</f>
        <v>0</v>
      </c>
      <c r="N22" s="382">
        <f t="array" aca="1" ref="N22" ca="1">SUMPRODUCT(N$63:N$122,TRANSPOSE(SAP_Spreadsheet!$G$235:$BN$235))</f>
        <v>0</v>
      </c>
      <c r="O22" s="382">
        <f t="array" aca="1" ref="O22" ca="1">SUMPRODUCT(O$63:O$122,TRANSPOSE(SAP_Spreadsheet!$G$235:$BN$235))</f>
        <v>0</v>
      </c>
      <c r="P22" s="382">
        <f t="array" aca="1" ref="P22" ca="1">SUMPRODUCT(P$63:P$122,TRANSPOSE(SAP_Spreadsheet!$G$235:$BN$235))</f>
        <v>0</v>
      </c>
      <c r="Q22" s="382">
        <f t="array" aca="1" ref="Q22" ca="1">SUMPRODUCT(Q$63:Q$122,TRANSPOSE(SAP_Spreadsheet!$G$235:$BN$235))</f>
        <v>0</v>
      </c>
      <c r="R22" s="382">
        <f t="array" aca="1" ref="R22" ca="1">SUMPRODUCT(R$63:R$122,TRANSPOSE(SAP_Spreadsheet!$G$235:$BN$235))</f>
        <v>0</v>
      </c>
      <c r="S22" s="382">
        <f t="array" aca="1" ref="S22" ca="1">SUMPRODUCT(S$63:S$122,TRANSPOSE(SAP_Spreadsheet!$G$235:$BN$235))</f>
        <v>0</v>
      </c>
      <c r="T22" s="382">
        <f t="array" aca="1" ref="T22" ca="1">SUMPRODUCT(T$63:T$122,TRANSPOSE(SAP_Spreadsheet!$G$235:$BN$235))</f>
        <v>0</v>
      </c>
      <c r="U22" s="382">
        <f t="array" aca="1" ref="U22" ca="1">SUMPRODUCT(U$63:U$122,TRANSPOSE(SAP_Spreadsheet!$G$235:$BN$235))</f>
        <v>0</v>
      </c>
      <c r="V22" s="382">
        <f t="array" aca="1" ref="V22" ca="1">SUMPRODUCT(V$63:V$122,TRANSPOSE(SAP_Spreadsheet!$G$235:$BN$235))</f>
        <v>0</v>
      </c>
      <c r="W22" s="382">
        <f t="array" aca="1" ref="W22" ca="1">SUMPRODUCT(W$63:W$122,TRANSPOSE(SAP_Spreadsheet!$G$235:$BN$235))</f>
        <v>0</v>
      </c>
      <c r="X22" s="382">
        <f t="array" aca="1" ref="X22" ca="1">SUMPRODUCT(X$63:X$122,TRANSPOSE(SAP_Spreadsheet!$G$235:$BN$235))</f>
        <v>0</v>
      </c>
      <c r="Y22" s="382">
        <f t="array" aca="1" ref="Y22" ca="1">SUMPRODUCT(Y$63:Y$122,TRANSPOSE(SAP_Spreadsheet!$G$235:$BN$235))</f>
        <v>0</v>
      </c>
      <c r="Z22" s="382">
        <f t="array" aca="1" ref="Z22" ca="1">SUMPRODUCT(Z$63:Z$122,TRANSPOSE(SAP_Spreadsheet!$G$235:$BN$235))</f>
        <v>0</v>
      </c>
      <c r="AA22" s="382">
        <f t="array" aca="1" ref="AA22" ca="1">SUMPRODUCT(AA$63:AA$122,TRANSPOSE(SAP_Spreadsheet!$G$235:$BN$235))</f>
        <v>0</v>
      </c>
      <c r="AB22" s="382">
        <f t="array" aca="1" ref="AB22" ca="1">SUMPRODUCT(AB$63:AB$122,TRANSPOSE(SAP_Spreadsheet!$G$235:$BN$235))</f>
        <v>0</v>
      </c>
      <c r="AC22" s="382">
        <f t="array" aca="1" ref="AC22" ca="1">SUMPRODUCT(AC$63:AC$122,TRANSPOSE(SAP_Spreadsheet!$G$235:$BN$235))</f>
        <v>0</v>
      </c>
      <c r="AD22" s="382">
        <f t="array" aca="1" ref="AD22" ca="1">SUMPRODUCT(AD$63:AD$122,TRANSPOSE(SAP_Spreadsheet!$G$235:$BN$235))</f>
        <v>0</v>
      </c>
      <c r="AE22" s="382">
        <f t="array" aca="1" ref="AE22" ca="1">SUMPRODUCT(AE$63:AE$122,TRANSPOSE(SAP_Spreadsheet!$G$235:$BN$235))</f>
        <v>0</v>
      </c>
      <c r="AF22" s="382">
        <f t="array" aca="1" ref="AF22" ca="1">SUMPRODUCT(AF$63:AF$122,TRANSPOSE(SAP_Spreadsheet!$G$235:$BN$235))</f>
        <v>0</v>
      </c>
      <c r="AG22" s="382">
        <f t="array" aca="1" ref="AG22" ca="1">SUMPRODUCT(AG$63:AG$122,TRANSPOSE(SAP_Spreadsheet!$G$235:$BN$235))</f>
        <v>0</v>
      </c>
      <c r="AH22" s="382">
        <f t="array" aca="1" ref="AH22" ca="1">SUMPRODUCT(AH$63:AH$122,TRANSPOSE(SAP_Spreadsheet!$G$235:$BN$235))</f>
        <v>0</v>
      </c>
      <c r="AI22" s="382">
        <f t="array" aca="1" ref="AI22" ca="1">SUMPRODUCT(AI$63:AI$122,TRANSPOSE(SAP_Spreadsheet!$G$235:$BN$235))</f>
        <v>0</v>
      </c>
      <c r="AJ22" s="382">
        <f t="array" aca="1" ref="AJ22" ca="1">SUMPRODUCT(AJ$63:AJ$122,TRANSPOSE(SAP_Spreadsheet!$G$235:$BN$235))</f>
        <v>0</v>
      </c>
      <c r="AK22" s="382">
        <f t="array" aca="1" ref="AK22" ca="1">SUMPRODUCT(AK$63:AK$122,TRANSPOSE(SAP_Spreadsheet!$G$235:$BN$235))</f>
        <v>0</v>
      </c>
      <c r="AL22" s="382">
        <f t="array" aca="1" ref="AL22" ca="1">SUMPRODUCT(AL$63:AL$122,TRANSPOSE(SAP_Spreadsheet!$G$235:$BN$235))</f>
        <v>0</v>
      </c>
      <c r="AM22" s="382">
        <f t="array" aca="1" ref="AM22" ca="1">SUMPRODUCT(AM$63:AM$122,TRANSPOSE(SAP_Spreadsheet!$G$235:$BN$235))</f>
        <v>0</v>
      </c>
      <c r="AN22" s="382">
        <f t="array" aca="1" ref="AN22" ca="1">SUMPRODUCT(AN$63:AN$122,TRANSPOSE(SAP_Spreadsheet!$G$235:$BN$235))</f>
        <v>0</v>
      </c>
      <c r="AO22" s="382">
        <f t="array" aca="1" ref="AO22" ca="1">SUMPRODUCT(AO$63:AO$122,TRANSPOSE(SAP_Spreadsheet!$G$235:$BN$235))</f>
        <v>0</v>
      </c>
      <c r="AP22" s="382">
        <f t="array" aca="1" ref="AP22" ca="1">SUMPRODUCT(AP$63:AP$122,TRANSPOSE(SAP_Spreadsheet!$G$235:$BN$235))</f>
        <v>0</v>
      </c>
      <c r="AQ22" s="382">
        <f t="array" aca="1" ref="AQ22" ca="1">SUMPRODUCT(AQ$63:AQ$122,TRANSPOSE(SAP_Spreadsheet!$G$235:$BN$235))</f>
        <v>0</v>
      </c>
      <c r="AR22" s="382">
        <f t="array" aca="1" ref="AR22" ca="1">SUMPRODUCT(AR$63:AR$122,TRANSPOSE(SAP_Spreadsheet!$G$235:$BN$235))</f>
        <v>0</v>
      </c>
      <c r="AS22" s="382">
        <f t="array" aca="1" ref="AS22" ca="1">SUMPRODUCT(AS$63:AS$122,TRANSPOSE(SAP_Spreadsheet!$G$235:$BN$235))</f>
        <v>0</v>
      </c>
      <c r="AT22" s="382">
        <f t="array" aca="1" ref="AT22" ca="1">SUMPRODUCT(AT$63:AT$122,TRANSPOSE(SAP_Spreadsheet!$G$235:$BN$235))</f>
        <v>0</v>
      </c>
      <c r="AU22" s="382">
        <f t="array" aca="1" ref="AU22" ca="1">SUMPRODUCT(AU$63:AU$122,TRANSPOSE(SAP_Spreadsheet!$G$235:$BN$235))</f>
        <v>0</v>
      </c>
      <c r="AV22" s="382">
        <f t="array" aca="1" ref="AV22" ca="1">SUMPRODUCT(AV$63:AV$122,TRANSPOSE(SAP_Spreadsheet!$G$235:$BN$235))</f>
        <v>0</v>
      </c>
      <c r="AW22" s="382">
        <f t="array" aca="1" ref="AW22" ca="1">SUMPRODUCT(AW$63:AW$122,TRANSPOSE(SAP_Spreadsheet!$G$235:$BN$235))</f>
        <v>0</v>
      </c>
      <c r="AX22" s="382">
        <f t="array" aca="1" ref="AX22" ca="1">SUMPRODUCT(AX$63:AX$122,TRANSPOSE(SAP_Spreadsheet!$G$235:$BN$235))</f>
        <v>0</v>
      </c>
      <c r="AY22" s="382">
        <f t="array" aca="1" ref="AY22" ca="1">SUMPRODUCT(AY$63:AY$122,TRANSPOSE(SAP_Spreadsheet!$G$235:$BN$235))</f>
        <v>0</v>
      </c>
      <c r="AZ22" s="382">
        <f t="array" aca="1" ref="AZ22" ca="1">SUMPRODUCT(AZ$63:AZ$122,TRANSPOSE(SAP_Spreadsheet!$G$235:$BN$235))</f>
        <v>0</v>
      </c>
      <c r="BA22" s="382">
        <f t="array" aca="1" ref="BA22" ca="1">SUMPRODUCT(BA$63:BA$122,TRANSPOSE(SAP_Spreadsheet!$G$235:$BN$235))</f>
        <v>0</v>
      </c>
      <c r="BB22" s="382">
        <f t="array" aca="1" ref="BB22" ca="1">SUMPRODUCT(BB$63:BB$122,TRANSPOSE(SAP_Spreadsheet!$G$235:$BN$235))</f>
        <v>0</v>
      </c>
      <c r="BC22" s="382">
        <f t="array" aca="1" ref="BC22" ca="1">SUMPRODUCT(BC$63:BC$122,TRANSPOSE(SAP_Spreadsheet!$G$235:$BN$235))</f>
        <v>0</v>
      </c>
      <c r="BD22" s="382">
        <f t="array" aca="1" ref="BD22" ca="1">SUMPRODUCT(BD$63:BD$122,TRANSPOSE(SAP_Spreadsheet!$G$235:$BN$235))</f>
        <v>0</v>
      </c>
      <c r="BE22" s="382">
        <f t="array" aca="1" ref="BE22" ca="1">SUMPRODUCT(BE$63:BE$122,TRANSPOSE(SAP_Spreadsheet!$G$235:$BN$235))</f>
        <v>0</v>
      </c>
      <c r="BF22" s="382">
        <f t="array" aca="1" ref="BF22" ca="1">SUMPRODUCT(BF$63:BF$122,TRANSPOSE(SAP_Spreadsheet!$G$235:$BN$235))</f>
        <v>0</v>
      </c>
      <c r="BG22" s="382">
        <f t="array" aca="1" ref="BG22" ca="1">SUMPRODUCT(BG$63:BG$122,TRANSPOSE(SAP_Spreadsheet!$G$235:$BN$235))</f>
        <v>0</v>
      </c>
      <c r="BH22" s="382">
        <f t="array" aca="1" ref="BH22" ca="1">SUMPRODUCT(BH$63:BH$122,TRANSPOSE(SAP_Spreadsheet!$G$235:$BN$235))</f>
        <v>0</v>
      </c>
      <c r="BI22" s="382">
        <f t="array" aca="1" ref="BI22" ca="1">SUMPRODUCT(BI$63:BI$122,TRANSPOSE(SAP_Spreadsheet!$G$235:$BN$235))</f>
        <v>0</v>
      </c>
      <c r="BJ22" s="382">
        <f t="array" aca="1" ref="BJ22" ca="1">SUMPRODUCT(BJ$63:BJ$122,TRANSPOSE(SAP_Spreadsheet!$G$235:$BN$235))</f>
        <v>0</v>
      </c>
      <c r="BK22" s="382">
        <f t="array" aca="1" ref="BK22" ca="1">SUMPRODUCT(BK$63:BK$122,TRANSPOSE(SAP_Spreadsheet!$G$235:$BN$235))</f>
        <v>0</v>
      </c>
      <c r="BL22" s="382">
        <f t="array" aca="1" ref="BL22" ca="1">SUMPRODUCT(BL$63:BL$122,TRANSPOSE(SAP_Spreadsheet!$G$235:$BN$235))</f>
        <v>0</v>
      </c>
    </row>
    <row r="23" spans="1:65" s="379" customFormat="1" x14ac:dyDescent="0.15">
      <c r="A23" s="371"/>
      <c r="B23" s="371"/>
      <c r="D23" s="385" t="s">
        <v>215</v>
      </c>
      <c r="E23" s="382">
        <f t="array" aca="1" ref="E23" ca="1">SUMPRODUCT(E$63:E$122,TRANSPOSE(SAP_Spreadsheet!$G$236:$BN$236))</f>
        <v>0</v>
      </c>
      <c r="F23" s="382">
        <f t="array" aca="1" ref="F23" ca="1">SUMPRODUCT(F$63:F$122,TRANSPOSE(SAP_Spreadsheet!$G$236:$BN$236))</f>
        <v>0</v>
      </c>
      <c r="G23" s="382">
        <f t="array" aca="1" ref="G23" ca="1">SUMPRODUCT(G$63:G$122,TRANSPOSE(SAP_Spreadsheet!$G$236:$BN$236))</f>
        <v>0</v>
      </c>
      <c r="H23" s="382">
        <f t="array" aca="1" ref="H23" ca="1">SUMPRODUCT(H$63:H$122,TRANSPOSE(SAP_Spreadsheet!$G$236:$BN$236))</f>
        <v>0</v>
      </c>
      <c r="I23" s="382">
        <f t="array" aca="1" ref="I23" ca="1">SUMPRODUCT(I$63:I$122,TRANSPOSE(SAP_Spreadsheet!$G$236:$BN$236))</f>
        <v>0</v>
      </c>
      <c r="J23" s="382">
        <f t="array" aca="1" ref="J23" ca="1">SUMPRODUCT(J$63:J$122,TRANSPOSE(SAP_Spreadsheet!$G$236:$BN$236))</f>
        <v>0</v>
      </c>
      <c r="K23" s="382">
        <f t="array" aca="1" ref="K23" ca="1">SUMPRODUCT(K$63:K$122,TRANSPOSE(SAP_Spreadsheet!$G$236:$BN$236))</f>
        <v>0</v>
      </c>
      <c r="L23" s="382">
        <f t="array" aca="1" ref="L23" ca="1">SUMPRODUCT(L$63:L$122,TRANSPOSE(SAP_Spreadsheet!$G$236:$BN$236))</f>
        <v>0</v>
      </c>
      <c r="M23" s="382">
        <f t="array" aca="1" ref="M23" ca="1">SUMPRODUCT(M$63:M$122,TRANSPOSE(SAP_Spreadsheet!$G$236:$BN$236))</f>
        <v>0</v>
      </c>
      <c r="N23" s="382">
        <f t="array" aca="1" ref="N23" ca="1">SUMPRODUCT(N$63:N$122,TRANSPOSE(SAP_Spreadsheet!$G$236:$BN$236))</f>
        <v>0</v>
      </c>
      <c r="O23" s="382">
        <f t="array" aca="1" ref="O23" ca="1">SUMPRODUCT(O$63:O$122,TRANSPOSE(SAP_Spreadsheet!$G$236:$BN$236))</f>
        <v>0</v>
      </c>
      <c r="P23" s="382">
        <f t="array" aca="1" ref="P23" ca="1">SUMPRODUCT(P$63:P$122,TRANSPOSE(SAP_Spreadsheet!$G$236:$BN$236))</f>
        <v>0</v>
      </c>
      <c r="Q23" s="382">
        <f t="array" aca="1" ref="Q23" ca="1">SUMPRODUCT(Q$63:Q$122,TRANSPOSE(SAP_Spreadsheet!$G$236:$BN$236))</f>
        <v>0</v>
      </c>
      <c r="R23" s="382">
        <f t="array" aca="1" ref="R23" ca="1">SUMPRODUCT(R$63:R$122,TRANSPOSE(SAP_Spreadsheet!$G$236:$BN$236))</f>
        <v>0</v>
      </c>
      <c r="S23" s="382">
        <f t="array" aca="1" ref="S23" ca="1">SUMPRODUCT(S$63:S$122,TRANSPOSE(SAP_Spreadsheet!$G$236:$BN$236))</f>
        <v>0</v>
      </c>
      <c r="T23" s="382">
        <f t="array" aca="1" ref="T23" ca="1">SUMPRODUCT(T$63:T$122,TRANSPOSE(SAP_Spreadsheet!$G$236:$BN$236))</f>
        <v>0</v>
      </c>
      <c r="U23" s="382">
        <f t="array" aca="1" ref="U23" ca="1">SUMPRODUCT(U$63:U$122,TRANSPOSE(SAP_Spreadsheet!$G$236:$BN$236))</f>
        <v>0</v>
      </c>
      <c r="V23" s="382">
        <f t="array" aca="1" ref="V23" ca="1">SUMPRODUCT(V$63:V$122,TRANSPOSE(SAP_Spreadsheet!$G$236:$BN$236))</f>
        <v>0</v>
      </c>
      <c r="W23" s="382">
        <f t="array" aca="1" ref="W23" ca="1">SUMPRODUCT(W$63:W$122,TRANSPOSE(SAP_Spreadsheet!$G$236:$BN$236))</f>
        <v>0</v>
      </c>
      <c r="X23" s="382">
        <f t="array" aca="1" ref="X23" ca="1">SUMPRODUCT(X$63:X$122,TRANSPOSE(SAP_Spreadsheet!$G$236:$BN$236))</f>
        <v>0</v>
      </c>
      <c r="Y23" s="382">
        <f t="array" aca="1" ref="Y23" ca="1">SUMPRODUCT(Y$63:Y$122,TRANSPOSE(SAP_Spreadsheet!$G$236:$BN$236))</f>
        <v>0</v>
      </c>
      <c r="Z23" s="382">
        <f t="array" aca="1" ref="Z23" ca="1">SUMPRODUCT(Z$63:Z$122,TRANSPOSE(SAP_Spreadsheet!$G$236:$BN$236))</f>
        <v>0</v>
      </c>
      <c r="AA23" s="382">
        <f t="array" aca="1" ref="AA23" ca="1">SUMPRODUCT(AA$63:AA$122,TRANSPOSE(SAP_Spreadsheet!$G$236:$BN$236))</f>
        <v>0</v>
      </c>
      <c r="AB23" s="382">
        <f t="array" aca="1" ref="AB23" ca="1">SUMPRODUCT(AB$63:AB$122,TRANSPOSE(SAP_Spreadsheet!$G$236:$BN$236))</f>
        <v>0</v>
      </c>
      <c r="AC23" s="382">
        <f t="array" aca="1" ref="AC23" ca="1">SUMPRODUCT(AC$63:AC$122,TRANSPOSE(SAP_Spreadsheet!$G$236:$BN$236))</f>
        <v>0</v>
      </c>
      <c r="AD23" s="382">
        <f t="array" aca="1" ref="AD23" ca="1">SUMPRODUCT(AD$63:AD$122,TRANSPOSE(SAP_Spreadsheet!$G$236:$BN$236))</f>
        <v>0</v>
      </c>
      <c r="AE23" s="382">
        <f t="array" aca="1" ref="AE23" ca="1">SUMPRODUCT(AE$63:AE$122,TRANSPOSE(SAP_Spreadsheet!$G$236:$BN$236))</f>
        <v>0</v>
      </c>
      <c r="AF23" s="382">
        <f t="array" aca="1" ref="AF23" ca="1">SUMPRODUCT(AF$63:AF$122,TRANSPOSE(SAP_Spreadsheet!$G$236:$BN$236))</f>
        <v>0</v>
      </c>
      <c r="AG23" s="382">
        <f t="array" aca="1" ref="AG23" ca="1">SUMPRODUCT(AG$63:AG$122,TRANSPOSE(SAP_Spreadsheet!$G$236:$BN$236))</f>
        <v>0</v>
      </c>
      <c r="AH23" s="382">
        <f t="array" aca="1" ref="AH23" ca="1">SUMPRODUCT(AH$63:AH$122,TRANSPOSE(SAP_Spreadsheet!$G$236:$BN$236))</f>
        <v>0</v>
      </c>
      <c r="AI23" s="382">
        <f t="array" aca="1" ref="AI23" ca="1">SUMPRODUCT(AI$63:AI$122,TRANSPOSE(SAP_Spreadsheet!$G$236:$BN$236))</f>
        <v>0</v>
      </c>
      <c r="AJ23" s="382">
        <f t="array" aca="1" ref="AJ23" ca="1">SUMPRODUCT(AJ$63:AJ$122,TRANSPOSE(SAP_Spreadsheet!$G$236:$BN$236))</f>
        <v>0</v>
      </c>
      <c r="AK23" s="382">
        <f t="array" aca="1" ref="AK23" ca="1">SUMPRODUCT(AK$63:AK$122,TRANSPOSE(SAP_Spreadsheet!$G$236:$BN$236))</f>
        <v>0</v>
      </c>
      <c r="AL23" s="382">
        <f t="array" aca="1" ref="AL23" ca="1">SUMPRODUCT(AL$63:AL$122,TRANSPOSE(SAP_Spreadsheet!$G$236:$BN$236))</f>
        <v>0</v>
      </c>
      <c r="AM23" s="382">
        <f t="array" aca="1" ref="AM23" ca="1">SUMPRODUCT(AM$63:AM$122,TRANSPOSE(SAP_Spreadsheet!$G$236:$BN$236))</f>
        <v>0</v>
      </c>
      <c r="AN23" s="382">
        <f t="array" aca="1" ref="AN23" ca="1">SUMPRODUCT(AN$63:AN$122,TRANSPOSE(SAP_Spreadsheet!$G$236:$BN$236))</f>
        <v>0</v>
      </c>
      <c r="AO23" s="382">
        <f t="array" aca="1" ref="AO23" ca="1">SUMPRODUCT(AO$63:AO$122,TRANSPOSE(SAP_Spreadsheet!$G$236:$BN$236))</f>
        <v>0</v>
      </c>
      <c r="AP23" s="382">
        <f t="array" aca="1" ref="AP23" ca="1">SUMPRODUCT(AP$63:AP$122,TRANSPOSE(SAP_Spreadsheet!$G$236:$BN$236))</f>
        <v>0</v>
      </c>
      <c r="AQ23" s="382">
        <f t="array" aca="1" ref="AQ23" ca="1">SUMPRODUCT(AQ$63:AQ$122,TRANSPOSE(SAP_Spreadsheet!$G$236:$BN$236))</f>
        <v>0</v>
      </c>
      <c r="AR23" s="382">
        <f t="array" aca="1" ref="AR23" ca="1">SUMPRODUCT(AR$63:AR$122,TRANSPOSE(SAP_Spreadsheet!$G$236:$BN$236))</f>
        <v>0</v>
      </c>
      <c r="AS23" s="382">
        <f t="array" aca="1" ref="AS23" ca="1">SUMPRODUCT(AS$63:AS$122,TRANSPOSE(SAP_Spreadsheet!$G$236:$BN$236))</f>
        <v>0</v>
      </c>
      <c r="AT23" s="382">
        <f t="array" aca="1" ref="AT23" ca="1">SUMPRODUCT(AT$63:AT$122,TRANSPOSE(SAP_Spreadsheet!$G$236:$BN$236))</f>
        <v>0</v>
      </c>
      <c r="AU23" s="382">
        <f t="array" aca="1" ref="AU23" ca="1">SUMPRODUCT(AU$63:AU$122,TRANSPOSE(SAP_Spreadsheet!$G$236:$BN$236))</f>
        <v>0</v>
      </c>
      <c r="AV23" s="382">
        <f t="array" aca="1" ref="AV23" ca="1">SUMPRODUCT(AV$63:AV$122,TRANSPOSE(SAP_Spreadsheet!$G$236:$BN$236))</f>
        <v>0</v>
      </c>
      <c r="AW23" s="382">
        <f t="array" aca="1" ref="AW23" ca="1">SUMPRODUCT(AW$63:AW$122,TRANSPOSE(SAP_Spreadsheet!$G$236:$BN$236))</f>
        <v>0</v>
      </c>
      <c r="AX23" s="382">
        <f t="array" aca="1" ref="AX23" ca="1">SUMPRODUCT(AX$63:AX$122,TRANSPOSE(SAP_Spreadsheet!$G$236:$BN$236))</f>
        <v>0</v>
      </c>
      <c r="AY23" s="382">
        <f t="array" aca="1" ref="AY23" ca="1">SUMPRODUCT(AY$63:AY$122,TRANSPOSE(SAP_Spreadsheet!$G$236:$BN$236))</f>
        <v>0</v>
      </c>
      <c r="AZ23" s="382">
        <f t="array" aca="1" ref="AZ23" ca="1">SUMPRODUCT(AZ$63:AZ$122,TRANSPOSE(SAP_Spreadsheet!$G$236:$BN$236))</f>
        <v>0</v>
      </c>
      <c r="BA23" s="382">
        <f t="array" aca="1" ref="BA23" ca="1">SUMPRODUCT(BA$63:BA$122,TRANSPOSE(SAP_Spreadsheet!$G$236:$BN$236))</f>
        <v>0</v>
      </c>
      <c r="BB23" s="382">
        <f t="array" aca="1" ref="BB23" ca="1">SUMPRODUCT(BB$63:BB$122,TRANSPOSE(SAP_Spreadsheet!$G$236:$BN$236))</f>
        <v>0</v>
      </c>
      <c r="BC23" s="382">
        <f t="array" aca="1" ref="BC23" ca="1">SUMPRODUCT(BC$63:BC$122,TRANSPOSE(SAP_Spreadsheet!$G$236:$BN$236))</f>
        <v>0</v>
      </c>
      <c r="BD23" s="382">
        <f t="array" aca="1" ref="BD23" ca="1">SUMPRODUCT(BD$63:BD$122,TRANSPOSE(SAP_Spreadsheet!$G$236:$BN$236))</f>
        <v>0</v>
      </c>
      <c r="BE23" s="382">
        <f t="array" aca="1" ref="BE23" ca="1">SUMPRODUCT(BE$63:BE$122,TRANSPOSE(SAP_Spreadsheet!$G$236:$BN$236))</f>
        <v>0</v>
      </c>
      <c r="BF23" s="382">
        <f t="array" aca="1" ref="BF23" ca="1">SUMPRODUCT(BF$63:BF$122,TRANSPOSE(SAP_Spreadsheet!$G$236:$BN$236))</f>
        <v>0</v>
      </c>
      <c r="BG23" s="382">
        <f t="array" aca="1" ref="BG23" ca="1">SUMPRODUCT(BG$63:BG$122,TRANSPOSE(SAP_Spreadsheet!$G$236:$BN$236))</f>
        <v>0</v>
      </c>
      <c r="BH23" s="382">
        <f t="array" aca="1" ref="BH23" ca="1">SUMPRODUCT(BH$63:BH$122,TRANSPOSE(SAP_Spreadsheet!$G$236:$BN$236))</f>
        <v>0</v>
      </c>
      <c r="BI23" s="382">
        <f t="array" aca="1" ref="BI23" ca="1">SUMPRODUCT(BI$63:BI$122,TRANSPOSE(SAP_Spreadsheet!$G$236:$BN$236))</f>
        <v>0</v>
      </c>
      <c r="BJ23" s="382">
        <f t="array" aca="1" ref="BJ23" ca="1">SUMPRODUCT(BJ$63:BJ$122,TRANSPOSE(SAP_Spreadsheet!$G$236:$BN$236))</f>
        <v>0</v>
      </c>
      <c r="BK23" s="382">
        <f t="array" aca="1" ref="BK23" ca="1">SUMPRODUCT(BK$63:BK$122,TRANSPOSE(SAP_Spreadsheet!$G$236:$BN$236))</f>
        <v>0</v>
      </c>
      <c r="BL23" s="382">
        <f t="array" aca="1" ref="BL23" ca="1">SUMPRODUCT(BL$63:BL$122,TRANSPOSE(SAP_Spreadsheet!$G$236:$BN$236))</f>
        <v>0</v>
      </c>
    </row>
    <row r="24" spans="1:65" s="377" customFormat="1" x14ac:dyDescent="0.15">
      <c r="A24" s="375"/>
      <c r="B24" s="375"/>
      <c r="D24" s="377" t="s">
        <v>167</v>
      </c>
      <c r="E24" s="378">
        <f t="array" aca="1" ref="E24" ca="1">SUMPRODUCT(E$63:E$122,TRANSPOSE(SAP_Spreadsheet!$G$275:$BN$275))</f>
        <v>0</v>
      </c>
      <c r="F24" s="378">
        <f t="array" aca="1" ref="F24" ca="1">SUMPRODUCT(F$63:F$122,TRANSPOSE(SAP_Spreadsheet!$G$275:$BN$275))</f>
        <v>0</v>
      </c>
      <c r="G24" s="378">
        <f t="array" aca="1" ref="G24" ca="1">SUMPRODUCT(G$63:G$122,TRANSPOSE(SAP_Spreadsheet!$G$275:$BN$275))</f>
        <v>0</v>
      </c>
      <c r="H24" s="378">
        <f t="array" aca="1" ref="H24" ca="1">SUMPRODUCT(H$63:H$122,TRANSPOSE(SAP_Spreadsheet!$G$275:$BN$275))</f>
        <v>0</v>
      </c>
      <c r="I24" s="378">
        <f t="array" aca="1" ref="I24" ca="1">SUMPRODUCT(I$63:I$122,TRANSPOSE(SAP_Spreadsheet!$G$275:$BN$275))</f>
        <v>0</v>
      </c>
      <c r="J24" s="378">
        <f t="array" aca="1" ref="J24" ca="1">SUMPRODUCT(J$63:J$122,TRANSPOSE(SAP_Spreadsheet!$G$275:$BN$275))</f>
        <v>0</v>
      </c>
      <c r="K24" s="378">
        <f t="array" aca="1" ref="K24" ca="1">SUMPRODUCT(K$63:K$122,TRANSPOSE(SAP_Spreadsheet!$G$275:$BN$275))</f>
        <v>0</v>
      </c>
      <c r="L24" s="378">
        <f t="array" aca="1" ref="L24" ca="1">SUMPRODUCT(L$63:L$122,TRANSPOSE(SAP_Spreadsheet!$G$275:$BN$275))</f>
        <v>0</v>
      </c>
      <c r="M24" s="378">
        <f t="array" aca="1" ref="M24" ca="1">SUMPRODUCT(M$63:M$122,TRANSPOSE(SAP_Spreadsheet!$G$275:$BN$275))</f>
        <v>0</v>
      </c>
      <c r="N24" s="378">
        <f t="array" aca="1" ref="N24" ca="1">SUMPRODUCT(N$63:N$122,TRANSPOSE(SAP_Spreadsheet!$G$275:$BN$275))</f>
        <v>0</v>
      </c>
      <c r="O24" s="378">
        <f t="array" aca="1" ref="O24" ca="1">SUMPRODUCT(O$63:O$122,TRANSPOSE(SAP_Spreadsheet!$G$275:$BN$275))</f>
        <v>0</v>
      </c>
      <c r="P24" s="378">
        <f t="array" aca="1" ref="P24" ca="1">SUMPRODUCT(P$63:P$122,TRANSPOSE(SAP_Spreadsheet!$G$275:$BN$275))</f>
        <v>0</v>
      </c>
      <c r="Q24" s="378">
        <f t="array" aca="1" ref="Q24" ca="1">SUMPRODUCT(Q$63:Q$122,TRANSPOSE(SAP_Spreadsheet!$G$275:$BN$275))</f>
        <v>0</v>
      </c>
      <c r="R24" s="378">
        <f t="array" aca="1" ref="R24" ca="1">SUMPRODUCT(R$63:R$122,TRANSPOSE(SAP_Spreadsheet!$G$275:$BN$275))</f>
        <v>0</v>
      </c>
      <c r="S24" s="378">
        <f t="array" aca="1" ref="S24" ca="1">SUMPRODUCT(S$63:S$122,TRANSPOSE(SAP_Spreadsheet!$G$275:$BN$275))</f>
        <v>0</v>
      </c>
      <c r="T24" s="378">
        <f t="array" aca="1" ref="T24" ca="1">SUMPRODUCT(T$63:T$122,TRANSPOSE(SAP_Spreadsheet!$G$275:$BN$275))</f>
        <v>0</v>
      </c>
      <c r="U24" s="378">
        <f t="array" aca="1" ref="U24" ca="1">SUMPRODUCT(U$63:U$122,TRANSPOSE(SAP_Spreadsheet!$G$275:$BN$275))</f>
        <v>0</v>
      </c>
      <c r="V24" s="378">
        <f t="array" aca="1" ref="V24" ca="1">SUMPRODUCT(V$63:V$122,TRANSPOSE(SAP_Spreadsheet!$G$275:$BN$275))</f>
        <v>0</v>
      </c>
      <c r="W24" s="378">
        <f t="array" aca="1" ref="W24" ca="1">SUMPRODUCT(W$63:W$122,TRANSPOSE(SAP_Spreadsheet!$G$275:$BN$275))</f>
        <v>0</v>
      </c>
      <c r="X24" s="378">
        <f t="array" aca="1" ref="X24" ca="1">SUMPRODUCT(X$63:X$122,TRANSPOSE(SAP_Spreadsheet!$G$275:$BN$275))</f>
        <v>0</v>
      </c>
      <c r="Y24" s="378">
        <f t="array" aca="1" ref="Y24" ca="1">SUMPRODUCT(Y$63:Y$122,TRANSPOSE(SAP_Spreadsheet!$G$275:$BN$275))</f>
        <v>0</v>
      </c>
      <c r="Z24" s="378">
        <f t="array" aca="1" ref="Z24" ca="1">SUMPRODUCT(Z$63:Z$122,TRANSPOSE(SAP_Spreadsheet!$G$275:$BN$275))</f>
        <v>0</v>
      </c>
      <c r="AA24" s="378">
        <f t="array" aca="1" ref="AA24" ca="1">SUMPRODUCT(AA$63:AA$122,TRANSPOSE(SAP_Spreadsheet!$G$275:$BN$275))</f>
        <v>0</v>
      </c>
      <c r="AB24" s="378">
        <f t="array" aca="1" ref="AB24" ca="1">SUMPRODUCT(AB$63:AB$122,TRANSPOSE(SAP_Spreadsheet!$G$275:$BN$275))</f>
        <v>0</v>
      </c>
      <c r="AC24" s="378">
        <f t="array" aca="1" ref="AC24" ca="1">SUMPRODUCT(AC$63:AC$122,TRANSPOSE(SAP_Spreadsheet!$G$275:$BN$275))</f>
        <v>0</v>
      </c>
      <c r="AD24" s="378">
        <f t="array" aca="1" ref="AD24" ca="1">SUMPRODUCT(AD$63:AD$122,TRANSPOSE(SAP_Spreadsheet!$G$275:$BN$275))</f>
        <v>0</v>
      </c>
      <c r="AE24" s="378">
        <f t="array" aca="1" ref="AE24" ca="1">SUMPRODUCT(AE$63:AE$122,TRANSPOSE(SAP_Spreadsheet!$G$275:$BN$275))</f>
        <v>0</v>
      </c>
      <c r="AF24" s="378">
        <f t="array" aca="1" ref="AF24" ca="1">SUMPRODUCT(AF$63:AF$122,TRANSPOSE(SAP_Spreadsheet!$G$275:$BN$275))</f>
        <v>0</v>
      </c>
      <c r="AG24" s="378">
        <f t="array" aca="1" ref="AG24" ca="1">SUMPRODUCT(AG$63:AG$122,TRANSPOSE(SAP_Spreadsheet!$G$275:$BN$275))</f>
        <v>0</v>
      </c>
      <c r="AH24" s="378">
        <f t="array" aca="1" ref="AH24" ca="1">SUMPRODUCT(AH$63:AH$122,TRANSPOSE(SAP_Spreadsheet!$G$275:$BN$275))</f>
        <v>0</v>
      </c>
      <c r="AI24" s="378">
        <f t="array" aca="1" ref="AI24" ca="1">SUMPRODUCT(AI$63:AI$122,TRANSPOSE(SAP_Spreadsheet!$G$275:$BN$275))</f>
        <v>0</v>
      </c>
      <c r="AJ24" s="378">
        <f t="array" aca="1" ref="AJ24" ca="1">SUMPRODUCT(AJ$63:AJ$122,TRANSPOSE(SAP_Spreadsheet!$G$275:$BN$275))</f>
        <v>0</v>
      </c>
      <c r="AK24" s="378">
        <f t="array" aca="1" ref="AK24" ca="1">SUMPRODUCT(AK$63:AK$122,TRANSPOSE(SAP_Spreadsheet!$G$275:$BN$275))</f>
        <v>0</v>
      </c>
      <c r="AL24" s="378">
        <f t="array" aca="1" ref="AL24" ca="1">SUMPRODUCT(AL$63:AL$122,TRANSPOSE(SAP_Spreadsheet!$G$275:$BN$275))</f>
        <v>0</v>
      </c>
      <c r="AM24" s="378">
        <f t="array" aca="1" ref="AM24" ca="1">SUMPRODUCT(AM$63:AM$122,TRANSPOSE(SAP_Spreadsheet!$G$275:$BN$275))</f>
        <v>0</v>
      </c>
      <c r="AN24" s="378">
        <f t="array" aca="1" ref="AN24" ca="1">SUMPRODUCT(AN$63:AN$122,TRANSPOSE(SAP_Spreadsheet!$G$275:$BN$275))</f>
        <v>0</v>
      </c>
      <c r="AO24" s="378">
        <f t="array" aca="1" ref="AO24" ca="1">SUMPRODUCT(AO$63:AO$122,TRANSPOSE(SAP_Spreadsheet!$G$275:$BN$275))</f>
        <v>0</v>
      </c>
      <c r="AP24" s="378">
        <f t="array" aca="1" ref="AP24" ca="1">SUMPRODUCT(AP$63:AP$122,TRANSPOSE(SAP_Spreadsheet!$G$275:$BN$275))</f>
        <v>0</v>
      </c>
      <c r="AQ24" s="378">
        <f t="array" aca="1" ref="AQ24" ca="1">SUMPRODUCT(AQ$63:AQ$122,TRANSPOSE(SAP_Spreadsheet!$G$275:$BN$275))</f>
        <v>0</v>
      </c>
      <c r="AR24" s="378">
        <f t="array" aca="1" ref="AR24" ca="1">SUMPRODUCT(AR$63:AR$122,TRANSPOSE(SAP_Spreadsheet!$G$275:$BN$275))</f>
        <v>0</v>
      </c>
      <c r="AS24" s="378">
        <f t="array" aca="1" ref="AS24" ca="1">SUMPRODUCT(AS$63:AS$122,TRANSPOSE(SAP_Spreadsheet!$G$275:$BN$275))</f>
        <v>0</v>
      </c>
      <c r="AT24" s="378">
        <f t="array" aca="1" ref="AT24" ca="1">SUMPRODUCT(AT$63:AT$122,TRANSPOSE(SAP_Spreadsheet!$G$275:$BN$275))</f>
        <v>0</v>
      </c>
      <c r="AU24" s="378">
        <f t="array" aca="1" ref="AU24" ca="1">SUMPRODUCT(AU$63:AU$122,TRANSPOSE(SAP_Spreadsheet!$G$275:$BN$275))</f>
        <v>0</v>
      </c>
      <c r="AV24" s="378">
        <f t="array" aca="1" ref="AV24" ca="1">SUMPRODUCT(AV$63:AV$122,TRANSPOSE(SAP_Spreadsheet!$G$275:$BN$275))</f>
        <v>0</v>
      </c>
      <c r="AW24" s="378">
        <f t="array" aca="1" ref="AW24" ca="1">SUMPRODUCT(AW$63:AW$122,TRANSPOSE(SAP_Spreadsheet!$G$275:$BN$275))</f>
        <v>0</v>
      </c>
      <c r="AX24" s="378">
        <f t="array" aca="1" ref="AX24" ca="1">SUMPRODUCT(AX$63:AX$122,TRANSPOSE(SAP_Spreadsheet!$G$275:$BN$275))</f>
        <v>0</v>
      </c>
      <c r="AY24" s="378">
        <f t="array" aca="1" ref="AY24" ca="1">SUMPRODUCT(AY$63:AY$122,TRANSPOSE(SAP_Spreadsheet!$G$275:$BN$275))</f>
        <v>0</v>
      </c>
      <c r="AZ24" s="378">
        <f t="array" aca="1" ref="AZ24" ca="1">SUMPRODUCT(AZ$63:AZ$122,TRANSPOSE(SAP_Spreadsheet!$G$275:$BN$275))</f>
        <v>0</v>
      </c>
      <c r="BA24" s="378">
        <f t="array" aca="1" ref="BA24" ca="1">SUMPRODUCT(BA$63:BA$122,TRANSPOSE(SAP_Spreadsheet!$G$275:$BN$275))</f>
        <v>0</v>
      </c>
      <c r="BB24" s="378">
        <f t="array" aca="1" ref="BB24" ca="1">SUMPRODUCT(BB$63:BB$122,TRANSPOSE(SAP_Spreadsheet!$G$275:$BN$275))</f>
        <v>0</v>
      </c>
      <c r="BC24" s="378">
        <f t="array" aca="1" ref="BC24" ca="1">SUMPRODUCT(BC$63:BC$122,TRANSPOSE(SAP_Spreadsheet!$G$275:$BN$275))</f>
        <v>0</v>
      </c>
      <c r="BD24" s="378">
        <f t="array" aca="1" ref="BD24" ca="1">SUMPRODUCT(BD$63:BD$122,TRANSPOSE(SAP_Spreadsheet!$G$275:$BN$275))</f>
        <v>0</v>
      </c>
      <c r="BE24" s="378">
        <f t="array" aca="1" ref="BE24" ca="1">SUMPRODUCT(BE$63:BE$122,TRANSPOSE(SAP_Spreadsheet!$G$275:$BN$275))</f>
        <v>0</v>
      </c>
      <c r="BF24" s="378">
        <f t="array" aca="1" ref="BF24" ca="1">SUMPRODUCT(BF$63:BF$122,TRANSPOSE(SAP_Spreadsheet!$G$275:$BN$275))</f>
        <v>0</v>
      </c>
      <c r="BG24" s="378">
        <f t="array" aca="1" ref="BG24" ca="1">SUMPRODUCT(BG$63:BG$122,TRANSPOSE(SAP_Spreadsheet!$G$275:$BN$275))</f>
        <v>0</v>
      </c>
      <c r="BH24" s="378">
        <f t="array" aca="1" ref="BH24" ca="1">SUMPRODUCT(BH$63:BH$122,TRANSPOSE(SAP_Spreadsheet!$G$275:$BN$275))</f>
        <v>0</v>
      </c>
      <c r="BI24" s="378">
        <f t="array" aca="1" ref="BI24" ca="1">SUMPRODUCT(BI$63:BI$122,TRANSPOSE(SAP_Spreadsheet!$G$275:$BN$275))</f>
        <v>0</v>
      </c>
      <c r="BJ24" s="378">
        <f t="array" aca="1" ref="BJ24" ca="1">SUMPRODUCT(BJ$63:BJ$122,TRANSPOSE(SAP_Spreadsheet!$G$275:$BN$275))</f>
        <v>0</v>
      </c>
      <c r="BK24" s="378">
        <f t="array" aca="1" ref="BK24" ca="1">SUMPRODUCT(BK$63:BK$122,TRANSPOSE(SAP_Spreadsheet!$G$275:$BN$275))</f>
        <v>0</v>
      </c>
      <c r="BL24" s="378">
        <f t="array" aca="1" ref="BL24" ca="1">SUMPRODUCT(BL$63:BL$122,TRANSPOSE(SAP_Spreadsheet!$G$275:$BN$275))</f>
        <v>0</v>
      </c>
      <c r="BM24" s="379"/>
    </row>
    <row r="25" spans="1:65" s="379" customFormat="1" x14ac:dyDescent="0.15">
      <c r="A25" s="371"/>
      <c r="B25" s="371"/>
      <c r="D25" s="377" t="s">
        <v>460</v>
      </c>
      <c r="E25" s="382">
        <f t="shared" ref="E25:BL25" ca="1" si="2">SUM(E27:E29)</f>
        <v>0</v>
      </c>
      <c r="F25" s="382">
        <f t="shared" ca="1" si="2"/>
        <v>0</v>
      </c>
      <c r="G25" s="382">
        <f t="shared" ca="1" si="2"/>
        <v>0</v>
      </c>
      <c r="H25" s="382">
        <f t="shared" ca="1" si="2"/>
        <v>0</v>
      </c>
      <c r="I25" s="382">
        <f t="shared" ca="1" si="2"/>
        <v>0</v>
      </c>
      <c r="J25" s="382">
        <f t="shared" ca="1" si="2"/>
        <v>0</v>
      </c>
      <c r="K25" s="382">
        <f t="shared" ca="1" si="2"/>
        <v>0</v>
      </c>
      <c r="L25" s="382">
        <f t="shared" ca="1" si="2"/>
        <v>0</v>
      </c>
      <c r="M25" s="382">
        <f t="shared" ca="1" si="2"/>
        <v>0</v>
      </c>
      <c r="N25" s="382">
        <f t="shared" ca="1" si="2"/>
        <v>0</v>
      </c>
      <c r="O25" s="382">
        <f t="shared" ca="1" si="2"/>
        <v>0</v>
      </c>
      <c r="P25" s="382">
        <f t="shared" ca="1" si="2"/>
        <v>0</v>
      </c>
      <c r="Q25" s="382">
        <f t="shared" ca="1" si="2"/>
        <v>0</v>
      </c>
      <c r="R25" s="382">
        <f t="shared" ca="1" si="2"/>
        <v>0</v>
      </c>
      <c r="S25" s="382">
        <f t="shared" ca="1" si="2"/>
        <v>0</v>
      </c>
      <c r="T25" s="382">
        <f t="shared" ca="1" si="2"/>
        <v>0</v>
      </c>
      <c r="U25" s="382">
        <f t="shared" ca="1" si="2"/>
        <v>0</v>
      </c>
      <c r="V25" s="382">
        <f t="shared" ca="1" si="2"/>
        <v>0</v>
      </c>
      <c r="W25" s="382">
        <f t="shared" ca="1" si="2"/>
        <v>0</v>
      </c>
      <c r="X25" s="382">
        <f t="shared" ca="1" si="2"/>
        <v>0</v>
      </c>
      <c r="Y25" s="382">
        <f t="shared" ca="1" si="2"/>
        <v>0</v>
      </c>
      <c r="Z25" s="382">
        <f t="shared" ca="1" si="2"/>
        <v>0</v>
      </c>
      <c r="AA25" s="382">
        <f t="shared" ca="1" si="2"/>
        <v>0</v>
      </c>
      <c r="AB25" s="382">
        <f t="shared" ca="1" si="2"/>
        <v>0</v>
      </c>
      <c r="AC25" s="382">
        <f t="shared" ca="1" si="2"/>
        <v>0</v>
      </c>
      <c r="AD25" s="382">
        <f t="shared" ca="1" si="2"/>
        <v>0</v>
      </c>
      <c r="AE25" s="382">
        <f t="shared" ca="1" si="2"/>
        <v>0</v>
      </c>
      <c r="AF25" s="382">
        <f t="shared" ca="1" si="2"/>
        <v>0</v>
      </c>
      <c r="AG25" s="382">
        <f t="shared" ca="1" si="2"/>
        <v>0</v>
      </c>
      <c r="AH25" s="382">
        <f t="shared" ca="1" si="2"/>
        <v>0</v>
      </c>
      <c r="AI25" s="382">
        <f t="shared" ca="1" si="2"/>
        <v>0</v>
      </c>
      <c r="AJ25" s="382">
        <f t="shared" ca="1" si="2"/>
        <v>0</v>
      </c>
      <c r="AK25" s="382">
        <f t="shared" ca="1" si="2"/>
        <v>0</v>
      </c>
      <c r="AL25" s="382">
        <f t="shared" ca="1" si="2"/>
        <v>0</v>
      </c>
      <c r="AM25" s="382">
        <f t="shared" ca="1" si="2"/>
        <v>0</v>
      </c>
      <c r="AN25" s="382">
        <f t="shared" ca="1" si="2"/>
        <v>0</v>
      </c>
      <c r="AO25" s="382">
        <f t="shared" ca="1" si="2"/>
        <v>0</v>
      </c>
      <c r="AP25" s="382">
        <f t="shared" ca="1" si="2"/>
        <v>0</v>
      </c>
      <c r="AQ25" s="382">
        <f t="shared" ca="1" si="2"/>
        <v>0</v>
      </c>
      <c r="AR25" s="382">
        <f t="shared" ca="1" si="2"/>
        <v>0</v>
      </c>
      <c r="AS25" s="382">
        <f t="shared" ca="1" si="2"/>
        <v>0</v>
      </c>
      <c r="AT25" s="382">
        <f t="shared" ca="1" si="2"/>
        <v>0</v>
      </c>
      <c r="AU25" s="382">
        <f t="shared" ca="1" si="2"/>
        <v>0</v>
      </c>
      <c r="AV25" s="382">
        <f t="shared" ca="1" si="2"/>
        <v>0</v>
      </c>
      <c r="AW25" s="382">
        <f t="shared" ca="1" si="2"/>
        <v>0</v>
      </c>
      <c r="AX25" s="382">
        <f t="shared" ca="1" si="2"/>
        <v>0</v>
      </c>
      <c r="AY25" s="382">
        <f t="shared" ca="1" si="2"/>
        <v>0</v>
      </c>
      <c r="AZ25" s="382">
        <f t="shared" ca="1" si="2"/>
        <v>0</v>
      </c>
      <c r="BA25" s="382">
        <f t="shared" ca="1" si="2"/>
        <v>0</v>
      </c>
      <c r="BB25" s="382">
        <f t="shared" ca="1" si="2"/>
        <v>0</v>
      </c>
      <c r="BC25" s="382">
        <f t="shared" ca="1" si="2"/>
        <v>0</v>
      </c>
      <c r="BD25" s="382">
        <f t="shared" ca="1" si="2"/>
        <v>0</v>
      </c>
      <c r="BE25" s="382">
        <f t="shared" ca="1" si="2"/>
        <v>0</v>
      </c>
      <c r="BF25" s="382">
        <f t="shared" ca="1" si="2"/>
        <v>0</v>
      </c>
      <c r="BG25" s="382">
        <f t="shared" ca="1" si="2"/>
        <v>0</v>
      </c>
      <c r="BH25" s="382">
        <f t="shared" ca="1" si="2"/>
        <v>0</v>
      </c>
      <c r="BI25" s="382">
        <f t="shared" ca="1" si="2"/>
        <v>0</v>
      </c>
      <c r="BJ25" s="382">
        <f t="shared" ca="1" si="2"/>
        <v>0</v>
      </c>
      <c r="BK25" s="382">
        <f t="shared" ca="1" si="2"/>
        <v>0</v>
      </c>
      <c r="BL25" s="382">
        <f t="shared" ca="1" si="2"/>
        <v>0</v>
      </c>
    </row>
    <row r="26" spans="1:65" s="379" customFormat="1" x14ac:dyDescent="0.15">
      <c r="A26" s="371"/>
      <c r="B26" s="371"/>
      <c r="D26" s="381" t="s">
        <v>87</v>
      </c>
      <c r="E26" s="382">
        <f t="array" aca="1" ref="E26" ca="1">SUMPRODUCT(E$63:E$122,TRANSPOSE(SAP_Spreadsheet!$G$244:$BN$244))</f>
        <v>0</v>
      </c>
      <c r="F26" s="382">
        <f t="array" aca="1" ref="F26" ca="1">SUMPRODUCT(F$63:F$122,TRANSPOSE(SAP_Spreadsheet!$G$244:$BN$244))</f>
        <v>0</v>
      </c>
      <c r="G26" s="382">
        <f t="array" aca="1" ref="G26" ca="1">SUMPRODUCT(G$63:G$122,TRANSPOSE(SAP_Spreadsheet!$G$244:$BN$244))</f>
        <v>0</v>
      </c>
      <c r="H26" s="382">
        <f t="array" aca="1" ref="H26" ca="1">SUMPRODUCT(H$63:H$122,TRANSPOSE(SAP_Spreadsheet!$G$244:$BN$244))</f>
        <v>0</v>
      </c>
      <c r="I26" s="382">
        <f t="array" aca="1" ref="I26" ca="1">SUMPRODUCT(I$63:I$122,TRANSPOSE(SAP_Spreadsheet!$G$244:$BN$244))</f>
        <v>0</v>
      </c>
      <c r="J26" s="382">
        <f t="array" aca="1" ref="J26" ca="1">SUMPRODUCT(J$63:J$122,TRANSPOSE(SAP_Spreadsheet!$G$244:$BN$244))</f>
        <v>0</v>
      </c>
      <c r="K26" s="382">
        <f t="array" aca="1" ref="K26" ca="1">SUMPRODUCT(K$63:K$122,TRANSPOSE(SAP_Spreadsheet!$G$244:$BN$244))</f>
        <v>0</v>
      </c>
      <c r="L26" s="382">
        <f t="array" aca="1" ref="L26" ca="1">SUMPRODUCT(L$63:L$122,TRANSPOSE(SAP_Spreadsheet!$G$244:$BN$244))</f>
        <v>0</v>
      </c>
      <c r="M26" s="382">
        <f t="array" aca="1" ref="M26" ca="1">SUMPRODUCT(M$63:M$122,TRANSPOSE(SAP_Spreadsheet!$G$244:$BN$244))</f>
        <v>0</v>
      </c>
      <c r="N26" s="382">
        <f t="array" aca="1" ref="N26" ca="1">SUMPRODUCT(N$63:N$122,TRANSPOSE(SAP_Spreadsheet!$G$244:$BN$244))</f>
        <v>0</v>
      </c>
      <c r="O26" s="382">
        <f t="array" aca="1" ref="O26" ca="1">SUMPRODUCT(O$63:O$122,TRANSPOSE(SAP_Spreadsheet!$G$244:$BN$244))</f>
        <v>0</v>
      </c>
      <c r="P26" s="382">
        <f t="array" aca="1" ref="P26" ca="1">SUMPRODUCT(P$63:P$122,TRANSPOSE(SAP_Spreadsheet!$G$244:$BN$244))</f>
        <v>0</v>
      </c>
      <c r="Q26" s="382">
        <f t="array" aca="1" ref="Q26" ca="1">SUMPRODUCT(Q$63:Q$122,TRANSPOSE(SAP_Spreadsheet!$G$244:$BN$244))</f>
        <v>0</v>
      </c>
      <c r="R26" s="382">
        <f t="array" aca="1" ref="R26" ca="1">SUMPRODUCT(R$63:R$122,TRANSPOSE(SAP_Spreadsheet!$G$244:$BN$244))</f>
        <v>0</v>
      </c>
      <c r="S26" s="382">
        <f t="array" aca="1" ref="S26" ca="1">SUMPRODUCT(S$63:S$122,TRANSPOSE(SAP_Spreadsheet!$G$244:$BN$244))</f>
        <v>0</v>
      </c>
      <c r="T26" s="382">
        <f t="array" aca="1" ref="T26" ca="1">SUMPRODUCT(T$63:T$122,TRANSPOSE(SAP_Spreadsheet!$G$244:$BN$244))</f>
        <v>0</v>
      </c>
      <c r="U26" s="382">
        <f t="array" aca="1" ref="U26" ca="1">SUMPRODUCT(U$63:U$122,TRANSPOSE(SAP_Spreadsheet!$G$244:$BN$244))</f>
        <v>0</v>
      </c>
      <c r="V26" s="382">
        <f t="array" aca="1" ref="V26" ca="1">SUMPRODUCT(V$63:V$122,TRANSPOSE(SAP_Spreadsheet!$G$244:$BN$244))</f>
        <v>0</v>
      </c>
      <c r="W26" s="382">
        <f t="array" aca="1" ref="W26" ca="1">SUMPRODUCT(W$63:W$122,TRANSPOSE(SAP_Spreadsheet!$G$244:$BN$244))</f>
        <v>0</v>
      </c>
      <c r="X26" s="382">
        <f t="array" aca="1" ref="X26" ca="1">SUMPRODUCT(X$63:X$122,TRANSPOSE(SAP_Spreadsheet!$G$244:$BN$244))</f>
        <v>0</v>
      </c>
      <c r="Y26" s="382">
        <f t="array" aca="1" ref="Y26" ca="1">SUMPRODUCT(Y$63:Y$122,TRANSPOSE(SAP_Spreadsheet!$G$244:$BN$244))</f>
        <v>0</v>
      </c>
      <c r="Z26" s="382">
        <f t="array" aca="1" ref="Z26" ca="1">SUMPRODUCT(Z$63:Z$122,TRANSPOSE(SAP_Spreadsheet!$G$244:$BN$244))</f>
        <v>0</v>
      </c>
      <c r="AA26" s="382">
        <f t="array" aca="1" ref="AA26" ca="1">SUMPRODUCT(AA$63:AA$122,TRANSPOSE(SAP_Spreadsheet!$G$244:$BN$244))</f>
        <v>0</v>
      </c>
      <c r="AB26" s="382">
        <f t="array" aca="1" ref="AB26" ca="1">SUMPRODUCT(AB$63:AB$122,TRANSPOSE(SAP_Spreadsheet!$G$244:$BN$244))</f>
        <v>0</v>
      </c>
      <c r="AC26" s="382">
        <f t="array" aca="1" ref="AC26" ca="1">SUMPRODUCT(AC$63:AC$122,TRANSPOSE(SAP_Spreadsheet!$G$244:$BN$244))</f>
        <v>0</v>
      </c>
      <c r="AD26" s="382">
        <f t="array" aca="1" ref="AD26" ca="1">SUMPRODUCT(AD$63:AD$122,TRANSPOSE(SAP_Spreadsheet!$G$244:$BN$244))</f>
        <v>0</v>
      </c>
      <c r="AE26" s="382">
        <f t="array" aca="1" ref="AE26" ca="1">SUMPRODUCT(AE$63:AE$122,TRANSPOSE(SAP_Spreadsheet!$G$244:$BN$244))</f>
        <v>0</v>
      </c>
      <c r="AF26" s="382">
        <f t="array" aca="1" ref="AF26" ca="1">SUMPRODUCT(AF$63:AF$122,TRANSPOSE(SAP_Spreadsheet!$G$244:$BN$244))</f>
        <v>0</v>
      </c>
      <c r="AG26" s="382">
        <f t="array" aca="1" ref="AG26" ca="1">SUMPRODUCT(AG$63:AG$122,TRANSPOSE(SAP_Spreadsheet!$G$244:$BN$244))</f>
        <v>0</v>
      </c>
      <c r="AH26" s="382">
        <f t="array" aca="1" ref="AH26" ca="1">SUMPRODUCT(AH$63:AH$122,TRANSPOSE(SAP_Spreadsheet!$G$244:$BN$244))</f>
        <v>0</v>
      </c>
      <c r="AI26" s="382">
        <f t="array" aca="1" ref="AI26" ca="1">SUMPRODUCT(AI$63:AI$122,TRANSPOSE(SAP_Spreadsheet!$G$244:$BN$244))</f>
        <v>0</v>
      </c>
      <c r="AJ26" s="382">
        <f t="array" aca="1" ref="AJ26" ca="1">SUMPRODUCT(AJ$63:AJ$122,TRANSPOSE(SAP_Spreadsheet!$G$244:$BN$244))</f>
        <v>0</v>
      </c>
      <c r="AK26" s="382">
        <f t="array" aca="1" ref="AK26" ca="1">SUMPRODUCT(AK$63:AK$122,TRANSPOSE(SAP_Spreadsheet!$G$244:$BN$244))</f>
        <v>0</v>
      </c>
      <c r="AL26" s="382">
        <f t="array" aca="1" ref="AL26" ca="1">SUMPRODUCT(AL$63:AL$122,TRANSPOSE(SAP_Spreadsheet!$G$244:$BN$244))</f>
        <v>0</v>
      </c>
      <c r="AM26" s="382">
        <f t="array" aca="1" ref="AM26" ca="1">SUMPRODUCT(AM$63:AM$122,TRANSPOSE(SAP_Spreadsheet!$G$244:$BN$244))</f>
        <v>0</v>
      </c>
      <c r="AN26" s="382">
        <f t="array" aca="1" ref="AN26" ca="1">SUMPRODUCT(AN$63:AN$122,TRANSPOSE(SAP_Spreadsheet!$G$244:$BN$244))</f>
        <v>0</v>
      </c>
      <c r="AO26" s="382">
        <f t="array" aca="1" ref="AO26" ca="1">SUMPRODUCT(AO$63:AO$122,TRANSPOSE(SAP_Spreadsheet!$G$244:$BN$244))</f>
        <v>0</v>
      </c>
      <c r="AP26" s="382">
        <f t="array" aca="1" ref="AP26" ca="1">SUMPRODUCT(AP$63:AP$122,TRANSPOSE(SAP_Spreadsheet!$G$244:$BN$244))</f>
        <v>0</v>
      </c>
      <c r="AQ26" s="382">
        <f t="array" aca="1" ref="AQ26" ca="1">SUMPRODUCT(AQ$63:AQ$122,TRANSPOSE(SAP_Spreadsheet!$G$244:$BN$244))</f>
        <v>0</v>
      </c>
      <c r="AR26" s="382">
        <f t="array" aca="1" ref="AR26" ca="1">SUMPRODUCT(AR$63:AR$122,TRANSPOSE(SAP_Spreadsheet!$G$244:$BN$244))</f>
        <v>0</v>
      </c>
      <c r="AS26" s="382">
        <f t="array" aca="1" ref="AS26" ca="1">SUMPRODUCT(AS$63:AS$122,TRANSPOSE(SAP_Spreadsheet!$G$244:$BN$244))</f>
        <v>0</v>
      </c>
      <c r="AT26" s="382">
        <f t="array" aca="1" ref="AT26" ca="1">SUMPRODUCT(AT$63:AT$122,TRANSPOSE(SAP_Spreadsheet!$G$244:$BN$244))</f>
        <v>0</v>
      </c>
      <c r="AU26" s="382">
        <f t="array" aca="1" ref="AU26" ca="1">SUMPRODUCT(AU$63:AU$122,TRANSPOSE(SAP_Spreadsheet!$G$244:$BN$244))</f>
        <v>0</v>
      </c>
      <c r="AV26" s="382">
        <f t="array" aca="1" ref="AV26" ca="1">SUMPRODUCT(AV$63:AV$122,TRANSPOSE(SAP_Spreadsheet!$G$244:$BN$244))</f>
        <v>0</v>
      </c>
      <c r="AW26" s="382">
        <f t="array" aca="1" ref="AW26" ca="1">SUMPRODUCT(AW$63:AW$122,TRANSPOSE(SAP_Spreadsheet!$G$244:$BN$244))</f>
        <v>0</v>
      </c>
      <c r="AX26" s="382">
        <f t="array" aca="1" ref="AX26" ca="1">SUMPRODUCT(AX$63:AX$122,TRANSPOSE(SAP_Spreadsheet!$G$244:$BN$244))</f>
        <v>0</v>
      </c>
      <c r="AY26" s="382">
        <f t="array" aca="1" ref="AY26" ca="1">SUMPRODUCT(AY$63:AY$122,TRANSPOSE(SAP_Spreadsheet!$G$244:$BN$244))</f>
        <v>0</v>
      </c>
      <c r="AZ26" s="382">
        <f t="array" aca="1" ref="AZ26" ca="1">SUMPRODUCT(AZ$63:AZ$122,TRANSPOSE(SAP_Spreadsheet!$G$244:$BN$244))</f>
        <v>0</v>
      </c>
      <c r="BA26" s="382">
        <f t="array" aca="1" ref="BA26" ca="1">SUMPRODUCT(BA$63:BA$122,TRANSPOSE(SAP_Spreadsheet!$G$244:$BN$244))</f>
        <v>0</v>
      </c>
      <c r="BB26" s="382">
        <f t="array" aca="1" ref="BB26" ca="1">SUMPRODUCT(BB$63:BB$122,TRANSPOSE(SAP_Spreadsheet!$G$244:$BN$244))</f>
        <v>0</v>
      </c>
      <c r="BC26" s="382">
        <f t="array" aca="1" ref="BC26" ca="1">SUMPRODUCT(BC$63:BC$122,TRANSPOSE(SAP_Spreadsheet!$G$244:$BN$244))</f>
        <v>0</v>
      </c>
      <c r="BD26" s="382">
        <f t="array" aca="1" ref="BD26" ca="1">SUMPRODUCT(BD$63:BD$122,TRANSPOSE(SAP_Spreadsheet!$G$244:$BN$244))</f>
        <v>0</v>
      </c>
      <c r="BE26" s="382">
        <f t="array" aca="1" ref="BE26" ca="1">SUMPRODUCT(BE$63:BE$122,TRANSPOSE(SAP_Spreadsheet!$G$244:$BN$244))</f>
        <v>0</v>
      </c>
      <c r="BF26" s="382">
        <f t="array" aca="1" ref="BF26" ca="1">SUMPRODUCT(BF$63:BF$122,TRANSPOSE(SAP_Spreadsheet!$G$244:$BN$244))</f>
        <v>0</v>
      </c>
      <c r="BG26" s="382">
        <f t="array" aca="1" ref="BG26" ca="1">SUMPRODUCT(BG$63:BG$122,TRANSPOSE(SAP_Spreadsheet!$G$244:$BN$244))</f>
        <v>0</v>
      </c>
      <c r="BH26" s="382">
        <f t="array" aca="1" ref="BH26" ca="1">SUMPRODUCT(BH$63:BH$122,TRANSPOSE(SAP_Spreadsheet!$G$244:$BN$244))</f>
        <v>0</v>
      </c>
      <c r="BI26" s="382">
        <f t="array" aca="1" ref="BI26" ca="1">SUMPRODUCT(BI$63:BI$122,TRANSPOSE(SAP_Spreadsheet!$G$244:$BN$244))</f>
        <v>0</v>
      </c>
      <c r="BJ26" s="382">
        <f t="array" aca="1" ref="BJ26" ca="1">SUMPRODUCT(BJ$63:BJ$122,TRANSPOSE(SAP_Spreadsheet!$G$244:$BN$244))</f>
        <v>0</v>
      </c>
      <c r="BK26" s="382">
        <f t="array" aca="1" ref="BK26" ca="1">SUMPRODUCT(BK$63:BK$122,TRANSPOSE(SAP_Spreadsheet!$G$244:$BN$244))</f>
        <v>0</v>
      </c>
      <c r="BL26" s="382">
        <f t="array" aca="1" ref="BL26" ca="1">SUMPRODUCT(BL$63:BL$122,TRANSPOSE(SAP_Spreadsheet!$G$244:$BN$244))</f>
        <v>0</v>
      </c>
    </row>
    <row r="27" spans="1:65" s="379" customFormat="1" x14ac:dyDescent="0.15">
      <c r="A27" s="371"/>
      <c r="B27" s="371"/>
      <c r="D27" s="381" t="s">
        <v>89</v>
      </c>
      <c r="E27" s="382">
        <f t="array" aca="1" ref="E27" ca="1">SUMPRODUCT(E$63:E$122,TRANSPOSE(SAP_Spreadsheet!$G$245:$BN$245))</f>
        <v>0</v>
      </c>
      <c r="F27" s="382">
        <f t="array" aca="1" ref="F27" ca="1">SUMPRODUCT(F$63:F$122,TRANSPOSE(SAP_Spreadsheet!$G$245:$BN$245))</f>
        <v>0</v>
      </c>
      <c r="G27" s="382">
        <f t="array" aca="1" ref="G27" ca="1">SUMPRODUCT(G$63:G$122,TRANSPOSE(SAP_Spreadsheet!$G$245:$BN$245))</f>
        <v>0</v>
      </c>
      <c r="H27" s="382">
        <f t="array" aca="1" ref="H27" ca="1">SUMPRODUCT(H$63:H$122,TRANSPOSE(SAP_Spreadsheet!$G$245:$BN$245))</f>
        <v>0</v>
      </c>
      <c r="I27" s="382">
        <f t="array" aca="1" ref="I27" ca="1">SUMPRODUCT(I$63:I$122,TRANSPOSE(SAP_Spreadsheet!$G$245:$BN$245))</f>
        <v>0</v>
      </c>
      <c r="J27" s="382">
        <f t="array" aca="1" ref="J27" ca="1">SUMPRODUCT(J$63:J$122,TRANSPOSE(SAP_Spreadsheet!$G$245:$BN$245))</f>
        <v>0</v>
      </c>
      <c r="K27" s="382">
        <f t="array" aca="1" ref="K27" ca="1">SUMPRODUCT(K$63:K$122,TRANSPOSE(SAP_Spreadsheet!$G$245:$BN$245))</f>
        <v>0</v>
      </c>
      <c r="L27" s="382">
        <f t="array" aca="1" ref="L27" ca="1">SUMPRODUCT(L$63:L$122,TRANSPOSE(SAP_Spreadsheet!$G$245:$BN$245))</f>
        <v>0</v>
      </c>
      <c r="M27" s="382">
        <f t="array" aca="1" ref="M27" ca="1">SUMPRODUCT(M$63:M$122,TRANSPOSE(SAP_Spreadsheet!$G$245:$BN$245))</f>
        <v>0</v>
      </c>
      <c r="N27" s="382">
        <f t="array" aca="1" ref="N27" ca="1">SUMPRODUCT(N$63:N$122,TRANSPOSE(SAP_Spreadsheet!$G$245:$BN$245))</f>
        <v>0</v>
      </c>
      <c r="O27" s="382">
        <f t="array" aca="1" ref="O27" ca="1">SUMPRODUCT(O$63:O$122,TRANSPOSE(SAP_Spreadsheet!$G$245:$BN$245))</f>
        <v>0</v>
      </c>
      <c r="P27" s="382">
        <f t="array" aca="1" ref="P27" ca="1">SUMPRODUCT(P$63:P$122,TRANSPOSE(SAP_Spreadsheet!$G$245:$BN$245))</f>
        <v>0</v>
      </c>
      <c r="Q27" s="382">
        <f t="array" aca="1" ref="Q27" ca="1">SUMPRODUCT(Q$63:Q$122,TRANSPOSE(SAP_Spreadsheet!$G$245:$BN$245))</f>
        <v>0</v>
      </c>
      <c r="R27" s="382">
        <f t="array" aca="1" ref="R27" ca="1">SUMPRODUCT(R$63:R$122,TRANSPOSE(SAP_Spreadsheet!$G$245:$BN$245))</f>
        <v>0</v>
      </c>
      <c r="S27" s="382">
        <f t="array" aca="1" ref="S27" ca="1">SUMPRODUCT(S$63:S$122,TRANSPOSE(SAP_Spreadsheet!$G$245:$BN$245))</f>
        <v>0</v>
      </c>
      <c r="T27" s="382">
        <f t="array" aca="1" ref="T27" ca="1">SUMPRODUCT(T$63:T$122,TRANSPOSE(SAP_Spreadsheet!$G$245:$BN$245))</f>
        <v>0</v>
      </c>
      <c r="U27" s="382">
        <f t="array" aca="1" ref="U27" ca="1">SUMPRODUCT(U$63:U$122,TRANSPOSE(SAP_Spreadsheet!$G$245:$BN$245))</f>
        <v>0</v>
      </c>
      <c r="V27" s="382">
        <f t="array" aca="1" ref="V27" ca="1">SUMPRODUCT(V$63:V$122,TRANSPOSE(SAP_Spreadsheet!$G$245:$BN$245))</f>
        <v>0</v>
      </c>
      <c r="W27" s="382">
        <f t="array" aca="1" ref="W27" ca="1">SUMPRODUCT(W$63:W$122,TRANSPOSE(SAP_Spreadsheet!$G$245:$BN$245))</f>
        <v>0</v>
      </c>
      <c r="X27" s="382">
        <f t="array" aca="1" ref="X27" ca="1">SUMPRODUCT(X$63:X$122,TRANSPOSE(SAP_Spreadsheet!$G$245:$BN$245))</f>
        <v>0</v>
      </c>
      <c r="Y27" s="382">
        <f t="array" aca="1" ref="Y27" ca="1">SUMPRODUCT(Y$63:Y$122,TRANSPOSE(SAP_Spreadsheet!$G$245:$BN$245))</f>
        <v>0</v>
      </c>
      <c r="Z27" s="382">
        <f t="array" aca="1" ref="Z27" ca="1">SUMPRODUCT(Z$63:Z$122,TRANSPOSE(SAP_Spreadsheet!$G$245:$BN$245))</f>
        <v>0</v>
      </c>
      <c r="AA27" s="382">
        <f t="array" aca="1" ref="AA27" ca="1">SUMPRODUCT(AA$63:AA$122,TRANSPOSE(SAP_Spreadsheet!$G$245:$BN$245))</f>
        <v>0</v>
      </c>
      <c r="AB27" s="382">
        <f t="array" aca="1" ref="AB27" ca="1">SUMPRODUCT(AB$63:AB$122,TRANSPOSE(SAP_Spreadsheet!$G$245:$BN$245))</f>
        <v>0</v>
      </c>
      <c r="AC27" s="382">
        <f t="array" aca="1" ref="AC27" ca="1">SUMPRODUCT(AC$63:AC$122,TRANSPOSE(SAP_Spreadsheet!$G$245:$BN$245))</f>
        <v>0</v>
      </c>
      <c r="AD27" s="382">
        <f t="array" aca="1" ref="AD27" ca="1">SUMPRODUCT(AD$63:AD$122,TRANSPOSE(SAP_Spreadsheet!$G$245:$BN$245))</f>
        <v>0</v>
      </c>
      <c r="AE27" s="382">
        <f t="array" aca="1" ref="AE27" ca="1">SUMPRODUCT(AE$63:AE$122,TRANSPOSE(SAP_Spreadsheet!$G$245:$BN$245))</f>
        <v>0</v>
      </c>
      <c r="AF27" s="382">
        <f t="array" aca="1" ref="AF27" ca="1">SUMPRODUCT(AF$63:AF$122,TRANSPOSE(SAP_Spreadsheet!$G$245:$BN$245))</f>
        <v>0</v>
      </c>
      <c r="AG27" s="382">
        <f t="array" aca="1" ref="AG27" ca="1">SUMPRODUCT(AG$63:AG$122,TRANSPOSE(SAP_Spreadsheet!$G$245:$BN$245))</f>
        <v>0</v>
      </c>
      <c r="AH27" s="382">
        <f t="array" aca="1" ref="AH27" ca="1">SUMPRODUCT(AH$63:AH$122,TRANSPOSE(SAP_Spreadsheet!$G$245:$BN$245))</f>
        <v>0</v>
      </c>
      <c r="AI27" s="382">
        <f t="array" aca="1" ref="AI27" ca="1">SUMPRODUCT(AI$63:AI$122,TRANSPOSE(SAP_Spreadsheet!$G$245:$BN$245))</f>
        <v>0</v>
      </c>
      <c r="AJ27" s="382">
        <f t="array" aca="1" ref="AJ27" ca="1">SUMPRODUCT(AJ$63:AJ$122,TRANSPOSE(SAP_Spreadsheet!$G$245:$BN$245))</f>
        <v>0</v>
      </c>
      <c r="AK27" s="382">
        <f t="array" aca="1" ref="AK27" ca="1">SUMPRODUCT(AK$63:AK$122,TRANSPOSE(SAP_Spreadsheet!$G$245:$BN$245))</f>
        <v>0</v>
      </c>
      <c r="AL27" s="382">
        <f t="array" aca="1" ref="AL27" ca="1">SUMPRODUCT(AL$63:AL$122,TRANSPOSE(SAP_Spreadsheet!$G$245:$BN$245))</f>
        <v>0</v>
      </c>
      <c r="AM27" s="382">
        <f t="array" aca="1" ref="AM27" ca="1">SUMPRODUCT(AM$63:AM$122,TRANSPOSE(SAP_Spreadsheet!$G$245:$BN$245))</f>
        <v>0</v>
      </c>
      <c r="AN27" s="382">
        <f t="array" aca="1" ref="AN27" ca="1">SUMPRODUCT(AN$63:AN$122,TRANSPOSE(SAP_Spreadsheet!$G$245:$BN$245))</f>
        <v>0</v>
      </c>
      <c r="AO27" s="382">
        <f t="array" aca="1" ref="AO27" ca="1">SUMPRODUCT(AO$63:AO$122,TRANSPOSE(SAP_Spreadsheet!$G$245:$BN$245))</f>
        <v>0</v>
      </c>
      <c r="AP27" s="382">
        <f t="array" aca="1" ref="AP27" ca="1">SUMPRODUCT(AP$63:AP$122,TRANSPOSE(SAP_Spreadsheet!$G$245:$BN$245))</f>
        <v>0</v>
      </c>
      <c r="AQ27" s="382">
        <f t="array" aca="1" ref="AQ27" ca="1">SUMPRODUCT(AQ$63:AQ$122,TRANSPOSE(SAP_Spreadsheet!$G$245:$BN$245))</f>
        <v>0</v>
      </c>
      <c r="AR27" s="382">
        <f t="array" aca="1" ref="AR27" ca="1">SUMPRODUCT(AR$63:AR$122,TRANSPOSE(SAP_Spreadsheet!$G$245:$BN$245))</f>
        <v>0</v>
      </c>
      <c r="AS27" s="382">
        <f t="array" aca="1" ref="AS27" ca="1">SUMPRODUCT(AS$63:AS$122,TRANSPOSE(SAP_Spreadsheet!$G$245:$BN$245))</f>
        <v>0</v>
      </c>
      <c r="AT27" s="382">
        <f t="array" aca="1" ref="AT27" ca="1">SUMPRODUCT(AT$63:AT$122,TRANSPOSE(SAP_Spreadsheet!$G$245:$BN$245))</f>
        <v>0</v>
      </c>
      <c r="AU27" s="382">
        <f t="array" aca="1" ref="AU27" ca="1">SUMPRODUCT(AU$63:AU$122,TRANSPOSE(SAP_Spreadsheet!$G$245:$BN$245))</f>
        <v>0</v>
      </c>
      <c r="AV27" s="382">
        <f t="array" aca="1" ref="AV27" ca="1">SUMPRODUCT(AV$63:AV$122,TRANSPOSE(SAP_Spreadsheet!$G$245:$BN$245))</f>
        <v>0</v>
      </c>
      <c r="AW27" s="382">
        <f t="array" aca="1" ref="AW27" ca="1">SUMPRODUCT(AW$63:AW$122,TRANSPOSE(SAP_Spreadsheet!$G$245:$BN$245))</f>
        <v>0</v>
      </c>
      <c r="AX27" s="382">
        <f t="array" aca="1" ref="AX27" ca="1">SUMPRODUCT(AX$63:AX$122,TRANSPOSE(SAP_Spreadsheet!$G$245:$BN$245))</f>
        <v>0</v>
      </c>
      <c r="AY27" s="382">
        <f t="array" aca="1" ref="AY27" ca="1">SUMPRODUCT(AY$63:AY$122,TRANSPOSE(SAP_Spreadsheet!$G$245:$BN$245))</f>
        <v>0</v>
      </c>
      <c r="AZ27" s="382">
        <f t="array" aca="1" ref="AZ27" ca="1">SUMPRODUCT(AZ$63:AZ$122,TRANSPOSE(SAP_Spreadsheet!$G$245:$BN$245))</f>
        <v>0</v>
      </c>
      <c r="BA27" s="382">
        <f t="array" aca="1" ref="BA27" ca="1">SUMPRODUCT(BA$63:BA$122,TRANSPOSE(SAP_Spreadsheet!$G$245:$BN$245))</f>
        <v>0</v>
      </c>
      <c r="BB27" s="382">
        <f t="array" aca="1" ref="BB27" ca="1">SUMPRODUCT(BB$63:BB$122,TRANSPOSE(SAP_Spreadsheet!$G$245:$BN$245))</f>
        <v>0</v>
      </c>
      <c r="BC27" s="382">
        <f t="array" aca="1" ref="BC27" ca="1">SUMPRODUCT(BC$63:BC$122,TRANSPOSE(SAP_Spreadsheet!$G$245:$BN$245))</f>
        <v>0</v>
      </c>
      <c r="BD27" s="382">
        <f t="array" aca="1" ref="BD27" ca="1">SUMPRODUCT(BD$63:BD$122,TRANSPOSE(SAP_Spreadsheet!$G$245:$BN$245))</f>
        <v>0</v>
      </c>
      <c r="BE27" s="382">
        <f t="array" aca="1" ref="BE27" ca="1">SUMPRODUCT(BE$63:BE$122,TRANSPOSE(SAP_Spreadsheet!$G$245:$BN$245))</f>
        <v>0</v>
      </c>
      <c r="BF27" s="382">
        <f t="array" aca="1" ref="BF27" ca="1">SUMPRODUCT(BF$63:BF$122,TRANSPOSE(SAP_Spreadsheet!$G$245:$BN$245))</f>
        <v>0</v>
      </c>
      <c r="BG27" s="382">
        <f t="array" aca="1" ref="BG27" ca="1">SUMPRODUCT(BG$63:BG$122,TRANSPOSE(SAP_Spreadsheet!$G$245:$BN$245))</f>
        <v>0</v>
      </c>
      <c r="BH27" s="382">
        <f t="array" aca="1" ref="BH27" ca="1">SUMPRODUCT(BH$63:BH$122,TRANSPOSE(SAP_Spreadsheet!$G$245:$BN$245))</f>
        <v>0</v>
      </c>
      <c r="BI27" s="382">
        <f t="array" aca="1" ref="BI27" ca="1">SUMPRODUCT(BI$63:BI$122,TRANSPOSE(SAP_Spreadsheet!$G$245:$BN$245))</f>
        <v>0</v>
      </c>
      <c r="BJ27" s="382">
        <f t="array" aca="1" ref="BJ27" ca="1">SUMPRODUCT(BJ$63:BJ$122,TRANSPOSE(SAP_Spreadsheet!$G$245:$BN$245))</f>
        <v>0</v>
      </c>
      <c r="BK27" s="382">
        <f t="array" aca="1" ref="BK27" ca="1">SUMPRODUCT(BK$63:BK$122,TRANSPOSE(SAP_Spreadsheet!$G$245:$BN$245))</f>
        <v>0</v>
      </c>
      <c r="BL27" s="382">
        <f t="array" aca="1" ref="BL27" ca="1">SUMPRODUCT(BL$63:BL$122,TRANSPOSE(SAP_Spreadsheet!$G$245:$BN$245))</f>
        <v>0</v>
      </c>
    </row>
    <row r="28" spans="1:65" s="379" customFormat="1" x14ac:dyDescent="0.15">
      <c r="A28" s="371"/>
      <c r="B28" s="371"/>
      <c r="D28" s="386" t="s">
        <v>399</v>
      </c>
      <c r="E28" s="382">
        <f t="array" aca="1" ref="E28" ca="1">SUMPRODUCT(E$63:E$122,TRANSPOSE(SAP_Spreadsheet!$G$245:$BN$245))</f>
        <v>0</v>
      </c>
      <c r="F28" s="382">
        <f t="array" aca="1" ref="F28" ca="1">SUMPRODUCT(F$63:F$122,TRANSPOSE(SAP_Spreadsheet!$G$245:$BN$245))</f>
        <v>0</v>
      </c>
      <c r="G28" s="382">
        <f t="array" aca="1" ref="G28" ca="1">SUMPRODUCT(G$63:G$122,TRANSPOSE(SAP_Spreadsheet!$G$245:$BN$245))</f>
        <v>0</v>
      </c>
      <c r="H28" s="382">
        <f t="array" aca="1" ref="H28" ca="1">SUMPRODUCT(H$63:H$122,TRANSPOSE(SAP_Spreadsheet!$G$245:$BN$245))</f>
        <v>0</v>
      </c>
      <c r="I28" s="382">
        <f t="array" aca="1" ref="I28" ca="1">SUMPRODUCT(I$63:I$122,TRANSPOSE(SAP_Spreadsheet!$G$245:$BN$245))</f>
        <v>0</v>
      </c>
      <c r="J28" s="382">
        <f t="array" aca="1" ref="J28" ca="1">SUMPRODUCT(J$63:J$122,TRANSPOSE(SAP_Spreadsheet!$G$245:$BN$245))</f>
        <v>0</v>
      </c>
      <c r="K28" s="382">
        <f t="array" aca="1" ref="K28" ca="1">SUMPRODUCT(K$63:K$122,TRANSPOSE(SAP_Spreadsheet!$G$245:$BN$245))</f>
        <v>0</v>
      </c>
      <c r="L28" s="382">
        <f t="array" aca="1" ref="L28" ca="1">SUMPRODUCT(L$63:L$122,TRANSPOSE(SAP_Spreadsheet!$G$245:$BN$245))</f>
        <v>0</v>
      </c>
      <c r="M28" s="382">
        <f t="array" aca="1" ref="M28" ca="1">SUMPRODUCT(M$63:M$122,TRANSPOSE(SAP_Spreadsheet!$G$245:$BN$245))</f>
        <v>0</v>
      </c>
      <c r="N28" s="382">
        <f t="array" aca="1" ref="N28" ca="1">SUMPRODUCT(N$63:N$122,TRANSPOSE(SAP_Spreadsheet!$G$245:$BN$245))</f>
        <v>0</v>
      </c>
      <c r="O28" s="382">
        <f t="array" aca="1" ref="O28" ca="1">SUMPRODUCT(O$63:O$122,TRANSPOSE(SAP_Spreadsheet!$G$245:$BN$245))</f>
        <v>0</v>
      </c>
      <c r="P28" s="382">
        <f t="array" aca="1" ref="P28" ca="1">SUMPRODUCT(P$63:P$122,TRANSPOSE(SAP_Spreadsheet!$G$245:$BN$245))</f>
        <v>0</v>
      </c>
      <c r="Q28" s="382">
        <f t="array" aca="1" ref="Q28" ca="1">SUMPRODUCT(Q$63:Q$122,TRANSPOSE(SAP_Spreadsheet!$G$245:$BN$245))</f>
        <v>0</v>
      </c>
      <c r="R28" s="382">
        <f t="array" aca="1" ref="R28" ca="1">SUMPRODUCT(R$63:R$122,TRANSPOSE(SAP_Spreadsheet!$G$245:$BN$245))</f>
        <v>0</v>
      </c>
      <c r="S28" s="382">
        <f t="array" aca="1" ref="S28" ca="1">SUMPRODUCT(S$63:S$122,TRANSPOSE(SAP_Spreadsheet!$G$245:$BN$245))</f>
        <v>0</v>
      </c>
      <c r="T28" s="382">
        <f t="array" aca="1" ref="T28" ca="1">SUMPRODUCT(T$63:T$122,TRANSPOSE(SAP_Spreadsheet!$G$245:$BN$245))</f>
        <v>0</v>
      </c>
      <c r="U28" s="382">
        <f t="array" aca="1" ref="U28" ca="1">SUMPRODUCT(U$63:U$122,TRANSPOSE(SAP_Spreadsheet!$G$245:$BN$245))</f>
        <v>0</v>
      </c>
      <c r="V28" s="382">
        <f t="array" aca="1" ref="V28" ca="1">SUMPRODUCT(V$63:V$122,TRANSPOSE(SAP_Spreadsheet!$G$245:$BN$245))</f>
        <v>0</v>
      </c>
      <c r="W28" s="382">
        <f t="array" aca="1" ref="W28" ca="1">SUMPRODUCT(W$63:W$122,TRANSPOSE(SAP_Spreadsheet!$G$245:$BN$245))</f>
        <v>0</v>
      </c>
      <c r="X28" s="382">
        <f t="array" aca="1" ref="X28" ca="1">SUMPRODUCT(X$63:X$122,TRANSPOSE(SAP_Spreadsheet!$G$245:$BN$245))</f>
        <v>0</v>
      </c>
      <c r="Y28" s="382">
        <f t="array" aca="1" ref="Y28" ca="1">SUMPRODUCT(Y$63:Y$122,TRANSPOSE(SAP_Spreadsheet!$G$245:$BN$245))</f>
        <v>0</v>
      </c>
      <c r="Z28" s="382">
        <f t="array" aca="1" ref="Z28" ca="1">SUMPRODUCT(Z$63:Z$122,TRANSPOSE(SAP_Spreadsheet!$G$245:$BN$245))</f>
        <v>0</v>
      </c>
      <c r="AA28" s="382">
        <f t="array" aca="1" ref="AA28" ca="1">SUMPRODUCT(AA$63:AA$122,TRANSPOSE(SAP_Spreadsheet!$G$245:$BN$245))</f>
        <v>0</v>
      </c>
      <c r="AB28" s="382">
        <f t="array" aca="1" ref="AB28" ca="1">SUMPRODUCT(AB$63:AB$122,TRANSPOSE(SAP_Spreadsheet!$G$245:$BN$245))</f>
        <v>0</v>
      </c>
      <c r="AC28" s="382">
        <f t="array" aca="1" ref="AC28" ca="1">SUMPRODUCT(AC$63:AC$122,TRANSPOSE(SAP_Spreadsheet!$G$245:$BN$245))</f>
        <v>0</v>
      </c>
      <c r="AD28" s="382">
        <f t="array" aca="1" ref="AD28" ca="1">SUMPRODUCT(AD$63:AD$122,TRANSPOSE(SAP_Spreadsheet!$G$245:$BN$245))</f>
        <v>0</v>
      </c>
      <c r="AE28" s="382">
        <f t="array" aca="1" ref="AE28" ca="1">SUMPRODUCT(AE$63:AE$122,TRANSPOSE(SAP_Spreadsheet!$G$245:$BN$245))</f>
        <v>0</v>
      </c>
      <c r="AF28" s="382">
        <f t="array" aca="1" ref="AF28" ca="1">SUMPRODUCT(AF$63:AF$122,TRANSPOSE(SAP_Spreadsheet!$G$245:$BN$245))</f>
        <v>0</v>
      </c>
      <c r="AG28" s="382">
        <f t="array" aca="1" ref="AG28" ca="1">SUMPRODUCT(AG$63:AG$122,TRANSPOSE(SAP_Spreadsheet!$G$245:$BN$245))</f>
        <v>0</v>
      </c>
      <c r="AH28" s="382">
        <f t="array" aca="1" ref="AH28" ca="1">SUMPRODUCT(AH$63:AH$122,TRANSPOSE(SAP_Spreadsheet!$G$245:$BN$245))</f>
        <v>0</v>
      </c>
      <c r="AI28" s="382">
        <f t="array" aca="1" ref="AI28" ca="1">SUMPRODUCT(AI$63:AI$122,TRANSPOSE(SAP_Spreadsheet!$G$245:$BN$245))</f>
        <v>0</v>
      </c>
      <c r="AJ28" s="382">
        <f t="array" aca="1" ref="AJ28" ca="1">SUMPRODUCT(AJ$63:AJ$122,TRANSPOSE(SAP_Spreadsheet!$G$245:$BN$245))</f>
        <v>0</v>
      </c>
      <c r="AK28" s="382">
        <f t="array" aca="1" ref="AK28" ca="1">SUMPRODUCT(AK$63:AK$122,TRANSPOSE(SAP_Spreadsheet!$G$245:$BN$245))</f>
        <v>0</v>
      </c>
      <c r="AL28" s="382">
        <f t="array" aca="1" ref="AL28" ca="1">SUMPRODUCT(AL$63:AL$122,TRANSPOSE(SAP_Spreadsheet!$G$245:$BN$245))</f>
        <v>0</v>
      </c>
      <c r="AM28" s="382">
        <f t="array" aca="1" ref="AM28" ca="1">SUMPRODUCT(AM$63:AM$122,TRANSPOSE(SAP_Spreadsheet!$G$245:$BN$245))</f>
        <v>0</v>
      </c>
      <c r="AN28" s="382">
        <f t="array" aca="1" ref="AN28" ca="1">SUMPRODUCT(AN$63:AN$122,TRANSPOSE(SAP_Spreadsheet!$G$245:$BN$245))</f>
        <v>0</v>
      </c>
      <c r="AO28" s="382">
        <f t="array" aca="1" ref="AO28" ca="1">SUMPRODUCT(AO$63:AO$122,TRANSPOSE(SAP_Spreadsheet!$G$245:$BN$245))</f>
        <v>0</v>
      </c>
      <c r="AP28" s="382">
        <f t="array" aca="1" ref="AP28" ca="1">SUMPRODUCT(AP$63:AP$122,TRANSPOSE(SAP_Spreadsheet!$G$245:$BN$245))</f>
        <v>0</v>
      </c>
      <c r="AQ28" s="382">
        <f t="array" aca="1" ref="AQ28" ca="1">SUMPRODUCT(AQ$63:AQ$122,TRANSPOSE(SAP_Spreadsheet!$G$245:$BN$245))</f>
        <v>0</v>
      </c>
      <c r="AR28" s="382">
        <f t="array" aca="1" ref="AR28" ca="1">SUMPRODUCT(AR$63:AR$122,TRANSPOSE(SAP_Spreadsheet!$G$245:$BN$245))</f>
        <v>0</v>
      </c>
      <c r="AS28" s="382">
        <f t="array" aca="1" ref="AS28" ca="1">SUMPRODUCT(AS$63:AS$122,TRANSPOSE(SAP_Spreadsheet!$G$245:$BN$245))</f>
        <v>0</v>
      </c>
      <c r="AT28" s="382">
        <f t="array" aca="1" ref="AT28" ca="1">SUMPRODUCT(AT$63:AT$122,TRANSPOSE(SAP_Spreadsheet!$G$245:$BN$245))</f>
        <v>0</v>
      </c>
      <c r="AU28" s="382">
        <f t="array" aca="1" ref="AU28" ca="1">SUMPRODUCT(AU$63:AU$122,TRANSPOSE(SAP_Spreadsheet!$G$245:$BN$245))</f>
        <v>0</v>
      </c>
      <c r="AV28" s="382">
        <f t="array" aca="1" ref="AV28" ca="1">SUMPRODUCT(AV$63:AV$122,TRANSPOSE(SAP_Spreadsheet!$G$245:$BN$245))</f>
        <v>0</v>
      </c>
      <c r="AW28" s="382">
        <f t="array" aca="1" ref="AW28" ca="1">SUMPRODUCT(AW$63:AW$122,TRANSPOSE(SAP_Spreadsheet!$G$245:$BN$245))</f>
        <v>0</v>
      </c>
      <c r="AX28" s="382">
        <f t="array" aca="1" ref="AX28" ca="1">SUMPRODUCT(AX$63:AX$122,TRANSPOSE(SAP_Spreadsheet!$G$245:$BN$245))</f>
        <v>0</v>
      </c>
      <c r="AY28" s="382">
        <f t="array" aca="1" ref="AY28" ca="1">SUMPRODUCT(AY$63:AY$122,TRANSPOSE(SAP_Spreadsheet!$G$245:$BN$245))</f>
        <v>0</v>
      </c>
      <c r="AZ28" s="382">
        <f t="array" aca="1" ref="AZ28" ca="1">SUMPRODUCT(AZ$63:AZ$122,TRANSPOSE(SAP_Spreadsheet!$G$245:$BN$245))</f>
        <v>0</v>
      </c>
      <c r="BA28" s="382">
        <f t="array" aca="1" ref="BA28" ca="1">SUMPRODUCT(BA$63:BA$122,TRANSPOSE(SAP_Spreadsheet!$G$245:$BN$245))</f>
        <v>0</v>
      </c>
      <c r="BB28" s="382">
        <f t="array" aca="1" ref="BB28" ca="1">SUMPRODUCT(BB$63:BB$122,TRANSPOSE(SAP_Spreadsheet!$G$245:$BN$245))</f>
        <v>0</v>
      </c>
      <c r="BC28" s="382">
        <f t="array" aca="1" ref="BC28" ca="1">SUMPRODUCT(BC$63:BC$122,TRANSPOSE(SAP_Spreadsheet!$G$245:$BN$245))</f>
        <v>0</v>
      </c>
      <c r="BD28" s="382">
        <f t="array" aca="1" ref="BD28" ca="1">SUMPRODUCT(BD$63:BD$122,TRANSPOSE(SAP_Spreadsheet!$G$245:$BN$245))</f>
        <v>0</v>
      </c>
      <c r="BE28" s="382">
        <f t="array" aca="1" ref="BE28" ca="1">SUMPRODUCT(BE$63:BE$122,TRANSPOSE(SAP_Spreadsheet!$G$245:$BN$245))</f>
        <v>0</v>
      </c>
      <c r="BF28" s="382">
        <f t="array" aca="1" ref="BF28" ca="1">SUMPRODUCT(BF$63:BF$122,TRANSPOSE(SAP_Spreadsheet!$G$245:$BN$245))</f>
        <v>0</v>
      </c>
      <c r="BG28" s="382">
        <f t="array" aca="1" ref="BG28" ca="1">SUMPRODUCT(BG$63:BG$122,TRANSPOSE(SAP_Spreadsheet!$G$245:$BN$245))</f>
        <v>0</v>
      </c>
      <c r="BH28" s="382">
        <f t="array" aca="1" ref="BH28" ca="1">SUMPRODUCT(BH$63:BH$122,TRANSPOSE(SAP_Spreadsheet!$G$245:$BN$245))</f>
        <v>0</v>
      </c>
      <c r="BI28" s="382">
        <f t="array" aca="1" ref="BI28" ca="1">SUMPRODUCT(BI$63:BI$122,TRANSPOSE(SAP_Spreadsheet!$G$245:$BN$245))</f>
        <v>0</v>
      </c>
      <c r="BJ28" s="382">
        <f t="array" aca="1" ref="BJ28" ca="1">SUMPRODUCT(BJ$63:BJ$122,TRANSPOSE(SAP_Spreadsheet!$G$245:$BN$245))</f>
        <v>0</v>
      </c>
      <c r="BK28" s="382">
        <f t="array" aca="1" ref="BK28" ca="1">SUMPRODUCT(BK$63:BK$122,TRANSPOSE(SAP_Spreadsheet!$G$245:$BN$245))</f>
        <v>0</v>
      </c>
      <c r="BL28" s="382">
        <f t="array" aca="1" ref="BL28" ca="1">SUMPRODUCT(BL$63:BL$122,TRANSPOSE(SAP_Spreadsheet!$G$245:$BN$245))</f>
        <v>0</v>
      </c>
    </row>
    <row r="29" spans="1:65" s="379" customFormat="1" x14ac:dyDescent="0.15">
      <c r="A29" s="371"/>
      <c r="B29" s="371"/>
      <c r="D29" s="386" t="s">
        <v>99</v>
      </c>
      <c r="E29" s="382">
        <f t="array" aca="1" ref="E29" ca="1">SUMPRODUCT(E$63:E$122,TRANSPOSE(SAP_Spreadsheet!$G$250:$BN$250))</f>
        <v>0</v>
      </c>
      <c r="F29" s="382">
        <f t="array" aca="1" ref="F29" ca="1">SUMPRODUCT(F$63:F$122,TRANSPOSE(SAP_Spreadsheet!$G$250:$BN$250))</f>
        <v>0</v>
      </c>
      <c r="G29" s="382">
        <f t="array" aca="1" ref="G29" ca="1">SUMPRODUCT(G$63:G$122,TRANSPOSE(SAP_Spreadsheet!$G$250:$BN$250))</f>
        <v>0</v>
      </c>
      <c r="H29" s="382">
        <f t="array" aca="1" ref="H29" ca="1">SUMPRODUCT(H$63:H$122,TRANSPOSE(SAP_Spreadsheet!$G$250:$BN$250))</f>
        <v>0</v>
      </c>
      <c r="I29" s="382">
        <f t="array" aca="1" ref="I29" ca="1">SUMPRODUCT(I$63:I$122,TRANSPOSE(SAP_Spreadsheet!$G$250:$BN$250))</f>
        <v>0</v>
      </c>
      <c r="J29" s="382">
        <f t="array" aca="1" ref="J29" ca="1">SUMPRODUCT(J$63:J$122,TRANSPOSE(SAP_Spreadsheet!$G$250:$BN$250))</f>
        <v>0</v>
      </c>
      <c r="K29" s="382">
        <f t="array" aca="1" ref="K29" ca="1">SUMPRODUCT(K$63:K$122,TRANSPOSE(SAP_Spreadsheet!$G$250:$BN$250))</f>
        <v>0</v>
      </c>
      <c r="L29" s="382">
        <f t="array" aca="1" ref="L29" ca="1">SUMPRODUCT(L$63:L$122,TRANSPOSE(SAP_Spreadsheet!$G$250:$BN$250))</f>
        <v>0</v>
      </c>
      <c r="M29" s="382">
        <f t="array" aca="1" ref="M29" ca="1">SUMPRODUCT(M$63:M$122,TRANSPOSE(SAP_Spreadsheet!$G$250:$BN$250))</f>
        <v>0</v>
      </c>
      <c r="N29" s="382">
        <f t="array" aca="1" ref="N29" ca="1">SUMPRODUCT(N$63:N$122,TRANSPOSE(SAP_Spreadsheet!$G$250:$BN$250))</f>
        <v>0</v>
      </c>
      <c r="O29" s="382">
        <f t="array" aca="1" ref="O29" ca="1">SUMPRODUCT(O$63:O$122,TRANSPOSE(SAP_Spreadsheet!$G$250:$BN$250))</f>
        <v>0</v>
      </c>
      <c r="P29" s="382">
        <f t="array" aca="1" ref="P29" ca="1">SUMPRODUCT(P$63:P$122,TRANSPOSE(SAP_Spreadsheet!$G$250:$BN$250))</f>
        <v>0</v>
      </c>
      <c r="Q29" s="382">
        <f t="array" aca="1" ref="Q29" ca="1">SUMPRODUCT(Q$63:Q$122,TRANSPOSE(SAP_Spreadsheet!$G$250:$BN$250))</f>
        <v>0</v>
      </c>
      <c r="R29" s="382">
        <f t="array" aca="1" ref="R29" ca="1">SUMPRODUCT(R$63:R$122,TRANSPOSE(SAP_Spreadsheet!$G$250:$BN$250))</f>
        <v>0</v>
      </c>
      <c r="S29" s="382">
        <f t="array" aca="1" ref="S29" ca="1">SUMPRODUCT(S$63:S$122,TRANSPOSE(SAP_Spreadsheet!$G$250:$BN$250))</f>
        <v>0</v>
      </c>
      <c r="T29" s="382">
        <f t="array" aca="1" ref="T29" ca="1">SUMPRODUCT(T$63:T$122,TRANSPOSE(SAP_Spreadsheet!$G$250:$BN$250))</f>
        <v>0</v>
      </c>
      <c r="U29" s="382">
        <f t="array" aca="1" ref="U29" ca="1">SUMPRODUCT(U$63:U$122,TRANSPOSE(SAP_Spreadsheet!$G$250:$BN$250))</f>
        <v>0</v>
      </c>
      <c r="V29" s="382">
        <f t="array" aca="1" ref="V29" ca="1">SUMPRODUCT(V$63:V$122,TRANSPOSE(SAP_Spreadsheet!$G$250:$BN$250))</f>
        <v>0</v>
      </c>
      <c r="W29" s="382">
        <f t="array" aca="1" ref="W29" ca="1">SUMPRODUCT(W$63:W$122,TRANSPOSE(SAP_Spreadsheet!$G$250:$BN$250))</f>
        <v>0</v>
      </c>
      <c r="X29" s="382">
        <f t="array" aca="1" ref="X29" ca="1">SUMPRODUCT(X$63:X$122,TRANSPOSE(SAP_Spreadsheet!$G$250:$BN$250))</f>
        <v>0</v>
      </c>
      <c r="Y29" s="382">
        <f t="array" aca="1" ref="Y29" ca="1">SUMPRODUCT(Y$63:Y$122,TRANSPOSE(SAP_Spreadsheet!$G$250:$BN$250))</f>
        <v>0</v>
      </c>
      <c r="Z29" s="382">
        <f t="array" aca="1" ref="Z29" ca="1">SUMPRODUCT(Z$63:Z$122,TRANSPOSE(SAP_Spreadsheet!$G$250:$BN$250))</f>
        <v>0</v>
      </c>
      <c r="AA29" s="382">
        <f t="array" aca="1" ref="AA29" ca="1">SUMPRODUCT(AA$63:AA$122,TRANSPOSE(SAP_Spreadsheet!$G$250:$BN$250))</f>
        <v>0</v>
      </c>
      <c r="AB29" s="382">
        <f t="array" aca="1" ref="AB29" ca="1">SUMPRODUCT(AB$63:AB$122,TRANSPOSE(SAP_Spreadsheet!$G$250:$BN$250))</f>
        <v>0</v>
      </c>
      <c r="AC29" s="382">
        <f t="array" aca="1" ref="AC29" ca="1">SUMPRODUCT(AC$63:AC$122,TRANSPOSE(SAP_Spreadsheet!$G$250:$BN$250))</f>
        <v>0</v>
      </c>
      <c r="AD29" s="382">
        <f t="array" aca="1" ref="AD29" ca="1">SUMPRODUCT(AD$63:AD$122,TRANSPOSE(SAP_Spreadsheet!$G$250:$BN$250))</f>
        <v>0</v>
      </c>
      <c r="AE29" s="382">
        <f t="array" aca="1" ref="AE29" ca="1">SUMPRODUCT(AE$63:AE$122,TRANSPOSE(SAP_Spreadsheet!$G$250:$BN$250))</f>
        <v>0</v>
      </c>
      <c r="AF29" s="382">
        <f t="array" aca="1" ref="AF29" ca="1">SUMPRODUCT(AF$63:AF$122,TRANSPOSE(SAP_Spreadsheet!$G$250:$BN$250))</f>
        <v>0</v>
      </c>
      <c r="AG29" s="382">
        <f t="array" aca="1" ref="AG29" ca="1">SUMPRODUCT(AG$63:AG$122,TRANSPOSE(SAP_Spreadsheet!$G$250:$BN$250))</f>
        <v>0</v>
      </c>
      <c r="AH29" s="382">
        <f t="array" aca="1" ref="AH29" ca="1">SUMPRODUCT(AH$63:AH$122,TRANSPOSE(SAP_Spreadsheet!$G$250:$BN$250))</f>
        <v>0</v>
      </c>
      <c r="AI29" s="382">
        <f t="array" aca="1" ref="AI29" ca="1">SUMPRODUCT(AI$63:AI$122,TRANSPOSE(SAP_Spreadsheet!$G$250:$BN$250))</f>
        <v>0</v>
      </c>
      <c r="AJ29" s="382">
        <f t="array" aca="1" ref="AJ29" ca="1">SUMPRODUCT(AJ$63:AJ$122,TRANSPOSE(SAP_Spreadsheet!$G$250:$BN$250))</f>
        <v>0</v>
      </c>
      <c r="AK29" s="382">
        <f t="array" aca="1" ref="AK29" ca="1">SUMPRODUCT(AK$63:AK$122,TRANSPOSE(SAP_Spreadsheet!$G$250:$BN$250))</f>
        <v>0</v>
      </c>
      <c r="AL29" s="382">
        <f t="array" aca="1" ref="AL29" ca="1">SUMPRODUCT(AL$63:AL$122,TRANSPOSE(SAP_Spreadsheet!$G$250:$BN$250))</f>
        <v>0</v>
      </c>
      <c r="AM29" s="382">
        <f t="array" aca="1" ref="AM29" ca="1">SUMPRODUCT(AM$63:AM$122,TRANSPOSE(SAP_Spreadsheet!$G$250:$BN$250))</f>
        <v>0</v>
      </c>
      <c r="AN29" s="382">
        <f t="array" aca="1" ref="AN29" ca="1">SUMPRODUCT(AN$63:AN$122,TRANSPOSE(SAP_Spreadsheet!$G$250:$BN$250))</f>
        <v>0</v>
      </c>
      <c r="AO29" s="382">
        <f t="array" aca="1" ref="AO29" ca="1">SUMPRODUCT(AO$63:AO$122,TRANSPOSE(SAP_Spreadsheet!$G$250:$BN$250))</f>
        <v>0</v>
      </c>
      <c r="AP29" s="382">
        <f t="array" aca="1" ref="AP29" ca="1">SUMPRODUCT(AP$63:AP$122,TRANSPOSE(SAP_Spreadsheet!$G$250:$BN$250))</f>
        <v>0</v>
      </c>
      <c r="AQ29" s="382">
        <f t="array" aca="1" ref="AQ29" ca="1">SUMPRODUCT(AQ$63:AQ$122,TRANSPOSE(SAP_Spreadsheet!$G$250:$BN$250))</f>
        <v>0</v>
      </c>
      <c r="AR29" s="382">
        <f t="array" aca="1" ref="AR29" ca="1">SUMPRODUCT(AR$63:AR$122,TRANSPOSE(SAP_Spreadsheet!$G$250:$BN$250))</f>
        <v>0</v>
      </c>
      <c r="AS29" s="382">
        <f t="array" aca="1" ref="AS29" ca="1">SUMPRODUCT(AS$63:AS$122,TRANSPOSE(SAP_Spreadsheet!$G$250:$BN$250))</f>
        <v>0</v>
      </c>
      <c r="AT29" s="382">
        <f t="array" aca="1" ref="AT29" ca="1">SUMPRODUCT(AT$63:AT$122,TRANSPOSE(SAP_Spreadsheet!$G$250:$BN$250))</f>
        <v>0</v>
      </c>
      <c r="AU29" s="382">
        <f t="array" aca="1" ref="AU29" ca="1">SUMPRODUCT(AU$63:AU$122,TRANSPOSE(SAP_Spreadsheet!$G$250:$BN$250))</f>
        <v>0</v>
      </c>
      <c r="AV29" s="382">
        <f t="array" aca="1" ref="AV29" ca="1">SUMPRODUCT(AV$63:AV$122,TRANSPOSE(SAP_Spreadsheet!$G$250:$BN$250))</f>
        <v>0</v>
      </c>
      <c r="AW29" s="382">
        <f t="array" aca="1" ref="AW29" ca="1">SUMPRODUCT(AW$63:AW$122,TRANSPOSE(SAP_Spreadsheet!$G$250:$BN$250))</f>
        <v>0</v>
      </c>
      <c r="AX29" s="382">
        <f t="array" aca="1" ref="AX29" ca="1">SUMPRODUCT(AX$63:AX$122,TRANSPOSE(SAP_Spreadsheet!$G$250:$BN$250))</f>
        <v>0</v>
      </c>
      <c r="AY29" s="382">
        <f t="array" aca="1" ref="AY29" ca="1">SUMPRODUCT(AY$63:AY$122,TRANSPOSE(SAP_Spreadsheet!$G$250:$BN$250))</f>
        <v>0</v>
      </c>
      <c r="AZ29" s="382">
        <f t="array" aca="1" ref="AZ29" ca="1">SUMPRODUCT(AZ$63:AZ$122,TRANSPOSE(SAP_Spreadsheet!$G$250:$BN$250))</f>
        <v>0</v>
      </c>
      <c r="BA29" s="382">
        <f t="array" aca="1" ref="BA29" ca="1">SUMPRODUCT(BA$63:BA$122,TRANSPOSE(SAP_Spreadsheet!$G$250:$BN$250))</f>
        <v>0</v>
      </c>
      <c r="BB29" s="382">
        <f t="array" aca="1" ref="BB29" ca="1">SUMPRODUCT(BB$63:BB$122,TRANSPOSE(SAP_Spreadsheet!$G$250:$BN$250))</f>
        <v>0</v>
      </c>
      <c r="BC29" s="382">
        <f t="array" aca="1" ref="BC29" ca="1">SUMPRODUCT(BC$63:BC$122,TRANSPOSE(SAP_Spreadsheet!$G$250:$BN$250))</f>
        <v>0</v>
      </c>
      <c r="BD29" s="382">
        <f t="array" aca="1" ref="BD29" ca="1">SUMPRODUCT(BD$63:BD$122,TRANSPOSE(SAP_Spreadsheet!$G$250:$BN$250))</f>
        <v>0</v>
      </c>
      <c r="BE29" s="382">
        <f t="array" aca="1" ref="BE29" ca="1">SUMPRODUCT(BE$63:BE$122,TRANSPOSE(SAP_Spreadsheet!$G$250:$BN$250))</f>
        <v>0</v>
      </c>
      <c r="BF29" s="382">
        <f t="array" aca="1" ref="BF29" ca="1">SUMPRODUCT(BF$63:BF$122,TRANSPOSE(SAP_Spreadsheet!$G$250:$BN$250))</f>
        <v>0</v>
      </c>
      <c r="BG29" s="382">
        <f t="array" aca="1" ref="BG29" ca="1">SUMPRODUCT(BG$63:BG$122,TRANSPOSE(SAP_Spreadsheet!$G$250:$BN$250))</f>
        <v>0</v>
      </c>
      <c r="BH29" s="382">
        <f t="array" aca="1" ref="BH29" ca="1">SUMPRODUCT(BH$63:BH$122,TRANSPOSE(SAP_Spreadsheet!$G$250:$BN$250))</f>
        <v>0</v>
      </c>
      <c r="BI29" s="382">
        <f t="array" aca="1" ref="BI29" ca="1">SUMPRODUCT(BI$63:BI$122,TRANSPOSE(SAP_Spreadsheet!$G$250:$BN$250))</f>
        <v>0</v>
      </c>
      <c r="BJ29" s="382">
        <f t="array" aca="1" ref="BJ29" ca="1">SUMPRODUCT(BJ$63:BJ$122,TRANSPOSE(SAP_Spreadsheet!$G$250:$BN$250))</f>
        <v>0</v>
      </c>
      <c r="BK29" s="382">
        <f t="array" aca="1" ref="BK29" ca="1">SUMPRODUCT(BK$63:BK$122,TRANSPOSE(SAP_Spreadsheet!$G$250:$BN$250))</f>
        <v>0</v>
      </c>
      <c r="BL29" s="382">
        <f t="array" aca="1" ref="BL29" ca="1">SUMPRODUCT(BL$63:BL$122,TRANSPOSE(SAP_Spreadsheet!$G$250:$BN$250))</f>
        <v>0</v>
      </c>
    </row>
    <row r="30" spans="1:65" s="377" customFormat="1" x14ac:dyDescent="0.15">
      <c r="A30" s="375"/>
      <c r="B30" s="375"/>
      <c r="D30" s="387" t="s">
        <v>461</v>
      </c>
      <c r="E30" s="382">
        <f t="array" aca="1" ref="E30" ca="1">SUMPRODUCT(E$63:E$122,TRANSPOSE(SAP_Spreadsheet!$G$251:$BN$251))</f>
        <v>0</v>
      </c>
      <c r="F30" s="382">
        <f t="array" aca="1" ref="F30" ca="1">SUMPRODUCT(F$63:F$122,TRANSPOSE(SAP_Spreadsheet!$G$251:$BN$251))</f>
        <v>0</v>
      </c>
      <c r="G30" s="382">
        <f t="array" aca="1" ref="G30" ca="1">SUMPRODUCT(G$63:G$122,TRANSPOSE(SAP_Spreadsheet!$G$251:$BN$251))</f>
        <v>0</v>
      </c>
      <c r="H30" s="382">
        <f t="array" aca="1" ref="H30" ca="1">SUMPRODUCT(H$63:H$122,TRANSPOSE(SAP_Spreadsheet!$G$251:$BN$251))</f>
        <v>0</v>
      </c>
      <c r="I30" s="382">
        <f t="array" aca="1" ref="I30" ca="1">SUMPRODUCT(I$63:I$122,TRANSPOSE(SAP_Spreadsheet!$G$251:$BN$251))</f>
        <v>0</v>
      </c>
      <c r="J30" s="382">
        <f t="array" aca="1" ref="J30" ca="1">SUMPRODUCT(J$63:J$122,TRANSPOSE(SAP_Spreadsheet!$G$251:$BN$251))</f>
        <v>0</v>
      </c>
      <c r="K30" s="382">
        <f t="array" aca="1" ref="K30" ca="1">SUMPRODUCT(K$63:K$122,TRANSPOSE(SAP_Spreadsheet!$G$251:$BN$251))</f>
        <v>0</v>
      </c>
      <c r="L30" s="382">
        <f t="array" aca="1" ref="L30" ca="1">SUMPRODUCT(L$63:L$122,TRANSPOSE(SAP_Spreadsheet!$G$251:$BN$251))</f>
        <v>0</v>
      </c>
      <c r="M30" s="382">
        <f t="array" aca="1" ref="M30" ca="1">SUMPRODUCT(M$63:M$122,TRANSPOSE(SAP_Spreadsheet!$G$251:$BN$251))</f>
        <v>0</v>
      </c>
      <c r="N30" s="382">
        <f t="array" aca="1" ref="N30" ca="1">SUMPRODUCT(N$63:N$122,TRANSPOSE(SAP_Spreadsheet!$G$251:$BN$251))</f>
        <v>0</v>
      </c>
      <c r="O30" s="382">
        <f t="array" aca="1" ref="O30" ca="1">SUMPRODUCT(O$63:O$122,TRANSPOSE(SAP_Spreadsheet!$G$251:$BN$251))</f>
        <v>0</v>
      </c>
      <c r="P30" s="382">
        <f t="array" aca="1" ref="P30" ca="1">SUMPRODUCT(P$63:P$122,TRANSPOSE(SAP_Spreadsheet!$G$251:$BN$251))</f>
        <v>0</v>
      </c>
      <c r="Q30" s="382">
        <f t="array" aca="1" ref="Q30" ca="1">SUMPRODUCT(Q$63:Q$122,TRANSPOSE(SAP_Spreadsheet!$G$251:$BN$251))</f>
        <v>0</v>
      </c>
      <c r="R30" s="382">
        <f t="array" aca="1" ref="R30" ca="1">SUMPRODUCT(R$63:R$122,TRANSPOSE(SAP_Spreadsheet!$G$251:$BN$251))</f>
        <v>0</v>
      </c>
      <c r="S30" s="382">
        <f t="array" aca="1" ref="S30" ca="1">SUMPRODUCT(S$63:S$122,TRANSPOSE(SAP_Spreadsheet!$G$251:$BN$251))</f>
        <v>0</v>
      </c>
      <c r="T30" s="382">
        <f t="array" aca="1" ref="T30" ca="1">SUMPRODUCT(T$63:T$122,TRANSPOSE(SAP_Spreadsheet!$G$251:$BN$251))</f>
        <v>0</v>
      </c>
      <c r="U30" s="382">
        <f t="array" aca="1" ref="U30" ca="1">SUMPRODUCT(U$63:U$122,TRANSPOSE(SAP_Spreadsheet!$G$251:$BN$251))</f>
        <v>0</v>
      </c>
      <c r="V30" s="382">
        <f t="array" aca="1" ref="V30" ca="1">SUMPRODUCT(V$63:V$122,TRANSPOSE(SAP_Spreadsheet!$G$251:$BN$251))</f>
        <v>0</v>
      </c>
      <c r="W30" s="382">
        <f t="array" aca="1" ref="W30" ca="1">SUMPRODUCT(W$63:W$122,TRANSPOSE(SAP_Spreadsheet!$G$251:$BN$251))</f>
        <v>0</v>
      </c>
      <c r="X30" s="382">
        <f t="array" aca="1" ref="X30" ca="1">SUMPRODUCT(X$63:X$122,TRANSPOSE(SAP_Spreadsheet!$G$251:$BN$251))</f>
        <v>0</v>
      </c>
      <c r="Y30" s="382">
        <f t="array" aca="1" ref="Y30" ca="1">SUMPRODUCT(Y$63:Y$122,TRANSPOSE(SAP_Spreadsheet!$G$251:$BN$251))</f>
        <v>0</v>
      </c>
      <c r="Z30" s="382">
        <f t="array" aca="1" ref="Z30" ca="1">SUMPRODUCT(Z$63:Z$122,TRANSPOSE(SAP_Spreadsheet!$G$251:$BN$251))</f>
        <v>0</v>
      </c>
      <c r="AA30" s="382">
        <f t="array" aca="1" ref="AA30" ca="1">SUMPRODUCT(AA$63:AA$122,TRANSPOSE(SAP_Spreadsheet!$G$251:$BN$251))</f>
        <v>0</v>
      </c>
      <c r="AB30" s="382">
        <f t="array" aca="1" ref="AB30" ca="1">SUMPRODUCT(AB$63:AB$122,TRANSPOSE(SAP_Spreadsheet!$G$251:$BN$251))</f>
        <v>0</v>
      </c>
      <c r="AC30" s="382">
        <f t="array" aca="1" ref="AC30" ca="1">SUMPRODUCT(AC$63:AC$122,TRANSPOSE(SAP_Spreadsheet!$G$251:$BN$251))</f>
        <v>0</v>
      </c>
      <c r="AD30" s="382">
        <f t="array" aca="1" ref="AD30" ca="1">SUMPRODUCT(AD$63:AD$122,TRANSPOSE(SAP_Spreadsheet!$G$251:$BN$251))</f>
        <v>0</v>
      </c>
      <c r="AE30" s="382">
        <f t="array" aca="1" ref="AE30" ca="1">SUMPRODUCT(AE$63:AE$122,TRANSPOSE(SAP_Spreadsheet!$G$251:$BN$251))</f>
        <v>0</v>
      </c>
      <c r="AF30" s="382">
        <f t="array" aca="1" ref="AF30" ca="1">SUMPRODUCT(AF$63:AF$122,TRANSPOSE(SAP_Spreadsheet!$G$251:$BN$251))</f>
        <v>0</v>
      </c>
      <c r="AG30" s="382">
        <f t="array" aca="1" ref="AG30" ca="1">SUMPRODUCT(AG$63:AG$122,TRANSPOSE(SAP_Spreadsheet!$G$251:$BN$251))</f>
        <v>0</v>
      </c>
      <c r="AH30" s="382">
        <f t="array" aca="1" ref="AH30" ca="1">SUMPRODUCT(AH$63:AH$122,TRANSPOSE(SAP_Spreadsheet!$G$251:$BN$251))</f>
        <v>0</v>
      </c>
      <c r="AI30" s="382">
        <f t="array" aca="1" ref="AI30" ca="1">SUMPRODUCT(AI$63:AI$122,TRANSPOSE(SAP_Spreadsheet!$G$251:$BN$251))</f>
        <v>0</v>
      </c>
      <c r="AJ30" s="382">
        <f t="array" aca="1" ref="AJ30" ca="1">SUMPRODUCT(AJ$63:AJ$122,TRANSPOSE(SAP_Spreadsheet!$G$251:$BN$251))</f>
        <v>0</v>
      </c>
      <c r="AK30" s="382">
        <f t="array" aca="1" ref="AK30" ca="1">SUMPRODUCT(AK$63:AK$122,TRANSPOSE(SAP_Spreadsheet!$G$251:$BN$251))</f>
        <v>0</v>
      </c>
      <c r="AL30" s="382">
        <f t="array" aca="1" ref="AL30" ca="1">SUMPRODUCT(AL$63:AL$122,TRANSPOSE(SAP_Spreadsheet!$G$251:$BN$251))</f>
        <v>0</v>
      </c>
      <c r="AM30" s="382">
        <f t="array" aca="1" ref="AM30" ca="1">SUMPRODUCT(AM$63:AM$122,TRANSPOSE(SAP_Spreadsheet!$G$251:$BN$251))</f>
        <v>0</v>
      </c>
      <c r="AN30" s="382">
        <f t="array" aca="1" ref="AN30" ca="1">SUMPRODUCT(AN$63:AN$122,TRANSPOSE(SAP_Spreadsheet!$G$251:$BN$251))</f>
        <v>0</v>
      </c>
      <c r="AO30" s="382">
        <f t="array" aca="1" ref="AO30" ca="1">SUMPRODUCT(AO$63:AO$122,TRANSPOSE(SAP_Spreadsheet!$G$251:$BN$251))</f>
        <v>0</v>
      </c>
      <c r="AP30" s="382">
        <f t="array" aca="1" ref="AP30" ca="1">SUMPRODUCT(AP$63:AP$122,TRANSPOSE(SAP_Spreadsheet!$G$251:$BN$251))</f>
        <v>0</v>
      </c>
      <c r="AQ30" s="382">
        <f t="array" aca="1" ref="AQ30" ca="1">SUMPRODUCT(AQ$63:AQ$122,TRANSPOSE(SAP_Spreadsheet!$G$251:$BN$251))</f>
        <v>0</v>
      </c>
      <c r="AR30" s="382">
        <f t="array" aca="1" ref="AR30" ca="1">SUMPRODUCT(AR$63:AR$122,TRANSPOSE(SAP_Spreadsheet!$G$251:$BN$251))</f>
        <v>0</v>
      </c>
      <c r="AS30" s="382">
        <f t="array" aca="1" ref="AS30" ca="1">SUMPRODUCT(AS$63:AS$122,TRANSPOSE(SAP_Spreadsheet!$G$251:$BN$251))</f>
        <v>0</v>
      </c>
      <c r="AT30" s="382">
        <f t="array" aca="1" ref="AT30" ca="1">SUMPRODUCT(AT$63:AT$122,TRANSPOSE(SAP_Spreadsheet!$G$251:$BN$251))</f>
        <v>0</v>
      </c>
      <c r="AU30" s="382">
        <f t="array" aca="1" ref="AU30" ca="1">SUMPRODUCT(AU$63:AU$122,TRANSPOSE(SAP_Spreadsheet!$G$251:$BN$251))</f>
        <v>0</v>
      </c>
      <c r="AV30" s="382">
        <f t="array" aca="1" ref="AV30" ca="1">SUMPRODUCT(AV$63:AV$122,TRANSPOSE(SAP_Spreadsheet!$G$251:$BN$251))</f>
        <v>0</v>
      </c>
      <c r="AW30" s="382">
        <f t="array" aca="1" ref="AW30" ca="1">SUMPRODUCT(AW$63:AW$122,TRANSPOSE(SAP_Spreadsheet!$G$251:$BN$251))</f>
        <v>0</v>
      </c>
      <c r="AX30" s="382">
        <f t="array" aca="1" ref="AX30" ca="1">SUMPRODUCT(AX$63:AX$122,TRANSPOSE(SAP_Spreadsheet!$G$251:$BN$251))</f>
        <v>0</v>
      </c>
      <c r="AY30" s="382">
        <f t="array" aca="1" ref="AY30" ca="1">SUMPRODUCT(AY$63:AY$122,TRANSPOSE(SAP_Spreadsheet!$G$251:$BN$251))</f>
        <v>0</v>
      </c>
      <c r="AZ30" s="382">
        <f t="array" aca="1" ref="AZ30" ca="1">SUMPRODUCT(AZ$63:AZ$122,TRANSPOSE(SAP_Spreadsheet!$G$251:$BN$251))</f>
        <v>0</v>
      </c>
      <c r="BA30" s="382">
        <f t="array" aca="1" ref="BA30" ca="1">SUMPRODUCT(BA$63:BA$122,TRANSPOSE(SAP_Spreadsheet!$G$251:$BN$251))</f>
        <v>0</v>
      </c>
      <c r="BB30" s="382">
        <f t="array" aca="1" ref="BB30" ca="1">SUMPRODUCT(BB$63:BB$122,TRANSPOSE(SAP_Spreadsheet!$G$251:$BN$251))</f>
        <v>0</v>
      </c>
      <c r="BC30" s="382">
        <f t="array" aca="1" ref="BC30" ca="1">SUMPRODUCT(BC$63:BC$122,TRANSPOSE(SAP_Spreadsheet!$G$251:$BN$251))</f>
        <v>0</v>
      </c>
      <c r="BD30" s="382">
        <f t="array" aca="1" ref="BD30" ca="1">SUMPRODUCT(BD$63:BD$122,TRANSPOSE(SAP_Spreadsheet!$G$251:$BN$251))</f>
        <v>0</v>
      </c>
      <c r="BE30" s="382">
        <f t="array" aca="1" ref="BE30" ca="1">SUMPRODUCT(BE$63:BE$122,TRANSPOSE(SAP_Spreadsheet!$G$251:$BN$251))</f>
        <v>0</v>
      </c>
      <c r="BF30" s="382">
        <f t="array" aca="1" ref="BF30" ca="1">SUMPRODUCT(BF$63:BF$122,TRANSPOSE(SAP_Spreadsheet!$G$251:$BN$251))</f>
        <v>0</v>
      </c>
      <c r="BG30" s="382">
        <f t="array" aca="1" ref="BG30" ca="1">SUMPRODUCT(BG$63:BG$122,TRANSPOSE(SAP_Spreadsheet!$G$251:$BN$251))</f>
        <v>0</v>
      </c>
      <c r="BH30" s="382">
        <f t="array" aca="1" ref="BH30" ca="1">SUMPRODUCT(BH$63:BH$122,TRANSPOSE(SAP_Spreadsheet!$G$251:$BN$251))</f>
        <v>0</v>
      </c>
      <c r="BI30" s="382">
        <f t="array" aca="1" ref="BI30" ca="1">SUMPRODUCT(BI$63:BI$122,TRANSPOSE(SAP_Spreadsheet!$G$251:$BN$251))</f>
        <v>0</v>
      </c>
      <c r="BJ30" s="382">
        <f t="array" aca="1" ref="BJ30" ca="1">SUMPRODUCT(BJ$63:BJ$122,TRANSPOSE(SAP_Spreadsheet!$G$251:$BN$251))</f>
        <v>0</v>
      </c>
      <c r="BK30" s="382">
        <f t="array" aca="1" ref="BK30" ca="1">SUMPRODUCT(BK$63:BK$122,TRANSPOSE(SAP_Spreadsheet!$G$251:$BN$251))</f>
        <v>0</v>
      </c>
      <c r="BL30" s="382">
        <f t="array" aca="1" ref="BL30" ca="1">SUMPRODUCT(BL$63:BL$122,TRANSPOSE(SAP_Spreadsheet!$G$251:$BN$251))</f>
        <v>0</v>
      </c>
      <c r="BM30" s="379"/>
    </row>
    <row r="31" spans="1:65" s="379" customFormat="1" x14ac:dyDescent="0.15">
      <c r="A31" s="371"/>
      <c r="B31" s="371"/>
      <c r="D31" s="377" t="s">
        <v>454</v>
      </c>
      <c r="E31" s="378">
        <f t="array" aca="1" ref="E31" ca="1">SUMPRODUCT(E$63:E$122,TRANSPOSE(SAP_Spreadsheet!$G$256:$BN$256))</f>
        <v>0</v>
      </c>
      <c r="F31" s="378">
        <f t="array" aca="1" ref="F31" ca="1">SUMPRODUCT(F$63:F$122,TRANSPOSE(SAP_Spreadsheet!$G$256:$BN$256))</f>
        <v>0</v>
      </c>
      <c r="G31" s="378">
        <f t="array" aca="1" ref="G31" ca="1">SUMPRODUCT(G$63:G$122,TRANSPOSE(SAP_Spreadsheet!$G$256:$BN$256))</f>
        <v>0</v>
      </c>
      <c r="H31" s="378">
        <f t="array" aca="1" ref="H31" ca="1">SUMPRODUCT(H$63:H$122,TRANSPOSE(SAP_Spreadsheet!$G$256:$BN$256))</f>
        <v>0</v>
      </c>
      <c r="I31" s="378">
        <f t="array" aca="1" ref="I31" ca="1">SUMPRODUCT(I$63:I$122,TRANSPOSE(SAP_Spreadsheet!$G$256:$BN$256))</f>
        <v>0</v>
      </c>
      <c r="J31" s="378">
        <f t="array" aca="1" ref="J31" ca="1">SUMPRODUCT(J$63:J$122,TRANSPOSE(SAP_Spreadsheet!$G$256:$BN$256))</f>
        <v>0</v>
      </c>
      <c r="K31" s="378">
        <f t="array" aca="1" ref="K31" ca="1">SUMPRODUCT(K$63:K$122,TRANSPOSE(SAP_Spreadsheet!$G$256:$BN$256))</f>
        <v>0</v>
      </c>
      <c r="L31" s="378">
        <f t="array" aca="1" ref="L31" ca="1">SUMPRODUCT(L$63:L$122,TRANSPOSE(SAP_Spreadsheet!$G$256:$BN$256))</f>
        <v>0</v>
      </c>
      <c r="M31" s="378">
        <f t="array" aca="1" ref="M31" ca="1">SUMPRODUCT(M$63:M$122,TRANSPOSE(SAP_Spreadsheet!$G$256:$BN$256))</f>
        <v>0</v>
      </c>
      <c r="N31" s="378">
        <f t="array" aca="1" ref="N31" ca="1">SUMPRODUCT(N$63:N$122,TRANSPOSE(SAP_Spreadsheet!$G$256:$BN$256))</f>
        <v>0</v>
      </c>
      <c r="O31" s="378">
        <f t="array" aca="1" ref="O31" ca="1">SUMPRODUCT(O$63:O$122,TRANSPOSE(SAP_Spreadsheet!$G$256:$BN$256))</f>
        <v>0</v>
      </c>
      <c r="P31" s="378">
        <f t="array" aca="1" ref="P31" ca="1">SUMPRODUCT(P$63:P$122,TRANSPOSE(SAP_Spreadsheet!$G$256:$BN$256))</f>
        <v>0</v>
      </c>
      <c r="Q31" s="378">
        <f t="array" aca="1" ref="Q31" ca="1">SUMPRODUCT(Q$63:Q$122,TRANSPOSE(SAP_Spreadsheet!$G$256:$BN$256))</f>
        <v>0</v>
      </c>
      <c r="R31" s="378">
        <f t="array" aca="1" ref="R31" ca="1">SUMPRODUCT(R$63:R$122,TRANSPOSE(SAP_Spreadsheet!$G$256:$BN$256))</f>
        <v>0</v>
      </c>
      <c r="S31" s="378">
        <f t="array" aca="1" ref="S31" ca="1">SUMPRODUCT(S$63:S$122,TRANSPOSE(SAP_Spreadsheet!$G$256:$BN$256))</f>
        <v>0</v>
      </c>
      <c r="T31" s="378">
        <f t="array" aca="1" ref="T31" ca="1">SUMPRODUCT(T$63:T$122,TRANSPOSE(SAP_Spreadsheet!$G$256:$BN$256))</f>
        <v>0</v>
      </c>
      <c r="U31" s="378">
        <f t="array" aca="1" ref="U31" ca="1">SUMPRODUCT(U$63:U$122,TRANSPOSE(SAP_Spreadsheet!$G$256:$BN$256))</f>
        <v>0</v>
      </c>
      <c r="V31" s="378">
        <f t="array" aca="1" ref="V31" ca="1">SUMPRODUCT(V$63:V$122,TRANSPOSE(SAP_Spreadsheet!$G$256:$BN$256))</f>
        <v>0</v>
      </c>
      <c r="W31" s="378">
        <f t="array" aca="1" ref="W31" ca="1">SUMPRODUCT(W$63:W$122,TRANSPOSE(SAP_Spreadsheet!$G$256:$BN$256))</f>
        <v>0</v>
      </c>
      <c r="X31" s="378">
        <f t="array" aca="1" ref="X31" ca="1">SUMPRODUCT(X$63:X$122,TRANSPOSE(SAP_Spreadsheet!$G$256:$BN$256))</f>
        <v>0</v>
      </c>
      <c r="Y31" s="378">
        <f t="array" aca="1" ref="Y31" ca="1">SUMPRODUCT(Y$63:Y$122,TRANSPOSE(SAP_Spreadsheet!$G$256:$BN$256))</f>
        <v>0</v>
      </c>
      <c r="Z31" s="378">
        <f t="array" aca="1" ref="Z31" ca="1">SUMPRODUCT(Z$63:Z$122,TRANSPOSE(SAP_Spreadsheet!$G$256:$BN$256))</f>
        <v>0</v>
      </c>
      <c r="AA31" s="378">
        <f t="array" aca="1" ref="AA31" ca="1">SUMPRODUCT(AA$63:AA$122,TRANSPOSE(SAP_Spreadsheet!$G$256:$BN$256))</f>
        <v>0</v>
      </c>
      <c r="AB31" s="378">
        <f t="array" aca="1" ref="AB31" ca="1">SUMPRODUCT(AB$63:AB$122,TRANSPOSE(SAP_Spreadsheet!$G$256:$BN$256))</f>
        <v>0</v>
      </c>
      <c r="AC31" s="378">
        <f t="array" aca="1" ref="AC31" ca="1">SUMPRODUCT(AC$63:AC$122,TRANSPOSE(SAP_Spreadsheet!$G$256:$BN$256))</f>
        <v>0</v>
      </c>
      <c r="AD31" s="378">
        <f t="array" aca="1" ref="AD31" ca="1">SUMPRODUCT(AD$63:AD$122,TRANSPOSE(SAP_Spreadsheet!$G$256:$BN$256))</f>
        <v>0</v>
      </c>
      <c r="AE31" s="378">
        <f t="array" aca="1" ref="AE31" ca="1">SUMPRODUCT(AE$63:AE$122,TRANSPOSE(SAP_Spreadsheet!$G$256:$BN$256))</f>
        <v>0</v>
      </c>
      <c r="AF31" s="378">
        <f t="array" aca="1" ref="AF31" ca="1">SUMPRODUCT(AF$63:AF$122,TRANSPOSE(SAP_Spreadsheet!$G$256:$BN$256))</f>
        <v>0</v>
      </c>
      <c r="AG31" s="378">
        <f t="array" aca="1" ref="AG31" ca="1">SUMPRODUCT(AG$63:AG$122,TRANSPOSE(SAP_Spreadsheet!$G$256:$BN$256))</f>
        <v>0</v>
      </c>
      <c r="AH31" s="378">
        <f t="array" aca="1" ref="AH31" ca="1">SUMPRODUCT(AH$63:AH$122,TRANSPOSE(SAP_Spreadsheet!$G$256:$BN$256))</f>
        <v>0</v>
      </c>
      <c r="AI31" s="378">
        <f t="array" aca="1" ref="AI31" ca="1">SUMPRODUCT(AI$63:AI$122,TRANSPOSE(SAP_Spreadsheet!$G$256:$BN$256))</f>
        <v>0</v>
      </c>
      <c r="AJ31" s="378">
        <f t="array" aca="1" ref="AJ31" ca="1">SUMPRODUCT(AJ$63:AJ$122,TRANSPOSE(SAP_Spreadsheet!$G$256:$BN$256))</f>
        <v>0</v>
      </c>
      <c r="AK31" s="378">
        <f t="array" aca="1" ref="AK31" ca="1">SUMPRODUCT(AK$63:AK$122,TRANSPOSE(SAP_Spreadsheet!$G$256:$BN$256))</f>
        <v>0</v>
      </c>
      <c r="AL31" s="378">
        <f t="array" aca="1" ref="AL31" ca="1">SUMPRODUCT(AL$63:AL$122,TRANSPOSE(SAP_Spreadsheet!$G$256:$BN$256))</f>
        <v>0</v>
      </c>
      <c r="AM31" s="378">
        <f t="array" aca="1" ref="AM31" ca="1">SUMPRODUCT(AM$63:AM$122,TRANSPOSE(SAP_Spreadsheet!$G$256:$BN$256))</f>
        <v>0</v>
      </c>
      <c r="AN31" s="378">
        <f t="array" aca="1" ref="AN31" ca="1">SUMPRODUCT(AN$63:AN$122,TRANSPOSE(SAP_Spreadsheet!$G$256:$BN$256))</f>
        <v>0</v>
      </c>
      <c r="AO31" s="378">
        <f t="array" aca="1" ref="AO31" ca="1">SUMPRODUCT(AO$63:AO$122,TRANSPOSE(SAP_Spreadsheet!$G$256:$BN$256))</f>
        <v>0</v>
      </c>
      <c r="AP31" s="378">
        <f t="array" aca="1" ref="AP31" ca="1">SUMPRODUCT(AP$63:AP$122,TRANSPOSE(SAP_Spreadsheet!$G$256:$BN$256))</f>
        <v>0</v>
      </c>
      <c r="AQ31" s="378">
        <f t="array" aca="1" ref="AQ31" ca="1">SUMPRODUCT(AQ$63:AQ$122,TRANSPOSE(SAP_Spreadsheet!$G$256:$BN$256))</f>
        <v>0</v>
      </c>
      <c r="AR31" s="378">
        <f t="array" aca="1" ref="AR31" ca="1">SUMPRODUCT(AR$63:AR$122,TRANSPOSE(SAP_Spreadsheet!$G$256:$BN$256))</f>
        <v>0</v>
      </c>
      <c r="AS31" s="378">
        <f t="array" aca="1" ref="AS31" ca="1">SUMPRODUCT(AS$63:AS$122,TRANSPOSE(SAP_Spreadsheet!$G$256:$BN$256))</f>
        <v>0</v>
      </c>
      <c r="AT31" s="378">
        <f t="array" aca="1" ref="AT31" ca="1">SUMPRODUCT(AT$63:AT$122,TRANSPOSE(SAP_Spreadsheet!$G$256:$BN$256))</f>
        <v>0</v>
      </c>
      <c r="AU31" s="378">
        <f t="array" aca="1" ref="AU31" ca="1">SUMPRODUCT(AU$63:AU$122,TRANSPOSE(SAP_Spreadsheet!$G$256:$BN$256))</f>
        <v>0</v>
      </c>
      <c r="AV31" s="378">
        <f t="array" aca="1" ref="AV31" ca="1">SUMPRODUCT(AV$63:AV$122,TRANSPOSE(SAP_Spreadsheet!$G$256:$BN$256))</f>
        <v>0</v>
      </c>
      <c r="AW31" s="378">
        <f t="array" aca="1" ref="AW31" ca="1">SUMPRODUCT(AW$63:AW$122,TRANSPOSE(SAP_Spreadsheet!$G$256:$BN$256))</f>
        <v>0</v>
      </c>
      <c r="AX31" s="378">
        <f t="array" aca="1" ref="AX31" ca="1">SUMPRODUCT(AX$63:AX$122,TRANSPOSE(SAP_Spreadsheet!$G$256:$BN$256))</f>
        <v>0</v>
      </c>
      <c r="AY31" s="378">
        <f t="array" aca="1" ref="AY31" ca="1">SUMPRODUCT(AY$63:AY$122,TRANSPOSE(SAP_Spreadsheet!$G$256:$BN$256))</f>
        <v>0</v>
      </c>
      <c r="AZ31" s="378">
        <f t="array" aca="1" ref="AZ31" ca="1">SUMPRODUCT(AZ$63:AZ$122,TRANSPOSE(SAP_Spreadsheet!$G$256:$BN$256))</f>
        <v>0</v>
      </c>
      <c r="BA31" s="378">
        <f t="array" aca="1" ref="BA31" ca="1">SUMPRODUCT(BA$63:BA$122,TRANSPOSE(SAP_Spreadsheet!$G$256:$BN$256))</f>
        <v>0</v>
      </c>
      <c r="BB31" s="378">
        <f t="array" aca="1" ref="BB31" ca="1">SUMPRODUCT(BB$63:BB$122,TRANSPOSE(SAP_Spreadsheet!$G$256:$BN$256))</f>
        <v>0</v>
      </c>
      <c r="BC31" s="378">
        <f t="array" aca="1" ref="BC31" ca="1">SUMPRODUCT(BC$63:BC$122,TRANSPOSE(SAP_Spreadsheet!$G$256:$BN$256))</f>
        <v>0</v>
      </c>
      <c r="BD31" s="378">
        <f t="array" aca="1" ref="BD31" ca="1">SUMPRODUCT(BD$63:BD$122,TRANSPOSE(SAP_Spreadsheet!$G$256:$BN$256))</f>
        <v>0</v>
      </c>
      <c r="BE31" s="378">
        <f t="array" aca="1" ref="BE31" ca="1">SUMPRODUCT(BE$63:BE$122,TRANSPOSE(SAP_Spreadsheet!$G$256:$BN$256))</f>
        <v>0</v>
      </c>
      <c r="BF31" s="378">
        <f t="array" aca="1" ref="BF31" ca="1">SUMPRODUCT(BF$63:BF$122,TRANSPOSE(SAP_Spreadsheet!$G$256:$BN$256))</f>
        <v>0</v>
      </c>
      <c r="BG31" s="378">
        <f t="array" aca="1" ref="BG31" ca="1">SUMPRODUCT(BG$63:BG$122,TRANSPOSE(SAP_Spreadsheet!$G$256:$BN$256))</f>
        <v>0</v>
      </c>
      <c r="BH31" s="378">
        <f t="array" aca="1" ref="BH31" ca="1">SUMPRODUCT(BH$63:BH$122,TRANSPOSE(SAP_Spreadsheet!$G$256:$BN$256))</f>
        <v>0</v>
      </c>
      <c r="BI31" s="378">
        <f t="array" aca="1" ref="BI31" ca="1">SUMPRODUCT(BI$63:BI$122,TRANSPOSE(SAP_Spreadsheet!$G$256:$BN$256))</f>
        <v>0</v>
      </c>
      <c r="BJ31" s="378">
        <f t="array" aca="1" ref="BJ31" ca="1">SUMPRODUCT(BJ$63:BJ$122,TRANSPOSE(SAP_Spreadsheet!$G$256:$BN$256))</f>
        <v>0</v>
      </c>
      <c r="BK31" s="378">
        <f t="array" aca="1" ref="BK31" ca="1">SUMPRODUCT(BK$63:BK$122,TRANSPOSE(SAP_Spreadsheet!$G$256:$BN$256))</f>
        <v>0</v>
      </c>
      <c r="BL31" s="378">
        <f t="array" aca="1" ref="BL31" ca="1">SUMPRODUCT(BL$63:BL$122,TRANSPOSE(SAP_Spreadsheet!$G$256:$BN$256))</f>
        <v>0</v>
      </c>
    </row>
    <row r="32" spans="1:65" s="379" customFormat="1" x14ac:dyDescent="0.15">
      <c r="A32" s="371"/>
      <c r="B32" s="371"/>
      <c r="D32" s="377" t="s">
        <v>234</v>
      </c>
      <c r="E32" s="378">
        <f t="shared" ref="E32:BK32" ca="1" si="3">E33+E34</f>
        <v>0</v>
      </c>
      <c r="F32" s="378">
        <f t="shared" ca="1" si="3"/>
        <v>0</v>
      </c>
      <c r="G32" s="378">
        <f t="shared" ca="1" si="3"/>
        <v>0</v>
      </c>
      <c r="H32" s="378">
        <f t="shared" ca="1" si="3"/>
        <v>0</v>
      </c>
      <c r="I32" s="378">
        <f t="shared" ca="1" si="3"/>
        <v>0</v>
      </c>
      <c r="J32" s="378">
        <f t="shared" ca="1" si="3"/>
        <v>0</v>
      </c>
      <c r="K32" s="378">
        <f t="shared" ca="1" si="3"/>
        <v>0</v>
      </c>
      <c r="L32" s="378">
        <f t="shared" ca="1" si="3"/>
        <v>0</v>
      </c>
      <c r="M32" s="378">
        <f t="shared" ca="1" si="3"/>
        <v>0</v>
      </c>
      <c r="N32" s="378">
        <f t="shared" ca="1" si="3"/>
        <v>0</v>
      </c>
      <c r="O32" s="378">
        <f t="shared" ca="1" si="3"/>
        <v>0</v>
      </c>
      <c r="P32" s="378">
        <f t="shared" ca="1" si="3"/>
        <v>0</v>
      </c>
      <c r="Q32" s="378">
        <f t="shared" ca="1" si="3"/>
        <v>0</v>
      </c>
      <c r="R32" s="378">
        <f t="shared" ca="1" si="3"/>
        <v>0</v>
      </c>
      <c r="S32" s="378">
        <f t="shared" ca="1" si="3"/>
        <v>0</v>
      </c>
      <c r="T32" s="378">
        <f t="shared" ca="1" si="3"/>
        <v>0</v>
      </c>
      <c r="U32" s="378">
        <f t="shared" ca="1" si="3"/>
        <v>0</v>
      </c>
      <c r="V32" s="378">
        <f t="shared" ca="1" si="3"/>
        <v>0</v>
      </c>
      <c r="W32" s="378">
        <f t="shared" ca="1" si="3"/>
        <v>0</v>
      </c>
      <c r="X32" s="378">
        <f t="shared" ca="1" si="3"/>
        <v>0</v>
      </c>
      <c r="Y32" s="378">
        <f t="shared" ca="1" si="3"/>
        <v>0</v>
      </c>
      <c r="Z32" s="378">
        <f t="shared" ca="1" si="3"/>
        <v>0</v>
      </c>
      <c r="AA32" s="378">
        <f t="shared" ca="1" si="3"/>
        <v>0</v>
      </c>
      <c r="AB32" s="378">
        <f t="shared" ca="1" si="3"/>
        <v>0</v>
      </c>
      <c r="AC32" s="378">
        <f t="shared" ca="1" si="3"/>
        <v>0</v>
      </c>
      <c r="AD32" s="378">
        <f t="shared" ca="1" si="3"/>
        <v>0</v>
      </c>
      <c r="AE32" s="378">
        <f t="shared" ca="1" si="3"/>
        <v>0</v>
      </c>
      <c r="AF32" s="378">
        <f t="shared" ca="1" si="3"/>
        <v>0</v>
      </c>
      <c r="AG32" s="378">
        <f t="shared" ca="1" si="3"/>
        <v>0</v>
      </c>
      <c r="AH32" s="378">
        <f t="shared" ca="1" si="3"/>
        <v>0</v>
      </c>
      <c r="AI32" s="378">
        <f t="shared" ca="1" si="3"/>
        <v>0</v>
      </c>
      <c r="AJ32" s="378">
        <f t="shared" ca="1" si="3"/>
        <v>0</v>
      </c>
      <c r="AK32" s="378">
        <f t="shared" ca="1" si="3"/>
        <v>0</v>
      </c>
      <c r="AL32" s="378">
        <f t="shared" ca="1" si="3"/>
        <v>0</v>
      </c>
      <c r="AM32" s="378">
        <f t="shared" ca="1" si="3"/>
        <v>0</v>
      </c>
      <c r="AN32" s="378">
        <f t="shared" ca="1" si="3"/>
        <v>0</v>
      </c>
      <c r="AO32" s="378">
        <f t="shared" ca="1" si="3"/>
        <v>0</v>
      </c>
      <c r="AP32" s="378">
        <f t="shared" ca="1" si="3"/>
        <v>0</v>
      </c>
      <c r="AQ32" s="378">
        <f t="shared" ca="1" si="3"/>
        <v>0</v>
      </c>
      <c r="AR32" s="378">
        <f t="shared" ca="1" si="3"/>
        <v>0</v>
      </c>
      <c r="AS32" s="378">
        <f t="shared" ca="1" si="3"/>
        <v>0</v>
      </c>
      <c r="AT32" s="378">
        <f t="shared" ca="1" si="3"/>
        <v>0</v>
      </c>
      <c r="AU32" s="378">
        <f t="shared" ca="1" si="3"/>
        <v>0</v>
      </c>
      <c r="AV32" s="378">
        <f t="shared" ca="1" si="3"/>
        <v>0</v>
      </c>
      <c r="AW32" s="378">
        <f t="shared" ca="1" si="3"/>
        <v>0</v>
      </c>
      <c r="AX32" s="378">
        <f t="shared" ca="1" si="3"/>
        <v>0</v>
      </c>
      <c r="AY32" s="378">
        <f t="shared" ca="1" si="3"/>
        <v>0</v>
      </c>
      <c r="AZ32" s="378">
        <f t="shared" ca="1" si="3"/>
        <v>0</v>
      </c>
      <c r="BA32" s="378">
        <f t="shared" ca="1" si="3"/>
        <v>0</v>
      </c>
      <c r="BB32" s="378">
        <f t="shared" ca="1" si="3"/>
        <v>0</v>
      </c>
      <c r="BC32" s="378">
        <f t="shared" ca="1" si="3"/>
        <v>0</v>
      </c>
      <c r="BD32" s="378">
        <f t="shared" ca="1" si="3"/>
        <v>0</v>
      </c>
      <c r="BE32" s="378">
        <f t="shared" ca="1" si="3"/>
        <v>0</v>
      </c>
      <c r="BF32" s="378">
        <f t="shared" ca="1" si="3"/>
        <v>0</v>
      </c>
      <c r="BG32" s="378">
        <f t="shared" ca="1" si="3"/>
        <v>0</v>
      </c>
      <c r="BH32" s="378">
        <f t="shared" ca="1" si="3"/>
        <v>0</v>
      </c>
      <c r="BI32" s="378">
        <f t="shared" ca="1" si="3"/>
        <v>0</v>
      </c>
      <c r="BJ32" s="378">
        <f t="shared" ca="1" si="3"/>
        <v>0</v>
      </c>
      <c r="BK32" s="378">
        <f t="shared" ca="1" si="3"/>
        <v>0</v>
      </c>
      <c r="BL32" s="378">
        <f ca="1">BL33+BL34</f>
        <v>0</v>
      </c>
    </row>
    <row r="33" spans="1:65" s="379" customFormat="1" x14ac:dyDescent="0.15">
      <c r="A33" s="371"/>
      <c r="B33" s="371"/>
      <c r="D33" s="379" t="s">
        <v>405</v>
      </c>
      <c r="E33" s="382">
        <f t="array" aca="1" ref="E33" ca="1">SUMPRODUCT(E$63:E$122,TRANSPOSE(SAP_Spreadsheet!$G$265:$BN$265))</f>
        <v>0</v>
      </c>
      <c r="F33" s="382">
        <f t="array" aca="1" ref="F33" ca="1">SUMPRODUCT(F$63:F$122,TRANSPOSE(SAP_Spreadsheet!$G$265:$BN$265))</f>
        <v>0</v>
      </c>
      <c r="G33" s="382">
        <f t="array" aca="1" ref="G33" ca="1">SUMPRODUCT(G$63:G$122,TRANSPOSE(SAP_Spreadsheet!$G$265:$BN$265))</f>
        <v>0</v>
      </c>
      <c r="H33" s="382">
        <f t="array" aca="1" ref="H33" ca="1">SUMPRODUCT(H$63:H$122,TRANSPOSE(SAP_Spreadsheet!$G$265:$BN$265))</f>
        <v>0</v>
      </c>
      <c r="I33" s="382">
        <f t="array" aca="1" ref="I33" ca="1">SUMPRODUCT(I$63:I$122,TRANSPOSE(SAP_Spreadsheet!$G$265:$BN$265))</f>
        <v>0</v>
      </c>
      <c r="J33" s="382">
        <f t="array" aca="1" ref="J33" ca="1">SUMPRODUCT(J$63:J$122,TRANSPOSE(SAP_Spreadsheet!$G$265:$BN$265))</f>
        <v>0</v>
      </c>
      <c r="K33" s="382">
        <f t="array" aca="1" ref="K33" ca="1">SUMPRODUCT(K$63:K$122,TRANSPOSE(SAP_Spreadsheet!$G$265:$BN$265))</f>
        <v>0</v>
      </c>
      <c r="L33" s="382">
        <f t="array" aca="1" ref="L33" ca="1">SUMPRODUCT(L$63:L$122,TRANSPOSE(SAP_Spreadsheet!$G$265:$BN$265))</f>
        <v>0</v>
      </c>
      <c r="M33" s="382">
        <f t="array" aca="1" ref="M33" ca="1">SUMPRODUCT(M$63:M$122,TRANSPOSE(SAP_Spreadsheet!$G$265:$BN$265))</f>
        <v>0</v>
      </c>
      <c r="N33" s="382">
        <f t="array" aca="1" ref="N33" ca="1">SUMPRODUCT(N$63:N$122,TRANSPOSE(SAP_Spreadsheet!$G$265:$BN$265))</f>
        <v>0</v>
      </c>
      <c r="O33" s="382">
        <f t="array" aca="1" ref="O33" ca="1">SUMPRODUCT(O$63:O$122,TRANSPOSE(SAP_Spreadsheet!$G$265:$BN$265))</f>
        <v>0</v>
      </c>
      <c r="P33" s="382">
        <f t="array" aca="1" ref="P33" ca="1">SUMPRODUCT(P$63:P$122,TRANSPOSE(SAP_Spreadsheet!$G$265:$BN$265))</f>
        <v>0</v>
      </c>
      <c r="Q33" s="382">
        <f t="array" aca="1" ref="Q33" ca="1">SUMPRODUCT(Q$63:Q$122,TRANSPOSE(SAP_Spreadsheet!$G$265:$BN$265))</f>
        <v>0</v>
      </c>
      <c r="R33" s="382">
        <f t="array" aca="1" ref="R33" ca="1">SUMPRODUCT(R$63:R$122,TRANSPOSE(SAP_Spreadsheet!$G$265:$BN$265))</f>
        <v>0</v>
      </c>
      <c r="S33" s="382">
        <f t="array" aca="1" ref="S33" ca="1">SUMPRODUCT(S$63:S$122,TRANSPOSE(SAP_Spreadsheet!$G$265:$BN$265))</f>
        <v>0</v>
      </c>
      <c r="T33" s="382">
        <f t="array" aca="1" ref="T33" ca="1">SUMPRODUCT(T$63:T$122,TRANSPOSE(SAP_Spreadsheet!$G$265:$BN$265))</f>
        <v>0</v>
      </c>
      <c r="U33" s="382">
        <f t="array" aca="1" ref="U33" ca="1">SUMPRODUCT(U$63:U$122,TRANSPOSE(SAP_Spreadsheet!$G$265:$BN$265))</f>
        <v>0</v>
      </c>
      <c r="V33" s="382">
        <f t="array" aca="1" ref="V33" ca="1">SUMPRODUCT(V$63:V$122,TRANSPOSE(SAP_Spreadsheet!$G$265:$BN$265))</f>
        <v>0</v>
      </c>
      <c r="W33" s="382">
        <f t="array" aca="1" ref="W33" ca="1">SUMPRODUCT(W$63:W$122,TRANSPOSE(SAP_Spreadsheet!$G$265:$BN$265))</f>
        <v>0</v>
      </c>
      <c r="X33" s="382">
        <f t="array" aca="1" ref="X33" ca="1">SUMPRODUCT(X$63:X$122,TRANSPOSE(SAP_Spreadsheet!$G$265:$BN$265))</f>
        <v>0</v>
      </c>
      <c r="Y33" s="382">
        <f t="array" aca="1" ref="Y33" ca="1">SUMPRODUCT(Y$63:Y$122,TRANSPOSE(SAP_Spreadsheet!$G$265:$BN$265))</f>
        <v>0</v>
      </c>
      <c r="Z33" s="382">
        <f t="array" aca="1" ref="Z33" ca="1">SUMPRODUCT(Z$63:Z$122,TRANSPOSE(SAP_Spreadsheet!$G$265:$BN$265))</f>
        <v>0</v>
      </c>
      <c r="AA33" s="382">
        <f t="array" aca="1" ref="AA33" ca="1">SUMPRODUCT(AA$63:AA$122,TRANSPOSE(SAP_Spreadsheet!$G$265:$BN$265))</f>
        <v>0</v>
      </c>
      <c r="AB33" s="382">
        <f t="array" aca="1" ref="AB33" ca="1">SUMPRODUCT(AB$63:AB$122,TRANSPOSE(SAP_Spreadsheet!$G$265:$BN$265))</f>
        <v>0</v>
      </c>
      <c r="AC33" s="382">
        <f t="array" aca="1" ref="AC33" ca="1">SUMPRODUCT(AC$63:AC$122,TRANSPOSE(SAP_Spreadsheet!$G$265:$BN$265))</f>
        <v>0</v>
      </c>
      <c r="AD33" s="382">
        <f t="array" aca="1" ref="AD33" ca="1">SUMPRODUCT(AD$63:AD$122,TRANSPOSE(SAP_Spreadsheet!$G$265:$BN$265))</f>
        <v>0</v>
      </c>
      <c r="AE33" s="382">
        <f t="array" aca="1" ref="AE33" ca="1">SUMPRODUCT(AE$63:AE$122,TRANSPOSE(SAP_Spreadsheet!$G$265:$BN$265))</f>
        <v>0</v>
      </c>
      <c r="AF33" s="382">
        <f t="array" aca="1" ref="AF33" ca="1">SUMPRODUCT(AF$63:AF$122,TRANSPOSE(SAP_Spreadsheet!$G$265:$BN$265))</f>
        <v>0</v>
      </c>
      <c r="AG33" s="382">
        <f t="array" aca="1" ref="AG33" ca="1">SUMPRODUCT(AG$63:AG$122,TRANSPOSE(SAP_Spreadsheet!$G$265:$BN$265))</f>
        <v>0</v>
      </c>
      <c r="AH33" s="382">
        <f t="array" aca="1" ref="AH33" ca="1">SUMPRODUCT(AH$63:AH$122,TRANSPOSE(SAP_Spreadsheet!$G$265:$BN$265))</f>
        <v>0</v>
      </c>
      <c r="AI33" s="382">
        <f t="array" aca="1" ref="AI33" ca="1">SUMPRODUCT(AI$63:AI$122,TRANSPOSE(SAP_Spreadsheet!$G$265:$BN$265))</f>
        <v>0</v>
      </c>
      <c r="AJ33" s="382">
        <f t="array" aca="1" ref="AJ33" ca="1">SUMPRODUCT(AJ$63:AJ$122,TRANSPOSE(SAP_Spreadsheet!$G$265:$BN$265))</f>
        <v>0</v>
      </c>
      <c r="AK33" s="382">
        <f t="array" aca="1" ref="AK33" ca="1">SUMPRODUCT(AK$63:AK$122,TRANSPOSE(SAP_Spreadsheet!$G$265:$BN$265))</f>
        <v>0</v>
      </c>
      <c r="AL33" s="382">
        <f t="array" aca="1" ref="AL33" ca="1">SUMPRODUCT(AL$63:AL$122,TRANSPOSE(SAP_Spreadsheet!$G$265:$BN$265))</f>
        <v>0</v>
      </c>
      <c r="AM33" s="382">
        <f t="array" aca="1" ref="AM33" ca="1">SUMPRODUCT(AM$63:AM$122,TRANSPOSE(SAP_Spreadsheet!$G$265:$BN$265))</f>
        <v>0</v>
      </c>
      <c r="AN33" s="382">
        <f t="array" aca="1" ref="AN33" ca="1">SUMPRODUCT(AN$63:AN$122,TRANSPOSE(SAP_Spreadsheet!$G$265:$BN$265))</f>
        <v>0</v>
      </c>
      <c r="AO33" s="382">
        <f t="array" aca="1" ref="AO33" ca="1">SUMPRODUCT(AO$63:AO$122,TRANSPOSE(SAP_Spreadsheet!$G$265:$BN$265))</f>
        <v>0</v>
      </c>
      <c r="AP33" s="382">
        <f t="array" aca="1" ref="AP33" ca="1">SUMPRODUCT(AP$63:AP$122,TRANSPOSE(SAP_Spreadsheet!$G$265:$BN$265))</f>
        <v>0</v>
      </c>
      <c r="AQ33" s="382">
        <f t="array" aca="1" ref="AQ33" ca="1">SUMPRODUCT(AQ$63:AQ$122,TRANSPOSE(SAP_Spreadsheet!$G$265:$BN$265))</f>
        <v>0</v>
      </c>
      <c r="AR33" s="382">
        <f t="array" aca="1" ref="AR33" ca="1">SUMPRODUCT(AR$63:AR$122,TRANSPOSE(SAP_Spreadsheet!$G$265:$BN$265))</f>
        <v>0</v>
      </c>
      <c r="AS33" s="382">
        <f t="array" aca="1" ref="AS33" ca="1">SUMPRODUCT(AS$63:AS$122,TRANSPOSE(SAP_Spreadsheet!$G$265:$BN$265))</f>
        <v>0</v>
      </c>
      <c r="AT33" s="382">
        <f t="array" aca="1" ref="AT33" ca="1">SUMPRODUCT(AT$63:AT$122,TRANSPOSE(SAP_Spreadsheet!$G$265:$BN$265))</f>
        <v>0</v>
      </c>
      <c r="AU33" s="382">
        <f t="array" aca="1" ref="AU33" ca="1">SUMPRODUCT(AU$63:AU$122,TRANSPOSE(SAP_Spreadsheet!$G$265:$BN$265))</f>
        <v>0</v>
      </c>
      <c r="AV33" s="382">
        <f t="array" aca="1" ref="AV33" ca="1">SUMPRODUCT(AV$63:AV$122,TRANSPOSE(SAP_Spreadsheet!$G$265:$BN$265))</f>
        <v>0</v>
      </c>
      <c r="AW33" s="382">
        <f t="array" aca="1" ref="AW33" ca="1">SUMPRODUCT(AW$63:AW$122,TRANSPOSE(SAP_Spreadsheet!$G$265:$BN$265))</f>
        <v>0</v>
      </c>
      <c r="AX33" s="382">
        <f t="array" aca="1" ref="AX33" ca="1">SUMPRODUCT(AX$63:AX$122,TRANSPOSE(SAP_Spreadsheet!$G$265:$BN$265))</f>
        <v>0</v>
      </c>
      <c r="AY33" s="382">
        <f t="array" aca="1" ref="AY33" ca="1">SUMPRODUCT(AY$63:AY$122,TRANSPOSE(SAP_Spreadsheet!$G$265:$BN$265))</f>
        <v>0</v>
      </c>
      <c r="AZ33" s="382">
        <f t="array" aca="1" ref="AZ33" ca="1">SUMPRODUCT(AZ$63:AZ$122,TRANSPOSE(SAP_Spreadsheet!$G$265:$BN$265))</f>
        <v>0</v>
      </c>
      <c r="BA33" s="382">
        <f t="array" aca="1" ref="BA33" ca="1">SUMPRODUCT(BA$63:BA$122,TRANSPOSE(SAP_Spreadsheet!$G$265:$BN$265))</f>
        <v>0</v>
      </c>
      <c r="BB33" s="382">
        <f t="array" aca="1" ref="BB33" ca="1">SUMPRODUCT(BB$63:BB$122,TRANSPOSE(SAP_Spreadsheet!$G$265:$BN$265))</f>
        <v>0</v>
      </c>
      <c r="BC33" s="382">
        <f t="array" aca="1" ref="BC33" ca="1">SUMPRODUCT(BC$63:BC$122,TRANSPOSE(SAP_Spreadsheet!$G$265:$BN$265))</f>
        <v>0</v>
      </c>
      <c r="BD33" s="382">
        <f t="array" aca="1" ref="BD33" ca="1">SUMPRODUCT(BD$63:BD$122,TRANSPOSE(SAP_Spreadsheet!$G$265:$BN$265))</f>
        <v>0</v>
      </c>
      <c r="BE33" s="382">
        <f t="array" aca="1" ref="BE33" ca="1">SUMPRODUCT(BE$63:BE$122,TRANSPOSE(SAP_Spreadsheet!$G$265:$BN$265))</f>
        <v>0</v>
      </c>
      <c r="BF33" s="382">
        <f t="array" aca="1" ref="BF33" ca="1">SUMPRODUCT(BF$63:BF$122,TRANSPOSE(SAP_Spreadsheet!$G$265:$BN$265))</f>
        <v>0</v>
      </c>
      <c r="BG33" s="382">
        <f t="array" aca="1" ref="BG33" ca="1">SUMPRODUCT(BG$63:BG$122,TRANSPOSE(SAP_Spreadsheet!$G$265:$BN$265))</f>
        <v>0</v>
      </c>
      <c r="BH33" s="382">
        <f t="array" aca="1" ref="BH33" ca="1">SUMPRODUCT(BH$63:BH$122,TRANSPOSE(SAP_Spreadsheet!$G$265:$BN$265))</f>
        <v>0</v>
      </c>
      <c r="BI33" s="382">
        <f t="array" aca="1" ref="BI33" ca="1">SUMPRODUCT(BI$63:BI$122,TRANSPOSE(SAP_Spreadsheet!$G$265:$BN$265))</f>
        <v>0</v>
      </c>
      <c r="BJ33" s="382">
        <f t="array" aca="1" ref="BJ33" ca="1">SUMPRODUCT(BJ$63:BJ$122,TRANSPOSE(SAP_Spreadsheet!$G$265:$BN$265))</f>
        <v>0</v>
      </c>
      <c r="BK33" s="382">
        <f t="array" aca="1" ref="BK33" ca="1">SUMPRODUCT(BK$63:BK$122,TRANSPOSE(SAP_Spreadsheet!$G$265:$BN$265))</f>
        <v>0</v>
      </c>
      <c r="BL33" s="382">
        <f t="array" aca="1" ref="BL33" ca="1">SUMPRODUCT(BL$63:BL$122,TRANSPOSE(SAP_Spreadsheet!$G$265:$BN$265))</f>
        <v>0</v>
      </c>
    </row>
    <row r="34" spans="1:65" s="379" customFormat="1" x14ac:dyDescent="0.15">
      <c r="A34" s="371"/>
      <c r="B34" s="371"/>
      <c r="D34" s="379" t="s">
        <v>236</v>
      </c>
      <c r="E34" s="382">
        <f t="array" aca="1" ref="E34" ca="1">SUMPRODUCT(E$63:E$122,TRANSPOSE(SAP_Spreadsheet!$G$266:$BN$266))</f>
        <v>0</v>
      </c>
      <c r="F34" s="382">
        <f t="array" aca="1" ref="F34" ca="1">SUMPRODUCT(F$63:F$122,TRANSPOSE(SAP_Spreadsheet!$G$266:$BN$266))</f>
        <v>0</v>
      </c>
      <c r="G34" s="382">
        <f t="array" aca="1" ref="G34" ca="1">SUMPRODUCT(G$63:G$122,TRANSPOSE(SAP_Spreadsheet!$G$266:$BN$266))</f>
        <v>0</v>
      </c>
      <c r="H34" s="382">
        <f t="array" aca="1" ref="H34" ca="1">SUMPRODUCT(H$63:H$122,TRANSPOSE(SAP_Spreadsheet!$G$266:$BN$266))</f>
        <v>0</v>
      </c>
      <c r="I34" s="382">
        <f t="array" aca="1" ref="I34" ca="1">SUMPRODUCT(I$63:I$122,TRANSPOSE(SAP_Spreadsheet!$G$266:$BN$266))</f>
        <v>0</v>
      </c>
      <c r="J34" s="382">
        <f t="array" aca="1" ref="J34" ca="1">SUMPRODUCT(J$63:J$122,TRANSPOSE(SAP_Spreadsheet!$G$266:$BN$266))</f>
        <v>0</v>
      </c>
      <c r="K34" s="382">
        <f t="array" aca="1" ref="K34" ca="1">SUMPRODUCT(K$63:K$122,TRANSPOSE(SAP_Spreadsheet!$G$266:$BN$266))</f>
        <v>0</v>
      </c>
      <c r="L34" s="382">
        <f t="array" aca="1" ref="L34" ca="1">SUMPRODUCT(L$63:L$122,TRANSPOSE(SAP_Spreadsheet!$G$266:$BN$266))</f>
        <v>0</v>
      </c>
      <c r="M34" s="382">
        <f t="array" aca="1" ref="M34" ca="1">SUMPRODUCT(M$63:M$122,TRANSPOSE(SAP_Spreadsheet!$G$266:$BN$266))</f>
        <v>0</v>
      </c>
      <c r="N34" s="382">
        <f t="array" aca="1" ref="N34" ca="1">SUMPRODUCT(N$63:N$122,TRANSPOSE(SAP_Spreadsheet!$G$266:$BN$266))</f>
        <v>0</v>
      </c>
      <c r="O34" s="382">
        <f t="array" aca="1" ref="O34" ca="1">SUMPRODUCT(O$63:O$122,TRANSPOSE(SAP_Spreadsheet!$G$266:$BN$266))</f>
        <v>0</v>
      </c>
      <c r="P34" s="382">
        <f t="array" aca="1" ref="P34" ca="1">SUMPRODUCT(P$63:P$122,TRANSPOSE(SAP_Spreadsheet!$G$266:$BN$266))</f>
        <v>0</v>
      </c>
      <c r="Q34" s="382">
        <f t="array" aca="1" ref="Q34" ca="1">SUMPRODUCT(Q$63:Q$122,TRANSPOSE(SAP_Spreadsheet!$G$266:$BN$266))</f>
        <v>0</v>
      </c>
      <c r="R34" s="382">
        <f t="array" aca="1" ref="R34" ca="1">SUMPRODUCT(R$63:R$122,TRANSPOSE(SAP_Spreadsheet!$G$266:$BN$266))</f>
        <v>0</v>
      </c>
      <c r="S34" s="382">
        <f t="array" aca="1" ref="S34" ca="1">SUMPRODUCT(S$63:S$122,TRANSPOSE(SAP_Spreadsheet!$G$266:$BN$266))</f>
        <v>0</v>
      </c>
      <c r="T34" s="382">
        <f t="array" aca="1" ref="T34" ca="1">SUMPRODUCT(T$63:T$122,TRANSPOSE(SAP_Spreadsheet!$G$266:$BN$266))</f>
        <v>0</v>
      </c>
      <c r="U34" s="382">
        <f t="array" aca="1" ref="U34" ca="1">SUMPRODUCT(U$63:U$122,TRANSPOSE(SAP_Spreadsheet!$G$266:$BN$266))</f>
        <v>0</v>
      </c>
      <c r="V34" s="382">
        <f t="array" aca="1" ref="V34" ca="1">SUMPRODUCT(V$63:V$122,TRANSPOSE(SAP_Spreadsheet!$G$266:$BN$266))</f>
        <v>0</v>
      </c>
      <c r="W34" s="382">
        <f t="array" aca="1" ref="W34" ca="1">SUMPRODUCT(W$63:W$122,TRANSPOSE(SAP_Spreadsheet!$G$266:$BN$266))</f>
        <v>0</v>
      </c>
      <c r="X34" s="382">
        <f t="array" aca="1" ref="X34" ca="1">SUMPRODUCT(X$63:X$122,TRANSPOSE(SAP_Spreadsheet!$G$266:$BN$266))</f>
        <v>0</v>
      </c>
      <c r="Y34" s="382">
        <f t="array" aca="1" ref="Y34" ca="1">SUMPRODUCT(Y$63:Y$122,TRANSPOSE(SAP_Spreadsheet!$G$266:$BN$266))</f>
        <v>0</v>
      </c>
      <c r="Z34" s="382">
        <f t="array" aca="1" ref="Z34" ca="1">SUMPRODUCT(Z$63:Z$122,TRANSPOSE(SAP_Spreadsheet!$G$266:$BN$266))</f>
        <v>0</v>
      </c>
      <c r="AA34" s="382">
        <f t="array" aca="1" ref="AA34" ca="1">SUMPRODUCT(AA$63:AA$122,TRANSPOSE(SAP_Spreadsheet!$G$266:$BN$266))</f>
        <v>0</v>
      </c>
      <c r="AB34" s="382">
        <f t="array" aca="1" ref="AB34" ca="1">SUMPRODUCT(AB$63:AB$122,TRANSPOSE(SAP_Spreadsheet!$G$266:$BN$266))</f>
        <v>0</v>
      </c>
      <c r="AC34" s="382">
        <f t="array" aca="1" ref="AC34" ca="1">SUMPRODUCT(AC$63:AC$122,TRANSPOSE(SAP_Spreadsheet!$G$266:$BN$266))</f>
        <v>0</v>
      </c>
      <c r="AD34" s="382">
        <f t="array" aca="1" ref="AD34" ca="1">SUMPRODUCT(AD$63:AD$122,TRANSPOSE(SAP_Spreadsheet!$G$266:$BN$266))</f>
        <v>0</v>
      </c>
      <c r="AE34" s="382">
        <f t="array" aca="1" ref="AE34" ca="1">SUMPRODUCT(AE$63:AE$122,TRANSPOSE(SAP_Spreadsheet!$G$266:$BN$266))</f>
        <v>0</v>
      </c>
      <c r="AF34" s="382">
        <f t="array" aca="1" ref="AF34" ca="1">SUMPRODUCT(AF$63:AF$122,TRANSPOSE(SAP_Spreadsheet!$G$266:$BN$266))</f>
        <v>0</v>
      </c>
      <c r="AG34" s="382">
        <f t="array" aca="1" ref="AG34" ca="1">SUMPRODUCT(AG$63:AG$122,TRANSPOSE(SAP_Spreadsheet!$G$266:$BN$266))</f>
        <v>0</v>
      </c>
      <c r="AH34" s="382">
        <f t="array" aca="1" ref="AH34" ca="1">SUMPRODUCT(AH$63:AH$122,TRANSPOSE(SAP_Spreadsheet!$G$266:$BN$266))</f>
        <v>0</v>
      </c>
      <c r="AI34" s="382">
        <f t="array" aca="1" ref="AI34" ca="1">SUMPRODUCT(AI$63:AI$122,TRANSPOSE(SAP_Spreadsheet!$G$266:$BN$266))</f>
        <v>0</v>
      </c>
      <c r="AJ34" s="382">
        <f t="array" aca="1" ref="AJ34" ca="1">SUMPRODUCT(AJ$63:AJ$122,TRANSPOSE(SAP_Spreadsheet!$G$266:$BN$266))</f>
        <v>0</v>
      </c>
      <c r="AK34" s="382">
        <f t="array" aca="1" ref="AK34" ca="1">SUMPRODUCT(AK$63:AK$122,TRANSPOSE(SAP_Spreadsheet!$G$266:$BN$266))</f>
        <v>0</v>
      </c>
      <c r="AL34" s="382">
        <f t="array" aca="1" ref="AL34" ca="1">SUMPRODUCT(AL$63:AL$122,TRANSPOSE(SAP_Spreadsheet!$G$266:$BN$266))</f>
        <v>0</v>
      </c>
      <c r="AM34" s="382">
        <f t="array" aca="1" ref="AM34" ca="1">SUMPRODUCT(AM$63:AM$122,TRANSPOSE(SAP_Spreadsheet!$G$266:$BN$266))</f>
        <v>0</v>
      </c>
      <c r="AN34" s="382">
        <f t="array" aca="1" ref="AN34" ca="1">SUMPRODUCT(AN$63:AN$122,TRANSPOSE(SAP_Spreadsheet!$G$266:$BN$266))</f>
        <v>0</v>
      </c>
      <c r="AO34" s="382">
        <f t="array" aca="1" ref="AO34" ca="1">SUMPRODUCT(AO$63:AO$122,TRANSPOSE(SAP_Spreadsheet!$G$266:$BN$266))</f>
        <v>0</v>
      </c>
      <c r="AP34" s="382">
        <f t="array" aca="1" ref="AP34" ca="1">SUMPRODUCT(AP$63:AP$122,TRANSPOSE(SAP_Spreadsheet!$G$266:$BN$266))</f>
        <v>0</v>
      </c>
      <c r="AQ34" s="382">
        <f t="array" aca="1" ref="AQ34" ca="1">SUMPRODUCT(AQ$63:AQ$122,TRANSPOSE(SAP_Spreadsheet!$G$266:$BN$266))</f>
        <v>0</v>
      </c>
      <c r="AR34" s="382">
        <f t="array" aca="1" ref="AR34" ca="1">SUMPRODUCT(AR$63:AR$122,TRANSPOSE(SAP_Spreadsheet!$G$266:$BN$266))</f>
        <v>0</v>
      </c>
      <c r="AS34" s="382">
        <f t="array" aca="1" ref="AS34" ca="1">SUMPRODUCT(AS$63:AS$122,TRANSPOSE(SAP_Spreadsheet!$G$266:$BN$266))</f>
        <v>0</v>
      </c>
      <c r="AT34" s="382">
        <f t="array" aca="1" ref="AT34" ca="1">SUMPRODUCT(AT$63:AT$122,TRANSPOSE(SAP_Spreadsheet!$G$266:$BN$266))</f>
        <v>0</v>
      </c>
      <c r="AU34" s="382">
        <f t="array" aca="1" ref="AU34" ca="1">SUMPRODUCT(AU$63:AU$122,TRANSPOSE(SAP_Spreadsheet!$G$266:$BN$266))</f>
        <v>0</v>
      </c>
      <c r="AV34" s="382">
        <f t="array" aca="1" ref="AV34" ca="1">SUMPRODUCT(AV$63:AV$122,TRANSPOSE(SAP_Spreadsheet!$G$266:$BN$266))</f>
        <v>0</v>
      </c>
      <c r="AW34" s="382">
        <f t="array" aca="1" ref="AW34" ca="1">SUMPRODUCT(AW$63:AW$122,TRANSPOSE(SAP_Spreadsheet!$G$266:$BN$266))</f>
        <v>0</v>
      </c>
      <c r="AX34" s="382">
        <f t="array" aca="1" ref="AX34" ca="1">SUMPRODUCT(AX$63:AX$122,TRANSPOSE(SAP_Spreadsheet!$G$266:$BN$266))</f>
        <v>0</v>
      </c>
      <c r="AY34" s="382">
        <f t="array" aca="1" ref="AY34" ca="1">SUMPRODUCT(AY$63:AY$122,TRANSPOSE(SAP_Spreadsheet!$G$266:$BN$266))</f>
        <v>0</v>
      </c>
      <c r="AZ34" s="382">
        <f t="array" aca="1" ref="AZ34" ca="1">SUMPRODUCT(AZ$63:AZ$122,TRANSPOSE(SAP_Spreadsheet!$G$266:$BN$266))</f>
        <v>0</v>
      </c>
      <c r="BA34" s="382">
        <f t="array" aca="1" ref="BA34" ca="1">SUMPRODUCT(BA$63:BA$122,TRANSPOSE(SAP_Spreadsheet!$G$266:$BN$266))</f>
        <v>0</v>
      </c>
      <c r="BB34" s="382">
        <f t="array" aca="1" ref="BB34" ca="1">SUMPRODUCT(BB$63:BB$122,TRANSPOSE(SAP_Spreadsheet!$G$266:$BN$266))</f>
        <v>0</v>
      </c>
      <c r="BC34" s="382">
        <f t="array" aca="1" ref="BC34" ca="1">SUMPRODUCT(BC$63:BC$122,TRANSPOSE(SAP_Spreadsheet!$G$266:$BN$266))</f>
        <v>0</v>
      </c>
      <c r="BD34" s="382">
        <f t="array" aca="1" ref="BD34" ca="1">SUMPRODUCT(BD$63:BD$122,TRANSPOSE(SAP_Spreadsheet!$G$266:$BN$266))</f>
        <v>0</v>
      </c>
      <c r="BE34" s="382">
        <f t="array" aca="1" ref="BE34" ca="1">SUMPRODUCT(BE$63:BE$122,TRANSPOSE(SAP_Spreadsheet!$G$266:$BN$266))</f>
        <v>0</v>
      </c>
      <c r="BF34" s="382">
        <f t="array" aca="1" ref="BF34" ca="1">SUMPRODUCT(BF$63:BF$122,TRANSPOSE(SAP_Spreadsheet!$G$266:$BN$266))</f>
        <v>0</v>
      </c>
      <c r="BG34" s="382">
        <f t="array" aca="1" ref="BG34" ca="1">SUMPRODUCT(BG$63:BG$122,TRANSPOSE(SAP_Spreadsheet!$G$266:$BN$266))</f>
        <v>0</v>
      </c>
      <c r="BH34" s="382">
        <f t="array" aca="1" ref="BH34" ca="1">SUMPRODUCT(BH$63:BH$122,TRANSPOSE(SAP_Spreadsheet!$G$266:$BN$266))</f>
        <v>0</v>
      </c>
      <c r="BI34" s="382">
        <f t="array" aca="1" ref="BI34" ca="1">SUMPRODUCT(BI$63:BI$122,TRANSPOSE(SAP_Spreadsheet!$G$266:$BN$266))</f>
        <v>0</v>
      </c>
      <c r="BJ34" s="382">
        <f t="array" aca="1" ref="BJ34" ca="1">SUMPRODUCT(BJ$63:BJ$122,TRANSPOSE(SAP_Spreadsheet!$G$266:$BN$266))</f>
        <v>0</v>
      </c>
      <c r="BK34" s="382">
        <f t="array" aca="1" ref="BK34" ca="1">SUMPRODUCT(BK$63:BK$122,TRANSPOSE(SAP_Spreadsheet!$G$266:$BN$266))</f>
        <v>0</v>
      </c>
      <c r="BL34" s="382">
        <f t="array" aca="1" ref="BL34" ca="1">SUMPRODUCT(BL$63:BL$122,TRANSPOSE(SAP_Spreadsheet!$G$266:$BN$266))</f>
        <v>0</v>
      </c>
    </row>
    <row r="35" spans="1:65" s="379" customFormat="1" x14ac:dyDescent="0.15">
      <c r="A35" s="371"/>
      <c r="B35" s="371"/>
      <c r="D35" s="388" t="s">
        <v>124</v>
      </c>
      <c r="E35" s="378">
        <f t="array" aca="1" ref="E35" ca="1">SUMPRODUCT(E$63:E$122,TRANSPOSE(SAP_Spreadsheet!$G$263:$BN$263))</f>
        <v>0</v>
      </c>
      <c r="F35" s="378">
        <f t="array" aca="1" ref="F35" ca="1">SUMPRODUCT(F$63:F$122,TRANSPOSE(SAP_Spreadsheet!$G$263:$BN$263))</f>
        <v>0</v>
      </c>
      <c r="G35" s="378">
        <f t="array" aca="1" ref="G35" ca="1">SUMPRODUCT(G$63:G$122,TRANSPOSE(SAP_Spreadsheet!$G$263:$BN$263))</f>
        <v>0</v>
      </c>
      <c r="H35" s="378">
        <f t="array" aca="1" ref="H35" ca="1">SUMPRODUCT(H$63:H$122,TRANSPOSE(SAP_Spreadsheet!$G$263:$BN$263))</f>
        <v>0</v>
      </c>
      <c r="I35" s="378">
        <f t="array" aca="1" ref="I35" ca="1">SUMPRODUCT(I$63:I$122,TRANSPOSE(SAP_Spreadsheet!$G$263:$BN$263))</f>
        <v>0</v>
      </c>
      <c r="J35" s="378">
        <f t="array" aca="1" ref="J35" ca="1">SUMPRODUCT(J$63:J$122,TRANSPOSE(SAP_Spreadsheet!$G$263:$BN$263))</f>
        <v>0</v>
      </c>
      <c r="K35" s="378">
        <f t="array" aca="1" ref="K35" ca="1">SUMPRODUCT(K$63:K$122,TRANSPOSE(SAP_Spreadsheet!$G$263:$BN$263))</f>
        <v>0</v>
      </c>
      <c r="L35" s="378">
        <f t="array" aca="1" ref="L35" ca="1">SUMPRODUCT(L$63:L$122,TRANSPOSE(SAP_Spreadsheet!$G$263:$BN$263))</f>
        <v>0</v>
      </c>
      <c r="M35" s="378">
        <f t="array" aca="1" ref="M35" ca="1">SUMPRODUCT(M$63:M$122,TRANSPOSE(SAP_Spreadsheet!$G$263:$BN$263))</f>
        <v>0</v>
      </c>
      <c r="N35" s="378">
        <f t="array" aca="1" ref="N35" ca="1">SUMPRODUCT(N$63:N$122,TRANSPOSE(SAP_Spreadsheet!$G$263:$BN$263))</f>
        <v>0</v>
      </c>
      <c r="O35" s="378">
        <f t="array" aca="1" ref="O35" ca="1">SUMPRODUCT(O$63:O$122,TRANSPOSE(SAP_Spreadsheet!$G$263:$BN$263))</f>
        <v>0</v>
      </c>
      <c r="P35" s="378">
        <f t="array" aca="1" ref="P35" ca="1">SUMPRODUCT(P$63:P$122,TRANSPOSE(SAP_Spreadsheet!$G$263:$BN$263))</f>
        <v>0</v>
      </c>
      <c r="Q35" s="378">
        <f t="array" aca="1" ref="Q35" ca="1">SUMPRODUCT(Q$63:Q$122,TRANSPOSE(SAP_Spreadsheet!$G$263:$BN$263))</f>
        <v>0</v>
      </c>
      <c r="R35" s="378">
        <f t="array" aca="1" ref="R35" ca="1">SUMPRODUCT(R$63:R$122,TRANSPOSE(SAP_Spreadsheet!$G$263:$BN$263))</f>
        <v>0</v>
      </c>
      <c r="S35" s="378">
        <f t="array" aca="1" ref="S35" ca="1">SUMPRODUCT(S$63:S$122,TRANSPOSE(SAP_Spreadsheet!$G$263:$BN$263))</f>
        <v>0</v>
      </c>
      <c r="T35" s="378">
        <f t="array" aca="1" ref="T35" ca="1">SUMPRODUCT(T$63:T$122,TRANSPOSE(SAP_Spreadsheet!$G$263:$BN$263))</f>
        <v>0</v>
      </c>
      <c r="U35" s="378">
        <f t="array" aca="1" ref="U35" ca="1">SUMPRODUCT(U$63:U$122,TRANSPOSE(SAP_Spreadsheet!$G$263:$BN$263))</f>
        <v>0</v>
      </c>
      <c r="V35" s="378">
        <f t="array" aca="1" ref="V35" ca="1">SUMPRODUCT(V$63:V$122,TRANSPOSE(SAP_Spreadsheet!$G$263:$BN$263))</f>
        <v>0</v>
      </c>
      <c r="W35" s="378">
        <f t="array" aca="1" ref="W35" ca="1">SUMPRODUCT(W$63:W$122,TRANSPOSE(SAP_Spreadsheet!$G$263:$BN$263))</f>
        <v>0</v>
      </c>
      <c r="X35" s="378">
        <f t="array" aca="1" ref="X35" ca="1">SUMPRODUCT(X$63:X$122,TRANSPOSE(SAP_Spreadsheet!$G$263:$BN$263))</f>
        <v>0</v>
      </c>
      <c r="Y35" s="378">
        <f t="array" aca="1" ref="Y35" ca="1">SUMPRODUCT(Y$63:Y$122,TRANSPOSE(SAP_Spreadsheet!$G$263:$BN$263))</f>
        <v>0</v>
      </c>
      <c r="Z35" s="378">
        <f t="array" aca="1" ref="Z35" ca="1">SUMPRODUCT(Z$63:Z$122,TRANSPOSE(SAP_Spreadsheet!$G$263:$BN$263))</f>
        <v>0</v>
      </c>
      <c r="AA35" s="378">
        <f t="array" aca="1" ref="AA35" ca="1">SUMPRODUCT(AA$63:AA$122,TRANSPOSE(SAP_Spreadsheet!$G$263:$BN$263))</f>
        <v>0</v>
      </c>
      <c r="AB35" s="378">
        <f t="array" aca="1" ref="AB35" ca="1">SUMPRODUCT(AB$63:AB$122,TRANSPOSE(SAP_Spreadsheet!$G$263:$BN$263))</f>
        <v>0</v>
      </c>
      <c r="AC35" s="378">
        <f t="array" aca="1" ref="AC35" ca="1">SUMPRODUCT(AC$63:AC$122,TRANSPOSE(SAP_Spreadsheet!$G$263:$BN$263))</f>
        <v>0</v>
      </c>
      <c r="AD35" s="378">
        <f t="array" aca="1" ref="AD35" ca="1">SUMPRODUCT(AD$63:AD$122,TRANSPOSE(SAP_Spreadsheet!$G$263:$BN$263))</f>
        <v>0</v>
      </c>
      <c r="AE35" s="378">
        <f t="array" aca="1" ref="AE35" ca="1">SUMPRODUCT(AE$63:AE$122,TRANSPOSE(SAP_Spreadsheet!$G$263:$BN$263))</f>
        <v>0</v>
      </c>
      <c r="AF35" s="378">
        <f t="array" aca="1" ref="AF35" ca="1">SUMPRODUCT(AF$63:AF$122,TRANSPOSE(SAP_Spreadsheet!$G$263:$BN$263))</f>
        <v>0</v>
      </c>
      <c r="AG35" s="378">
        <f t="array" aca="1" ref="AG35" ca="1">SUMPRODUCT(AG$63:AG$122,TRANSPOSE(SAP_Spreadsheet!$G$263:$BN$263))</f>
        <v>0</v>
      </c>
      <c r="AH35" s="378">
        <f t="array" aca="1" ref="AH35" ca="1">SUMPRODUCT(AH$63:AH$122,TRANSPOSE(SAP_Spreadsheet!$G$263:$BN$263))</f>
        <v>0</v>
      </c>
      <c r="AI35" s="378">
        <f t="array" aca="1" ref="AI35" ca="1">SUMPRODUCT(AI$63:AI$122,TRANSPOSE(SAP_Spreadsheet!$G$263:$BN$263))</f>
        <v>0</v>
      </c>
      <c r="AJ35" s="378">
        <f t="array" aca="1" ref="AJ35" ca="1">SUMPRODUCT(AJ$63:AJ$122,TRANSPOSE(SAP_Spreadsheet!$G$263:$BN$263))</f>
        <v>0</v>
      </c>
      <c r="AK35" s="378">
        <f t="array" aca="1" ref="AK35" ca="1">SUMPRODUCT(AK$63:AK$122,TRANSPOSE(SAP_Spreadsheet!$G$263:$BN$263))</f>
        <v>0</v>
      </c>
      <c r="AL35" s="378">
        <f t="array" aca="1" ref="AL35" ca="1">SUMPRODUCT(AL$63:AL$122,TRANSPOSE(SAP_Spreadsheet!$G$263:$BN$263))</f>
        <v>0</v>
      </c>
      <c r="AM35" s="378">
        <f t="array" aca="1" ref="AM35" ca="1">SUMPRODUCT(AM$63:AM$122,TRANSPOSE(SAP_Spreadsheet!$G$263:$BN$263))</f>
        <v>0</v>
      </c>
      <c r="AN35" s="378">
        <f t="array" aca="1" ref="AN35" ca="1">SUMPRODUCT(AN$63:AN$122,TRANSPOSE(SAP_Spreadsheet!$G$263:$BN$263))</f>
        <v>0</v>
      </c>
      <c r="AO35" s="378">
        <f t="array" aca="1" ref="AO35" ca="1">SUMPRODUCT(AO$63:AO$122,TRANSPOSE(SAP_Spreadsheet!$G$263:$BN$263))</f>
        <v>0</v>
      </c>
      <c r="AP35" s="378">
        <f t="array" aca="1" ref="AP35" ca="1">SUMPRODUCT(AP$63:AP$122,TRANSPOSE(SAP_Spreadsheet!$G$263:$BN$263))</f>
        <v>0</v>
      </c>
      <c r="AQ35" s="378">
        <f t="array" aca="1" ref="AQ35" ca="1">SUMPRODUCT(AQ$63:AQ$122,TRANSPOSE(SAP_Spreadsheet!$G$263:$BN$263))</f>
        <v>0</v>
      </c>
      <c r="AR35" s="378">
        <f t="array" aca="1" ref="AR35" ca="1">SUMPRODUCT(AR$63:AR$122,TRANSPOSE(SAP_Spreadsheet!$G$263:$BN$263))</f>
        <v>0</v>
      </c>
      <c r="AS35" s="378">
        <f t="array" aca="1" ref="AS35" ca="1">SUMPRODUCT(AS$63:AS$122,TRANSPOSE(SAP_Spreadsheet!$G$263:$BN$263))</f>
        <v>0</v>
      </c>
      <c r="AT35" s="378">
        <f t="array" aca="1" ref="AT35" ca="1">SUMPRODUCT(AT$63:AT$122,TRANSPOSE(SAP_Spreadsheet!$G$263:$BN$263))</f>
        <v>0</v>
      </c>
      <c r="AU35" s="378">
        <f t="array" aca="1" ref="AU35" ca="1">SUMPRODUCT(AU$63:AU$122,TRANSPOSE(SAP_Spreadsheet!$G$263:$BN$263))</f>
        <v>0</v>
      </c>
      <c r="AV35" s="378">
        <f t="array" aca="1" ref="AV35" ca="1">SUMPRODUCT(AV$63:AV$122,TRANSPOSE(SAP_Spreadsheet!$G$263:$BN$263))</f>
        <v>0</v>
      </c>
      <c r="AW35" s="378">
        <f t="array" aca="1" ref="AW35" ca="1">SUMPRODUCT(AW$63:AW$122,TRANSPOSE(SAP_Spreadsheet!$G$263:$BN$263))</f>
        <v>0</v>
      </c>
      <c r="AX35" s="378">
        <f t="array" aca="1" ref="AX35" ca="1">SUMPRODUCT(AX$63:AX$122,TRANSPOSE(SAP_Spreadsheet!$G$263:$BN$263))</f>
        <v>0</v>
      </c>
      <c r="AY35" s="378">
        <f t="array" aca="1" ref="AY35" ca="1">SUMPRODUCT(AY$63:AY$122,TRANSPOSE(SAP_Spreadsheet!$G$263:$BN$263))</f>
        <v>0</v>
      </c>
      <c r="AZ35" s="378">
        <f t="array" aca="1" ref="AZ35" ca="1">SUMPRODUCT(AZ$63:AZ$122,TRANSPOSE(SAP_Spreadsheet!$G$263:$BN$263))</f>
        <v>0</v>
      </c>
      <c r="BA35" s="378">
        <f t="array" aca="1" ref="BA35" ca="1">SUMPRODUCT(BA$63:BA$122,TRANSPOSE(SAP_Spreadsheet!$G$263:$BN$263))</f>
        <v>0</v>
      </c>
      <c r="BB35" s="378">
        <f t="array" aca="1" ref="BB35" ca="1">SUMPRODUCT(BB$63:BB$122,TRANSPOSE(SAP_Spreadsheet!$G$263:$BN$263))</f>
        <v>0</v>
      </c>
      <c r="BC35" s="378">
        <f t="array" aca="1" ref="BC35" ca="1">SUMPRODUCT(BC$63:BC$122,TRANSPOSE(SAP_Spreadsheet!$G$263:$BN$263))</f>
        <v>0</v>
      </c>
      <c r="BD35" s="378">
        <f t="array" aca="1" ref="BD35" ca="1">SUMPRODUCT(BD$63:BD$122,TRANSPOSE(SAP_Spreadsheet!$G$263:$BN$263))</f>
        <v>0</v>
      </c>
      <c r="BE35" s="378">
        <f t="array" aca="1" ref="BE35" ca="1">SUMPRODUCT(BE$63:BE$122,TRANSPOSE(SAP_Spreadsheet!$G$263:$BN$263))</f>
        <v>0</v>
      </c>
      <c r="BF35" s="378">
        <f t="array" aca="1" ref="BF35" ca="1">SUMPRODUCT(BF$63:BF$122,TRANSPOSE(SAP_Spreadsheet!$G$263:$BN$263))</f>
        <v>0</v>
      </c>
      <c r="BG35" s="378">
        <f t="array" aca="1" ref="BG35" ca="1">SUMPRODUCT(BG$63:BG$122,TRANSPOSE(SAP_Spreadsheet!$G$263:$BN$263))</f>
        <v>0</v>
      </c>
      <c r="BH35" s="378">
        <f t="array" aca="1" ref="BH35" ca="1">SUMPRODUCT(BH$63:BH$122,TRANSPOSE(SAP_Spreadsheet!$G$263:$BN$263))</f>
        <v>0</v>
      </c>
      <c r="BI35" s="378">
        <f t="array" aca="1" ref="BI35" ca="1">SUMPRODUCT(BI$63:BI$122,TRANSPOSE(SAP_Spreadsheet!$G$263:$BN$263))</f>
        <v>0</v>
      </c>
      <c r="BJ35" s="378">
        <f t="array" aca="1" ref="BJ35" ca="1">SUMPRODUCT(BJ$63:BJ$122,TRANSPOSE(SAP_Spreadsheet!$G$263:$BN$263))</f>
        <v>0</v>
      </c>
      <c r="BK35" s="378">
        <f t="array" aca="1" ref="BK35" ca="1">SUMPRODUCT(BK$63:BK$122,TRANSPOSE(SAP_Spreadsheet!$G$263:$BN$263))</f>
        <v>0</v>
      </c>
      <c r="BL35" s="378">
        <f t="array" aca="1" ref="BL35" ca="1">SUMPRODUCT(BL$63:BL$122,TRANSPOSE(SAP_Spreadsheet!$G$263:$BN$263))</f>
        <v>0</v>
      </c>
    </row>
    <row r="36" spans="1:65" s="379" customFormat="1" x14ac:dyDescent="0.15">
      <c r="A36" s="371"/>
      <c r="B36" s="371"/>
      <c r="D36" s="388" t="s">
        <v>240</v>
      </c>
      <c r="E36" s="378" cm="1">
        <f t="array" aca="1" ref="E36" ca="1">SUMPRODUCT(E$63:E$122,TRANSPOSE(SAP_Spreadsheet!$G$273:$BN$273))</f>
        <v>0</v>
      </c>
      <c r="F36" s="378" cm="1">
        <f t="array" aca="1" ref="F36" ca="1">SUMPRODUCT(F$63:F$122,TRANSPOSE(SAP_Spreadsheet!$G$273:$BN$273))</f>
        <v>0</v>
      </c>
      <c r="G36" s="378" cm="1">
        <f t="array" aca="1" ref="G36" ca="1">SUMPRODUCT(G$63:G$122,TRANSPOSE(SAP_Spreadsheet!$G$273:$BN$273))</f>
        <v>0</v>
      </c>
      <c r="H36" s="378" cm="1">
        <f t="array" aca="1" ref="H36" ca="1">SUMPRODUCT(H$63:H$122,TRANSPOSE(SAP_Spreadsheet!$G$273:$BN$273))</f>
        <v>0</v>
      </c>
      <c r="I36" s="378" cm="1">
        <f t="array" aca="1" ref="I36" ca="1">SUMPRODUCT(I$63:I$122,TRANSPOSE(SAP_Spreadsheet!$G$273:$BN$273))</f>
        <v>0</v>
      </c>
      <c r="J36" s="378" cm="1">
        <f t="array" aca="1" ref="J36" ca="1">SUMPRODUCT(J$63:J$122,TRANSPOSE(SAP_Spreadsheet!$G$273:$BN$273))</f>
        <v>0</v>
      </c>
      <c r="K36" s="378" cm="1">
        <f t="array" aca="1" ref="K36" ca="1">SUMPRODUCT(K$63:K$122,TRANSPOSE(SAP_Spreadsheet!$G$273:$BN$273))</f>
        <v>0</v>
      </c>
      <c r="L36" s="378" cm="1">
        <f t="array" aca="1" ref="L36" ca="1">SUMPRODUCT(L$63:L$122,TRANSPOSE(SAP_Spreadsheet!$G$273:$BN$273))</f>
        <v>0</v>
      </c>
      <c r="M36" s="378" cm="1">
        <f t="array" aca="1" ref="M36" ca="1">SUMPRODUCT(M$63:M$122,TRANSPOSE(SAP_Spreadsheet!$G$273:$BN$273))</f>
        <v>0</v>
      </c>
      <c r="N36" s="378" cm="1">
        <f t="array" aca="1" ref="N36" ca="1">SUMPRODUCT(N$63:N$122,TRANSPOSE(SAP_Spreadsheet!$G$273:$BN$273))</f>
        <v>0</v>
      </c>
      <c r="O36" s="378" cm="1">
        <f t="array" aca="1" ref="O36" ca="1">SUMPRODUCT(O$63:O$122,TRANSPOSE(SAP_Spreadsheet!$G$273:$BN$273))</f>
        <v>0</v>
      </c>
      <c r="P36" s="378" cm="1">
        <f t="array" aca="1" ref="P36" ca="1">SUMPRODUCT(P$63:P$122,TRANSPOSE(SAP_Spreadsheet!$G$273:$BN$273))</f>
        <v>0</v>
      </c>
      <c r="Q36" s="378" cm="1">
        <f t="array" aca="1" ref="Q36" ca="1">SUMPRODUCT(Q$63:Q$122,TRANSPOSE(SAP_Spreadsheet!$G$273:$BN$273))</f>
        <v>0</v>
      </c>
      <c r="R36" s="378" cm="1">
        <f t="array" aca="1" ref="R36" ca="1">SUMPRODUCT(R$63:R$122,TRANSPOSE(SAP_Spreadsheet!$G$273:$BN$273))</f>
        <v>0</v>
      </c>
      <c r="S36" s="378" cm="1">
        <f t="array" aca="1" ref="S36" ca="1">SUMPRODUCT(S$63:S$122,TRANSPOSE(SAP_Spreadsheet!$G$273:$BN$273))</f>
        <v>0</v>
      </c>
      <c r="T36" s="378" cm="1">
        <f t="array" aca="1" ref="T36" ca="1">SUMPRODUCT(T$63:T$122,TRANSPOSE(SAP_Spreadsheet!$G$273:$BN$273))</f>
        <v>0</v>
      </c>
      <c r="U36" s="378" cm="1">
        <f t="array" aca="1" ref="U36" ca="1">SUMPRODUCT(U$63:U$122,TRANSPOSE(SAP_Spreadsheet!$G$273:$BN$273))</f>
        <v>0</v>
      </c>
      <c r="V36" s="378" cm="1">
        <f t="array" aca="1" ref="V36" ca="1">SUMPRODUCT(V$63:V$122,TRANSPOSE(SAP_Spreadsheet!$G$273:$BN$273))</f>
        <v>0</v>
      </c>
      <c r="W36" s="378" cm="1">
        <f t="array" aca="1" ref="W36" ca="1">SUMPRODUCT(W$63:W$122,TRANSPOSE(SAP_Spreadsheet!$G$273:$BN$273))</f>
        <v>0</v>
      </c>
      <c r="X36" s="378" cm="1">
        <f t="array" aca="1" ref="X36" ca="1">SUMPRODUCT(X$63:X$122,TRANSPOSE(SAP_Spreadsheet!$G$273:$BN$273))</f>
        <v>0</v>
      </c>
      <c r="Y36" s="378" cm="1">
        <f t="array" aca="1" ref="Y36" ca="1">SUMPRODUCT(Y$63:Y$122,TRANSPOSE(SAP_Spreadsheet!$G$273:$BN$273))</f>
        <v>0</v>
      </c>
      <c r="Z36" s="378" cm="1">
        <f t="array" aca="1" ref="Z36" ca="1">SUMPRODUCT(Z$63:Z$122,TRANSPOSE(SAP_Spreadsheet!$G$273:$BN$273))</f>
        <v>0</v>
      </c>
      <c r="AA36" s="378" cm="1">
        <f t="array" aca="1" ref="AA36" ca="1">SUMPRODUCT(AA$63:AA$122,TRANSPOSE(SAP_Spreadsheet!$G$273:$BN$273))</f>
        <v>0</v>
      </c>
      <c r="AB36" s="378" cm="1">
        <f t="array" aca="1" ref="AB36" ca="1">SUMPRODUCT(AB$63:AB$122,TRANSPOSE(SAP_Spreadsheet!$G$273:$BN$273))</f>
        <v>0</v>
      </c>
      <c r="AC36" s="378" cm="1">
        <f t="array" aca="1" ref="AC36" ca="1">SUMPRODUCT(AC$63:AC$122,TRANSPOSE(SAP_Spreadsheet!$G$273:$BN$273))</f>
        <v>0</v>
      </c>
      <c r="AD36" s="378" cm="1">
        <f t="array" aca="1" ref="AD36" ca="1">SUMPRODUCT(AD$63:AD$122,TRANSPOSE(SAP_Spreadsheet!$G$273:$BN$273))</f>
        <v>0</v>
      </c>
      <c r="AE36" s="378" cm="1">
        <f t="array" aca="1" ref="AE36" ca="1">SUMPRODUCT(AE$63:AE$122,TRANSPOSE(SAP_Spreadsheet!$G$273:$BN$273))</f>
        <v>0</v>
      </c>
      <c r="AF36" s="378" cm="1">
        <f t="array" aca="1" ref="AF36" ca="1">SUMPRODUCT(AF$63:AF$122,TRANSPOSE(SAP_Spreadsheet!$G$273:$BN$273))</f>
        <v>0</v>
      </c>
      <c r="AG36" s="378" cm="1">
        <f t="array" aca="1" ref="AG36" ca="1">SUMPRODUCT(AG$63:AG$122,TRANSPOSE(SAP_Spreadsheet!$G$273:$BN$273))</f>
        <v>0</v>
      </c>
      <c r="AH36" s="378" cm="1">
        <f t="array" aca="1" ref="AH36" ca="1">SUMPRODUCT(AH$63:AH$122,TRANSPOSE(SAP_Spreadsheet!$G$273:$BN$273))</f>
        <v>0</v>
      </c>
      <c r="AI36" s="378" cm="1">
        <f t="array" aca="1" ref="AI36" ca="1">SUMPRODUCT(AI$63:AI$122,TRANSPOSE(SAP_Spreadsheet!$G$273:$BN$273))</f>
        <v>0</v>
      </c>
      <c r="AJ36" s="378" cm="1">
        <f t="array" aca="1" ref="AJ36" ca="1">SUMPRODUCT(AJ$63:AJ$122,TRANSPOSE(SAP_Spreadsheet!$G$273:$BN$273))</f>
        <v>0</v>
      </c>
      <c r="AK36" s="378" cm="1">
        <f t="array" aca="1" ref="AK36" ca="1">SUMPRODUCT(AK$63:AK$122,TRANSPOSE(SAP_Spreadsheet!$G$273:$BN$273))</f>
        <v>0</v>
      </c>
      <c r="AL36" s="378" cm="1">
        <f t="array" aca="1" ref="AL36" ca="1">SUMPRODUCT(AL$63:AL$122,TRANSPOSE(SAP_Spreadsheet!$G$273:$BN$273))</f>
        <v>0</v>
      </c>
      <c r="AM36" s="378" cm="1">
        <f t="array" aca="1" ref="AM36" ca="1">SUMPRODUCT(AM$63:AM$122,TRANSPOSE(SAP_Spreadsheet!$G$273:$BN$273))</f>
        <v>0</v>
      </c>
      <c r="AN36" s="378" cm="1">
        <f t="array" aca="1" ref="AN36" ca="1">SUMPRODUCT(AN$63:AN$122,TRANSPOSE(SAP_Spreadsheet!$G$273:$BN$273))</f>
        <v>0</v>
      </c>
      <c r="AO36" s="378" cm="1">
        <f t="array" aca="1" ref="AO36" ca="1">SUMPRODUCT(AO$63:AO$122,TRANSPOSE(SAP_Spreadsheet!$G$273:$BN$273))</f>
        <v>0</v>
      </c>
      <c r="AP36" s="378" cm="1">
        <f t="array" aca="1" ref="AP36" ca="1">SUMPRODUCT(AP$63:AP$122,TRANSPOSE(SAP_Spreadsheet!$G$273:$BN$273))</f>
        <v>0</v>
      </c>
      <c r="AQ36" s="378" cm="1">
        <f t="array" aca="1" ref="AQ36" ca="1">SUMPRODUCT(AQ$63:AQ$122,TRANSPOSE(SAP_Spreadsheet!$G$273:$BN$273))</f>
        <v>0</v>
      </c>
      <c r="AR36" s="378" cm="1">
        <f t="array" aca="1" ref="AR36" ca="1">SUMPRODUCT(AR$63:AR$122,TRANSPOSE(SAP_Spreadsheet!$G$273:$BN$273))</f>
        <v>0</v>
      </c>
      <c r="AS36" s="378" cm="1">
        <f t="array" aca="1" ref="AS36" ca="1">SUMPRODUCT(AS$63:AS$122,TRANSPOSE(SAP_Spreadsheet!$G$273:$BN$273))</f>
        <v>0</v>
      </c>
      <c r="AT36" s="378" cm="1">
        <f t="array" aca="1" ref="AT36" ca="1">SUMPRODUCT(AT$63:AT$122,TRANSPOSE(SAP_Spreadsheet!$G$273:$BN$273))</f>
        <v>0</v>
      </c>
      <c r="AU36" s="378" cm="1">
        <f t="array" aca="1" ref="AU36" ca="1">SUMPRODUCT(AU$63:AU$122,TRANSPOSE(SAP_Spreadsheet!$G$273:$BN$273))</f>
        <v>0</v>
      </c>
      <c r="AV36" s="378" cm="1">
        <f t="array" aca="1" ref="AV36" ca="1">SUMPRODUCT(AV$63:AV$122,TRANSPOSE(SAP_Spreadsheet!$G$273:$BN$273))</f>
        <v>0</v>
      </c>
      <c r="AW36" s="378" cm="1">
        <f t="array" aca="1" ref="AW36" ca="1">SUMPRODUCT(AW$63:AW$122,TRANSPOSE(SAP_Spreadsheet!$G$273:$BN$273))</f>
        <v>0</v>
      </c>
      <c r="AX36" s="378" cm="1">
        <f t="array" aca="1" ref="AX36" ca="1">SUMPRODUCT(AX$63:AX$122,TRANSPOSE(SAP_Spreadsheet!$G$273:$BN$273))</f>
        <v>0</v>
      </c>
      <c r="AY36" s="378" cm="1">
        <f t="array" aca="1" ref="AY36" ca="1">SUMPRODUCT(AY$63:AY$122,TRANSPOSE(SAP_Spreadsheet!$G$273:$BN$273))</f>
        <v>0</v>
      </c>
      <c r="AZ36" s="378" cm="1">
        <f t="array" aca="1" ref="AZ36" ca="1">SUMPRODUCT(AZ$63:AZ$122,TRANSPOSE(SAP_Spreadsheet!$G$273:$BN$273))</f>
        <v>0</v>
      </c>
      <c r="BA36" s="378" cm="1">
        <f t="array" aca="1" ref="BA36" ca="1">SUMPRODUCT(BA$63:BA$122,TRANSPOSE(SAP_Spreadsheet!$G$273:$BN$273))</f>
        <v>0</v>
      </c>
      <c r="BB36" s="378" cm="1">
        <f t="array" aca="1" ref="BB36" ca="1">SUMPRODUCT(BB$63:BB$122,TRANSPOSE(SAP_Spreadsheet!$G$273:$BN$273))</f>
        <v>0</v>
      </c>
      <c r="BC36" s="378" cm="1">
        <f t="array" aca="1" ref="BC36" ca="1">SUMPRODUCT(BC$63:BC$122,TRANSPOSE(SAP_Spreadsheet!$G$273:$BN$273))</f>
        <v>0</v>
      </c>
      <c r="BD36" s="378" cm="1">
        <f t="array" aca="1" ref="BD36" ca="1">SUMPRODUCT(BD$63:BD$122,TRANSPOSE(SAP_Spreadsheet!$G$273:$BN$273))</f>
        <v>0</v>
      </c>
      <c r="BE36" s="378" cm="1">
        <f t="array" aca="1" ref="BE36" ca="1">SUMPRODUCT(BE$63:BE$122,TRANSPOSE(SAP_Spreadsheet!$G$273:$BN$273))</f>
        <v>0</v>
      </c>
      <c r="BF36" s="378" cm="1">
        <f t="array" aca="1" ref="BF36" ca="1">SUMPRODUCT(BF$63:BF$122,TRANSPOSE(SAP_Spreadsheet!$G$273:$BN$273))</f>
        <v>0</v>
      </c>
      <c r="BG36" s="378" cm="1">
        <f t="array" aca="1" ref="BG36" ca="1">SUMPRODUCT(BG$63:BG$122,TRANSPOSE(SAP_Spreadsheet!$G$273:$BN$273))</f>
        <v>0</v>
      </c>
      <c r="BH36" s="378" cm="1">
        <f t="array" aca="1" ref="BH36" ca="1">SUMPRODUCT(BH$63:BH$122,TRANSPOSE(SAP_Spreadsheet!$G$273:$BN$273))</f>
        <v>0</v>
      </c>
      <c r="BI36" s="378" cm="1">
        <f t="array" aca="1" ref="BI36" ca="1">SUMPRODUCT(BI$63:BI$122,TRANSPOSE(SAP_Spreadsheet!$G$273:$BN$273))</f>
        <v>0</v>
      </c>
      <c r="BJ36" s="378" cm="1">
        <f t="array" aca="1" ref="BJ36" ca="1">SUMPRODUCT(BJ$63:BJ$122,TRANSPOSE(SAP_Spreadsheet!$G$273:$BN$273))</f>
        <v>0</v>
      </c>
      <c r="BK36" s="378" cm="1">
        <f t="array" aca="1" ref="BK36" ca="1">SUMPRODUCT(BK$63:BK$122,TRANSPOSE(SAP_Spreadsheet!$G$273:$BN$273))</f>
        <v>0</v>
      </c>
      <c r="BL36" s="378" cm="1">
        <f t="array" aca="1" ref="BL36" ca="1">SUMPRODUCT(BL$63:BL$122,TRANSPOSE(SAP_Spreadsheet!$G$273:$BN$273))</f>
        <v>0</v>
      </c>
    </row>
    <row r="37" spans="1:65" s="379" customFormat="1" x14ac:dyDescent="0.15">
      <c r="A37" s="371"/>
      <c r="B37" s="371"/>
      <c r="D37" s="377" t="s">
        <v>164</v>
      </c>
      <c r="E37" s="378" cm="1">
        <f t="array" aca="1" ref="E37" ca="1">SUMPRODUCT(E$63:E$122,TRANSPOSE(SAP_Spreadsheet!$G$335:$BN$335))</f>
        <v>0</v>
      </c>
      <c r="F37" s="378" cm="1">
        <f t="array" aca="1" ref="F37" ca="1">SUMPRODUCT(F$63:F$122,TRANSPOSE(SAP_Spreadsheet!$G$335:$BN$335))</f>
        <v>0</v>
      </c>
      <c r="G37" s="378">
        <f t="array" aca="1" ref="G37" ca="1">SUMPRODUCT(G$63:G$122,TRANSPOSE(SAP_Spreadsheet!$G$335:$BN$335))</f>
        <v>0</v>
      </c>
      <c r="H37" s="378">
        <f t="array" aca="1" ref="H37" ca="1">SUMPRODUCT(H$63:H$122,TRANSPOSE(SAP_Spreadsheet!$G$335:$BN$335))</f>
        <v>0</v>
      </c>
      <c r="I37" s="378">
        <f t="array" aca="1" ref="I37" ca="1">SUMPRODUCT(I$63:I$122,TRANSPOSE(SAP_Spreadsheet!$G$335:$BN$335))</f>
        <v>0</v>
      </c>
      <c r="J37" s="378">
        <f t="array" aca="1" ref="J37" ca="1">SUMPRODUCT(J$63:J$122,TRANSPOSE(SAP_Spreadsheet!$G$335:$BN$335))</f>
        <v>0</v>
      </c>
      <c r="K37" s="378">
        <f t="array" aca="1" ref="K37" ca="1">SUMPRODUCT(K$63:K$122,TRANSPOSE(SAP_Spreadsheet!$G$335:$BN$335))</f>
        <v>0</v>
      </c>
      <c r="L37" s="378">
        <f t="array" aca="1" ref="L37" ca="1">SUMPRODUCT(L$63:L$122,TRANSPOSE(SAP_Spreadsheet!$G$335:$BN$335))</f>
        <v>0</v>
      </c>
      <c r="M37" s="378">
        <f t="array" aca="1" ref="M37" ca="1">SUMPRODUCT(M$63:M$122,TRANSPOSE(SAP_Spreadsheet!$G$335:$BN$335))</f>
        <v>0</v>
      </c>
      <c r="N37" s="378">
        <f t="array" aca="1" ref="N37" ca="1">SUMPRODUCT(N$63:N$122,TRANSPOSE(SAP_Spreadsheet!$G$335:$BN$335))</f>
        <v>0</v>
      </c>
      <c r="O37" s="378">
        <f t="array" aca="1" ref="O37" ca="1">SUMPRODUCT(O$63:O$122,TRANSPOSE(SAP_Spreadsheet!$G$335:$BN$335))</f>
        <v>0</v>
      </c>
      <c r="P37" s="378">
        <f t="array" aca="1" ref="P37" ca="1">SUMPRODUCT(P$63:P$122,TRANSPOSE(SAP_Spreadsheet!$G$335:$BN$335))</f>
        <v>0</v>
      </c>
      <c r="Q37" s="378">
        <f t="array" aca="1" ref="Q37" ca="1">SUMPRODUCT(Q$63:Q$122,TRANSPOSE(SAP_Spreadsheet!$G$335:$BN$335))</f>
        <v>0</v>
      </c>
      <c r="R37" s="378">
        <f t="array" aca="1" ref="R37" ca="1">SUMPRODUCT(R$63:R$122,TRANSPOSE(SAP_Spreadsheet!$G$335:$BN$335))</f>
        <v>0</v>
      </c>
      <c r="S37" s="378">
        <f t="array" aca="1" ref="S37" ca="1">SUMPRODUCT(S$63:S$122,TRANSPOSE(SAP_Spreadsheet!$G$335:$BN$335))</f>
        <v>0</v>
      </c>
      <c r="T37" s="378">
        <f t="array" aca="1" ref="T37" ca="1">SUMPRODUCT(T$63:T$122,TRANSPOSE(SAP_Spreadsheet!$G$335:$BN$335))</f>
        <v>0</v>
      </c>
      <c r="U37" s="378">
        <f t="array" aca="1" ref="U37" ca="1">SUMPRODUCT(U$63:U$122,TRANSPOSE(SAP_Spreadsheet!$G$335:$BN$335))</f>
        <v>0</v>
      </c>
      <c r="V37" s="378">
        <f t="array" aca="1" ref="V37" ca="1">SUMPRODUCT(V$63:V$122,TRANSPOSE(SAP_Spreadsheet!$G$335:$BN$335))</f>
        <v>0</v>
      </c>
      <c r="W37" s="378">
        <f t="array" aca="1" ref="W37" ca="1">SUMPRODUCT(W$63:W$122,TRANSPOSE(SAP_Spreadsheet!$G$335:$BN$335))</f>
        <v>0</v>
      </c>
      <c r="X37" s="378">
        <f t="array" aca="1" ref="X37" ca="1">SUMPRODUCT(X$63:X$122,TRANSPOSE(SAP_Spreadsheet!$G$335:$BN$335))</f>
        <v>0</v>
      </c>
      <c r="Y37" s="378">
        <f t="array" aca="1" ref="Y37" ca="1">SUMPRODUCT(Y$63:Y$122,TRANSPOSE(SAP_Spreadsheet!$G$335:$BN$335))</f>
        <v>0</v>
      </c>
      <c r="Z37" s="378">
        <f t="array" aca="1" ref="Z37" ca="1">SUMPRODUCT(Z$63:Z$122,TRANSPOSE(SAP_Spreadsheet!$G$335:$BN$335))</f>
        <v>0</v>
      </c>
      <c r="AA37" s="378">
        <f t="array" aca="1" ref="AA37" ca="1">SUMPRODUCT(AA$63:AA$122,TRANSPOSE(SAP_Spreadsheet!$G$335:$BN$335))</f>
        <v>0</v>
      </c>
      <c r="AB37" s="378">
        <f t="array" aca="1" ref="AB37" ca="1">SUMPRODUCT(AB$63:AB$122,TRANSPOSE(SAP_Spreadsheet!$G$335:$BN$335))</f>
        <v>0</v>
      </c>
      <c r="AC37" s="378">
        <f t="array" aca="1" ref="AC37" ca="1">SUMPRODUCT(AC$63:AC$122,TRANSPOSE(SAP_Spreadsheet!$G$335:$BN$335))</f>
        <v>0</v>
      </c>
      <c r="AD37" s="378">
        <f t="array" aca="1" ref="AD37" ca="1">SUMPRODUCT(AD$63:AD$122,TRANSPOSE(SAP_Spreadsheet!$G$335:$BN$335))</f>
        <v>0</v>
      </c>
      <c r="AE37" s="378">
        <f t="array" aca="1" ref="AE37" ca="1">SUMPRODUCT(AE$63:AE$122,TRANSPOSE(SAP_Spreadsheet!$G$335:$BN$335))</f>
        <v>0</v>
      </c>
      <c r="AF37" s="378">
        <f t="array" aca="1" ref="AF37" ca="1">SUMPRODUCT(AF$63:AF$122,TRANSPOSE(SAP_Spreadsheet!$G$335:$BN$335))</f>
        <v>0</v>
      </c>
      <c r="AG37" s="378">
        <f t="array" aca="1" ref="AG37" ca="1">SUMPRODUCT(AG$63:AG$122,TRANSPOSE(SAP_Spreadsheet!$G$335:$BN$335))</f>
        <v>0</v>
      </c>
      <c r="AH37" s="378">
        <f t="array" aca="1" ref="AH37" ca="1">SUMPRODUCT(AH$63:AH$122,TRANSPOSE(SAP_Spreadsheet!$G$335:$BN$335))</f>
        <v>0</v>
      </c>
      <c r="AI37" s="378">
        <f t="array" aca="1" ref="AI37" ca="1">SUMPRODUCT(AI$63:AI$122,TRANSPOSE(SAP_Spreadsheet!$G$335:$BN$335))</f>
        <v>0</v>
      </c>
      <c r="AJ37" s="378">
        <f t="array" aca="1" ref="AJ37" ca="1">SUMPRODUCT(AJ$63:AJ$122,TRANSPOSE(SAP_Spreadsheet!$G$335:$BN$335))</f>
        <v>0</v>
      </c>
      <c r="AK37" s="378">
        <f t="array" aca="1" ref="AK37" ca="1">SUMPRODUCT(AK$63:AK$122,TRANSPOSE(SAP_Spreadsheet!$G$335:$BN$335))</f>
        <v>0</v>
      </c>
      <c r="AL37" s="378">
        <f t="array" aca="1" ref="AL37" ca="1">SUMPRODUCT(AL$63:AL$122,TRANSPOSE(SAP_Spreadsheet!$G$335:$BN$335))</f>
        <v>0</v>
      </c>
      <c r="AM37" s="378">
        <f t="array" aca="1" ref="AM37" ca="1">SUMPRODUCT(AM$63:AM$122,TRANSPOSE(SAP_Spreadsheet!$G$335:$BN$335))</f>
        <v>0</v>
      </c>
      <c r="AN37" s="378">
        <f t="array" aca="1" ref="AN37" ca="1">SUMPRODUCT(AN$63:AN$122,TRANSPOSE(SAP_Spreadsheet!$G$335:$BN$335))</f>
        <v>0</v>
      </c>
      <c r="AO37" s="378">
        <f t="array" aca="1" ref="AO37" ca="1">SUMPRODUCT(AO$63:AO$122,TRANSPOSE(SAP_Spreadsheet!$G$335:$BN$335))</f>
        <v>0</v>
      </c>
      <c r="AP37" s="378">
        <f t="array" aca="1" ref="AP37" ca="1">SUMPRODUCT(AP$63:AP$122,TRANSPOSE(SAP_Spreadsheet!$G$335:$BN$335))</f>
        <v>0</v>
      </c>
      <c r="AQ37" s="378">
        <f t="array" aca="1" ref="AQ37" ca="1">SUMPRODUCT(AQ$63:AQ$122,TRANSPOSE(SAP_Spreadsheet!$G$335:$BN$335))</f>
        <v>0</v>
      </c>
      <c r="AR37" s="378">
        <f t="array" aca="1" ref="AR37" ca="1">SUMPRODUCT(AR$63:AR$122,TRANSPOSE(SAP_Spreadsheet!$G$335:$BN$335))</f>
        <v>0</v>
      </c>
      <c r="AS37" s="378">
        <f t="array" aca="1" ref="AS37" ca="1">SUMPRODUCT(AS$63:AS$122,TRANSPOSE(SAP_Spreadsheet!$G$335:$BN$335))</f>
        <v>0</v>
      </c>
      <c r="AT37" s="378">
        <f t="array" aca="1" ref="AT37" ca="1">SUMPRODUCT(AT$63:AT$122,TRANSPOSE(SAP_Spreadsheet!$G$335:$BN$335))</f>
        <v>0</v>
      </c>
      <c r="AU37" s="378">
        <f t="array" aca="1" ref="AU37" ca="1">SUMPRODUCT(AU$63:AU$122,TRANSPOSE(SAP_Spreadsheet!$G$335:$BN$335))</f>
        <v>0</v>
      </c>
      <c r="AV37" s="378">
        <f t="array" aca="1" ref="AV37" ca="1">SUMPRODUCT(AV$63:AV$122,TRANSPOSE(SAP_Spreadsheet!$G$335:$BN$335))</f>
        <v>0</v>
      </c>
      <c r="AW37" s="378">
        <f t="array" aca="1" ref="AW37" ca="1">SUMPRODUCT(AW$63:AW$122,TRANSPOSE(SAP_Spreadsheet!$G$335:$BN$335))</f>
        <v>0</v>
      </c>
      <c r="AX37" s="378">
        <f t="array" aca="1" ref="AX37" ca="1">SUMPRODUCT(AX$63:AX$122,TRANSPOSE(SAP_Spreadsheet!$G$335:$BN$335))</f>
        <v>0</v>
      </c>
      <c r="AY37" s="378">
        <f t="array" aca="1" ref="AY37" ca="1">SUMPRODUCT(AY$63:AY$122,TRANSPOSE(SAP_Spreadsheet!$G$335:$BN$335))</f>
        <v>0</v>
      </c>
      <c r="AZ37" s="378">
        <f t="array" aca="1" ref="AZ37" ca="1">SUMPRODUCT(AZ$63:AZ$122,TRANSPOSE(SAP_Spreadsheet!$G$335:$BN$335))</f>
        <v>0</v>
      </c>
      <c r="BA37" s="378">
        <f t="array" aca="1" ref="BA37" ca="1">SUMPRODUCT(BA$63:BA$122,TRANSPOSE(SAP_Spreadsheet!$G$335:$BN$335))</f>
        <v>0</v>
      </c>
      <c r="BB37" s="378">
        <f t="array" aca="1" ref="BB37" ca="1">SUMPRODUCT(BB$63:BB$122,TRANSPOSE(SAP_Spreadsheet!$G$335:$BN$335))</f>
        <v>0</v>
      </c>
      <c r="BC37" s="378">
        <f t="array" aca="1" ref="BC37" ca="1">SUMPRODUCT(BC$63:BC$122,TRANSPOSE(SAP_Spreadsheet!$G$335:$BN$335))</f>
        <v>0</v>
      </c>
      <c r="BD37" s="378">
        <f t="array" aca="1" ref="BD37" ca="1">SUMPRODUCT(BD$63:BD$122,TRANSPOSE(SAP_Spreadsheet!$G$335:$BN$335))</f>
        <v>0</v>
      </c>
      <c r="BE37" s="378">
        <f t="array" aca="1" ref="BE37" ca="1">SUMPRODUCT(BE$63:BE$122,TRANSPOSE(SAP_Spreadsheet!$G$335:$BN$335))</f>
        <v>0</v>
      </c>
      <c r="BF37" s="378">
        <f t="array" aca="1" ref="BF37" ca="1">SUMPRODUCT(BF$63:BF$122,TRANSPOSE(SAP_Spreadsheet!$G$335:$BN$335))</f>
        <v>0</v>
      </c>
      <c r="BG37" s="378">
        <f t="array" aca="1" ref="BG37" ca="1">SUMPRODUCT(BG$63:BG$122,TRANSPOSE(SAP_Spreadsheet!$G$335:$BN$335))</f>
        <v>0</v>
      </c>
      <c r="BH37" s="378">
        <f t="array" aca="1" ref="BH37" ca="1">SUMPRODUCT(BH$63:BH$122,TRANSPOSE(SAP_Spreadsheet!$G$335:$BN$335))</f>
        <v>0</v>
      </c>
      <c r="BI37" s="378">
        <f t="array" aca="1" ref="BI37" ca="1">SUMPRODUCT(BI$63:BI$122,TRANSPOSE(SAP_Spreadsheet!$G$335:$BN$335))</f>
        <v>0</v>
      </c>
      <c r="BJ37" s="378">
        <f t="array" aca="1" ref="BJ37" ca="1">SUMPRODUCT(BJ$63:BJ$122,TRANSPOSE(SAP_Spreadsheet!$G$335:$BN$335))</f>
        <v>0</v>
      </c>
      <c r="BK37" s="378">
        <f t="array" aca="1" ref="BK37" ca="1">SUMPRODUCT(BK$63:BK$122,TRANSPOSE(SAP_Spreadsheet!$G$335:$BN$335))</f>
        <v>0</v>
      </c>
      <c r="BL37" s="378">
        <f t="array" aca="1" ref="BL37" ca="1">SUMPRODUCT(BL$63:BL$122,TRANSPOSE(SAP_Spreadsheet!$G$335:$BN$335))</f>
        <v>0</v>
      </c>
    </row>
    <row r="38" spans="1:65" s="379" customFormat="1" x14ac:dyDescent="0.15">
      <c r="A38" s="371"/>
      <c r="B38" s="371"/>
      <c r="D38" s="377" t="s">
        <v>462</v>
      </c>
      <c r="E38" s="378">
        <f t="array" aca="1" ref="E38" ca="1">SUMPRODUCT(E$63:E$122,TRANSPOSE(SAP_Spreadsheet!$G$240:$BN$240))</f>
        <v>0</v>
      </c>
      <c r="F38" s="378">
        <f t="array" aca="1" ref="F38" ca="1">SUMPRODUCT(F$63:F$122,TRANSPOSE(SAP_Spreadsheet!$G$240:$BN$240))</f>
        <v>0</v>
      </c>
      <c r="G38" s="378">
        <f t="array" aca="1" ref="G38" ca="1">SUMPRODUCT(G$63:G$122,TRANSPOSE(SAP_Spreadsheet!$G$240:$BN$240))</f>
        <v>0</v>
      </c>
      <c r="H38" s="378">
        <f t="array" aca="1" ref="H38" ca="1">SUMPRODUCT(H$63:H$122,TRANSPOSE(SAP_Spreadsheet!$G$240:$BN$240))</f>
        <v>0</v>
      </c>
      <c r="I38" s="378">
        <f t="array" aca="1" ref="I38" ca="1">SUMPRODUCT(I$63:I$122,TRANSPOSE(SAP_Spreadsheet!$G$240:$BN$240))</f>
        <v>0</v>
      </c>
      <c r="J38" s="378">
        <f t="array" aca="1" ref="J38" ca="1">SUMPRODUCT(J$63:J$122,TRANSPOSE(SAP_Spreadsheet!$G$240:$BN$240))</f>
        <v>0</v>
      </c>
      <c r="K38" s="378">
        <f t="array" aca="1" ref="K38" ca="1">SUMPRODUCT(K$63:K$122,TRANSPOSE(SAP_Spreadsheet!$G$240:$BN$240))</f>
        <v>0</v>
      </c>
      <c r="L38" s="378">
        <f t="array" aca="1" ref="L38" ca="1">SUMPRODUCT(L$63:L$122,TRANSPOSE(SAP_Spreadsheet!$G$240:$BN$240))</f>
        <v>0</v>
      </c>
      <c r="M38" s="378">
        <f t="array" aca="1" ref="M38" ca="1">SUMPRODUCT(M$63:M$122,TRANSPOSE(SAP_Spreadsheet!$G$240:$BN$240))</f>
        <v>0</v>
      </c>
      <c r="N38" s="378">
        <f t="array" aca="1" ref="N38" ca="1">SUMPRODUCT(N$63:N$122,TRANSPOSE(SAP_Spreadsheet!$G$240:$BN$240))</f>
        <v>0</v>
      </c>
      <c r="O38" s="378">
        <f t="array" aca="1" ref="O38" ca="1">SUMPRODUCT(O$63:O$122,TRANSPOSE(SAP_Spreadsheet!$G$240:$BN$240))</f>
        <v>0</v>
      </c>
      <c r="P38" s="378">
        <f t="array" aca="1" ref="P38" ca="1">SUMPRODUCT(P$63:P$122,TRANSPOSE(SAP_Spreadsheet!$G$240:$BN$240))</f>
        <v>0</v>
      </c>
      <c r="Q38" s="378">
        <f t="array" aca="1" ref="Q38" ca="1">SUMPRODUCT(Q$63:Q$122,TRANSPOSE(SAP_Spreadsheet!$G$240:$BN$240))</f>
        <v>0</v>
      </c>
      <c r="R38" s="378">
        <f t="array" aca="1" ref="R38" ca="1">SUMPRODUCT(R$63:R$122,TRANSPOSE(SAP_Spreadsheet!$G$240:$BN$240))</f>
        <v>0</v>
      </c>
      <c r="S38" s="378">
        <f t="array" aca="1" ref="S38" ca="1">SUMPRODUCT(S$63:S$122,TRANSPOSE(SAP_Spreadsheet!$G$240:$BN$240))</f>
        <v>0</v>
      </c>
      <c r="T38" s="378">
        <f t="array" aca="1" ref="T38" ca="1">SUMPRODUCT(T$63:T$122,TRANSPOSE(SAP_Spreadsheet!$G$240:$BN$240))</f>
        <v>0</v>
      </c>
      <c r="U38" s="378">
        <f t="array" aca="1" ref="U38" ca="1">SUMPRODUCT(U$63:U$122,TRANSPOSE(SAP_Spreadsheet!$G$240:$BN$240))</f>
        <v>0</v>
      </c>
      <c r="V38" s="378">
        <f t="array" aca="1" ref="V38" ca="1">SUMPRODUCT(V$63:V$122,TRANSPOSE(SAP_Spreadsheet!$G$240:$BN$240))</f>
        <v>0</v>
      </c>
      <c r="W38" s="378">
        <f t="array" aca="1" ref="W38" ca="1">SUMPRODUCT(W$63:W$122,TRANSPOSE(SAP_Spreadsheet!$G$240:$BN$240))</f>
        <v>0</v>
      </c>
      <c r="X38" s="378">
        <f t="array" aca="1" ref="X38" ca="1">SUMPRODUCT(X$63:X$122,TRANSPOSE(SAP_Spreadsheet!$G$240:$BN$240))</f>
        <v>0</v>
      </c>
      <c r="Y38" s="378">
        <f t="array" aca="1" ref="Y38" ca="1">SUMPRODUCT(Y$63:Y$122,TRANSPOSE(SAP_Spreadsheet!$G$240:$BN$240))</f>
        <v>0</v>
      </c>
      <c r="Z38" s="378">
        <f t="array" aca="1" ref="Z38" ca="1">SUMPRODUCT(Z$63:Z$122,TRANSPOSE(SAP_Spreadsheet!$G$240:$BN$240))</f>
        <v>0</v>
      </c>
      <c r="AA38" s="378">
        <f t="array" aca="1" ref="AA38" ca="1">SUMPRODUCT(AA$63:AA$122,TRANSPOSE(SAP_Spreadsheet!$G$240:$BN$240))</f>
        <v>0</v>
      </c>
      <c r="AB38" s="378">
        <f t="array" aca="1" ref="AB38" ca="1">SUMPRODUCT(AB$63:AB$122,TRANSPOSE(SAP_Spreadsheet!$G$240:$BN$240))</f>
        <v>0</v>
      </c>
      <c r="AC38" s="378">
        <f t="array" aca="1" ref="AC38" ca="1">SUMPRODUCT(AC$63:AC$122,TRANSPOSE(SAP_Spreadsheet!$G$240:$BN$240))</f>
        <v>0</v>
      </c>
      <c r="AD38" s="378">
        <f t="array" aca="1" ref="AD38" ca="1">SUMPRODUCT(AD$63:AD$122,TRANSPOSE(SAP_Spreadsheet!$G$240:$BN$240))</f>
        <v>0</v>
      </c>
      <c r="AE38" s="378">
        <f t="array" aca="1" ref="AE38" ca="1">SUMPRODUCT(AE$63:AE$122,TRANSPOSE(SAP_Spreadsheet!$G$240:$BN$240))</f>
        <v>0</v>
      </c>
      <c r="AF38" s="378">
        <f t="array" aca="1" ref="AF38" ca="1">SUMPRODUCT(AF$63:AF$122,TRANSPOSE(SAP_Spreadsheet!$G$240:$BN$240))</f>
        <v>0</v>
      </c>
      <c r="AG38" s="378">
        <f t="array" aca="1" ref="AG38" ca="1">SUMPRODUCT(AG$63:AG$122,TRANSPOSE(SAP_Spreadsheet!$G$240:$BN$240))</f>
        <v>0</v>
      </c>
      <c r="AH38" s="378">
        <f t="array" aca="1" ref="AH38" ca="1">SUMPRODUCT(AH$63:AH$122,TRANSPOSE(SAP_Spreadsheet!$G$240:$BN$240))</f>
        <v>0</v>
      </c>
      <c r="AI38" s="378">
        <f t="array" aca="1" ref="AI38" ca="1">SUMPRODUCT(AI$63:AI$122,TRANSPOSE(SAP_Spreadsheet!$G$240:$BN$240))</f>
        <v>0</v>
      </c>
      <c r="AJ38" s="378">
        <f t="array" aca="1" ref="AJ38" ca="1">SUMPRODUCT(AJ$63:AJ$122,TRANSPOSE(SAP_Spreadsheet!$G$240:$BN$240))</f>
        <v>0</v>
      </c>
      <c r="AK38" s="378">
        <f t="array" aca="1" ref="AK38" ca="1">SUMPRODUCT(AK$63:AK$122,TRANSPOSE(SAP_Spreadsheet!$G$240:$BN$240))</f>
        <v>0</v>
      </c>
      <c r="AL38" s="378">
        <f t="array" aca="1" ref="AL38" ca="1">SUMPRODUCT(AL$63:AL$122,TRANSPOSE(SAP_Spreadsheet!$G$240:$BN$240))</f>
        <v>0</v>
      </c>
      <c r="AM38" s="378">
        <f t="array" aca="1" ref="AM38" ca="1">SUMPRODUCT(AM$63:AM$122,TRANSPOSE(SAP_Spreadsheet!$G$240:$BN$240))</f>
        <v>0</v>
      </c>
      <c r="AN38" s="378">
        <f t="array" aca="1" ref="AN38" ca="1">SUMPRODUCT(AN$63:AN$122,TRANSPOSE(SAP_Spreadsheet!$G$240:$BN$240))</f>
        <v>0</v>
      </c>
      <c r="AO38" s="378">
        <f t="array" aca="1" ref="AO38" ca="1">SUMPRODUCT(AO$63:AO$122,TRANSPOSE(SAP_Spreadsheet!$G$240:$BN$240))</f>
        <v>0</v>
      </c>
      <c r="AP38" s="378">
        <f t="array" aca="1" ref="AP38" ca="1">SUMPRODUCT(AP$63:AP$122,TRANSPOSE(SAP_Spreadsheet!$G$240:$BN$240))</f>
        <v>0</v>
      </c>
      <c r="AQ38" s="378">
        <f t="array" aca="1" ref="AQ38" ca="1">SUMPRODUCT(AQ$63:AQ$122,TRANSPOSE(SAP_Spreadsheet!$G$240:$BN$240))</f>
        <v>0</v>
      </c>
      <c r="AR38" s="378">
        <f t="array" aca="1" ref="AR38" ca="1">SUMPRODUCT(AR$63:AR$122,TRANSPOSE(SAP_Spreadsheet!$G$240:$BN$240))</f>
        <v>0</v>
      </c>
      <c r="AS38" s="378">
        <f t="array" aca="1" ref="AS38" ca="1">SUMPRODUCT(AS$63:AS$122,TRANSPOSE(SAP_Spreadsheet!$G$240:$BN$240))</f>
        <v>0</v>
      </c>
      <c r="AT38" s="378">
        <f t="array" aca="1" ref="AT38" ca="1">SUMPRODUCT(AT$63:AT$122,TRANSPOSE(SAP_Spreadsheet!$G$240:$BN$240))</f>
        <v>0</v>
      </c>
      <c r="AU38" s="378">
        <f t="array" aca="1" ref="AU38" ca="1">SUMPRODUCT(AU$63:AU$122,TRANSPOSE(SAP_Spreadsheet!$G$240:$BN$240))</f>
        <v>0</v>
      </c>
      <c r="AV38" s="378">
        <f t="array" aca="1" ref="AV38" ca="1">SUMPRODUCT(AV$63:AV$122,TRANSPOSE(SAP_Spreadsheet!$G$240:$BN$240))</f>
        <v>0</v>
      </c>
      <c r="AW38" s="378">
        <f t="array" aca="1" ref="AW38" ca="1">SUMPRODUCT(AW$63:AW$122,TRANSPOSE(SAP_Spreadsheet!$G$240:$BN$240))</f>
        <v>0</v>
      </c>
      <c r="AX38" s="378">
        <f t="array" aca="1" ref="AX38" ca="1">SUMPRODUCT(AX$63:AX$122,TRANSPOSE(SAP_Spreadsheet!$G$240:$BN$240))</f>
        <v>0</v>
      </c>
      <c r="AY38" s="378">
        <f t="array" aca="1" ref="AY38" ca="1">SUMPRODUCT(AY$63:AY$122,TRANSPOSE(SAP_Spreadsheet!$G$240:$BN$240))</f>
        <v>0</v>
      </c>
      <c r="AZ38" s="378">
        <f t="array" aca="1" ref="AZ38" ca="1">SUMPRODUCT(AZ$63:AZ$122,TRANSPOSE(SAP_Spreadsheet!$G$240:$BN$240))</f>
        <v>0</v>
      </c>
      <c r="BA38" s="378">
        <f t="array" aca="1" ref="BA38" ca="1">SUMPRODUCT(BA$63:BA$122,TRANSPOSE(SAP_Spreadsheet!$G$240:$BN$240))</f>
        <v>0</v>
      </c>
      <c r="BB38" s="378">
        <f t="array" aca="1" ref="BB38" ca="1">SUMPRODUCT(BB$63:BB$122,TRANSPOSE(SAP_Spreadsheet!$G$240:$BN$240))</f>
        <v>0</v>
      </c>
      <c r="BC38" s="378">
        <f t="array" aca="1" ref="BC38" ca="1">SUMPRODUCT(BC$63:BC$122,TRANSPOSE(SAP_Spreadsheet!$G$240:$BN$240))</f>
        <v>0</v>
      </c>
      <c r="BD38" s="378">
        <f t="array" aca="1" ref="BD38" ca="1">SUMPRODUCT(BD$63:BD$122,TRANSPOSE(SAP_Spreadsheet!$G$240:$BN$240))</f>
        <v>0</v>
      </c>
      <c r="BE38" s="378">
        <f t="array" aca="1" ref="BE38" ca="1">SUMPRODUCT(BE$63:BE$122,TRANSPOSE(SAP_Spreadsheet!$G$240:$BN$240))</f>
        <v>0</v>
      </c>
      <c r="BF38" s="378">
        <f t="array" aca="1" ref="BF38" ca="1">SUMPRODUCT(BF$63:BF$122,TRANSPOSE(SAP_Spreadsheet!$G$240:$BN$240))</f>
        <v>0</v>
      </c>
      <c r="BG38" s="378">
        <f t="array" aca="1" ref="BG38" ca="1">SUMPRODUCT(BG$63:BG$122,TRANSPOSE(SAP_Spreadsheet!$G$240:$BN$240))</f>
        <v>0</v>
      </c>
      <c r="BH38" s="378">
        <f t="array" aca="1" ref="BH38" ca="1">SUMPRODUCT(BH$63:BH$122,TRANSPOSE(SAP_Spreadsheet!$G$240:$BN$240))</f>
        <v>0</v>
      </c>
      <c r="BI38" s="378">
        <f t="array" aca="1" ref="BI38" ca="1">SUMPRODUCT(BI$63:BI$122,TRANSPOSE(SAP_Spreadsheet!$G$240:$BN$240))</f>
        <v>0</v>
      </c>
      <c r="BJ38" s="378">
        <f t="array" aca="1" ref="BJ38" ca="1">SUMPRODUCT(BJ$63:BJ$122,TRANSPOSE(SAP_Spreadsheet!$G$240:$BN$240))</f>
        <v>0</v>
      </c>
      <c r="BK38" s="378">
        <f t="array" aca="1" ref="BK38" ca="1">SUMPRODUCT(BK$63:BK$122,TRANSPOSE(SAP_Spreadsheet!$G$240:$BN$240))</f>
        <v>0</v>
      </c>
      <c r="BL38" s="378">
        <f t="array" aca="1" ref="BL38" ca="1">SUMPRODUCT(BL$63:BL$122,TRANSPOSE(SAP_Spreadsheet!$G$240:$BN$240))</f>
        <v>0</v>
      </c>
    </row>
    <row r="39" spans="1:65" s="379" customFormat="1" x14ac:dyDescent="0.15">
      <c r="A39" s="371"/>
      <c r="B39" s="371"/>
      <c r="D39" s="377" t="s">
        <v>244</v>
      </c>
      <c r="E39" s="378">
        <f t="shared" ref="E39:BL39" ca="1" si="4">E9+E24+E37+E38</f>
        <v>0</v>
      </c>
      <c r="F39" s="378">
        <f t="shared" ca="1" si="4"/>
        <v>0</v>
      </c>
      <c r="G39" s="378">
        <f t="shared" ca="1" si="4"/>
        <v>0</v>
      </c>
      <c r="H39" s="378">
        <f t="shared" ca="1" si="4"/>
        <v>0</v>
      </c>
      <c r="I39" s="378">
        <f t="shared" ca="1" si="4"/>
        <v>0</v>
      </c>
      <c r="J39" s="378">
        <f t="shared" ca="1" si="4"/>
        <v>0</v>
      </c>
      <c r="K39" s="378">
        <f t="shared" ca="1" si="4"/>
        <v>0</v>
      </c>
      <c r="L39" s="378">
        <f t="shared" ca="1" si="4"/>
        <v>0</v>
      </c>
      <c r="M39" s="378">
        <f t="shared" ca="1" si="4"/>
        <v>0</v>
      </c>
      <c r="N39" s="378">
        <f t="shared" ca="1" si="4"/>
        <v>0</v>
      </c>
      <c r="O39" s="378">
        <f t="shared" ca="1" si="4"/>
        <v>0</v>
      </c>
      <c r="P39" s="378">
        <f t="shared" ca="1" si="4"/>
        <v>0</v>
      </c>
      <c r="Q39" s="378">
        <f t="shared" ca="1" si="4"/>
        <v>0</v>
      </c>
      <c r="R39" s="378">
        <f t="shared" ca="1" si="4"/>
        <v>0</v>
      </c>
      <c r="S39" s="378">
        <f t="shared" ca="1" si="4"/>
        <v>0</v>
      </c>
      <c r="T39" s="378">
        <f t="shared" ca="1" si="4"/>
        <v>0</v>
      </c>
      <c r="U39" s="378">
        <f t="shared" ca="1" si="4"/>
        <v>0</v>
      </c>
      <c r="V39" s="378">
        <f t="shared" ca="1" si="4"/>
        <v>0</v>
      </c>
      <c r="W39" s="378">
        <f t="shared" ca="1" si="4"/>
        <v>0</v>
      </c>
      <c r="X39" s="378">
        <f t="shared" ca="1" si="4"/>
        <v>0</v>
      </c>
      <c r="Y39" s="378">
        <f t="shared" ca="1" si="4"/>
        <v>0</v>
      </c>
      <c r="Z39" s="378">
        <f t="shared" ca="1" si="4"/>
        <v>0</v>
      </c>
      <c r="AA39" s="378">
        <f t="shared" ca="1" si="4"/>
        <v>0</v>
      </c>
      <c r="AB39" s="378">
        <f t="shared" ca="1" si="4"/>
        <v>0</v>
      </c>
      <c r="AC39" s="378">
        <f t="shared" ca="1" si="4"/>
        <v>0</v>
      </c>
      <c r="AD39" s="378">
        <f t="shared" ca="1" si="4"/>
        <v>0</v>
      </c>
      <c r="AE39" s="378">
        <f t="shared" ca="1" si="4"/>
        <v>0</v>
      </c>
      <c r="AF39" s="378">
        <f t="shared" ca="1" si="4"/>
        <v>0</v>
      </c>
      <c r="AG39" s="378">
        <f t="shared" ca="1" si="4"/>
        <v>0</v>
      </c>
      <c r="AH39" s="378">
        <f t="shared" ca="1" si="4"/>
        <v>0</v>
      </c>
      <c r="AI39" s="378">
        <f t="shared" ca="1" si="4"/>
        <v>0</v>
      </c>
      <c r="AJ39" s="378">
        <f t="shared" ca="1" si="4"/>
        <v>0</v>
      </c>
      <c r="AK39" s="378">
        <f t="shared" ca="1" si="4"/>
        <v>0</v>
      </c>
      <c r="AL39" s="378">
        <f t="shared" ca="1" si="4"/>
        <v>0</v>
      </c>
      <c r="AM39" s="378">
        <f t="shared" ca="1" si="4"/>
        <v>0</v>
      </c>
      <c r="AN39" s="378">
        <f t="shared" ca="1" si="4"/>
        <v>0</v>
      </c>
      <c r="AO39" s="378">
        <f t="shared" ca="1" si="4"/>
        <v>0</v>
      </c>
      <c r="AP39" s="378">
        <f t="shared" ca="1" si="4"/>
        <v>0</v>
      </c>
      <c r="AQ39" s="378">
        <f t="shared" ca="1" si="4"/>
        <v>0</v>
      </c>
      <c r="AR39" s="378">
        <f t="shared" ca="1" si="4"/>
        <v>0</v>
      </c>
      <c r="AS39" s="378">
        <f t="shared" ca="1" si="4"/>
        <v>0</v>
      </c>
      <c r="AT39" s="378">
        <f t="shared" ca="1" si="4"/>
        <v>0</v>
      </c>
      <c r="AU39" s="378">
        <f t="shared" ca="1" si="4"/>
        <v>0</v>
      </c>
      <c r="AV39" s="378">
        <f t="shared" ca="1" si="4"/>
        <v>0</v>
      </c>
      <c r="AW39" s="378">
        <f t="shared" ca="1" si="4"/>
        <v>0</v>
      </c>
      <c r="AX39" s="378">
        <f t="shared" ca="1" si="4"/>
        <v>0</v>
      </c>
      <c r="AY39" s="378">
        <f t="shared" ca="1" si="4"/>
        <v>0</v>
      </c>
      <c r="AZ39" s="378">
        <f t="shared" ca="1" si="4"/>
        <v>0</v>
      </c>
      <c r="BA39" s="378">
        <f t="shared" ca="1" si="4"/>
        <v>0</v>
      </c>
      <c r="BB39" s="378">
        <f t="shared" ca="1" si="4"/>
        <v>0</v>
      </c>
      <c r="BC39" s="378">
        <f t="shared" ca="1" si="4"/>
        <v>0</v>
      </c>
      <c r="BD39" s="378">
        <f t="shared" ca="1" si="4"/>
        <v>0</v>
      </c>
      <c r="BE39" s="378">
        <f t="shared" ca="1" si="4"/>
        <v>0</v>
      </c>
      <c r="BF39" s="378">
        <f t="shared" ca="1" si="4"/>
        <v>0</v>
      </c>
      <c r="BG39" s="378">
        <f t="shared" ca="1" si="4"/>
        <v>0</v>
      </c>
      <c r="BH39" s="378">
        <f t="shared" ca="1" si="4"/>
        <v>0</v>
      </c>
      <c r="BI39" s="378">
        <f t="shared" ca="1" si="4"/>
        <v>0</v>
      </c>
      <c r="BJ39" s="378">
        <f t="shared" ca="1" si="4"/>
        <v>0</v>
      </c>
      <c r="BK39" s="378">
        <f t="shared" ca="1" si="4"/>
        <v>0</v>
      </c>
      <c r="BL39" s="378">
        <f t="shared" ca="1" si="4"/>
        <v>0</v>
      </c>
    </row>
    <row r="40" spans="1:65" s="379" customFormat="1" x14ac:dyDescent="0.15">
      <c r="A40" s="371"/>
      <c r="B40" s="371"/>
      <c r="D40" s="377"/>
      <c r="E40" s="378"/>
      <c r="F40" s="378"/>
      <c r="G40" s="378"/>
      <c r="H40" s="378"/>
      <c r="I40" s="378"/>
      <c r="J40" s="378"/>
      <c r="K40" s="378"/>
      <c r="L40" s="378"/>
      <c r="M40" s="378"/>
      <c r="N40" s="378"/>
      <c r="O40" s="378"/>
      <c r="P40" s="378"/>
      <c r="Q40" s="378"/>
      <c r="R40" s="378"/>
      <c r="S40" s="378"/>
      <c r="T40" s="378"/>
      <c r="U40" s="378"/>
      <c r="V40" s="378"/>
      <c r="W40" s="378"/>
      <c r="X40" s="378"/>
      <c r="Y40" s="378"/>
      <c r="Z40" s="378"/>
      <c r="AA40" s="378"/>
      <c r="AB40" s="378"/>
      <c r="AC40" s="378"/>
      <c r="AD40" s="378"/>
      <c r="AE40" s="378"/>
      <c r="AF40" s="378"/>
      <c r="AG40" s="378"/>
      <c r="AH40" s="378"/>
      <c r="AI40" s="378"/>
      <c r="AJ40" s="378"/>
      <c r="AK40" s="378"/>
      <c r="AL40" s="378"/>
      <c r="AM40" s="378"/>
      <c r="AN40" s="378"/>
      <c r="AO40" s="378"/>
      <c r="AP40" s="378"/>
      <c r="AQ40" s="378"/>
      <c r="AR40" s="378"/>
      <c r="AS40" s="378"/>
      <c r="AT40" s="378"/>
      <c r="AU40" s="378"/>
      <c r="AV40" s="378"/>
      <c r="AW40" s="378"/>
      <c r="AX40" s="378"/>
      <c r="AY40" s="378"/>
      <c r="AZ40" s="378"/>
      <c r="BA40" s="378"/>
      <c r="BB40" s="378"/>
      <c r="BC40" s="378"/>
      <c r="BD40" s="378"/>
      <c r="BE40" s="378"/>
      <c r="BF40" s="378"/>
      <c r="BG40" s="378"/>
      <c r="BH40" s="378"/>
      <c r="BI40" s="378"/>
      <c r="BJ40" s="378"/>
      <c r="BK40" s="378"/>
      <c r="BL40" s="378"/>
    </row>
    <row r="41" spans="1:65" s="389" customFormat="1" x14ac:dyDescent="0.15">
      <c r="A41" s="375"/>
      <c r="B41" s="375"/>
      <c r="D41" s="389" t="s">
        <v>463</v>
      </c>
      <c r="E41" s="390">
        <f t="shared" ref="E41:BL41" ca="1" si="5">E9+E24+E37-E39</f>
        <v>0</v>
      </c>
      <c r="F41" s="390">
        <f t="shared" ca="1" si="5"/>
        <v>0</v>
      </c>
      <c r="G41" s="390">
        <f t="shared" ca="1" si="5"/>
        <v>0</v>
      </c>
      <c r="H41" s="390">
        <f t="shared" ca="1" si="5"/>
        <v>0</v>
      </c>
      <c r="I41" s="390">
        <f t="shared" ca="1" si="5"/>
        <v>0</v>
      </c>
      <c r="J41" s="390">
        <f t="shared" ca="1" si="5"/>
        <v>0</v>
      </c>
      <c r="K41" s="390">
        <f t="shared" ca="1" si="5"/>
        <v>0</v>
      </c>
      <c r="L41" s="390">
        <f t="shared" ca="1" si="5"/>
        <v>0</v>
      </c>
      <c r="M41" s="390">
        <f t="shared" ca="1" si="5"/>
        <v>0</v>
      </c>
      <c r="N41" s="390">
        <f t="shared" ca="1" si="5"/>
        <v>0</v>
      </c>
      <c r="O41" s="390">
        <f t="shared" ca="1" si="5"/>
        <v>0</v>
      </c>
      <c r="P41" s="390">
        <f t="shared" ca="1" si="5"/>
        <v>0</v>
      </c>
      <c r="Q41" s="390">
        <f t="shared" ca="1" si="5"/>
        <v>0</v>
      </c>
      <c r="R41" s="390">
        <f t="shared" ca="1" si="5"/>
        <v>0</v>
      </c>
      <c r="S41" s="390">
        <f t="shared" ca="1" si="5"/>
        <v>0</v>
      </c>
      <c r="T41" s="390">
        <f t="shared" ca="1" si="5"/>
        <v>0</v>
      </c>
      <c r="U41" s="390">
        <f t="shared" ca="1" si="5"/>
        <v>0</v>
      </c>
      <c r="V41" s="390">
        <f t="shared" ca="1" si="5"/>
        <v>0</v>
      </c>
      <c r="W41" s="390">
        <f t="shared" ca="1" si="5"/>
        <v>0</v>
      </c>
      <c r="X41" s="390">
        <f t="shared" ca="1" si="5"/>
        <v>0</v>
      </c>
      <c r="Y41" s="390">
        <f t="shared" ca="1" si="5"/>
        <v>0</v>
      </c>
      <c r="Z41" s="390">
        <f t="shared" ca="1" si="5"/>
        <v>0</v>
      </c>
      <c r="AA41" s="390">
        <f t="shared" ca="1" si="5"/>
        <v>0</v>
      </c>
      <c r="AB41" s="390">
        <f t="shared" ca="1" si="5"/>
        <v>0</v>
      </c>
      <c r="AC41" s="390">
        <f t="shared" ca="1" si="5"/>
        <v>0</v>
      </c>
      <c r="AD41" s="390">
        <f t="shared" ca="1" si="5"/>
        <v>0</v>
      </c>
      <c r="AE41" s="390">
        <f t="shared" ca="1" si="5"/>
        <v>0</v>
      </c>
      <c r="AF41" s="390">
        <f t="shared" ca="1" si="5"/>
        <v>0</v>
      </c>
      <c r="AG41" s="390">
        <f t="shared" ca="1" si="5"/>
        <v>0</v>
      </c>
      <c r="AH41" s="390">
        <f t="shared" ca="1" si="5"/>
        <v>0</v>
      </c>
      <c r="AI41" s="390">
        <f t="shared" ca="1" si="5"/>
        <v>0</v>
      </c>
      <c r="AJ41" s="390">
        <f t="shared" ca="1" si="5"/>
        <v>0</v>
      </c>
      <c r="AK41" s="390">
        <f t="shared" ca="1" si="5"/>
        <v>0</v>
      </c>
      <c r="AL41" s="390">
        <f t="shared" ca="1" si="5"/>
        <v>0</v>
      </c>
      <c r="AM41" s="390">
        <f t="shared" ca="1" si="5"/>
        <v>0</v>
      </c>
      <c r="AN41" s="390">
        <f t="shared" ca="1" si="5"/>
        <v>0</v>
      </c>
      <c r="AO41" s="390">
        <f t="shared" ca="1" si="5"/>
        <v>0</v>
      </c>
      <c r="AP41" s="390">
        <f t="shared" ca="1" si="5"/>
        <v>0</v>
      </c>
      <c r="AQ41" s="390">
        <f t="shared" ca="1" si="5"/>
        <v>0</v>
      </c>
      <c r="AR41" s="390">
        <f t="shared" ca="1" si="5"/>
        <v>0</v>
      </c>
      <c r="AS41" s="390">
        <f t="shared" ca="1" si="5"/>
        <v>0</v>
      </c>
      <c r="AT41" s="390">
        <f t="shared" ca="1" si="5"/>
        <v>0</v>
      </c>
      <c r="AU41" s="390">
        <f t="shared" ca="1" si="5"/>
        <v>0</v>
      </c>
      <c r="AV41" s="390">
        <f t="shared" ca="1" si="5"/>
        <v>0</v>
      </c>
      <c r="AW41" s="390">
        <f t="shared" ca="1" si="5"/>
        <v>0</v>
      </c>
      <c r="AX41" s="390">
        <f t="shared" ca="1" si="5"/>
        <v>0</v>
      </c>
      <c r="AY41" s="390">
        <f t="shared" ca="1" si="5"/>
        <v>0</v>
      </c>
      <c r="AZ41" s="390">
        <f t="shared" ca="1" si="5"/>
        <v>0</v>
      </c>
      <c r="BA41" s="390">
        <f t="shared" ca="1" si="5"/>
        <v>0</v>
      </c>
      <c r="BB41" s="390">
        <f t="shared" ca="1" si="5"/>
        <v>0</v>
      </c>
      <c r="BC41" s="390">
        <f t="shared" ca="1" si="5"/>
        <v>0</v>
      </c>
      <c r="BD41" s="390">
        <f t="shared" ca="1" si="5"/>
        <v>0</v>
      </c>
      <c r="BE41" s="390">
        <f t="shared" ca="1" si="5"/>
        <v>0</v>
      </c>
      <c r="BF41" s="390">
        <f t="shared" ca="1" si="5"/>
        <v>0</v>
      </c>
      <c r="BG41" s="390">
        <f t="shared" ca="1" si="5"/>
        <v>0</v>
      </c>
      <c r="BH41" s="390">
        <f t="shared" ca="1" si="5"/>
        <v>0</v>
      </c>
      <c r="BI41" s="390">
        <f t="shared" ca="1" si="5"/>
        <v>0</v>
      </c>
      <c r="BJ41" s="390">
        <f t="shared" ca="1" si="5"/>
        <v>0</v>
      </c>
      <c r="BK41" s="390">
        <f t="shared" ca="1" si="5"/>
        <v>0</v>
      </c>
      <c r="BL41" s="390">
        <f t="shared" ca="1" si="5"/>
        <v>0</v>
      </c>
    </row>
    <row r="42" spans="1:65" s="379" customFormat="1" x14ac:dyDescent="0.15">
      <c r="A42" s="371"/>
      <c r="B42" s="371"/>
      <c r="D42" s="377" t="s">
        <v>464</v>
      </c>
    </row>
    <row r="43" spans="1:65" s="379" customFormat="1" x14ac:dyDescent="0.15">
      <c r="A43" s="371"/>
      <c r="B43" s="371"/>
      <c r="D43" s="379" t="s">
        <v>411</v>
      </c>
      <c r="E43" s="382">
        <f t="array" aca="1" ref="E43" ca="1">SUMPRODUCT(E$63:E$122,TRANSPOSE(SAP_Spreadsheet!$G$181:$BN$181))</f>
        <v>0</v>
      </c>
      <c r="F43" s="382">
        <f t="array" aca="1" ref="F43" ca="1">SUMPRODUCT(F$63:F$122,TRANSPOSE(SAP_Spreadsheet!$G$181:$BN$181))</f>
        <v>0</v>
      </c>
      <c r="G43" s="382">
        <f t="array" aca="1" ref="G43" ca="1">SUMPRODUCT(G$63:G$122,TRANSPOSE(SAP_Spreadsheet!$G$181:$BN$181))</f>
        <v>0</v>
      </c>
      <c r="H43" s="382">
        <f t="array" aca="1" ref="H43" ca="1">SUMPRODUCT(H$63:H$122,TRANSPOSE(SAP_Spreadsheet!$G$181:$BN$181))</f>
        <v>0</v>
      </c>
      <c r="I43" s="382">
        <f t="array" aca="1" ref="I43" ca="1">SUMPRODUCT(I$63:I$122,TRANSPOSE(SAP_Spreadsheet!$G$181:$BN$181))</f>
        <v>0</v>
      </c>
      <c r="J43" s="382">
        <f t="array" aca="1" ref="J43" ca="1">SUMPRODUCT(J$63:J$122,TRANSPOSE(SAP_Spreadsheet!$G$181:$BN$181))</f>
        <v>0</v>
      </c>
      <c r="K43" s="382">
        <f t="array" aca="1" ref="K43" ca="1">SUMPRODUCT(K$63:K$122,TRANSPOSE(SAP_Spreadsheet!$G$181:$BN$181))</f>
        <v>0</v>
      </c>
      <c r="L43" s="382">
        <f t="array" aca="1" ref="L43" ca="1">SUMPRODUCT(L$63:L$122,TRANSPOSE(SAP_Spreadsheet!$G$181:$BN$181))</f>
        <v>0</v>
      </c>
      <c r="M43" s="382">
        <f t="array" aca="1" ref="M43" ca="1">SUMPRODUCT(M$63:M$122,TRANSPOSE(SAP_Spreadsheet!$G$181:$BN$181))</f>
        <v>0</v>
      </c>
      <c r="N43" s="382">
        <f t="array" aca="1" ref="N43" ca="1">SUMPRODUCT(N$63:N$122,TRANSPOSE(SAP_Spreadsheet!$G$181:$BN$181))</f>
        <v>0</v>
      </c>
      <c r="O43" s="382">
        <f t="array" aca="1" ref="O43" ca="1">SUMPRODUCT(O$63:O$122,TRANSPOSE(SAP_Spreadsheet!$G$181:$BN$181))</f>
        <v>0</v>
      </c>
      <c r="P43" s="382">
        <f t="array" aca="1" ref="P43" ca="1">SUMPRODUCT(P$63:P$122,TRANSPOSE(SAP_Spreadsheet!$G$181:$BN$181))</f>
        <v>0</v>
      </c>
      <c r="Q43" s="382">
        <f t="array" aca="1" ref="Q43" ca="1">SUMPRODUCT(Q$63:Q$122,TRANSPOSE(SAP_Spreadsheet!$G$181:$BN$181))</f>
        <v>0</v>
      </c>
      <c r="R43" s="382">
        <f t="array" aca="1" ref="R43" ca="1">SUMPRODUCT(R$63:R$122,TRANSPOSE(SAP_Spreadsheet!$G$181:$BN$181))</f>
        <v>0</v>
      </c>
      <c r="S43" s="382">
        <f t="array" aca="1" ref="S43" ca="1">SUMPRODUCT(S$63:S$122,TRANSPOSE(SAP_Spreadsheet!$G$181:$BN$181))</f>
        <v>0</v>
      </c>
      <c r="T43" s="382">
        <f t="array" aca="1" ref="T43" ca="1">SUMPRODUCT(T$63:T$122,TRANSPOSE(SAP_Spreadsheet!$G$181:$BN$181))</f>
        <v>0</v>
      </c>
      <c r="U43" s="382">
        <f t="array" aca="1" ref="U43" ca="1">SUMPRODUCT(U$63:U$122,TRANSPOSE(SAP_Spreadsheet!$G$181:$BN$181))</f>
        <v>0</v>
      </c>
      <c r="V43" s="382">
        <f t="array" aca="1" ref="V43" ca="1">SUMPRODUCT(V$63:V$122,TRANSPOSE(SAP_Spreadsheet!$G$181:$BN$181))</f>
        <v>0</v>
      </c>
      <c r="W43" s="382">
        <f t="array" aca="1" ref="W43" ca="1">SUMPRODUCT(W$63:W$122,TRANSPOSE(SAP_Spreadsheet!$G$181:$BN$181))</f>
        <v>0</v>
      </c>
      <c r="X43" s="382">
        <f t="array" aca="1" ref="X43" ca="1">SUMPRODUCT(X$63:X$122,TRANSPOSE(SAP_Spreadsheet!$G$181:$BN$181))</f>
        <v>0</v>
      </c>
      <c r="Y43" s="382">
        <f t="array" aca="1" ref="Y43" ca="1">SUMPRODUCT(Y$63:Y$122,TRANSPOSE(SAP_Spreadsheet!$G$181:$BN$181))</f>
        <v>0</v>
      </c>
      <c r="Z43" s="382">
        <f t="array" aca="1" ref="Z43" ca="1">SUMPRODUCT(Z$63:Z$122,TRANSPOSE(SAP_Spreadsheet!$G$181:$BN$181))</f>
        <v>0</v>
      </c>
      <c r="AA43" s="382">
        <f t="array" aca="1" ref="AA43" ca="1">SUMPRODUCT(AA$63:AA$122,TRANSPOSE(SAP_Spreadsheet!$G$181:$BN$181))</f>
        <v>0</v>
      </c>
      <c r="AB43" s="382">
        <f t="array" aca="1" ref="AB43" ca="1">SUMPRODUCT(AB$63:AB$122,TRANSPOSE(SAP_Spreadsheet!$G$181:$BN$181))</f>
        <v>0</v>
      </c>
      <c r="AC43" s="382">
        <f t="array" aca="1" ref="AC43" ca="1">SUMPRODUCT(AC$63:AC$122,TRANSPOSE(SAP_Spreadsheet!$G$181:$BN$181))</f>
        <v>0</v>
      </c>
      <c r="AD43" s="382">
        <f t="array" aca="1" ref="AD43" ca="1">SUMPRODUCT(AD$63:AD$122,TRANSPOSE(SAP_Spreadsheet!$G$181:$BN$181))</f>
        <v>0</v>
      </c>
      <c r="AE43" s="382">
        <f t="array" aca="1" ref="AE43" ca="1">SUMPRODUCT(AE$63:AE$122,TRANSPOSE(SAP_Spreadsheet!$G$181:$BN$181))</f>
        <v>0</v>
      </c>
      <c r="AF43" s="382">
        <f t="array" aca="1" ref="AF43" ca="1">SUMPRODUCT(AF$63:AF$122,TRANSPOSE(SAP_Spreadsheet!$G$181:$BN$181))</f>
        <v>0</v>
      </c>
      <c r="AG43" s="382">
        <f t="array" aca="1" ref="AG43" ca="1">SUMPRODUCT(AG$63:AG$122,TRANSPOSE(SAP_Spreadsheet!$G$181:$BN$181))</f>
        <v>0</v>
      </c>
      <c r="AH43" s="382">
        <f t="array" aca="1" ref="AH43" ca="1">SUMPRODUCT(AH$63:AH$122,TRANSPOSE(SAP_Spreadsheet!$G$181:$BN$181))</f>
        <v>0</v>
      </c>
      <c r="AI43" s="382">
        <f t="array" aca="1" ref="AI43" ca="1">SUMPRODUCT(AI$63:AI$122,TRANSPOSE(SAP_Spreadsheet!$G$181:$BN$181))</f>
        <v>0</v>
      </c>
      <c r="AJ43" s="382">
        <f t="array" aca="1" ref="AJ43" ca="1">SUMPRODUCT(AJ$63:AJ$122,TRANSPOSE(SAP_Spreadsheet!$G$181:$BN$181))</f>
        <v>0</v>
      </c>
      <c r="AK43" s="382">
        <f t="array" aca="1" ref="AK43" ca="1">SUMPRODUCT(AK$63:AK$122,TRANSPOSE(SAP_Spreadsheet!$G$181:$BN$181))</f>
        <v>0</v>
      </c>
      <c r="AL43" s="382">
        <f t="array" aca="1" ref="AL43" ca="1">SUMPRODUCT(AL$63:AL$122,TRANSPOSE(SAP_Spreadsheet!$G$181:$BN$181))</f>
        <v>0</v>
      </c>
      <c r="AM43" s="382">
        <f t="array" aca="1" ref="AM43" ca="1">SUMPRODUCT(AM$63:AM$122,TRANSPOSE(SAP_Spreadsheet!$G$181:$BN$181))</f>
        <v>0</v>
      </c>
      <c r="AN43" s="382">
        <f t="array" aca="1" ref="AN43" ca="1">SUMPRODUCT(AN$63:AN$122,TRANSPOSE(SAP_Spreadsheet!$G$181:$BN$181))</f>
        <v>0</v>
      </c>
      <c r="AO43" s="382">
        <f t="array" aca="1" ref="AO43" ca="1">SUMPRODUCT(AO$63:AO$122,TRANSPOSE(SAP_Spreadsheet!$G$181:$BN$181))</f>
        <v>0</v>
      </c>
      <c r="AP43" s="382">
        <f t="array" aca="1" ref="AP43" ca="1">SUMPRODUCT(AP$63:AP$122,TRANSPOSE(SAP_Spreadsheet!$G$181:$BN$181))</f>
        <v>0</v>
      </c>
      <c r="AQ43" s="382">
        <f t="array" aca="1" ref="AQ43" ca="1">SUMPRODUCT(AQ$63:AQ$122,TRANSPOSE(SAP_Spreadsheet!$G$181:$BN$181))</f>
        <v>0</v>
      </c>
      <c r="AR43" s="382">
        <f t="array" aca="1" ref="AR43" ca="1">SUMPRODUCT(AR$63:AR$122,TRANSPOSE(SAP_Spreadsheet!$G$181:$BN$181))</f>
        <v>0</v>
      </c>
      <c r="AS43" s="382">
        <f t="array" aca="1" ref="AS43" ca="1">SUMPRODUCT(AS$63:AS$122,TRANSPOSE(SAP_Spreadsheet!$G$181:$BN$181))</f>
        <v>0</v>
      </c>
      <c r="AT43" s="382">
        <f t="array" aca="1" ref="AT43" ca="1">SUMPRODUCT(AT$63:AT$122,TRANSPOSE(SAP_Spreadsheet!$G$181:$BN$181))</f>
        <v>0</v>
      </c>
      <c r="AU43" s="382">
        <f t="array" aca="1" ref="AU43" ca="1">SUMPRODUCT(AU$63:AU$122,TRANSPOSE(SAP_Spreadsheet!$G$181:$BN$181))</f>
        <v>0</v>
      </c>
      <c r="AV43" s="382">
        <f t="array" aca="1" ref="AV43" ca="1">SUMPRODUCT(AV$63:AV$122,TRANSPOSE(SAP_Spreadsheet!$G$181:$BN$181))</f>
        <v>0</v>
      </c>
      <c r="AW43" s="382">
        <f t="array" aca="1" ref="AW43" ca="1">SUMPRODUCT(AW$63:AW$122,TRANSPOSE(SAP_Spreadsheet!$G$181:$BN$181))</f>
        <v>0</v>
      </c>
      <c r="AX43" s="382">
        <f t="array" aca="1" ref="AX43" ca="1">SUMPRODUCT(AX$63:AX$122,TRANSPOSE(SAP_Spreadsheet!$G$181:$BN$181))</f>
        <v>0</v>
      </c>
      <c r="AY43" s="382">
        <f t="array" aca="1" ref="AY43" ca="1">SUMPRODUCT(AY$63:AY$122,TRANSPOSE(SAP_Spreadsheet!$G$181:$BN$181))</f>
        <v>0</v>
      </c>
      <c r="AZ43" s="382">
        <f t="array" aca="1" ref="AZ43" ca="1">SUMPRODUCT(AZ$63:AZ$122,TRANSPOSE(SAP_Spreadsheet!$G$181:$BN$181))</f>
        <v>0</v>
      </c>
      <c r="BA43" s="382">
        <f t="array" aca="1" ref="BA43" ca="1">SUMPRODUCT(BA$63:BA$122,TRANSPOSE(SAP_Spreadsheet!$G$181:$BN$181))</f>
        <v>0</v>
      </c>
      <c r="BB43" s="382">
        <f t="array" aca="1" ref="BB43" ca="1">SUMPRODUCT(BB$63:BB$122,TRANSPOSE(SAP_Spreadsheet!$G$181:$BN$181))</f>
        <v>0</v>
      </c>
      <c r="BC43" s="382">
        <f t="array" aca="1" ref="BC43" ca="1">SUMPRODUCT(BC$63:BC$122,TRANSPOSE(SAP_Spreadsheet!$G$181:$BN$181))</f>
        <v>0</v>
      </c>
      <c r="BD43" s="382">
        <f t="array" aca="1" ref="BD43" ca="1">SUMPRODUCT(BD$63:BD$122,TRANSPOSE(SAP_Spreadsheet!$G$181:$BN$181))</f>
        <v>0</v>
      </c>
      <c r="BE43" s="382">
        <f t="array" aca="1" ref="BE43" ca="1">SUMPRODUCT(BE$63:BE$122,TRANSPOSE(SAP_Spreadsheet!$G$181:$BN$181))</f>
        <v>0</v>
      </c>
      <c r="BF43" s="382">
        <f t="array" aca="1" ref="BF43" ca="1">SUMPRODUCT(BF$63:BF$122,TRANSPOSE(SAP_Spreadsheet!$G$181:$BN$181))</f>
        <v>0</v>
      </c>
      <c r="BG43" s="382">
        <f t="array" aca="1" ref="BG43" ca="1">SUMPRODUCT(BG$63:BG$122,TRANSPOSE(SAP_Spreadsheet!$G$181:$BN$181))</f>
        <v>0</v>
      </c>
      <c r="BH43" s="382">
        <f t="array" aca="1" ref="BH43" ca="1">SUMPRODUCT(BH$63:BH$122,TRANSPOSE(SAP_Spreadsheet!$G$181:$BN$181))</f>
        <v>0</v>
      </c>
      <c r="BI43" s="382">
        <f t="array" aca="1" ref="BI43" ca="1">SUMPRODUCT(BI$63:BI$122,TRANSPOSE(SAP_Spreadsheet!$G$181:$BN$181))</f>
        <v>0</v>
      </c>
      <c r="BJ43" s="382">
        <f t="array" aca="1" ref="BJ43" ca="1">SUMPRODUCT(BJ$63:BJ$122,TRANSPOSE(SAP_Spreadsheet!$G$181:$BN$181))</f>
        <v>0</v>
      </c>
      <c r="BK43" s="382">
        <f t="array" aca="1" ref="BK43" ca="1">SUMPRODUCT(BK$63:BK$122,TRANSPOSE(SAP_Spreadsheet!$G$181:$BN$181))</f>
        <v>0</v>
      </c>
      <c r="BL43" s="382">
        <f t="array" aca="1" ref="BL43" ca="1">SUMPRODUCT(BL$63:BL$122,TRANSPOSE(SAP_Spreadsheet!$G$181:$BN$181))</f>
        <v>0</v>
      </c>
      <c r="BM43" s="378"/>
    </row>
    <row r="44" spans="1:65" s="379" customFormat="1" x14ac:dyDescent="0.15">
      <c r="A44" s="371"/>
      <c r="B44" s="371"/>
      <c r="D44" s="379" t="s">
        <v>412</v>
      </c>
      <c r="E44" s="382">
        <f t="array" aca="1" ref="E44" ca="1">SUMPRODUCT(E$63:E$122,TRANSPOSE(SAP_Spreadsheet!$G$182:$BN$182))</f>
        <v>0</v>
      </c>
      <c r="F44" s="382">
        <f t="array" aca="1" ref="F44" ca="1">SUMPRODUCT(F$63:F$122,TRANSPOSE(SAP_Spreadsheet!$G$182:$BN$182))</f>
        <v>0</v>
      </c>
      <c r="G44" s="382">
        <f t="array" aca="1" ref="G44" ca="1">SUMPRODUCT(G$63:G$122,TRANSPOSE(SAP_Spreadsheet!$G$182:$BN$182))</f>
        <v>0</v>
      </c>
      <c r="H44" s="382">
        <f t="array" aca="1" ref="H44" ca="1">SUMPRODUCT(H$63:H$122,TRANSPOSE(SAP_Spreadsheet!$G$182:$BN$182))</f>
        <v>0</v>
      </c>
      <c r="I44" s="382">
        <f t="array" aca="1" ref="I44" ca="1">SUMPRODUCT(I$63:I$122,TRANSPOSE(SAP_Spreadsheet!$G$182:$BN$182))</f>
        <v>0</v>
      </c>
      <c r="J44" s="382">
        <f t="array" aca="1" ref="J44" ca="1">SUMPRODUCT(J$63:J$122,TRANSPOSE(SAP_Spreadsheet!$G$182:$BN$182))</f>
        <v>0</v>
      </c>
      <c r="K44" s="382">
        <f t="array" aca="1" ref="K44" ca="1">SUMPRODUCT(K$63:K$122,TRANSPOSE(SAP_Spreadsheet!$G$182:$BN$182))</f>
        <v>0</v>
      </c>
      <c r="L44" s="382">
        <f t="array" aca="1" ref="L44" ca="1">SUMPRODUCT(L$63:L$122,TRANSPOSE(SAP_Spreadsheet!$G$182:$BN$182))</f>
        <v>0</v>
      </c>
      <c r="M44" s="382">
        <f t="array" aca="1" ref="M44" ca="1">SUMPRODUCT(M$63:M$122,TRANSPOSE(SAP_Spreadsheet!$G$182:$BN$182))</f>
        <v>0</v>
      </c>
      <c r="N44" s="382">
        <f t="array" aca="1" ref="N44" ca="1">SUMPRODUCT(N$63:N$122,TRANSPOSE(SAP_Spreadsheet!$G$182:$BN$182))</f>
        <v>0</v>
      </c>
      <c r="O44" s="382">
        <f t="array" aca="1" ref="O44" ca="1">SUMPRODUCT(O$63:O$122,TRANSPOSE(SAP_Spreadsheet!$G$182:$BN$182))</f>
        <v>0</v>
      </c>
      <c r="P44" s="382">
        <f t="array" aca="1" ref="P44" ca="1">SUMPRODUCT(P$63:P$122,TRANSPOSE(SAP_Spreadsheet!$G$182:$BN$182))</f>
        <v>0</v>
      </c>
      <c r="Q44" s="382">
        <f t="array" aca="1" ref="Q44" ca="1">SUMPRODUCT(Q$63:Q$122,TRANSPOSE(SAP_Spreadsheet!$G$182:$BN$182))</f>
        <v>0</v>
      </c>
      <c r="R44" s="382">
        <f t="array" aca="1" ref="R44" ca="1">SUMPRODUCT(R$63:R$122,TRANSPOSE(SAP_Spreadsheet!$G$182:$BN$182))</f>
        <v>0</v>
      </c>
      <c r="S44" s="382">
        <f t="array" aca="1" ref="S44" ca="1">SUMPRODUCT(S$63:S$122,TRANSPOSE(SAP_Spreadsheet!$G$182:$BN$182))</f>
        <v>0</v>
      </c>
      <c r="T44" s="382">
        <f t="array" aca="1" ref="T44" ca="1">SUMPRODUCT(T$63:T$122,TRANSPOSE(SAP_Spreadsheet!$G$182:$BN$182))</f>
        <v>0</v>
      </c>
      <c r="U44" s="382">
        <f t="array" aca="1" ref="U44" ca="1">SUMPRODUCT(U$63:U$122,TRANSPOSE(SAP_Spreadsheet!$G$182:$BN$182))</f>
        <v>0</v>
      </c>
      <c r="V44" s="382">
        <f t="array" aca="1" ref="V44" ca="1">SUMPRODUCT(V$63:V$122,TRANSPOSE(SAP_Spreadsheet!$G$182:$BN$182))</f>
        <v>0</v>
      </c>
      <c r="W44" s="382">
        <f t="array" aca="1" ref="W44" ca="1">SUMPRODUCT(W$63:W$122,TRANSPOSE(SAP_Spreadsheet!$G$182:$BN$182))</f>
        <v>0</v>
      </c>
      <c r="X44" s="382">
        <f t="array" aca="1" ref="X44" ca="1">SUMPRODUCT(X$63:X$122,TRANSPOSE(SAP_Spreadsheet!$G$182:$BN$182))</f>
        <v>0</v>
      </c>
      <c r="Y44" s="382">
        <f t="array" aca="1" ref="Y44" ca="1">SUMPRODUCT(Y$63:Y$122,TRANSPOSE(SAP_Spreadsheet!$G$182:$BN$182))</f>
        <v>0</v>
      </c>
      <c r="Z44" s="382">
        <f t="array" aca="1" ref="Z44" ca="1">SUMPRODUCT(Z$63:Z$122,TRANSPOSE(SAP_Spreadsheet!$G$182:$BN$182))</f>
        <v>0</v>
      </c>
      <c r="AA44" s="382">
        <f t="array" aca="1" ref="AA44" ca="1">SUMPRODUCT(AA$63:AA$122,TRANSPOSE(SAP_Spreadsheet!$G$182:$BN$182))</f>
        <v>0</v>
      </c>
      <c r="AB44" s="382">
        <f t="array" aca="1" ref="AB44" ca="1">SUMPRODUCT(AB$63:AB$122,TRANSPOSE(SAP_Spreadsheet!$G$182:$BN$182))</f>
        <v>0</v>
      </c>
      <c r="AC44" s="382">
        <f t="array" aca="1" ref="AC44" ca="1">SUMPRODUCT(AC$63:AC$122,TRANSPOSE(SAP_Spreadsheet!$G$182:$BN$182))</f>
        <v>0</v>
      </c>
      <c r="AD44" s="382">
        <f t="array" aca="1" ref="AD44" ca="1">SUMPRODUCT(AD$63:AD$122,TRANSPOSE(SAP_Spreadsheet!$G$182:$BN$182))</f>
        <v>0</v>
      </c>
      <c r="AE44" s="382">
        <f t="array" aca="1" ref="AE44" ca="1">SUMPRODUCT(AE$63:AE$122,TRANSPOSE(SAP_Spreadsheet!$G$182:$BN$182))</f>
        <v>0</v>
      </c>
      <c r="AF44" s="382">
        <f t="array" aca="1" ref="AF44" ca="1">SUMPRODUCT(AF$63:AF$122,TRANSPOSE(SAP_Spreadsheet!$G$182:$BN$182))</f>
        <v>0</v>
      </c>
      <c r="AG44" s="382">
        <f t="array" aca="1" ref="AG44" ca="1">SUMPRODUCT(AG$63:AG$122,TRANSPOSE(SAP_Spreadsheet!$G$182:$BN$182))</f>
        <v>0</v>
      </c>
      <c r="AH44" s="382">
        <f t="array" aca="1" ref="AH44" ca="1">SUMPRODUCT(AH$63:AH$122,TRANSPOSE(SAP_Spreadsheet!$G$182:$BN$182))</f>
        <v>0</v>
      </c>
      <c r="AI44" s="382">
        <f t="array" aca="1" ref="AI44" ca="1">SUMPRODUCT(AI$63:AI$122,TRANSPOSE(SAP_Spreadsheet!$G$182:$BN$182))</f>
        <v>0</v>
      </c>
      <c r="AJ44" s="382">
        <f t="array" aca="1" ref="AJ44" ca="1">SUMPRODUCT(AJ$63:AJ$122,TRANSPOSE(SAP_Spreadsheet!$G$182:$BN$182))</f>
        <v>0</v>
      </c>
      <c r="AK44" s="382">
        <f t="array" aca="1" ref="AK44" ca="1">SUMPRODUCT(AK$63:AK$122,TRANSPOSE(SAP_Spreadsheet!$G$182:$BN$182))</f>
        <v>0</v>
      </c>
      <c r="AL44" s="382">
        <f t="array" aca="1" ref="AL44" ca="1">SUMPRODUCT(AL$63:AL$122,TRANSPOSE(SAP_Spreadsheet!$G$182:$BN$182))</f>
        <v>0</v>
      </c>
      <c r="AM44" s="382">
        <f t="array" aca="1" ref="AM44" ca="1">SUMPRODUCT(AM$63:AM$122,TRANSPOSE(SAP_Spreadsheet!$G$182:$BN$182))</f>
        <v>0</v>
      </c>
      <c r="AN44" s="382">
        <f t="array" aca="1" ref="AN44" ca="1">SUMPRODUCT(AN$63:AN$122,TRANSPOSE(SAP_Spreadsheet!$G$182:$BN$182))</f>
        <v>0</v>
      </c>
      <c r="AO44" s="382">
        <f t="array" aca="1" ref="AO44" ca="1">SUMPRODUCT(AO$63:AO$122,TRANSPOSE(SAP_Spreadsheet!$G$182:$BN$182))</f>
        <v>0</v>
      </c>
      <c r="AP44" s="382">
        <f t="array" aca="1" ref="AP44" ca="1">SUMPRODUCT(AP$63:AP$122,TRANSPOSE(SAP_Spreadsheet!$G$182:$BN$182))</f>
        <v>0</v>
      </c>
      <c r="AQ44" s="382">
        <f t="array" aca="1" ref="AQ44" ca="1">SUMPRODUCT(AQ$63:AQ$122,TRANSPOSE(SAP_Spreadsheet!$G$182:$BN$182))</f>
        <v>0</v>
      </c>
      <c r="AR44" s="382">
        <f t="array" aca="1" ref="AR44" ca="1">SUMPRODUCT(AR$63:AR$122,TRANSPOSE(SAP_Spreadsheet!$G$182:$BN$182))</f>
        <v>0</v>
      </c>
      <c r="AS44" s="382">
        <f t="array" aca="1" ref="AS44" ca="1">SUMPRODUCT(AS$63:AS$122,TRANSPOSE(SAP_Spreadsheet!$G$182:$BN$182))</f>
        <v>0</v>
      </c>
      <c r="AT44" s="382">
        <f t="array" aca="1" ref="AT44" ca="1">SUMPRODUCT(AT$63:AT$122,TRANSPOSE(SAP_Spreadsheet!$G$182:$BN$182))</f>
        <v>0</v>
      </c>
      <c r="AU44" s="382">
        <f t="array" aca="1" ref="AU44" ca="1">SUMPRODUCT(AU$63:AU$122,TRANSPOSE(SAP_Spreadsheet!$G$182:$BN$182))</f>
        <v>0</v>
      </c>
      <c r="AV44" s="382">
        <f t="array" aca="1" ref="AV44" ca="1">SUMPRODUCT(AV$63:AV$122,TRANSPOSE(SAP_Spreadsheet!$G$182:$BN$182))</f>
        <v>0</v>
      </c>
      <c r="AW44" s="382">
        <f t="array" aca="1" ref="AW44" ca="1">SUMPRODUCT(AW$63:AW$122,TRANSPOSE(SAP_Spreadsheet!$G$182:$BN$182))</f>
        <v>0</v>
      </c>
      <c r="AX44" s="382">
        <f t="array" aca="1" ref="AX44" ca="1">SUMPRODUCT(AX$63:AX$122,TRANSPOSE(SAP_Spreadsheet!$G$182:$BN$182))</f>
        <v>0</v>
      </c>
      <c r="AY44" s="382">
        <f t="array" aca="1" ref="AY44" ca="1">SUMPRODUCT(AY$63:AY$122,TRANSPOSE(SAP_Spreadsheet!$G$182:$BN$182))</f>
        <v>0</v>
      </c>
      <c r="AZ44" s="382">
        <f t="array" aca="1" ref="AZ44" ca="1">SUMPRODUCT(AZ$63:AZ$122,TRANSPOSE(SAP_Spreadsheet!$G$182:$BN$182))</f>
        <v>0</v>
      </c>
      <c r="BA44" s="382">
        <f t="array" aca="1" ref="BA44" ca="1">SUMPRODUCT(BA$63:BA$122,TRANSPOSE(SAP_Spreadsheet!$G$182:$BN$182))</f>
        <v>0</v>
      </c>
      <c r="BB44" s="382">
        <f t="array" aca="1" ref="BB44" ca="1">SUMPRODUCT(BB$63:BB$122,TRANSPOSE(SAP_Spreadsheet!$G$182:$BN$182))</f>
        <v>0</v>
      </c>
      <c r="BC44" s="382">
        <f t="array" aca="1" ref="BC44" ca="1">SUMPRODUCT(BC$63:BC$122,TRANSPOSE(SAP_Spreadsheet!$G$182:$BN$182))</f>
        <v>0</v>
      </c>
      <c r="BD44" s="382">
        <f t="array" aca="1" ref="BD44" ca="1">SUMPRODUCT(BD$63:BD$122,TRANSPOSE(SAP_Spreadsheet!$G$182:$BN$182))</f>
        <v>0</v>
      </c>
      <c r="BE44" s="382">
        <f t="array" aca="1" ref="BE44" ca="1">SUMPRODUCT(BE$63:BE$122,TRANSPOSE(SAP_Spreadsheet!$G$182:$BN$182))</f>
        <v>0</v>
      </c>
      <c r="BF44" s="382">
        <f t="array" aca="1" ref="BF44" ca="1">SUMPRODUCT(BF$63:BF$122,TRANSPOSE(SAP_Spreadsheet!$G$182:$BN$182))</f>
        <v>0</v>
      </c>
      <c r="BG44" s="382">
        <f t="array" aca="1" ref="BG44" ca="1">SUMPRODUCT(BG$63:BG$122,TRANSPOSE(SAP_Spreadsheet!$G$182:$BN$182))</f>
        <v>0</v>
      </c>
      <c r="BH44" s="382">
        <f t="array" aca="1" ref="BH44" ca="1">SUMPRODUCT(BH$63:BH$122,TRANSPOSE(SAP_Spreadsheet!$G$182:$BN$182))</f>
        <v>0</v>
      </c>
      <c r="BI44" s="382">
        <f t="array" aca="1" ref="BI44" ca="1">SUMPRODUCT(BI$63:BI$122,TRANSPOSE(SAP_Spreadsheet!$G$182:$BN$182))</f>
        <v>0</v>
      </c>
      <c r="BJ44" s="382">
        <f t="array" aca="1" ref="BJ44" ca="1">SUMPRODUCT(BJ$63:BJ$122,TRANSPOSE(SAP_Spreadsheet!$G$182:$BN$182))</f>
        <v>0</v>
      </c>
      <c r="BK44" s="382">
        <f t="array" aca="1" ref="BK44" ca="1">SUMPRODUCT(BK$63:BK$122,TRANSPOSE(SAP_Spreadsheet!$G$182:$BN$182))</f>
        <v>0</v>
      </c>
      <c r="BL44" s="382">
        <f t="array" aca="1" ref="BL44" ca="1">SUMPRODUCT(BL$63:BL$122,TRANSPOSE(SAP_Spreadsheet!$G$182:$BN$182))</f>
        <v>0</v>
      </c>
      <c r="BM44" s="378"/>
    </row>
    <row r="45" spans="1:65" s="379" customFormat="1" x14ac:dyDescent="0.15">
      <c r="A45" s="371"/>
      <c r="B45" s="371"/>
      <c r="D45" s="379" t="s">
        <v>413</v>
      </c>
      <c r="E45" s="382">
        <f t="array" aca="1" ref="E45" ca="1">SUMPRODUCT(E$63:E$122,TRANSPOSE(SAP_Spreadsheet!$G$183:$BN$183))</f>
        <v>0</v>
      </c>
      <c r="F45" s="382">
        <f t="array" aca="1" ref="F45" ca="1">SUMPRODUCT(F$63:F$122,TRANSPOSE(SAP_Spreadsheet!$G$183:$BN$183))</f>
        <v>0</v>
      </c>
      <c r="G45" s="382">
        <f t="array" aca="1" ref="G45" ca="1">SUMPRODUCT(G$63:G$122,TRANSPOSE(SAP_Spreadsheet!$G$183:$BN$183))</f>
        <v>0</v>
      </c>
      <c r="H45" s="382">
        <f t="array" aca="1" ref="H45" ca="1">SUMPRODUCT(H$63:H$122,TRANSPOSE(SAP_Spreadsheet!$G$183:$BN$183))</f>
        <v>0</v>
      </c>
      <c r="I45" s="382">
        <f t="array" aca="1" ref="I45" ca="1">SUMPRODUCT(I$63:I$122,TRANSPOSE(SAP_Spreadsheet!$G$183:$BN$183))</f>
        <v>0</v>
      </c>
      <c r="J45" s="382">
        <f t="array" aca="1" ref="J45" ca="1">SUMPRODUCT(J$63:J$122,TRANSPOSE(SAP_Spreadsheet!$G$183:$BN$183))</f>
        <v>0</v>
      </c>
      <c r="K45" s="382">
        <f t="array" aca="1" ref="K45" ca="1">SUMPRODUCT(K$63:K$122,TRANSPOSE(SAP_Spreadsheet!$G$183:$BN$183))</f>
        <v>0</v>
      </c>
      <c r="L45" s="382">
        <f t="array" aca="1" ref="L45" ca="1">SUMPRODUCT(L$63:L$122,TRANSPOSE(SAP_Spreadsheet!$G$183:$BN$183))</f>
        <v>0</v>
      </c>
      <c r="M45" s="382">
        <f t="array" aca="1" ref="M45" ca="1">SUMPRODUCT(M$63:M$122,TRANSPOSE(SAP_Spreadsheet!$G$183:$BN$183))</f>
        <v>0</v>
      </c>
      <c r="N45" s="382">
        <f t="array" aca="1" ref="N45" ca="1">SUMPRODUCT(N$63:N$122,TRANSPOSE(SAP_Spreadsheet!$G$183:$BN$183))</f>
        <v>0</v>
      </c>
      <c r="O45" s="382">
        <f t="array" aca="1" ref="O45" ca="1">SUMPRODUCT(O$63:O$122,TRANSPOSE(SAP_Spreadsheet!$G$183:$BN$183))</f>
        <v>0</v>
      </c>
      <c r="P45" s="382">
        <f t="array" aca="1" ref="P45" ca="1">SUMPRODUCT(P$63:P$122,TRANSPOSE(SAP_Spreadsheet!$G$183:$BN$183))</f>
        <v>0</v>
      </c>
      <c r="Q45" s="382">
        <f t="array" aca="1" ref="Q45" ca="1">SUMPRODUCT(Q$63:Q$122,TRANSPOSE(SAP_Spreadsheet!$G$183:$BN$183))</f>
        <v>0</v>
      </c>
      <c r="R45" s="382">
        <f t="array" aca="1" ref="R45" ca="1">SUMPRODUCT(R$63:R$122,TRANSPOSE(SAP_Spreadsheet!$G$183:$BN$183))</f>
        <v>0</v>
      </c>
      <c r="S45" s="382">
        <f t="array" aca="1" ref="S45" ca="1">SUMPRODUCT(S$63:S$122,TRANSPOSE(SAP_Spreadsheet!$G$183:$BN$183))</f>
        <v>0</v>
      </c>
      <c r="T45" s="382">
        <f t="array" aca="1" ref="T45" ca="1">SUMPRODUCT(T$63:T$122,TRANSPOSE(SAP_Spreadsheet!$G$183:$BN$183))</f>
        <v>0</v>
      </c>
      <c r="U45" s="382">
        <f t="array" aca="1" ref="U45" ca="1">SUMPRODUCT(U$63:U$122,TRANSPOSE(SAP_Spreadsheet!$G$183:$BN$183))</f>
        <v>0</v>
      </c>
      <c r="V45" s="382">
        <f t="array" aca="1" ref="V45" ca="1">SUMPRODUCT(V$63:V$122,TRANSPOSE(SAP_Spreadsheet!$G$183:$BN$183))</f>
        <v>0</v>
      </c>
      <c r="W45" s="382">
        <f t="array" aca="1" ref="W45" ca="1">SUMPRODUCT(W$63:W$122,TRANSPOSE(SAP_Spreadsheet!$G$183:$BN$183))</f>
        <v>0</v>
      </c>
      <c r="X45" s="382">
        <f t="array" aca="1" ref="X45" ca="1">SUMPRODUCT(X$63:X$122,TRANSPOSE(SAP_Spreadsheet!$G$183:$BN$183))</f>
        <v>0</v>
      </c>
      <c r="Y45" s="382">
        <f t="array" aca="1" ref="Y45" ca="1">SUMPRODUCT(Y$63:Y$122,TRANSPOSE(SAP_Spreadsheet!$G$183:$BN$183))</f>
        <v>0</v>
      </c>
      <c r="Z45" s="382">
        <f t="array" aca="1" ref="Z45" ca="1">SUMPRODUCT(Z$63:Z$122,TRANSPOSE(SAP_Spreadsheet!$G$183:$BN$183))</f>
        <v>0</v>
      </c>
      <c r="AA45" s="382">
        <f t="array" aca="1" ref="AA45" ca="1">SUMPRODUCT(AA$63:AA$122,TRANSPOSE(SAP_Spreadsheet!$G$183:$BN$183))</f>
        <v>0</v>
      </c>
      <c r="AB45" s="382">
        <f t="array" aca="1" ref="AB45" ca="1">SUMPRODUCT(AB$63:AB$122,TRANSPOSE(SAP_Spreadsheet!$G$183:$BN$183))</f>
        <v>0</v>
      </c>
      <c r="AC45" s="382">
        <f t="array" aca="1" ref="AC45" ca="1">SUMPRODUCT(AC$63:AC$122,TRANSPOSE(SAP_Spreadsheet!$G$183:$BN$183))</f>
        <v>0</v>
      </c>
      <c r="AD45" s="382">
        <f t="array" aca="1" ref="AD45" ca="1">SUMPRODUCT(AD$63:AD$122,TRANSPOSE(SAP_Spreadsheet!$G$183:$BN$183))</f>
        <v>0</v>
      </c>
      <c r="AE45" s="382">
        <f t="array" aca="1" ref="AE45" ca="1">SUMPRODUCT(AE$63:AE$122,TRANSPOSE(SAP_Spreadsheet!$G$183:$BN$183))</f>
        <v>0</v>
      </c>
      <c r="AF45" s="382">
        <f t="array" aca="1" ref="AF45" ca="1">SUMPRODUCT(AF$63:AF$122,TRANSPOSE(SAP_Spreadsheet!$G$183:$BN$183))</f>
        <v>0</v>
      </c>
      <c r="AG45" s="382">
        <f t="array" aca="1" ref="AG45" ca="1">SUMPRODUCT(AG$63:AG$122,TRANSPOSE(SAP_Spreadsheet!$G$183:$BN$183))</f>
        <v>0</v>
      </c>
      <c r="AH45" s="382">
        <f t="array" aca="1" ref="AH45" ca="1">SUMPRODUCT(AH$63:AH$122,TRANSPOSE(SAP_Spreadsheet!$G$183:$BN$183))</f>
        <v>0</v>
      </c>
      <c r="AI45" s="382">
        <f t="array" aca="1" ref="AI45" ca="1">SUMPRODUCT(AI$63:AI$122,TRANSPOSE(SAP_Spreadsheet!$G$183:$BN$183))</f>
        <v>0</v>
      </c>
      <c r="AJ45" s="382">
        <f t="array" aca="1" ref="AJ45" ca="1">SUMPRODUCT(AJ$63:AJ$122,TRANSPOSE(SAP_Spreadsheet!$G$183:$BN$183))</f>
        <v>0</v>
      </c>
      <c r="AK45" s="382">
        <f t="array" aca="1" ref="AK45" ca="1">SUMPRODUCT(AK$63:AK$122,TRANSPOSE(SAP_Spreadsheet!$G$183:$BN$183))</f>
        <v>0</v>
      </c>
      <c r="AL45" s="382">
        <f t="array" aca="1" ref="AL45" ca="1">SUMPRODUCT(AL$63:AL$122,TRANSPOSE(SAP_Spreadsheet!$G$183:$BN$183))</f>
        <v>0</v>
      </c>
      <c r="AM45" s="382">
        <f t="array" aca="1" ref="AM45" ca="1">SUMPRODUCT(AM$63:AM$122,TRANSPOSE(SAP_Spreadsheet!$G$183:$BN$183))</f>
        <v>0</v>
      </c>
      <c r="AN45" s="382">
        <f t="array" aca="1" ref="AN45" ca="1">SUMPRODUCT(AN$63:AN$122,TRANSPOSE(SAP_Spreadsheet!$G$183:$BN$183))</f>
        <v>0</v>
      </c>
      <c r="AO45" s="382">
        <f t="array" aca="1" ref="AO45" ca="1">SUMPRODUCT(AO$63:AO$122,TRANSPOSE(SAP_Spreadsheet!$G$183:$BN$183))</f>
        <v>0</v>
      </c>
      <c r="AP45" s="382">
        <f t="array" aca="1" ref="AP45" ca="1">SUMPRODUCT(AP$63:AP$122,TRANSPOSE(SAP_Spreadsheet!$G$183:$BN$183))</f>
        <v>0</v>
      </c>
      <c r="AQ45" s="382">
        <f t="array" aca="1" ref="AQ45" ca="1">SUMPRODUCT(AQ$63:AQ$122,TRANSPOSE(SAP_Spreadsheet!$G$183:$BN$183))</f>
        <v>0</v>
      </c>
      <c r="AR45" s="382">
        <f t="array" aca="1" ref="AR45" ca="1">SUMPRODUCT(AR$63:AR$122,TRANSPOSE(SAP_Spreadsheet!$G$183:$BN$183))</f>
        <v>0</v>
      </c>
      <c r="AS45" s="382">
        <f t="array" aca="1" ref="AS45" ca="1">SUMPRODUCT(AS$63:AS$122,TRANSPOSE(SAP_Spreadsheet!$G$183:$BN$183))</f>
        <v>0</v>
      </c>
      <c r="AT45" s="382">
        <f t="array" aca="1" ref="AT45" ca="1">SUMPRODUCT(AT$63:AT$122,TRANSPOSE(SAP_Spreadsheet!$G$183:$BN$183))</f>
        <v>0</v>
      </c>
      <c r="AU45" s="382">
        <f t="array" aca="1" ref="AU45" ca="1">SUMPRODUCT(AU$63:AU$122,TRANSPOSE(SAP_Spreadsheet!$G$183:$BN$183))</f>
        <v>0</v>
      </c>
      <c r="AV45" s="382">
        <f t="array" aca="1" ref="AV45" ca="1">SUMPRODUCT(AV$63:AV$122,TRANSPOSE(SAP_Spreadsheet!$G$183:$BN$183))</f>
        <v>0</v>
      </c>
      <c r="AW45" s="382">
        <f t="array" aca="1" ref="AW45" ca="1">SUMPRODUCT(AW$63:AW$122,TRANSPOSE(SAP_Spreadsheet!$G$183:$BN$183))</f>
        <v>0</v>
      </c>
      <c r="AX45" s="382">
        <f t="array" aca="1" ref="AX45" ca="1">SUMPRODUCT(AX$63:AX$122,TRANSPOSE(SAP_Spreadsheet!$G$183:$BN$183))</f>
        <v>0</v>
      </c>
      <c r="AY45" s="382">
        <f t="array" aca="1" ref="AY45" ca="1">SUMPRODUCT(AY$63:AY$122,TRANSPOSE(SAP_Spreadsheet!$G$183:$BN$183))</f>
        <v>0</v>
      </c>
      <c r="AZ45" s="382">
        <f t="array" aca="1" ref="AZ45" ca="1">SUMPRODUCT(AZ$63:AZ$122,TRANSPOSE(SAP_Spreadsheet!$G$183:$BN$183))</f>
        <v>0</v>
      </c>
      <c r="BA45" s="382">
        <f t="array" aca="1" ref="BA45" ca="1">SUMPRODUCT(BA$63:BA$122,TRANSPOSE(SAP_Spreadsheet!$G$183:$BN$183))</f>
        <v>0</v>
      </c>
      <c r="BB45" s="382">
        <f t="array" aca="1" ref="BB45" ca="1">SUMPRODUCT(BB$63:BB$122,TRANSPOSE(SAP_Spreadsheet!$G$183:$BN$183))</f>
        <v>0</v>
      </c>
      <c r="BC45" s="382">
        <f t="array" aca="1" ref="BC45" ca="1">SUMPRODUCT(BC$63:BC$122,TRANSPOSE(SAP_Spreadsheet!$G$183:$BN$183))</f>
        <v>0</v>
      </c>
      <c r="BD45" s="382">
        <f t="array" aca="1" ref="BD45" ca="1">SUMPRODUCT(BD$63:BD$122,TRANSPOSE(SAP_Spreadsheet!$G$183:$BN$183))</f>
        <v>0</v>
      </c>
      <c r="BE45" s="382">
        <f t="array" aca="1" ref="BE45" ca="1">SUMPRODUCT(BE$63:BE$122,TRANSPOSE(SAP_Spreadsheet!$G$183:$BN$183))</f>
        <v>0</v>
      </c>
      <c r="BF45" s="382">
        <f t="array" aca="1" ref="BF45" ca="1">SUMPRODUCT(BF$63:BF$122,TRANSPOSE(SAP_Spreadsheet!$G$183:$BN$183))</f>
        <v>0</v>
      </c>
      <c r="BG45" s="382">
        <f t="array" aca="1" ref="BG45" ca="1">SUMPRODUCT(BG$63:BG$122,TRANSPOSE(SAP_Spreadsheet!$G$183:$BN$183))</f>
        <v>0</v>
      </c>
      <c r="BH45" s="382">
        <f t="array" aca="1" ref="BH45" ca="1">SUMPRODUCT(BH$63:BH$122,TRANSPOSE(SAP_Spreadsheet!$G$183:$BN$183))</f>
        <v>0</v>
      </c>
      <c r="BI45" s="382">
        <f t="array" aca="1" ref="BI45" ca="1">SUMPRODUCT(BI$63:BI$122,TRANSPOSE(SAP_Spreadsheet!$G$183:$BN$183))</f>
        <v>0</v>
      </c>
      <c r="BJ45" s="382">
        <f t="array" aca="1" ref="BJ45" ca="1">SUMPRODUCT(BJ$63:BJ$122,TRANSPOSE(SAP_Spreadsheet!$G$183:$BN$183))</f>
        <v>0</v>
      </c>
      <c r="BK45" s="382">
        <f t="array" aca="1" ref="BK45" ca="1">SUMPRODUCT(BK$63:BK$122,TRANSPOSE(SAP_Spreadsheet!$G$183:$BN$183))</f>
        <v>0</v>
      </c>
      <c r="BL45" s="382">
        <f t="array" aca="1" ref="BL45" ca="1">SUMPRODUCT(BL$63:BL$122,TRANSPOSE(SAP_Spreadsheet!$G$183:$BN$183))</f>
        <v>0</v>
      </c>
      <c r="BM45" s="378"/>
    </row>
    <row r="46" spans="1:65" s="379" customFormat="1" x14ac:dyDescent="0.15">
      <c r="A46" s="371"/>
      <c r="B46" s="371"/>
      <c r="D46" s="379" t="s">
        <v>414</v>
      </c>
      <c r="E46" s="382">
        <f t="array" aca="1" ref="E46" ca="1">SUMPRODUCT(E$63:E$122,TRANSPOSE(SAP_Spreadsheet!$G$184:$BN$184))</f>
        <v>0</v>
      </c>
      <c r="F46" s="382">
        <f t="array" aca="1" ref="F46" ca="1">SUMPRODUCT(F$63:F$122,TRANSPOSE(SAP_Spreadsheet!$G$184:$BN$184))</f>
        <v>0</v>
      </c>
      <c r="G46" s="382">
        <f t="array" aca="1" ref="G46" ca="1">SUMPRODUCT(G$63:G$122,TRANSPOSE(SAP_Spreadsheet!$G$184:$BN$184))</f>
        <v>0</v>
      </c>
      <c r="H46" s="382">
        <f t="array" aca="1" ref="H46" ca="1">SUMPRODUCT(H$63:H$122,TRANSPOSE(SAP_Spreadsheet!$G$184:$BN$184))</f>
        <v>0</v>
      </c>
      <c r="I46" s="382">
        <f t="array" aca="1" ref="I46" ca="1">SUMPRODUCT(I$63:I$122,TRANSPOSE(SAP_Spreadsheet!$G$184:$BN$184))</f>
        <v>0</v>
      </c>
      <c r="J46" s="382">
        <f t="array" aca="1" ref="J46" ca="1">SUMPRODUCT(J$63:J$122,TRANSPOSE(SAP_Spreadsheet!$G$184:$BN$184))</f>
        <v>0</v>
      </c>
      <c r="K46" s="382">
        <f t="array" aca="1" ref="K46" ca="1">SUMPRODUCT(K$63:K$122,TRANSPOSE(SAP_Spreadsheet!$G$184:$BN$184))</f>
        <v>0</v>
      </c>
      <c r="L46" s="382">
        <f t="array" aca="1" ref="L46" ca="1">SUMPRODUCT(L$63:L$122,TRANSPOSE(SAP_Spreadsheet!$G$184:$BN$184))</f>
        <v>0</v>
      </c>
      <c r="M46" s="382">
        <f t="array" aca="1" ref="M46" ca="1">SUMPRODUCT(M$63:M$122,TRANSPOSE(SAP_Spreadsheet!$G$184:$BN$184))</f>
        <v>0</v>
      </c>
      <c r="N46" s="382">
        <f t="array" aca="1" ref="N46" ca="1">SUMPRODUCT(N$63:N$122,TRANSPOSE(SAP_Spreadsheet!$G$184:$BN$184))</f>
        <v>0</v>
      </c>
      <c r="O46" s="382">
        <f t="array" aca="1" ref="O46" ca="1">SUMPRODUCT(O$63:O$122,TRANSPOSE(SAP_Spreadsheet!$G$184:$BN$184))</f>
        <v>0</v>
      </c>
      <c r="P46" s="382">
        <f t="array" aca="1" ref="P46" ca="1">SUMPRODUCT(P$63:P$122,TRANSPOSE(SAP_Spreadsheet!$G$184:$BN$184))</f>
        <v>0</v>
      </c>
      <c r="Q46" s="382">
        <f t="array" aca="1" ref="Q46" ca="1">SUMPRODUCT(Q$63:Q$122,TRANSPOSE(SAP_Spreadsheet!$G$184:$BN$184))</f>
        <v>0</v>
      </c>
      <c r="R46" s="382">
        <f t="array" aca="1" ref="R46" ca="1">SUMPRODUCT(R$63:R$122,TRANSPOSE(SAP_Spreadsheet!$G$184:$BN$184))</f>
        <v>0</v>
      </c>
      <c r="S46" s="382">
        <f t="array" aca="1" ref="S46" ca="1">SUMPRODUCT(S$63:S$122,TRANSPOSE(SAP_Spreadsheet!$G$184:$BN$184))</f>
        <v>0</v>
      </c>
      <c r="T46" s="382">
        <f t="array" aca="1" ref="T46" ca="1">SUMPRODUCT(T$63:T$122,TRANSPOSE(SAP_Spreadsheet!$G$184:$BN$184))</f>
        <v>0</v>
      </c>
      <c r="U46" s="382">
        <f t="array" aca="1" ref="U46" ca="1">SUMPRODUCT(U$63:U$122,TRANSPOSE(SAP_Spreadsheet!$G$184:$BN$184))</f>
        <v>0</v>
      </c>
      <c r="V46" s="382">
        <f t="array" aca="1" ref="V46" ca="1">SUMPRODUCT(V$63:V$122,TRANSPOSE(SAP_Spreadsheet!$G$184:$BN$184))</f>
        <v>0</v>
      </c>
      <c r="W46" s="382">
        <f t="array" aca="1" ref="W46" ca="1">SUMPRODUCT(W$63:W$122,TRANSPOSE(SAP_Spreadsheet!$G$184:$BN$184))</f>
        <v>0</v>
      </c>
      <c r="X46" s="382">
        <f t="array" aca="1" ref="X46" ca="1">SUMPRODUCT(X$63:X$122,TRANSPOSE(SAP_Spreadsheet!$G$184:$BN$184))</f>
        <v>0</v>
      </c>
      <c r="Y46" s="382">
        <f t="array" aca="1" ref="Y46" ca="1">SUMPRODUCT(Y$63:Y$122,TRANSPOSE(SAP_Spreadsheet!$G$184:$BN$184))</f>
        <v>0</v>
      </c>
      <c r="Z46" s="382">
        <f t="array" aca="1" ref="Z46" ca="1">SUMPRODUCT(Z$63:Z$122,TRANSPOSE(SAP_Spreadsheet!$G$184:$BN$184))</f>
        <v>0</v>
      </c>
      <c r="AA46" s="382">
        <f t="array" aca="1" ref="AA46" ca="1">SUMPRODUCT(AA$63:AA$122,TRANSPOSE(SAP_Spreadsheet!$G$184:$BN$184))</f>
        <v>0</v>
      </c>
      <c r="AB46" s="382">
        <f t="array" aca="1" ref="AB46" ca="1">SUMPRODUCT(AB$63:AB$122,TRANSPOSE(SAP_Spreadsheet!$G$184:$BN$184))</f>
        <v>0</v>
      </c>
      <c r="AC46" s="382">
        <f t="array" aca="1" ref="AC46" ca="1">SUMPRODUCT(AC$63:AC$122,TRANSPOSE(SAP_Spreadsheet!$G$184:$BN$184))</f>
        <v>0</v>
      </c>
      <c r="AD46" s="382">
        <f t="array" aca="1" ref="AD46" ca="1">SUMPRODUCT(AD$63:AD$122,TRANSPOSE(SAP_Spreadsheet!$G$184:$BN$184))</f>
        <v>0</v>
      </c>
      <c r="AE46" s="382">
        <f t="array" aca="1" ref="AE46" ca="1">SUMPRODUCT(AE$63:AE$122,TRANSPOSE(SAP_Spreadsheet!$G$184:$BN$184))</f>
        <v>0</v>
      </c>
      <c r="AF46" s="382">
        <f t="array" aca="1" ref="AF46" ca="1">SUMPRODUCT(AF$63:AF$122,TRANSPOSE(SAP_Spreadsheet!$G$184:$BN$184))</f>
        <v>0</v>
      </c>
      <c r="AG46" s="382">
        <f t="array" aca="1" ref="AG46" ca="1">SUMPRODUCT(AG$63:AG$122,TRANSPOSE(SAP_Spreadsheet!$G$184:$BN$184))</f>
        <v>0</v>
      </c>
      <c r="AH46" s="382">
        <f t="array" aca="1" ref="AH46" ca="1">SUMPRODUCT(AH$63:AH$122,TRANSPOSE(SAP_Spreadsheet!$G$184:$BN$184))</f>
        <v>0</v>
      </c>
      <c r="AI46" s="382">
        <f t="array" aca="1" ref="AI46" ca="1">SUMPRODUCT(AI$63:AI$122,TRANSPOSE(SAP_Spreadsheet!$G$184:$BN$184))</f>
        <v>0</v>
      </c>
      <c r="AJ46" s="382">
        <f t="array" aca="1" ref="AJ46" ca="1">SUMPRODUCT(AJ$63:AJ$122,TRANSPOSE(SAP_Spreadsheet!$G$184:$BN$184))</f>
        <v>0</v>
      </c>
      <c r="AK46" s="382">
        <f t="array" aca="1" ref="AK46" ca="1">SUMPRODUCT(AK$63:AK$122,TRANSPOSE(SAP_Spreadsheet!$G$184:$BN$184))</f>
        <v>0</v>
      </c>
      <c r="AL46" s="382">
        <f t="array" aca="1" ref="AL46" ca="1">SUMPRODUCT(AL$63:AL$122,TRANSPOSE(SAP_Spreadsheet!$G$184:$BN$184))</f>
        <v>0</v>
      </c>
      <c r="AM46" s="382">
        <f t="array" aca="1" ref="AM46" ca="1">SUMPRODUCT(AM$63:AM$122,TRANSPOSE(SAP_Spreadsheet!$G$184:$BN$184))</f>
        <v>0</v>
      </c>
      <c r="AN46" s="382">
        <f t="array" aca="1" ref="AN46" ca="1">SUMPRODUCT(AN$63:AN$122,TRANSPOSE(SAP_Spreadsheet!$G$184:$BN$184))</f>
        <v>0</v>
      </c>
      <c r="AO46" s="382">
        <f t="array" aca="1" ref="AO46" ca="1">SUMPRODUCT(AO$63:AO$122,TRANSPOSE(SAP_Spreadsheet!$G$184:$BN$184))</f>
        <v>0</v>
      </c>
      <c r="AP46" s="382">
        <f t="array" aca="1" ref="AP46" ca="1">SUMPRODUCT(AP$63:AP$122,TRANSPOSE(SAP_Spreadsheet!$G$184:$BN$184))</f>
        <v>0</v>
      </c>
      <c r="AQ46" s="382">
        <f t="array" aca="1" ref="AQ46" ca="1">SUMPRODUCT(AQ$63:AQ$122,TRANSPOSE(SAP_Spreadsheet!$G$184:$BN$184))</f>
        <v>0</v>
      </c>
      <c r="AR46" s="382">
        <f t="array" aca="1" ref="AR46" ca="1">SUMPRODUCT(AR$63:AR$122,TRANSPOSE(SAP_Spreadsheet!$G$184:$BN$184))</f>
        <v>0</v>
      </c>
      <c r="AS46" s="382">
        <f t="array" aca="1" ref="AS46" ca="1">SUMPRODUCT(AS$63:AS$122,TRANSPOSE(SAP_Spreadsheet!$G$184:$BN$184))</f>
        <v>0</v>
      </c>
      <c r="AT46" s="382">
        <f t="array" aca="1" ref="AT46" ca="1">SUMPRODUCT(AT$63:AT$122,TRANSPOSE(SAP_Spreadsheet!$G$184:$BN$184))</f>
        <v>0</v>
      </c>
      <c r="AU46" s="382">
        <f t="array" aca="1" ref="AU46" ca="1">SUMPRODUCT(AU$63:AU$122,TRANSPOSE(SAP_Spreadsheet!$G$184:$BN$184))</f>
        <v>0</v>
      </c>
      <c r="AV46" s="382">
        <f t="array" aca="1" ref="AV46" ca="1">SUMPRODUCT(AV$63:AV$122,TRANSPOSE(SAP_Spreadsheet!$G$184:$BN$184))</f>
        <v>0</v>
      </c>
      <c r="AW46" s="382">
        <f t="array" aca="1" ref="AW46" ca="1">SUMPRODUCT(AW$63:AW$122,TRANSPOSE(SAP_Spreadsheet!$G$184:$BN$184))</f>
        <v>0</v>
      </c>
      <c r="AX46" s="382">
        <f t="array" aca="1" ref="AX46" ca="1">SUMPRODUCT(AX$63:AX$122,TRANSPOSE(SAP_Spreadsheet!$G$184:$BN$184))</f>
        <v>0</v>
      </c>
      <c r="AY46" s="382">
        <f t="array" aca="1" ref="AY46" ca="1">SUMPRODUCT(AY$63:AY$122,TRANSPOSE(SAP_Spreadsheet!$G$184:$BN$184))</f>
        <v>0</v>
      </c>
      <c r="AZ46" s="382">
        <f t="array" aca="1" ref="AZ46" ca="1">SUMPRODUCT(AZ$63:AZ$122,TRANSPOSE(SAP_Spreadsheet!$G$184:$BN$184))</f>
        <v>0</v>
      </c>
      <c r="BA46" s="382">
        <f t="array" aca="1" ref="BA46" ca="1">SUMPRODUCT(BA$63:BA$122,TRANSPOSE(SAP_Spreadsheet!$G$184:$BN$184))</f>
        <v>0</v>
      </c>
      <c r="BB46" s="382">
        <f t="array" aca="1" ref="BB46" ca="1">SUMPRODUCT(BB$63:BB$122,TRANSPOSE(SAP_Spreadsheet!$G$184:$BN$184))</f>
        <v>0</v>
      </c>
      <c r="BC46" s="382">
        <f t="array" aca="1" ref="BC46" ca="1">SUMPRODUCT(BC$63:BC$122,TRANSPOSE(SAP_Spreadsheet!$G$184:$BN$184))</f>
        <v>0</v>
      </c>
      <c r="BD46" s="382">
        <f t="array" aca="1" ref="BD46" ca="1">SUMPRODUCT(BD$63:BD$122,TRANSPOSE(SAP_Spreadsheet!$G$184:$BN$184))</f>
        <v>0</v>
      </c>
      <c r="BE46" s="382">
        <f t="array" aca="1" ref="BE46" ca="1">SUMPRODUCT(BE$63:BE$122,TRANSPOSE(SAP_Spreadsheet!$G$184:$BN$184))</f>
        <v>0</v>
      </c>
      <c r="BF46" s="382">
        <f t="array" aca="1" ref="BF46" ca="1">SUMPRODUCT(BF$63:BF$122,TRANSPOSE(SAP_Spreadsheet!$G$184:$BN$184))</f>
        <v>0</v>
      </c>
      <c r="BG46" s="382">
        <f t="array" aca="1" ref="BG46" ca="1">SUMPRODUCT(BG$63:BG$122,TRANSPOSE(SAP_Spreadsheet!$G$184:$BN$184))</f>
        <v>0</v>
      </c>
      <c r="BH46" s="382">
        <f t="array" aca="1" ref="BH46" ca="1">SUMPRODUCT(BH$63:BH$122,TRANSPOSE(SAP_Spreadsheet!$G$184:$BN$184))</f>
        <v>0</v>
      </c>
      <c r="BI46" s="382">
        <f t="array" aca="1" ref="BI46" ca="1">SUMPRODUCT(BI$63:BI$122,TRANSPOSE(SAP_Spreadsheet!$G$184:$BN$184))</f>
        <v>0</v>
      </c>
      <c r="BJ46" s="382">
        <f t="array" aca="1" ref="BJ46" ca="1">SUMPRODUCT(BJ$63:BJ$122,TRANSPOSE(SAP_Spreadsheet!$G$184:$BN$184))</f>
        <v>0</v>
      </c>
      <c r="BK46" s="382">
        <f t="array" aca="1" ref="BK46" ca="1">SUMPRODUCT(BK$63:BK$122,TRANSPOSE(SAP_Spreadsheet!$G$184:$BN$184))</f>
        <v>0</v>
      </c>
      <c r="BL46" s="382">
        <f t="array" aca="1" ref="BL46" ca="1">SUMPRODUCT(BL$63:BL$122,TRANSPOSE(SAP_Spreadsheet!$G$184:$BN$184))</f>
        <v>0</v>
      </c>
      <c r="BM46" s="378"/>
    </row>
    <row r="47" spans="1:65" s="379" customFormat="1" x14ac:dyDescent="0.15">
      <c r="A47" s="371"/>
      <c r="B47" s="371"/>
      <c r="D47" s="379" t="s">
        <v>415</v>
      </c>
      <c r="E47" s="382">
        <f t="array" aca="1" ref="E47" ca="1">SUMPRODUCT(E$63:E$122,TRANSPOSE(SAP_Spreadsheet!$G$185:$BN$185))</f>
        <v>0</v>
      </c>
      <c r="F47" s="382">
        <f t="array" aca="1" ref="F47" ca="1">SUMPRODUCT(F$63:F$122,TRANSPOSE(SAP_Spreadsheet!$G$185:$BN$185))</f>
        <v>0</v>
      </c>
      <c r="G47" s="382">
        <f t="array" aca="1" ref="G47" ca="1">SUMPRODUCT(G$63:G$122,TRANSPOSE(SAP_Spreadsheet!$G$185:$BN$185))</f>
        <v>0</v>
      </c>
      <c r="H47" s="382">
        <f t="array" aca="1" ref="H47" ca="1">SUMPRODUCT(H$63:H$122,TRANSPOSE(SAP_Spreadsheet!$G$185:$BN$185))</f>
        <v>0</v>
      </c>
      <c r="I47" s="382">
        <f t="array" aca="1" ref="I47" ca="1">SUMPRODUCT(I$63:I$122,TRANSPOSE(SAP_Spreadsheet!$G$185:$BN$185))</f>
        <v>0</v>
      </c>
      <c r="J47" s="382">
        <f t="array" aca="1" ref="J47" ca="1">SUMPRODUCT(J$63:J$122,TRANSPOSE(SAP_Spreadsheet!$G$185:$BN$185))</f>
        <v>0</v>
      </c>
      <c r="K47" s="382">
        <f t="array" aca="1" ref="K47" ca="1">SUMPRODUCT(K$63:K$122,TRANSPOSE(SAP_Spreadsheet!$G$185:$BN$185))</f>
        <v>0</v>
      </c>
      <c r="L47" s="382">
        <f t="array" aca="1" ref="L47" ca="1">SUMPRODUCT(L$63:L$122,TRANSPOSE(SAP_Spreadsheet!$G$185:$BN$185))</f>
        <v>0</v>
      </c>
      <c r="M47" s="382">
        <f t="array" aca="1" ref="M47" ca="1">SUMPRODUCT(M$63:M$122,TRANSPOSE(SAP_Spreadsheet!$G$185:$BN$185))</f>
        <v>0</v>
      </c>
      <c r="N47" s="382">
        <f t="array" aca="1" ref="N47" ca="1">SUMPRODUCT(N$63:N$122,TRANSPOSE(SAP_Spreadsheet!$G$185:$BN$185))</f>
        <v>0</v>
      </c>
      <c r="O47" s="382">
        <f t="array" aca="1" ref="O47" ca="1">SUMPRODUCT(O$63:O$122,TRANSPOSE(SAP_Spreadsheet!$G$185:$BN$185))</f>
        <v>0</v>
      </c>
      <c r="P47" s="382">
        <f t="array" aca="1" ref="P47" ca="1">SUMPRODUCT(P$63:P$122,TRANSPOSE(SAP_Spreadsheet!$G$185:$BN$185))</f>
        <v>0</v>
      </c>
      <c r="Q47" s="382">
        <f t="array" aca="1" ref="Q47" ca="1">SUMPRODUCT(Q$63:Q$122,TRANSPOSE(SAP_Spreadsheet!$G$185:$BN$185))</f>
        <v>0</v>
      </c>
      <c r="R47" s="382">
        <f t="array" aca="1" ref="R47" ca="1">SUMPRODUCT(R$63:R$122,TRANSPOSE(SAP_Spreadsheet!$G$185:$BN$185))</f>
        <v>0</v>
      </c>
      <c r="S47" s="382">
        <f t="array" aca="1" ref="S47" ca="1">SUMPRODUCT(S$63:S$122,TRANSPOSE(SAP_Spreadsheet!$G$185:$BN$185))</f>
        <v>0</v>
      </c>
      <c r="T47" s="382">
        <f t="array" aca="1" ref="T47" ca="1">SUMPRODUCT(T$63:T$122,TRANSPOSE(SAP_Spreadsheet!$G$185:$BN$185))</f>
        <v>0</v>
      </c>
      <c r="U47" s="382">
        <f t="array" aca="1" ref="U47" ca="1">SUMPRODUCT(U$63:U$122,TRANSPOSE(SAP_Spreadsheet!$G$185:$BN$185))</f>
        <v>0</v>
      </c>
      <c r="V47" s="382">
        <f t="array" aca="1" ref="V47" ca="1">SUMPRODUCT(V$63:V$122,TRANSPOSE(SAP_Spreadsheet!$G$185:$BN$185))</f>
        <v>0</v>
      </c>
      <c r="W47" s="382">
        <f t="array" aca="1" ref="W47" ca="1">SUMPRODUCT(W$63:W$122,TRANSPOSE(SAP_Spreadsheet!$G$185:$BN$185))</f>
        <v>0</v>
      </c>
      <c r="X47" s="382">
        <f t="array" aca="1" ref="X47" ca="1">SUMPRODUCT(X$63:X$122,TRANSPOSE(SAP_Spreadsheet!$G$185:$BN$185))</f>
        <v>0</v>
      </c>
      <c r="Y47" s="382">
        <f t="array" aca="1" ref="Y47" ca="1">SUMPRODUCT(Y$63:Y$122,TRANSPOSE(SAP_Spreadsheet!$G$185:$BN$185))</f>
        <v>0</v>
      </c>
      <c r="Z47" s="382">
        <f t="array" aca="1" ref="Z47" ca="1">SUMPRODUCT(Z$63:Z$122,TRANSPOSE(SAP_Spreadsheet!$G$185:$BN$185))</f>
        <v>0</v>
      </c>
      <c r="AA47" s="382">
        <f t="array" aca="1" ref="AA47" ca="1">SUMPRODUCT(AA$63:AA$122,TRANSPOSE(SAP_Spreadsheet!$G$185:$BN$185))</f>
        <v>0</v>
      </c>
      <c r="AB47" s="382">
        <f t="array" aca="1" ref="AB47" ca="1">SUMPRODUCT(AB$63:AB$122,TRANSPOSE(SAP_Spreadsheet!$G$185:$BN$185))</f>
        <v>0</v>
      </c>
      <c r="AC47" s="382">
        <f t="array" aca="1" ref="AC47" ca="1">SUMPRODUCT(AC$63:AC$122,TRANSPOSE(SAP_Spreadsheet!$G$185:$BN$185))</f>
        <v>0</v>
      </c>
      <c r="AD47" s="382">
        <f t="array" aca="1" ref="AD47" ca="1">SUMPRODUCT(AD$63:AD$122,TRANSPOSE(SAP_Spreadsheet!$G$185:$BN$185))</f>
        <v>0</v>
      </c>
      <c r="AE47" s="382">
        <f t="array" aca="1" ref="AE47" ca="1">SUMPRODUCT(AE$63:AE$122,TRANSPOSE(SAP_Spreadsheet!$G$185:$BN$185))</f>
        <v>0</v>
      </c>
      <c r="AF47" s="382">
        <f t="array" aca="1" ref="AF47" ca="1">SUMPRODUCT(AF$63:AF$122,TRANSPOSE(SAP_Spreadsheet!$G$185:$BN$185))</f>
        <v>0</v>
      </c>
      <c r="AG47" s="382">
        <f t="array" aca="1" ref="AG47" ca="1">SUMPRODUCT(AG$63:AG$122,TRANSPOSE(SAP_Spreadsheet!$G$185:$BN$185))</f>
        <v>0</v>
      </c>
      <c r="AH47" s="382">
        <f t="array" aca="1" ref="AH47" ca="1">SUMPRODUCT(AH$63:AH$122,TRANSPOSE(SAP_Spreadsheet!$G$185:$BN$185))</f>
        <v>0</v>
      </c>
      <c r="AI47" s="382">
        <f t="array" aca="1" ref="AI47" ca="1">SUMPRODUCT(AI$63:AI$122,TRANSPOSE(SAP_Spreadsheet!$G$185:$BN$185))</f>
        <v>0</v>
      </c>
      <c r="AJ47" s="382">
        <f t="array" aca="1" ref="AJ47" ca="1">SUMPRODUCT(AJ$63:AJ$122,TRANSPOSE(SAP_Spreadsheet!$G$185:$BN$185))</f>
        <v>0</v>
      </c>
      <c r="AK47" s="382">
        <f t="array" aca="1" ref="AK47" ca="1">SUMPRODUCT(AK$63:AK$122,TRANSPOSE(SAP_Spreadsheet!$G$185:$BN$185))</f>
        <v>0</v>
      </c>
      <c r="AL47" s="382">
        <f t="array" aca="1" ref="AL47" ca="1">SUMPRODUCT(AL$63:AL$122,TRANSPOSE(SAP_Spreadsheet!$G$185:$BN$185))</f>
        <v>0</v>
      </c>
      <c r="AM47" s="382">
        <f t="array" aca="1" ref="AM47" ca="1">SUMPRODUCT(AM$63:AM$122,TRANSPOSE(SAP_Spreadsheet!$G$185:$BN$185))</f>
        <v>0</v>
      </c>
      <c r="AN47" s="382">
        <f t="array" aca="1" ref="AN47" ca="1">SUMPRODUCT(AN$63:AN$122,TRANSPOSE(SAP_Spreadsheet!$G$185:$BN$185))</f>
        <v>0</v>
      </c>
      <c r="AO47" s="382">
        <f t="array" aca="1" ref="AO47" ca="1">SUMPRODUCT(AO$63:AO$122,TRANSPOSE(SAP_Spreadsheet!$G$185:$BN$185))</f>
        <v>0</v>
      </c>
      <c r="AP47" s="382">
        <f t="array" aca="1" ref="AP47" ca="1">SUMPRODUCT(AP$63:AP$122,TRANSPOSE(SAP_Spreadsheet!$G$185:$BN$185))</f>
        <v>0</v>
      </c>
      <c r="AQ47" s="382">
        <f t="array" aca="1" ref="AQ47" ca="1">SUMPRODUCT(AQ$63:AQ$122,TRANSPOSE(SAP_Spreadsheet!$G$185:$BN$185))</f>
        <v>0</v>
      </c>
      <c r="AR47" s="382">
        <f t="array" aca="1" ref="AR47" ca="1">SUMPRODUCT(AR$63:AR$122,TRANSPOSE(SAP_Spreadsheet!$G$185:$BN$185))</f>
        <v>0</v>
      </c>
      <c r="AS47" s="382">
        <f t="array" aca="1" ref="AS47" ca="1">SUMPRODUCT(AS$63:AS$122,TRANSPOSE(SAP_Spreadsheet!$G$185:$BN$185))</f>
        <v>0</v>
      </c>
      <c r="AT47" s="382">
        <f t="array" aca="1" ref="AT47" ca="1">SUMPRODUCT(AT$63:AT$122,TRANSPOSE(SAP_Spreadsheet!$G$185:$BN$185))</f>
        <v>0</v>
      </c>
      <c r="AU47" s="382">
        <f t="array" aca="1" ref="AU47" ca="1">SUMPRODUCT(AU$63:AU$122,TRANSPOSE(SAP_Spreadsheet!$G$185:$BN$185))</f>
        <v>0</v>
      </c>
      <c r="AV47" s="382">
        <f t="array" aca="1" ref="AV47" ca="1">SUMPRODUCT(AV$63:AV$122,TRANSPOSE(SAP_Spreadsheet!$G$185:$BN$185))</f>
        <v>0</v>
      </c>
      <c r="AW47" s="382">
        <f t="array" aca="1" ref="AW47" ca="1">SUMPRODUCT(AW$63:AW$122,TRANSPOSE(SAP_Spreadsheet!$G$185:$BN$185))</f>
        <v>0</v>
      </c>
      <c r="AX47" s="382">
        <f t="array" aca="1" ref="AX47" ca="1">SUMPRODUCT(AX$63:AX$122,TRANSPOSE(SAP_Spreadsheet!$G$185:$BN$185))</f>
        <v>0</v>
      </c>
      <c r="AY47" s="382">
        <f t="array" aca="1" ref="AY47" ca="1">SUMPRODUCT(AY$63:AY$122,TRANSPOSE(SAP_Spreadsheet!$G$185:$BN$185))</f>
        <v>0</v>
      </c>
      <c r="AZ47" s="382">
        <f t="array" aca="1" ref="AZ47" ca="1">SUMPRODUCT(AZ$63:AZ$122,TRANSPOSE(SAP_Spreadsheet!$G$185:$BN$185))</f>
        <v>0</v>
      </c>
      <c r="BA47" s="382">
        <f t="array" aca="1" ref="BA47" ca="1">SUMPRODUCT(BA$63:BA$122,TRANSPOSE(SAP_Spreadsheet!$G$185:$BN$185))</f>
        <v>0</v>
      </c>
      <c r="BB47" s="382">
        <f t="array" aca="1" ref="BB47" ca="1">SUMPRODUCT(BB$63:BB$122,TRANSPOSE(SAP_Spreadsheet!$G$185:$BN$185))</f>
        <v>0</v>
      </c>
      <c r="BC47" s="382">
        <f t="array" aca="1" ref="BC47" ca="1">SUMPRODUCT(BC$63:BC$122,TRANSPOSE(SAP_Spreadsheet!$G$185:$BN$185))</f>
        <v>0</v>
      </c>
      <c r="BD47" s="382">
        <f t="array" aca="1" ref="BD47" ca="1">SUMPRODUCT(BD$63:BD$122,TRANSPOSE(SAP_Spreadsheet!$G$185:$BN$185))</f>
        <v>0</v>
      </c>
      <c r="BE47" s="382">
        <f t="array" aca="1" ref="BE47" ca="1">SUMPRODUCT(BE$63:BE$122,TRANSPOSE(SAP_Spreadsheet!$G$185:$BN$185))</f>
        <v>0</v>
      </c>
      <c r="BF47" s="382">
        <f t="array" aca="1" ref="BF47" ca="1">SUMPRODUCT(BF$63:BF$122,TRANSPOSE(SAP_Spreadsheet!$G$185:$BN$185))</f>
        <v>0</v>
      </c>
      <c r="BG47" s="382">
        <f t="array" aca="1" ref="BG47" ca="1">SUMPRODUCT(BG$63:BG$122,TRANSPOSE(SAP_Spreadsheet!$G$185:$BN$185))</f>
        <v>0</v>
      </c>
      <c r="BH47" s="382">
        <f t="array" aca="1" ref="BH47" ca="1">SUMPRODUCT(BH$63:BH$122,TRANSPOSE(SAP_Spreadsheet!$G$185:$BN$185))</f>
        <v>0</v>
      </c>
      <c r="BI47" s="382">
        <f t="array" aca="1" ref="BI47" ca="1">SUMPRODUCT(BI$63:BI$122,TRANSPOSE(SAP_Spreadsheet!$G$185:$BN$185))</f>
        <v>0</v>
      </c>
      <c r="BJ47" s="382">
        <f t="array" aca="1" ref="BJ47" ca="1">SUMPRODUCT(BJ$63:BJ$122,TRANSPOSE(SAP_Spreadsheet!$G$185:$BN$185))</f>
        <v>0</v>
      </c>
      <c r="BK47" s="382">
        <f t="array" aca="1" ref="BK47" ca="1">SUMPRODUCT(BK$63:BK$122,TRANSPOSE(SAP_Spreadsheet!$G$185:$BN$185))</f>
        <v>0</v>
      </c>
      <c r="BL47" s="382">
        <f t="array" aca="1" ref="BL47" ca="1">SUMPRODUCT(BL$63:BL$122,TRANSPOSE(SAP_Spreadsheet!$G$185:$BN$185))</f>
        <v>0</v>
      </c>
      <c r="BM47" s="378"/>
    </row>
    <row r="48" spans="1:65" s="379" customFormat="1" x14ac:dyDescent="0.15">
      <c r="A48" s="371"/>
      <c r="B48" s="371"/>
      <c r="D48" s="379" t="s">
        <v>416</v>
      </c>
      <c r="E48" s="382">
        <f t="array" aca="1" ref="E48" ca="1">SUMPRODUCT(E$63:E$122,TRANSPOSE(SAP_Spreadsheet!$G$186:$BN$186))</f>
        <v>0</v>
      </c>
      <c r="F48" s="382">
        <f t="array" aca="1" ref="F48" ca="1">SUMPRODUCT(F$63:F$122,TRANSPOSE(SAP_Spreadsheet!$G$186:$BN$186))</f>
        <v>0</v>
      </c>
      <c r="G48" s="382">
        <f t="array" aca="1" ref="G48" ca="1">SUMPRODUCT(G$63:G$122,TRANSPOSE(SAP_Spreadsheet!$G$186:$BN$186))</f>
        <v>0</v>
      </c>
      <c r="H48" s="382">
        <f t="array" aca="1" ref="H48" ca="1">SUMPRODUCT(H$63:H$122,TRANSPOSE(SAP_Spreadsheet!$G$186:$BN$186))</f>
        <v>0</v>
      </c>
      <c r="I48" s="382">
        <f t="array" aca="1" ref="I48" ca="1">SUMPRODUCT(I$63:I$122,TRANSPOSE(SAP_Spreadsheet!$G$186:$BN$186))</f>
        <v>0</v>
      </c>
      <c r="J48" s="382">
        <f t="array" aca="1" ref="J48" ca="1">SUMPRODUCT(J$63:J$122,TRANSPOSE(SAP_Spreadsheet!$G$186:$BN$186))</f>
        <v>0</v>
      </c>
      <c r="K48" s="382">
        <f t="array" aca="1" ref="K48" ca="1">SUMPRODUCT(K$63:K$122,TRANSPOSE(SAP_Spreadsheet!$G$186:$BN$186))</f>
        <v>0</v>
      </c>
      <c r="L48" s="382">
        <f t="array" aca="1" ref="L48" ca="1">SUMPRODUCT(L$63:L$122,TRANSPOSE(SAP_Spreadsheet!$G$186:$BN$186))</f>
        <v>0</v>
      </c>
      <c r="M48" s="382">
        <f t="array" aca="1" ref="M48" ca="1">SUMPRODUCT(M$63:M$122,TRANSPOSE(SAP_Spreadsheet!$G$186:$BN$186))</f>
        <v>0</v>
      </c>
      <c r="N48" s="382">
        <f t="array" aca="1" ref="N48" ca="1">SUMPRODUCT(N$63:N$122,TRANSPOSE(SAP_Spreadsheet!$G$186:$BN$186))</f>
        <v>0</v>
      </c>
      <c r="O48" s="382">
        <f t="array" aca="1" ref="O48" ca="1">SUMPRODUCT(O$63:O$122,TRANSPOSE(SAP_Spreadsheet!$G$186:$BN$186))</f>
        <v>0</v>
      </c>
      <c r="P48" s="382">
        <f t="array" aca="1" ref="P48" ca="1">SUMPRODUCT(P$63:P$122,TRANSPOSE(SAP_Spreadsheet!$G$186:$BN$186))</f>
        <v>0</v>
      </c>
      <c r="Q48" s="382">
        <f t="array" aca="1" ref="Q48" ca="1">SUMPRODUCT(Q$63:Q$122,TRANSPOSE(SAP_Spreadsheet!$G$186:$BN$186))</f>
        <v>0</v>
      </c>
      <c r="R48" s="382">
        <f t="array" aca="1" ref="R48" ca="1">SUMPRODUCT(R$63:R$122,TRANSPOSE(SAP_Spreadsheet!$G$186:$BN$186))</f>
        <v>0</v>
      </c>
      <c r="S48" s="382">
        <f t="array" aca="1" ref="S48" ca="1">SUMPRODUCT(S$63:S$122,TRANSPOSE(SAP_Spreadsheet!$G$186:$BN$186))</f>
        <v>0</v>
      </c>
      <c r="T48" s="382">
        <f t="array" aca="1" ref="T48" ca="1">SUMPRODUCT(T$63:T$122,TRANSPOSE(SAP_Spreadsheet!$G$186:$BN$186))</f>
        <v>0</v>
      </c>
      <c r="U48" s="382">
        <f t="array" aca="1" ref="U48" ca="1">SUMPRODUCT(U$63:U$122,TRANSPOSE(SAP_Spreadsheet!$G$186:$BN$186))</f>
        <v>0</v>
      </c>
      <c r="V48" s="382">
        <f t="array" aca="1" ref="V48" ca="1">SUMPRODUCT(V$63:V$122,TRANSPOSE(SAP_Spreadsheet!$G$186:$BN$186))</f>
        <v>0</v>
      </c>
      <c r="W48" s="382">
        <f t="array" aca="1" ref="W48" ca="1">SUMPRODUCT(W$63:W$122,TRANSPOSE(SAP_Spreadsheet!$G$186:$BN$186))</f>
        <v>0</v>
      </c>
      <c r="X48" s="382">
        <f t="array" aca="1" ref="X48" ca="1">SUMPRODUCT(X$63:X$122,TRANSPOSE(SAP_Spreadsheet!$G$186:$BN$186))</f>
        <v>0</v>
      </c>
      <c r="Y48" s="382">
        <f t="array" aca="1" ref="Y48" ca="1">SUMPRODUCT(Y$63:Y$122,TRANSPOSE(SAP_Spreadsheet!$G$186:$BN$186))</f>
        <v>0</v>
      </c>
      <c r="Z48" s="382">
        <f t="array" aca="1" ref="Z48" ca="1">SUMPRODUCT(Z$63:Z$122,TRANSPOSE(SAP_Spreadsheet!$G$186:$BN$186))</f>
        <v>0</v>
      </c>
      <c r="AA48" s="382">
        <f t="array" aca="1" ref="AA48" ca="1">SUMPRODUCT(AA$63:AA$122,TRANSPOSE(SAP_Spreadsheet!$G$186:$BN$186))</f>
        <v>0</v>
      </c>
      <c r="AB48" s="382">
        <f t="array" aca="1" ref="AB48" ca="1">SUMPRODUCT(AB$63:AB$122,TRANSPOSE(SAP_Spreadsheet!$G$186:$BN$186))</f>
        <v>0</v>
      </c>
      <c r="AC48" s="382">
        <f t="array" aca="1" ref="AC48" ca="1">SUMPRODUCT(AC$63:AC$122,TRANSPOSE(SAP_Spreadsheet!$G$186:$BN$186))</f>
        <v>0</v>
      </c>
      <c r="AD48" s="382">
        <f t="array" aca="1" ref="AD48" ca="1">SUMPRODUCT(AD$63:AD$122,TRANSPOSE(SAP_Spreadsheet!$G$186:$BN$186))</f>
        <v>0</v>
      </c>
      <c r="AE48" s="382">
        <f t="array" aca="1" ref="AE48" ca="1">SUMPRODUCT(AE$63:AE$122,TRANSPOSE(SAP_Spreadsheet!$G$186:$BN$186))</f>
        <v>0</v>
      </c>
      <c r="AF48" s="382">
        <f t="array" aca="1" ref="AF48" ca="1">SUMPRODUCT(AF$63:AF$122,TRANSPOSE(SAP_Spreadsheet!$G$186:$BN$186))</f>
        <v>0</v>
      </c>
      <c r="AG48" s="382">
        <f t="array" aca="1" ref="AG48" ca="1">SUMPRODUCT(AG$63:AG$122,TRANSPOSE(SAP_Spreadsheet!$G$186:$BN$186))</f>
        <v>0</v>
      </c>
      <c r="AH48" s="382">
        <f t="array" aca="1" ref="AH48" ca="1">SUMPRODUCT(AH$63:AH$122,TRANSPOSE(SAP_Spreadsheet!$G$186:$BN$186))</f>
        <v>0</v>
      </c>
      <c r="AI48" s="382">
        <f t="array" aca="1" ref="AI48" ca="1">SUMPRODUCT(AI$63:AI$122,TRANSPOSE(SAP_Spreadsheet!$G$186:$BN$186))</f>
        <v>0</v>
      </c>
      <c r="AJ48" s="382">
        <f t="array" aca="1" ref="AJ48" ca="1">SUMPRODUCT(AJ$63:AJ$122,TRANSPOSE(SAP_Spreadsheet!$G$186:$BN$186))</f>
        <v>0</v>
      </c>
      <c r="AK48" s="382">
        <f t="array" aca="1" ref="AK48" ca="1">SUMPRODUCT(AK$63:AK$122,TRANSPOSE(SAP_Spreadsheet!$G$186:$BN$186))</f>
        <v>0</v>
      </c>
      <c r="AL48" s="382">
        <f t="array" aca="1" ref="AL48" ca="1">SUMPRODUCT(AL$63:AL$122,TRANSPOSE(SAP_Spreadsheet!$G$186:$BN$186))</f>
        <v>0</v>
      </c>
      <c r="AM48" s="382">
        <f t="array" aca="1" ref="AM48" ca="1">SUMPRODUCT(AM$63:AM$122,TRANSPOSE(SAP_Spreadsheet!$G$186:$BN$186))</f>
        <v>0</v>
      </c>
      <c r="AN48" s="382">
        <f t="array" aca="1" ref="AN48" ca="1">SUMPRODUCT(AN$63:AN$122,TRANSPOSE(SAP_Spreadsheet!$G$186:$BN$186))</f>
        <v>0</v>
      </c>
      <c r="AO48" s="382">
        <f t="array" aca="1" ref="AO48" ca="1">SUMPRODUCT(AO$63:AO$122,TRANSPOSE(SAP_Spreadsheet!$G$186:$BN$186))</f>
        <v>0</v>
      </c>
      <c r="AP48" s="382">
        <f t="array" aca="1" ref="AP48" ca="1">SUMPRODUCT(AP$63:AP$122,TRANSPOSE(SAP_Spreadsheet!$G$186:$BN$186))</f>
        <v>0</v>
      </c>
      <c r="AQ48" s="382">
        <f t="array" aca="1" ref="AQ48" ca="1">SUMPRODUCT(AQ$63:AQ$122,TRANSPOSE(SAP_Spreadsheet!$G$186:$BN$186))</f>
        <v>0</v>
      </c>
      <c r="AR48" s="382">
        <f t="array" aca="1" ref="AR48" ca="1">SUMPRODUCT(AR$63:AR$122,TRANSPOSE(SAP_Spreadsheet!$G$186:$BN$186))</f>
        <v>0</v>
      </c>
      <c r="AS48" s="382">
        <f t="array" aca="1" ref="AS48" ca="1">SUMPRODUCT(AS$63:AS$122,TRANSPOSE(SAP_Spreadsheet!$G$186:$BN$186))</f>
        <v>0</v>
      </c>
      <c r="AT48" s="382">
        <f t="array" aca="1" ref="AT48" ca="1">SUMPRODUCT(AT$63:AT$122,TRANSPOSE(SAP_Spreadsheet!$G$186:$BN$186))</f>
        <v>0</v>
      </c>
      <c r="AU48" s="382">
        <f t="array" aca="1" ref="AU48" ca="1">SUMPRODUCT(AU$63:AU$122,TRANSPOSE(SAP_Spreadsheet!$G$186:$BN$186))</f>
        <v>0</v>
      </c>
      <c r="AV48" s="382">
        <f t="array" aca="1" ref="AV48" ca="1">SUMPRODUCT(AV$63:AV$122,TRANSPOSE(SAP_Spreadsheet!$G$186:$BN$186))</f>
        <v>0</v>
      </c>
      <c r="AW48" s="382">
        <f t="array" aca="1" ref="AW48" ca="1">SUMPRODUCT(AW$63:AW$122,TRANSPOSE(SAP_Spreadsheet!$G$186:$BN$186))</f>
        <v>0</v>
      </c>
      <c r="AX48" s="382">
        <f t="array" aca="1" ref="AX48" ca="1">SUMPRODUCT(AX$63:AX$122,TRANSPOSE(SAP_Spreadsheet!$G$186:$BN$186))</f>
        <v>0</v>
      </c>
      <c r="AY48" s="382">
        <f t="array" aca="1" ref="AY48" ca="1">SUMPRODUCT(AY$63:AY$122,TRANSPOSE(SAP_Spreadsheet!$G$186:$BN$186))</f>
        <v>0</v>
      </c>
      <c r="AZ48" s="382">
        <f t="array" aca="1" ref="AZ48" ca="1">SUMPRODUCT(AZ$63:AZ$122,TRANSPOSE(SAP_Spreadsheet!$G$186:$BN$186))</f>
        <v>0</v>
      </c>
      <c r="BA48" s="382">
        <f t="array" aca="1" ref="BA48" ca="1">SUMPRODUCT(BA$63:BA$122,TRANSPOSE(SAP_Spreadsheet!$G$186:$BN$186))</f>
        <v>0</v>
      </c>
      <c r="BB48" s="382">
        <f t="array" aca="1" ref="BB48" ca="1">SUMPRODUCT(BB$63:BB$122,TRANSPOSE(SAP_Spreadsheet!$G$186:$BN$186))</f>
        <v>0</v>
      </c>
      <c r="BC48" s="382">
        <f t="array" aca="1" ref="BC48" ca="1">SUMPRODUCT(BC$63:BC$122,TRANSPOSE(SAP_Spreadsheet!$G$186:$BN$186))</f>
        <v>0</v>
      </c>
      <c r="BD48" s="382">
        <f t="array" aca="1" ref="BD48" ca="1">SUMPRODUCT(BD$63:BD$122,TRANSPOSE(SAP_Spreadsheet!$G$186:$BN$186))</f>
        <v>0</v>
      </c>
      <c r="BE48" s="382">
        <f t="array" aca="1" ref="BE48" ca="1">SUMPRODUCT(BE$63:BE$122,TRANSPOSE(SAP_Spreadsheet!$G$186:$BN$186))</f>
        <v>0</v>
      </c>
      <c r="BF48" s="382">
        <f t="array" aca="1" ref="BF48" ca="1">SUMPRODUCT(BF$63:BF$122,TRANSPOSE(SAP_Spreadsheet!$G$186:$BN$186))</f>
        <v>0</v>
      </c>
      <c r="BG48" s="382">
        <f t="array" aca="1" ref="BG48" ca="1">SUMPRODUCT(BG$63:BG$122,TRANSPOSE(SAP_Spreadsheet!$G$186:$BN$186))</f>
        <v>0</v>
      </c>
      <c r="BH48" s="382">
        <f t="array" aca="1" ref="BH48" ca="1">SUMPRODUCT(BH$63:BH$122,TRANSPOSE(SAP_Spreadsheet!$G$186:$BN$186))</f>
        <v>0</v>
      </c>
      <c r="BI48" s="382">
        <f t="array" aca="1" ref="BI48" ca="1">SUMPRODUCT(BI$63:BI$122,TRANSPOSE(SAP_Spreadsheet!$G$186:$BN$186))</f>
        <v>0</v>
      </c>
      <c r="BJ48" s="382">
        <f t="array" aca="1" ref="BJ48" ca="1">SUMPRODUCT(BJ$63:BJ$122,TRANSPOSE(SAP_Spreadsheet!$G$186:$BN$186))</f>
        <v>0</v>
      </c>
      <c r="BK48" s="382">
        <f t="array" aca="1" ref="BK48" ca="1">SUMPRODUCT(BK$63:BK$122,TRANSPOSE(SAP_Spreadsheet!$G$186:$BN$186))</f>
        <v>0</v>
      </c>
      <c r="BL48" s="382">
        <f t="array" aca="1" ref="BL48" ca="1">SUMPRODUCT(BL$63:BL$122,TRANSPOSE(SAP_Spreadsheet!$G$186:$BN$186))</f>
        <v>0</v>
      </c>
      <c r="BM48" s="378"/>
    </row>
    <row r="49" spans="1:65" s="379" customFormat="1" x14ac:dyDescent="0.15">
      <c r="A49" s="371"/>
      <c r="B49" s="371"/>
      <c r="D49" s="379" t="s">
        <v>417</v>
      </c>
      <c r="E49" s="382">
        <f t="array" aca="1" ref="E49" ca="1">SUMPRODUCT(E$63:E$122,TRANSPOSE(SAP_Spreadsheet!$G$187:$BN$187))</f>
        <v>0</v>
      </c>
      <c r="F49" s="382">
        <f t="array" aca="1" ref="F49" ca="1">SUMPRODUCT(F$63:F$122,TRANSPOSE(SAP_Spreadsheet!$G$187:$BN$187))</f>
        <v>0</v>
      </c>
      <c r="G49" s="382">
        <f t="array" aca="1" ref="G49" ca="1">SUMPRODUCT(G$63:G$122,TRANSPOSE(SAP_Spreadsheet!$G$187:$BN$187))</f>
        <v>0</v>
      </c>
      <c r="H49" s="382">
        <f t="array" aca="1" ref="H49" ca="1">SUMPRODUCT(H$63:H$122,TRANSPOSE(SAP_Spreadsheet!$G$187:$BN$187))</f>
        <v>0</v>
      </c>
      <c r="I49" s="382">
        <f t="array" aca="1" ref="I49" ca="1">SUMPRODUCT(I$63:I$122,TRANSPOSE(SAP_Spreadsheet!$G$187:$BN$187))</f>
        <v>0</v>
      </c>
      <c r="J49" s="382">
        <f t="array" aca="1" ref="J49" ca="1">SUMPRODUCT(J$63:J$122,TRANSPOSE(SAP_Spreadsheet!$G$187:$BN$187))</f>
        <v>0</v>
      </c>
      <c r="K49" s="382">
        <f t="array" aca="1" ref="K49" ca="1">SUMPRODUCT(K$63:K$122,TRANSPOSE(SAP_Spreadsheet!$G$187:$BN$187))</f>
        <v>0</v>
      </c>
      <c r="L49" s="382">
        <f t="array" aca="1" ref="L49" ca="1">SUMPRODUCT(L$63:L$122,TRANSPOSE(SAP_Spreadsheet!$G$187:$BN$187))</f>
        <v>0</v>
      </c>
      <c r="M49" s="382">
        <f t="array" aca="1" ref="M49" ca="1">SUMPRODUCT(M$63:M$122,TRANSPOSE(SAP_Spreadsheet!$G$187:$BN$187))</f>
        <v>0</v>
      </c>
      <c r="N49" s="382">
        <f t="array" aca="1" ref="N49" ca="1">SUMPRODUCT(N$63:N$122,TRANSPOSE(SAP_Spreadsheet!$G$187:$BN$187))</f>
        <v>0</v>
      </c>
      <c r="O49" s="382">
        <f t="array" aca="1" ref="O49" ca="1">SUMPRODUCT(O$63:O$122,TRANSPOSE(SAP_Spreadsheet!$G$187:$BN$187))</f>
        <v>0</v>
      </c>
      <c r="P49" s="382">
        <f t="array" aca="1" ref="P49" ca="1">SUMPRODUCT(P$63:P$122,TRANSPOSE(SAP_Spreadsheet!$G$187:$BN$187))</f>
        <v>0</v>
      </c>
      <c r="Q49" s="382">
        <f t="array" aca="1" ref="Q49" ca="1">SUMPRODUCT(Q$63:Q$122,TRANSPOSE(SAP_Spreadsheet!$G$187:$BN$187))</f>
        <v>0</v>
      </c>
      <c r="R49" s="382">
        <f t="array" aca="1" ref="R49" ca="1">SUMPRODUCT(R$63:R$122,TRANSPOSE(SAP_Spreadsheet!$G$187:$BN$187))</f>
        <v>0</v>
      </c>
      <c r="S49" s="382">
        <f t="array" aca="1" ref="S49" ca="1">SUMPRODUCT(S$63:S$122,TRANSPOSE(SAP_Spreadsheet!$G$187:$BN$187))</f>
        <v>0</v>
      </c>
      <c r="T49" s="382">
        <f t="array" aca="1" ref="T49" ca="1">SUMPRODUCT(T$63:T$122,TRANSPOSE(SAP_Spreadsheet!$G$187:$BN$187))</f>
        <v>0</v>
      </c>
      <c r="U49" s="382">
        <f t="array" aca="1" ref="U49" ca="1">SUMPRODUCT(U$63:U$122,TRANSPOSE(SAP_Spreadsheet!$G$187:$BN$187))</f>
        <v>0</v>
      </c>
      <c r="V49" s="382">
        <f t="array" aca="1" ref="V49" ca="1">SUMPRODUCT(V$63:V$122,TRANSPOSE(SAP_Spreadsheet!$G$187:$BN$187))</f>
        <v>0</v>
      </c>
      <c r="W49" s="382">
        <f t="array" aca="1" ref="W49" ca="1">SUMPRODUCT(W$63:W$122,TRANSPOSE(SAP_Spreadsheet!$G$187:$BN$187))</f>
        <v>0</v>
      </c>
      <c r="X49" s="382">
        <f t="array" aca="1" ref="X49" ca="1">SUMPRODUCT(X$63:X$122,TRANSPOSE(SAP_Spreadsheet!$G$187:$BN$187))</f>
        <v>0</v>
      </c>
      <c r="Y49" s="382">
        <f t="array" aca="1" ref="Y49" ca="1">SUMPRODUCT(Y$63:Y$122,TRANSPOSE(SAP_Spreadsheet!$G$187:$BN$187))</f>
        <v>0</v>
      </c>
      <c r="Z49" s="382">
        <f t="array" aca="1" ref="Z49" ca="1">SUMPRODUCT(Z$63:Z$122,TRANSPOSE(SAP_Spreadsheet!$G$187:$BN$187))</f>
        <v>0</v>
      </c>
      <c r="AA49" s="382">
        <f t="array" aca="1" ref="AA49" ca="1">SUMPRODUCT(AA$63:AA$122,TRANSPOSE(SAP_Spreadsheet!$G$187:$BN$187))</f>
        <v>0</v>
      </c>
      <c r="AB49" s="382">
        <f t="array" aca="1" ref="AB49" ca="1">SUMPRODUCT(AB$63:AB$122,TRANSPOSE(SAP_Spreadsheet!$G$187:$BN$187))</f>
        <v>0</v>
      </c>
      <c r="AC49" s="382">
        <f t="array" aca="1" ref="AC49" ca="1">SUMPRODUCT(AC$63:AC$122,TRANSPOSE(SAP_Spreadsheet!$G$187:$BN$187))</f>
        <v>0</v>
      </c>
      <c r="AD49" s="382">
        <f t="array" aca="1" ref="AD49" ca="1">SUMPRODUCT(AD$63:AD$122,TRANSPOSE(SAP_Spreadsheet!$G$187:$BN$187))</f>
        <v>0</v>
      </c>
      <c r="AE49" s="382">
        <f t="array" aca="1" ref="AE49" ca="1">SUMPRODUCT(AE$63:AE$122,TRANSPOSE(SAP_Spreadsheet!$G$187:$BN$187))</f>
        <v>0</v>
      </c>
      <c r="AF49" s="382">
        <f t="array" aca="1" ref="AF49" ca="1">SUMPRODUCT(AF$63:AF$122,TRANSPOSE(SAP_Spreadsheet!$G$187:$BN$187))</f>
        <v>0</v>
      </c>
      <c r="AG49" s="382">
        <f t="array" aca="1" ref="AG49" ca="1">SUMPRODUCT(AG$63:AG$122,TRANSPOSE(SAP_Spreadsheet!$G$187:$BN$187))</f>
        <v>0</v>
      </c>
      <c r="AH49" s="382">
        <f t="array" aca="1" ref="AH49" ca="1">SUMPRODUCT(AH$63:AH$122,TRANSPOSE(SAP_Spreadsheet!$G$187:$BN$187))</f>
        <v>0</v>
      </c>
      <c r="AI49" s="382">
        <f t="array" aca="1" ref="AI49" ca="1">SUMPRODUCT(AI$63:AI$122,TRANSPOSE(SAP_Spreadsheet!$G$187:$BN$187))</f>
        <v>0</v>
      </c>
      <c r="AJ49" s="382">
        <f t="array" aca="1" ref="AJ49" ca="1">SUMPRODUCT(AJ$63:AJ$122,TRANSPOSE(SAP_Spreadsheet!$G$187:$BN$187))</f>
        <v>0</v>
      </c>
      <c r="AK49" s="382">
        <f t="array" aca="1" ref="AK49" ca="1">SUMPRODUCT(AK$63:AK$122,TRANSPOSE(SAP_Spreadsheet!$G$187:$BN$187))</f>
        <v>0</v>
      </c>
      <c r="AL49" s="382">
        <f t="array" aca="1" ref="AL49" ca="1">SUMPRODUCT(AL$63:AL$122,TRANSPOSE(SAP_Spreadsheet!$G$187:$BN$187))</f>
        <v>0</v>
      </c>
      <c r="AM49" s="382">
        <f t="array" aca="1" ref="AM49" ca="1">SUMPRODUCT(AM$63:AM$122,TRANSPOSE(SAP_Spreadsheet!$G$187:$BN$187))</f>
        <v>0</v>
      </c>
      <c r="AN49" s="382">
        <f t="array" aca="1" ref="AN49" ca="1">SUMPRODUCT(AN$63:AN$122,TRANSPOSE(SAP_Spreadsheet!$G$187:$BN$187))</f>
        <v>0</v>
      </c>
      <c r="AO49" s="382">
        <f t="array" aca="1" ref="AO49" ca="1">SUMPRODUCT(AO$63:AO$122,TRANSPOSE(SAP_Spreadsheet!$G$187:$BN$187))</f>
        <v>0</v>
      </c>
      <c r="AP49" s="382">
        <f t="array" aca="1" ref="AP49" ca="1">SUMPRODUCT(AP$63:AP$122,TRANSPOSE(SAP_Spreadsheet!$G$187:$BN$187))</f>
        <v>0</v>
      </c>
      <c r="AQ49" s="382">
        <f t="array" aca="1" ref="AQ49" ca="1">SUMPRODUCT(AQ$63:AQ$122,TRANSPOSE(SAP_Spreadsheet!$G$187:$BN$187))</f>
        <v>0</v>
      </c>
      <c r="AR49" s="382">
        <f t="array" aca="1" ref="AR49" ca="1">SUMPRODUCT(AR$63:AR$122,TRANSPOSE(SAP_Spreadsheet!$G$187:$BN$187))</f>
        <v>0</v>
      </c>
      <c r="AS49" s="382">
        <f t="array" aca="1" ref="AS49" ca="1">SUMPRODUCT(AS$63:AS$122,TRANSPOSE(SAP_Spreadsheet!$G$187:$BN$187))</f>
        <v>0</v>
      </c>
      <c r="AT49" s="382">
        <f t="array" aca="1" ref="AT49" ca="1">SUMPRODUCT(AT$63:AT$122,TRANSPOSE(SAP_Spreadsheet!$G$187:$BN$187))</f>
        <v>0</v>
      </c>
      <c r="AU49" s="382">
        <f t="array" aca="1" ref="AU49" ca="1">SUMPRODUCT(AU$63:AU$122,TRANSPOSE(SAP_Spreadsheet!$G$187:$BN$187))</f>
        <v>0</v>
      </c>
      <c r="AV49" s="382">
        <f t="array" aca="1" ref="AV49" ca="1">SUMPRODUCT(AV$63:AV$122,TRANSPOSE(SAP_Spreadsheet!$G$187:$BN$187))</f>
        <v>0</v>
      </c>
      <c r="AW49" s="382">
        <f t="array" aca="1" ref="AW49" ca="1">SUMPRODUCT(AW$63:AW$122,TRANSPOSE(SAP_Spreadsheet!$G$187:$BN$187))</f>
        <v>0</v>
      </c>
      <c r="AX49" s="382">
        <f t="array" aca="1" ref="AX49" ca="1">SUMPRODUCT(AX$63:AX$122,TRANSPOSE(SAP_Spreadsheet!$G$187:$BN$187))</f>
        <v>0</v>
      </c>
      <c r="AY49" s="382">
        <f t="array" aca="1" ref="AY49" ca="1">SUMPRODUCT(AY$63:AY$122,TRANSPOSE(SAP_Spreadsheet!$G$187:$BN$187))</f>
        <v>0</v>
      </c>
      <c r="AZ49" s="382">
        <f t="array" aca="1" ref="AZ49" ca="1">SUMPRODUCT(AZ$63:AZ$122,TRANSPOSE(SAP_Spreadsheet!$G$187:$BN$187))</f>
        <v>0</v>
      </c>
      <c r="BA49" s="382">
        <f t="array" aca="1" ref="BA49" ca="1">SUMPRODUCT(BA$63:BA$122,TRANSPOSE(SAP_Spreadsheet!$G$187:$BN$187))</f>
        <v>0</v>
      </c>
      <c r="BB49" s="382">
        <f t="array" aca="1" ref="BB49" ca="1">SUMPRODUCT(BB$63:BB$122,TRANSPOSE(SAP_Spreadsheet!$G$187:$BN$187))</f>
        <v>0</v>
      </c>
      <c r="BC49" s="382">
        <f t="array" aca="1" ref="BC49" ca="1">SUMPRODUCT(BC$63:BC$122,TRANSPOSE(SAP_Spreadsheet!$G$187:$BN$187))</f>
        <v>0</v>
      </c>
      <c r="BD49" s="382">
        <f t="array" aca="1" ref="BD49" ca="1">SUMPRODUCT(BD$63:BD$122,TRANSPOSE(SAP_Spreadsheet!$G$187:$BN$187))</f>
        <v>0</v>
      </c>
      <c r="BE49" s="382">
        <f t="array" aca="1" ref="BE49" ca="1">SUMPRODUCT(BE$63:BE$122,TRANSPOSE(SAP_Spreadsheet!$G$187:$BN$187))</f>
        <v>0</v>
      </c>
      <c r="BF49" s="382">
        <f t="array" aca="1" ref="BF49" ca="1">SUMPRODUCT(BF$63:BF$122,TRANSPOSE(SAP_Spreadsheet!$G$187:$BN$187))</f>
        <v>0</v>
      </c>
      <c r="BG49" s="382">
        <f t="array" aca="1" ref="BG49" ca="1">SUMPRODUCT(BG$63:BG$122,TRANSPOSE(SAP_Spreadsheet!$G$187:$BN$187))</f>
        <v>0</v>
      </c>
      <c r="BH49" s="382">
        <f t="array" aca="1" ref="BH49" ca="1">SUMPRODUCT(BH$63:BH$122,TRANSPOSE(SAP_Spreadsheet!$G$187:$BN$187))</f>
        <v>0</v>
      </c>
      <c r="BI49" s="382">
        <f t="array" aca="1" ref="BI49" ca="1">SUMPRODUCT(BI$63:BI$122,TRANSPOSE(SAP_Spreadsheet!$G$187:$BN$187))</f>
        <v>0</v>
      </c>
      <c r="BJ49" s="382">
        <f t="array" aca="1" ref="BJ49" ca="1">SUMPRODUCT(BJ$63:BJ$122,TRANSPOSE(SAP_Spreadsheet!$G$187:$BN$187))</f>
        <v>0</v>
      </c>
      <c r="BK49" s="382">
        <f t="array" aca="1" ref="BK49" ca="1">SUMPRODUCT(BK$63:BK$122,TRANSPOSE(SAP_Spreadsheet!$G$187:$BN$187))</f>
        <v>0</v>
      </c>
      <c r="BL49" s="382">
        <f t="array" aca="1" ref="BL49" ca="1">SUMPRODUCT(BL$63:BL$122,TRANSPOSE(SAP_Spreadsheet!$G$187:$BN$187))</f>
        <v>0</v>
      </c>
      <c r="BM49" s="378"/>
    </row>
    <row r="50" spans="1:65" s="379" customFormat="1" x14ac:dyDescent="0.15">
      <c r="A50" s="371"/>
      <c r="B50" s="371"/>
      <c r="D50" s="379" t="s">
        <v>418</v>
      </c>
      <c r="E50" s="382">
        <f t="array" aca="1" ref="E50" ca="1">SUMPRODUCT(E$63:E$122,TRANSPOSE(SAP_Spreadsheet!$G$188:$BN$188))</f>
        <v>0</v>
      </c>
      <c r="F50" s="382">
        <f t="array" aca="1" ref="F50" ca="1">SUMPRODUCT(F$63:F$122,TRANSPOSE(SAP_Spreadsheet!$G$188:$BN$188))</f>
        <v>0</v>
      </c>
      <c r="G50" s="382">
        <f t="array" aca="1" ref="G50" ca="1">SUMPRODUCT(G$63:G$122,TRANSPOSE(SAP_Spreadsheet!$G$188:$BN$188))</f>
        <v>0</v>
      </c>
      <c r="H50" s="382">
        <f t="array" aca="1" ref="H50" ca="1">SUMPRODUCT(H$63:H$122,TRANSPOSE(SAP_Spreadsheet!$G$188:$BN$188))</f>
        <v>0</v>
      </c>
      <c r="I50" s="382">
        <f t="array" aca="1" ref="I50" ca="1">SUMPRODUCT(I$63:I$122,TRANSPOSE(SAP_Spreadsheet!$G$188:$BN$188))</f>
        <v>0</v>
      </c>
      <c r="J50" s="382">
        <f t="array" aca="1" ref="J50" ca="1">SUMPRODUCT(J$63:J$122,TRANSPOSE(SAP_Spreadsheet!$G$188:$BN$188))</f>
        <v>0</v>
      </c>
      <c r="K50" s="382">
        <f t="array" aca="1" ref="K50" ca="1">SUMPRODUCT(K$63:K$122,TRANSPOSE(SAP_Spreadsheet!$G$188:$BN$188))</f>
        <v>0</v>
      </c>
      <c r="L50" s="382">
        <f t="array" aca="1" ref="L50" ca="1">SUMPRODUCT(L$63:L$122,TRANSPOSE(SAP_Spreadsheet!$G$188:$BN$188))</f>
        <v>0</v>
      </c>
      <c r="M50" s="382">
        <f t="array" aca="1" ref="M50" ca="1">SUMPRODUCT(M$63:M$122,TRANSPOSE(SAP_Spreadsheet!$G$188:$BN$188))</f>
        <v>0</v>
      </c>
      <c r="N50" s="382">
        <f t="array" aca="1" ref="N50" ca="1">SUMPRODUCT(N$63:N$122,TRANSPOSE(SAP_Spreadsheet!$G$188:$BN$188))</f>
        <v>0</v>
      </c>
      <c r="O50" s="382">
        <f t="array" aca="1" ref="O50" ca="1">SUMPRODUCT(O$63:O$122,TRANSPOSE(SAP_Spreadsheet!$G$188:$BN$188))</f>
        <v>0</v>
      </c>
      <c r="P50" s="382">
        <f t="array" aca="1" ref="P50" ca="1">SUMPRODUCT(P$63:P$122,TRANSPOSE(SAP_Spreadsheet!$G$188:$BN$188))</f>
        <v>0</v>
      </c>
      <c r="Q50" s="382">
        <f t="array" aca="1" ref="Q50" ca="1">SUMPRODUCT(Q$63:Q$122,TRANSPOSE(SAP_Spreadsheet!$G$188:$BN$188))</f>
        <v>0</v>
      </c>
      <c r="R50" s="382">
        <f t="array" aca="1" ref="R50" ca="1">SUMPRODUCT(R$63:R$122,TRANSPOSE(SAP_Spreadsheet!$G$188:$BN$188))</f>
        <v>0</v>
      </c>
      <c r="S50" s="382">
        <f t="array" aca="1" ref="S50" ca="1">SUMPRODUCT(S$63:S$122,TRANSPOSE(SAP_Spreadsheet!$G$188:$BN$188))</f>
        <v>0</v>
      </c>
      <c r="T50" s="382">
        <f t="array" aca="1" ref="T50" ca="1">SUMPRODUCT(T$63:T$122,TRANSPOSE(SAP_Spreadsheet!$G$188:$BN$188))</f>
        <v>0</v>
      </c>
      <c r="U50" s="382">
        <f t="array" aca="1" ref="U50" ca="1">SUMPRODUCT(U$63:U$122,TRANSPOSE(SAP_Spreadsheet!$G$188:$BN$188))</f>
        <v>0</v>
      </c>
      <c r="V50" s="382">
        <f t="array" aca="1" ref="V50" ca="1">SUMPRODUCT(V$63:V$122,TRANSPOSE(SAP_Spreadsheet!$G$188:$BN$188))</f>
        <v>0</v>
      </c>
      <c r="W50" s="382">
        <f t="array" aca="1" ref="W50" ca="1">SUMPRODUCT(W$63:W$122,TRANSPOSE(SAP_Spreadsheet!$G$188:$BN$188))</f>
        <v>0</v>
      </c>
      <c r="X50" s="382">
        <f t="array" aca="1" ref="X50" ca="1">SUMPRODUCT(X$63:X$122,TRANSPOSE(SAP_Spreadsheet!$G$188:$BN$188))</f>
        <v>0</v>
      </c>
      <c r="Y50" s="382">
        <f t="array" aca="1" ref="Y50" ca="1">SUMPRODUCT(Y$63:Y$122,TRANSPOSE(SAP_Spreadsheet!$G$188:$BN$188))</f>
        <v>0</v>
      </c>
      <c r="Z50" s="382">
        <f t="array" aca="1" ref="Z50" ca="1">SUMPRODUCT(Z$63:Z$122,TRANSPOSE(SAP_Spreadsheet!$G$188:$BN$188))</f>
        <v>0</v>
      </c>
      <c r="AA50" s="382">
        <f t="array" aca="1" ref="AA50" ca="1">SUMPRODUCT(AA$63:AA$122,TRANSPOSE(SAP_Spreadsheet!$G$188:$BN$188))</f>
        <v>0</v>
      </c>
      <c r="AB50" s="382">
        <f t="array" aca="1" ref="AB50" ca="1">SUMPRODUCT(AB$63:AB$122,TRANSPOSE(SAP_Spreadsheet!$G$188:$BN$188))</f>
        <v>0</v>
      </c>
      <c r="AC50" s="382">
        <f t="array" aca="1" ref="AC50" ca="1">SUMPRODUCT(AC$63:AC$122,TRANSPOSE(SAP_Spreadsheet!$G$188:$BN$188))</f>
        <v>0</v>
      </c>
      <c r="AD50" s="382">
        <f t="array" aca="1" ref="AD50" ca="1">SUMPRODUCT(AD$63:AD$122,TRANSPOSE(SAP_Spreadsheet!$G$188:$BN$188))</f>
        <v>0</v>
      </c>
      <c r="AE50" s="382">
        <f t="array" aca="1" ref="AE50" ca="1">SUMPRODUCT(AE$63:AE$122,TRANSPOSE(SAP_Spreadsheet!$G$188:$BN$188))</f>
        <v>0</v>
      </c>
      <c r="AF50" s="382">
        <f t="array" aca="1" ref="AF50" ca="1">SUMPRODUCT(AF$63:AF$122,TRANSPOSE(SAP_Spreadsheet!$G$188:$BN$188))</f>
        <v>0</v>
      </c>
      <c r="AG50" s="382">
        <f t="array" aca="1" ref="AG50" ca="1">SUMPRODUCT(AG$63:AG$122,TRANSPOSE(SAP_Spreadsheet!$G$188:$BN$188))</f>
        <v>0</v>
      </c>
      <c r="AH50" s="382">
        <f t="array" aca="1" ref="AH50" ca="1">SUMPRODUCT(AH$63:AH$122,TRANSPOSE(SAP_Spreadsheet!$G$188:$BN$188))</f>
        <v>0</v>
      </c>
      <c r="AI50" s="382">
        <f t="array" aca="1" ref="AI50" ca="1">SUMPRODUCT(AI$63:AI$122,TRANSPOSE(SAP_Spreadsheet!$G$188:$BN$188))</f>
        <v>0</v>
      </c>
      <c r="AJ50" s="382">
        <f t="array" aca="1" ref="AJ50" ca="1">SUMPRODUCT(AJ$63:AJ$122,TRANSPOSE(SAP_Spreadsheet!$G$188:$BN$188))</f>
        <v>0</v>
      </c>
      <c r="AK50" s="382">
        <f t="array" aca="1" ref="AK50" ca="1">SUMPRODUCT(AK$63:AK$122,TRANSPOSE(SAP_Spreadsheet!$G$188:$BN$188))</f>
        <v>0</v>
      </c>
      <c r="AL50" s="382">
        <f t="array" aca="1" ref="AL50" ca="1">SUMPRODUCT(AL$63:AL$122,TRANSPOSE(SAP_Spreadsheet!$G$188:$BN$188))</f>
        <v>0</v>
      </c>
      <c r="AM50" s="382">
        <f t="array" aca="1" ref="AM50" ca="1">SUMPRODUCT(AM$63:AM$122,TRANSPOSE(SAP_Spreadsheet!$G$188:$BN$188))</f>
        <v>0</v>
      </c>
      <c r="AN50" s="382">
        <f t="array" aca="1" ref="AN50" ca="1">SUMPRODUCT(AN$63:AN$122,TRANSPOSE(SAP_Spreadsheet!$G$188:$BN$188))</f>
        <v>0</v>
      </c>
      <c r="AO50" s="382">
        <f t="array" aca="1" ref="AO50" ca="1">SUMPRODUCT(AO$63:AO$122,TRANSPOSE(SAP_Spreadsheet!$G$188:$BN$188))</f>
        <v>0</v>
      </c>
      <c r="AP50" s="382">
        <f t="array" aca="1" ref="AP50" ca="1">SUMPRODUCT(AP$63:AP$122,TRANSPOSE(SAP_Spreadsheet!$G$188:$BN$188))</f>
        <v>0</v>
      </c>
      <c r="AQ50" s="382">
        <f t="array" aca="1" ref="AQ50" ca="1">SUMPRODUCT(AQ$63:AQ$122,TRANSPOSE(SAP_Spreadsheet!$G$188:$BN$188))</f>
        <v>0</v>
      </c>
      <c r="AR50" s="382">
        <f t="array" aca="1" ref="AR50" ca="1">SUMPRODUCT(AR$63:AR$122,TRANSPOSE(SAP_Spreadsheet!$G$188:$BN$188))</f>
        <v>0</v>
      </c>
      <c r="AS50" s="382">
        <f t="array" aca="1" ref="AS50" ca="1">SUMPRODUCT(AS$63:AS$122,TRANSPOSE(SAP_Spreadsheet!$G$188:$BN$188))</f>
        <v>0</v>
      </c>
      <c r="AT50" s="382">
        <f t="array" aca="1" ref="AT50" ca="1">SUMPRODUCT(AT$63:AT$122,TRANSPOSE(SAP_Spreadsheet!$G$188:$BN$188))</f>
        <v>0</v>
      </c>
      <c r="AU50" s="382">
        <f t="array" aca="1" ref="AU50" ca="1">SUMPRODUCT(AU$63:AU$122,TRANSPOSE(SAP_Spreadsheet!$G$188:$BN$188))</f>
        <v>0</v>
      </c>
      <c r="AV50" s="382">
        <f t="array" aca="1" ref="AV50" ca="1">SUMPRODUCT(AV$63:AV$122,TRANSPOSE(SAP_Spreadsheet!$G$188:$BN$188))</f>
        <v>0</v>
      </c>
      <c r="AW50" s="382">
        <f t="array" aca="1" ref="AW50" ca="1">SUMPRODUCT(AW$63:AW$122,TRANSPOSE(SAP_Spreadsheet!$G$188:$BN$188))</f>
        <v>0</v>
      </c>
      <c r="AX50" s="382">
        <f t="array" aca="1" ref="AX50" ca="1">SUMPRODUCT(AX$63:AX$122,TRANSPOSE(SAP_Spreadsheet!$G$188:$BN$188))</f>
        <v>0</v>
      </c>
      <c r="AY50" s="382">
        <f t="array" aca="1" ref="AY50" ca="1">SUMPRODUCT(AY$63:AY$122,TRANSPOSE(SAP_Spreadsheet!$G$188:$BN$188))</f>
        <v>0</v>
      </c>
      <c r="AZ50" s="382">
        <f t="array" aca="1" ref="AZ50" ca="1">SUMPRODUCT(AZ$63:AZ$122,TRANSPOSE(SAP_Spreadsheet!$G$188:$BN$188))</f>
        <v>0</v>
      </c>
      <c r="BA50" s="382">
        <f t="array" aca="1" ref="BA50" ca="1">SUMPRODUCT(BA$63:BA$122,TRANSPOSE(SAP_Spreadsheet!$G$188:$BN$188))</f>
        <v>0</v>
      </c>
      <c r="BB50" s="382">
        <f t="array" aca="1" ref="BB50" ca="1">SUMPRODUCT(BB$63:BB$122,TRANSPOSE(SAP_Spreadsheet!$G$188:$BN$188))</f>
        <v>0</v>
      </c>
      <c r="BC50" s="382">
        <f t="array" aca="1" ref="BC50" ca="1">SUMPRODUCT(BC$63:BC$122,TRANSPOSE(SAP_Spreadsheet!$G$188:$BN$188))</f>
        <v>0</v>
      </c>
      <c r="BD50" s="382">
        <f t="array" aca="1" ref="BD50" ca="1">SUMPRODUCT(BD$63:BD$122,TRANSPOSE(SAP_Spreadsheet!$G$188:$BN$188))</f>
        <v>0</v>
      </c>
      <c r="BE50" s="382">
        <f t="array" aca="1" ref="BE50" ca="1">SUMPRODUCT(BE$63:BE$122,TRANSPOSE(SAP_Spreadsheet!$G$188:$BN$188))</f>
        <v>0</v>
      </c>
      <c r="BF50" s="382">
        <f t="array" aca="1" ref="BF50" ca="1">SUMPRODUCT(BF$63:BF$122,TRANSPOSE(SAP_Spreadsheet!$G$188:$BN$188))</f>
        <v>0</v>
      </c>
      <c r="BG50" s="382">
        <f t="array" aca="1" ref="BG50" ca="1">SUMPRODUCT(BG$63:BG$122,TRANSPOSE(SAP_Spreadsheet!$G$188:$BN$188))</f>
        <v>0</v>
      </c>
      <c r="BH50" s="382">
        <f t="array" aca="1" ref="BH50" ca="1">SUMPRODUCT(BH$63:BH$122,TRANSPOSE(SAP_Spreadsheet!$G$188:$BN$188))</f>
        <v>0</v>
      </c>
      <c r="BI50" s="382">
        <f t="array" aca="1" ref="BI50" ca="1">SUMPRODUCT(BI$63:BI$122,TRANSPOSE(SAP_Spreadsheet!$G$188:$BN$188))</f>
        <v>0</v>
      </c>
      <c r="BJ50" s="382">
        <f t="array" aca="1" ref="BJ50" ca="1">SUMPRODUCT(BJ$63:BJ$122,TRANSPOSE(SAP_Spreadsheet!$G$188:$BN$188))</f>
        <v>0</v>
      </c>
      <c r="BK50" s="382">
        <f t="array" aca="1" ref="BK50" ca="1">SUMPRODUCT(BK$63:BK$122,TRANSPOSE(SAP_Spreadsheet!$G$188:$BN$188))</f>
        <v>0</v>
      </c>
      <c r="BL50" s="382">
        <f t="array" aca="1" ref="BL50" ca="1">SUMPRODUCT(BL$63:BL$122,TRANSPOSE(SAP_Spreadsheet!$G$188:$BN$188))</f>
        <v>0</v>
      </c>
      <c r="BM50" s="378"/>
    </row>
    <row r="51" spans="1:65" s="379" customFormat="1" x14ac:dyDescent="0.15">
      <c r="A51" s="371"/>
      <c r="B51" s="371"/>
      <c r="D51" s="379" t="s">
        <v>419</v>
      </c>
      <c r="E51" s="382">
        <f t="array" aca="1" ref="E51" ca="1">SUMPRODUCT(E$63:E$122,TRANSPOSE(SAP_Spreadsheet!$G$189:$BN$189))</f>
        <v>0</v>
      </c>
      <c r="F51" s="382">
        <f t="array" aca="1" ref="F51" ca="1">SUMPRODUCT(F$63:F$122,TRANSPOSE(SAP_Spreadsheet!$G$189:$BN$189))</f>
        <v>0</v>
      </c>
      <c r="G51" s="382">
        <f t="array" aca="1" ref="G51" ca="1">SUMPRODUCT(G$63:G$122,TRANSPOSE(SAP_Spreadsheet!$G$189:$BN$189))</f>
        <v>0</v>
      </c>
      <c r="H51" s="382">
        <f t="array" aca="1" ref="H51" ca="1">SUMPRODUCT(H$63:H$122,TRANSPOSE(SAP_Spreadsheet!$G$189:$BN$189))</f>
        <v>0</v>
      </c>
      <c r="I51" s="382">
        <f t="array" aca="1" ref="I51" ca="1">SUMPRODUCT(I$63:I$122,TRANSPOSE(SAP_Spreadsheet!$G$189:$BN$189))</f>
        <v>0</v>
      </c>
      <c r="J51" s="382">
        <f t="array" aca="1" ref="J51" ca="1">SUMPRODUCT(J$63:J$122,TRANSPOSE(SAP_Spreadsheet!$G$189:$BN$189))</f>
        <v>0</v>
      </c>
      <c r="K51" s="382">
        <f t="array" aca="1" ref="K51" ca="1">SUMPRODUCT(K$63:K$122,TRANSPOSE(SAP_Spreadsheet!$G$189:$BN$189))</f>
        <v>0</v>
      </c>
      <c r="L51" s="382">
        <f t="array" aca="1" ref="L51" ca="1">SUMPRODUCT(L$63:L$122,TRANSPOSE(SAP_Spreadsheet!$G$189:$BN$189))</f>
        <v>0</v>
      </c>
      <c r="M51" s="382">
        <f t="array" aca="1" ref="M51" ca="1">SUMPRODUCT(M$63:M$122,TRANSPOSE(SAP_Spreadsheet!$G$189:$BN$189))</f>
        <v>0</v>
      </c>
      <c r="N51" s="382">
        <f t="array" aca="1" ref="N51" ca="1">SUMPRODUCT(N$63:N$122,TRANSPOSE(SAP_Spreadsheet!$G$189:$BN$189))</f>
        <v>0</v>
      </c>
      <c r="O51" s="382">
        <f t="array" aca="1" ref="O51" ca="1">SUMPRODUCT(O$63:O$122,TRANSPOSE(SAP_Spreadsheet!$G$189:$BN$189))</f>
        <v>0</v>
      </c>
      <c r="P51" s="382">
        <f t="array" aca="1" ref="P51" ca="1">SUMPRODUCT(P$63:P$122,TRANSPOSE(SAP_Spreadsheet!$G$189:$BN$189))</f>
        <v>0</v>
      </c>
      <c r="Q51" s="382">
        <f t="array" aca="1" ref="Q51" ca="1">SUMPRODUCT(Q$63:Q$122,TRANSPOSE(SAP_Spreadsheet!$G$189:$BN$189))</f>
        <v>0</v>
      </c>
      <c r="R51" s="382">
        <f t="array" aca="1" ref="R51" ca="1">SUMPRODUCT(R$63:R$122,TRANSPOSE(SAP_Spreadsheet!$G$189:$BN$189))</f>
        <v>0</v>
      </c>
      <c r="S51" s="382">
        <f t="array" aca="1" ref="S51" ca="1">SUMPRODUCT(S$63:S$122,TRANSPOSE(SAP_Spreadsheet!$G$189:$BN$189))</f>
        <v>0</v>
      </c>
      <c r="T51" s="382">
        <f t="array" aca="1" ref="T51" ca="1">SUMPRODUCT(T$63:T$122,TRANSPOSE(SAP_Spreadsheet!$G$189:$BN$189))</f>
        <v>0</v>
      </c>
      <c r="U51" s="382">
        <f t="array" aca="1" ref="U51" ca="1">SUMPRODUCT(U$63:U$122,TRANSPOSE(SAP_Spreadsheet!$G$189:$BN$189))</f>
        <v>0</v>
      </c>
      <c r="V51" s="382">
        <f t="array" aca="1" ref="V51" ca="1">SUMPRODUCT(V$63:V$122,TRANSPOSE(SAP_Spreadsheet!$G$189:$BN$189))</f>
        <v>0</v>
      </c>
      <c r="W51" s="382">
        <f t="array" aca="1" ref="W51" ca="1">SUMPRODUCT(W$63:W$122,TRANSPOSE(SAP_Spreadsheet!$G$189:$BN$189))</f>
        <v>0</v>
      </c>
      <c r="X51" s="382">
        <f t="array" aca="1" ref="X51" ca="1">SUMPRODUCT(X$63:X$122,TRANSPOSE(SAP_Spreadsheet!$G$189:$BN$189))</f>
        <v>0</v>
      </c>
      <c r="Y51" s="382">
        <f t="array" aca="1" ref="Y51" ca="1">SUMPRODUCT(Y$63:Y$122,TRANSPOSE(SAP_Spreadsheet!$G$189:$BN$189))</f>
        <v>0</v>
      </c>
      <c r="Z51" s="382">
        <f t="array" aca="1" ref="Z51" ca="1">SUMPRODUCT(Z$63:Z$122,TRANSPOSE(SAP_Spreadsheet!$G$189:$BN$189))</f>
        <v>0</v>
      </c>
      <c r="AA51" s="382">
        <f t="array" aca="1" ref="AA51" ca="1">SUMPRODUCT(AA$63:AA$122,TRANSPOSE(SAP_Spreadsheet!$G$189:$BN$189))</f>
        <v>0</v>
      </c>
      <c r="AB51" s="382">
        <f t="array" aca="1" ref="AB51" ca="1">SUMPRODUCT(AB$63:AB$122,TRANSPOSE(SAP_Spreadsheet!$G$189:$BN$189))</f>
        <v>0</v>
      </c>
      <c r="AC51" s="382">
        <f t="array" aca="1" ref="AC51" ca="1">SUMPRODUCT(AC$63:AC$122,TRANSPOSE(SAP_Spreadsheet!$G$189:$BN$189))</f>
        <v>0</v>
      </c>
      <c r="AD51" s="382">
        <f t="array" aca="1" ref="AD51" ca="1">SUMPRODUCT(AD$63:AD$122,TRANSPOSE(SAP_Spreadsheet!$G$189:$BN$189))</f>
        <v>0</v>
      </c>
      <c r="AE51" s="382">
        <f t="array" aca="1" ref="AE51" ca="1">SUMPRODUCT(AE$63:AE$122,TRANSPOSE(SAP_Spreadsheet!$G$189:$BN$189))</f>
        <v>0</v>
      </c>
      <c r="AF51" s="382">
        <f t="array" aca="1" ref="AF51" ca="1">SUMPRODUCT(AF$63:AF$122,TRANSPOSE(SAP_Spreadsheet!$G$189:$BN$189))</f>
        <v>0</v>
      </c>
      <c r="AG51" s="382">
        <f t="array" aca="1" ref="AG51" ca="1">SUMPRODUCT(AG$63:AG$122,TRANSPOSE(SAP_Spreadsheet!$G$189:$BN$189))</f>
        <v>0</v>
      </c>
      <c r="AH51" s="382">
        <f t="array" aca="1" ref="AH51" ca="1">SUMPRODUCT(AH$63:AH$122,TRANSPOSE(SAP_Spreadsheet!$G$189:$BN$189))</f>
        <v>0</v>
      </c>
      <c r="AI51" s="382">
        <f t="array" aca="1" ref="AI51" ca="1">SUMPRODUCT(AI$63:AI$122,TRANSPOSE(SAP_Spreadsheet!$G$189:$BN$189))</f>
        <v>0</v>
      </c>
      <c r="AJ51" s="382">
        <f t="array" aca="1" ref="AJ51" ca="1">SUMPRODUCT(AJ$63:AJ$122,TRANSPOSE(SAP_Spreadsheet!$G$189:$BN$189))</f>
        <v>0</v>
      </c>
      <c r="AK51" s="382">
        <f t="array" aca="1" ref="AK51" ca="1">SUMPRODUCT(AK$63:AK$122,TRANSPOSE(SAP_Spreadsheet!$G$189:$BN$189))</f>
        <v>0</v>
      </c>
      <c r="AL51" s="382">
        <f t="array" aca="1" ref="AL51" ca="1">SUMPRODUCT(AL$63:AL$122,TRANSPOSE(SAP_Spreadsheet!$G$189:$BN$189))</f>
        <v>0</v>
      </c>
      <c r="AM51" s="382">
        <f t="array" aca="1" ref="AM51" ca="1">SUMPRODUCT(AM$63:AM$122,TRANSPOSE(SAP_Spreadsheet!$G$189:$BN$189))</f>
        <v>0</v>
      </c>
      <c r="AN51" s="382">
        <f t="array" aca="1" ref="AN51" ca="1">SUMPRODUCT(AN$63:AN$122,TRANSPOSE(SAP_Spreadsheet!$G$189:$BN$189))</f>
        <v>0</v>
      </c>
      <c r="AO51" s="382">
        <f t="array" aca="1" ref="AO51" ca="1">SUMPRODUCT(AO$63:AO$122,TRANSPOSE(SAP_Spreadsheet!$G$189:$BN$189))</f>
        <v>0</v>
      </c>
      <c r="AP51" s="382">
        <f t="array" aca="1" ref="AP51" ca="1">SUMPRODUCT(AP$63:AP$122,TRANSPOSE(SAP_Spreadsheet!$G$189:$BN$189))</f>
        <v>0</v>
      </c>
      <c r="AQ51" s="382">
        <f t="array" aca="1" ref="AQ51" ca="1">SUMPRODUCT(AQ$63:AQ$122,TRANSPOSE(SAP_Spreadsheet!$G$189:$BN$189))</f>
        <v>0</v>
      </c>
      <c r="AR51" s="382">
        <f t="array" aca="1" ref="AR51" ca="1">SUMPRODUCT(AR$63:AR$122,TRANSPOSE(SAP_Spreadsheet!$G$189:$BN$189))</f>
        <v>0</v>
      </c>
      <c r="AS51" s="382">
        <f t="array" aca="1" ref="AS51" ca="1">SUMPRODUCT(AS$63:AS$122,TRANSPOSE(SAP_Spreadsheet!$G$189:$BN$189))</f>
        <v>0</v>
      </c>
      <c r="AT51" s="382">
        <f t="array" aca="1" ref="AT51" ca="1">SUMPRODUCT(AT$63:AT$122,TRANSPOSE(SAP_Spreadsheet!$G$189:$BN$189))</f>
        <v>0</v>
      </c>
      <c r="AU51" s="382">
        <f t="array" aca="1" ref="AU51" ca="1">SUMPRODUCT(AU$63:AU$122,TRANSPOSE(SAP_Spreadsheet!$G$189:$BN$189))</f>
        <v>0</v>
      </c>
      <c r="AV51" s="382">
        <f t="array" aca="1" ref="AV51" ca="1">SUMPRODUCT(AV$63:AV$122,TRANSPOSE(SAP_Spreadsheet!$G$189:$BN$189))</f>
        <v>0</v>
      </c>
      <c r="AW51" s="382">
        <f t="array" aca="1" ref="AW51" ca="1">SUMPRODUCT(AW$63:AW$122,TRANSPOSE(SAP_Spreadsheet!$G$189:$BN$189))</f>
        <v>0</v>
      </c>
      <c r="AX51" s="382">
        <f t="array" aca="1" ref="AX51" ca="1">SUMPRODUCT(AX$63:AX$122,TRANSPOSE(SAP_Spreadsheet!$G$189:$BN$189))</f>
        <v>0</v>
      </c>
      <c r="AY51" s="382">
        <f t="array" aca="1" ref="AY51" ca="1">SUMPRODUCT(AY$63:AY$122,TRANSPOSE(SAP_Spreadsheet!$G$189:$BN$189))</f>
        <v>0</v>
      </c>
      <c r="AZ51" s="382">
        <f t="array" aca="1" ref="AZ51" ca="1">SUMPRODUCT(AZ$63:AZ$122,TRANSPOSE(SAP_Spreadsheet!$G$189:$BN$189))</f>
        <v>0</v>
      </c>
      <c r="BA51" s="382">
        <f t="array" aca="1" ref="BA51" ca="1">SUMPRODUCT(BA$63:BA$122,TRANSPOSE(SAP_Spreadsheet!$G$189:$BN$189))</f>
        <v>0</v>
      </c>
      <c r="BB51" s="382">
        <f t="array" aca="1" ref="BB51" ca="1">SUMPRODUCT(BB$63:BB$122,TRANSPOSE(SAP_Spreadsheet!$G$189:$BN$189))</f>
        <v>0</v>
      </c>
      <c r="BC51" s="382">
        <f t="array" aca="1" ref="BC51" ca="1">SUMPRODUCT(BC$63:BC$122,TRANSPOSE(SAP_Spreadsheet!$G$189:$BN$189))</f>
        <v>0</v>
      </c>
      <c r="BD51" s="382">
        <f t="array" aca="1" ref="BD51" ca="1">SUMPRODUCT(BD$63:BD$122,TRANSPOSE(SAP_Spreadsheet!$G$189:$BN$189))</f>
        <v>0</v>
      </c>
      <c r="BE51" s="382">
        <f t="array" aca="1" ref="BE51" ca="1">SUMPRODUCT(BE$63:BE$122,TRANSPOSE(SAP_Spreadsheet!$G$189:$BN$189))</f>
        <v>0</v>
      </c>
      <c r="BF51" s="382">
        <f t="array" aca="1" ref="BF51" ca="1">SUMPRODUCT(BF$63:BF$122,TRANSPOSE(SAP_Spreadsheet!$G$189:$BN$189))</f>
        <v>0</v>
      </c>
      <c r="BG51" s="382">
        <f t="array" aca="1" ref="BG51" ca="1">SUMPRODUCT(BG$63:BG$122,TRANSPOSE(SAP_Spreadsheet!$G$189:$BN$189))</f>
        <v>0</v>
      </c>
      <c r="BH51" s="382">
        <f t="array" aca="1" ref="BH51" ca="1">SUMPRODUCT(BH$63:BH$122,TRANSPOSE(SAP_Spreadsheet!$G$189:$BN$189))</f>
        <v>0</v>
      </c>
      <c r="BI51" s="382">
        <f t="array" aca="1" ref="BI51" ca="1">SUMPRODUCT(BI$63:BI$122,TRANSPOSE(SAP_Spreadsheet!$G$189:$BN$189))</f>
        <v>0</v>
      </c>
      <c r="BJ51" s="382">
        <f t="array" aca="1" ref="BJ51" ca="1">SUMPRODUCT(BJ$63:BJ$122,TRANSPOSE(SAP_Spreadsheet!$G$189:$BN$189))</f>
        <v>0</v>
      </c>
      <c r="BK51" s="382">
        <f t="array" aca="1" ref="BK51" ca="1">SUMPRODUCT(BK$63:BK$122,TRANSPOSE(SAP_Spreadsheet!$G$189:$BN$189))</f>
        <v>0</v>
      </c>
      <c r="BL51" s="382">
        <f t="array" aca="1" ref="BL51" ca="1">SUMPRODUCT(BL$63:BL$122,TRANSPOSE(SAP_Spreadsheet!$G$189:$BN$189))</f>
        <v>0</v>
      </c>
      <c r="BM51" s="378"/>
    </row>
    <row r="52" spans="1:65" s="379" customFormat="1" x14ac:dyDescent="0.15">
      <c r="A52" s="371"/>
      <c r="B52" s="371"/>
      <c r="D52" s="379" t="s">
        <v>420</v>
      </c>
      <c r="E52" s="382">
        <f t="array" aca="1" ref="E52" ca="1">SUMPRODUCT(E$63:E$122,TRANSPOSE(SAP_Spreadsheet!$G$190:$BN$190))</f>
        <v>0</v>
      </c>
      <c r="F52" s="382">
        <f t="array" aca="1" ref="F52" ca="1">SUMPRODUCT(F$63:F$122,TRANSPOSE(SAP_Spreadsheet!$G$190:$BN$190))</f>
        <v>0</v>
      </c>
      <c r="G52" s="382">
        <f t="array" aca="1" ref="G52" ca="1">SUMPRODUCT(G$63:G$122,TRANSPOSE(SAP_Spreadsheet!$G$190:$BN$190))</f>
        <v>0</v>
      </c>
      <c r="H52" s="382">
        <f t="array" aca="1" ref="H52" ca="1">SUMPRODUCT(H$63:H$122,TRANSPOSE(SAP_Spreadsheet!$G$190:$BN$190))</f>
        <v>0</v>
      </c>
      <c r="I52" s="382">
        <f t="array" aca="1" ref="I52" ca="1">SUMPRODUCT(I$63:I$122,TRANSPOSE(SAP_Spreadsheet!$G$190:$BN$190))</f>
        <v>0</v>
      </c>
      <c r="J52" s="382">
        <f t="array" aca="1" ref="J52" ca="1">SUMPRODUCT(J$63:J$122,TRANSPOSE(SAP_Spreadsheet!$G$190:$BN$190))</f>
        <v>0</v>
      </c>
      <c r="K52" s="382">
        <f t="array" aca="1" ref="K52" ca="1">SUMPRODUCT(K$63:K$122,TRANSPOSE(SAP_Spreadsheet!$G$190:$BN$190))</f>
        <v>0</v>
      </c>
      <c r="L52" s="382">
        <f t="array" aca="1" ref="L52" ca="1">SUMPRODUCT(L$63:L$122,TRANSPOSE(SAP_Spreadsheet!$G$190:$BN$190))</f>
        <v>0</v>
      </c>
      <c r="M52" s="382">
        <f t="array" aca="1" ref="M52" ca="1">SUMPRODUCT(M$63:M$122,TRANSPOSE(SAP_Spreadsheet!$G$190:$BN$190))</f>
        <v>0</v>
      </c>
      <c r="N52" s="382">
        <f t="array" aca="1" ref="N52" ca="1">SUMPRODUCT(N$63:N$122,TRANSPOSE(SAP_Spreadsheet!$G$190:$BN$190))</f>
        <v>0</v>
      </c>
      <c r="O52" s="382">
        <f t="array" aca="1" ref="O52" ca="1">SUMPRODUCT(O$63:O$122,TRANSPOSE(SAP_Spreadsheet!$G$190:$BN$190))</f>
        <v>0</v>
      </c>
      <c r="P52" s="382">
        <f t="array" aca="1" ref="P52" ca="1">SUMPRODUCT(P$63:P$122,TRANSPOSE(SAP_Spreadsheet!$G$190:$BN$190))</f>
        <v>0</v>
      </c>
      <c r="Q52" s="382">
        <f t="array" aca="1" ref="Q52" ca="1">SUMPRODUCT(Q$63:Q$122,TRANSPOSE(SAP_Spreadsheet!$G$190:$BN$190))</f>
        <v>0</v>
      </c>
      <c r="R52" s="382">
        <f t="array" aca="1" ref="R52" ca="1">SUMPRODUCT(R$63:R$122,TRANSPOSE(SAP_Spreadsheet!$G$190:$BN$190))</f>
        <v>0</v>
      </c>
      <c r="S52" s="382">
        <f t="array" aca="1" ref="S52" ca="1">SUMPRODUCT(S$63:S$122,TRANSPOSE(SAP_Spreadsheet!$G$190:$BN$190))</f>
        <v>0</v>
      </c>
      <c r="T52" s="382">
        <f t="array" aca="1" ref="T52" ca="1">SUMPRODUCT(T$63:T$122,TRANSPOSE(SAP_Spreadsheet!$G$190:$BN$190))</f>
        <v>0</v>
      </c>
      <c r="U52" s="382">
        <f t="array" aca="1" ref="U52" ca="1">SUMPRODUCT(U$63:U$122,TRANSPOSE(SAP_Spreadsheet!$G$190:$BN$190))</f>
        <v>0</v>
      </c>
      <c r="V52" s="382">
        <f t="array" aca="1" ref="V52" ca="1">SUMPRODUCT(V$63:V$122,TRANSPOSE(SAP_Spreadsheet!$G$190:$BN$190))</f>
        <v>0</v>
      </c>
      <c r="W52" s="382">
        <f t="array" aca="1" ref="W52" ca="1">SUMPRODUCT(W$63:W$122,TRANSPOSE(SAP_Spreadsheet!$G$190:$BN$190))</f>
        <v>0</v>
      </c>
      <c r="X52" s="382">
        <f t="array" aca="1" ref="X52" ca="1">SUMPRODUCT(X$63:X$122,TRANSPOSE(SAP_Spreadsheet!$G$190:$BN$190))</f>
        <v>0</v>
      </c>
      <c r="Y52" s="382">
        <f t="array" aca="1" ref="Y52" ca="1">SUMPRODUCT(Y$63:Y$122,TRANSPOSE(SAP_Spreadsheet!$G$190:$BN$190))</f>
        <v>0</v>
      </c>
      <c r="Z52" s="382">
        <f t="array" aca="1" ref="Z52" ca="1">SUMPRODUCT(Z$63:Z$122,TRANSPOSE(SAP_Spreadsheet!$G$190:$BN$190))</f>
        <v>0</v>
      </c>
      <c r="AA52" s="382">
        <f t="array" aca="1" ref="AA52" ca="1">SUMPRODUCT(AA$63:AA$122,TRANSPOSE(SAP_Spreadsheet!$G$190:$BN$190))</f>
        <v>0</v>
      </c>
      <c r="AB52" s="382">
        <f t="array" aca="1" ref="AB52" ca="1">SUMPRODUCT(AB$63:AB$122,TRANSPOSE(SAP_Spreadsheet!$G$190:$BN$190))</f>
        <v>0</v>
      </c>
      <c r="AC52" s="382">
        <f t="array" aca="1" ref="AC52" ca="1">SUMPRODUCT(AC$63:AC$122,TRANSPOSE(SAP_Spreadsheet!$G$190:$BN$190))</f>
        <v>0</v>
      </c>
      <c r="AD52" s="382">
        <f t="array" aca="1" ref="AD52" ca="1">SUMPRODUCT(AD$63:AD$122,TRANSPOSE(SAP_Spreadsheet!$G$190:$BN$190))</f>
        <v>0</v>
      </c>
      <c r="AE52" s="382">
        <f t="array" aca="1" ref="AE52" ca="1">SUMPRODUCT(AE$63:AE$122,TRANSPOSE(SAP_Spreadsheet!$G$190:$BN$190))</f>
        <v>0</v>
      </c>
      <c r="AF52" s="382">
        <f t="array" aca="1" ref="AF52" ca="1">SUMPRODUCT(AF$63:AF$122,TRANSPOSE(SAP_Spreadsheet!$G$190:$BN$190))</f>
        <v>0</v>
      </c>
      <c r="AG52" s="382">
        <f t="array" aca="1" ref="AG52" ca="1">SUMPRODUCT(AG$63:AG$122,TRANSPOSE(SAP_Spreadsheet!$G$190:$BN$190))</f>
        <v>0</v>
      </c>
      <c r="AH52" s="382">
        <f t="array" aca="1" ref="AH52" ca="1">SUMPRODUCT(AH$63:AH$122,TRANSPOSE(SAP_Spreadsheet!$G$190:$BN$190))</f>
        <v>0</v>
      </c>
      <c r="AI52" s="382">
        <f t="array" aca="1" ref="AI52" ca="1">SUMPRODUCT(AI$63:AI$122,TRANSPOSE(SAP_Spreadsheet!$G$190:$BN$190))</f>
        <v>0</v>
      </c>
      <c r="AJ52" s="382">
        <f t="array" aca="1" ref="AJ52" ca="1">SUMPRODUCT(AJ$63:AJ$122,TRANSPOSE(SAP_Spreadsheet!$G$190:$BN$190))</f>
        <v>0</v>
      </c>
      <c r="AK52" s="382">
        <f t="array" aca="1" ref="AK52" ca="1">SUMPRODUCT(AK$63:AK$122,TRANSPOSE(SAP_Spreadsheet!$G$190:$BN$190))</f>
        <v>0</v>
      </c>
      <c r="AL52" s="382">
        <f t="array" aca="1" ref="AL52" ca="1">SUMPRODUCT(AL$63:AL$122,TRANSPOSE(SAP_Spreadsheet!$G$190:$BN$190))</f>
        <v>0</v>
      </c>
      <c r="AM52" s="382">
        <f t="array" aca="1" ref="AM52" ca="1">SUMPRODUCT(AM$63:AM$122,TRANSPOSE(SAP_Spreadsheet!$G$190:$BN$190))</f>
        <v>0</v>
      </c>
      <c r="AN52" s="382">
        <f t="array" aca="1" ref="AN52" ca="1">SUMPRODUCT(AN$63:AN$122,TRANSPOSE(SAP_Spreadsheet!$G$190:$BN$190))</f>
        <v>0</v>
      </c>
      <c r="AO52" s="382">
        <f t="array" aca="1" ref="AO52" ca="1">SUMPRODUCT(AO$63:AO$122,TRANSPOSE(SAP_Spreadsheet!$G$190:$BN$190))</f>
        <v>0</v>
      </c>
      <c r="AP52" s="382">
        <f t="array" aca="1" ref="AP52" ca="1">SUMPRODUCT(AP$63:AP$122,TRANSPOSE(SAP_Spreadsheet!$G$190:$BN$190))</f>
        <v>0</v>
      </c>
      <c r="AQ52" s="382">
        <f t="array" aca="1" ref="AQ52" ca="1">SUMPRODUCT(AQ$63:AQ$122,TRANSPOSE(SAP_Spreadsheet!$G$190:$BN$190))</f>
        <v>0</v>
      </c>
      <c r="AR52" s="382">
        <f t="array" aca="1" ref="AR52" ca="1">SUMPRODUCT(AR$63:AR$122,TRANSPOSE(SAP_Spreadsheet!$G$190:$BN$190))</f>
        <v>0</v>
      </c>
      <c r="AS52" s="382">
        <f t="array" aca="1" ref="AS52" ca="1">SUMPRODUCT(AS$63:AS$122,TRANSPOSE(SAP_Spreadsheet!$G$190:$BN$190))</f>
        <v>0</v>
      </c>
      <c r="AT52" s="382">
        <f t="array" aca="1" ref="AT52" ca="1">SUMPRODUCT(AT$63:AT$122,TRANSPOSE(SAP_Spreadsheet!$G$190:$BN$190))</f>
        <v>0</v>
      </c>
      <c r="AU52" s="382">
        <f t="array" aca="1" ref="AU52" ca="1">SUMPRODUCT(AU$63:AU$122,TRANSPOSE(SAP_Spreadsheet!$G$190:$BN$190))</f>
        <v>0</v>
      </c>
      <c r="AV52" s="382">
        <f t="array" aca="1" ref="AV52" ca="1">SUMPRODUCT(AV$63:AV$122,TRANSPOSE(SAP_Spreadsheet!$G$190:$BN$190))</f>
        <v>0</v>
      </c>
      <c r="AW52" s="382">
        <f t="array" aca="1" ref="AW52" ca="1">SUMPRODUCT(AW$63:AW$122,TRANSPOSE(SAP_Spreadsheet!$G$190:$BN$190))</f>
        <v>0</v>
      </c>
      <c r="AX52" s="382">
        <f t="array" aca="1" ref="AX52" ca="1">SUMPRODUCT(AX$63:AX$122,TRANSPOSE(SAP_Spreadsheet!$G$190:$BN$190))</f>
        <v>0</v>
      </c>
      <c r="AY52" s="382">
        <f t="array" aca="1" ref="AY52" ca="1">SUMPRODUCT(AY$63:AY$122,TRANSPOSE(SAP_Spreadsheet!$G$190:$BN$190))</f>
        <v>0</v>
      </c>
      <c r="AZ52" s="382">
        <f t="array" aca="1" ref="AZ52" ca="1">SUMPRODUCT(AZ$63:AZ$122,TRANSPOSE(SAP_Spreadsheet!$G$190:$BN$190))</f>
        <v>0</v>
      </c>
      <c r="BA52" s="382">
        <f t="array" aca="1" ref="BA52" ca="1">SUMPRODUCT(BA$63:BA$122,TRANSPOSE(SAP_Spreadsheet!$G$190:$BN$190))</f>
        <v>0</v>
      </c>
      <c r="BB52" s="382">
        <f t="array" aca="1" ref="BB52" ca="1">SUMPRODUCT(BB$63:BB$122,TRANSPOSE(SAP_Spreadsheet!$G$190:$BN$190))</f>
        <v>0</v>
      </c>
      <c r="BC52" s="382">
        <f t="array" aca="1" ref="BC52" ca="1">SUMPRODUCT(BC$63:BC$122,TRANSPOSE(SAP_Spreadsheet!$G$190:$BN$190))</f>
        <v>0</v>
      </c>
      <c r="BD52" s="382">
        <f t="array" aca="1" ref="BD52" ca="1">SUMPRODUCT(BD$63:BD$122,TRANSPOSE(SAP_Spreadsheet!$G$190:$BN$190))</f>
        <v>0</v>
      </c>
      <c r="BE52" s="382">
        <f t="array" aca="1" ref="BE52" ca="1">SUMPRODUCT(BE$63:BE$122,TRANSPOSE(SAP_Spreadsheet!$G$190:$BN$190))</f>
        <v>0</v>
      </c>
      <c r="BF52" s="382">
        <f t="array" aca="1" ref="BF52" ca="1">SUMPRODUCT(BF$63:BF$122,TRANSPOSE(SAP_Spreadsheet!$G$190:$BN$190))</f>
        <v>0</v>
      </c>
      <c r="BG52" s="382">
        <f t="array" aca="1" ref="BG52" ca="1">SUMPRODUCT(BG$63:BG$122,TRANSPOSE(SAP_Spreadsheet!$G$190:$BN$190))</f>
        <v>0</v>
      </c>
      <c r="BH52" s="382">
        <f t="array" aca="1" ref="BH52" ca="1">SUMPRODUCT(BH$63:BH$122,TRANSPOSE(SAP_Spreadsheet!$G$190:$BN$190))</f>
        <v>0</v>
      </c>
      <c r="BI52" s="382">
        <f t="array" aca="1" ref="BI52" ca="1">SUMPRODUCT(BI$63:BI$122,TRANSPOSE(SAP_Spreadsheet!$G$190:$BN$190))</f>
        <v>0</v>
      </c>
      <c r="BJ52" s="382">
        <f t="array" aca="1" ref="BJ52" ca="1">SUMPRODUCT(BJ$63:BJ$122,TRANSPOSE(SAP_Spreadsheet!$G$190:$BN$190))</f>
        <v>0</v>
      </c>
      <c r="BK52" s="382">
        <f t="array" aca="1" ref="BK52" ca="1">SUMPRODUCT(BK$63:BK$122,TRANSPOSE(SAP_Spreadsheet!$G$190:$BN$190))</f>
        <v>0</v>
      </c>
      <c r="BL52" s="382">
        <f t="array" aca="1" ref="BL52" ca="1">SUMPRODUCT(BL$63:BL$122,TRANSPOSE(SAP_Spreadsheet!$G$190:$BN$190))</f>
        <v>0</v>
      </c>
      <c r="BM52" s="378"/>
    </row>
    <row r="53" spans="1:65" s="379" customFormat="1" x14ac:dyDescent="0.15">
      <c r="A53" s="371"/>
      <c r="B53" s="371"/>
      <c r="D53" s="379" t="s">
        <v>292</v>
      </c>
      <c r="E53" s="382">
        <f t="array" aca="1" ref="E53" ca="1">SUMPRODUCT(E$63:E$122,TRANSPOSE(SAP_Spreadsheet!$G$191:$BN$191))</f>
        <v>0</v>
      </c>
      <c r="F53" s="382">
        <f t="array" aca="1" ref="F53" ca="1">SUMPRODUCT(F$63:F$122,TRANSPOSE(SAP_Spreadsheet!$G$191:$BN$191))</f>
        <v>0</v>
      </c>
      <c r="G53" s="382">
        <f t="array" aca="1" ref="G53" ca="1">SUMPRODUCT(G$63:G$122,TRANSPOSE(SAP_Spreadsheet!$G$191:$BN$191))</f>
        <v>0</v>
      </c>
      <c r="H53" s="382">
        <f t="array" aca="1" ref="H53" ca="1">SUMPRODUCT(H$63:H$122,TRANSPOSE(SAP_Spreadsheet!$G$191:$BN$191))</f>
        <v>0</v>
      </c>
      <c r="I53" s="382">
        <f t="array" aca="1" ref="I53" ca="1">SUMPRODUCT(I$63:I$122,TRANSPOSE(SAP_Spreadsheet!$G$191:$BN$191))</f>
        <v>0</v>
      </c>
      <c r="J53" s="382">
        <f t="array" aca="1" ref="J53" ca="1">SUMPRODUCT(J$63:J$122,TRANSPOSE(SAP_Spreadsheet!$G$191:$BN$191))</f>
        <v>0</v>
      </c>
      <c r="K53" s="382">
        <f t="array" aca="1" ref="K53" ca="1">SUMPRODUCT(K$63:K$122,TRANSPOSE(SAP_Spreadsheet!$G$191:$BN$191))</f>
        <v>0</v>
      </c>
      <c r="L53" s="382">
        <f t="array" aca="1" ref="L53" ca="1">SUMPRODUCT(L$63:L$122,TRANSPOSE(SAP_Spreadsheet!$G$191:$BN$191))</f>
        <v>0</v>
      </c>
      <c r="M53" s="382">
        <f t="array" aca="1" ref="M53" ca="1">SUMPRODUCT(M$63:M$122,TRANSPOSE(SAP_Spreadsheet!$G$191:$BN$191))</f>
        <v>0</v>
      </c>
      <c r="N53" s="382">
        <f t="array" aca="1" ref="N53" ca="1">SUMPRODUCT(N$63:N$122,TRANSPOSE(SAP_Spreadsheet!$G$191:$BN$191))</f>
        <v>0</v>
      </c>
      <c r="O53" s="382">
        <f t="array" aca="1" ref="O53" ca="1">SUMPRODUCT(O$63:O$122,TRANSPOSE(SAP_Spreadsheet!$G$191:$BN$191))</f>
        <v>0</v>
      </c>
      <c r="P53" s="382">
        <f t="array" aca="1" ref="P53" ca="1">SUMPRODUCT(P$63:P$122,TRANSPOSE(SAP_Spreadsheet!$G$191:$BN$191))</f>
        <v>0</v>
      </c>
      <c r="Q53" s="382">
        <f t="array" aca="1" ref="Q53" ca="1">SUMPRODUCT(Q$63:Q$122,TRANSPOSE(SAP_Spreadsheet!$G$191:$BN$191))</f>
        <v>0</v>
      </c>
      <c r="R53" s="382">
        <f t="array" aca="1" ref="R53" ca="1">SUMPRODUCT(R$63:R$122,TRANSPOSE(SAP_Spreadsheet!$G$191:$BN$191))</f>
        <v>0</v>
      </c>
      <c r="S53" s="382">
        <f t="array" aca="1" ref="S53" ca="1">SUMPRODUCT(S$63:S$122,TRANSPOSE(SAP_Spreadsheet!$G$191:$BN$191))</f>
        <v>0</v>
      </c>
      <c r="T53" s="382">
        <f t="array" aca="1" ref="T53" ca="1">SUMPRODUCT(T$63:T$122,TRANSPOSE(SAP_Spreadsheet!$G$191:$BN$191))</f>
        <v>0</v>
      </c>
      <c r="U53" s="382">
        <f t="array" aca="1" ref="U53" ca="1">SUMPRODUCT(U$63:U$122,TRANSPOSE(SAP_Spreadsheet!$G$191:$BN$191))</f>
        <v>0</v>
      </c>
      <c r="V53" s="382">
        <f t="array" aca="1" ref="V53" ca="1">SUMPRODUCT(V$63:V$122,TRANSPOSE(SAP_Spreadsheet!$G$191:$BN$191))</f>
        <v>0</v>
      </c>
      <c r="W53" s="382">
        <f t="array" aca="1" ref="W53" ca="1">SUMPRODUCT(W$63:W$122,TRANSPOSE(SAP_Spreadsheet!$G$191:$BN$191))</f>
        <v>0</v>
      </c>
      <c r="X53" s="382">
        <f t="array" aca="1" ref="X53" ca="1">SUMPRODUCT(X$63:X$122,TRANSPOSE(SAP_Spreadsheet!$G$191:$BN$191))</f>
        <v>0</v>
      </c>
      <c r="Y53" s="382">
        <f t="array" aca="1" ref="Y53" ca="1">SUMPRODUCT(Y$63:Y$122,TRANSPOSE(SAP_Spreadsheet!$G$191:$BN$191))</f>
        <v>0</v>
      </c>
      <c r="Z53" s="382">
        <f t="array" aca="1" ref="Z53" ca="1">SUMPRODUCT(Z$63:Z$122,TRANSPOSE(SAP_Spreadsheet!$G$191:$BN$191))</f>
        <v>0</v>
      </c>
      <c r="AA53" s="382">
        <f t="array" aca="1" ref="AA53" ca="1">SUMPRODUCT(AA$63:AA$122,TRANSPOSE(SAP_Spreadsheet!$G$191:$BN$191))</f>
        <v>0</v>
      </c>
      <c r="AB53" s="382">
        <f t="array" aca="1" ref="AB53" ca="1">SUMPRODUCT(AB$63:AB$122,TRANSPOSE(SAP_Spreadsheet!$G$191:$BN$191))</f>
        <v>0</v>
      </c>
      <c r="AC53" s="382">
        <f t="array" aca="1" ref="AC53" ca="1">SUMPRODUCT(AC$63:AC$122,TRANSPOSE(SAP_Spreadsheet!$G$191:$BN$191))</f>
        <v>0</v>
      </c>
      <c r="AD53" s="382">
        <f t="array" aca="1" ref="AD53" ca="1">SUMPRODUCT(AD$63:AD$122,TRANSPOSE(SAP_Spreadsheet!$G$191:$BN$191))</f>
        <v>0</v>
      </c>
      <c r="AE53" s="382">
        <f t="array" aca="1" ref="AE53" ca="1">SUMPRODUCT(AE$63:AE$122,TRANSPOSE(SAP_Spreadsheet!$G$191:$BN$191))</f>
        <v>0</v>
      </c>
      <c r="AF53" s="382">
        <f t="array" aca="1" ref="AF53" ca="1">SUMPRODUCT(AF$63:AF$122,TRANSPOSE(SAP_Spreadsheet!$G$191:$BN$191))</f>
        <v>0</v>
      </c>
      <c r="AG53" s="382">
        <f t="array" aca="1" ref="AG53" ca="1">SUMPRODUCT(AG$63:AG$122,TRANSPOSE(SAP_Spreadsheet!$G$191:$BN$191))</f>
        <v>0</v>
      </c>
      <c r="AH53" s="382">
        <f t="array" aca="1" ref="AH53" ca="1">SUMPRODUCT(AH$63:AH$122,TRANSPOSE(SAP_Spreadsheet!$G$191:$BN$191))</f>
        <v>0</v>
      </c>
      <c r="AI53" s="382">
        <f t="array" aca="1" ref="AI53" ca="1">SUMPRODUCT(AI$63:AI$122,TRANSPOSE(SAP_Spreadsheet!$G$191:$BN$191))</f>
        <v>0</v>
      </c>
      <c r="AJ53" s="382">
        <f t="array" aca="1" ref="AJ53" ca="1">SUMPRODUCT(AJ$63:AJ$122,TRANSPOSE(SAP_Spreadsheet!$G$191:$BN$191))</f>
        <v>0</v>
      </c>
      <c r="AK53" s="382">
        <f t="array" aca="1" ref="AK53" ca="1">SUMPRODUCT(AK$63:AK$122,TRANSPOSE(SAP_Spreadsheet!$G$191:$BN$191))</f>
        <v>0</v>
      </c>
      <c r="AL53" s="382">
        <f t="array" aca="1" ref="AL53" ca="1">SUMPRODUCT(AL$63:AL$122,TRANSPOSE(SAP_Spreadsheet!$G$191:$BN$191))</f>
        <v>0</v>
      </c>
      <c r="AM53" s="382">
        <f t="array" aca="1" ref="AM53" ca="1">SUMPRODUCT(AM$63:AM$122,TRANSPOSE(SAP_Spreadsheet!$G$191:$BN$191))</f>
        <v>0</v>
      </c>
      <c r="AN53" s="382">
        <f t="array" aca="1" ref="AN53" ca="1">SUMPRODUCT(AN$63:AN$122,TRANSPOSE(SAP_Spreadsheet!$G$191:$BN$191))</f>
        <v>0</v>
      </c>
      <c r="AO53" s="382">
        <f t="array" aca="1" ref="AO53" ca="1">SUMPRODUCT(AO$63:AO$122,TRANSPOSE(SAP_Spreadsheet!$G$191:$BN$191))</f>
        <v>0</v>
      </c>
      <c r="AP53" s="382">
        <f t="array" aca="1" ref="AP53" ca="1">SUMPRODUCT(AP$63:AP$122,TRANSPOSE(SAP_Spreadsheet!$G$191:$BN$191))</f>
        <v>0</v>
      </c>
      <c r="AQ53" s="382">
        <f t="array" aca="1" ref="AQ53" ca="1">SUMPRODUCT(AQ$63:AQ$122,TRANSPOSE(SAP_Spreadsheet!$G$191:$BN$191))</f>
        <v>0</v>
      </c>
      <c r="AR53" s="382">
        <f t="array" aca="1" ref="AR53" ca="1">SUMPRODUCT(AR$63:AR$122,TRANSPOSE(SAP_Spreadsheet!$G$191:$BN$191))</f>
        <v>0</v>
      </c>
      <c r="AS53" s="382">
        <f t="array" aca="1" ref="AS53" ca="1">SUMPRODUCT(AS$63:AS$122,TRANSPOSE(SAP_Spreadsheet!$G$191:$BN$191))</f>
        <v>0</v>
      </c>
      <c r="AT53" s="382">
        <f t="array" aca="1" ref="AT53" ca="1">SUMPRODUCT(AT$63:AT$122,TRANSPOSE(SAP_Spreadsheet!$G$191:$BN$191))</f>
        <v>0</v>
      </c>
      <c r="AU53" s="382">
        <f t="array" aca="1" ref="AU53" ca="1">SUMPRODUCT(AU$63:AU$122,TRANSPOSE(SAP_Spreadsheet!$G$191:$BN$191))</f>
        <v>0</v>
      </c>
      <c r="AV53" s="382">
        <f t="array" aca="1" ref="AV53" ca="1">SUMPRODUCT(AV$63:AV$122,TRANSPOSE(SAP_Spreadsheet!$G$191:$BN$191))</f>
        <v>0</v>
      </c>
      <c r="AW53" s="382">
        <f t="array" aca="1" ref="AW53" ca="1">SUMPRODUCT(AW$63:AW$122,TRANSPOSE(SAP_Spreadsheet!$G$191:$BN$191))</f>
        <v>0</v>
      </c>
      <c r="AX53" s="382">
        <f t="array" aca="1" ref="AX53" ca="1">SUMPRODUCT(AX$63:AX$122,TRANSPOSE(SAP_Spreadsheet!$G$191:$BN$191))</f>
        <v>0</v>
      </c>
      <c r="AY53" s="382">
        <f t="array" aca="1" ref="AY53" ca="1">SUMPRODUCT(AY$63:AY$122,TRANSPOSE(SAP_Spreadsheet!$G$191:$BN$191))</f>
        <v>0</v>
      </c>
      <c r="AZ53" s="382">
        <f t="array" aca="1" ref="AZ53" ca="1">SUMPRODUCT(AZ$63:AZ$122,TRANSPOSE(SAP_Spreadsheet!$G$191:$BN$191))</f>
        <v>0</v>
      </c>
      <c r="BA53" s="382">
        <f t="array" aca="1" ref="BA53" ca="1">SUMPRODUCT(BA$63:BA$122,TRANSPOSE(SAP_Spreadsheet!$G$191:$BN$191))</f>
        <v>0</v>
      </c>
      <c r="BB53" s="382">
        <f t="array" aca="1" ref="BB53" ca="1">SUMPRODUCT(BB$63:BB$122,TRANSPOSE(SAP_Spreadsheet!$G$191:$BN$191))</f>
        <v>0</v>
      </c>
      <c r="BC53" s="382">
        <f t="array" aca="1" ref="BC53" ca="1">SUMPRODUCT(BC$63:BC$122,TRANSPOSE(SAP_Spreadsheet!$G$191:$BN$191))</f>
        <v>0</v>
      </c>
      <c r="BD53" s="382">
        <f t="array" aca="1" ref="BD53" ca="1">SUMPRODUCT(BD$63:BD$122,TRANSPOSE(SAP_Spreadsheet!$G$191:$BN$191))</f>
        <v>0</v>
      </c>
      <c r="BE53" s="382">
        <f t="array" aca="1" ref="BE53" ca="1">SUMPRODUCT(BE$63:BE$122,TRANSPOSE(SAP_Spreadsheet!$G$191:$BN$191))</f>
        <v>0</v>
      </c>
      <c r="BF53" s="382">
        <f t="array" aca="1" ref="BF53" ca="1">SUMPRODUCT(BF$63:BF$122,TRANSPOSE(SAP_Spreadsheet!$G$191:$BN$191))</f>
        <v>0</v>
      </c>
      <c r="BG53" s="382">
        <f t="array" aca="1" ref="BG53" ca="1">SUMPRODUCT(BG$63:BG$122,TRANSPOSE(SAP_Spreadsheet!$G$191:$BN$191))</f>
        <v>0</v>
      </c>
      <c r="BH53" s="382">
        <f t="array" aca="1" ref="BH53" ca="1">SUMPRODUCT(BH$63:BH$122,TRANSPOSE(SAP_Spreadsheet!$G$191:$BN$191))</f>
        <v>0</v>
      </c>
      <c r="BI53" s="382">
        <f t="array" aca="1" ref="BI53" ca="1">SUMPRODUCT(BI$63:BI$122,TRANSPOSE(SAP_Spreadsheet!$G$191:$BN$191))</f>
        <v>0</v>
      </c>
      <c r="BJ53" s="382">
        <f t="array" aca="1" ref="BJ53" ca="1">SUMPRODUCT(BJ$63:BJ$122,TRANSPOSE(SAP_Spreadsheet!$G$191:$BN$191))</f>
        <v>0</v>
      </c>
      <c r="BK53" s="382">
        <f t="array" aca="1" ref="BK53" ca="1">SUMPRODUCT(BK$63:BK$122,TRANSPOSE(SAP_Spreadsheet!$G$191:$BN$191))</f>
        <v>0</v>
      </c>
      <c r="BL53" s="382">
        <f t="array" aca="1" ref="BL53" ca="1">SUMPRODUCT(BL$63:BL$122,TRANSPOSE(SAP_Spreadsheet!$G$191:$BN$191))</f>
        <v>0</v>
      </c>
      <c r="BM53" s="378"/>
    </row>
    <row r="54" spans="1:65" s="379" customFormat="1" x14ac:dyDescent="0.15">
      <c r="A54" s="371"/>
      <c r="B54" s="371"/>
      <c r="D54" s="379" t="s">
        <v>293</v>
      </c>
      <c r="E54" s="382">
        <f t="array" aca="1" ref="E54" ca="1">SUMPRODUCT(E$63:E$122,TRANSPOSE(SAP_Spreadsheet!$G$192:$BN$192))</f>
        <v>0</v>
      </c>
      <c r="F54" s="382">
        <f t="array" aca="1" ref="F54" ca="1">SUMPRODUCT(F$63:F$122,TRANSPOSE(SAP_Spreadsheet!$G$192:$BN$192))</f>
        <v>0</v>
      </c>
      <c r="G54" s="382">
        <f t="array" aca="1" ref="G54" ca="1">SUMPRODUCT(G$63:G$122,TRANSPOSE(SAP_Spreadsheet!$G$192:$BN$192))</f>
        <v>0</v>
      </c>
      <c r="H54" s="382">
        <f t="array" aca="1" ref="H54" ca="1">SUMPRODUCT(H$63:H$122,TRANSPOSE(SAP_Spreadsheet!$G$192:$BN$192))</f>
        <v>0</v>
      </c>
      <c r="I54" s="382">
        <f t="array" aca="1" ref="I54" ca="1">SUMPRODUCT(I$63:I$122,TRANSPOSE(SAP_Spreadsheet!$G$192:$BN$192))</f>
        <v>0</v>
      </c>
      <c r="J54" s="382">
        <f t="array" aca="1" ref="J54" ca="1">SUMPRODUCT(J$63:J$122,TRANSPOSE(SAP_Spreadsheet!$G$192:$BN$192))</f>
        <v>0</v>
      </c>
      <c r="K54" s="382">
        <f t="array" aca="1" ref="K54" ca="1">SUMPRODUCT(K$63:K$122,TRANSPOSE(SAP_Spreadsheet!$G$192:$BN$192))</f>
        <v>0</v>
      </c>
      <c r="L54" s="382">
        <f t="array" aca="1" ref="L54" ca="1">SUMPRODUCT(L$63:L$122,TRANSPOSE(SAP_Spreadsheet!$G$192:$BN$192))</f>
        <v>0</v>
      </c>
      <c r="M54" s="382">
        <f t="array" aca="1" ref="M54" ca="1">SUMPRODUCT(M$63:M$122,TRANSPOSE(SAP_Spreadsheet!$G$192:$BN$192))</f>
        <v>0</v>
      </c>
      <c r="N54" s="382">
        <f t="array" aca="1" ref="N54" ca="1">SUMPRODUCT(N$63:N$122,TRANSPOSE(SAP_Spreadsheet!$G$192:$BN$192))</f>
        <v>0</v>
      </c>
      <c r="O54" s="382">
        <f t="array" aca="1" ref="O54" ca="1">SUMPRODUCT(O$63:O$122,TRANSPOSE(SAP_Spreadsheet!$G$192:$BN$192))</f>
        <v>0</v>
      </c>
      <c r="P54" s="382">
        <f t="array" aca="1" ref="P54" ca="1">SUMPRODUCT(P$63:P$122,TRANSPOSE(SAP_Spreadsheet!$G$192:$BN$192))</f>
        <v>0</v>
      </c>
      <c r="Q54" s="382">
        <f t="array" aca="1" ref="Q54" ca="1">SUMPRODUCT(Q$63:Q$122,TRANSPOSE(SAP_Spreadsheet!$G$192:$BN$192))</f>
        <v>0</v>
      </c>
      <c r="R54" s="382">
        <f t="array" aca="1" ref="R54" ca="1">SUMPRODUCT(R$63:R$122,TRANSPOSE(SAP_Spreadsheet!$G$192:$BN$192))</f>
        <v>0</v>
      </c>
      <c r="S54" s="382">
        <f t="array" aca="1" ref="S54" ca="1">SUMPRODUCT(S$63:S$122,TRANSPOSE(SAP_Spreadsheet!$G$192:$BN$192))</f>
        <v>0</v>
      </c>
      <c r="T54" s="382">
        <f t="array" aca="1" ref="T54" ca="1">SUMPRODUCT(T$63:T$122,TRANSPOSE(SAP_Spreadsheet!$G$192:$BN$192))</f>
        <v>0</v>
      </c>
      <c r="U54" s="382">
        <f t="array" aca="1" ref="U54" ca="1">SUMPRODUCT(U$63:U$122,TRANSPOSE(SAP_Spreadsheet!$G$192:$BN$192))</f>
        <v>0</v>
      </c>
      <c r="V54" s="382">
        <f t="array" aca="1" ref="V54" ca="1">SUMPRODUCT(V$63:V$122,TRANSPOSE(SAP_Spreadsheet!$G$192:$BN$192))</f>
        <v>0</v>
      </c>
      <c r="W54" s="382">
        <f t="array" aca="1" ref="W54" ca="1">SUMPRODUCT(W$63:W$122,TRANSPOSE(SAP_Spreadsheet!$G$192:$BN$192))</f>
        <v>0</v>
      </c>
      <c r="X54" s="382">
        <f t="array" aca="1" ref="X54" ca="1">SUMPRODUCT(X$63:X$122,TRANSPOSE(SAP_Spreadsheet!$G$192:$BN$192))</f>
        <v>0</v>
      </c>
      <c r="Y54" s="382">
        <f t="array" aca="1" ref="Y54" ca="1">SUMPRODUCT(Y$63:Y$122,TRANSPOSE(SAP_Spreadsheet!$G$192:$BN$192))</f>
        <v>0</v>
      </c>
      <c r="Z54" s="382">
        <f t="array" aca="1" ref="Z54" ca="1">SUMPRODUCT(Z$63:Z$122,TRANSPOSE(SAP_Spreadsheet!$G$192:$BN$192))</f>
        <v>0</v>
      </c>
      <c r="AA54" s="382">
        <f t="array" aca="1" ref="AA54" ca="1">SUMPRODUCT(AA$63:AA$122,TRANSPOSE(SAP_Spreadsheet!$G$192:$BN$192))</f>
        <v>0</v>
      </c>
      <c r="AB54" s="382">
        <f t="array" aca="1" ref="AB54" ca="1">SUMPRODUCT(AB$63:AB$122,TRANSPOSE(SAP_Spreadsheet!$G$192:$BN$192))</f>
        <v>0</v>
      </c>
      <c r="AC54" s="382">
        <f t="array" aca="1" ref="AC54" ca="1">SUMPRODUCT(AC$63:AC$122,TRANSPOSE(SAP_Spreadsheet!$G$192:$BN$192))</f>
        <v>0</v>
      </c>
      <c r="AD54" s="382">
        <f t="array" aca="1" ref="AD54" ca="1">SUMPRODUCT(AD$63:AD$122,TRANSPOSE(SAP_Spreadsheet!$G$192:$BN$192))</f>
        <v>0</v>
      </c>
      <c r="AE54" s="382">
        <f t="array" aca="1" ref="AE54" ca="1">SUMPRODUCT(AE$63:AE$122,TRANSPOSE(SAP_Spreadsheet!$G$192:$BN$192))</f>
        <v>0</v>
      </c>
      <c r="AF54" s="382">
        <f t="array" aca="1" ref="AF54" ca="1">SUMPRODUCT(AF$63:AF$122,TRANSPOSE(SAP_Spreadsheet!$G$192:$BN$192))</f>
        <v>0</v>
      </c>
      <c r="AG54" s="382">
        <f t="array" aca="1" ref="AG54" ca="1">SUMPRODUCT(AG$63:AG$122,TRANSPOSE(SAP_Spreadsheet!$G$192:$BN$192))</f>
        <v>0</v>
      </c>
      <c r="AH54" s="382">
        <f t="array" aca="1" ref="AH54" ca="1">SUMPRODUCT(AH$63:AH$122,TRANSPOSE(SAP_Spreadsheet!$G$192:$BN$192))</f>
        <v>0</v>
      </c>
      <c r="AI54" s="382">
        <f t="array" aca="1" ref="AI54" ca="1">SUMPRODUCT(AI$63:AI$122,TRANSPOSE(SAP_Spreadsheet!$G$192:$BN$192))</f>
        <v>0</v>
      </c>
      <c r="AJ54" s="382">
        <f t="array" aca="1" ref="AJ54" ca="1">SUMPRODUCT(AJ$63:AJ$122,TRANSPOSE(SAP_Spreadsheet!$G$192:$BN$192))</f>
        <v>0</v>
      </c>
      <c r="AK54" s="382">
        <f t="array" aca="1" ref="AK54" ca="1">SUMPRODUCT(AK$63:AK$122,TRANSPOSE(SAP_Spreadsheet!$G$192:$BN$192))</f>
        <v>0</v>
      </c>
      <c r="AL54" s="382">
        <f t="array" aca="1" ref="AL54" ca="1">SUMPRODUCT(AL$63:AL$122,TRANSPOSE(SAP_Spreadsheet!$G$192:$BN$192))</f>
        <v>0</v>
      </c>
      <c r="AM54" s="382">
        <f t="array" aca="1" ref="AM54" ca="1">SUMPRODUCT(AM$63:AM$122,TRANSPOSE(SAP_Spreadsheet!$G$192:$BN$192))</f>
        <v>0</v>
      </c>
      <c r="AN54" s="382">
        <f t="array" aca="1" ref="AN54" ca="1">SUMPRODUCT(AN$63:AN$122,TRANSPOSE(SAP_Spreadsheet!$G$192:$BN$192))</f>
        <v>0</v>
      </c>
      <c r="AO54" s="382">
        <f t="array" aca="1" ref="AO54" ca="1">SUMPRODUCT(AO$63:AO$122,TRANSPOSE(SAP_Spreadsheet!$G$192:$BN$192))</f>
        <v>0</v>
      </c>
      <c r="AP54" s="382">
        <f t="array" aca="1" ref="AP54" ca="1">SUMPRODUCT(AP$63:AP$122,TRANSPOSE(SAP_Spreadsheet!$G$192:$BN$192))</f>
        <v>0</v>
      </c>
      <c r="AQ54" s="382">
        <f t="array" aca="1" ref="AQ54" ca="1">SUMPRODUCT(AQ$63:AQ$122,TRANSPOSE(SAP_Spreadsheet!$G$192:$BN$192))</f>
        <v>0</v>
      </c>
      <c r="AR54" s="382">
        <f t="array" aca="1" ref="AR54" ca="1">SUMPRODUCT(AR$63:AR$122,TRANSPOSE(SAP_Spreadsheet!$G$192:$BN$192))</f>
        <v>0</v>
      </c>
      <c r="AS54" s="382">
        <f t="array" aca="1" ref="AS54" ca="1">SUMPRODUCT(AS$63:AS$122,TRANSPOSE(SAP_Spreadsheet!$G$192:$BN$192))</f>
        <v>0</v>
      </c>
      <c r="AT54" s="382">
        <f t="array" aca="1" ref="AT54" ca="1">SUMPRODUCT(AT$63:AT$122,TRANSPOSE(SAP_Spreadsheet!$G$192:$BN$192))</f>
        <v>0</v>
      </c>
      <c r="AU54" s="382">
        <f t="array" aca="1" ref="AU54" ca="1">SUMPRODUCT(AU$63:AU$122,TRANSPOSE(SAP_Spreadsheet!$G$192:$BN$192))</f>
        <v>0</v>
      </c>
      <c r="AV54" s="382">
        <f t="array" aca="1" ref="AV54" ca="1">SUMPRODUCT(AV$63:AV$122,TRANSPOSE(SAP_Spreadsheet!$G$192:$BN$192))</f>
        <v>0</v>
      </c>
      <c r="AW54" s="382">
        <f t="array" aca="1" ref="AW54" ca="1">SUMPRODUCT(AW$63:AW$122,TRANSPOSE(SAP_Spreadsheet!$G$192:$BN$192))</f>
        <v>0</v>
      </c>
      <c r="AX54" s="382">
        <f t="array" aca="1" ref="AX54" ca="1">SUMPRODUCT(AX$63:AX$122,TRANSPOSE(SAP_Spreadsheet!$G$192:$BN$192))</f>
        <v>0</v>
      </c>
      <c r="AY54" s="382">
        <f t="array" aca="1" ref="AY54" ca="1">SUMPRODUCT(AY$63:AY$122,TRANSPOSE(SAP_Spreadsheet!$G$192:$BN$192))</f>
        <v>0</v>
      </c>
      <c r="AZ54" s="382">
        <f t="array" aca="1" ref="AZ54" ca="1">SUMPRODUCT(AZ$63:AZ$122,TRANSPOSE(SAP_Spreadsheet!$G$192:$BN$192))</f>
        <v>0</v>
      </c>
      <c r="BA54" s="382">
        <f t="array" aca="1" ref="BA54" ca="1">SUMPRODUCT(BA$63:BA$122,TRANSPOSE(SAP_Spreadsheet!$G$192:$BN$192))</f>
        <v>0</v>
      </c>
      <c r="BB54" s="382">
        <f t="array" aca="1" ref="BB54" ca="1">SUMPRODUCT(BB$63:BB$122,TRANSPOSE(SAP_Spreadsheet!$G$192:$BN$192))</f>
        <v>0</v>
      </c>
      <c r="BC54" s="382">
        <f t="array" aca="1" ref="BC54" ca="1">SUMPRODUCT(BC$63:BC$122,TRANSPOSE(SAP_Spreadsheet!$G$192:$BN$192))</f>
        <v>0</v>
      </c>
      <c r="BD54" s="382">
        <f t="array" aca="1" ref="BD54" ca="1">SUMPRODUCT(BD$63:BD$122,TRANSPOSE(SAP_Spreadsheet!$G$192:$BN$192))</f>
        <v>0</v>
      </c>
      <c r="BE54" s="382">
        <f t="array" aca="1" ref="BE54" ca="1">SUMPRODUCT(BE$63:BE$122,TRANSPOSE(SAP_Spreadsheet!$G$192:$BN$192))</f>
        <v>0</v>
      </c>
      <c r="BF54" s="382">
        <f t="array" aca="1" ref="BF54" ca="1">SUMPRODUCT(BF$63:BF$122,TRANSPOSE(SAP_Spreadsheet!$G$192:$BN$192))</f>
        <v>0</v>
      </c>
      <c r="BG54" s="382">
        <f t="array" aca="1" ref="BG54" ca="1">SUMPRODUCT(BG$63:BG$122,TRANSPOSE(SAP_Spreadsheet!$G$192:$BN$192))</f>
        <v>0</v>
      </c>
      <c r="BH54" s="382">
        <f t="array" aca="1" ref="BH54" ca="1">SUMPRODUCT(BH$63:BH$122,TRANSPOSE(SAP_Spreadsheet!$G$192:$BN$192))</f>
        <v>0</v>
      </c>
      <c r="BI54" s="382">
        <f t="array" aca="1" ref="BI54" ca="1">SUMPRODUCT(BI$63:BI$122,TRANSPOSE(SAP_Spreadsheet!$G$192:$BN$192))</f>
        <v>0</v>
      </c>
      <c r="BJ54" s="382">
        <f t="array" aca="1" ref="BJ54" ca="1">SUMPRODUCT(BJ$63:BJ$122,TRANSPOSE(SAP_Spreadsheet!$G$192:$BN$192))</f>
        <v>0</v>
      </c>
      <c r="BK54" s="382">
        <f t="array" aca="1" ref="BK54" ca="1">SUMPRODUCT(BK$63:BK$122,TRANSPOSE(SAP_Spreadsheet!$G$192:$BN$192))</f>
        <v>0</v>
      </c>
      <c r="BL54" s="382">
        <f t="array" aca="1" ref="BL54" ca="1">SUMPRODUCT(BL$63:BL$122,TRANSPOSE(SAP_Spreadsheet!$G$192:$BN$192))</f>
        <v>0</v>
      </c>
      <c r="BM54" s="378"/>
    </row>
    <row r="55" spans="1:65" s="379" customFormat="1" x14ac:dyDescent="0.15">
      <c r="A55" s="371"/>
      <c r="B55" s="371"/>
      <c r="D55" s="379" t="s">
        <v>294</v>
      </c>
      <c r="E55" s="382">
        <f t="array" aca="1" ref="E55" ca="1">SUMPRODUCT(E$63:E$122,TRANSPOSE(SAP_Spreadsheet!$G$193:$BN$193))</f>
        <v>0</v>
      </c>
      <c r="F55" s="382">
        <f t="array" aca="1" ref="F55" ca="1">SUMPRODUCT(F$63:F$122,TRANSPOSE(SAP_Spreadsheet!$G$193:$BN$193))</f>
        <v>0</v>
      </c>
      <c r="G55" s="382">
        <f t="array" aca="1" ref="G55" ca="1">SUMPRODUCT(G$63:G$122,TRANSPOSE(SAP_Spreadsheet!$G$193:$BN$193))</f>
        <v>0</v>
      </c>
      <c r="H55" s="382">
        <f t="array" aca="1" ref="H55" ca="1">SUMPRODUCT(H$63:H$122,TRANSPOSE(SAP_Spreadsheet!$G$193:$BN$193))</f>
        <v>0</v>
      </c>
      <c r="I55" s="382">
        <f t="array" aca="1" ref="I55" ca="1">SUMPRODUCT(I$63:I$122,TRANSPOSE(SAP_Spreadsheet!$G$193:$BN$193))</f>
        <v>0</v>
      </c>
      <c r="J55" s="382">
        <f t="array" aca="1" ref="J55" ca="1">SUMPRODUCT(J$63:J$122,TRANSPOSE(SAP_Spreadsheet!$G$193:$BN$193))</f>
        <v>0</v>
      </c>
      <c r="K55" s="382">
        <f t="array" aca="1" ref="K55" ca="1">SUMPRODUCT(K$63:K$122,TRANSPOSE(SAP_Spreadsheet!$G$193:$BN$193))</f>
        <v>0</v>
      </c>
      <c r="L55" s="382">
        <f t="array" aca="1" ref="L55" ca="1">SUMPRODUCT(L$63:L$122,TRANSPOSE(SAP_Spreadsheet!$G$193:$BN$193))</f>
        <v>0</v>
      </c>
      <c r="M55" s="382">
        <f t="array" aca="1" ref="M55" ca="1">SUMPRODUCT(M$63:M$122,TRANSPOSE(SAP_Spreadsheet!$G$193:$BN$193))</f>
        <v>0</v>
      </c>
      <c r="N55" s="382">
        <f t="array" aca="1" ref="N55" ca="1">SUMPRODUCT(N$63:N$122,TRANSPOSE(SAP_Spreadsheet!$G$193:$BN$193))</f>
        <v>0</v>
      </c>
      <c r="O55" s="382">
        <f t="array" aca="1" ref="O55" ca="1">SUMPRODUCT(O$63:O$122,TRANSPOSE(SAP_Spreadsheet!$G$193:$BN$193))</f>
        <v>0</v>
      </c>
      <c r="P55" s="382">
        <f t="array" aca="1" ref="P55" ca="1">SUMPRODUCT(P$63:P$122,TRANSPOSE(SAP_Spreadsheet!$G$193:$BN$193))</f>
        <v>0</v>
      </c>
      <c r="Q55" s="382">
        <f t="array" aca="1" ref="Q55" ca="1">SUMPRODUCT(Q$63:Q$122,TRANSPOSE(SAP_Spreadsheet!$G$193:$BN$193))</f>
        <v>0</v>
      </c>
      <c r="R55" s="382">
        <f t="array" aca="1" ref="R55" ca="1">SUMPRODUCT(R$63:R$122,TRANSPOSE(SAP_Spreadsheet!$G$193:$BN$193))</f>
        <v>0</v>
      </c>
      <c r="S55" s="382">
        <f t="array" aca="1" ref="S55" ca="1">SUMPRODUCT(S$63:S$122,TRANSPOSE(SAP_Spreadsheet!$G$193:$BN$193))</f>
        <v>0</v>
      </c>
      <c r="T55" s="382">
        <f t="array" aca="1" ref="T55" ca="1">SUMPRODUCT(T$63:T$122,TRANSPOSE(SAP_Spreadsheet!$G$193:$BN$193))</f>
        <v>0</v>
      </c>
      <c r="U55" s="382">
        <f t="array" aca="1" ref="U55" ca="1">SUMPRODUCT(U$63:U$122,TRANSPOSE(SAP_Spreadsheet!$G$193:$BN$193))</f>
        <v>0</v>
      </c>
      <c r="V55" s="382">
        <f t="array" aca="1" ref="V55" ca="1">SUMPRODUCT(V$63:V$122,TRANSPOSE(SAP_Spreadsheet!$G$193:$BN$193))</f>
        <v>0</v>
      </c>
      <c r="W55" s="382">
        <f t="array" aca="1" ref="W55" ca="1">SUMPRODUCT(W$63:W$122,TRANSPOSE(SAP_Spreadsheet!$G$193:$BN$193))</f>
        <v>0</v>
      </c>
      <c r="X55" s="382">
        <f t="array" aca="1" ref="X55" ca="1">SUMPRODUCT(X$63:X$122,TRANSPOSE(SAP_Spreadsheet!$G$193:$BN$193))</f>
        <v>0</v>
      </c>
      <c r="Y55" s="382">
        <f t="array" aca="1" ref="Y55" ca="1">SUMPRODUCT(Y$63:Y$122,TRANSPOSE(SAP_Spreadsheet!$G$193:$BN$193))</f>
        <v>0</v>
      </c>
      <c r="Z55" s="382">
        <f t="array" aca="1" ref="Z55" ca="1">SUMPRODUCT(Z$63:Z$122,TRANSPOSE(SAP_Spreadsheet!$G$193:$BN$193))</f>
        <v>0</v>
      </c>
      <c r="AA55" s="382">
        <f t="array" aca="1" ref="AA55" ca="1">SUMPRODUCT(AA$63:AA$122,TRANSPOSE(SAP_Spreadsheet!$G$193:$BN$193))</f>
        <v>0</v>
      </c>
      <c r="AB55" s="382">
        <f t="array" aca="1" ref="AB55" ca="1">SUMPRODUCT(AB$63:AB$122,TRANSPOSE(SAP_Spreadsheet!$G$193:$BN$193))</f>
        <v>0</v>
      </c>
      <c r="AC55" s="382">
        <f t="array" aca="1" ref="AC55" ca="1">SUMPRODUCT(AC$63:AC$122,TRANSPOSE(SAP_Spreadsheet!$G$193:$BN$193))</f>
        <v>0</v>
      </c>
      <c r="AD55" s="382">
        <f t="array" aca="1" ref="AD55" ca="1">SUMPRODUCT(AD$63:AD$122,TRANSPOSE(SAP_Spreadsheet!$G$193:$BN$193))</f>
        <v>0</v>
      </c>
      <c r="AE55" s="382">
        <f t="array" aca="1" ref="AE55" ca="1">SUMPRODUCT(AE$63:AE$122,TRANSPOSE(SAP_Spreadsheet!$G$193:$BN$193))</f>
        <v>0</v>
      </c>
      <c r="AF55" s="382">
        <f t="array" aca="1" ref="AF55" ca="1">SUMPRODUCT(AF$63:AF$122,TRANSPOSE(SAP_Spreadsheet!$G$193:$BN$193))</f>
        <v>0</v>
      </c>
      <c r="AG55" s="382">
        <f t="array" aca="1" ref="AG55" ca="1">SUMPRODUCT(AG$63:AG$122,TRANSPOSE(SAP_Spreadsheet!$G$193:$BN$193))</f>
        <v>0</v>
      </c>
      <c r="AH55" s="382">
        <f t="array" aca="1" ref="AH55" ca="1">SUMPRODUCT(AH$63:AH$122,TRANSPOSE(SAP_Spreadsheet!$G$193:$BN$193))</f>
        <v>0</v>
      </c>
      <c r="AI55" s="382">
        <f t="array" aca="1" ref="AI55" ca="1">SUMPRODUCT(AI$63:AI$122,TRANSPOSE(SAP_Spreadsheet!$G$193:$BN$193))</f>
        <v>0</v>
      </c>
      <c r="AJ55" s="382">
        <f t="array" aca="1" ref="AJ55" ca="1">SUMPRODUCT(AJ$63:AJ$122,TRANSPOSE(SAP_Spreadsheet!$G$193:$BN$193))</f>
        <v>0</v>
      </c>
      <c r="AK55" s="382">
        <f t="array" aca="1" ref="AK55" ca="1">SUMPRODUCT(AK$63:AK$122,TRANSPOSE(SAP_Spreadsheet!$G$193:$BN$193))</f>
        <v>0</v>
      </c>
      <c r="AL55" s="382">
        <f t="array" aca="1" ref="AL55" ca="1">SUMPRODUCT(AL$63:AL$122,TRANSPOSE(SAP_Spreadsheet!$G$193:$BN$193))</f>
        <v>0</v>
      </c>
      <c r="AM55" s="382">
        <f t="array" aca="1" ref="AM55" ca="1">SUMPRODUCT(AM$63:AM$122,TRANSPOSE(SAP_Spreadsheet!$G$193:$BN$193))</f>
        <v>0</v>
      </c>
      <c r="AN55" s="382">
        <f t="array" aca="1" ref="AN55" ca="1">SUMPRODUCT(AN$63:AN$122,TRANSPOSE(SAP_Spreadsheet!$G$193:$BN$193))</f>
        <v>0</v>
      </c>
      <c r="AO55" s="382">
        <f t="array" aca="1" ref="AO55" ca="1">SUMPRODUCT(AO$63:AO$122,TRANSPOSE(SAP_Spreadsheet!$G$193:$BN$193))</f>
        <v>0</v>
      </c>
      <c r="AP55" s="382">
        <f t="array" aca="1" ref="AP55" ca="1">SUMPRODUCT(AP$63:AP$122,TRANSPOSE(SAP_Spreadsheet!$G$193:$BN$193))</f>
        <v>0</v>
      </c>
      <c r="AQ55" s="382">
        <f t="array" aca="1" ref="AQ55" ca="1">SUMPRODUCT(AQ$63:AQ$122,TRANSPOSE(SAP_Spreadsheet!$G$193:$BN$193))</f>
        <v>0</v>
      </c>
      <c r="AR55" s="382">
        <f t="array" aca="1" ref="AR55" ca="1">SUMPRODUCT(AR$63:AR$122,TRANSPOSE(SAP_Spreadsheet!$G$193:$BN$193))</f>
        <v>0</v>
      </c>
      <c r="AS55" s="382">
        <f t="array" aca="1" ref="AS55" ca="1">SUMPRODUCT(AS$63:AS$122,TRANSPOSE(SAP_Spreadsheet!$G$193:$BN$193))</f>
        <v>0</v>
      </c>
      <c r="AT55" s="382">
        <f t="array" aca="1" ref="AT55" ca="1">SUMPRODUCT(AT$63:AT$122,TRANSPOSE(SAP_Spreadsheet!$G$193:$BN$193))</f>
        <v>0</v>
      </c>
      <c r="AU55" s="382">
        <f t="array" aca="1" ref="AU55" ca="1">SUMPRODUCT(AU$63:AU$122,TRANSPOSE(SAP_Spreadsheet!$G$193:$BN$193))</f>
        <v>0</v>
      </c>
      <c r="AV55" s="382">
        <f t="array" aca="1" ref="AV55" ca="1">SUMPRODUCT(AV$63:AV$122,TRANSPOSE(SAP_Spreadsheet!$G$193:$BN$193))</f>
        <v>0</v>
      </c>
      <c r="AW55" s="382">
        <f t="array" aca="1" ref="AW55" ca="1">SUMPRODUCT(AW$63:AW$122,TRANSPOSE(SAP_Spreadsheet!$G$193:$BN$193))</f>
        <v>0</v>
      </c>
      <c r="AX55" s="382">
        <f t="array" aca="1" ref="AX55" ca="1">SUMPRODUCT(AX$63:AX$122,TRANSPOSE(SAP_Spreadsheet!$G$193:$BN$193))</f>
        <v>0</v>
      </c>
      <c r="AY55" s="382">
        <f t="array" aca="1" ref="AY55" ca="1">SUMPRODUCT(AY$63:AY$122,TRANSPOSE(SAP_Spreadsheet!$G$193:$BN$193))</f>
        <v>0</v>
      </c>
      <c r="AZ55" s="382">
        <f t="array" aca="1" ref="AZ55" ca="1">SUMPRODUCT(AZ$63:AZ$122,TRANSPOSE(SAP_Spreadsheet!$G$193:$BN$193))</f>
        <v>0</v>
      </c>
      <c r="BA55" s="382">
        <f t="array" aca="1" ref="BA55" ca="1">SUMPRODUCT(BA$63:BA$122,TRANSPOSE(SAP_Spreadsheet!$G$193:$BN$193))</f>
        <v>0</v>
      </c>
      <c r="BB55" s="382">
        <f t="array" aca="1" ref="BB55" ca="1">SUMPRODUCT(BB$63:BB$122,TRANSPOSE(SAP_Spreadsheet!$G$193:$BN$193))</f>
        <v>0</v>
      </c>
      <c r="BC55" s="382">
        <f t="array" aca="1" ref="BC55" ca="1">SUMPRODUCT(BC$63:BC$122,TRANSPOSE(SAP_Spreadsheet!$G$193:$BN$193))</f>
        <v>0</v>
      </c>
      <c r="BD55" s="382">
        <f t="array" aca="1" ref="BD55" ca="1">SUMPRODUCT(BD$63:BD$122,TRANSPOSE(SAP_Spreadsheet!$G$193:$BN$193))</f>
        <v>0</v>
      </c>
      <c r="BE55" s="382">
        <f t="array" aca="1" ref="BE55" ca="1">SUMPRODUCT(BE$63:BE$122,TRANSPOSE(SAP_Spreadsheet!$G$193:$BN$193))</f>
        <v>0</v>
      </c>
      <c r="BF55" s="382">
        <f t="array" aca="1" ref="BF55" ca="1">SUMPRODUCT(BF$63:BF$122,TRANSPOSE(SAP_Spreadsheet!$G$193:$BN$193))</f>
        <v>0</v>
      </c>
      <c r="BG55" s="382">
        <f t="array" aca="1" ref="BG55" ca="1">SUMPRODUCT(BG$63:BG$122,TRANSPOSE(SAP_Spreadsheet!$G$193:$BN$193))</f>
        <v>0</v>
      </c>
      <c r="BH55" s="382">
        <f t="array" aca="1" ref="BH55" ca="1">SUMPRODUCT(BH$63:BH$122,TRANSPOSE(SAP_Spreadsheet!$G$193:$BN$193))</f>
        <v>0</v>
      </c>
      <c r="BI55" s="382">
        <f t="array" aca="1" ref="BI55" ca="1">SUMPRODUCT(BI$63:BI$122,TRANSPOSE(SAP_Spreadsheet!$G$193:$BN$193))</f>
        <v>0</v>
      </c>
      <c r="BJ55" s="382">
        <f t="array" aca="1" ref="BJ55" ca="1">SUMPRODUCT(BJ$63:BJ$122,TRANSPOSE(SAP_Spreadsheet!$G$193:$BN$193))</f>
        <v>0</v>
      </c>
      <c r="BK55" s="382">
        <f t="array" aca="1" ref="BK55" ca="1">SUMPRODUCT(BK$63:BK$122,TRANSPOSE(SAP_Spreadsheet!$G$193:$BN$193))</f>
        <v>0</v>
      </c>
      <c r="BL55" s="382">
        <f t="array" aca="1" ref="BL55" ca="1">SUMPRODUCT(BL$63:BL$122,TRANSPOSE(SAP_Spreadsheet!$G$193:$BN$193))</f>
        <v>0</v>
      </c>
      <c r="BM55" s="378"/>
    </row>
    <row r="56" spans="1:65" s="379" customFormat="1" x14ac:dyDescent="0.15">
      <c r="A56" s="371"/>
      <c r="B56" s="371"/>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78"/>
      <c r="AL56" s="378"/>
      <c r="AM56" s="378"/>
      <c r="AN56" s="378"/>
      <c r="AO56" s="378"/>
      <c r="AP56" s="378"/>
      <c r="AQ56" s="378"/>
      <c r="AR56" s="378"/>
      <c r="AS56" s="378"/>
      <c r="AT56" s="378"/>
      <c r="AU56" s="378"/>
      <c r="AV56" s="378"/>
      <c r="AW56" s="378"/>
      <c r="AX56" s="378"/>
      <c r="AY56" s="378"/>
      <c r="AZ56" s="378"/>
      <c r="BA56" s="378"/>
      <c r="BB56" s="378"/>
      <c r="BC56" s="378"/>
      <c r="BD56" s="378"/>
      <c r="BE56" s="378"/>
      <c r="BF56" s="378"/>
      <c r="BG56" s="378"/>
      <c r="BH56" s="378"/>
      <c r="BI56" s="378"/>
      <c r="BJ56" s="378"/>
      <c r="BK56" s="378"/>
      <c r="BL56" s="378"/>
      <c r="BM56" s="378"/>
    </row>
    <row r="57" spans="1:65" s="379" customFormat="1" x14ac:dyDescent="0.15">
      <c r="A57" s="371"/>
      <c r="B57" s="371"/>
      <c r="D57" s="377" t="s">
        <v>465</v>
      </c>
      <c r="E57" s="391">
        <f t="shared" ref="E57:BL57" ca="1" si="6">SUMPRODUCT(E63:E122,$C$63:$C$122)</f>
        <v>0</v>
      </c>
      <c r="F57" s="391">
        <f t="shared" ca="1" si="6"/>
        <v>0</v>
      </c>
      <c r="G57" s="391">
        <f t="shared" ca="1" si="6"/>
        <v>0</v>
      </c>
      <c r="H57" s="391">
        <f t="shared" ca="1" si="6"/>
        <v>0</v>
      </c>
      <c r="I57" s="391">
        <f t="shared" ca="1" si="6"/>
        <v>0</v>
      </c>
      <c r="J57" s="391">
        <f t="shared" ca="1" si="6"/>
        <v>0</v>
      </c>
      <c r="K57" s="391">
        <f t="shared" ca="1" si="6"/>
        <v>0</v>
      </c>
      <c r="L57" s="391">
        <f t="shared" ca="1" si="6"/>
        <v>0</v>
      </c>
      <c r="M57" s="391">
        <f t="shared" ca="1" si="6"/>
        <v>0</v>
      </c>
      <c r="N57" s="391">
        <f t="shared" ca="1" si="6"/>
        <v>0</v>
      </c>
      <c r="O57" s="391">
        <f t="shared" ca="1" si="6"/>
        <v>0</v>
      </c>
      <c r="P57" s="391">
        <f t="shared" ca="1" si="6"/>
        <v>0</v>
      </c>
      <c r="Q57" s="391">
        <f t="shared" ca="1" si="6"/>
        <v>0</v>
      </c>
      <c r="R57" s="391">
        <f t="shared" ca="1" si="6"/>
        <v>0</v>
      </c>
      <c r="S57" s="391">
        <f t="shared" ca="1" si="6"/>
        <v>0</v>
      </c>
      <c r="T57" s="391">
        <f t="shared" ca="1" si="6"/>
        <v>0</v>
      </c>
      <c r="U57" s="391">
        <f t="shared" ca="1" si="6"/>
        <v>0</v>
      </c>
      <c r="V57" s="391">
        <f t="shared" ca="1" si="6"/>
        <v>0</v>
      </c>
      <c r="W57" s="391">
        <f t="shared" ca="1" si="6"/>
        <v>0</v>
      </c>
      <c r="X57" s="391">
        <f t="shared" ca="1" si="6"/>
        <v>0</v>
      </c>
      <c r="Y57" s="391">
        <f t="shared" ca="1" si="6"/>
        <v>0</v>
      </c>
      <c r="Z57" s="391">
        <f t="shared" ca="1" si="6"/>
        <v>0</v>
      </c>
      <c r="AA57" s="391">
        <f t="shared" ca="1" si="6"/>
        <v>0</v>
      </c>
      <c r="AB57" s="391">
        <f t="shared" ca="1" si="6"/>
        <v>0</v>
      </c>
      <c r="AC57" s="391">
        <f t="shared" ca="1" si="6"/>
        <v>0</v>
      </c>
      <c r="AD57" s="391">
        <f t="shared" ca="1" si="6"/>
        <v>0</v>
      </c>
      <c r="AE57" s="391">
        <f t="shared" ca="1" si="6"/>
        <v>0</v>
      </c>
      <c r="AF57" s="391">
        <f t="shared" ca="1" si="6"/>
        <v>0</v>
      </c>
      <c r="AG57" s="391">
        <f t="shared" ca="1" si="6"/>
        <v>0</v>
      </c>
      <c r="AH57" s="391">
        <f t="shared" ca="1" si="6"/>
        <v>0</v>
      </c>
      <c r="AI57" s="391">
        <f t="shared" ca="1" si="6"/>
        <v>0</v>
      </c>
      <c r="AJ57" s="391">
        <f t="shared" ca="1" si="6"/>
        <v>0</v>
      </c>
      <c r="AK57" s="391">
        <f t="shared" ca="1" si="6"/>
        <v>0</v>
      </c>
      <c r="AL57" s="391">
        <f t="shared" ca="1" si="6"/>
        <v>0</v>
      </c>
      <c r="AM57" s="391">
        <f t="shared" ca="1" si="6"/>
        <v>0</v>
      </c>
      <c r="AN57" s="391">
        <f t="shared" ca="1" si="6"/>
        <v>0</v>
      </c>
      <c r="AO57" s="391">
        <f t="shared" ca="1" si="6"/>
        <v>0</v>
      </c>
      <c r="AP57" s="391">
        <f t="shared" ca="1" si="6"/>
        <v>0</v>
      </c>
      <c r="AQ57" s="391">
        <f t="shared" ca="1" si="6"/>
        <v>0</v>
      </c>
      <c r="AR57" s="391">
        <f t="shared" ca="1" si="6"/>
        <v>0</v>
      </c>
      <c r="AS57" s="391">
        <f t="shared" ca="1" si="6"/>
        <v>0</v>
      </c>
      <c r="AT57" s="391">
        <f t="shared" ca="1" si="6"/>
        <v>0</v>
      </c>
      <c r="AU57" s="391">
        <f t="shared" ca="1" si="6"/>
        <v>0</v>
      </c>
      <c r="AV57" s="391">
        <f t="shared" ca="1" si="6"/>
        <v>0</v>
      </c>
      <c r="AW57" s="391">
        <f t="shared" ca="1" si="6"/>
        <v>0</v>
      </c>
      <c r="AX57" s="391">
        <f t="shared" ca="1" si="6"/>
        <v>0</v>
      </c>
      <c r="AY57" s="391">
        <f t="shared" ca="1" si="6"/>
        <v>0</v>
      </c>
      <c r="AZ57" s="391">
        <f t="shared" ca="1" si="6"/>
        <v>0</v>
      </c>
      <c r="BA57" s="391">
        <f t="shared" ca="1" si="6"/>
        <v>0</v>
      </c>
      <c r="BB57" s="391">
        <f t="shared" ca="1" si="6"/>
        <v>0</v>
      </c>
      <c r="BC57" s="391">
        <f t="shared" ca="1" si="6"/>
        <v>0</v>
      </c>
      <c r="BD57" s="391">
        <f t="shared" ca="1" si="6"/>
        <v>0</v>
      </c>
      <c r="BE57" s="391">
        <f t="shared" ca="1" si="6"/>
        <v>0</v>
      </c>
      <c r="BF57" s="391">
        <f t="shared" ca="1" si="6"/>
        <v>0</v>
      </c>
      <c r="BG57" s="391">
        <f t="shared" ca="1" si="6"/>
        <v>0</v>
      </c>
      <c r="BH57" s="391">
        <f t="shared" ca="1" si="6"/>
        <v>0</v>
      </c>
      <c r="BI57" s="391">
        <f t="shared" ca="1" si="6"/>
        <v>0</v>
      </c>
      <c r="BJ57" s="391">
        <f t="shared" ca="1" si="6"/>
        <v>0</v>
      </c>
      <c r="BK57" s="391">
        <f t="shared" ca="1" si="6"/>
        <v>0</v>
      </c>
      <c r="BL57" s="391">
        <f t="shared" ca="1" si="6"/>
        <v>0</v>
      </c>
      <c r="BM57" s="378"/>
    </row>
    <row r="58" spans="1:65" s="371" customFormat="1" x14ac:dyDescent="0.15">
      <c r="D58" s="377" t="s">
        <v>466</v>
      </c>
      <c r="E58" s="391">
        <f t="shared" ref="E58:BL58" ca="1" si="7">SUMPRODUCT(E63:E122,$B$63:$B$122)</f>
        <v>0</v>
      </c>
      <c r="F58" s="391">
        <f t="shared" ca="1" si="7"/>
        <v>0</v>
      </c>
      <c r="G58" s="391">
        <f t="shared" ca="1" si="7"/>
        <v>0</v>
      </c>
      <c r="H58" s="391">
        <f t="shared" ca="1" si="7"/>
        <v>0</v>
      </c>
      <c r="I58" s="391">
        <f t="shared" ca="1" si="7"/>
        <v>0</v>
      </c>
      <c r="J58" s="391">
        <f t="shared" ca="1" si="7"/>
        <v>0</v>
      </c>
      <c r="K58" s="391">
        <f t="shared" ca="1" si="7"/>
        <v>0</v>
      </c>
      <c r="L58" s="391">
        <f t="shared" ca="1" si="7"/>
        <v>0</v>
      </c>
      <c r="M58" s="391">
        <f t="shared" ca="1" si="7"/>
        <v>0</v>
      </c>
      <c r="N58" s="391">
        <f t="shared" ca="1" si="7"/>
        <v>0</v>
      </c>
      <c r="O58" s="391">
        <f t="shared" ca="1" si="7"/>
        <v>0</v>
      </c>
      <c r="P58" s="391">
        <f t="shared" ca="1" si="7"/>
        <v>0</v>
      </c>
      <c r="Q58" s="391">
        <f t="shared" ca="1" si="7"/>
        <v>0</v>
      </c>
      <c r="R58" s="391">
        <f t="shared" ca="1" si="7"/>
        <v>0</v>
      </c>
      <c r="S58" s="391">
        <f t="shared" ca="1" si="7"/>
        <v>0</v>
      </c>
      <c r="T58" s="391">
        <f t="shared" ca="1" si="7"/>
        <v>0</v>
      </c>
      <c r="U58" s="391">
        <f t="shared" ca="1" si="7"/>
        <v>0</v>
      </c>
      <c r="V58" s="391">
        <f t="shared" ca="1" si="7"/>
        <v>0</v>
      </c>
      <c r="W58" s="391">
        <f t="shared" ca="1" si="7"/>
        <v>0</v>
      </c>
      <c r="X58" s="391">
        <f t="shared" ca="1" si="7"/>
        <v>0</v>
      </c>
      <c r="Y58" s="391">
        <f t="shared" ca="1" si="7"/>
        <v>0</v>
      </c>
      <c r="Z58" s="391">
        <f t="shared" ca="1" si="7"/>
        <v>0</v>
      </c>
      <c r="AA58" s="391">
        <f t="shared" ca="1" si="7"/>
        <v>0</v>
      </c>
      <c r="AB58" s="391">
        <f t="shared" ca="1" si="7"/>
        <v>0</v>
      </c>
      <c r="AC58" s="391">
        <f t="shared" ca="1" si="7"/>
        <v>0</v>
      </c>
      <c r="AD58" s="391">
        <f t="shared" ca="1" si="7"/>
        <v>0</v>
      </c>
      <c r="AE58" s="391">
        <f t="shared" ca="1" si="7"/>
        <v>0</v>
      </c>
      <c r="AF58" s="391">
        <f t="shared" ca="1" si="7"/>
        <v>0</v>
      </c>
      <c r="AG58" s="391">
        <f t="shared" ca="1" si="7"/>
        <v>0</v>
      </c>
      <c r="AH58" s="391">
        <f t="shared" ca="1" si="7"/>
        <v>0</v>
      </c>
      <c r="AI58" s="391">
        <f t="shared" ca="1" si="7"/>
        <v>0</v>
      </c>
      <c r="AJ58" s="391">
        <f t="shared" ca="1" si="7"/>
        <v>0</v>
      </c>
      <c r="AK58" s="391">
        <f t="shared" ca="1" si="7"/>
        <v>0</v>
      </c>
      <c r="AL58" s="391">
        <f t="shared" ca="1" si="7"/>
        <v>0</v>
      </c>
      <c r="AM58" s="391">
        <f t="shared" ca="1" si="7"/>
        <v>0</v>
      </c>
      <c r="AN58" s="391">
        <f t="shared" ca="1" si="7"/>
        <v>0</v>
      </c>
      <c r="AO58" s="391">
        <f t="shared" ca="1" si="7"/>
        <v>0</v>
      </c>
      <c r="AP58" s="391">
        <f t="shared" ca="1" si="7"/>
        <v>0</v>
      </c>
      <c r="AQ58" s="391">
        <f t="shared" ca="1" si="7"/>
        <v>0</v>
      </c>
      <c r="AR58" s="391">
        <f t="shared" ca="1" si="7"/>
        <v>0</v>
      </c>
      <c r="AS58" s="391">
        <f t="shared" ca="1" si="7"/>
        <v>0</v>
      </c>
      <c r="AT58" s="391">
        <f t="shared" ca="1" si="7"/>
        <v>0</v>
      </c>
      <c r="AU58" s="391">
        <f t="shared" ca="1" si="7"/>
        <v>0</v>
      </c>
      <c r="AV58" s="391">
        <f t="shared" ca="1" si="7"/>
        <v>0</v>
      </c>
      <c r="AW58" s="391">
        <f t="shared" ca="1" si="7"/>
        <v>0</v>
      </c>
      <c r="AX58" s="391">
        <f t="shared" ca="1" si="7"/>
        <v>0</v>
      </c>
      <c r="AY58" s="391">
        <f t="shared" ca="1" si="7"/>
        <v>0</v>
      </c>
      <c r="AZ58" s="391">
        <f t="shared" ca="1" si="7"/>
        <v>0</v>
      </c>
      <c r="BA58" s="391">
        <f t="shared" ca="1" si="7"/>
        <v>0</v>
      </c>
      <c r="BB58" s="391">
        <f t="shared" ca="1" si="7"/>
        <v>0</v>
      </c>
      <c r="BC58" s="391">
        <f t="shared" ca="1" si="7"/>
        <v>0</v>
      </c>
      <c r="BD58" s="391">
        <f t="shared" ca="1" si="7"/>
        <v>0</v>
      </c>
      <c r="BE58" s="391">
        <f t="shared" ca="1" si="7"/>
        <v>0</v>
      </c>
      <c r="BF58" s="391">
        <f t="shared" ca="1" si="7"/>
        <v>0</v>
      </c>
      <c r="BG58" s="391">
        <f t="shared" ca="1" si="7"/>
        <v>0</v>
      </c>
      <c r="BH58" s="391">
        <f t="shared" ca="1" si="7"/>
        <v>0</v>
      </c>
      <c r="BI58" s="391">
        <f t="shared" ca="1" si="7"/>
        <v>0</v>
      </c>
      <c r="BJ58" s="391">
        <f t="shared" ca="1" si="7"/>
        <v>0</v>
      </c>
      <c r="BK58" s="391">
        <f t="shared" ca="1" si="7"/>
        <v>0</v>
      </c>
      <c r="BL58" s="391">
        <f t="shared" ca="1" si="7"/>
        <v>0</v>
      </c>
    </row>
    <row r="59" spans="1:65" s="379" customFormat="1" x14ac:dyDescent="0.15">
      <c r="A59" s="371"/>
      <c r="B59" s="371"/>
      <c r="D59" s="377" t="s">
        <v>467</v>
      </c>
      <c r="E59" s="391">
        <f ca="1">PnL_Speadsheet!E58*SAP_Spreadsheet!G15</f>
        <v>0</v>
      </c>
      <c r="F59" s="391">
        <f ca="1">PnL_Speadsheet!F58*SAP_Spreadsheet!H15</f>
        <v>0</v>
      </c>
      <c r="G59" s="391">
        <f ca="1">PnL_Speadsheet!G58*SAP_Spreadsheet!I15</f>
        <v>0</v>
      </c>
      <c r="H59" s="391">
        <f ca="1">PnL_Speadsheet!H58*SAP_Spreadsheet!J15</f>
        <v>0</v>
      </c>
      <c r="I59" s="391">
        <f ca="1">PnL_Speadsheet!I58*SAP_Spreadsheet!K15</f>
        <v>0</v>
      </c>
      <c r="J59" s="391">
        <f ca="1">PnL_Speadsheet!J58*SAP_Spreadsheet!L15</f>
        <v>0</v>
      </c>
      <c r="K59" s="391">
        <f ca="1">PnL_Speadsheet!K58*SAP_Spreadsheet!M15</f>
        <v>0</v>
      </c>
      <c r="L59" s="391">
        <f ca="1">PnL_Speadsheet!L58*SAP_Spreadsheet!N15</f>
        <v>0</v>
      </c>
      <c r="M59" s="391">
        <f ca="1">PnL_Speadsheet!M58*SAP_Spreadsheet!O15</f>
        <v>0</v>
      </c>
      <c r="N59" s="391">
        <f ca="1">PnL_Speadsheet!N58*SAP_Spreadsheet!P15</f>
        <v>0</v>
      </c>
      <c r="O59" s="391">
        <f ca="1">PnL_Speadsheet!O58*SAP_Spreadsheet!Q15</f>
        <v>0</v>
      </c>
      <c r="P59" s="391">
        <f ca="1">PnL_Speadsheet!P58*SAP_Spreadsheet!R15</f>
        <v>0</v>
      </c>
      <c r="Q59" s="391">
        <f ca="1">PnL_Speadsheet!Q58*SAP_Spreadsheet!S15</f>
        <v>0</v>
      </c>
      <c r="R59" s="391">
        <f ca="1">PnL_Speadsheet!R58*SAP_Spreadsheet!T15</f>
        <v>0</v>
      </c>
      <c r="S59" s="391">
        <f ca="1">PnL_Speadsheet!S58*SAP_Spreadsheet!U15</f>
        <v>0</v>
      </c>
      <c r="T59" s="391">
        <f ca="1">PnL_Speadsheet!T58*SAP_Spreadsheet!V15</f>
        <v>0</v>
      </c>
      <c r="U59" s="391">
        <f ca="1">PnL_Speadsheet!U58*SAP_Spreadsheet!W15</f>
        <v>0</v>
      </c>
      <c r="V59" s="391">
        <f ca="1">PnL_Speadsheet!V58*SAP_Spreadsheet!X15</f>
        <v>0</v>
      </c>
      <c r="W59" s="391">
        <f ca="1">PnL_Speadsheet!W58*SAP_Spreadsheet!Y15</f>
        <v>0</v>
      </c>
      <c r="X59" s="391">
        <f ca="1">PnL_Speadsheet!X58*SAP_Spreadsheet!Z15</f>
        <v>0</v>
      </c>
      <c r="Y59" s="391">
        <f ca="1">PnL_Speadsheet!Y58*SAP_Spreadsheet!AA15</f>
        <v>0</v>
      </c>
      <c r="Z59" s="391">
        <f ca="1">PnL_Speadsheet!Z58*SAP_Spreadsheet!AB15</f>
        <v>0</v>
      </c>
      <c r="AA59" s="391">
        <f ca="1">PnL_Speadsheet!AA58*SAP_Spreadsheet!AC15</f>
        <v>0</v>
      </c>
      <c r="AB59" s="391">
        <f ca="1">PnL_Speadsheet!AB58*SAP_Spreadsheet!AD15</f>
        <v>0</v>
      </c>
      <c r="AC59" s="391">
        <f ca="1">PnL_Speadsheet!AC58*SAP_Spreadsheet!AE15</f>
        <v>0</v>
      </c>
      <c r="AD59" s="391">
        <f ca="1">PnL_Speadsheet!AD58*SAP_Spreadsheet!AF15</f>
        <v>0</v>
      </c>
      <c r="AE59" s="391">
        <f ca="1">PnL_Speadsheet!AE58*SAP_Spreadsheet!AG15</f>
        <v>0</v>
      </c>
      <c r="AF59" s="391">
        <f ca="1">PnL_Speadsheet!AF58*SAP_Spreadsheet!AH15</f>
        <v>0</v>
      </c>
      <c r="AG59" s="391">
        <f ca="1">PnL_Speadsheet!AG58*SAP_Spreadsheet!AI15</f>
        <v>0</v>
      </c>
      <c r="AH59" s="391">
        <f ca="1">PnL_Speadsheet!AH58*SAP_Spreadsheet!AJ15</f>
        <v>0</v>
      </c>
      <c r="AI59" s="391">
        <f ca="1">PnL_Speadsheet!AI58*SAP_Spreadsheet!AK15</f>
        <v>0</v>
      </c>
      <c r="AJ59" s="391">
        <f ca="1">PnL_Speadsheet!AJ58*SAP_Spreadsheet!AL15</f>
        <v>0</v>
      </c>
      <c r="AK59" s="391">
        <f ca="1">PnL_Speadsheet!AK58*SAP_Spreadsheet!AM15</f>
        <v>0</v>
      </c>
      <c r="AL59" s="391">
        <f ca="1">PnL_Speadsheet!AL58*SAP_Spreadsheet!AN15</f>
        <v>0</v>
      </c>
      <c r="AM59" s="391">
        <f ca="1">PnL_Speadsheet!AM58*SAP_Spreadsheet!AO15</f>
        <v>0</v>
      </c>
      <c r="AN59" s="391">
        <f ca="1">PnL_Speadsheet!AN58*SAP_Spreadsheet!AP15</f>
        <v>0</v>
      </c>
      <c r="AO59" s="391">
        <f ca="1">PnL_Speadsheet!AO58*SAP_Spreadsheet!AQ15</f>
        <v>0</v>
      </c>
      <c r="AP59" s="391">
        <f ca="1">PnL_Speadsheet!AP58*SAP_Spreadsheet!AR15</f>
        <v>0</v>
      </c>
      <c r="AQ59" s="391">
        <f ca="1">PnL_Speadsheet!AQ58*SAP_Spreadsheet!AS15</f>
        <v>0</v>
      </c>
      <c r="AR59" s="391">
        <f ca="1">PnL_Speadsheet!AR58*SAP_Spreadsheet!AT15</f>
        <v>0</v>
      </c>
      <c r="AS59" s="391">
        <f ca="1">PnL_Speadsheet!AS58*SAP_Spreadsheet!AU15</f>
        <v>0</v>
      </c>
      <c r="AT59" s="391">
        <f ca="1">PnL_Speadsheet!AT58*SAP_Spreadsheet!AV15</f>
        <v>0</v>
      </c>
      <c r="AU59" s="391">
        <f ca="1">PnL_Speadsheet!AU58*SAP_Spreadsheet!AW15</f>
        <v>0</v>
      </c>
      <c r="AV59" s="391">
        <f ca="1">PnL_Speadsheet!AV58*SAP_Spreadsheet!AX15</f>
        <v>0</v>
      </c>
      <c r="AW59" s="391">
        <f ca="1">PnL_Speadsheet!AW58*SAP_Spreadsheet!AY15</f>
        <v>0</v>
      </c>
      <c r="AX59" s="391">
        <f ca="1">PnL_Speadsheet!AX58*SAP_Spreadsheet!AZ15</f>
        <v>0</v>
      </c>
      <c r="AY59" s="391">
        <f ca="1">PnL_Speadsheet!AY58*SAP_Spreadsheet!BA15</f>
        <v>0</v>
      </c>
      <c r="AZ59" s="391">
        <f ca="1">PnL_Speadsheet!AZ58*SAP_Spreadsheet!BB15</f>
        <v>0</v>
      </c>
      <c r="BA59" s="391">
        <f ca="1">PnL_Speadsheet!BA58*SAP_Spreadsheet!BC15</f>
        <v>0</v>
      </c>
      <c r="BB59" s="391">
        <f ca="1">PnL_Speadsheet!BB58*SAP_Spreadsheet!BD15</f>
        <v>0</v>
      </c>
      <c r="BC59" s="391">
        <f ca="1">PnL_Speadsheet!BC58*SAP_Spreadsheet!BE15</f>
        <v>0</v>
      </c>
      <c r="BD59" s="391">
        <f ca="1">PnL_Speadsheet!BD58*SAP_Spreadsheet!BF15</f>
        <v>0</v>
      </c>
      <c r="BE59" s="391">
        <f ca="1">PnL_Speadsheet!BE58*SAP_Spreadsheet!BG15</f>
        <v>0</v>
      </c>
      <c r="BF59" s="391">
        <f ca="1">PnL_Speadsheet!BF58*SAP_Spreadsheet!BH15</f>
        <v>0</v>
      </c>
      <c r="BG59" s="391">
        <f ca="1">PnL_Speadsheet!BG58*SAP_Spreadsheet!BI15</f>
        <v>0</v>
      </c>
      <c r="BH59" s="391">
        <f ca="1">PnL_Speadsheet!BH58*SAP_Spreadsheet!BJ15</f>
        <v>0</v>
      </c>
      <c r="BI59" s="391">
        <f ca="1">PnL_Speadsheet!BI58*SAP_Spreadsheet!BK15</f>
        <v>0</v>
      </c>
      <c r="BJ59" s="391">
        <f ca="1">PnL_Speadsheet!BJ58*SAP_Spreadsheet!BL15</f>
        <v>0</v>
      </c>
      <c r="BK59" s="391">
        <f ca="1">PnL_Speadsheet!BK58*SAP_Spreadsheet!BM15</f>
        <v>0</v>
      </c>
      <c r="BL59" s="391">
        <f ca="1">PnL_Speadsheet!BL58*SAP_Spreadsheet!BN15</f>
        <v>0</v>
      </c>
    </row>
    <row r="60" spans="1:65" s="379" customFormat="1" x14ac:dyDescent="0.15">
      <c r="A60" s="371"/>
      <c r="B60" s="371"/>
      <c r="D60" s="377"/>
      <c r="E60" s="392"/>
      <c r="F60" s="392"/>
      <c r="G60" s="392"/>
      <c r="H60" s="392"/>
      <c r="I60" s="392"/>
      <c r="J60" s="392"/>
      <c r="K60" s="392"/>
      <c r="L60" s="392"/>
      <c r="M60" s="392"/>
      <c r="N60" s="392"/>
      <c r="O60" s="392"/>
      <c r="P60" s="392"/>
      <c r="Q60" s="392"/>
      <c r="R60" s="392"/>
      <c r="S60" s="392"/>
      <c r="T60" s="392"/>
      <c r="U60" s="392"/>
      <c r="V60" s="392"/>
      <c r="W60" s="392"/>
      <c r="X60" s="392"/>
      <c r="Y60" s="392"/>
      <c r="Z60" s="392"/>
      <c r="AA60" s="392"/>
      <c r="AB60" s="392"/>
      <c r="AC60" s="392"/>
      <c r="AD60" s="392"/>
      <c r="AE60" s="392"/>
      <c r="AF60" s="392"/>
      <c r="AG60" s="392"/>
      <c r="AH60" s="392"/>
      <c r="AI60" s="392"/>
      <c r="AJ60" s="392"/>
      <c r="AK60" s="392"/>
      <c r="AL60" s="392"/>
      <c r="AM60" s="392"/>
    </row>
    <row r="61" spans="1:65" s="379" customFormat="1" x14ac:dyDescent="0.15">
      <c r="A61" s="371"/>
      <c r="B61" s="371" t="s">
        <v>468</v>
      </c>
      <c r="C61" s="371">
        <f>SAP_Leadsheet!E21</f>
        <v>60</v>
      </c>
      <c r="D61" s="377"/>
    </row>
    <row r="62" spans="1:65" s="377" customFormat="1" outlineLevel="1" x14ac:dyDescent="0.15">
      <c r="B62" s="377" t="s">
        <v>466</v>
      </c>
      <c r="C62" s="377" t="s">
        <v>469</v>
      </c>
      <c r="D62" s="393" t="s">
        <v>470</v>
      </c>
      <c r="E62" s="394">
        <f>ROUND('Sales plan&amp; PnL'!J10,0)</f>
        <v>0</v>
      </c>
      <c r="F62" s="394">
        <f>ROUND('Sales plan&amp; PnL'!K10,0)</f>
        <v>0</v>
      </c>
      <c r="G62" s="394">
        <f>ROUND('Sales plan&amp; PnL'!L10,0)</f>
        <v>0</v>
      </c>
      <c r="H62" s="394">
        <f>ROUND('Sales plan&amp; PnL'!M10,0)</f>
        <v>0</v>
      </c>
      <c r="I62" s="394">
        <f>ROUND('Sales plan&amp; PnL'!N10,0)</f>
        <v>0</v>
      </c>
      <c r="J62" s="394">
        <f>ROUND('Sales plan&amp; PnL'!O10,0)</f>
        <v>0</v>
      </c>
      <c r="K62" s="394">
        <f>ROUND('Sales plan&amp; PnL'!P10,0)</f>
        <v>0</v>
      </c>
      <c r="L62" s="394">
        <f>ROUND('Sales plan&amp; PnL'!Q10,0)</f>
        <v>0</v>
      </c>
      <c r="M62" s="394">
        <f>ROUND('Sales plan&amp; PnL'!R10,0)</f>
        <v>0</v>
      </c>
      <c r="N62" s="394">
        <f>ROUND('Sales plan&amp; PnL'!S10,0)</f>
        <v>0</v>
      </c>
      <c r="O62" s="394">
        <f>ROUND('Sales plan&amp; PnL'!T10,0)</f>
        <v>0</v>
      </c>
      <c r="P62" s="394">
        <f>ROUND('Sales plan&amp; PnL'!U10,0)</f>
        <v>0</v>
      </c>
      <c r="Q62" s="394">
        <f>ROUND('Sales plan&amp; PnL'!V10,0)</f>
        <v>0</v>
      </c>
      <c r="R62" s="394">
        <f>ROUND('Sales plan&amp; PnL'!W10,0)</f>
        <v>0</v>
      </c>
      <c r="S62" s="394">
        <f>ROUND('Sales plan&amp; PnL'!X10,0)</f>
        <v>0</v>
      </c>
      <c r="T62" s="394">
        <f>ROUND('Sales plan&amp; PnL'!Y10,0)</f>
        <v>0</v>
      </c>
      <c r="U62" s="394">
        <f>ROUND('Sales plan&amp; PnL'!Z10,0)</f>
        <v>0</v>
      </c>
      <c r="V62" s="394">
        <f>ROUND('Sales plan&amp; PnL'!AA10,0)</f>
        <v>0</v>
      </c>
      <c r="W62" s="394">
        <f>ROUND('Sales plan&amp; PnL'!AB10,0)</f>
        <v>0</v>
      </c>
      <c r="X62" s="394">
        <f>ROUND('Sales plan&amp; PnL'!AC10,0)</f>
        <v>0</v>
      </c>
      <c r="Y62" s="394">
        <f>ROUND('Sales plan&amp; PnL'!AD10,0)</f>
        <v>0</v>
      </c>
      <c r="Z62" s="394">
        <f>ROUND('Sales plan&amp; PnL'!AE10,0)</f>
        <v>0</v>
      </c>
      <c r="AA62" s="394">
        <f>ROUND('Sales plan&amp; PnL'!AF10,0)</f>
        <v>0</v>
      </c>
      <c r="AB62" s="394">
        <f>ROUND('Sales plan&amp; PnL'!AG10,0)</f>
        <v>0</v>
      </c>
      <c r="AC62" s="394">
        <f>ROUND('Sales plan&amp; PnL'!AH10,0)</f>
        <v>0</v>
      </c>
      <c r="AD62" s="394">
        <f>ROUND('Sales plan&amp; PnL'!AI10,0)</f>
        <v>0</v>
      </c>
      <c r="AE62" s="394">
        <f>ROUND('Sales plan&amp; PnL'!AJ10,0)</f>
        <v>0</v>
      </c>
      <c r="AF62" s="394">
        <f>ROUND('Sales plan&amp; PnL'!AK10,0)</f>
        <v>0</v>
      </c>
      <c r="AG62" s="394">
        <f>ROUND('Sales plan&amp; PnL'!AL10,0)</f>
        <v>0</v>
      </c>
      <c r="AH62" s="394">
        <f>ROUND('Sales plan&amp; PnL'!AM10,0)</f>
        <v>0</v>
      </c>
      <c r="AI62" s="394">
        <f>ROUND('Sales plan&amp; PnL'!AN10,0)</f>
        <v>0</v>
      </c>
      <c r="AJ62" s="394">
        <f>ROUND('Sales plan&amp; PnL'!AO10,0)</f>
        <v>0</v>
      </c>
      <c r="AK62" s="394">
        <f>ROUND('Sales plan&amp; PnL'!AP10,0)</f>
        <v>0</v>
      </c>
      <c r="AL62" s="394">
        <f>ROUND('Sales plan&amp; PnL'!AQ10,0)</f>
        <v>0</v>
      </c>
      <c r="AM62" s="394">
        <f>ROUND('Sales plan&amp; PnL'!AR10,0)</f>
        <v>0</v>
      </c>
      <c r="AN62" s="394">
        <f>ROUND('Sales plan&amp; PnL'!AS10,0)</f>
        <v>0</v>
      </c>
      <c r="AO62" s="394">
        <f>ROUND('Sales plan&amp; PnL'!AT10,0)</f>
        <v>0</v>
      </c>
      <c r="AP62" s="394">
        <f>ROUND('Sales plan&amp; PnL'!AU10,0)</f>
        <v>0</v>
      </c>
      <c r="AQ62" s="394">
        <f>ROUND('Sales plan&amp; PnL'!AV10,0)</f>
        <v>0</v>
      </c>
      <c r="AR62" s="394">
        <f>ROUND('Sales plan&amp; PnL'!AW10,0)</f>
        <v>0</v>
      </c>
      <c r="AS62" s="394">
        <f>ROUND('Sales plan&amp; PnL'!AX10,0)</f>
        <v>0</v>
      </c>
      <c r="AT62" s="394">
        <f>ROUND('Sales plan&amp; PnL'!AY10,0)</f>
        <v>0</v>
      </c>
      <c r="AU62" s="394">
        <f>ROUND('Sales plan&amp; PnL'!AZ10,0)</f>
        <v>0</v>
      </c>
      <c r="AV62" s="394">
        <f>ROUND('Sales plan&amp; PnL'!BA10,0)</f>
        <v>0</v>
      </c>
      <c r="AW62" s="394">
        <f>ROUND('Sales plan&amp; PnL'!BB10,0)</f>
        <v>0</v>
      </c>
      <c r="AX62" s="394">
        <f>ROUND('Sales plan&amp; PnL'!BC10,0)</f>
        <v>0</v>
      </c>
      <c r="AY62" s="394">
        <f>ROUND('Sales plan&amp; PnL'!BD10,0)</f>
        <v>0</v>
      </c>
      <c r="AZ62" s="394">
        <f>ROUND('Sales plan&amp; PnL'!BE10,0)</f>
        <v>0</v>
      </c>
      <c r="BA62" s="394">
        <f>ROUND('Sales plan&amp; PnL'!BF10,0)</f>
        <v>0</v>
      </c>
      <c r="BB62" s="394">
        <f>ROUND('Sales plan&amp; PnL'!BG10,0)</f>
        <v>0</v>
      </c>
      <c r="BC62" s="394">
        <f>ROUND('Sales plan&amp; PnL'!BH10,0)</f>
        <v>0</v>
      </c>
      <c r="BD62" s="394">
        <f>ROUND('Sales plan&amp; PnL'!BI10,0)</f>
        <v>0</v>
      </c>
      <c r="BE62" s="394">
        <f>ROUND('Sales plan&amp; PnL'!BJ10,0)</f>
        <v>0</v>
      </c>
      <c r="BF62" s="394">
        <f>ROUND('Sales plan&amp; PnL'!BK10,0)</f>
        <v>0</v>
      </c>
      <c r="BG62" s="394">
        <f>ROUND('Sales plan&amp; PnL'!BL10,0)</f>
        <v>0</v>
      </c>
      <c r="BH62" s="394">
        <f>ROUND('Sales plan&amp; PnL'!BM10,0)</f>
        <v>0</v>
      </c>
      <c r="BI62" s="394">
        <f>ROUND('Sales plan&amp; PnL'!BN10,0)</f>
        <v>0</v>
      </c>
      <c r="BJ62" s="394">
        <f>ROUND('Sales plan&amp; PnL'!BO10,0)</f>
        <v>0</v>
      </c>
      <c r="BK62" s="394">
        <f>ROUND('Sales plan&amp; PnL'!BP10,0)</f>
        <v>0</v>
      </c>
      <c r="BL62" s="394">
        <f>ROUND('Sales plan&amp; PnL'!BQ10,0)</f>
        <v>0</v>
      </c>
    </row>
    <row r="63" spans="1:65" s="379" customFormat="1" outlineLevel="1" x14ac:dyDescent="0.15">
      <c r="A63" s="395"/>
      <c r="B63" s="395">
        <f>SUMIFS(SAP_Spreadsheet!$G$11:$BN$11,SAP_Spreadsheet!$G$7:$BN$7,PnL_Speadsheet!$D63)</f>
        <v>0.66492240904536892</v>
      </c>
      <c r="C63" s="395">
        <f>SUMIFS(SAP_Spreadsheet!$G$10:$BN$10,SAP_Spreadsheet!$G$7:$BN$7,PnL_Speadsheet!$D63)</f>
        <v>1</v>
      </c>
      <c r="D63" s="396">
        <v>1</v>
      </c>
      <c r="E63" s="382">
        <f t="shared" ref="E63:T94" ca="1" si="8">IF($D63&gt;$C$61,0,IF($D63&gt;E$5,"",OFFSET(E$62,0,-($D63-1))))</f>
        <v>0</v>
      </c>
      <c r="F63" s="382">
        <f t="shared" ca="1" si="8"/>
        <v>0</v>
      </c>
      <c r="G63" s="382">
        <f t="shared" ca="1" si="8"/>
        <v>0</v>
      </c>
      <c r="H63" s="382">
        <f t="shared" ca="1" si="8"/>
        <v>0</v>
      </c>
      <c r="I63" s="382">
        <f t="shared" ca="1" si="8"/>
        <v>0</v>
      </c>
      <c r="J63" s="382">
        <f t="shared" ca="1" si="8"/>
        <v>0</v>
      </c>
      <c r="K63" s="382">
        <f t="shared" ca="1" si="8"/>
        <v>0</v>
      </c>
      <c r="L63" s="382">
        <f t="shared" ca="1" si="8"/>
        <v>0</v>
      </c>
      <c r="M63" s="382">
        <f t="shared" ca="1" si="8"/>
        <v>0</v>
      </c>
      <c r="N63" s="382">
        <f t="shared" ca="1" si="8"/>
        <v>0</v>
      </c>
      <c r="O63" s="382">
        <f t="shared" ca="1" si="8"/>
        <v>0</v>
      </c>
      <c r="P63" s="382">
        <f t="shared" ca="1" si="8"/>
        <v>0</v>
      </c>
      <c r="Q63" s="382">
        <f t="shared" ca="1" si="8"/>
        <v>0</v>
      </c>
      <c r="R63" s="382">
        <f t="shared" ca="1" si="8"/>
        <v>0</v>
      </c>
      <c r="S63" s="382">
        <f t="shared" ca="1" si="8"/>
        <v>0</v>
      </c>
      <c r="T63" s="382">
        <f t="shared" ca="1" si="8"/>
        <v>0</v>
      </c>
      <c r="U63" s="382">
        <f t="shared" ref="U63:CA68" ca="1" si="9">IF($D63&gt;$C$61,0,IF($D63&gt;U$5,"",OFFSET(U$62,0,-($D63-1))))</f>
        <v>0</v>
      </c>
      <c r="V63" s="382">
        <f t="shared" ca="1" si="9"/>
        <v>0</v>
      </c>
      <c r="W63" s="382">
        <f t="shared" ca="1" si="9"/>
        <v>0</v>
      </c>
      <c r="X63" s="382">
        <f t="shared" ca="1" si="9"/>
        <v>0</v>
      </c>
      <c r="Y63" s="382">
        <f t="shared" ca="1" si="9"/>
        <v>0</v>
      </c>
      <c r="Z63" s="382">
        <f t="shared" ca="1" si="9"/>
        <v>0</v>
      </c>
      <c r="AA63" s="382">
        <f t="shared" ca="1" si="9"/>
        <v>0</v>
      </c>
      <c r="AB63" s="382">
        <f t="shared" ca="1" si="9"/>
        <v>0</v>
      </c>
      <c r="AC63" s="382">
        <f t="shared" ca="1" si="9"/>
        <v>0</v>
      </c>
      <c r="AD63" s="382">
        <f t="shared" ca="1" si="9"/>
        <v>0</v>
      </c>
      <c r="AE63" s="382">
        <f t="shared" ca="1" si="9"/>
        <v>0</v>
      </c>
      <c r="AF63" s="382">
        <f t="shared" ca="1" si="9"/>
        <v>0</v>
      </c>
      <c r="AG63" s="382">
        <f t="shared" ca="1" si="9"/>
        <v>0</v>
      </c>
      <c r="AH63" s="382">
        <f t="shared" ca="1" si="9"/>
        <v>0</v>
      </c>
      <c r="AI63" s="382">
        <f t="shared" ca="1" si="9"/>
        <v>0</v>
      </c>
      <c r="AJ63" s="382">
        <f t="shared" ca="1" si="9"/>
        <v>0</v>
      </c>
      <c r="AK63" s="382">
        <f t="shared" ca="1" si="9"/>
        <v>0</v>
      </c>
      <c r="AL63" s="382">
        <f t="shared" ca="1" si="9"/>
        <v>0</v>
      </c>
      <c r="AM63" s="382">
        <f t="shared" ca="1" si="9"/>
        <v>0</v>
      </c>
      <c r="AN63" s="382">
        <f t="shared" ca="1" si="9"/>
        <v>0</v>
      </c>
      <c r="AO63" s="382">
        <f t="shared" ca="1" si="9"/>
        <v>0</v>
      </c>
      <c r="AP63" s="382">
        <f t="shared" ca="1" si="9"/>
        <v>0</v>
      </c>
      <c r="AQ63" s="382">
        <f t="shared" ca="1" si="9"/>
        <v>0</v>
      </c>
      <c r="AR63" s="382">
        <f t="shared" ca="1" si="9"/>
        <v>0</v>
      </c>
      <c r="AS63" s="382">
        <f t="shared" ca="1" si="9"/>
        <v>0</v>
      </c>
      <c r="AT63" s="382">
        <f t="shared" ca="1" si="9"/>
        <v>0</v>
      </c>
      <c r="AU63" s="382">
        <f t="shared" ca="1" si="9"/>
        <v>0</v>
      </c>
      <c r="AV63" s="382">
        <f t="shared" ca="1" si="9"/>
        <v>0</v>
      </c>
      <c r="AW63" s="382">
        <f t="shared" ca="1" si="9"/>
        <v>0</v>
      </c>
      <c r="AX63" s="382">
        <f t="shared" ca="1" si="9"/>
        <v>0</v>
      </c>
      <c r="AY63" s="382">
        <f t="shared" ca="1" si="9"/>
        <v>0</v>
      </c>
      <c r="AZ63" s="382">
        <f t="shared" ca="1" si="9"/>
        <v>0</v>
      </c>
      <c r="BA63" s="382">
        <f t="shared" ca="1" si="9"/>
        <v>0</v>
      </c>
      <c r="BB63" s="382">
        <f t="shared" ca="1" si="9"/>
        <v>0</v>
      </c>
      <c r="BC63" s="382">
        <f t="shared" ca="1" si="9"/>
        <v>0</v>
      </c>
      <c r="BD63" s="382">
        <f t="shared" ca="1" si="9"/>
        <v>0</v>
      </c>
      <c r="BE63" s="382">
        <f t="shared" ca="1" si="9"/>
        <v>0</v>
      </c>
      <c r="BF63" s="382">
        <f t="shared" ca="1" si="9"/>
        <v>0</v>
      </c>
      <c r="BG63" s="382">
        <f t="shared" ca="1" si="9"/>
        <v>0</v>
      </c>
      <c r="BH63" s="382">
        <f t="shared" ca="1" si="9"/>
        <v>0</v>
      </c>
      <c r="BI63" s="382">
        <f t="shared" ca="1" si="9"/>
        <v>0</v>
      </c>
      <c r="BJ63" s="382">
        <f t="shared" ca="1" si="9"/>
        <v>0</v>
      </c>
      <c r="BK63" s="382">
        <f t="shared" ca="1" si="9"/>
        <v>0</v>
      </c>
      <c r="BL63" s="382">
        <f t="shared" ca="1" si="9"/>
        <v>0</v>
      </c>
    </row>
    <row r="64" spans="1:65" s="379" customFormat="1" outlineLevel="1" x14ac:dyDescent="0.15">
      <c r="A64" s="395"/>
      <c r="B64" s="395">
        <f ca="1">SUMIFS(SAP_Spreadsheet!$G$11:$BN$11,SAP_Spreadsheet!$G$7:$BN$7,PnL_Speadsheet!$D64)</f>
        <v>0.64040768797940939</v>
      </c>
      <c r="C64" s="395">
        <f>SUMIFS(SAP_Spreadsheet!$G$10:$BN$10,SAP_Spreadsheet!$G$7:$BN$7,PnL_Speadsheet!$D64)</f>
        <v>1</v>
      </c>
      <c r="D64" s="396">
        <f>D63+1</f>
        <v>2</v>
      </c>
      <c r="E64" s="382" t="str">
        <f t="shared" ca="1" si="8"/>
        <v/>
      </c>
      <c r="F64" s="382">
        <f t="shared" ca="1" si="8"/>
        <v>0</v>
      </c>
      <c r="G64" s="382">
        <f t="shared" ca="1" si="8"/>
        <v>0</v>
      </c>
      <c r="H64" s="382">
        <f t="shared" ca="1" si="8"/>
        <v>0</v>
      </c>
      <c r="I64" s="382">
        <f t="shared" ca="1" si="8"/>
        <v>0</v>
      </c>
      <c r="J64" s="382">
        <f t="shared" ca="1" si="8"/>
        <v>0</v>
      </c>
      <c r="K64" s="382">
        <f t="shared" ca="1" si="8"/>
        <v>0</v>
      </c>
      <c r="L64" s="382">
        <f t="shared" ca="1" si="8"/>
        <v>0</v>
      </c>
      <c r="M64" s="382">
        <f t="shared" ca="1" si="8"/>
        <v>0</v>
      </c>
      <c r="N64" s="382">
        <f t="shared" ca="1" si="8"/>
        <v>0</v>
      </c>
      <c r="O64" s="382">
        <f t="shared" ca="1" si="8"/>
        <v>0</v>
      </c>
      <c r="P64" s="382">
        <f t="shared" ca="1" si="8"/>
        <v>0</v>
      </c>
      <c r="Q64" s="382">
        <f t="shared" ca="1" si="8"/>
        <v>0</v>
      </c>
      <c r="R64" s="382">
        <f t="shared" ca="1" si="8"/>
        <v>0</v>
      </c>
      <c r="S64" s="382">
        <f t="shared" ca="1" si="8"/>
        <v>0</v>
      </c>
      <c r="T64" s="382">
        <f t="shared" ca="1" si="8"/>
        <v>0</v>
      </c>
      <c r="U64" s="382">
        <f t="shared" ca="1" si="9"/>
        <v>0</v>
      </c>
      <c r="V64" s="382">
        <f t="shared" ca="1" si="9"/>
        <v>0</v>
      </c>
      <c r="W64" s="382">
        <f t="shared" ca="1" si="9"/>
        <v>0</v>
      </c>
      <c r="X64" s="382">
        <f t="shared" ca="1" si="9"/>
        <v>0</v>
      </c>
      <c r="Y64" s="382">
        <f t="shared" ca="1" si="9"/>
        <v>0</v>
      </c>
      <c r="Z64" s="382">
        <f t="shared" ca="1" si="9"/>
        <v>0</v>
      </c>
      <c r="AA64" s="382">
        <f t="shared" ca="1" si="9"/>
        <v>0</v>
      </c>
      <c r="AB64" s="382">
        <f t="shared" ca="1" si="9"/>
        <v>0</v>
      </c>
      <c r="AC64" s="382">
        <f t="shared" ca="1" si="9"/>
        <v>0</v>
      </c>
      <c r="AD64" s="382">
        <f t="shared" ca="1" si="9"/>
        <v>0</v>
      </c>
      <c r="AE64" s="382">
        <f t="shared" ca="1" si="9"/>
        <v>0</v>
      </c>
      <c r="AF64" s="382">
        <f t="shared" ca="1" si="9"/>
        <v>0</v>
      </c>
      <c r="AG64" s="382">
        <f t="shared" ca="1" si="9"/>
        <v>0</v>
      </c>
      <c r="AH64" s="382">
        <f t="shared" ca="1" si="9"/>
        <v>0</v>
      </c>
      <c r="AI64" s="382">
        <f t="shared" ca="1" si="9"/>
        <v>0</v>
      </c>
      <c r="AJ64" s="382">
        <f t="shared" ca="1" si="9"/>
        <v>0</v>
      </c>
      <c r="AK64" s="382">
        <f t="shared" ca="1" si="9"/>
        <v>0</v>
      </c>
      <c r="AL64" s="382">
        <f t="shared" ca="1" si="9"/>
        <v>0</v>
      </c>
      <c r="AM64" s="382">
        <f t="shared" ca="1" si="9"/>
        <v>0</v>
      </c>
      <c r="AN64" s="382">
        <f t="shared" ca="1" si="9"/>
        <v>0</v>
      </c>
      <c r="AO64" s="382">
        <f t="shared" ca="1" si="9"/>
        <v>0</v>
      </c>
      <c r="AP64" s="382">
        <f t="shared" ca="1" si="9"/>
        <v>0</v>
      </c>
      <c r="AQ64" s="382">
        <f t="shared" ca="1" si="9"/>
        <v>0</v>
      </c>
      <c r="AR64" s="382">
        <f t="shared" ca="1" si="9"/>
        <v>0</v>
      </c>
      <c r="AS64" s="382">
        <f t="shared" ca="1" si="9"/>
        <v>0</v>
      </c>
      <c r="AT64" s="382">
        <f t="shared" ca="1" si="9"/>
        <v>0</v>
      </c>
      <c r="AU64" s="382">
        <f t="shared" ca="1" si="9"/>
        <v>0</v>
      </c>
      <c r="AV64" s="382">
        <f t="shared" ca="1" si="9"/>
        <v>0</v>
      </c>
      <c r="AW64" s="382">
        <f t="shared" ca="1" si="9"/>
        <v>0</v>
      </c>
      <c r="AX64" s="382">
        <f t="shared" ca="1" si="9"/>
        <v>0</v>
      </c>
      <c r="AY64" s="382">
        <f t="shared" ca="1" si="9"/>
        <v>0</v>
      </c>
      <c r="AZ64" s="382">
        <f t="shared" ca="1" si="9"/>
        <v>0</v>
      </c>
      <c r="BA64" s="382">
        <f t="shared" ca="1" si="9"/>
        <v>0</v>
      </c>
      <c r="BB64" s="382">
        <f t="shared" ca="1" si="9"/>
        <v>0</v>
      </c>
      <c r="BC64" s="382">
        <f t="shared" ca="1" si="9"/>
        <v>0</v>
      </c>
      <c r="BD64" s="382">
        <f t="shared" ca="1" si="9"/>
        <v>0</v>
      </c>
      <c r="BE64" s="382">
        <f t="shared" ca="1" si="9"/>
        <v>0</v>
      </c>
      <c r="BF64" s="382">
        <f t="shared" ca="1" si="9"/>
        <v>0</v>
      </c>
      <c r="BG64" s="382">
        <f t="shared" ca="1" si="9"/>
        <v>0</v>
      </c>
      <c r="BH64" s="382">
        <f t="shared" ca="1" si="9"/>
        <v>0</v>
      </c>
      <c r="BI64" s="382">
        <f t="shared" ca="1" si="9"/>
        <v>0</v>
      </c>
      <c r="BJ64" s="382">
        <f t="shared" ca="1" si="9"/>
        <v>0</v>
      </c>
      <c r="BK64" s="382">
        <f t="shared" ca="1" si="9"/>
        <v>0</v>
      </c>
      <c r="BL64" s="382">
        <f t="shared" ca="1" si="9"/>
        <v>0</v>
      </c>
    </row>
    <row r="65" spans="1:64" s="379" customFormat="1" outlineLevel="1" x14ac:dyDescent="0.15">
      <c r="A65" s="395"/>
      <c r="B65" s="395">
        <f ca="1">SUMIFS(SAP_Spreadsheet!$G$11:$BN$11,SAP_Spreadsheet!$G$7:$BN$7,PnL_Speadsheet!$D65)</f>
        <v>0.61589296691344986</v>
      </c>
      <c r="C65" s="395">
        <f>SUMIFS(SAP_Spreadsheet!$G$10:$BN$10,SAP_Spreadsheet!$G$7:$BN$7,PnL_Speadsheet!$D65)</f>
        <v>1</v>
      </c>
      <c r="D65" s="396">
        <f t="shared" ref="D65:D122" si="10">D64+1</f>
        <v>3</v>
      </c>
      <c r="E65" s="382" t="str">
        <f t="shared" ca="1" si="8"/>
        <v/>
      </c>
      <c r="F65" s="382" t="str">
        <f t="shared" ca="1" si="8"/>
        <v/>
      </c>
      <c r="G65" s="382">
        <f t="shared" ca="1" si="8"/>
        <v>0</v>
      </c>
      <c r="H65" s="382">
        <f t="shared" ca="1" si="8"/>
        <v>0</v>
      </c>
      <c r="I65" s="382">
        <f t="shared" ca="1" si="8"/>
        <v>0</v>
      </c>
      <c r="J65" s="382">
        <f t="shared" ca="1" si="8"/>
        <v>0</v>
      </c>
      <c r="K65" s="382">
        <f t="shared" ca="1" si="8"/>
        <v>0</v>
      </c>
      <c r="L65" s="382">
        <f t="shared" ca="1" si="8"/>
        <v>0</v>
      </c>
      <c r="M65" s="382">
        <f t="shared" ca="1" si="8"/>
        <v>0</v>
      </c>
      <c r="N65" s="382">
        <f t="shared" ca="1" si="8"/>
        <v>0</v>
      </c>
      <c r="O65" s="382">
        <f t="shared" ca="1" si="8"/>
        <v>0</v>
      </c>
      <c r="P65" s="382">
        <f t="shared" ca="1" si="8"/>
        <v>0</v>
      </c>
      <c r="Q65" s="382">
        <f t="shared" ca="1" si="8"/>
        <v>0</v>
      </c>
      <c r="R65" s="382">
        <f t="shared" ca="1" si="8"/>
        <v>0</v>
      </c>
      <c r="S65" s="382">
        <f t="shared" ca="1" si="8"/>
        <v>0</v>
      </c>
      <c r="T65" s="382">
        <f t="shared" ca="1" si="8"/>
        <v>0</v>
      </c>
      <c r="U65" s="382">
        <f t="shared" ca="1" si="9"/>
        <v>0</v>
      </c>
      <c r="V65" s="382">
        <f t="shared" ca="1" si="9"/>
        <v>0</v>
      </c>
      <c r="W65" s="382">
        <f t="shared" ca="1" si="9"/>
        <v>0</v>
      </c>
      <c r="X65" s="382">
        <f t="shared" ca="1" si="9"/>
        <v>0</v>
      </c>
      <c r="Y65" s="382">
        <f t="shared" ca="1" si="9"/>
        <v>0</v>
      </c>
      <c r="Z65" s="382">
        <f t="shared" ca="1" si="9"/>
        <v>0</v>
      </c>
      <c r="AA65" s="382">
        <f t="shared" ca="1" si="9"/>
        <v>0</v>
      </c>
      <c r="AB65" s="382">
        <f t="shared" ca="1" si="9"/>
        <v>0</v>
      </c>
      <c r="AC65" s="382">
        <f t="shared" ca="1" si="9"/>
        <v>0</v>
      </c>
      <c r="AD65" s="382">
        <f t="shared" ca="1" si="9"/>
        <v>0</v>
      </c>
      <c r="AE65" s="382">
        <f t="shared" ca="1" si="9"/>
        <v>0</v>
      </c>
      <c r="AF65" s="382">
        <f t="shared" ca="1" si="9"/>
        <v>0</v>
      </c>
      <c r="AG65" s="382">
        <f t="shared" ca="1" si="9"/>
        <v>0</v>
      </c>
      <c r="AH65" s="382">
        <f t="shared" ca="1" si="9"/>
        <v>0</v>
      </c>
      <c r="AI65" s="382">
        <f t="shared" ca="1" si="9"/>
        <v>0</v>
      </c>
      <c r="AJ65" s="382">
        <f t="shared" ca="1" si="9"/>
        <v>0</v>
      </c>
      <c r="AK65" s="382">
        <f t="shared" ca="1" si="9"/>
        <v>0</v>
      </c>
      <c r="AL65" s="382">
        <f t="shared" ca="1" si="9"/>
        <v>0</v>
      </c>
      <c r="AM65" s="382">
        <f t="shared" ca="1" si="9"/>
        <v>0</v>
      </c>
      <c r="AN65" s="382">
        <f t="shared" ca="1" si="9"/>
        <v>0</v>
      </c>
      <c r="AO65" s="382">
        <f t="shared" ca="1" si="9"/>
        <v>0</v>
      </c>
      <c r="AP65" s="382">
        <f t="shared" ca="1" si="9"/>
        <v>0</v>
      </c>
      <c r="AQ65" s="382">
        <f t="shared" ca="1" si="9"/>
        <v>0</v>
      </c>
      <c r="AR65" s="382">
        <f t="shared" ca="1" si="9"/>
        <v>0</v>
      </c>
      <c r="AS65" s="382">
        <f t="shared" ca="1" si="9"/>
        <v>0</v>
      </c>
      <c r="AT65" s="382">
        <f t="shared" ca="1" si="9"/>
        <v>0</v>
      </c>
      <c r="AU65" s="382">
        <f t="shared" ca="1" si="9"/>
        <v>0</v>
      </c>
      <c r="AV65" s="382">
        <f t="shared" ca="1" si="9"/>
        <v>0</v>
      </c>
      <c r="AW65" s="382">
        <f t="shared" ca="1" si="9"/>
        <v>0</v>
      </c>
      <c r="AX65" s="382">
        <f t="shared" ca="1" si="9"/>
        <v>0</v>
      </c>
      <c r="AY65" s="382">
        <f t="shared" ca="1" si="9"/>
        <v>0</v>
      </c>
      <c r="AZ65" s="382">
        <f t="shared" ca="1" si="9"/>
        <v>0</v>
      </c>
      <c r="BA65" s="382">
        <f t="shared" ca="1" si="9"/>
        <v>0</v>
      </c>
      <c r="BB65" s="382">
        <f t="shared" ca="1" si="9"/>
        <v>0</v>
      </c>
      <c r="BC65" s="382">
        <f t="shared" ca="1" si="9"/>
        <v>0</v>
      </c>
      <c r="BD65" s="382">
        <f t="shared" ca="1" si="9"/>
        <v>0</v>
      </c>
      <c r="BE65" s="382">
        <f t="shared" ca="1" si="9"/>
        <v>0</v>
      </c>
      <c r="BF65" s="382">
        <f t="shared" ca="1" si="9"/>
        <v>0</v>
      </c>
      <c r="BG65" s="382">
        <f t="shared" ca="1" si="9"/>
        <v>0</v>
      </c>
      <c r="BH65" s="382">
        <f t="shared" ca="1" si="9"/>
        <v>0</v>
      </c>
      <c r="BI65" s="382">
        <f t="shared" ca="1" si="9"/>
        <v>0</v>
      </c>
      <c r="BJ65" s="382">
        <f t="shared" ca="1" si="9"/>
        <v>0</v>
      </c>
      <c r="BK65" s="382">
        <f t="shared" ca="1" si="9"/>
        <v>0</v>
      </c>
      <c r="BL65" s="382">
        <f t="shared" ca="1" si="9"/>
        <v>0</v>
      </c>
    </row>
    <row r="66" spans="1:64" s="379" customFormat="1" outlineLevel="1" x14ac:dyDescent="0.15">
      <c r="A66" s="395"/>
      <c r="B66" s="395">
        <f ca="1">SUMIFS(SAP_Spreadsheet!$G$11:$BN$11,SAP_Spreadsheet!$G$7:$BN$7,PnL_Speadsheet!$D66)</f>
        <v>0.59137824584749032</v>
      </c>
      <c r="C66" s="395">
        <f>SUMIFS(SAP_Spreadsheet!$G$10:$BN$10,SAP_Spreadsheet!$G$7:$BN$7,PnL_Speadsheet!$D66)</f>
        <v>1</v>
      </c>
      <c r="D66" s="396">
        <f t="shared" si="10"/>
        <v>4</v>
      </c>
      <c r="E66" s="382" t="str">
        <f t="shared" ca="1" si="8"/>
        <v/>
      </c>
      <c r="F66" s="382" t="str">
        <f t="shared" ca="1" si="8"/>
        <v/>
      </c>
      <c r="G66" s="382" t="str">
        <f t="shared" ca="1" si="8"/>
        <v/>
      </c>
      <c r="H66" s="382">
        <f t="shared" ca="1" si="8"/>
        <v>0</v>
      </c>
      <c r="I66" s="382">
        <f t="shared" ca="1" si="8"/>
        <v>0</v>
      </c>
      <c r="J66" s="382">
        <f t="shared" ca="1" si="8"/>
        <v>0</v>
      </c>
      <c r="K66" s="382">
        <f t="shared" ca="1" si="8"/>
        <v>0</v>
      </c>
      <c r="L66" s="382">
        <f t="shared" ca="1" si="8"/>
        <v>0</v>
      </c>
      <c r="M66" s="382">
        <f t="shared" ca="1" si="8"/>
        <v>0</v>
      </c>
      <c r="N66" s="382">
        <f t="shared" ca="1" si="8"/>
        <v>0</v>
      </c>
      <c r="O66" s="382">
        <f t="shared" ca="1" si="8"/>
        <v>0</v>
      </c>
      <c r="P66" s="382">
        <f t="shared" ca="1" si="8"/>
        <v>0</v>
      </c>
      <c r="Q66" s="382">
        <f t="shared" ca="1" si="8"/>
        <v>0</v>
      </c>
      <c r="R66" s="382">
        <f t="shared" ca="1" si="8"/>
        <v>0</v>
      </c>
      <c r="S66" s="382">
        <f t="shared" ca="1" si="8"/>
        <v>0</v>
      </c>
      <c r="T66" s="382">
        <f t="shared" ca="1" si="8"/>
        <v>0</v>
      </c>
      <c r="U66" s="382">
        <f t="shared" ca="1" si="9"/>
        <v>0</v>
      </c>
      <c r="V66" s="382">
        <f t="shared" ca="1" si="9"/>
        <v>0</v>
      </c>
      <c r="W66" s="382">
        <f t="shared" ca="1" si="9"/>
        <v>0</v>
      </c>
      <c r="X66" s="382">
        <f t="shared" ca="1" si="9"/>
        <v>0</v>
      </c>
      <c r="Y66" s="382">
        <f t="shared" ca="1" si="9"/>
        <v>0</v>
      </c>
      <c r="Z66" s="382">
        <f t="shared" ca="1" si="9"/>
        <v>0</v>
      </c>
      <c r="AA66" s="382">
        <f t="shared" ca="1" si="9"/>
        <v>0</v>
      </c>
      <c r="AB66" s="382">
        <f t="shared" ca="1" si="9"/>
        <v>0</v>
      </c>
      <c r="AC66" s="382">
        <f t="shared" ca="1" si="9"/>
        <v>0</v>
      </c>
      <c r="AD66" s="382">
        <f t="shared" ca="1" si="9"/>
        <v>0</v>
      </c>
      <c r="AE66" s="382">
        <f t="shared" ca="1" si="9"/>
        <v>0</v>
      </c>
      <c r="AF66" s="382">
        <f t="shared" ca="1" si="9"/>
        <v>0</v>
      </c>
      <c r="AG66" s="382">
        <f t="shared" ca="1" si="9"/>
        <v>0</v>
      </c>
      <c r="AH66" s="382">
        <f t="shared" ca="1" si="9"/>
        <v>0</v>
      </c>
      <c r="AI66" s="382">
        <f t="shared" ca="1" si="9"/>
        <v>0</v>
      </c>
      <c r="AJ66" s="382">
        <f t="shared" ca="1" si="9"/>
        <v>0</v>
      </c>
      <c r="AK66" s="382">
        <f t="shared" ca="1" si="9"/>
        <v>0</v>
      </c>
      <c r="AL66" s="382">
        <f t="shared" ca="1" si="9"/>
        <v>0</v>
      </c>
      <c r="AM66" s="382">
        <f t="shared" ca="1" si="9"/>
        <v>0</v>
      </c>
      <c r="AN66" s="382">
        <f t="shared" ca="1" si="9"/>
        <v>0</v>
      </c>
      <c r="AO66" s="382">
        <f t="shared" ca="1" si="9"/>
        <v>0</v>
      </c>
      <c r="AP66" s="382">
        <f t="shared" ca="1" si="9"/>
        <v>0</v>
      </c>
      <c r="AQ66" s="382">
        <f t="shared" ca="1" si="9"/>
        <v>0</v>
      </c>
      <c r="AR66" s="382">
        <f t="shared" ca="1" si="9"/>
        <v>0</v>
      </c>
      <c r="AS66" s="382">
        <f t="shared" ca="1" si="9"/>
        <v>0</v>
      </c>
      <c r="AT66" s="382">
        <f t="shared" ca="1" si="9"/>
        <v>0</v>
      </c>
      <c r="AU66" s="382">
        <f t="shared" ca="1" si="9"/>
        <v>0</v>
      </c>
      <c r="AV66" s="382">
        <f t="shared" ca="1" si="9"/>
        <v>0</v>
      </c>
      <c r="AW66" s="382">
        <f t="shared" ca="1" si="9"/>
        <v>0</v>
      </c>
      <c r="AX66" s="382">
        <f t="shared" ca="1" si="9"/>
        <v>0</v>
      </c>
      <c r="AY66" s="382">
        <f t="shared" ca="1" si="9"/>
        <v>0</v>
      </c>
      <c r="AZ66" s="382">
        <f t="shared" ca="1" si="9"/>
        <v>0</v>
      </c>
      <c r="BA66" s="382">
        <f t="shared" ca="1" si="9"/>
        <v>0</v>
      </c>
      <c r="BB66" s="382">
        <f t="shared" ca="1" si="9"/>
        <v>0</v>
      </c>
      <c r="BC66" s="382">
        <f t="shared" ca="1" si="9"/>
        <v>0</v>
      </c>
      <c r="BD66" s="382">
        <f t="shared" ca="1" si="9"/>
        <v>0</v>
      </c>
      <c r="BE66" s="382">
        <f t="shared" ca="1" si="9"/>
        <v>0</v>
      </c>
      <c r="BF66" s="382">
        <f t="shared" ca="1" si="9"/>
        <v>0</v>
      </c>
      <c r="BG66" s="382">
        <f t="shared" ca="1" si="9"/>
        <v>0</v>
      </c>
      <c r="BH66" s="382">
        <f t="shared" ca="1" si="9"/>
        <v>0</v>
      </c>
      <c r="BI66" s="382">
        <f t="shared" ca="1" si="9"/>
        <v>0</v>
      </c>
      <c r="BJ66" s="382">
        <f t="shared" ca="1" si="9"/>
        <v>0</v>
      </c>
      <c r="BK66" s="382">
        <f t="shared" ca="1" si="9"/>
        <v>0</v>
      </c>
      <c r="BL66" s="382">
        <f t="shared" ca="1" si="9"/>
        <v>0</v>
      </c>
    </row>
    <row r="67" spans="1:64" s="379" customFormat="1" outlineLevel="1" x14ac:dyDescent="0.15">
      <c r="A67" s="395"/>
      <c r="B67" s="395">
        <f ca="1">SUMIFS(SAP_Spreadsheet!$G$11:$BN$11,SAP_Spreadsheet!$G$7:$BN$7,PnL_Speadsheet!$D67)</f>
        <v>0.56686352478153079</v>
      </c>
      <c r="C67" s="395">
        <f>SUMIFS(SAP_Spreadsheet!$G$10:$BN$10,SAP_Spreadsheet!$G$7:$BN$7,PnL_Speadsheet!$D67)</f>
        <v>1</v>
      </c>
      <c r="D67" s="396">
        <f t="shared" si="10"/>
        <v>5</v>
      </c>
      <c r="E67" s="382" t="str">
        <f t="shared" ca="1" si="8"/>
        <v/>
      </c>
      <c r="F67" s="382" t="str">
        <f t="shared" ca="1" si="8"/>
        <v/>
      </c>
      <c r="G67" s="382" t="str">
        <f t="shared" ca="1" si="8"/>
        <v/>
      </c>
      <c r="H67" s="382" t="str">
        <f t="shared" ca="1" si="8"/>
        <v/>
      </c>
      <c r="I67" s="382">
        <f t="shared" ca="1" si="8"/>
        <v>0</v>
      </c>
      <c r="J67" s="382">
        <f t="shared" ca="1" si="8"/>
        <v>0</v>
      </c>
      <c r="K67" s="382">
        <f t="shared" ca="1" si="8"/>
        <v>0</v>
      </c>
      <c r="L67" s="382">
        <f t="shared" ca="1" si="8"/>
        <v>0</v>
      </c>
      <c r="M67" s="382">
        <f t="shared" ca="1" si="8"/>
        <v>0</v>
      </c>
      <c r="N67" s="382">
        <f t="shared" ca="1" si="8"/>
        <v>0</v>
      </c>
      <c r="O67" s="382">
        <f t="shared" ca="1" si="8"/>
        <v>0</v>
      </c>
      <c r="P67" s="382">
        <f t="shared" ca="1" si="8"/>
        <v>0</v>
      </c>
      <c r="Q67" s="382">
        <f t="shared" ca="1" si="8"/>
        <v>0</v>
      </c>
      <c r="R67" s="382">
        <f t="shared" ca="1" si="8"/>
        <v>0</v>
      </c>
      <c r="S67" s="382">
        <f t="shared" ca="1" si="8"/>
        <v>0</v>
      </c>
      <c r="T67" s="382">
        <f t="shared" ca="1" si="8"/>
        <v>0</v>
      </c>
      <c r="U67" s="382">
        <f t="shared" ca="1" si="9"/>
        <v>0</v>
      </c>
      <c r="V67" s="382">
        <f t="shared" ca="1" si="9"/>
        <v>0</v>
      </c>
      <c r="W67" s="382">
        <f t="shared" ca="1" si="9"/>
        <v>0</v>
      </c>
      <c r="X67" s="382">
        <f t="shared" ca="1" si="9"/>
        <v>0</v>
      </c>
      <c r="Y67" s="382">
        <f t="shared" ca="1" si="9"/>
        <v>0</v>
      </c>
      <c r="Z67" s="382">
        <f t="shared" ca="1" si="9"/>
        <v>0</v>
      </c>
      <c r="AA67" s="382">
        <f t="shared" ca="1" si="9"/>
        <v>0</v>
      </c>
      <c r="AB67" s="382">
        <f t="shared" ca="1" si="9"/>
        <v>0</v>
      </c>
      <c r="AC67" s="382">
        <f t="shared" ca="1" si="9"/>
        <v>0</v>
      </c>
      <c r="AD67" s="382">
        <f t="shared" ca="1" si="9"/>
        <v>0</v>
      </c>
      <c r="AE67" s="382">
        <f t="shared" ca="1" si="9"/>
        <v>0</v>
      </c>
      <c r="AF67" s="382">
        <f t="shared" ca="1" si="9"/>
        <v>0</v>
      </c>
      <c r="AG67" s="382">
        <f t="shared" ca="1" si="9"/>
        <v>0</v>
      </c>
      <c r="AH67" s="382">
        <f t="shared" ca="1" si="9"/>
        <v>0</v>
      </c>
      <c r="AI67" s="382">
        <f t="shared" ca="1" si="9"/>
        <v>0</v>
      </c>
      <c r="AJ67" s="382">
        <f t="shared" ca="1" si="9"/>
        <v>0</v>
      </c>
      <c r="AK67" s="382">
        <f t="shared" ca="1" si="9"/>
        <v>0</v>
      </c>
      <c r="AL67" s="382">
        <f t="shared" ca="1" si="9"/>
        <v>0</v>
      </c>
      <c r="AM67" s="382">
        <f t="shared" ca="1" si="9"/>
        <v>0</v>
      </c>
      <c r="AN67" s="382">
        <f t="shared" ca="1" si="9"/>
        <v>0</v>
      </c>
      <c r="AO67" s="382">
        <f t="shared" ca="1" si="9"/>
        <v>0</v>
      </c>
      <c r="AP67" s="382">
        <f t="shared" ca="1" si="9"/>
        <v>0</v>
      </c>
      <c r="AQ67" s="382">
        <f t="shared" ca="1" si="9"/>
        <v>0</v>
      </c>
      <c r="AR67" s="382">
        <f t="shared" ca="1" si="9"/>
        <v>0</v>
      </c>
      <c r="AS67" s="382">
        <f t="shared" ca="1" si="9"/>
        <v>0</v>
      </c>
      <c r="AT67" s="382">
        <f t="shared" ca="1" si="9"/>
        <v>0</v>
      </c>
      <c r="AU67" s="382">
        <f t="shared" ca="1" si="9"/>
        <v>0</v>
      </c>
      <c r="AV67" s="382">
        <f t="shared" ca="1" si="9"/>
        <v>0</v>
      </c>
      <c r="AW67" s="382">
        <f t="shared" ca="1" si="9"/>
        <v>0</v>
      </c>
      <c r="AX67" s="382">
        <f t="shared" ca="1" si="9"/>
        <v>0</v>
      </c>
      <c r="AY67" s="382">
        <f t="shared" ca="1" si="9"/>
        <v>0</v>
      </c>
      <c r="AZ67" s="382">
        <f t="shared" ca="1" si="9"/>
        <v>0</v>
      </c>
      <c r="BA67" s="382">
        <f t="shared" ca="1" si="9"/>
        <v>0</v>
      </c>
      <c r="BB67" s="382">
        <f t="shared" ca="1" si="9"/>
        <v>0</v>
      </c>
      <c r="BC67" s="382">
        <f t="shared" ca="1" si="9"/>
        <v>0</v>
      </c>
      <c r="BD67" s="382">
        <f t="shared" ca="1" si="9"/>
        <v>0</v>
      </c>
      <c r="BE67" s="382">
        <f t="shared" ca="1" si="9"/>
        <v>0</v>
      </c>
      <c r="BF67" s="382">
        <f t="shared" ca="1" si="9"/>
        <v>0</v>
      </c>
      <c r="BG67" s="382">
        <f t="shared" ca="1" si="9"/>
        <v>0</v>
      </c>
      <c r="BH67" s="382">
        <f t="shared" ca="1" si="9"/>
        <v>0</v>
      </c>
      <c r="BI67" s="382">
        <f t="shared" ca="1" si="9"/>
        <v>0</v>
      </c>
      <c r="BJ67" s="382">
        <f t="shared" ca="1" si="9"/>
        <v>0</v>
      </c>
      <c r="BK67" s="382">
        <f t="shared" ca="1" si="9"/>
        <v>0</v>
      </c>
      <c r="BL67" s="382">
        <f t="shared" ca="1" si="9"/>
        <v>0</v>
      </c>
    </row>
    <row r="68" spans="1:64" s="379" customFormat="1" outlineLevel="1" x14ac:dyDescent="0.15">
      <c r="A68" s="395"/>
      <c r="B68" s="395">
        <f ca="1">SUMIFS(SAP_Spreadsheet!$G$11:$BN$11,SAP_Spreadsheet!$G$7:$BN$7,PnL_Speadsheet!$D68)</f>
        <v>0.54234880371557126</v>
      </c>
      <c r="C68" s="395">
        <f>SUMIFS(SAP_Spreadsheet!$G$10:$BN$10,SAP_Spreadsheet!$G$7:$BN$7,PnL_Speadsheet!$D68)</f>
        <v>1</v>
      </c>
      <c r="D68" s="396">
        <f t="shared" si="10"/>
        <v>6</v>
      </c>
      <c r="E68" s="382" t="str">
        <f t="shared" ca="1" si="8"/>
        <v/>
      </c>
      <c r="F68" s="382" t="str">
        <f t="shared" ca="1" si="8"/>
        <v/>
      </c>
      <c r="G68" s="382" t="str">
        <f t="shared" ca="1" si="8"/>
        <v/>
      </c>
      <c r="H68" s="382" t="str">
        <f t="shared" ca="1" si="8"/>
        <v/>
      </c>
      <c r="I68" s="382" t="str">
        <f t="shared" ca="1" si="8"/>
        <v/>
      </c>
      <c r="J68" s="382">
        <f t="shared" ca="1" si="8"/>
        <v>0</v>
      </c>
      <c r="K68" s="382">
        <f t="shared" ca="1" si="8"/>
        <v>0</v>
      </c>
      <c r="L68" s="382">
        <f t="shared" ca="1" si="8"/>
        <v>0</v>
      </c>
      <c r="M68" s="382">
        <f t="shared" ca="1" si="8"/>
        <v>0</v>
      </c>
      <c r="N68" s="382">
        <f t="shared" ca="1" si="8"/>
        <v>0</v>
      </c>
      <c r="O68" s="382">
        <f t="shared" ca="1" si="8"/>
        <v>0</v>
      </c>
      <c r="P68" s="382">
        <f t="shared" ca="1" si="8"/>
        <v>0</v>
      </c>
      <c r="Q68" s="382">
        <f t="shared" ca="1" si="8"/>
        <v>0</v>
      </c>
      <c r="R68" s="382">
        <f t="shared" ca="1" si="8"/>
        <v>0</v>
      </c>
      <c r="S68" s="382">
        <f t="shared" ca="1" si="8"/>
        <v>0</v>
      </c>
      <c r="T68" s="382">
        <f t="shared" ca="1" si="8"/>
        <v>0</v>
      </c>
      <c r="U68" s="382">
        <f t="shared" ca="1" si="9"/>
        <v>0</v>
      </c>
      <c r="V68" s="382">
        <f t="shared" ca="1" si="9"/>
        <v>0</v>
      </c>
      <c r="W68" s="382">
        <f t="shared" ca="1" si="9"/>
        <v>0</v>
      </c>
      <c r="X68" s="382">
        <f t="shared" ca="1" si="9"/>
        <v>0</v>
      </c>
      <c r="Y68" s="382">
        <f t="shared" ca="1" si="9"/>
        <v>0</v>
      </c>
      <c r="Z68" s="382">
        <f t="shared" ca="1" si="9"/>
        <v>0</v>
      </c>
      <c r="AA68" s="382">
        <f t="shared" ca="1" si="9"/>
        <v>0</v>
      </c>
      <c r="AB68" s="382">
        <f t="shared" ca="1" si="9"/>
        <v>0</v>
      </c>
      <c r="AC68" s="382">
        <f t="shared" ca="1" si="9"/>
        <v>0</v>
      </c>
      <c r="AD68" s="382">
        <f t="shared" ca="1" si="9"/>
        <v>0</v>
      </c>
      <c r="AE68" s="382">
        <f t="shared" ca="1" si="9"/>
        <v>0</v>
      </c>
      <c r="AF68" s="382">
        <f t="shared" ca="1" si="9"/>
        <v>0</v>
      </c>
      <c r="AG68" s="382">
        <f t="shared" ca="1" si="9"/>
        <v>0</v>
      </c>
      <c r="AH68" s="382">
        <f t="shared" ca="1" si="9"/>
        <v>0</v>
      </c>
      <c r="AI68" s="382">
        <f t="shared" ca="1" si="9"/>
        <v>0</v>
      </c>
      <c r="AJ68" s="382">
        <f t="shared" ca="1" si="9"/>
        <v>0</v>
      </c>
      <c r="AK68" s="382">
        <f t="shared" ca="1" si="9"/>
        <v>0</v>
      </c>
      <c r="AL68" s="382">
        <f t="shared" ca="1" si="9"/>
        <v>0</v>
      </c>
      <c r="AM68" s="382">
        <f t="shared" ca="1" si="9"/>
        <v>0</v>
      </c>
      <c r="AN68" s="382">
        <f t="shared" ca="1" si="9"/>
        <v>0</v>
      </c>
      <c r="AO68" s="382">
        <f t="shared" ca="1" si="9"/>
        <v>0</v>
      </c>
      <c r="AP68" s="382">
        <f t="shared" ca="1" si="9"/>
        <v>0</v>
      </c>
      <c r="AQ68" s="382">
        <f t="shared" ca="1" si="9"/>
        <v>0</v>
      </c>
      <c r="AR68" s="382">
        <f t="shared" ca="1" si="9"/>
        <v>0</v>
      </c>
      <c r="AS68" s="382">
        <f t="shared" ca="1" si="9"/>
        <v>0</v>
      </c>
      <c r="AT68" s="382">
        <f t="shared" ca="1" si="9"/>
        <v>0</v>
      </c>
      <c r="AU68" s="382">
        <f t="shared" ca="1" si="9"/>
        <v>0</v>
      </c>
      <c r="AV68" s="382">
        <f t="shared" ca="1" si="9"/>
        <v>0</v>
      </c>
      <c r="AW68" s="382">
        <f t="shared" ca="1" si="9"/>
        <v>0</v>
      </c>
      <c r="AX68" s="382">
        <f t="shared" ca="1" si="9"/>
        <v>0</v>
      </c>
      <c r="AY68" s="382">
        <f t="shared" ca="1" si="9"/>
        <v>0</v>
      </c>
      <c r="AZ68" s="382">
        <f t="shared" ca="1" si="9"/>
        <v>0</v>
      </c>
      <c r="BA68" s="382">
        <f t="shared" ca="1" si="9"/>
        <v>0</v>
      </c>
      <c r="BB68" s="382">
        <f t="shared" ca="1" si="9"/>
        <v>0</v>
      </c>
      <c r="BC68" s="382">
        <f t="shared" ca="1" si="9"/>
        <v>0</v>
      </c>
      <c r="BD68" s="382">
        <f t="shared" ref="BD68:DJ72" ca="1" si="11">IF($D68&gt;$C$61,0,IF($D68&gt;BD$5,"",OFFSET(BD$62,0,-($D68-1))))</f>
        <v>0</v>
      </c>
      <c r="BE68" s="382">
        <f t="shared" ca="1" si="11"/>
        <v>0</v>
      </c>
      <c r="BF68" s="382">
        <f t="shared" ca="1" si="11"/>
        <v>0</v>
      </c>
      <c r="BG68" s="382">
        <f t="shared" ca="1" si="11"/>
        <v>0</v>
      </c>
      <c r="BH68" s="382">
        <f t="shared" ca="1" si="11"/>
        <v>0</v>
      </c>
      <c r="BI68" s="382">
        <f t="shared" ca="1" si="11"/>
        <v>0</v>
      </c>
      <c r="BJ68" s="382">
        <f t="shared" ca="1" si="11"/>
        <v>0</v>
      </c>
      <c r="BK68" s="382">
        <f t="shared" ca="1" si="11"/>
        <v>0</v>
      </c>
      <c r="BL68" s="382">
        <f t="shared" ca="1" si="11"/>
        <v>0</v>
      </c>
    </row>
    <row r="69" spans="1:64" s="379" customFormat="1" outlineLevel="1" x14ac:dyDescent="0.15">
      <c r="A69" s="395"/>
      <c r="B69" s="395">
        <f ca="1">SUMIFS(SAP_Spreadsheet!$G$11:$BN$11,SAP_Spreadsheet!$G$7:$BN$7,PnL_Speadsheet!$D69)</f>
        <v>0.51783408264961173</v>
      </c>
      <c r="C69" s="395">
        <f>SUMIFS(SAP_Spreadsheet!$G$10:$BN$10,SAP_Spreadsheet!$G$7:$BN$7,PnL_Speadsheet!$D69)</f>
        <v>1</v>
      </c>
      <c r="D69" s="396">
        <f t="shared" si="10"/>
        <v>7</v>
      </c>
      <c r="E69" s="382" t="str">
        <f t="shared" ca="1" si="8"/>
        <v/>
      </c>
      <c r="F69" s="382" t="str">
        <f t="shared" ca="1" si="8"/>
        <v/>
      </c>
      <c r="G69" s="382" t="str">
        <f t="shared" ca="1" si="8"/>
        <v/>
      </c>
      <c r="H69" s="382" t="str">
        <f t="shared" ca="1" si="8"/>
        <v/>
      </c>
      <c r="I69" s="382" t="str">
        <f t="shared" ca="1" si="8"/>
        <v/>
      </c>
      <c r="J69" s="382" t="str">
        <f t="shared" ca="1" si="8"/>
        <v/>
      </c>
      <c r="K69" s="382">
        <f t="shared" ca="1" si="8"/>
        <v>0</v>
      </c>
      <c r="L69" s="382">
        <f t="shared" ca="1" si="8"/>
        <v>0</v>
      </c>
      <c r="M69" s="382">
        <f t="shared" ca="1" si="8"/>
        <v>0</v>
      </c>
      <c r="N69" s="382">
        <f t="shared" ca="1" si="8"/>
        <v>0</v>
      </c>
      <c r="O69" s="382">
        <f t="shared" ca="1" si="8"/>
        <v>0</v>
      </c>
      <c r="P69" s="382">
        <f t="shared" ca="1" si="8"/>
        <v>0</v>
      </c>
      <c r="Q69" s="382">
        <f t="shared" ca="1" si="8"/>
        <v>0</v>
      </c>
      <c r="R69" s="382">
        <f t="shared" ca="1" si="8"/>
        <v>0</v>
      </c>
      <c r="S69" s="382">
        <f t="shared" ca="1" si="8"/>
        <v>0</v>
      </c>
      <c r="T69" s="382">
        <f t="shared" ca="1" si="8"/>
        <v>0</v>
      </c>
      <c r="U69" s="382">
        <f t="shared" ref="U69:CA74" ca="1" si="12">IF($D69&gt;$C$61,0,IF($D69&gt;U$5,"",OFFSET(U$62,0,-($D69-1))))</f>
        <v>0</v>
      </c>
      <c r="V69" s="382">
        <f t="shared" ca="1" si="12"/>
        <v>0</v>
      </c>
      <c r="W69" s="382">
        <f t="shared" ca="1" si="12"/>
        <v>0</v>
      </c>
      <c r="X69" s="382">
        <f t="shared" ca="1" si="12"/>
        <v>0</v>
      </c>
      <c r="Y69" s="382">
        <f t="shared" ca="1" si="12"/>
        <v>0</v>
      </c>
      <c r="Z69" s="382">
        <f t="shared" ca="1" si="12"/>
        <v>0</v>
      </c>
      <c r="AA69" s="382">
        <f t="shared" ca="1" si="12"/>
        <v>0</v>
      </c>
      <c r="AB69" s="382">
        <f t="shared" ca="1" si="12"/>
        <v>0</v>
      </c>
      <c r="AC69" s="382">
        <f t="shared" ca="1" si="12"/>
        <v>0</v>
      </c>
      <c r="AD69" s="382">
        <f t="shared" ca="1" si="12"/>
        <v>0</v>
      </c>
      <c r="AE69" s="382">
        <f t="shared" ca="1" si="12"/>
        <v>0</v>
      </c>
      <c r="AF69" s="382">
        <f t="shared" ca="1" si="12"/>
        <v>0</v>
      </c>
      <c r="AG69" s="382">
        <f t="shared" ca="1" si="12"/>
        <v>0</v>
      </c>
      <c r="AH69" s="382">
        <f t="shared" ca="1" si="12"/>
        <v>0</v>
      </c>
      <c r="AI69" s="382">
        <f t="shared" ca="1" si="12"/>
        <v>0</v>
      </c>
      <c r="AJ69" s="382">
        <f t="shared" ca="1" si="12"/>
        <v>0</v>
      </c>
      <c r="AK69" s="382">
        <f t="shared" ca="1" si="12"/>
        <v>0</v>
      </c>
      <c r="AL69" s="382">
        <f t="shared" ca="1" si="12"/>
        <v>0</v>
      </c>
      <c r="AM69" s="382">
        <f t="shared" ca="1" si="12"/>
        <v>0</v>
      </c>
      <c r="AN69" s="382">
        <f t="shared" ca="1" si="12"/>
        <v>0</v>
      </c>
      <c r="AO69" s="382">
        <f t="shared" ca="1" si="12"/>
        <v>0</v>
      </c>
      <c r="AP69" s="382">
        <f t="shared" ca="1" si="12"/>
        <v>0</v>
      </c>
      <c r="AQ69" s="382">
        <f t="shared" ca="1" si="12"/>
        <v>0</v>
      </c>
      <c r="AR69" s="382">
        <f t="shared" ca="1" si="12"/>
        <v>0</v>
      </c>
      <c r="AS69" s="382">
        <f t="shared" ca="1" si="12"/>
        <v>0</v>
      </c>
      <c r="AT69" s="382">
        <f t="shared" ca="1" si="12"/>
        <v>0</v>
      </c>
      <c r="AU69" s="382">
        <f t="shared" ca="1" si="12"/>
        <v>0</v>
      </c>
      <c r="AV69" s="382">
        <f t="shared" ca="1" si="12"/>
        <v>0</v>
      </c>
      <c r="AW69" s="382">
        <f t="shared" ca="1" si="12"/>
        <v>0</v>
      </c>
      <c r="AX69" s="382">
        <f t="shared" ca="1" si="12"/>
        <v>0</v>
      </c>
      <c r="AY69" s="382">
        <f t="shared" ca="1" si="12"/>
        <v>0</v>
      </c>
      <c r="AZ69" s="382">
        <f t="shared" ca="1" si="12"/>
        <v>0</v>
      </c>
      <c r="BA69" s="382">
        <f t="shared" ca="1" si="12"/>
        <v>0</v>
      </c>
      <c r="BB69" s="382">
        <f t="shared" ca="1" si="12"/>
        <v>0</v>
      </c>
      <c r="BC69" s="382">
        <f t="shared" ca="1" si="12"/>
        <v>0</v>
      </c>
      <c r="BD69" s="382">
        <f t="shared" ca="1" si="12"/>
        <v>0</v>
      </c>
      <c r="BE69" s="382">
        <f t="shared" ca="1" si="12"/>
        <v>0</v>
      </c>
      <c r="BF69" s="382">
        <f t="shared" ca="1" si="12"/>
        <v>0</v>
      </c>
      <c r="BG69" s="382">
        <f t="shared" ca="1" si="12"/>
        <v>0</v>
      </c>
      <c r="BH69" s="382">
        <f t="shared" ca="1" si="12"/>
        <v>0</v>
      </c>
      <c r="BI69" s="382">
        <f t="shared" ca="1" si="12"/>
        <v>0</v>
      </c>
      <c r="BJ69" s="382">
        <f t="shared" ca="1" si="12"/>
        <v>0</v>
      </c>
      <c r="BK69" s="382">
        <f t="shared" ca="1" si="12"/>
        <v>0</v>
      </c>
      <c r="BL69" s="382">
        <f t="shared" ca="1" si="12"/>
        <v>0</v>
      </c>
    </row>
    <row r="70" spans="1:64" s="379" customFormat="1" outlineLevel="1" x14ac:dyDescent="0.15">
      <c r="A70" s="395"/>
      <c r="B70" s="395">
        <f ca="1">SUMIFS(SAP_Spreadsheet!$G$11:$BN$11,SAP_Spreadsheet!$G$7:$BN$7,PnL_Speadsheet!$D70)</f>
        <v>0.49331936158365225</v>
      </c>
      <c r="C70" s="395">
        <f>SUMIFS(SAP_Spreadsheet!$G$10:$BN$10,SAP_Spreadsheet!$G$7:$BN$7,PnL_Speadsheet!$D70)</f>
        <v>1</v>
      </c>
      <c r="D70" s="396">
        <f t="shared" si="10"/>
        <v>8</v>
      </c>
      <c r="E70" s="382" t="str">
        <f t="shared" ca="1" si="8"/>
        <v/>
      </c>
      <c r="F70" s="382" t="str">
        <f t="shared" ca="1" si="8"/>
        <v/>
      </c>
      <c r="G70" s="382" t="str">
        <f t="shared" ca="1" si="8"/>
        <v/>
      </c>
      <c r="H70" s="382" t="str">
        <f t="shared" ca="1" si="8"/>
        <v/>
      </c>
      <c r="I70" s="382" t="str">
        <f t="shared" ca="1" si="8"/>
        <v/>
      </c>
      <c r="J70" s="382" t="str">
        <f t="shared" ca="1" si="8"/>
        <v/>
      </c>
      <c r="K70" s="382" t="str">
        <f t="shared" ca="1" si="8"/>
        <v/>
      </c>
      <c r="L70" s="382">
        <f t="shared" ca="1" si="8"/>
        <v>0</v>
      </c>
      <c r="M70" s="382">
        <f t="shared" ca="1" si="8"/>
        <v>0</v>
      </c>
      <c r="N70" s="382">
        <f t="shared" ca="1" si="8"/>
        <v>0</v>
      </c>
      <c r="O70" s="382">
        <f t="shared" ca="1" si="8"/>
        <v>0</v>
      </c>
      <c r="P70" s="382">
        <f t="shared" ca="1" si="8"/>
        <v>0</v>
      </c>
      <c r="Q70" s="382">
        <f t="shared" ca="1" si="8"/>
        <v>0</v>
      </c>
      <c r="R70" s="382">
        <f t="shared" ca="1" si="8"/>
        <v>0</v>
      </c>
      <c r="S70" s="382">
        <f t="shared" ca="1" si="8"/>
        <v>0</v>
      </c>
      <c r="T70" s="382">
        <f t="shared" ca="1" si="8"/>
        <v>0</v>
      </c>
      <c r="U70" s="382">
        <f t="shared" ca="1" si="12"/>
        <v>0</v>
      </c>
      <c r="V70" s="382">
        <f t="shared" ca="1" si="12"/>
        <v>0</v>
      </c>
      <c r="W70" s="382">
        <f t="shared" ca="1" si="12"/>
        <v>0</v>
      </c>
      <c r="X70" s="382">
        <f t="shared" ca="1" si="12"/>
        <v>0</v>
      </c>
      <c r="Y70" s="382">
        <f t="shared" ca="1" si="12"/>
        <v>0</v>
      </c>
      <c r="Z70" s="382">
        <f t="shared" ca="1" si="12"/>
        <v>0</v>
      </c>
      <c r="AA70" s="382">
        <f t="shared" ca="1" si="12"/>
        <v>0</v>
      </c>
      <c r="AB70" s="382">
        <f t="shared" ca="1" si="12"/>
        <v>0</v>
      </c>
      <c r="AC70" s="382">
        <f t="shared" ca="1" si="12"/>
        <v>0</v>
      </c>
      <c r="AD70" s="382">
        <f t="shared" ca="1" si="12"/>
        <v>0</v>
      </c>
      <c r="AE70" s="382">
        <f t="shared" ca="1" si="12"/>
        <v>0</v>
      </c>
      <c r="AF70" s="382">
        <f t="shared" ca="1" si="12"/>
        <v>0</v>
      </c>
      <c r="AG70" s="382">
        <f t="shared" ca="1" si="12"/>
        <v>0</v>
      </c>
      <c r="AH70" s="382">
        <f t="shared" ca="1" si="12"/>
        <v>0</v>
      </c>
      <c r="AI70" s="382">
        <f t="shared" ca="1" si="12"/>
        <v>0</v>
      </c>
      <c r="AJ70" s="382">
        <f t="shared" ca="1" si="12"/>
        <v>0</v>
      </c>
      <c r="AK70" s="382">
        <f t="shared" ca="1" si="12"/>
        <v>0</v>
      </c>
      <c r="AL70" s="382">
        <f t="shared" ca="1" si="12"/>
        <v>0</v>
      </c>
      <c r="AM70" s="382">
        <f t="shared" ca="1" si="12"/>
        <v>0</v>
      </c>
      <c r="AN70" s="382">
        <f t="shared" ca="1" si="12"/>
        <v>0</v>
      </c>
      <c r="AO70" s="382">
        <f t="shared" ca="1" si="12"/>
        <v>0</v>
      </c>
      <c r="AP70" s="382">
        <f t="shared" ca="1" si="12"/>
        <v>0</v>
      </c>
      <c r="AQ70" s="382">
        <f t="shared" ca="1" si="12"/>
        <v>0</v>
      </c>
      <c r="AR70" s="382">
        <f t="shared" ca="1" si="12"/>
        <v>0</v>
      </c>
      <c r="AS70" s="382">
        <f t="shared" ca="1" si="12"/>
        <v>0</v>
      </c>
      <c r="AT70" s="382">
        <f t="shared" ca="1" si="12"/>
        <v>0</v>
      </c>
      <c r="AU70" s="382">
        <f t="shared" ca="1" si="12"/>
        <v>0</v>
      </c>
      <c r="AV70" s="382">
        <f t="shared" ca="1" si="12"/>
        <v>0</v>
      </c>
      <c r="AW70" s="382">
        <f t="shared" ca="1" si="12"/>
        <v>0</v>
      </c>
      <c r="AX70" s="382">
        <f t="shared" ca="1" si="12"/>
        <v>0</v>
      </c>
      <c r="AY70" s="382">
        <f t="shared" ca="1" si="12"/>
        <v>0</v>
      </c>
      <c r="AZ70" s="382">
        <f t="shared" ca="1" si="12"/>
        <v>0</v>
      </c>
      <c r="BA70" s="382">
        <f t="shared" ca="1" si="12"/>
        <v>0</v>
      </c>
      <c r="BB70" s="382">
        <f t="shared" ca="1" si="12"/>
        <v>0</v>
      </c>
      <c r="BC70" s="382">
        <f t="shared" ca="1" si="12"/>
        <v>0</v>
      </c>
      <c r="BD70" s="382">
        <f t="shared" ca="1" si="12"/>
        <v>0</v>
      </c>
      <c r="BE70" s="382">
        <f t="shared" ca="1" si="12"/>
        <v>0</v>
      </c>
      <c r="BF70" s="382">
        <f t="shared" ca="1" si="12"/>
        <v>0</v>
      </c>
      <c r="BG70" s="382">
        <f t="shared" ca="1" si="12"/>
        <v>0</v>
      </c>
      <c r="BH70" s="382">
        <f t="shared" ca="1" si="12"/>
        <v>0</v>
      </c>
      <c r="BI70" s="382">
        <f t="shared" ca="1" si="12"/>
        <v>0</v>
      </c>
      <c r="BJ70" s="382">
        <f t="shared" ca="1" si="12"/>
        <v>0</v>
      </c>
      <c r="BK70" s="382">
        <f t="shared" ca="1" si="12"/>
        <v>0</v>
      </c>
      <c r="BL70" s="382">
        <f t="shared" ca="1" si="12"/>
        <v>0</v>
      </c>
    </row>
    <row r="71" spans="1:64" s="379" customFormat="1" outlineLevel="1" x14ac:dyDescent="0.15">
      <c r="A71" s="395"/>
      <c r="B71" s="395">
        <f ca="1">SUMIFS(SAP_Spreadsheet!$G$11:$BN$11,SAP_Spreadsheet!$G$7:$BN$7,PnL_Speadsheet!$D71)</f>
        <v>0.46880464051769277</v>
      </c>
      <c r="C71" s="395">
        <f>SUMIFS(SAP_Spreadsheet!$G$10:$BN$10,SAP_Spreadsheet!$G$7:$BN$7,PnL_Speadsheet!$D71)</f>
        <v>1</v>
      </c>
      <c r="D71" s="396">
        <f t="shared" si="10"/>
        <v>9</v>
      </c>
      <c r="E71" s="382" t="str">
        <f t="shared" ca="1" si="8"/>
        <v/>
      </c>
      <c r="F71" s="382" t="str">
        <f t="shared" ca="1" si="8"/>
        <v/>
      </c>
      <c r="G71" s="382" t="str">
        <f t="shared" ca="1" si="8"/>
        <v/>
      </c>
      <c r="H71" s="382" t="str">
        <f t="shared" ca="1" si="8"/>
        <v/>
      </c>
      <c r="I71" s="382" t="str">
        <f t="shared" ca="1" si="8"/>
        <v/>
      </c>
      <c r="J71" s="382" t="str">
        <f t="shared" ca="1" si="8"/>
        <v/>
      </c>
      <c r="K71" s="382" t="str">
        <f t="shared" ca="1" si="8"/>
        <v/>
      </c>
      <c r="L71" s="382" t="str">
        <f t="shared" ca="1" si="8"/>
        <v/>
      </c>
      <c r="M71" s="382">
        <f t="shared" ca="1" si="8"/>
        <v>0</v>
      </c>
      <c r="N71" s="382">
        <f t="shared" ca="1" si="8"/>
        <v>0</v>
      </c>
      <c r="O71" s="382">
        <f t="shared" ca="1" si="8"/>
        <v>0</v>
      </c>
      <c r="P71" s="382">
        <f t="shared" ca="1" si="8"/>
        <v>0</v>
      </c>
      <c r="Q71" s="382">
        <f t="shared" ca="1" si="8"/>
        <v>0</v>
      </c>
      <c r="R71" s="382">
        <f t="shared" ca="1" si="8"/>
        <v>0</v>
      </c>
      <c r="S71" s="382">
        <f t="shared" ca="1" si="8"/>
        <v>0</v>
      </c>
      <c r="T71" s="382">
        <f t="shared" ca="1" si="8"/>
        <v>0</v>
      </c>
      <c r="U71" s="382">
        <f t="shared" ca="1" si="12"/>
        <v>0</v>
      </c>
      <c r="V71" s="382">
        <f t="shared" ca="1" si="12"/>
        <v>0</v>
      </c>
      <c r="W71" s="382">
        <f t="shared" ca="1" si="12"/>
        <v>0</v>
      </c>
      <c r="X71" s="382">
        <f t="shared" ca="1" si="12"/>
        <v>0</v>
      </c>
      <c r="Y71" s="382">
        <f t="shared" ca="1" si="12"/>
        <v>0</v>
      </c>
      <c r="Z71" s="382">
        <f t="shared" ca="1" si="12"/>
        <v>0</v>
      </c>
      <c r="AA71" s="382">
        <f t="shared" ca="1" si="12"/>
        <v>0</v>
      </c>
      <c r="AB71" s="382">
        <f t="shared" ca="1" si="12"/>
        <v>0</v>
      </c>
      <c r="AC71" s="382">
        <f t="shared" ca="1" si="12"/>
        <v>0</v>
      </c>
      <c r="AD71" s="382">
        <f t="shared" ca="1" si="12"/>
        <v>0</v>
      </c>
      <c r="AE71" s="382">
        <f t="shared" ca="1" si="12"/>
        <v>0</v>
      </c>
      <c r="AF71" s="382">
        <f t="shared" ca="1" si="12"/>
        <v>0</v>
      </c>
      <c r="AG71" s="382">
        <f t="shared" ca="1" si="12"/>
        <v>0</v>
      </c>
      <c r="AH71" s="382">
        <f t="shared" ca="1" si="12"/>
        <v>0</v>
      </c>
      <c r="AI71" s="382">
        <f t="shared" ca="1" si="12"/>
        <v>0</v>
      </c>
      <c r="AJ71" s="382">
        <f t="shared" ca="1" si="12"/>
        <v>0</v>
      </c>
      <c r="AK71" s="382">
        <f t="shared" ca="1" si="12"/>
        <v>0</v>
      </c>
      <c r="AL71" s="382">
        <f t="shared" ca="1" si="12"/>
        <v>0</v>
      </c>
      <c r="AM71" s="382">
        <f t="shared" ca="1" si="12"/>
        <v>0</v>
      </c>
      <c r="AN71" s="382">
        <f t="shared" ca="1" si="12"/>
        <v>0</v>
      </c>
      <c r="AO71" s="382">
        <f t="shared" ca="1" si="12"/>
        <v>0</v>
      </c>
      <c r="AP71" s="382">
        <f t="shared" ca="1" si="12"/>
        <v>0</v>
      </c>
      <c r="AQ71" s="382">
        <f t="shared" ca="1" si="12"/>
        <v>0</v>
      </c>
      <c r="AR71" s="382">
        <f t="shared" ca="1" si="12"/>
        <v>0</v>
      </c>
      <c r="AS71" s="382">
        <f t="shared" ca="1" si="12"/>
        <v>0</v>
      </c>
      <c r="AT71" s="382">
        <f t="shared" ca="1" si="12"/>
        <v>0</v>
      </c>
      <c r="AU71" s="382">
        <f t="shared" ca="1" si="12"/>
        <v>0</v>
      </c>
      <c r="AV71" s="382">
        <f t="shared" ca="1" si="12"/>
        <v>0</v>
      </c>
      <c r="AW71" s="382">
        <f t="shared" ca="1" si="12"/>
        <v>0</v>
      </c>
      <c r="AX71" s="382">
        <f t="shared" ca="1" si="12"/>
        <v>0</v>
      </c>
      <c r="AY71" s="382">
        <f t="shared" ca="1" si="12"/>
        <v>0</v>
      </c>
      <c r="AZ71" s="382">
        <f t="shared" ca="1" si="12"/>
        <v>0</v>
      </c>
      <c r="BA71" s="382">
        <f t="shared" ca="1" si="12"/>
        <v>0</v>
      </c>
      <c r="BB71" s="382">
        <f t="shared" ca="1" si="12"/>
        <v>0</v>
      </c>
      <c r="BC71" s="382">
        <f t="shared" ca="1" si="12"/>
        <v>0</v>
      </c>
      <c r="BD71" s="382">
        <f t="shared" ca="1" si="12"/>
        <v>0</v>
      </c>
      <c r="BE71" s="382">
        <f t="shared" ca="1" si="12"/>
        <v>0</v>
      </c>
      <c r="BF71" s="382">
        <f t="shared" ca="1" si="12"/>
        <v>0</v>
      </c>
      <c r="BG71" s="382">
        <f t="shared" ca="1" si="12"/>
        <v>0</v>
      </c>
      <c r="BH71" s="382">
        <f t="shared" ca="1" si="12"/>
        <v>0</v>
      </c>
      <c r="BI71" s="382">
        <f t="shared" ca="1" si="12"/>
        <v>0</v>
      </c>
      <c r="BJ71" s="382">
        <f t="shared" ca="1" si="12"/>
        <v>0</v>
      </c>
      <c r="BK71" s="382">
        <f t="shared" ca="1" si="12"/>
        <v>0</v>
      </c>
      <c r="BL71" s="382">
        <f t="shared" ca="1" si="12"/>
        <v>0</v>
      </c>
    </row>
    <row r="72" spans="1:64" s="379" customFormat="1" outlineLevel="1" x14ac:dyDescent="0.15">
      <c r="A72" s="395"/>
      <c r="B72" s="395">
        <f ca="1">SUMIFS(SAP_Spreadsheet!$G$11:$BN$11,SAP_Spreadsheet!$G$7:$BN$7,PnL_Speadsheet!$D72)</f>
        <v>0.4442899194517333</v>
      </c>
      <c r="C72" s="395">
        <f>SUMIFS(SAP_Spreadsheet!$G$10:$BN$10,SAP_Spreadsheet!$G$7:$BN$7,PnL_Speadsheet!$D72)</f>
        <v>1</v>
      </c>
      <c r="D72" s="396">
        <f t="shared" si="10"/>
        <v>10</v>
      </c>
      <c r="E72" s="382" t="str">
        <f t="shared" ca="1" si="8"/>
        <v/>
      </c>
      <c r="F72" s="382" t="str">
        <f t="shared" ca="1" si="8"/>
        <v/>
      </c>
      <c r="G72" s="382" t="str">
        <f t="shared" ca="1" si="8"/>
        <v/>
      </c>
      <c r="H72" s="382" t="str">
        <f t="shared" ca="1" si="8"/>
        <v/>
      </c>
      <c r="I72" s="382" t="str">
        <f t="shared" ca="1" si="8"/>
        <v/>
      </c>
      <c r="J72" s="382" t="str">
        <f t="shared" ca="1" si="8"/>
        <v/>
      </c>
      <c r="K72" s="382" t="str">
        <f t="shared" ca="1" si="8"/>
        <v/>
      </c>
      <c r="L72" s="382" t="str">
        <f t="shared" ca="1" si="8"/>
        <v/>
      </c>
      <c r="M72" s="382" t="str">
        <f t="shared" ca="1" si="8"/>
        <v/>
      </c>
      <c r="N72" s="382">
        <f t="shared" ca="1" si="8"/>
        <v>0</v>
      </c>
      <c r="O72" s="382">
        <f t="shared" ca="1" si="8"/>
        <v>0</v>
      </c>
      <c r="P72" s="382">
        <f t="shared" ca="1" si="8"/>
        <v>0</v>
      </c>
      <c r="Q72" s="382">
        <f t="shared" ca="1" si="8"/>
        <v>0</v>
      </c>
      <c r="R72" s="382">
        <f t="shared" ca="1" si="8"/>
        <v>0</v>
      </c>
      <c r="S72" s="382">
        <f t="shared" ca="1" si="8"/>
        <v>0</v>
      </c>
      <c r="T72" s="382">
        <f t="shared" ca="1" si="8"/>
        <v>0</v>
      </c>
      <c r="U72" s="382">
        <f t="shared" ca="1" si="12"/>
        <v>0</v>
      </c>
      <c r="V72" s="382">
        <f t="shared" ca="1" si="12"/>
        <v>0</v>
      </c>
      <c r="W72" s="382">
        <f t="shared" ca="1" si="12"/>
        <v>0</v>
      </c>
      <c r="X72" s="382">
        <f t="shared" ca="1" si="12"/>
        <v>0</v>
      </c>
      <c r="Y72" s="382">
        <f t="shared" ca="1" si="12"/>
        <v>0</v>
      </c>
      <c r="Z72" s="382">
        <f t="shared" ca="1" si="12"/>
        <v>0</v>
      </c>
      <c r="AA72" s="382">
        <f t="shared" ca="1" si="12"/>
        <v>0</v>
      </c>
      <c r="AB72" s="382">
        <f t="shared" ca="1" si="12"/>
        <v>0</v>
      </c>
      <c r="AC72" s="382">
        <f t="shared" ca="1" si="12"/>
        <v>0</v>
      </c>
      <c r="AD72" s="382">
        <f t="shared" ca="1" si="12"/>
        <v>0</v>
      </c>
      <c r="AE72" s="382">
        <f t="shared" ca="1" si="12"/>
        <v>0</v>
      </c>
      <c r="AF72" s="382">
        <f t="shared" ca="1" si="12"/>
        <v>0</v>
      </c>
      <c r="AG72" s="382">
        <f t="shared" ca="1" si="12"/>
        <v>0</v>
      </c>
      <c r="AH72" s="382">
        <f t="shared" ca="1" si="12"/>
        <v>0</v>
      </c>
      <c r="AI72" s="382">
        <f t="shared" ca="1" si="12"/>
        <v>0</v>
      </c>
      <c r="AJ72" s="382">
        <f t="shared" ca="1" si="12"/>
        <v>0</v>
      </c>
      <c r="AK72" s="382">
        <f t="shared" ca="1" si="12"/>
        <v>0</v>
      </c>
      <c r="AL72" s="382">
        <f t="shared" ca="1" si="12"/>
        <v>0</v>
      </c>
      <c r="AM72" s="382">
        <f t="shared" ca="1" si="12"/>
        <v>0</v>
      </c>
      <c r="AN72" s="382">
        <f t="shared" ca="1" si="12"/>
        <v>0</v>
      </c>
      <c r="AO72" s="382">
        <f t="shared" ca="1" si="12"/>
        <v>0</v>
      </c>
      <c r="AP72" s="382">
        <f t="shared" ca="1" si="12"/>
        <v>0</v>
      </c>
      <c r="AQ72" s="382">
        <f t="shared" ca="1" si="12"/>
        <v>0</v>
      </c>
      <c r="AR72" s="382">
        <f t="shared" ca="1" si="12"/>
        <v>0</v>
      </c>
      <c r="AS72" s="382">
        <f t="shared" ca="1" si="12"/>
        <v>0</v>
      </c>
      <c r="AT72" s="382">
        <f t="shared" ca="1" si="12"/>
        <v>0</v>
      </c>
      <c r="AU72" s="382">
        <f t="shared" ca="1" si="12"/>
        <v>0</v>
      </c>
      <c r="AV72" s="382">
        <f t="shared" ca="1" si="12"/>
        <v>0</v>
      </c>
      <c r="AW72" s="382">
        <f t="shared" ca="1" si="12"/>
        <v>0</v>
      </c>
      <c r="AX72" s="382">
        <f t="shared" ca="1" si="12"/>
        <v>0</v>
      </c>
      <c r="AY72" s="382">
        <f t="shared" ca="1" si="12"/>
        <v>0</v>
      </c>
      <c r="AZ72" s="382">
        <f t="shared" ca="1" si="12"/>
        <v>0</v>
      </c>
      <c r="BA72" s="382">
        <f t="shared" ca="1" si="12"/>
        <v>0</v>
      </c>
      <c r="BB72" s="382">
        <f t="shared" ca="1" si="12"/>
        <v>0</v>
      </c>
      <c r="BC72" s="382">
        <f t="shared" ca="1" si="12"/>
        <v>0</v>
      </c>
      <c r="BD72" s="382">
        <f t="shared" ca="1" si="12"/>
        <v>0</v>
      </c>
      <c r="BE72" s="382">
        <f t="shared" ca="1" si="12"/>
        <v>0</v>
      </c>
      <c r="BF72" s="382">
        <f t="shared" ca="1" si="12"/>
        <v>0</v>
      </c>
      <c r="BG72" s="382">
        <f t="shared" ca="1" si="12"/>
        <v>0</v>
      </c>
      <c r="BH72" s="382">
        <f t="shared" ca="1" si="12"/>
        <v>0</v>
      </c>
      <c r="BI72" s="382">
        <f t="shared" ca="1" si="12"/>
        <v>0</v>
      </c>
      <c r="BJ72" s="382">
        <f t="shared" ca="1" si="12"/>
        <v>0</v>
      </c>
      <c r="BK72" s="382">
        <f t="shared" ca="1" si="12"/>
        <v>0</v>
      </c>
      <c r="BL72" s="382">
        <f t="shared" ca="1" si="12"/>
        <v>0</v>
      </c>
    </row>
    <row r="73" spans="1:64" s="379" customFormat="1" outlineLevel="1" x14ac:dyDescent="0.15">
      <c r="A73" s="395"/>
      <c r="B73" s="395">
        <f ca="1">SUMIFS(SAP_Spreadsheet!$G$11:$BN$11,SAP_Spreadsheet!$G$7:$BN$7,PnL_Speadsheet!$D73)</f>
        <v>0.41977519838577382</v>
      </c>
      <c r="C73" s="395">
        <f>SUMIFS(SAP_Spreadsheet!$G$10:$BN$10,SAP_Spreadsheet!$G$7:$BN$7,PnL_Speadsheet!$D73)</f>
        <v>1</v>
      </c>
      <c r="D73" s="396">
        <f t="shared" si="10"/>
        <v>11</v>
      </c>
      <c r="E73" s="382" t="str">
        <f t="shared" ca="1" si="8"/>
        <v/>
      </c>
      <c r="F73" s="382" t="str">
        <f t="shared" ca="1" si="8"/>
        <v/>
      </c>
      <c r="G73" s="382" t="str">
        <f t="shared" ca="1" si="8"/>
        <v/>
      </c>
      <c r="H73" s="382" t="str">
        <f t="shared" ca="1" si="8"/>
        <v/>
      </c>
      <c r="I73" s="382" t="str">
        <f t="shared" ca="1" si="8"/>
        <v/>
      </c>
      <c r="J73" s="382" t="str">
        <f t="shared" ca="1" si="8"/>
        <v/>
      </c>
      <c r="K73" s="382" t="str">
        <f t="shared" ca="1" si="8"/>
        <v/>
      </c>
      <c r="L73" s="382" t="str">
        <f t="shared" ca="1" si="8"/>
        <v/>
      </c>
      <c r="M73" s="382" t="str">
        <f t="shared" ca="1" si="8"/>
        <v/>
      </c>
      <c r="N73" s="382" t="str">
        <f t="shared" ca="1" si="8"/>
        <v/>
      </c>
      <c r="O73" s="382">
        <f t="shared" ca="1" si="8"/>
        <v>0</v>
      </c>
      <c r="P73" s="382">
        <f t="shared" ca="1" si="8"/>
        <v>0</v>
      </c>
      <c r="Q73" s="382">
        <f t="shared" ca="1" si="8"/>
        <v>0</v>
      </c>
      <c r="R73" s="382">
        <f t="shared" ca="1" si="8"/>
        <v>0</v>
      </c>
      <c r="S73" s="382">
        <f t="shared" ca="1" si="8"/>
        <v>0</v>
      </c>
      <c r="T73" s="382">
        <f t="shared" ca="1" si="8"/>
        <v>0</v>
      </c>
      <c r="U73" s="382">
        <f t="shared" ca="1" si="12"/>
        <v>0</v>
      </c>
      <c r="V73" s="382">
        <f t="shared" ca="1" si="12"/>
        <v>0</v>
      </c>
      <c r="W73" s="382">
        <f t="shared" ca="1" si="12"/>
        <v>0</v>
      </c>
      <c r="X73" s="382">
        <f t="shared" ca="1" si="12"/>
        <v>0</v>
      </c>
      <c r="Y73" s="382">
        <f t="shared" ca="1" si="12"/>
        <v>0</v>
      </c>
      <c r="Z73" s="382">
        <f t="shared" ca="1" si="12"/>
        <v>0</v>
      </c>
      <c r="AA73" s="382">
        <f t="shared" ca="1" si="12"/>
        <v>0</v>
      </c>
      <c r="AB73" s="382">
        <f t="shared" ca="1" si="12"/>
        <v>0</v>
      </c>
      <c r="AC73" s="382">
        <f t="shared" ca="1" si="12"/>
        <v>0</v>
      </c>
      <c r="AD73" s="382">
        <f t="shared" ca="1" si="12"/>
        <v>0</v>
      </c>
      <c r="AE73" s="382">
        <f t="shared" ca="1" si="12"/>
        <v>0</v>
      </c>
      <c r="AF73" s="382">
        <f t="shared" ca="1" si="12"/>
        <v>0</v>
      </c>
      <c r="AG73" s="382">
        <f t="shared" ca="1" si="12"/>
        <v>0</v>
      </c>
      <c r="AH73" s="382">
        <f t="shared" ca="1" si="12"/>
        <v>0</v>
      </c>
      <c r="AI73" s="382">
        <f t="shared" ca="1" si="12"/>
        <v>0</v>
      </c>
      <c r="AJ73" s="382">
        <f t="shared" ca="1" si="12"/>
        <v>0</v>
      </c>
      <c r="AK73" s="382">
        <f t="shared" ca="1" si="12"/>
        <v>0</v>
      </c>
      <c r="AL73" s="382">
        <f t="shared" ca="1" si="12"/>
        <v>0</v>
      </c>
      <c r="AM73" s="382">
        <f t="shared" ca="1" si="12"/>
        <v>0</v>
      </c>
      <c r="AN73" s="382">
        <f t="shared" ca="1" si="12"/>
        <v>0</v>
      </c>
      <c r="AO73" s="382">
        <f t="shared" ca="1" si="12"/>
        <v>0</v>
      </c>
      <c r="AP73" s="382">
        <f t="shared" ca="1" si="12"/>
        <v>0</v>
      </c>
      <c r="AQ73" s="382">
        <f t="shared" ca="1" si="12"/>
        <v>0</v>
      </c>
      <c r="AR73" s="382">
        <f t="shared" ca="1" si="12"/>
        <v>0</v>
      </c>
      <c r="AS73" s="382">
        <f t="shared" ca="1" si="12"/>
        <v>0</v>
      </c>
      <c r="AT73" s="382">
        <f t="shared" ca="1" si="12"/>
        <v>0</v>
      </c>
      <c r="AU73" s="382">
        <f t="shared" ca="1" si="12"/>
        <v>0</v>
      </c>
      <c r="AV73" s="382">
        <f t="shared" ca="1" si="12"/>
        <v>0</v>
      </c>
      <c r="AW73" s="382">
        <f t="shared" ca="1" si="12"/>
        <v>0</v>
      </c>
      <c r="AX73" s="382">
        <f t="shared" ca="1" si="12"/>
        <v>0</v>
      </c>
      <c r="AY73" s="382">
        <f t="shared" ca="1" si="12"/>
        <v>0</v>
      </c>
      <c r="AZ73" s="382">
        <f t="shared" ca="1" si="12"/>
        <v>0</v>
      </c>
      <c r="BA73" s="382">
        <f t="shared" ca="1" si="12"/>
        <v>0</v>
      </c>
      <c r="BB73" s="382">
        <f t="shared" ca="1" si="12"/>
        <v>0</v>
      </c>
      <c r="BC73" s="382">
        <f t="shared" ca="1" si="12"/>
        <v>0</v>
      </c>
      <c r="BD73" s="382">
        <f t="shared" ca="1" si="12"/>
        <v>0</v>
      </c>
      <c r="BE73" s="382">
        <f t="shared" ca="1" si="12"/>
        <v>0</v>
      </c>
      <c r="BF73" s="382">
        <f t="shared" ca="1" si="12"/>
        <v>0</v>
      </c>
      <c r="BG73" s="382">
        <f t="shared" ca="1" si="12"/>
        <v>0</v>
      </c>
      <c r="BH73" s="382">
        <f t="shared" ca="1" si="12"/>
        <v>0</v>
      </c>
      <c r="BI73" s="382">
        <f t="shared" ca="1" si="12"/>
        <v>0</v>
      </c>
      <c r="BJ73" s="382">
        <f t="shared" ca="1" si="12"/>
        <v>0</v>
      </c>
      <c r="BK73" s="382">
        <f t="shared" ca="1" si="12"/>
        <v>0</v>
      </c>
      <c r="BL73" s="382">
        <f t="shared" ca="1" si="12"/>
        <v>0</v>
      </c>
    </row>
    <row r="74" spans="1:64" s="379" customFormat="1" outlineLevel="1" x14ac:dyDescent="0.15">
      <c r="A74" s="395"/>
      <c r="B74" s="395">
        <f ca="1">SUMIFS(SAP_Spreadsheet!$G$11:$BN$11,SAP_Spreadsheet!$G$7:$BN$7,PnL_Speadsheet!$D74)</f>
        <v>0.39526047731981434</v>
      </c>
      <c r="C74" s="395">
        <f>SUMIFS(SAP_Spreadsheet!$G$10:$BN$10,SAP_Spreadsheet!$G$7:$BN$7,PnL_Speadsheet!$D74)</f>
        <v>1</v>
      </c>
      <c r="D74" s="396">
        <f t="shared" si="10"/>
        <v>12</v>
      </c>
      <c r="E74" s="382" t="str">
        <f t="shared" ca="1" si="8"/>
        <v/>
      </c>
      <c r="F74" s="382" t="str">
        <f t="shared" ca="1" si="8"/>
        <v/>
      </c>
      <c r="G74" s="382" t="str">
        <f t="shared" ca="1" si="8"/>
        <v/>
      </c>
      <c r="H74" s="382" t="str">
        <f t="shared" ca="1" si="8"/>
        <v/>
      </c>
      <c r="I74" s="382" t="str">
        <f t="shared" ca="1" si="8"/>
        <v/>
      </c>
      <c r="J74" s="382" t="str">
        <f t="shared" ca="1" si="8"/>
        <v/>
      </c>
      <c r="K74" s="382" t="str">
        <f t="shared" ca="1" si="8"/>
        <v/>
      </c>
      <c r="L74" s="382" t="str">
        <f t="shared" ca="1" si="8"/>
        <v/>
      </c>
      <c r="M74" s="382" t="str">
        <f t="shared" ca="1" si="8"/>
        <v/>
      </c>
      <c r="N74" s="382" t="str">
        <f t="shared" ca="1" si="8"/>
        <v/>
      </c>
      <c r="O74" s="382" t="str">
        <f t="shared" ca="1" si="8"/>
        <v/>
      </c>
      <c r="P74" s="382">
        <f t="shared" ca="1" si="8"/>
        <v>0</v>
      </c>
      <c r="Q74" s="382">
        <f t="shared" ca="1" si="8"/>
        <v>0</v>
      </c>
      <c r="R74" s="382">
        <f t="shared" ca="1" si="8"/>
        <v>0</v>
      </c>
      <c r="S74" s="382">
        <f t="shared" ca="1" si="8"/>
        <v>0</v>
      </c>
      <c r="T74" s="382">
        <f t="shared" ca="1" si="8"/>
        <v>0</v>
      </c>
      <c r="U74" s="382">
        <f t="shared" ca="1" si="12"/>
        <v>0</v>
      </c>
      <c r="V74" s="382">
        <f t="shared" ca="1" si="12"/>
        <v>0</v>
      </c>
      <c r="W74" s="382">
        <f t="shared" ca="1" si="12"/>
        <v>0</v>
      </c>
      <c r="X74" s="382">
        <f t="shared" ca="1" si="12"/>
        <v>0</v>
      </c>
      <c r="Y74" s="382">
        <f t="shared" ca="1" si="12"/>
        <v>0</v>
      </c>
      <c r="Z74" s="382">
        <f t="shared" ca="1" si="12"/>
        <v>0</v>
      </c>
      <c r="AA74" s="382">
        <f t="shared" ca="1" si="12"/>
        <v>0</v>
      </c>
      <c r="AB74" s="382">
        <f t="shared" ca="1" si="12"/>
        <v>0</v>
      </c>
      <c r="AC74" s="382">
        <f t="shared" ca="1" si="12"/>
        <v>0</v>
      </c>
      <c r="AD74" s="382">
        <f t="shared" ca="1" si="12"/>
        <v>0</v>
      </c>
      <c r="AE74" s="382">
        <f t="shared" ca="1" si="12"/>
        <v>0</v>
      </c>
      <c r="AF74" s="382">
        <f t="shared" ca="1" si="12"/>
        <v>0</v>
      </c>
      <c r="AG74" s="382">
        <f t="shared" ca="1" si="12"/>
        <v>0</v>
      </c>
      <c r="AH74" s="382">
        <f t="shared" ca="1" si="12"/>
        <v>0</v>
      </c>
      <c r="AI74" s="382">
        <f t="shared" ca="1" si="12"/>
        <v>0</v>
      </c>
      <c r="AJ74" s="382">
        <f t="shared" ca="1" si="12"/>
        <v>0</v>
      </c>
      <c r="AK74" s="382">
        <f t="shared" ca="1" si="12"/>
        <v>0</v>
      </c>
      <c r="AL74" s="382">
        <f t="shared" ca="1" si="12"/>
        <v>0</v>
      </c>
      <c r="AM74" s="382">
        <f t="shared" ca="1" si="12"/>
        <v>0</v>
      </c>
      <c r="AN74" s="382">
        <f t="shared" ca="1" si="12"/>
        <v>0</v>
      </c>
      <c r="AO74" s="382">
        <f t="shared" ca="1" si="12"/>
        <v>0</v>
      </c>
      <c r="AP74" s="382">
        <f t="shared" ca="1" si="12"/>
        <v>0</v>
      </c>
      <c r="AQ74" s="382">
        <f t="shared" ca="1" si="12"/>
        <v>0</v>
      </c>
      <c r="AR74" s="382">
        <f t="shared" ca="1" si="12"/>
        <v>0</v>
      </c>
      <c r="AS74" s="382">
        <f t="shared" ca="1" si="12"/>
        <v>0</v>
      </c>
      <c r="AT74" s="382">
        <f t="shared" ca="1" si="12"/>
        <v>0</v>
      </c>
      <c r="AU74" s="382">
        <f t="shared" ca="1" si="12"/>
        <v>0</v>
      </c>
      <c r="AV74" s="382">
        <f t="shared" ca="1" si="12"/>
        <v>0</v>
      </c>
      <c r="AW74" s="382">
        <f t="shared" ca="1" si="12"/>
        <v>0</v>
      </c>
      <c r="AX74" s="382">
        <f t="shared" ca="1" si="12"/>
        <v>0</v>
      </c>
      <c r="AY74" s="382">
        <f t="shared" ca="1" si="12"/>
        <v>0</v>
      </c>
      <c r="AZ74" s="382">
        <f t="shared" ca="1" si="12"/>
        <v>0</v>
      </c>
      <c r="BA74" s="382">
        <f t="shared" ca="1" si="12"/>
        <v>0</v>
      </c>
      <c r="BB74" s="382">
        <f t="shared" ca="1" si="12"/>
        <v>0</v>
      </c>
      <c r="BC74" s="382">
        <f t="shared" ca="1" si="12"/>
        <v>0</v>
      </c>
      <c r="BD74" s="382">
        <f t="shared" ref="BD74:DJ79" ca="1" si="13">IF($D74&gt;$C$61,0,IF($D74&gt;BD$5,"",OFFSET(BD$62,0,-($D74-1))))</f>
        <v>0</v>
      </c>
      <c r="BE74" s="382">
        <f t="shared" ca="1" si="13"/>
        <v>0</v>
      </c>
      <c r="BF74" s="382">
        <f t="shared" ca="1" si="13"/>
        <v>0</v>
      </c>
      <c r="BG74" s="382">
        <f t="shared" ca="1" si="13"/>
        <v>0</v>
      </c>
      <c r="BH74" s="382">
        <f t="shared" ca="1" si="13"/>
        <v>0</v>
      </c>
      <c r="BI74" s="382">
        <f t="shared" ca="1" si="13"/>
        <v>0</v>
      </c>
      <c r="BJ74" s="382">
        <f t="shared" ca="1" si="13"/>
        <v>0</v>
      </c>
      <c r="BK74" s="382">
        <f t="shared" ca="1" si="13"/>
        <v>0</v>
      </c>
      <c r="BL74" s="382">
        <f t="shared" ca="1" si="13"/>
        <v>0</v>
      </c>
    </row>
    <row r="75" spans="1:64" s="379" customFormat="1" outlineLevel="1" x14ac:dyDescent="0.15">
      <c r="A75" s="395"/>
      <c r="B75" s="395">
        <f ca="1">SUMIFS(SAP_Spreadsheet!$G$11:$BN$11,SAP_Spreadsheet!$G$7:$BN$7,PnL_Speadsheet!$D75)</f>
        <v>0.38564176868715083</v>
      </c>
      <c r="C75" s="395">
        <f>SUMIFS(SAP_Spreadsheet!$G$10:$BN$10,SAP_Spreadsheet!$G$7:$BN$7,PnL_Speadsheet!$D75)</f>
        <v>1</v>
      </c>
      <c r="D75" s="396">
        <f t="shared" si="10"/>
        <v>13</v>
      </c>
      <c r="E75" s="382" t="str">
        <f t="shared" ca="1" si="8"/>
        <v/>
      </c>
      <c r="F75" s="382" t="str">
        <f t="shared" ca="1" si="8"/>
        <v/>
      </c>
      <c r="G75" s="382" t="str">
        <f t="shared" ca="1" si="8"/>
        <v/>
      </c>
      <c r="H75" s="382" t="str">
        <f t="shared" ca="1" si="8"/>
        <v/>
      </c>
      <c r="I75" s="382" t="str">
        <f t="shared" ca="1" si="8"/>
        <v/>
      </c>
      <c r="J75" s="382" t="str">
        <f t="shared" ca="1" si="8"/>
        <v/>
      </c>
      <c r="K75" s="382" t="str">
        <f t="shared" ca="1" si="8"/>
        <v/>
      </c>
      <c r="L75" s="382" t="str">
        <f t="shared" ca="1" si="8"/>
        <v/>
      </c>
      <c r="M75" s="382" t="str">
        <f t="shared" ca="1" si="8"/>
        <v/>
      </c>
      <c r="N75" s="382" t="str">
        <f t="shared" ca="1" si="8"/>
        <v/>
      </c>
      <c r="O75" s="382" t="str">
        <f t="shared" ca="1" si="8"/>
        <v/>
      </c>
      <c r="P75" s="382" t="str">
        <f t="shared" ca="1" si="8"/>
        <v/>
      </c>
      <c r="Q75" s="382">
        <f t="shared" ca="1" si="8"/>
        <v>0</v>
      </c>
      <c r="R75" s="382">
        <f t="shared" ca="1" si="8"/>
        <v>0</v>
      </c>
      <c r="S75" s="382">
        <f t="shared" ca="1" si="8"/>
        <v>0</v>
      </c>
      <c r="T75" s="382">
        <f t="shared" ca="1" si="8"/>
        <v>0</v>
      </c>
      <c r="U75" s="382">
        <f t="shared" ref="U75:CA80" ca="1" si="14">IF($D75&gt;$C$61,0,IF($D75&gt;U$5,"",OFFSET(U$62,0,-($D75-1))))</f>
        <v>0</v>
      </c>
      <c r="V75" s="382">
        <f t="shared" ca="1" si="14"/>
        <v>0</v>
      </c>
      <c r="W75" s="382">
        <f t="shared" ca="1" si="14"/>
        <v>0</v>
      </c>
      <c r="X75" s="382">
        <f t="shared" ca="1" si="14"/>
        <v>0</v>
      </c>
      <c r="Y75" s="382">
        <f t="shared" ca="1" si="14"/>
        <v>0</v>
      </c>
      <c r="Z75" s="382">
        <f t="shared" ca="1" si="14"/>
        <v>0</v>
      </c>
      <c r="AA75" s="382">
        <f t="shared" ca="1" si="14"/>
        <v>0</v>
      </c>
      <c r="AB75" s="382">
        <f t="shared" ca="1" si="14"/>
        <v>0</v>
      </c>
      <c r="AC75" s="382">
        <f t="shared" ca="1" si="14"/>
        <v>0</v>
      </c>
      <c r="AD75" s="382">
        <f t="shared" ca="1" si="14"/>
        <v>0</v>
      </c>
      <c r="AE75" s="382">
        <f t="shared" ca="1" si="14"/>
        <v>0</v>
      </c>
      <c r="AF75" s="382">
        <f t="shared" ca="1" si="14"/>
        <v>0</v>
      </c>
      <c r="AG75" s="382">
        <f t="shared" ca="1" si="14"/>
        <v>0</v>
      </c>
      <c r="AH75" s="382">
        <f t="shared" ca="1" si="14"/>
        <v>0</v>
      </c>
      <c r="AI75" s="382">
        <f t="shared" ca="1" si="14"/>
        <v>0</v>
      </c>
      <c r="AJ75" s="382">
        <f t="shared" ca="1" si="14"/>
        <v>0</v>
      </c>
      <c r="AK75" s="382">
        <f t="shared" ca="1" si="14"/>
        <v>0</v>
      </c>
      <c r="AL75" s="382">
        <f t="shared" ca="1" si="14"/>
        <v>0</v>
      </c>
      <c r="AM75" s="382">
        <f t="shared" ca="1" si="14"/>
        <v>0</v>
      </c>
      <c r="AN75" s="382">
        <f t="shared" ca="1" si="14"/>
        <v>0</v>
      </c>
      <c r="AO75" s="382">
        <f t="shared" ca="1" si="14"/>
        <v>0</v>
      </c>
      <c r="AP75" s="382">
        <f t="shared" ca="1" si="14"/>
        <v>0</v>
      </c>
      <c r="AQ75" s="382">
        <f t="shared" ca="1" si="14"/>
        <v>0</v>
      </c>
      <c r="AR75" s="382">
        <f t="shared" ca="1" si="14"/>
        <v>0</v>
      </c>
      <c r="AS75" s="382">
        <f t="shared" ca="1" si="14"/>
        <v>0</v>
      </c>
      <c r="AT75" s="382">
        <f t="shared" ca="1" si="14"/>
        <v>0</v>
      </c>
      <c r="AU75" s="382">
        <f t="shared" ca="1" si="14"/>
        <v>0</v>
      </c>
      <c r="AV75" s="382">
        <f t="shared" ca="1" si="14"/>
        <v>0</v>
      </c>
      <c r="AW75" s="382">
        <f t="shared" ca="1" si="14"/>
        <v>0</v>
      </c>
      <c r="AX75" s="382">
        <f t="shared" ca="1" si="14"/>
        <v>0</v>
      </c>
      <c r="AY75" s="382">
        <f t="shared" ca="1" si="14"/>
        <v>0</v>
      </c>
      <c r="AZ75" s="382">
        <f t="shared" ca="1" si="14"/>
        <v>0</v>
      </c>
      <c r="BA75" s="382">
        <f t="shared" ca="1" si="14"/>
        <v>0</v>
      </c>
      <c r="BB75" s="382">
        <f t="shared" ca="1" si="14"/>
        <v>0</v>
      </c>
      <c r="BC75" s="382">
        <f t="shared" ca="1" si="14"/>
        <v>0</v>
      </c>
      <c r="BD75" s="382">
        <f t="shared" ca="1" si="14"/>
        <v>0</v>
      </c>
      <c r="BE75" s="382">
        <f t="shared" ca="1" si="14"/>
        <v>0</v>
      </c>
      <c r="BF75" s="382">
        <f t="shared" ca="1" si="14"/>
        <v>0</v>
      </c>
      <c r="BG75" s="382">
        <f t="shared" ca="1" si="14"/>
        <v>0</v>
      </c>
      <c r="BH75" s="382">
        <f t="shared" ca="1" si="14"/>
        <v>0</v>
      </c>
      <c r="BI75" s="382">
        <f t="shared" ca="1" si="14"/>
        <v>0</v>
      </c>
      <c r="BJ75" s="382">
        <f t="shared" ca="1" si="14"/>
        <v>0</v>
      </c>
      <c r="BK75" s="382">
        <f t="shared" ca="1" si="14"/>
        <v>0</v>
      </c>
      <c r="BL75" s="382">
        <f t="shared" ca="1" si="14"/>
        <v>0</v>
      </c>
    </row>
    <row r="76" spans="1:64" s="379" customFormat="1" outlineLevel="1" x14ac:dyDescent="0.15">
      <c r="A76" s="395"/>
      <c r="B76" s="395">
        <f ca="1">SUMIFS(SAP_Spreadsheet!$G$11:$BN$11,SAP_Spreadsheet!$G$7:$BN$7,PnL_Speadsheet!$D76)</f>
        <v>0.37602306005448732</v>
      </c>
      <c r="C76" s="395">
        <f>SUMIFS(SAP_Spreadsheet!$G$10:$BN$10,SAP_Spreadsheet!$G$7:$BN$7,PnL_Speadsheet!$D76)</f>
        <v>1</v>
      </c>
      <c r="D76" s="396">
        <f t="shared" si="10"/>
        <v>14</v>
      </c>
      <c r="E76" s="382" t="str">
        <f t="shared" ca="1" si="8"/>
        <v/>
      </c>
      <c r="F76" s="382" t="str">
        <f t="shared" ca="1" si="8"/>
        <v/>
      </c>
      <c r="G76" s="382" t="str">
        <f t="shared" ca="1" si="8"/>
        <v/>
      </c>
      <c r="H76" s="382" t="str">
        <f t="shared" ca="1" si="8"/>
        <v/>
      </c>
      <c r="I76" s="382" t="str">
        <f t="shared" ca="1" si="8"/>
        <v/>
      </c>
      <c r="J76" s="382" t="str">
        <f t="shared" ca="1" si="8"/>
        <v/>
      </c>
      <c r="K76" s="382" t="str">
        <f t="shared" ca="1" si="8"/>
        <v/>
      </c>
      <c r="L76" s="382" t="str">
        <f t="shared" ca="1" si="8"/>
        <v/>
      </c>
      <c r="M76" s="382" t="str">
        <f t="shared" ca="1" si="8"/>
        <v/>
      </c>
      <c r="N76" s="382" t="str">
        <f t="shared" ca="1" si="8"/>
        <v/>
      </c>
      <c r="O76" s="382" t="str">
        <f t="shared" ca="1" si="8"/>
        <v/>
      </c>
      <c r="P76" s="382" t="str">
        <f t="shared" ca="1" si="8"/>
        <v/>
      </c>
      <c r="Q76" s="382" t="str">
        <f t="shared" ca="1" si="8"/>
        <v/>
      </c>
      <c r="R76" s="382">
        <f t="shared" ca="1" si="8"/>
        <v>0</v>
      </c>
      <c r="S76" s="382">
        <f t="shared" ca="1" si="8"/>
        <v>0</v>
      </c>
      <c r="T76" s="382">
        <f t="shared" ca="1" si="8"/>
        <v>0</v>
      </c>
      <c r="U76" s="382">
        <f t="shared" ca="1" si="14"/>
        <v>0</v>
      </c>
      <c r="V76" s="382">
        <f t="shared" ca="1" si="14"/>
        <v>0</v>
      </c>
      <c r="W76" s="382">
        <f t="shared" ca="1" si="14"/>
        <v>0</v>
      </c>
      <c r="X76" s="382">
        <f t="shared" ca="1" si="14"/>
        <v>0</v>
      </c>
      <c r="Y76" s="382">
        <f t="shared" ca="1" si="14"/>
        <v>0</v>
      </c>
      <c r="Z76" s="382">
        <f t="shared" ca="1" si="14"/>
        <v>0</v>
      </c>
      <c r="AA76" s="382">
        <f t="shared" ca="1" si="14"/>
        <v>0</v>
      </c>
      <c r="AB76" s="382">
        <f t="shared" ca="1" si="14"/>
        <v>0</v>
      </c>
      <c r="AC76" s="382">
        <f t="shared" ca="1" si="14"/>
        <v>0</v>
      </c>
      <c r="AD76" s="382">
        <f t="shared" ca="1" si="14"/>
        <v>0</v>
      </c>
      <c r="AE76" s="382">
        <f t="shared" ca="1" si="14"/>
        <v>0</v>
      </c>
      <c r="AF76" s="382">
        <f t="shared" ca="1" si="14"/>
        <v>0</v>
      </c>
      <c r="AG76" s="382">
        <f t="shared" ca="1" si="14"/>
        <v>0</v>
      </c>
      <c r="AH76" s="382">
        <f t="shared" ca="1" si="14"/>
        <v>0</v>
      </c>
      <c r="AI76" s="382">
        <f t="shared" ca="1" si="14"/>
        <v>0</v>
      </c>
      <c r="AJ76" s="382">
        <f t="shared" ca="1" si="14"/>
        <v>0</v>
      </c>
      <c r="AK76" s="382">
        <f t="shared" ca="1" si="14"/>
        <v>0</v>
      </c>
      <c r="AL76" s="382">
        <f t="shared" ca="1" si="14"/>
        <v>0</v>
      </c>
      <c r="AM76" s="382">
        <f t="shared" ca="1" si="14"/>
        <v>0</v>
      </c>
      <c r="AN76" s="382">
        <f t="shared" ca="1" si="14"/>
        <v>0</v>
      </c>
      <c r="AO76" s="382">
        <f t="shared" ca="1" si="14"/>
        <v>0</v>
      </c>
      <c r="AP76" s="382">
        <f t="shared" ca="1" si="14"/>
        <v>0</v>
      </c>
      <c r="AQ76" s="382">
        <f t="shared" ca="1" si="14"/>
        <v>0</v>
      </c>
      <c r="AR76" s="382">
        <f t="shared" ca="1" si="14"/>
        <v>0</v>
      </c>
      <c r="AS76" s="382">
        <f t="shared" ca="1" si="14"/>
        <v>0</v>
      </c>
      <c r="AT76" s="382">
        <f t="shared" ca="1" si="14"/>
        <v>0</v>
      </c>
      <c r="AU76" s="382">
        <f t="shared" ca="1" si="14"/>
        <v>0</v>
      </c>
      <c r="AV76" s="382">
        <f t="shared" ca="1" si="14"/>
        <v>0</v>
      </c>
      <c r="AW76" s="382">
        <f t="shared" ca="1" si="14"/>
        <v>0</v>
      </c>
      <c r="AX76" s="382">
        <f t="shared" ca="1" si="14"/>
        <v>0</v>
      </c>
      <c r="AY76" s="382">
        <f t="shared" ca="1" si="14"/>
        <v>0</v>
      </c>
      <c r="AZ76" s="382">
        <f t="shared" ca="1" si="14"/>
        <v>0</v>
      </c>
      <c r="BA76" s="382">
        <f t="shared" ca="1" si="14"/>
        <v>0</v>
      </c>
      <c r="BB76" s="382">
        <f t="shared" ca="1" si="14"/>
        <v>0</v>
      </c>
      <c r="BC76" s="382">
        <f t="shared" ca="1" si="14"/>
        <v>0</v>
      </c>
      <c r="BD76" s="382">
        <f t="shared" ca="1" si="14"/>
        <v>0</v>
      </c>
      <c r="BE76" s="382">
        <f t="shared" ca="1" si="14"/>
        <v>0</v>
      </c>
      <c r="BF76" s="382">
        <f t="shared" ca="1" si="14"/>
        <v>0</v>
      </c>
      <c r="BG76" s="382">
        <f t="shared" ca="1" si="14"/>
        <v>0</v>
      </c>
      <c r="BH76" s="382">
        <f t="shared" ca="1" si="14"/>
        <v>0</v>
      </c>
      <c r="BI76" s="382">
        <f t="shared" ca="1" si="14"/>
        <v>0</v>
      </c>
      <c r="BJ76" s="382">
        <f t="shared" ca="1" si="14"/>
        <v>0</v>
      </c>
      <c r="BK76" s="382">
        <f t="shared" ca="1" si="14"/>
        <v>0</v>
      </c>
      <c r="BL76" s="382">
        <f t="shared" ca="1" si="14"/>
        <v>0</v>
      </c>
    </row>
    <row r="77" spans="1:64" s="379" customFormat="1" outlineLevel="1" x14ac:dyDescent="0.15">
      <c r="A77" s="395"/>
      <c r="B77" s="395">
        <f ca="1">SUMIFS(SAP_Spreadsheet!$G$11:$BN$11,SAP_Spreadsheet!$G$7:$BN$7,PnL_Speadsheet!$D77)</f>
        <v>0.36640435142182382</v>
      </c>
      <c r="C77" s="395">
        <f>SUMIFS(SAP_Spreadsheet!$G$10:$BN$10,SAP_Spreadsheet!$G$7:$BN$7,PnL_Speadsheet!$D77)</f>
        <v>1</v>
      </c>
      <c r="D77" s="396">
        <f t="shared" si="10"/>
        <v>15</v>
      </c>
      <c r="E77" s="382" t="str">
        <f t="shared" ca="1" si="8"/>
        <v/>
      </c>
      <c r="F77" s="382" t="str">
        <f t="shared" ca="1" si="8"/>
        <v/>
      </c>
      <c r="G77" s="382" t="str">
        <f t="shared" ca="1" si="8"/>
        <v/>
      </c>
      <c r="H77" s="382" t="str">
        <f t="shared" ca="1" si="8"/>
        <v/>
      </c>
      <c r="I77" s="382" t="str">
        <f t="shared" ca="1" si="8"/>
        <v/>
      </c>
      <c r="J77" s="382" t="str">
        <f t="shared" ca="1" si="8"/>
        <v/>
      </c>
      <c r="K77" s="382" t="str">
        <f t="shared" ca="1" si="8"/>
        <v/>
      </c>
      <c r="L77" s="382" t="str">
        <f t="shared" ca="1" si="8"/>
        <v/>
      </c>
      <c r="M77" s="382" t="str">
        <f t="shared" ca="1" si="8"/>
        <v/>
      </c>
      <c r="N77" s="382" t="str">
        <f t="shared" ca="1" si="8"/>
        <v/>
      </c>
      <c r="O77" s="382" t="str">
        <f t="shared" ca="1" si="8"/>
        <v/>
      </c>
      <c r="P77" s="382" t="str">
        <f t="shared" ca="1" si="8"/>
        <v/>
      </c>
      <c r="Q77" s="382" t="str">
        <f t="shared" ca="1" si="8"/>
        <v/>
      </c>
      <c r="R77" s="382" t="str">
        <f t="shared" ca="1" si="8"/>
        <v/>
      </c>
      <c r="S77" s="382">
        <f t="shared" ca="1" si="8"/>
        <v>0</v>
      </c>
      <c r="T77" s="382">
        <f t="shared" ca="1" si="8"/>
        <v>0</v>
      </c>
      <c r="U77" s="382">
        <f t="shared" ca="1" si="14"/>
        <v>0</v>
      </c>
      <c r="V77" s="382">
        <f t="shared" ca="1" si="14"/>
        <v>0</v>
      </c>
      <c r="W77" s="382">
        <f t="shared" ca="1" si="14"/>
        <v>0</v>
      </c>
      <c r="X77" s="382">
        <f t="shared" ca="1" si="14"/>
        <v>0</v>
      </c>
      <c r="Y77" s="382">
        <f t="shared" ca="1" si="14"/>
        <v>0</v>
      </c>
      <c r="Z77" s="382">
        <f t="shared" ca="1" si="14"/>
        <v>0</v>
      </c>
      <c r="AA77" s="382">
        <f t="shared" ca="1" si="14"/>
        <v>0</v>
      </c>
      <c r="AB77" s="382">
        <f t="shared" ca="1" si="14"/>
        <v>0</v>
      </c>
      <c r="AC77" s="382">
        <f t="shared" ca="1" si="14"/>
        <v>0</v>
      </c>
      <c r="AD77" s="382">
        <f t="shared" ca="1" si="14"/>
        <v>0</v>
      </c>
      <c r="AE77" s="382">
        <f t="shared" ca="1" si="14"/>
        <v>0</v>
      </c>
      <c r="AF77" s="382">
        <f t="shared" ca="1" si="14"/>
        <v>0</v>
      </c>
      <c r="AG77" s="382">
        <f t="shared" ca="1" si="14"/>
        <v>0</v>
      </c>
      <c r="AH77" s="382">
        <f t="shared" ca="1" si="14"/>
        <v>0</v>
      </c>
      <c r="AI77" s="382">
        <f t="shared" ca="1" si="14"/>
        <v>0</v>
      </c>
      <c r="AJ77" s="382">
        <f t="shared" ca="1" si="14"/>
        <v>0</v>
      </c>
      <c r="AK77" s="382">
        <f t="shared" ca="1" si="14"/>
        <v>0</v>
      </c>
      <c r="AL77" s="382">
        <f t="shared" ca="1" si="14"/>
        <v>0</v>
      </c>
      <c r="AM77" s="382">
        <f t="shared" ca="1" si="14"/>
        <v>0</v>
      </c>
      <c r="AN77" s="382">
        <f t="shared" ca="1" si="14"/>
        <v>0</v>
      </c>
      <c r="AO77" s="382">
        <f t="shared" ca="1" si="14"/>
        <v>0</v>
      </c>
      <c r="AP77" s="382">
        <f t="shared" ca="1" si="14"/>
        <v>0</v>
      </c>
      <c r="AQ77" s="382">
        <f t="shared" ca="1" si="14"/>
        <v>0</v>
      </c>
      <c r="AR77" s="382">
        <f t="shared" ca="1" si="14"/>
        <v>0</v>
      </c>
      <c r="AS77" s="382">
        <f t="shared" ca="1" si="14"/>
        <v>0</v>
      </c>
      <c r="AT77" s="382">
        <f t="shared" ca="1" si="14"/>
        <v>0</v>
      </c>
      <c r="AU77" s="382">
        <f t="shared" ca="1" si="14"/>
        <v>0</v>
      </c>
      <c r="AV77" s="382">
        <f t="shared" ca="1" si="14"/>
        <v>0</v>
      </c>
      <c r="AW77" s="382">
        <f t="shared" ca="1" si="14"/>
        <v>0</v>
      </c>
      <c r="AX77" s="382">
        <f t="shared" ca="1" si="14"/>
        <v>0</v>
      </c>
      <c r="AY77" s="382">
        <f t="shared" ca="1" si="14"/>
        <v>0</v>
      </c>
      <c r="AZ77" s="382">
        <f t="shared" ca="1" si="14"/>
        <v>0</v>
      </c>
      <c r="BA77" s="382">
        <f t="shared" ca="1" si="14"/>
        <v>0</v>
      </c>
      <c r="BB77" s="382">
        <f t="shared" ca="1" si="14"/>
        <v>0</v>
      </c>
      <c r="BC77" s="382">
        <f t="shared" ca="1" si="14"/>
        <v>0</v>
      </c>
      <c r="BD77" s="382">
        <f t="shared" ca="1" si="14"/>
        <v>0</v>
      </c>
      <c r="BE77" s="382">
        <f t="shared" ca="1" si="14"/>
        <v>0</v>
      </c>
      <c r="BF77" s="382">
        <f t="shared" ca="1" si="14"/>
        <v>0</v>
      </c>
      <c r="BG77" s="382">
        <f t="shared" ca="1" si="14"/>
        <v>0</v>
      </c>
      <c r="BH77" s="382">
        <f t="shared" ca="1" si="14"/>
        <v>0</v>
      </c>
      <c r="BI77" s="382">
        <f t="shared" ca="1" si="14"/>
        <v>0</v>
      </c>
      <c r="BJ77" s="382">
        <f t="shared" ca="1" si="14"/>
        <v>0</v>
      </c>
      <c r="BK77" s="382">
        <f t="shared" ca="1" si="14"/>
        <v>0</v>
      </c>
      <c r="BL77" s="382">
        <f t="shared" ca="1" si="14"/>
        <v>0</v>
      </c>
    </row>
    <row r="78" spans="1:64" s="379" customFormat="1" outlineLevel="1" x14ac:dyDescent="0.15">
      <c r="A78" s="395"/>
      <c r="B78" s="395">
        <f ca="1">SUMIFS(SAP_Spreadsheet!$G$11:$BN$11,SAP_Spreadsheet!$G$7:$BN$7,PnL_Speadsheet!$D78)</f>
        <v>0.35678564278916031</v>
      </c>
      <c r="C78" s="395">
        <f>SUMIFS(SAP_Spreadsheet!$G$10:$BN$10,SAP_Spreadsheet!$G$7:$BN$7,PnL_Speadsheet!$D78)</f>
        <v>1</v>
      </c>
      <c r="D78" s="396">
        <f t="shared" si="10"/>
        <v>16</v>
      </c>
      <c r="E78" s="382" t="str">
        <f t="shared" ca="1" si="8"/>
        <v/>
      </c>
      <c r="F78" s="382" t="str">
        <f t="shared" ca="1" si="8"/>
        <v/>
      </c>
      <c r="G78" s="382" t="str">
        <f t="shared" ca="1" si="8"/>
        <v/>
      </c>
      <c r="H78" s="382" t="str">
        <f t="shared" ca="1" si="8"/>
        <v/>
      </c>
      <c r="I78" s="382" t="str">
        <f t="shared" ca="1" si="8"/>
        <v/>
      </c>
      <c r="J78" s="382" t="str">
        <f t="shared" ca="1" si="8"/>
        <v/>
      </c>
      <c r="K78" s="382" t="str">
        <f t="shared" ca="1" si="8"/>
        <v/>
      </c>
      <c r="L78" s="382" t="str">
        <f t="shared" ca="1" si="8"/>
        <v/>
      </c>
      <c r="M78" s="382" t="str">
        <f t="shared" ca="1" si="8"/>
        <v/>
      </c>
      <c r="N78" s="382" t="str">
        <f t="shared" ca="1" si="8"/>
        <v/>
      </c>
      <c r="O78" s="382" t="str">
        <f t="shared" ca="1" si="8"/>
        <v/>
      </c>
      <c r="P78" s="382" t="str">
        <f t="shared" ca="1" si="8"/>
        <v/>
      </c>
      <c r="Q78" s="382" t="str">
        <f t="shared" ca="1" si="8"/>
        <v/>
      </c>
      <c r="R78" s="382" t="str">
        <f t="shared" ca="1" si="8"/>
        <v/>
      </c>
      <c r="S78" s="382" t="str">
        <f t="shared" ca="1" si="8"/>
        <v/>
      </c>
      <c r="T78" s="382">
        <f t="shared" ref="T78:BZ83" ca="1" si="15">IF($D78&gt;$C$61,0,IF($D78&gt;T$5,"",OFFSET(T$62,0,-($D78-1))))</f>
        <v>0</v>
      </c>
      <c r="U78" s="382">
        <f t="shared" ca="1" si="15"/>
        <v>0</v>
      </c>
      <c r="V78" s="382">
        <f t="shared" ca="1" si="15"/>
        <v>0</v>
      </c>
      <c r="W78" s="382">
        <f t="shared" ca="1" si="15"/>
        <v>0</v>
      </c>
      <c r="X78" s="382">
        <f t="shared" ca="1" si="15"/>
        <v>0</v>
      </c>
      <c r="Y78" s="382">
        <f t="shared" ca="1" si="15"/>
        <v>0</v>
      </c>
      <c r="Z78" s="382">
        <f t="shared" ca="1" si="15"/>
        <v>0</v>
      </c>
      <c r="AA78" s="382">
        <f t="shared" ca="1" si="15"/>
        <v>0</v>
      </c>
      <c r="AB78" s="382">
        <f t="shared" ca="1" si="15"/>
        <v>0</v>
      </c>
      <c r="AC78" s="382">
        <f t="shared" ca="1" si="15"/>
        <v>0</v>
      </c>
      <c r="AD78" s="382">
        <f t="shared" ca="1" si="15"/>
        <v>0</v>
      </c>
      <c r="AE78" s="382">
        <f t="shared" ca="1" si="15"/>
        <v>0</v>
      </c>
      <c r="AF78" s="382">
        <f t="shared" ca="1" si="15"/>
        <v>0</v>
      </c>
      <c r="AG78" s="382">
        <f t="shared" ca="1" si="15"/>
        <v>0</v>
      </c>
      <c r="AH78" s="382">
        <f t="shared" ca="1" si="15"/>
        <v>0</v>
      </c>
      <c r="AI78" s="382">
        <f t="shared" ca="1" si="15"/>
        <v>0</v>
      </c>
      <c r="AJ78" s="382">
        <f t="shared" ca="1" si="15"/>
        <v>0</v>
      </c>
      <c r="AK78" s="382">
        <f t="shared" ca="1" si="15"/>
        <v>0</v>
      </c>
      <c r="AL78" s="382">
        <f t="shared" ca="1" si="15"/>
        <v>0</v>
      </c>
      <c r="AM78" s="382">
        <f t="shared" ca="1" si="15"/>
        <v>0</v>
      </c>
      <c r="AN78" s="382">
        <f t="shared" ca="1" si="15"/>
        <v>0</v>
      </c>
      <c r="AO78" s="382">
        <f t="shared" ca="1" si="15"/>
        <v>0</v>
      </c>
      <c r="AP78" s="382">
        <f t="shared" ca="1" si="15"/>
        <v>0</v>
      </c>
      <c r="AQ78" s="382">
        <f t="shared" ca="1" si="15"/>
        <v>0</v>
      </c>
      <c r="AR78" s="382">
        <f t="shared" ca="1" si="15"/>
        <v>0</v>
      </c>
      <c r="AS78" s="382">
        <f t="shared" ca="1" si="15"/>
        <v>0</v>
      </c>
      <c r="AT78" s="382">
        <f t="shared" ca="1" si="15"/>
        <v>0</v>
      </c>
      <c r="AU78" s="382">
        <f t="shared" ca="1" si="15"/>
        <v>0</v>
      </c>
      <c r="AV78" s="382">
        <f t="shared" ca="1" si="15"/>
        <v>0</v>
      </c>
      <c r="AW78" s="382">
        <f t="shared" ca="1" si="15"/>
        <v>0</v>
      </c>
      <c r="AX78" s="382">
        <f t="shared" ca="1" si="15"/>
        <v>0</v>
      </c>
      <c r="AY78" s="382">
        <f t="shared" ca="1" si="15"/>
        <v>0</v>
      </c>
      <c r="AZ78" s="382">
        <f t="shared" ca="1" si="15"/>
        <v>0</v>
      </c>
      <c r="BA78" s="382">
        <f t="shared" ca="1" si="15"/>
        <v>0</v>
      </c>
      <c r="BB78" s="382">
        <f t="shared" ca="1" si="15"/>
        <v>0</v>
      </c>
      <c r="BC78" s="382">
        <f t="shared" ca="1" si="15"/>
        <v>0</v>
      </c>
      <c r="BD78" s="382">
        <f t="shared" ca="1" si="15"/>
        <v>0</v>
      </c>
      <c r="BE78" s="382">
        <f t="shared" ca="1" si="15"/>
        <v>0</v>
      </c>
      <c r="BF78" s="382">
        <f t="shared" ca="1" si="15"/>
        <v>0</v>
      </c>
      <c r="BG78" s="382">
        <f t="shared" ca="1" si="15"/>
        <v>0</v>
      </c>
      <c r="BH78" s="382">
        <f t="shared" ca="1" si="15"/>
        <v>0</v>
      </c>
      <c r="BI78" s="382">
        <f t="shared" ca="1" si="15"/>
        <v>0</v>
      </c>
      <c r="BJ78" s="382">
        <f t="shared" ca="1" si="15"/>
        <v>0</v>
      </c>
      <c r="BK78" s="382">
        <f t="shared" ca="1" si="15"/>
        <v>0</v>
      </c>
      <c r="BL78" s="382">
        <f t="shared" ca="1" si="15"/>
        <v>0</v>
      </c>
    </row>
    <row r="79" spans="1:64" s="379" customFormat="1" outlineLevel="1" x14ac:dyDescent="0.15">
      <c r="A79" s="395"/>
      <c r="B79" s="395">
        <f ca="1">SUMIFS(SAP_Spreadsheet!$G$11:$BN$11,SAP_Spreadsheet!$G$7:$BN$7,PnL_Speadsheet!$D79)</f>
        <v>0.3471669341564968</v>
      </c>
      <c r="C79" s="395">
        <f>SUMIFS(SAP_Spreadsheet!$G$10:$BN$10,SAP_Spreadsheet!$G$7:$BN$7,PnL_Speadsheet!$D79)</f>
        <v>1</v>
      </c>
      <c r="D79" s="396">
        <f t="shared" si="10"/>
        <v>17</v>
      </c>
      <c r="E79" s="382" t="str">
        <f t="shared" ref="E79:T110" ca="1" si="16">IF($D79&gt;$C$61,0,IF($D79&gt;E$5,"",OFFSET(E$62,0,-($D79-1))))</f>
        <v/>
      </c>
      <c r="F79" s="382" t="str">
        <f t="shared" ca="1" si="16"/>
        <v/>
      </c>
      <c r="G79" s="382" t="str">
        <f t="shared" ca="1" si="16"/>
        <v/>
      </c>
      <c r="H79" s="382" t="str">
        <f t="shared" ca="1" si="16"/>
        <v/>
      </c>
      <c r="I79" s="382" t="str">
        <f t="shared" ca="1" si="16"/>
        <v/>
      </c>
      <c r="J79" s="382" t="str">
        <f t="shared" ca="1" si="16"/>
        <v/>
      </c>
      <c r="K79" s="382" t="str">
        <f t="shared" ca="1" si="16"/>
        <v/>
      </c>
      <c r="L79" s="382" t="str">
        <f t="shared" ca="1" si="16"/>
        <v/>
      </c>
      <c r="M79" s="382" t="str">
        <f t="shared" ca="1" si="16"/>
        <v/>
      </c>
      <c r="N79" s="382" t="str">
        <f t="shared" ca="1" si="16"/>
        <v/>
      </c>
      <c r="O79" s="382" t="str">
        <f t="shared" ca="1" si="16"/>
        <v/>
      </c>
      <c r="P79" s="382" t="str">
        <f t="shared" ca="1" si="16"/>
        <v/>
      </c>
      <c r="Q79" s="382" t="str">
        <f t="shared" ca="1" si="16"/>
        <v/>
      </c>
      <c r="R79" s="382" t="str">
        <f t="shared" ca="1" si="16"/>
        <v/>
      </c>
      <c r="S79" s="382" t="str">
        <f t="shared" ca="1" si="16"/>
        <v/>
      </c>
      <c r="T79" s="382" t="str">
        <f t="shared" ca="1" si="16"/>
        <v/>
      </c>
      <c r="U79" s="382">
        <f t="shared" ca="1" si="15"/>
        <v>0</v>
      </c>
      <c r="V79" s="382">
        <f t="shared" ca="1" si="15"/>
        <v>0</v>
      </c>
      <c r="W79" s="382">
        <f t="shared" ca="1" si="15"/>
        <v>0</v>
      </c>
      <c r="X79" s="382">
        <f t="shared" ca="1" si="15"/>
        <v>0</v>
      </c>
      <c r="Y79" s="382">
        <f t="shared" ca="1" si="15"/>
        <v>0</v>
      </c>
      <c r="Z79" s="382">
        <f t="shared" ca="1" si="15"/>
        <v>0</v>
      </c>
      <c r="AA79" s="382">
        <f t="shared" ca="1" si="15"/>
        <v>0</v>
      </c>
      <c r="AB79" s="382">
        <f t="shared" ca="1" si="15"/>
        <v>0</v>
      </c>
      <c r="AC79" s="382">
        <f t="shared" ca="1" si="15"/>
        <v>0</v>
      </c>
      <c r="AD79" s="382">
        <f t="shared" ca="1" si="15"/>
        <v>0</v>
      </c>
      <c r="AE79" s="382">
        <f t="shared" ca="1" si="15"/>
        <v>0</v>
      </c>
      <c r="AF79" s="382">
        <f t="shared" ca="1" si="15"/>
        <v>0</v>
      </c>
      <c r="AG79" s="382">
        <f t="shared" ca="1" si="15"/>
        <v>0</v>
      </c>
      <c r="AH79" s="382">
        <f t="shared" ca="1" si="15"/>
        <v>0</v>
      </c>
      <c r="AI79" s="382">
        <f t="shared" ca="1" si="15"/>
        <v>0</v>
      </c>
      <c r="AJ79" s="382">
        <f t="shared" ca="1" si="15"/>
        <v>0</v>
      </c>
      <c r="AK79" s="382">
        <f t="shared" ca="1" si="15"/>
        <v>0</v>
      </c>
      <c r="AL79" s="382">
        <f t="shared" ca="1" si="15"/>
        <v>0</v>
      </c>
      <c r="AM79" s="382">
        <f t="shared" ca="1" si="15"/>
        <v>0</v>
      </c>
      <c r="AN79" s="382">
        <f t="shared" ca="1" si="15"/>
        <v>0</v>
      </c>
      <c r="AO79" s="382">
        <f t="shared" ca="1" si="15"/>
        <v>0</v>
      </c>
      <c r="AP79" s="382">
        <f t="shared" ca="1" si="15"/>
        <v>0</v>
      </c>
      <c r="AQ79" s="382">
        <f t="shared" ca="1" si="15"/>
        <v>0</v>
      </c>
      <c r="AR79" s="382">
        <f t="shared" ca="1" si="15"/>
        <v>0</v>
      </c>
      <c r="AS79" s="382">
        <f t="shared" ca="1" si="15"/>
        <v>0</v>
      </c>
      <c r="AT79" s="382">
        <f t="shared" ca="1" si="15"/>
        <v>0</v>
      </c>
      <c r="AU79" s="382">
        <f t="shared" ca="1" si="15"/>
        <v>0</v>
      </c>
      <c r="AV79" s="382">
        <f t="shared" ca="1" si="15"/>
        <v>0</v>
      </c>
      <c r="AW79" s="382">
        <f t="shared" ca="1" si="15"/>
        <v>0</v>
      </c>
      <c r="AX79" s="382">
        <f t="shared" ca="1" si="15"/>
        <v>0</v>
      </c>
      <c r="AY79" s="382">
        <f t="shared" ca="1" si="15"/>
        <v>0</v>
      </c>
      <c r="AZ79" s="382">
        <f t="shared" ca="1" si="15"/>
        <v>0</v>
      </c>
      <c r="BA79" s="382">
        <f t="shared" ca="1" si="15"/>
        <v>0</v>
      </c>
      <c r="BB79" s="382">
        <f t="shared" ca="1" si="15"/>
        <v>0</v>
      </c>
      <c r="BC79" s="382">
        <f t="shared" ca="1" si="15"/>
        <v>0</v>
      </c>
      <c r="BD79" s="382">
        <f t="shared" ca="1" si="15"/>
        <v>0</v>
      </c>
      <c r="BE79" s="382">
        <f t="shared" ca="1" si="15"/>
        <v>0</v>
      </c>
      <c r="BF79" s="382">
        <f t="shared" ca="1" si="15"/>
        <v>0</v>
      </c>
      <c r="BG79" s="382">
        <f t="shared" ca="1" si="15"/>
        <v>0</v>
      </c>
      <c r="BH79" s="382">
        <f t="shared" ca="1" si="15"/>
        <v>0</v>
      </c>
      <c r="BI79" s="382">
        <f t="shared" ca="1" si="15"/>
        <v>0</v>
      </c>
      <c r="BJ79" s="382">
        <f t="shared" ca="1" si="15"/>
        <v>0</v>
      </c>
      <c r="BK79" s="382">
        <f t="shared" ca="1" si="15"/>
        <v>0</v>
      </c>
      <c r="BL79" s="382">
        <f t="shared" ca="1" si="15"/>
        <v>0</v>
      </c>
    </row>
    <row r="80" spans="1:64" s="379" customFormat="1" outlineLevel="1" x14ac:dyDescent="0.15">
      <c r="A80" s="395"/>
      <c r="B80" s="395">
        <f ca="1">SUMIFS(SAP_Spreadsheet!$G$11:$BN$11,SAP_Spreadsheet!$G$7:$BN$7,PnL_Speadsheet!$D80)</f>
        <v>0.33754822552383329</v>
      </c>
      <c r="C80" s="395">
        <f>SUMIFS(SAP_Spreadsheet!$G$10:$BN$10,SAP_Spreadsheet!$G$7:$BN$7,PnL_Speadsheet!$D80)</f>
        <v>1</v>
      </c>
      <c r="D80" s="396">
        <f t="shared" si="10"/>
        <v>18</v>
      </c>
      <c r="E80" s="382" t="str">
        <f t="shared" ca="1" si="16"/>
        <v/>
      </c>
      <c r="F80" s="382" t="str">
        <f t="shared" ca="1" si="16"/>
        <v/>
      </c>
      <c r="G80" s="382" t="str">
        <f t="shared" ca="1" si="16"/>
        <v/>
      </c>
      <c r="H80" s="382" t="str">
        <f t="shared" ca="1" si="16"/>
        <v/>
      </c>
      <c r="I80" s="382" t="str">
        <f t="shared" ca="1" si="16"/>
        <v/>
      </c>
      <c r="J80" s="382" t="str">
        <f t="shared" ca="1" si="16"/>
        <v/>
      </c>
      <c r="K80" s="382" t="str">
        <f t="shared" ca="1" si="16"/>
        <v/>
      </c>
      <c r="L80" s="382" t="str">
        <f t="shared" ca="1" si="16"/>
        <v/>
      </c>
      <c r="M80" s="382" t="str">
        <f t="shared" ca="1" si="16"/>
        <v/>
      </c>
      <c r="N80" s="382" t="str">
        <f t="shared" ca="1" si="16"/>
        <v/>
      </c>
      <c r="O80" s="382" t="str">
        <f t="shared" ca="1" si="16"/>
        <v/>
      </c>
      <c r="P80" s="382" t="str">
        <f t="shared" ca="1" si="16"/>
        <v/>
      </c>
      <c r="Q80" s="382" t="str">
        <f t="shared" ca="1" si="16"/>
        <v/>
      </c>
      <c r="R80" s="382" t="str">
        <f t="shared" ca="1" si="16"/>
        <v/>
      </c>
      <c r="S80" s="382" t="str">
        <f t="shared" ca="1" si="16"/>
        <v/>
      </c>
      <c r="T80" s="382" t="str">
        <f t="shared" ca="1" si="16"/>
        <v/>
      </c>
      <c r="U80" s="382" t="str">
        <f t="shared" ca="1" si="15"/>
        <v/>
      </c>
      <c r="V80" s="382">
        <f t="shared" ca="1" si="15"/>
        <v>0</v>
      </c>
      <c r="W80" s="382">
        <f t="shared" ca="1" si="15"/>
        <v>0</v>
      </c>
      <c r="X80" s="382">
        <f t="shared" ca="1" si="15"/>
        <v>0</v>
      </c>
      <c r="Y80" s="382">
        <f t="shared" ca="1" si="15"/>
        <v>0</v>
      </c>
      <c r="Z80" s="382">
        <f t="shared" ca="1" si="15"/>
        <v>0</v>
      </c>
      <c r="AA80" s="382">
        <f t="shared" ca="1" si="15"/>
        <v>0</v>
      </c>
      <c r="AB80" s="382">
        <f t="shared" ca="1" si="15"/>
        <v>0</v>
      </c>
      <c r="AC80" s="382">
        <f t="shared" ca="1" si="15"/>
        <v>0</v>
      </c>
      <c r="AD80" s="382">
        <f t="shared" ca="1" si="15"/>
        <v>0</v>
      </c>
      <c r="AE80" s="382">
        <f t="shared" ca="1" si="15"/>
        <v>0</v>
      </c>
      <c r="AF80" s="382">
        <f t="shared" ca="1" si="15"/>
        <v>0</v>
      </c>
      <c r="AG80" s="382">
        <f t="shared" ca="1" si="15"/>
        <v>0</v>
      </c>
      <c r="AH80" s="382">
        <f t="shared" ca="1" si="15"/>
        <v>0</v>
      </c>
      <c r="AI80" s="382">
        <f t="shared" ca="1" si="15"/>
        <v>0</v>
      </c>
      <c r="AJ80" s="382">
        <f t="shared" ca="1" si="15"/>
        <v>0</v>
      </c>
      <c r="AK80" s="382">
        <f t="shared" ca="1" si="15"/>
        <v>0</v>
      </c>
      <c r="AL80" s="382">
        <f t="shared" ca="1" si="15"/>
        <v>0</v>
      </c>
      <c r="AM80" s="382">
        <f t="shared" ca="1" si="15"/>
        <v>0</v>
      </c>
      <c r="AN80" s="382">
        <f t="shared" ca="1" si="15"/>
        <v>0</v>
      </c>
      <c r="AO80" s="382">
        <f t="shared" ca="1" si="15"/>
        <v>0</v>
      </c>
      <c r="AP80" s="382">
        <f t="shared" ca="1" si="15"/>
        <v>0</v>
      </c>
      <c r="AQ80" s="382">
        <f t="shared" ca="1" si="15"/>
        <v>0</v>
      </c>
      <c r="AR80" s="382">
        <f t="shared" ca="1" si="15"/>
        <v>0</v>
      </c>
      <c r="AS80" s="382">
        <f t="shared" ca="1" si="15"/>
        <v>0</v>
      </c>
      <c r="AT80" s="382">
        <f t="shared" ca="1" si="15"/>
        <v>0</v>
      </c>
      <c r="AU80" s="382">
        <f t="shared" ca="1" si="15"/>
        <v>0</v>
      </c>
      <c r="AV80" s="382">
        <f t="shared" ca="1" si="15"/>
        <v>0</v>
      </c>
      <c r="AW80" s="382">
        <f t="shared" ca="1" si="15"/>
        <v>0</v>
      </c>
      <c r="AX80" s="382">
        <f t="shared" ca="1" si="15"/>
        <v>0</v>
      </c>
      <c r="AY80" s="382">
        <f t="shared" ca="1" si="15"/>
        <v>0</v>
      </c>
      <c r="AZ80" s="382">
        <f t="shared" ca="1" si="15"/>
        <v>0</v>
      </c>
      <c r="BA80" s="382">
        <f t="shared" ca="1" si="15"/>
        <v>0</v>
      </c>
      <c r="BB80" s="382">
        <f t="shared" ca="1" si="15"/>
        <v>0</v>
      </c>
      <c r="BC80" s="382">
        <f t="shared" ca="1" si="15"/>
        <v>0</v>
      </c>
      <c r="BD80" s="382">
        <f t="shared" ca="1" si="15"/>
        <v>0</v>
      </c>
      <c r="BE80" s="382">
        <f t="shared" ca="1" si="15"/>
        <v>0</v>
      </c>
      <c r="BF80" s="382">
        <f t="shared" ca="1" si="15"/>
        <v>0</v>
      </c>
      <c r="BG80" s="382">
        <f t="shared" ca="1" si="15"/>
        <v>0</v>
      </c>
      <c r="BH80" s="382">
        <f t="shared" ca="1" si="15"/>
        <v>0</v>
      </c>
      <c r="BI80" s="382">
        <f t="shared" ca="1" si="15"/>
        <v>0</v>
      </c>
      <c r="BJ80" s="382">
        <f t="shared" ca="1" si="15"/>
        <v>0</v>
      </c>
      <c r="BK80" s="382">
        <f t="shared" ca="1" si="15"/>
        <v>0</v>
      </c>
      <c r="BL80" s="382">
        <f t="shared" ca="1" si="15"/>
        <v>0</v>
      </c>
    </row>
    <row r="81" spans="1:64" s="379" customFormat="1" outlineLevel="1" x14ac:dyDescent="0.15">
      <c r="A81" s="395"/>
      <c r="B81" s="395">
        <f ca="1">SUMIFS(SAP_Spreadsheet!$G$11:$BN$11,SAP_Spreadsheet!$G$7:$BN$7,PnL_Speadsheet!$D81)</f>
        <v>0.32792951689116978</v>
      </c>
      <c r="C81" s="395">
        <f>SUMIFS(SAP_Spreadsheet!$G$10:$BN$10,SAP_Spreadsheet!$G$7:$BN$7,PnL_Speadsheet!$D81)</f>
        <v>1</v>
      </c>
      <c r="D81" s="396">
        <f t="shared" si="10"/>
        <v>19</v>
      </c>
      <c r="E81" s="382" t="str">
        <f t="shared" ca="1" si="16"/>
        <v/>
      </c>
      <c r="F81" s="382" t="str">
        <f t="shared" ca="1" si="16"/>
        <v/>
      </c>
      <c r="G81" s="382" t="str">
        <f t="shared" ca="1" si="16"/>
        <v/>
      </c>
      <c r="H81" s="382" t="str">
        <f t="shared" ca="1" si="16"/>
        <v/>
      </c>
      <c r="I81" s="382" t="str">
        <f t="shared" ca="1" si="16"/>
        <v/>
      </c>
      <c r="J81" s="382" t="str">
        <f t="shared" ca="1" si="16"/>
        <v/>
      </c>
      <c r="K81" s="382" t="str">
        <f t="shared" ca="1" si="16"/>
        <v/>
      </c>
      <c r="L81" s="382" t="str">
        <f t="shared" ca="1" si="16"/>
        <v/>
      </c>
      <c r="M81" s="382" t="str">
        <f t="shared" ca="1" si="16"/>
        <v/>
      </c>
      <c r="N81" s="382" t="str">
        <f t="shared" ca="1" si="16"/>
        <v/>
      </c>
      <c r="O81" s="382" t="str">
        <f t="shared" ca="1" si="16"/>
        <v/>
      </c>
      <c r="P81" s="382" t="str">
        <f t="shared" ca="1" si="16"/>
        <v/>
      </c>
      <c r="Q81" s="382" t="str">
        <f t="shared" ca="1" si="16"/>
        <v/>
      </c>
      <c r="R81" s="382" t="str">
        <f t="shared" ca="1" si="16"/>
        <v/>
      </c>
      <c r="S81" s="382" t="str">
        <f t="shared" ca="1" si="16"/>
        <v/>
      </c>
      <c r="T81" s="382" t="str">
        <f t="shared" ca="1" si="16"/>
        <v/>
      </c>
      <c r="U81" s="382" t="str">
        <f t="shared" ca="1" si="15"/>
        <v/>
      </c>
      <c r="V81" s="382" t="str">
        <f t="shared" ca="1" si="15"/>
        <v/>
      </c>
      <c r="W81" s="382">
        <f t="shared" ca="1" si="15"/>
        <v>0</v>
      </c>
      <c r="X81" s="382">
        <f t="shared" ca="1" si="15"/>
        <v>0</v>
      </c>
      <c r="Y81" s="382">
        <f t="shared" ca="1" si="15"/>
        <v>0</v>
      </c>
      <c r="Z81" s="382">
        <f t="shared" ca="1" si="15"/>
        <v>0</v>
      </c>
      <c r="AA81" s="382">
        <f t="shared" ca="1" si="15"/>
        <v>0</v>
      </c>
      <c r="AB81" s="382">
        <f t="shared" ca="1" si="15"/>
        <v>0</v>
      </c>
      <c r="AC81" s="382">
        <f t="shared" ca="1" si="15"/>
        <v>0</v>
      </c>
      <c r="AD81" s="382">
        <f t="shared" ca="1" si="15"/>
        <v>0</v>
      </c>
      <c r="AE81" s="382">
        <f t="shared" ca="1" si="15"/>
        <v>0</v>
      </c>
      <c r="AF81" s="382">
        <f t="shared" ca="1" si="15"/>
        <v>0</v>
      </c>
      <c r="AG81" s="382">
        <f t="shared" ca="1" si="15"/>
        <v>0</v>
      </c>
      <c r="AH81" s="382">
        <f t="shared" ca="1" si="15"/>
        <v>0</v>
      </c>
      <c r="AI81" s="382">
        <f t="shared" ca="1" si="15"/>
        <v>0</v>
      </c>
      <c r="AJ81" s="382">
        <f t="shared" ca="1" si="15"/>
        <v>0</v>
      </c>
      <c r="AK81" s="382">
        <f t="shared" ca="1" si="15"/>
        <v>0</v>
      </c>
      <c r="AL81" s="382">
        <f t="shared" ca="1" si="15"/>
        <v>0</v>
      </c>
      <c r="AM81" s="382">
        <f t="shared" ca="1" si="15"/>
        <v>0</v>
      </c>
      <c r="AN81" s="382">
        <f t="shared" ca="1" si="15"/>
        <v>0</v>
      </c>
      <c r="AO81" s="382">
        <f t="shared" ca="1" si="15"/>
        <v>0</v>
      </c>
      <c r="AP81" s="382">
        <f t="shared" ca="1" si="15"/>
        <v>0</v>
      </c>
      <c r="AQ81" s="382">
        <f t="shared" ca="1" si="15"/>
        <v>0</v>
      </c>
      <c r="AR81" s="382">
        <f t="shared" ca="1" si="15"/>
        <v>0</v>
      </c>
      <c r="AS81" s="382">
        <f t="shared" ca="1" si="15"/>
        <v>0</v>
      </c>
      <c r="AT81" s="382">
        <f t="shared" ca="1" si="15"/>
        <v>0</v>
      </c>
      <c r="AU81" s="382">
        <f t="shared" ca="1" si="15"/>
        <v>0</v>
      </c>
      <c r="AV81" s="382">
        <f t="shared" ca="1" si="15"/>
        <v>0</v>
      </c>
      <c r="AW81" s="382">
        <f t="shared" ca="1" si="15"/>
        <v>0</v>
      </c>
      <c r="AX81" s="382">
        <f t="shared" ca="1" si="15"/>
        <v>0</v>
      </c>
      <c r="AY81" s="382">
        <f t="shared" ca="1" si="15"/>
        <v>0</v>
      </c>
      <c r="AZ81" s="382">
        <f t="shared" ca="1" si="15"/>
        <v>0</v>
      </c>
      <c r="BA81" s="382">
        <f t="shared" ca="1" si="15"/>
        <v>0</v>
      </c>
      <c r="BB81" s="382">
        <f t="shared" ca="1" si="15"/>
        <v>0</v>
      </c>
      <c r="BC81" s="382">
        <f t="shared" ca="1" si="15"/>
        <v>0</v>
      </c>
      <c r="BD81" s="382">
        <f t="shared" ca="1" si="15"/>
        <v>0</v>
      </c>
      <c r="BE81" s="382">
        <f t="shared" ca="1" si="15"/>
        <v>0</v>
      </c>
      <c r="BF81" s="382">
        <f t="shared" ca="1" si="15"/>
        <v>0</v>
      </c>
      <c r="BG81" s="382">
        <f t="shared" ca="1" si="15"/>
        <v>0</v>
      </c>
      <c r="BH81" s="382">
        <f t="shared" ca="1" si="15"/>
        <v>0</v>
      </c>
      <c r="BI81" s="382">
        <f t="shared" ca="1" si="15"/>
        <v>0</v>
      </c>
      <c r="BJ81" s="382">
        <f t="shared" ca="1" si="15"/>
        <v>0</v>
      </c>
      <c r="BK81" s="382">
        <f t="shared" ca="1" si="15"/>
        <v>0</v>
      </c>
      <c r="BL81" s="382">
        <f t="shared" ca="1" si="15"/>
        <v>0</v>
      </c>
    </row>
    <row r="82" spans="1:64" s="379" customFormat="1" outlineLevel="1" x14ac:dyDescent="0.15">
      <c r="A82" s="395"/>
      <c r="B82" s="395">
        <f ca="1">SUMIFS(SAP_Spreadsheet!$G$11:$BN$11,SAP_Spreadsheet!$G$7:$BN$7,PnL_Speadsheet!$D82)</f>
        <v>0.31831080825850627</v>
      </c>
      <c r="C82" s="395">
        <f>SUMIFS(SAP_Spreadsheet!$G$10:$BN$10,SAP_Spreadsheet!$G$7:$BN$7,PnL_Speadsheet!$D82)</f>
        <v>1</v>
      </c>
      <c r="D82" s="396">
        <f t="shared" si="10"/>
        <v>20</v>
      </c>
      <c r="E82" s="382" t="str">
        <f t="shared" ca="1" si="16"/>
        <v/>
      </c>
      <c r="F82" s="382" t="str">
        <f t="shared" ca="1" si="16"/>
        <v/>
      </c>
      <c r="G82" s="382" t="str">
        <f t="shared" ca="1" si="16"/>
        <v/>
      </c>
      <c r="H82" s="382" t="str">
        <f t="shared" ca="1" si="16"/>
        <v/>
      </c>
      <c r="I82" s="382" t="str">
        <f t="shared" ca="1" si="16"/>
        <v/>
      </c>
      <c r="J82" s="382" t="str">
        <f t="shared" ca="1" si="16"/>
        <v/>
      </c>
      <c r="K82" s="382" t="str">
        <f t="shared" ca="1" si="16"/>
        <v/>
      </c>
      <c r="L82" s="382" t="str">
        <f t="shared" ca="1" si="16"/>
        <v/>
      </c>
      <c r="M82" s="382" t="str">
        <f t="shared" ca="1" si="16"/>
        <v/>
      </c>
      <c r="N82" s="382" t="str">
        <f t="shared" ca="1" si="16"/>
        <v/>
      </c>
      <c r="O82" s="382" t="str">
        <f t="shared" ca="1" si="16"/>
        <v/>
      </c>
      <c r="P82" s="382" t="str">
        <f t="shared" ca="1" si="16"/>
        <v/>
      </c>
      <c r="Q82" s="382" t="str">
        <f t="shared" ca="1" si="16"/>
        <v/>
      </c>
      <c r="R82" s="382" t="str">
        <f t="shared" ca="1" si="16"/>
        <v/>
      </c>
      <c r="S82" s="382" t="str">
        <f t="shared" ca="1" si="16"/>
        <v/>
      </c>
      <c r="T82" s="382" t="str">
        <f t="shared" ca="1" si="16"/>
        <v/>
      </c>
      <c r="U82" s="382" t="str">
        <f t="shared" ca="1" si="15"/>
        <v/>
      </c>
      <c r="V82" s="382" t="str">
        <f t="shared" ca="1" si="15"/>
        <v/>
      </c>
      <c r="W82" s="382" t="str">
        <f t="shared" ca="1" si="15"/>
        <v/>
      </c>
      <c r="X82" s="382">
        <f t="shared" ca="1" si="15"/>
        <v>0</v>
      </c>
      <c r="Y82" s="382">
        <f t="shared" ca="1" si="15"/>
        <v>0</v>
      </c>
      <c r="Z82" s="382">
        <f t="shared" ca="1" si="15"/>
        <v>0</v>
      </c>
      <c r="AA82" s="382">
        <f t="shared" ca="1" si="15"/>
        <v>0</v>
      </c>
      <c r="AB82" s="382">
        <f t="shared" ca="1" si="15"/>
        <v>0</v>
      </c>
      <c r="AC82" s="382">
        <f t="shared" ca="1" si="15"/>
        <v>0</v>
      </c>
      <c r="AD82" s="382">
        <f t="shared" ca="1" si="15"/>
        <v>0</v>
      </c>
      <c r="AE82" s="382">
        <f t="shared" ca="1" si="15"/>
        <v>0</v>
      </c>
      <c r="AF82" s="382">
        <f t="shared" ca="1" si="15"/>
        <v>0</v>
      </c>
      <c r="AG82" s="382">
        <f t="shared" ca="1" si="15"/>
        <v>0</v>
      </c>
      <c r="AH82" s="382">
        <f t="shared" ca="1" si="15"/>
        <v>0</v>
      </c>
      <c r="AI82" s="382">
        <f t="shared" ca="1" si="15"/>
        <v>0</v>
      </c>
      <c r="AJ82" s="382">
        <f t="shared" ca="1" si="15"/>
        <v>0</v>
      </c>
      <c r="AK82" s="382">
        <f t="shared" ca="1" si="15"/>
        <v>0</v>
      </c>
      <c r="AL82" s="382">
        <f t="shared" ca="1" si="15"/>
        <v>0</v>
      </c>
      <c r="AM82" s="382">
        <f t="shared" ca="1" si="15"/>
        <v>0</v>
      </c>
      <c r="AN82" s="382">
        <f t="shared" ca="1" si="15"/>
        <v>0</v>
      </c>
      <c r="AO82" s="382">
        <f t="shared" ca="1" si="15"/>
        <v>0</v>
      </c>
      <c r="AP82" s="382">
        <f t="shared" ca="1" si="15"/>
        <v>0</v>
      </c>
      <c r="AQ82" s="382">
        <f t="shared" ca="1" si="15"/>
        <v>0</v>
      </c>
      <c r="AR82" s="382">
        <f t="shared" ca="1" si="15"/>
        <v>0</v>
      </c>
      <c r="AS82" s="382">
        <f t="shared" ca="1" si="15"/>
        <v>0</v>
      </c>
      <c r="AT82" s="382">
        <f t="shared" ca="1" si="15"/>
        <v>0</v>
      </c>
      <c r="AU82" s="382">
        <f t="shared" ca="1" si="15"/>
        <v>0</v>
      </c>
      <c r="AV82" s="382">
        <f t="shared" ca="1" si="15"/>
        <v>0</v>
      </c>
      <c r="AW82" s="382">
        <f t="shared" ca="1" si="15"/>
        <v>0</v>
      </c>
      <c r="AX82" s="382">
        <f t="shared" ca="1" si="15"/>
        <v>0</v>
      </c>
      <c r="AY82" s="382">
        <f t="shared" ca="1" si="15"/>
        <v>0</v>
      </c>
      <c r="AZ82" s="382">
        <f t="shared" ca="1" si="15"/>
        <v>0</v>
      </c>
      <c r="BA82" s="382">
        <f t="shared" ca="1" si="15"/>
        <v>0</v>
      </c>
      <c r="BB82" s="382">
        <f t="shared" ca="1" si="15"/>
        <v>0</v>
      </c>
      <c r="BC82" s="382">
        <f t="shared" ca="1" si="15"/>
        <v>0</v>
      </c>
      <c r="BD82" s="382">
        <f t="shared" ca="1" si="15"/>
        <v>0</v>
      </c>
      <c r="BE82" s="382">
        <f t="shared" ca="1" si="15"/>
        <v>0</v>
      </c>
      <c r="BF82" s="382">
        <f t="shared" ca="1" si="15"/>
        <v>0</v>
      </c>
      <c r="BG82" s="382">
        <f t="shared" ca="1" si="15"/>
        <v>0</v>
      </c>
      <c r="BH82" s="382">
        <f t="shared" ca="1" si="15"/>
        <v>0</v>
      </c>
      <c r="BI82" s="382">
        <f t="shared" ca="1" si="15"/>
        <v>0</v>
      </c>
      <c r="BJ82" s="382">
        <f t="shared" ca="1" si="15"/>
        <v>0</v>
      </c>
      <c r="BK82" s="382">
        <f t="shared" ca="1" si="15"/>
        <v>0</v>
      </c>
      <c r="BL82" s="382">
        <f t="shared" ca="1" si="15"/>
        <v>0</v>
      </c>
    </row>
    <row r="83" spans="1:64" s="379" customFormat="1" outlineLevel="1" x14ac:dyDescent="0.15">
      <c r="A83" s="395"/>
      <c r="B83" s="395">
        <f ca="1">SUMIFS(SAP_Spreadsheet!$G$11:$BN$11,SAP_Spreadsheet!$G$7:$BN$7,PnL_Speadsheet!$D83)</f>
        <v>0.30869209962584276</v>
      </c>
      <c r="C83" s="395">
        <f>SUMIFS(SAP_Spreadsheet!$G$10:$BN$10,SAP_Spreadsheet!$G$7:$BN$7,PnL_Speadsheet!$D83)</f>
        <v>1</v>
      </c>
      <c r="D83" s="396">
        <f t="shared" si="10"/>
        <v>21</v>
      </c>
      <c r="E83" s="382" t="str">
        <f t="shared" ca="1" si="16"/>
        <v/>
      </c>
      <c r="F83" s="382" t="str">
        <f t="shared" ca="1" si="16"/>
        <v/>
      </c>
      <c r="G83" s="382" t="str">
        <f t="shared" ca="1" si="16"/>
        <v/>
      </c>
      <c r="H83" s="382" t="str">
        <f t="shared" ca="1" si="16"/>
        <v/>
      </c>
      <c r="I83" s="382" t="str">
        <f t="shared" ca="1" si="16"/>
        <v/>
      </c>
      <c r="J83" s="382" t="str">
        <f t="shared" ca="1" si="16"/>
        <v/>
      </c>
      <c r="K83" s="382" t="str">
        <f t="shared" ca="1" si="16"/>
        <v/>
      </c>
      <c r="L83" s="382" t="str">
        <f t="shared" ca="1" si="16"/>
        <v/>
      </c>
      <c r="M83" s="382" t="str">
        <f t="shared" ca="1" si="16"/>
        <v/>
      </c>
      <c r="N83" s="382" t="str">
        <f t="shared" ca="1" si="16"/>
        <v/>
      </c>
      <c r="O83" s="382" t="str">
        <f t="shared" ca="1" si="16"/>
        <v/>
      </c>
      <c r="P83" s="382" t="str">
        <f t="shared" ca="1" si="16"/>
        <v/>
      </c>
      <c r="Q83" s="382" t="str">
        <f t="shared" ca="1" si="16"/>
        <v/>
      </c>
      <c r="R83" s="382" t="str">
        <f t="shared" ca="1" si="16"/>
        <v/>
      </c>
      <c r="S83" s="382" t="str">
        <f t="shared" ca="1" si="16"/>
        <v/>
      </c>
      <c r="T83" s="382" t="str">
        <f t="shared" ca="1" si="16"/>
        <v/>
      </c>
      <c r="U83" s="382" t="str">
        <f t="shared" ca="1" si="15"/>
        <v/>
      </c>
      <c r="V83" s="382" t="str">
        <f t="shared" ca="1" si="15"/>
        <v/>
      </c>
      <c r="W83" s="382" t="str">
        <f t="shared" ca="1" si="15"/>
        <v/>
      </c>
      <c r="X83" s="382" t="str">
        <f t="shared" ca="1" si="15"/>
        <v/>
      </c>
      <c r="Y83" s="382">
        <f t="shared" ca="1" si="15"/>
        <v>0</v>
      </c>
      <c r="Z83" s="382">
        <f t="shared" ca="1" si="15"/>
        <v>0</v>
      </c>
      <c r="AA83" s="382">
        <f t="shared" ca="1" si="15"/>
        <v>0</v>
      </c>
      <c r="AB83" s="382">
        <f t="shared" ca="1" si="15"/>
        <v>0</v>
      </c>
      <c r="AC83" s="382">
        <f t="shared" ca="1" si="15"/>
        <v>0</v>
      </c>
      <c r="AD83" s="382">
        <f t="shared" ca="1" si="15"/>
        <v>0</v>
      </c>
      <c r="AE83" s="382">
        <f t="shared" ca="1" si="15"/>
        <v>0</v>
      </c>
      <c r="AF83" s="382">
        <f t="shared" ca="1" si="15"/>
        <v>0</v>
      </c>
      <c r="AG83" s="382">
        <f t="shared" ca="1" si="15"/>
        <v>0</v>
      </c>
      <c r="AH83" s="382">
        <f t="shared" ca="1" si="15"/>
        <v>0</v>
      </c>
      <c r="AI83" s="382">
        <f t="shared" ca="1" si="15"/>
        <v>0</v>
      </c>
      <c r="AJ83" s="382">
        <f t="shared" ca="1" si="15"/>
        <v>0</v>
      </c>
      <c r="AK83" s="382">
        <f t="shared" ca="1" si="15"/>
        <v>0</v>
      </c>
      <c r="AL83" s="382">
        <f t="shared" ca="1" si="15"/>
        <v>0</v>
      </c>
      <c r="AM83" s="382">
        <f t="shared" ca="1" si="15"/>
        <v>0</v>
      </c>
      <c r="AN83" s="382">
        <f t="shared" ca="1" si="15"/>
        <v>0</v>
      </c>
      <c r="AO83" s="382">
        <f t="shared" ca="1" si="15"/>
        <v>0</v>
      </c>
      <c r="AP83" s="382">
        <f t="shared" ca="1" si="15"/>
        <v>0</v>
      </c>
      <c r="AQ83" s="382">
        <f t="shared" ca="1" si="15"/>
        <v>0</v>
      </c>
      <c r="AR83" s="382">
        <f t="shared" ca="1" si="15"/>
        <v>0</v>
      </c>
      <c r="AS83" s="382">
        <f t="shared" ca="1" si="15"/>
        <v>0</v>
      </c>
      <c r="AT83" s="382">
        <f t="shared" ca="1" si="15"/>
        <v>0</v>
      </c>
      <c r="AU83" s="382">
        <f t="shared" ca="1" si="15"/>
        <v>0</v>
      </c>
      <c r="AV83" s="382">
        <f t="shared" ca="1" si="15"/>
        <v>0</v>
      </c>
      <c r="AW83" s="382">
        <f t="shared" ca="1" si="15"/>
        <v>0</v>
      </c>
      <c r="AX83" s="382">
        <f t="shared" ca="1" si="15"/>
        <v>0</v>
      </c>
      <c r="AY83" s="382">
        <f t="shared" ca="1" si="15"/>
        <v>0</v>
      </c>
      <c r="AZ83" s="382">
        <f t="shared" ca="1" si="15"/>
        <v>0</v>
      </c>
      <c r="BA83" s="382">
        <f t="shared" ca="1" si="15"/>
        <v>0</v>
      </c>
      <c r="BB83" s="382">
        <f t="shared" ca="1" si="15"/>
        <v>0</v>
      </c>
      <c r="BC83" s="382">
        <f t="shared" ref="BC83:DI87" ca="1" si="17">IF($D83&gt;$C$61,0,IF($D83&gt;BC$5,"",OFFSET(BC$62,0,-($D83-1))))</f>
        <v>0</v>
      </c>
      <c r="BD83" s="382">
        <f t="shared" ca="1" si="17"/>
        <v>0</v>
      </c>
      <c r="BE83" s="382">
        <f t="shared" ca="1" si="17"/>
        <v>0</v>
      </c>
      <c r="BF83" s="382">
        <f t="shared" ca="1" si="17"/>
        <v>0</v>
      </c>
      <c r="BG83" s="382">
        <f t="shared" ca="1" si="17"/>
        <v>0</v>
      </c>
      <c r="BH83" s="382">
        <f t="shared" ca="1" si="17"/>
        <v>0</v>
      </c>
      <c r="BI83" s="382">
        <f t="shared" ca="1" si="17"/>
        <v>0</v>
      </c>
      <c r="BJ83" s="382">
        <f t="shared" ca="1" si="17"/>
        <v>0</v>
      </c>
      <c r="BK83" s="382">
        <f t="shared" ca="1" si="17"/>
        <v>0</v>
      </c>
      <c r="BL83" s="382">
        <f t="shared" ca="1" si="17"/>
        <v>0</v>
      </c>
    </row>
    <row r="84" spans="1:64" s="379" customFormat="1" outlineLevel="1" x14ac:dyDescent="0.15">
      <c r="A84" s="395"/>
      <c r="B84" s="395">
        <f ca="1">SUMIFS(SAP_Spreadsheet!$G$11:$BN$11,SAP_Spreadsheet!$G$7:$BN$7,PnL_Speadsheet!$D84)</f>
        <v>0.29907339099317926</v>
      </c>
      <c r="C84" s="395">
        <f>SUMIFS(SAP_Spreadsheet!$G$10:$BN$10,SAP_Spreadsheet!$G$7:$BN$7,PnL_Speadsheet!$D84)</f>
        <v>1</v>
      </c>
      <c r="D84" s="396">
        <f t="shared" si="10"/>
        <v>22</v>
      </c>
      <c r="E84" s="382" t="str">
        <f t="shared" ca="1" si="16"/>
        <v/>
      </c>
      <c r="F84" s="382" t="str">
        <f t="shared" ca="1" si="16"/>
        <v/>
      </c>
      <c r="G84" s="382" t="str">
        <f t="shared" ca="1" si="16"/>
        <v/>
      </c>
      <c r="H84" s="382" t="str">
        <f t="shared" ca="1" si="16"/>
        <v/>
      </c>
      <c r="I84" s="382" t="str">
        <f t="shared" ca="1" si="16"/>
        <v/>
      </c>
      <c r="J84" s="382" t="str">
        <f t="shared" ca="1" si="16"/>
        <v/>
      </c>
      <c r="K84" s="382" t="str">
        <f t="shared" ca="1" si="16"/>
        <v/>
      </c>
      <c r="L84" s="382" t="str">
        <f t="shared" ca="1" si="16"/>
        <v/>
      </c>
      <c r="M84" s="382" t="str">
        <f t="shared" ca="1" si="16"/>
        <v/>
      </c>
      <c r="N84" s="382" t="str">
        <f t="shared" ca="1" si="16"/>
        <v/>
      </c>
      <c r="O84" s="382" t="str">
        <f t="shared" ca="1" si="16"/>
        <v/>
      </c>
      <c r="P84" s="382" t="str">
        <f t="shared" ca="1" si="16"/>
        <v/>
      </c>
      <c r="Q84" s="382" t="str">
        <f t="shared" ca="1" si="16"/>
        <v/>
      </c>
      <c r="R84" s="382" t="str">
        <f t="shared" ca="1" si="16"/>
        <v/>
      </c>
      <c r="S84" s="382" t="str">
        <f t="shared" ca="1" si="16"/>
        <v/>
      </c>
      <c r="T84" s="382" t="str">
        <f t="shared" ca="1" si="16"/>
        <v/>
      </c>
      <c r="U84" s="382" t="str">
        <f t="shared" ref="U84:CA89" ca="1" si="18">IF($D84&gt;$C$61,0,IF($D84&gt;U$5,"",OFFSET(U$62,0,-($D84-1))))</f>
        <v/>
      </c>
      <c r="V84" s="382" t="str">
        <f t="shared" ca="1" si="18"/>
        <v/>
      </c>
      <c r="W84" s="382" t="str">
        <f t="shared" ca="1" si="18"/>
        <v/>
      </c>
      <c r="X84" s="382" t="str">
        <f t="shared" ca="1" si="18"/>
        <v/>
      </c>
      <c r="Y84" s="382" t="str">
        <f t="shared" ca="1" si="18"/>
        <v/>
      </c>
      <c r="Z84" s="382">
        <f t="shared" ca="1" si="18"/>
        <v>0</v>
      </c>
      <c r="AA84" s="382">
        <f t="shared" ca="1" si="18"/>
        <v>0</v>
      </c>
      <c r="AB84" s="382">
        <f t="shared" ca="1" si="18"/>
        <v>0</v>
      </c>
      <c r="AC84" s="382">
        <f t="shared" ca="1" si="18"/>
        <v>0</v>
      </c>
      <c r="AD84" s="382">
        <f t="shared" ca="1" si="18"/>
        <v>0</v>
      </c>
      <c r="AE84" s="382">
        <f t="shared" ca="1" si="18"/>
        <v>0</v>
      </c>
      <c r="AF84" s="382">
        <f t="shared" ca="1" si="18"/>
        <v>0</v>
      </c>
      <c r="AG84" s="382">
        <f t="shared" ca="1" si="18"/>
        <v>0</v>
      </c>
      <c r="AH84" s="382">
        <f t="shared" ca="1" si="18"/>
        <v>0</v>
      </c>
      <c r="AI84" s="382">
        <f t="shared" ca="1" si="18"/>
        <v>0</v>
      </c>
      <c r="AJ84" s="382">
        <f t="shared" ca="1" si="18"/>
        <v>0</v>
      </c>
      <c r="AK84" s="382">
        <f t="shared" ca="1" si="18"/>
        <v>0</v>
      </c>
      <c r="AL84" s="382">
        <f t="shared" ca="1" si="18"/>
        <v>0</v>
      </c>
      <c r="AM84" s="382">
        <f t="shared" ca="1" si="18"/>
        <v>0</v>
      </c>
      <c r="AN84" s="382">
        <f t="shared" ca="1" si="18"/>
        <v>0</v>
      </c>
      <c r="AO84" s="382">
        <f t="shared" ca="1" si="18"/>
        <v>0</v>
      </c>
      <c r="AP84" s="382">
        <f t="shared" ca="1" si="18"/>
        <v>0</v>
      </c>
      <c r="AQ84" s="382">
        <f t="shared" ca="1" si="18"/>
        <v>0</v>
      </c>
      <c r="AR84" s="382">
        <f t="shared" ca="1" si="18"/>
        <v>0</v>
      </c>
      <c r="AS84" s="382">
        <f t="shared" ca="1" si="18"/>
        <v>0</v>
      </c>
      <c r="AT84" s="382">
        <f t="shared" ca="1" si="18"/>
        <v>0</v>
      </c>
      <c r="AU84" s="382">
        <f t="shared" ca="1" si="18"/>
        <v>0</v>
      </c>
      <c r="AV84" s="382">
        <f t="shared" ca="1" si="18"/>
        <v>0</v>
      </c>
      <c r="AW84" s="382">
        <f t="shared" ca="1" si="18"/>
        <v>0</v>
      </c>
      <c r="AX84" s="382">
        <f t="shared" ca="1" si="18"/>
        <v>0</v>
      </c>
      <c r="AY84" s="382">
        <f t="shared" ca="1" si="18"/>
        <v>0</v>
      </c>
      <c r="AZ84" s="382">
        <f t="shared" ca="1" si="18"/>
        <v>0</v>
      </c>
      <c r="BA84" s="382">
        <f t="shared" ca="1" si="18"/>
        <v>0</v>
      </c>
      <c r="BB84" s="382">
        <f t="shared" ca="1" si="18"/>
        <v>0</v>
      </c>
      <c r="BC84" s="382">
        <f t="shared" ca="1" si="18"/>
        <v>0</v>
      </c>
      <c r="BD84" s="382">
        <f t="shared" ca="1" si="18"/>
        <v>0</v>
      </c>
      <c r="BE84" s="382">
        <f t="shared" ca="1" si="17"/>
        <v>0</v>
      </c>
      <c r="BF84" s="382">
        <f t="shared" ca="1" si="17"/>
        <v>0</v>
      </c>
      <c r="BG84" s="382">
        <f t="shared" ca="1" si="17"/>
        <v>0</v>
      </c>
      <c r="BH84" s="382">
        <f t="shared" ca="1" si="17"/>
        <v>0</v>
      </c>
      <c r="BI84" s="382">
        <f t="shared" ca="1" si="17"/>
        <v>0</v>
      </c>
      <c r="BJ84" s="382">
        <f t="shared" ca="1" si="17"/>
        <v>0</v>
      </c>
      <c r="BK84" s="382">
        <f t="shared" ca="1" si="17"/>
        <v>0</v>
      </c>
      <c r="BL84" s="382">
        <f t="shared" ca="1" si="17"/>
        <v>0</v>
      </c>
    </row>
    <row r="85" spans="1:64" s="379" customFormat="1" outlineLevel="1" x14ac:dyDescent="0.15">
      <c r="A85" s="395"/>
      <c r="B85" s="395">
        <f ca="1">SUMIFS(SAP_Spreadsheet!$G$11:$BN$11,SAP_Spreadsheet!$G$7:$BN$7,PnL_Speadsheet!$D85)</f>
        <v>0.28945468236051575</v>
      </c>
      <c r="C85" s="395">
        <f>SUMIFS(SAP_Spreadsheet!$G$10:$BN$10,SAP_Spreadsheet!$G$7:$BN$7,PnL_Speadsheet!$D85)</f>
        <v>1</v>
      </c>
      <c r="D85" s="396">
        <f t="shared" si="10"/>
        <v>23</v>
      </c>
      <c r="E85" s="382" t="str">
        <f t="shared" ca="1" si="16"/>
        <v/>
      </c>
      <c r="F85" s="382" t="str">
        <f t="shared" ca="1" si="16"/>
        <v/>
      </c>
      <c r="G85" s="382" t="str">
        <f t="shared" ca="1" si="16"/>
        <v/>
      </c>
      <c r="H85" s="382" t="str">
        <f t="shared" ca="1" si="16"/>
        <v/>
      </c>
      <c r="I85" s="382" t="str">
        <f t="shared" ca="1" si="16"/>
        <v/>
      </c>
      <c r="J85" s="382" t="str">
        <f t="shared" ca="1" si="16"/>
        <v/>
      </c>
      <c r="K85" s="382" t="str">
        <f t="shared" ca="1" si="16"/>
        <v/>
      </c>
      <c r="L85" s="382" t="str">
        <f t="shared" ca="1" si="16"/>
        <v/>
      </c>
      <c r="M85" s="382" t="str">
        <f t="shared" ca="1" si="16"/>
        <v/>
      </c>
      <c r="N85" s="382" t="str">
        <f t="shared" ca="1" si="16"/>
        <v/>
      </c>
      <c r="O85" s="382" t="str">
        <f t="shared" ca="1" si="16"/>
        <v/>
      </c>
      <c r="P85" s="382" t="str">
        <f t="shared" ca="1" si="16"/>
        <v/>
      </c>
      <c r="Q85" s="382" t="str">
        <f t="shared" ca="1" si="16"/>
        <v/>
      </c>
      <c r="R85" s="382" t="str">
        <f t="shared" ca="1" si="16"/>
        <v/>
      </c>
      <c r="S85" s="382" t="str">
        <f t="shared" ca="1" si="16"/>
        <v/>
      </c>
      <c r="T85" s="382" t="str">
        <f t="shared" ca="1" si="16"/>
        <v/>
      </c>
      <c r="U85" s="382" t="str">
        <f t="shared" ca="1" si="18"/>
        <v/>
      </c>
      <c r="V85" s="382" t="str">
        <f t="shared" ca="1" si="18"/>
        <v/>
      </c>
      <c r="W85" s="382" t="str">
        <f t="shared" ca="1" si="18"/>
        <v/>
      </c>
      <c r="X85" s="382" t="str">
        <f t="shared" ca="1" si="18"/>
        <v/>
      </c>
      <c r="Y85" s="382" t="str">
        <f t="shared" ca="1" si="18"/>
        <v/>
      </c>
      <c r="Z85" s="382" t="str">
        <f t="shared" ca="1" si="18"/>
        <v/>
      </c>
      <c r="AA85" s="382">
        <f t="shared" ca="1" si="18"/>
        <v>0</v>
      </c>
      <c r="AB85" s="382">
        <f t="shared" ca="1" si="18"/>
        <v>0</v>
      </c>
      <c r="AC85" s="382">
        <f t="shared" ca="1" si="18"/>
        <v>0</v>
      </c>
      <c r="AD85" s="382">
        <f t="shared" ca="1" si="18"/>
        <v>0</v>
      </c>
      <c r="AE85" s="382">
        <f t="shared" ca="1" si="18"/>
        <v>0</v>
      </c>
      <c r="AF85" s="382">
        <f t="shared" ca="1" si="18"/>
        <v>0</v>
      </c>
      <c r="AG85" s="382">
        <f t="shared" ca="1" si="18"/>
        <v>0</v>
      </c>
      <c r="AH85" s="382">
        <f t="shared" ca="1" si="18"/>
        <v>0</v>
      </c>
      <c r="AI85" s="382">
        <f t="shared" ca="1" si="18"/>
        <v>0</v>
      </c>
      <c r="AJ85" s="382">
        <f t="shared" ca="1" si="18"/>
        <v>0</v>
      </c>
      <c r="AK85" s="382">
        <f t="shared" ca="1" si="18"/>
        <v>0</v>
      </c>
      <c r="AL85" s="382">
        <f t="shared" ca="1" si="18"/>
        <v>0</v>
      </c>
      <c r="AM85" s="382">
        <f t="shared" ca="1" si="18"/>
        <v>0</v>
      </c>
      <c r="AN85" s="382">
        <f t="shared" ca="1" si="18"/>
        <v>0</v>
      </c>
      <c r="AO85" s="382">
        <f t="shared" ca="1" si="18"/>
        <v>0</v>
      </c>
      <c r="AP85" s="382">
        <f t="shared" ca="1" si="18"/>
        <v>0</v>
      </c>
      <c r="AQ85" s="382">
        <f t="shared" ca="1" si="18"/>
        <v>0</v>
      </c>
      <c r="AR85" s="382">
        <f t="shared" ca="1" si="18"/>
        <v>0</v>
      </c>
      <c r="AS85" s="382">
        <f t="shared" ca="1" si="18"/>
        <v>0</v>
      </c>
      <c r="AT85" s="382">
        <f t="shared" ca="1" si="18"/>
        <v>0</v>
      </c>
      <c r="AU85" s="382">
        <f t="shared" ca="1" si="18"/>
        <v>0</v>
      </c>
      <c r="AV85" s="382">
        <f t="shared" ca="1" si="18"/>
        <v>0</v>
      </c>
      <c r="AW85" s="382">
        <f t="shared" ca="1" si="18"/>
        <v>0</v>
      </c>
      <c r="AX85" s="382">
        <f t="shared" ca="1" si="18"/>
        <v>0</v>
      </c>
      <c r="AY85" s="382">
        <f t="shared" ca="1" si="18"/>
        <v>0</v>
      </c>
      <c r="AZ85" s="382">
        <f t="shared" ca="1" si="18"/>
        <v>0</v>
      </c>
      <c r="BA85" s="382">
        <f t="shared" ca="1" si="18"/>
        <v>0</v>
      </c>
      <c r="BB85" s="382">
        <f t="shared" ca="1" si="18"/>
        <v>0</v>
      </c>
      <c r="BC85" s="382">
        <f t="shared" ca="1" si="18"/>
        <v>0</v>
      </c>
      <c r="BD85" s="382">
        <f t="shared" ca="1" si="18"/>
        <v>0</v>
      </c>
      <c r="BE85" s="382">
        <f t="shared" ca="1" si="18"/>
        <v>0</v>
      </c>
      <c r="BF85" s="382">
        <f t="shared" ca="1" si="18"/>
        <v>0</v>
      </c>
      <c r="BG85" s="382">
        <f t="shared" ca="1" si="18"/>
        <v>0</v>
      </c>
      <c r="BH85" s="382">
        <f t="shared" ca="1" si="18"/>
        <v>0</v>
      </c>
      <c r="BI85" s="382">
        <f t="shared" ca="1" si="18"/>
        <v>0</v>
      </c>
      <c r="BJ85" s="382">
        <f t="shared" ca="1" si="18"/>
        <v>0</v>
      </c>
      <c r="BK85" s="382">
        <f t="shared" ca="1" si="18"/>
        <v>0</v>
      </c>
      <c r="BL85" s="382">
        <f t="shared" ca="1" si="18"/>
        <v>0</v>
      </c>
    </row>
    <row r="86" spans="1:64" s="379" customFormat="1" outlineLevel="1" x14ac:dyDescent="0.15">
      <c r="A86" s="395"/>
      <c r="B86" s="395">
        <f ca="1">SUMIFS(SAP_Spreadsheet!$G$11:$BN$11,SAP_Spreadsheet!$G$7:$BN$7,PnL_Speadsheet!$D86)</f>
        <v>0.27983597372785224</v>
      </c>
      <c r="C86" s="395">
        <f>SUMIFS(SAP_Spreadsheet!$G$10:$BN$10,SAP_Spreadsheet!$G$7:$BN$7,PnL_Speadsheet!$D86)</f>
        <v>1</v>
      </c>
      <c r="D86" s="396">
        <f t="shared" si="10"/>
        <v>24</v>
      </c>
      <c r="E86" s="382" t="str">
        <f t="shared" ca="1" si="16"/>
        <v/>
      </c>
      <c r="F86" s="382" t="str">
        <f t="shared" ca="1" si="16"/>
        <v/>
      </c>
      <c r="G86" s="382" t="str">
        <f t="shared" ca="1" si="16"/>
        <v/>
      </c>
      <c r="H86" s="382" t="str">
        <f t="shared" ca="1" si="16"/>
        <v/>
      </c>
      <c r="I86" s="382" t="str">
        <f t="shared" ca="1" si="16"/>
        <v/>
      </c>
      <c r="J86" s="382" t="str">
        <f t="shared" ca="1" si="16"/>
        <v/>
      </c>
      <c r="K86" s="382" t="str">
        <f t="shared" ca="1" si="16"/>
        <v/>
      </c>
      <c r="L86" s="382" t="str">
        <f t="shared" ca="1" si="16"/>
        <v/>
      </c>
      <c r="M86" s="382" t="str">
        <f t="shared" ca="1" si="16"/>
        <v/>
      </c>
      <c r="N86" s="382" t="str">
        <f t="shared" ca="1" si="16"/>
        <v/>
      </c>
      <c r="O86" s="382" t="str">
        <f t="shared" ca="1" si="16"/>
        <v/>
      </c>
      <c r="P86" s="382" t="str">
        <f t="shared" ca="1" si="16"/>
        <v/>
      </c>
      <c r="Q86" s="382" t="str">
        <f t="shared" ca="1" si="16"/>
        <v/>
      </c>
      <c r="R86" s="382" t="str">
        <f t="shared" ca="1" si="16"/>
        <v/>
      </c>
      <c r="S86" s="382" t="str">
        <f t="shared" ca="1" si="16"/>
        <v/>
      </c>
      <c r="T86" s="382" t="str">
        <f t="shared" ca="1" si="16"/>
        <v/>
      </c>
      <c r="U86" s="382" t="str">
        <f t="shared" ca="1" si="18"/>
        <v/>
      </c>
      <c r="V86" s="382" t="str">
        <f t="shared" ca="1" si="18"/>
        <v/>
      </c>
      <c r="W86" s="382" t="str">
        <f t="shared" ca="1" si="18"/>
        <v/>
      </c>
      <c r="X86" s="382" t="str">
        <f t="shared" ca="1" si="18"/>
        <v/>
      </c>
      <c r="Y86" s="382" t="str">
        <f t="shared" ca="1" si="18"/>
        <v/>
      </c>
      <c r="Z86" s="382" t="str">
        <f t="shared" ca="1" si="18"/>
        <v/>
      </c>
      <c r="AA86" s="382" t="str">
        <f t="shared" ca="1" si="18"/>
        <v/>
      </c>
      <c r="AB86" s="382">
        <f t="shared" ca="1" si="18"/>
        <v>0</v>
      </c>
      <c r="AC86" s="382">
        <f t="shared" ca="1" si="18"/>
        <v>0</v>
      </c>
      <c r="AD86" s="382">
        <f t="shared" ca="1" si="18"/>
        <v>0</v>
      </c>
      <c r="AE86" s="382">
        <f t="shared" ca="1" si="18"/>
        <v>0</v>
      </c>
      <c r="AF86" s="382">
        <f t="shared" ca="1" si="18"/>
        <v>0</v>
      </c>
      <c r="AG86" s="382">
        <f t="shared" ca="1" si="18"/>
        <v>0</v>
      </c>
      <c r="AH86" s="382">
        <f t="shared" ca="1" si="18"/>
        <v>0</v>
      </c>
      <c r="AI86" s="382">
        <f t="shared" ca="1" si="18"/>
        <v>0</v>
      </c>
      <c r="AJ86" s="382">
        <f t="shared" ca="1" si="18"/>
        <v>0</v>
      </c>
      <c r="AK86" s="382">
        <f t="shared" ca="1" si="18"/>
        <v>0</v>
      </c>
      <c r="AL86" s="382">
        <f t="shared" ca="1" si="18"/>
        <v>0</v>
      </c>
      <c r="AM86" s="382">
        <f t="shared" ca="1" si="18"/>
        <v>0</v>
      </c>
      <c r="AN86" s="382">
        <f t="shared" ca="1" si="18"/>
        <v>0</v>
      </c>
      <c r="AO86" s="382">
        <f t="shared" ca="1" si="18"/>
        <v>0</v>
      </c>
      <c r="AP86" s="382">
        <f t="shared" ca="1" si="18"/>
        <v>0</v>
      </c>
      <c r="AQ86" s="382">
        <f t="shared" ca="1" si="18"/>
        <v>0</v>
      </c>
      <c r="AR86" s="382">
        <f t="shared" ca="1" si="18"/>
        <v>0</v>
      </c>
      <c r="AS86" s="382">
        <f t="shared" ca="1" si="18"/>
        <v>0</v>
      </c>
      <c r="AT86" s="382">
        <f t="shared" ca="1" si="18"/>
        <v>0</v>
      </c>
      <c r="AU86" s="382">
        <f t="shared" ca="1" si="18"/>
        <v>0</v>
      </c>
      <c r="AV86" s="382">
        <f t="shared" ca="1" si="18"/>
        <v>0</v>
      </c>
      <c r="AW86" s="382">
        <f t="shared" ca="1" si="18"/>
        <v>0</v>
      </c>
      <c r="AX86" s="382">
        <f t="shared" ca="1" si="18"/>
        <v>0</v>
      </c>
      <c r="AY86" s="382">
        <f t="shared" ca="1" si="18"/>
        <v>0</v>
      </c>
      <c r="AZ86" s="382">
        <f t="shared" ca="1" si="18"/>
        <v>0</v>
      </c>
      <c r="BA86" s="382">
        <f t="shared" ca="1" si="18"/>
        <v>0</v>
      </c>
      <c r="BB86" s="382">
        <f t="shared" ca="1" si="18"/>
        <v>0</v>
      </c>
      <c r="BC86" s="382">
        <f t="shared" ca="1" si="18"/>
        <v>0</v>
      </c>
      <c r="BD86" s="382">
        <f t="shared" ca="1" si="18"/>
        <v>0</v>
      </c>
      <c r="BE86" s="382">
        <f t="shared" ca="1" si="18"/>
        <v>0</v>
      </c>
      <c r="BF86" s="382">
        <f t="shared" ca="1" si="18"/>
        <v>0</v>
      </c>
      <c r="BG86" s="382">
        <f t="shared" ca="1" si="18"/>
        <v>0</v>
      </c>
      <c r="BH86" s="382">
        <f t="shared" ca="1" si="18"/>
        <v>0</v>
      </c>
      <c r="BI86" s="382">
        <f t="shared" ca="1" si="18"/>
        <v>0</v>
      </c>
      <c r="BJ86" s="382">
        <f t="shared" ca="1" si="18"/>
        <v>0</v>
      </c>
      <c r="BK86" s="382">
        <f t="shared" ca="1" si="18"/>
        <v>0</v>
      </c>
      <c r="BL86" s="382">
        <f t="shared" ca="1" si="18"/>
        <v>0</v>
      </c>
    </row>
    <row r="87" spans="1:64" s="379" customFormat="1" outlineLevel="1" x14ac:dyDescent="0.15">
      <c r="A87" s="395"/>
      <c r="B87" s="395">
        <f ca="1">SUMIFS(SAP_Spreadsheet!$G$11:$BN$11,SAP_Spreadsheet!$G$7:$BN$7,PnL_Speadsheet!$D87)</f>
        <v>0.27402738562425594</v>
      </c>
      <c r="C87" s="395">
        <f>SUMIFS(SAP_Spreadsheet!$G$10:$BN$10,SAP_Spreadsheet!$G$7:$BN$7,PnL_Speadsheet!$D87)</f>
        <v>1</v>
      </c>
      <c r="D87" s="396">
        <f t="shared" si="10"/>
        <v>25</v>
      </c>
      <c r="E87" s="382" t="str">
        <f t="shared" ca="1" si="16"/>
        <v/>
      </c>
      <c r="F87" s="382" t="str">
        <f t="shared" ca="1" si="16"/>
        <v/>
      </c>
      <c r="G87" s="382" t="str">
        <f t="shared" ca="1" si="16"/>
        <v/>
      </c>
      <c r="H87" s="382" t="str">
        <f t="shared" ca="1" si="16"/>
        <v/>
      </c>
      <c r="I87" s="382" t="str">
        <f t="shared" ca="1" si="16"/>
        <v/>
      </c>
      <c r="J87" s="382" t="str">
        <f t="shared" ca="1" si="16"/>
        <v/>
      </c>
      <c r="K87" s="382" t="str">
        <f t="shared" ca="1" si="16"/>
        <v/>
      </c>
      <c r="L87" s="382" t="str">
        <f t="shared" ca="1" si="16"/>
        <v/>
      </c>
      <c r="M87" s="382" t="str">
        <f t="shared" ca="1" si="16"/>
        <v/>
      </c>
      <c r="N87" s="382" t="str">
        <f t="shared" ca="1" si="16"/>
        <v/>
      </c>
      <c r="O87" s="382" t="str">
        <f t="shared" ca="1" si="16"/>
        <v/>
      </c>
      <c r="P87" s="382" t="str">
        <f t="shared" ca="1" si="16"/>
        <v/>
      </c>
      <c r="Q87" s="382" t="str">
        <f t="shared" ca="1" si="16"/>
        <v/>
      </c>
      <c r="R87" s="382" t="str">
        <f t="shared" ca="1" si="16"/>
        <v/>
      </c>
      <c r="S87" s="382" t="str">
        <f t="shared" ca="1" si="16"/>
        <v/>
      </c>
      <c r="T87" s="382" t="str">
        <f t="shared" ca="1" si="16"/>
        <v/>
      </c>
      <c r="U87" s="382" t="str">
        <f t="shared" ca="1" si="18"/>
        <v/>
      </c>
      <c r="V87" s="382" t="str">
        <f t="shared" ca="1" si="18"/>
        <v/>
      </c>
      <c r="W87" s="382" t="str">
        <f t="shared" ca="1" si="18"/>
        <v/>
      </c>
      <c r="X87" s="382" t="str">
        <f t="shared" ca="1" si="18"/>
        <v/>
      </c>
      <c r="Y87" s="382" t="str">
        <f t="shared" ca="1" si="18"/>
        <v/>
      </c>
      <c r="Z87" s="382" t="str">
        <f t="shared" ca="1" si="18"/>
        <v/>
      </c>
      <c r="AA87" s="382" t="str">
        <f t="shared" ca="1" si="18"/>
        <v/>
      </c>
      <c r="AB87" s="382" t="str">
        <f t="shared" ca="1" si="18"/>
        <v/>
      </c>
      <c r="AC87" s="382">
        <f t="shared" ca="1" si="18"/>
        <v>0</v>
      </c>
      <c r="AD87" s="382">
        <f t="shared" ca="1" si="18"/>
        <v>0</v>
      </c>
      <c r="AE87" s="382">
        <f t="shared" ca="1" si="18"/>
        <v>0</v>
      </c>
      <c r="AF87" s="382">
        <f t="shared" ca="1" si="18"/>
        <v>0</v>
      </c>
      <c r="AG87" s="382">
        <f t="shared" ca="1" si="18"/>
        <v>0</v>
      </c>
      <c r="AH87" s="382">
        <f t="shared" ca="1" si="18"/>
        <v>0</v>
      </c>
      <c r="AI87" s="382">
        <f t="shared" ca="1" si="18"/>
        <v>0</v>
      </c>
      <c r="AJ87" s="382">
        <f t="shared" ca="1" si="18"/>
        <v>0</v>
      </c>
      <c r="AK87" s="382">
        <f t="shared" ca="1" si="18"/>
        <v>0</v>
      </c>
      <c r="AL87" s="382">
        <f t="shared" ca="1" si="18"/>
        <v>0</v>
      </c>
      <c r="AM87" s="382">
        <f t="shared" ca="1" si="18"/>
        <v>0</v>
      </c>
      <c r="AN87" s="382">
        <f t="shared" ca="1" si="18"/>
        <v>0</v>
      </c>
      <c r="AO87" s="382">
        <f t="shared" ca="1" si="18"/>
        <v>0</v>
      </c>
      <c r="AP87" s="382">
        <f t="shared" ca="1" si="18"/>
        <v>0</v>
      </c>
      <c r="AQ87" s="382">
        <f t="shared" ca="1" si="18"/>
        <v>0</v>
      </c>
      <c r="AR87" s="382">
        <f t="shared" ca="1" si="18"/>
        <v>0</v>
      </c>
      <c r="AS87" s="382">
        <f t="shared" ca="1" si="18"/>
        <v>0</v>
      </c>
      <c r="AT87" s="382">
        <f t="shared" ca="1" si="18"/>
        <v>0</v>
      </c>
      <c r="AU87" s="382">
        <f t="shared" ca="1" si="18"/>
        <v>0</v>
      </c>
      <c r="AV87" s="382">
        <f t="shared" ca="1" si="18"/>
        <v>0</v>
      </c>
      <c r="AW87" s="382">
        <f t="shared" ca="1" si="18"/>
        <v>0</v>
      </c>
      <c r="AX87" s="382">
        <f t="shared" ca="1" si="18"/>
        <v>0</v>
      </c>
      <c r="AY87" s="382">
        <f t="shared" ca="1" si="18"/>
        <v>0</v>
      </c>
      <c r="AZ87" s="382">
        <f t="shared" ca="1" si="18"/>
        <v>0</v>
      </c>
      <c r="BA87" s="382">
        <f t="shared" ca="1" si="18"/>
        <v>0</v>
      </c>
      <c r="BB87" s="382">
        <f t="shared" ca="1" si="18"/>
        <v>0</v>
      </c>
      <c r="BC87" s="382">
        <f t="shared" ca="1" si="18"/>
        <v>0</v>
      </c>
      <c r="BD87" s="382">
        <f t="shared" ca="1" si="18"/>
        <v>0</v>
      </c>
      <c r="BE87" s="382">
        <f t="shared" ca="1" si="18"/>
        <v>0</v>
      </c>
      <c r="BF87" s="382">
        <f t="shared" ca="1" si="18"/>
        <v>0</v>
      </c>
      <c r="BG87" s="382">
        <f t="shared" ca="1" si="18"/>
        <v>0</v>
      </c>
      <c r="BH87" s="382">
        <f t="shared" ca="1" si="18"/>
        <v>0</v>
      </c>
      <c r="BI87" s="382">
        <f t="shared" ca="1" si="18"/>
        <v>0</v>
      </c>
      <c r="BJ87" s="382">
        <f t="shared" ca="1" si="18"/>
        <v>0</v>
      </c>
      <c r="BK87" s="382">
        <f t="shared" ca="1" si="18"/>
        <v>0</v>
      </c>
      <c r="BL87" s="382">
        <f t="shared" ca="1" si="18"/>
        <v>0</v>
      </c>
    </row>
    <row r="88" spans="1:64" s="379" customFormat="1" outlineLevel="1" x14ac:dyDescent="0.15">
      <c r="A88" s="395"/>
      <c r="B88" s="395">
        <f ca="1">SUMIFS(SAP_Spreadsheet!$G$11:$BN$11,SAP_Spreadsheet!$G$7:$BN$7,PnL_Speadsheet!$D88)</f>
        <v>0.26821879752065964</v>
      </c>
      <c r="C88" s="395">
        <f>SUMIFS(SAP_Spreadsheet!$G$10:$BN$10,SAP_Spreadsheet!$G$7:$BN$7,PnL_Speadsheet!$D88)</f>
        <v>1</v>
      </c>
      <c r="D88" s="396">
        <f t="shared" si="10"/>
        <v>26</v>
      </c>
      <c r="E88" s="382" t="str">
        <f t="shared" ca="1" si="16"/>
        <v/>
      </c>
      <c r="F88" s="382" t="str">
        <f t="shared" ca="1" si="16"/>
        <v/>
      </c>
      <c r="G88" s="382" t="str">
        <f t="shared" ca="1" si="16"/>
        <v/>
      </c>
      <c r="H88" s="382" t="str">
        <f t="shared" ca="1" si="16"/>
        <v/>
      </c>
      <c r="I88" s="382" t="str">
        <f t="shared" ca="1" si="16"/>
        <v/>
      </c>
      <c r="J88" s="382" t="str">
        <f t="shared" ca="1" si="16"/>
        <v/>
      </c>
      <c r="K88" s="382" t="str">
        <f t="shared" ca="1" si="16"/>
        <v/>
      </c>
      <c r="L88" s="382" t="str">
        <f t="shared" ca="1" si="16"/>
        <v/>
      </c>
      <c r="M88" s="382" t="str">
        <f t="shared" ca="1" si="16"/>
        <v/>
      </c>
      <c r="N88" s="382" t="str">
        <f t="shared" ca="1" si="16"/>
        <v/>
      </c>
      <c r="O88" s="382" t="str">
        <f t="shared" ca="1" si="16"/>
        <v/>
      </c>
      <c r="P88" s="382" t="str">
        <f t="shared" ca="1" si="16"/>
        <v/>
      </c>
      <c r="Q88" s="382" t="str">
        <f t="shared" ca="1" si="16"/>
        <v/>
      </c>
      <c r="R88" s="382" t="str">
        <f t="shared" ca="1" si="16"/>
        <v/>
      </c>
      <c r="S88" s="382" t="str">
        <f t="shared" ca="1" si="16"/>
        <v/>
      </c>
      <c r="T88" s="382" t="str">
        <f t="shared" ca="1" si="16"/>
        <v/>
      </c>
      <c r="U88" s="382" t="str">
        <f t="shared" ca="1" si="18"/>
        <v/>
      </c>
      <c r="V88" s="382" t="str">
        <f t="shared" ca="1" si="18"/>
        <v/>
      </c>
      <c r="W88" s="382" t="str">
        <f t="shared" ca="1" si="18"/>
        <v/>
      </c>
      <c r="X88" s="382" t="str">
        <f t="shared" ca="1" si="18"/>
        <v/>
      </c>
      <c r="Y88" s="382" t="str">
        <f t="shared" ca="1" si="18"/>
        <v/>
      </c>
      <c r="Z88" s="382" t="str">
        <f t="shared" ca="1" si="18"/>
        <v/>
      </c>
      <c r="AA88" s="382" t="str">
        <f t="shared" ca="1" si="18"/>
        <v/>
      </c>
      <c r="AB88" s="382" t="str">
        <f t="shared" ca="1" si="18"/>
        <v/>
      </c>
      <c r="AC88" s="382" t="str">
        <f t="shared" ca="1" si="18"/>
        <v/>
      </c>
      <c r="AD88" s="382">
        <f t="shared" ca="1" si="18"/>
        <v>0</v>
      </c>
      <c r="AE88" s="382">
        <f t="shared" ca="1" si="18"/>
        <v>0</v>
      </c>
      <c r="AF88" s="382">
        <f t="shared" ca="1" si="18"/>
        <v>0</v>
      </c>
      <c r="AG88" s="382">
        <f t="shared" ca="1" si="18"/>
        <v>0</v>
      </c>
      <c r="AH88" s="382">
        <f t="shared" ca="1" si="18"/>
        <v>0</v>
      </c>
      <c r="AI88" s="382">
        <f t="shared" ca="1" si="18"/>
        <v>0</v>
      </c>
      <c r="AJ88" s="382">
        <f t="shared" ca="1" si="18"/>
        <v>0</v>
      </c>
      <c r="AK88" s="382">
        <f t="shared" ca="1" si="18"/>
        <v>0</v>
      </c>
      <c r="AL88" s="382">
        <f t="shared" ca="1" si="18"/>
        <v>0</v>
      </c>
      <c r="AM88" s="382">
        <f t="shared" ca="1" si="18"/>
        <v>0</v>
      </c>
      <c r="AN88" s="382">
        <f t="shared" ca="1" si="18"/>
        <v>0</v>
      </c>
      <c r="AO88" s="382">
        <f t="shared" ca="1" si="18"/>
        <v>0</v>
      </c>
      <c r="AP88" s="382">
        <f t="shared" ca="1" si="18"/>
        <v>0</v>
      </c>
      <c r="AQ88" s="382">
        <f t="shared" ca="1" si="18"/>
        <v>0</v>
      </c>
      <c r="AR88" s="382">
        <f t="shared" ca="1" si="18"/>
        <v>0</v>
      </c>
      <c r="AS88" s="382">
        <f t="shared" ca="1" si="18"/>
        <v>0</v>
      </c>
      <c r="AT88" s="382">
        <f t="shared" ca="1" si="18"/>
        <v>0</v>
      </c>
      <c r="AU88" s="382">
        <f t="shared" ca="1" si="18"/>
        <v>0</v>
      </c>
      <c r="AV88" s="382">
        <f t="shared" ca="1" si="18"/>
        <v>0</v>
      </c>
      <c r="AW88" s="382">
        <f t="shared" ca="1" si="18"/>
        <v>0</v>
      </c>
      <c r="AX88" s="382">
        <f t="shared" ca="1" si="18"/>
        <v>0</v>
      </c>
      <c r="AY88" s="382">
        <f t="shared" ca="1" si="18"/>
        <v>0</v>
      </c>
      <c r="AZ88" s="382">
        <f t="shared" ca="1" si="18"/>
        <v>0</v>
      </c>
      <c r="BA88" s="382">
        <f t="shared" ca="1" si="18"/>
        <v>0</v>
      </c>
      <c r="BB88" s="382">
        <f t="shared" ca="1" si="18"/>
        <v>0</v>
      </c>
      <c r="BC88" s="382">
        <f t="shared" ca="1" si="18"/>
        <v>0</v>
      </c>
      <c r="BD88" s="382">
        <f t="shared" ca="1" si="18"/>
        <v>0</v>
      </c>
      <c r="BE88" s="382">
        <f t="shared" ca="1" si="18"/>
        <v>0</v>
      </c>
      <c r="BF88" s="382">
        <f t="shared" ca="1" si="18"/>
        <v>0</v>
      </c>
      <c r="BG88" s="382">
        <f t="shared" ca="1" si="18"/>
        <v>0</v>
      </c>
      <c r="BH88" s="382">
        <f t="shared" ca="1" si="18"/>
        <v>0</v>
      </c>
      <c r="BI88" s="382">
        <f t="shared" ca="1" si="18"/>
        <v>0</v>
      </c>
      <c r="BJ88" s="382">
        <f t="shared" ca="1" si="18"/>
        <v>0</v>
      </c>
      <c r="BK88" s="382">
        <f t="shared" ca="1" si="18"/>
        <v>0</v>
      </c>
      <c r="BL88" s="382">
        <f t="shared" ca="1" si="18"/>
        <v>0</v>
      </c>
    </row>
    <row r="89" spans="1:64" s="379" customFormat="1" outlineLevel="1" x14ac:dyDescent="0.15">
      <c r="A89" s="395"/>
      <c r="B89" s="395">
        <f ca="1">SUMIFS(SAP_Spreadsheet!$G$11:$BN$11,SAP_Spreadsheet!$G$7:$BN$7,PnL_Speadsheet!$D89)</f>
        <v>0.26241020941706333</v>
      </c>
      <c r="C89" s="395">
        <f>SUMIFS(SAP_Spreadsheet!$G$10:$BN$10,SAP_Spreadsheet!$G$7:$BN$7,PnL_Speadsheet!$D89)</f>
        <v>1</v>
      </c>
      <c r="D89" s="396">
        <f t="shared" si="10"/>
        <v>27</v>
      </c>
      <c r="E89" s="382" t="str">
        <f t="shared" ca="1" si="16"/>
        <v/>
      </c>
      <c r="F89" s="382" t="str">
        <f t="shared" ca="1" si="16"/>
        <v/>
      </c>
      <c r="G89" s="382" t="str">
        <f t="shared" ca="1" si="16"/>
        <v/>
      </c>
      <c r="H89" s="382" t="str">
        <f t="shared" ca="1" si="16"/>
        <v/>
      </c>
      <c r="I89" s="382" t="str">
        <f t="shared" ca="1" si="16"/>
        <v/>
      </c>
      <c r="J89" s="382" t="str">
        <f t="shared" ca="1" si="16"/>
        <v/>
      </c>
      <c r="K89" s="382" t="str">
        <f t="shared" ca="1" si="16"/>
        <v/>
      </c>
      <c r="L89" s="382" t="str">
        <f t="shared" ca="1" si="16"/>
        <v/>
      </c>
      <c r="M89" s="382" t="str">
        <f t="shared" ca="1" si="16"/>
        <v/>
      </c>
      <c r="N89" s="382" t="str">
        <f t="shared" ca="1" si="16"/>
        <v/>
      </c>
      <c r="O89" s="382" t="str">
        <f t="shared" ca="1" si="16"/>
        <v/>
      </c>
      <c r="P89" s="382" t="str">
        <f t="shared" ca="1" si="16"/>
        <v/>
      </c>
      <c r="Q89" s="382" t="str">
        <f t="shared" ca="1" si="16"/>
        <v/>
      </c>
      <c r="R89" s="382" t="str">
        <f t="shared" ca="1" si="16"/>
        <v/>
      </c>
      <c r="S89" s="382" t="str">
        <f t="shared" ca="1" si="16"/>
        <v/>
      </c>
      <c r="T89" s="382" t="str">
        <f t="shared" ca="1" si="16"/>
        <v/>
      </c>
      <c r="U89" s="382" t="str">
        <f t="shared" ca="1" si="18"/>
        <v/>
      </c>
      <c r="V89" s="382" t="str">
        <f t="shared" ca="1" si="18"/>
        <v/>
      </c>
      <c r="W89" s="382" t="str">
        <f t="shared" ca="1" si="18"/>
        <v/>
      </c>
      <c r="X89" s="382" t="str">
        <f t="shared" ca="1" si="18"/>
        <v/>
      </c>
      <c r="Y89" s="382" t="str">
        <f t="shared" ca="1" si="18"/>
        <v/>
      </c>
      <c r="Z89" s="382" t="str">
        <f t="shared" ca="1" si="18"/>
        <v/>
      </c>
      <c r="AA89" s="382" t="str">
        <f t="shared" ca="1" si="18"/>
        <v/>
      </c>
      <c r="AB89" s="382" t="str">
        <f t="shared" ca="1" si="18"/>
        <v/>
      </c>
      <c r="AC89" s="382" t="str">
        <f t="shared" ca="1" si="18"/>
        <v/>
      </c>
      <c r="AD89" s="382" t="str">
        <f t="shared" ca="1" si="18"/>
        <v/>
      </c>
      <c r="AE89" s="382">
        <f t="shared" ca="1" si="18"/>
        <v>0</v>
      </c>
      <c r="AF89" s="382">
        <f t="shared" ca="1" si="18"/>
        <v>0</v>
      </c>
      <c r="AG89" s="382">
        <f t="shared" ca="1" si="18"/>
        <v>0</v>
      </c>
      <c r="AH89" s="382">
        <f t="shared" ca="1" si="18"/>
        <v>0</v>
      </c>
      <c r="AI89" s="382">
        <f t="shared" ca="1" si="18"/>
        <v>0</v>
      </c>
      <c r="AJ89" s="382">
        <f t="shared" ca="1" si="18"/>
        <v>0</v>
      </c>
      <c r="AK89" s="382">
        <f t="shared" ca="1" si="18"/>
        <v>0</v>
      </c>
      <c r="AL89" s="382">
        <f t="shared" ca="1" si="18"/>
        <v>0</v>
      </c>
      <c r="AM89" s="382">
        <f t="shared" ca="1" si="18"/>
        <v>0</v>
      </c>
      <c r="AN89" s="382">
        <f t="shared" ca="1" si="18"/>
        <v>0</v>
      </c>
      <c r="AO89" s="382">
        <f t="shared" ca="1" si="18"/>
        <v>0</v>
      </c>
      <c r="AP89" s="382">
        <f t="shared" ca="1" si="18"/>
        <v>0</v>
      </c>
      <c r="AQ89" s="382">
        <f t="shared" ca="1" si="18"/>
        <v>0</v>
      </c>
      <c r="AR89" s="382">
        <f t="shared" ca="1" si="18"/>
        <v>0</v>
      </c>
      <c r="AS89" s="382">
        <f t="shared" ca="1" si="18"/>
        <v>0</v>
      </c>
      <c r="AT89" s="382">
        <f t="shared" ca="1" si="18"/>
        <v>0</v>
      </c>
      <c r="AU89" s="382">
        <f t="shared" ca="1" si="18"/>
        <v>0</v>
      </c>
      <c r="AV89" s="382">
        <f t="shared" ca="1" si="18"/>
        <v>0</v>
      </c>
      <c r="AW89" s="382">
        <f t="shared" ca="1" si="18"/>
        <v>0</v>
      </c>
      <c r="AX89" s="382">
        <f t="shared" ca="1" si="18"/>
        <v>0</v>
      </c>
      <c r="AY89" s="382">
        <f t="shared" ca="1" si="18"/>
        <v>0</v>
      </c>
      <c r="AZ89" s="382">
        <f t="shared" ca="1" si="18"/>
        <v>0</v>
      </c>
      <c r="BA89" s="382">
        <f t="shared" ca="1" si="18"/>
        <v>0</v>
      </c>
      <c r="BB89" s="382">
        <f t="shared" ca="1" si="18"/>
        <v>0</v>
      </c>
      <c r="BC89" s="382">
        <f t="shared" ca="1" si="18"/>
        <v>0</v>
      </c>
      <c r="BD89" s="382">
        <f t="shared" ca="1" si="18"/>
        <v>0</v>
      </c>
      <c r="BE89" s="382">
        <f t="shared" ca="1" si="18"/>
        <v>0</v>
      </c>
      <c r="BF89" s="382">
        <f t="shared" ca="1" si="18"/>
        <v>0</v>
      </c>
      <c r="BG89" s="382">
        <f t="shared" ca="1" si="18"/>
        <v>0</v>
      </c>
      <c r="BH89" s="382">
        <f t="shared" ca="1" si="18"/>
        <v>0</v>
      </c>
      <c r="BI89" s="382">
        <f t="shared" ca="1" si="18"/>
        <v>0</v>
      </c>
      <c r="BJ89" s="382">
        <f t="shared" ca="1" si="18"/>
        <v>0</v>
      </c>
      <c r="BK89" s="382">
        <f t="shared" ca="1" si="18"/>
        <v>0</v>
      </c>
      <c r="BL89" s="382">
        <f t="shared" ref="BL89:DR93" ca="1" si="19">IF($D89&gt;$C$61,0,IF($D89&gt;BL$5,"",OFFSET(BL$62,0,-($D89-1))))</f>
        <v>0</v>
      </c>
    </row>
    <row r="90" spans="1:64" s="379" customFormat="1" outlineLevel="1" x14ac:dyDescent="0.15">
      <c r="A90" s="395"/>
      <c r="B90" s="395">
        <f ca="1">SUMIFS(SAP_Spreadsheet!$G$11:$BN$11,SAP_Spreadsheet!$G$7:$BN$7,PnL_Speadsheet!$D90)</f>
        <v>0.25660162131346703</v>
      </c>
      <c r="C90" s="395">
        <f>SUMIFS(SAP_Spreadsheet!$G$10:$BN$10,SAP_Spreadsheet!$G$7:$BN$7,PnL_Speadsheet!$D90)</f>
        <v>1</v>
      </c>
      <c r="D90" s="396">
        <f t="shared" si="10"/>
        <v>28</v>
      </c>
      <c r="E90" s="382" t="str">
        <f t="shared" ca="1" si="16"/>
        <v/>
      </c>
      <c r="F90" s="382" t="str">
        <f t="shared" ca="1" si="16"/>
        <v/>
      </c>
      <c r="G90" s="382" t="str">
        <f t="shared" ca="1" si="16"/>
        <v/>
      </c>
      <c r="H90" s="382" t="str">
        <f t="shared" ca="1" si="16"/>
        <v/>
      </c>
      <c r="I90" s="382" t="str">
        <f t="shared" ca="1" si="16"/>
        <v/>
      </c>
      <c r="J90" s="382" t="str">
        <f t="shared" ca="1" si="16"/>
        <v/>
      </c>
      <c r="K90" s="382" t="str">
        <f t="shared" ca="1" si="16"/>
        <v/>
      </c>
      <c r="L90" s="382" t="str">
        <f t="shared" ca="1" si="16"/>
        <v/>
      </c>
      <c r="M90" s="382" t="str">
        <f t="shared" ca="1" si="16"/>
        <v/>
      </c>
      <c r="N90" s="382" t="str">
        <f t="shared" ca="1" si="16"/>
        <v/>
      </c>
      <c r="O90" s="382" t="str">
        <f t="shared" ca="1" si="16"/>
        <v/>
      </c>
      <c r="P90" s="382" t="str">
        <f t="shared" ca="1" si="16"/>
        <v/>
      </c>
      <c r="Q90" s="382" t="str">
        <f t="shared" ca="1" si="16"/>
        <v/>
      </c>
      <c r="R90" s="382" t="str">
        <f t="shared" ca="1" si="16"/>
        <v/>
      </c>
      <c r="S90" s="382" t="str">
        <f t="shared" ca="1" si="16"/>
        <v/>
      </c>
      <c r="T90" s="382" t="str">
        <f t="shared" ca="1" si="16"/>
        <v/>
      </c>
      <c r="U90" s="382" t="str">
        <f t="shared" ref="U90:CA94" ca="1" si="20">IF($D90&gt;$C$61,0,IF($D90&gt;U$5,"",OFFSET(U$62,0,-($D90-1))))</f>
        <v/>
      </c>
      <c r="V90" s="382" t="str">
        <f t="shared" ca="1" si="20"/>
        <v/>
      </c>
      <c r="W90" s="382" t="str">
        <f t="shared" ca="1" si="20"/>
        <v/>
      </c>
      <c r="X90" s="382" t="str">
        <f t="shared" ca="1" si="20"/>
        <v/>
      </c>
      <c r="Y90" s="382" t="str">
        <f t="shared" ca="1" si="20"/>
        <v/>
      </c>
      <c r="Z90" s="382" t="str">
        <f t="shared" ca="1" si="20"/>
        <v/>
      </c>
      <c r="AA90" s="382" t="str">
        <f t="shared" ca="1" si="20"/>
        <v/>
      </c>
      <c r="AB90" s="382" t="str">
        <f t="shared" ca="1" si="20"/>
        <v/>
      </c>
      <c r="AC90" s="382" t="str">
        <f t="shared" ca="1" si="20"/>
        <v/>
      </c>
      <c r="AD90" s="382" t="str">
        <f t="shared" ca="1" si="20"/>
        <v/>
      </c>
      <c r="AE90" s="382" t="str">
        <f t="shared" ca="1" si="20"/>
        <v/>
      </c>
      <c r="AF90" s="382">
        <f t="shared" ca="1" si="20"/>
        <v>0</v>
      </c>
      <c r="AG90" s="382">
        <f t="shared" ca="1" si="20"/>
        <v>0</v>
      </c>
      <c r="AH90" s="382">
        <f t="shared" ca="1" si="20"/>
        <v>0</v>
      </c>
      <c r="AI90" s="382">
        <f t="shared" ca="1" si="20"/>
        <v>0</v>
      </c>
      <c r="AJ90" s="382">
        <f t="shared" ca="1" si="20"/>
        <v>0</v>
      </c>
      <c r="AK90" s="382">
        <f t="shared" ca="1" si="20"/>
        <v>0</v>
      </c>
      <c r="AL90" s="382">
        <f t="shared" ca="1" si="20"/>
        <v>0</v>
      </c>
      <c r="AM90" s="382">
        <f t="shared" ca="1" si="20"/>
        <v>0</v>
      </c>
      <c r="AN90" s="382">
        <f t="shared" ca="1" si="20"/>
        <v>0</v>
      </c>
      <c r="AO90" s="382">
        <f t="shared" ca="1" si="20"/>
        <v>0</v>
      </c>
      <c r="AP90" s="382">
        <f t="shared" ca="1" si="20"/>
        <v>0</v>
      </c>
      <c r="AQ90" s="382">
        <f t="shared" ca="1" si="20"/>
        <v>0</v>
      </c>
      <c r="AR90" s="382">
        <f t="shared" ca="1" si="20"/>
        <v>0</v>
      </c>
      <c r="AS90" s="382">
        <f t="shared" ca="1" si="20"/>
        <v>0</v>
      </c>
      <c r="AT90" s="382">
        <f t="shared" ca="1" si="20"/>
        <v>0</v>
      </c>
      <c r="AU90" s="382">
        <f t="shared" ca="1" si="20"/>
        <v>0</v>
      </c>
      <c r="AV90" s="382">
        <f t="shared" ca="1" si="20"/>
        <v>0</v>
      </c>
      <c r="AW90" s="382">
        <f t="shared" ca="1" si="20"/>
        <v>0</v>
      </c>
      <c r="AX90" s="382">
        <f t="shared" ca="1" si="20"/>
        <v>0</v>
      </c>
      <c r="AY90" s="382">
        <f t="shared" ca="1" si="20"/>
        <v>0</v>
      </c>
      <c r="AZ90" s="382">
        <f t="shared" ca="1" si="20"/>
        <v>0</v>
      </c>
      <c r="BA90" s="382">
        <f t="shared" ca="1" si="20"/>
        <v>0</v>
      </c>
      <c r="BB90" s="382">
        <f t="shared" ca="1" si="20"/>
        <v>0</v>
      </c>
      <c r="BC90" s="382">
        <f t="shared" ca="1" si="20"/>
        <v>0</v>
      </c>
      <c r="BD90" s="382">
        <f t="shared" ca="1" si="20"/>
        <v>0</v>
      </c>
      <c r="BE90" s="382">
        <f t="shared" ca="1" si="20"/>
        <v>0</v>
      </c>
      <c r="BF90" s="382">
        <f t="shared" ca="1" si="20"/>
        <v>0</v>
      </c>
      <c r="BG90" s="382">
        <f t="shared" ca="1" si="20"/>
        <v>0</v>
      </c>
      <c r="BH90" s="382">
        <f t="shared" ca="1" si="20"/>
        <v>0</v>
      </c>
      <c r="BI90" s="382">
        <f t="shared" ca="1" si="20"/>
        <v>0</v>
      </c>
      <c r="BJ90" s="382">
        <f t="shared" ca="1" si="20"/>
        <v>0</v>
      </c>
      <c r="BK90" s="382">
        <f t="shared" ca="1" si="20"/>
        <v>0</v>
      </c>
      <c r="BL90" s="382">
        <f t="shared" ca="1" si="20"/>
        <v>0</v>
      </c>
    </row>
    <row r="91" spans="1:64" s="379" customFormat="1" outlineLevel="1" x14ac:dyDescent="0.15">
      <c r="A91" s="395"/>
      <c r="B91" s="395">
        <f ca="1">SUMIFS(SAP_Spreadsheet!$G$11:$BN$11,SAP_Spreadsheet!$G$7:$BN$7,PnL_Speadsheet!$D91)</f>
        <v>0.25079303320987073</v>
      </c>
      <c r="C91" s="395">
        <f>SUMIFS(SAP_Spreadsheet!$G$10:$BN$10,SAP_Spreadsheet!$G$7:$BN$7,PnL_Speadsheet!$D91)</f>
        <v>1</v>
      </c>
      <c r="D91" s="396">
        <f t="shared" si="10"/>
        <v>29</v>
      </c>
      <c r="E91" s="382" t="str">
        <f t="shared" ca="1" si="16"/>
        <v/>
      </c>
      <c r="F91" s="382" t="str">
        <f t="shared" ca="1" si="16"/>
        <v/>
      </c>
      <c r="G91" s="382" t="str">
        <f t="shared" ca="1" si="16"/>
        <v/>
      </c>
      <c r="H91" s="382" t="str">
        <f t="shared" ca="1" si="16"/>
        <v/>
      </c>
      <c r="I91" s="382" t="str">
        <f t="shared" ca="1" si="16"/>
        <v/>
      </c>
      <c r="J91" s="382" t="str">
        <f t="shared" ca="1" si="16"/>
        <v/>
      </c>
      <c r="K91" s="382" t="str">
        <f t="shared" ca="1" si="16"/>
        <v/>
      </c>
      <c r="L91" s="382" t="str">
        <f t="shared" ca="1" si="16"/>
        <v/>
      </c>
      <c r="M91" s="382" t="str">
        <f t="shared" ca="1" si="16"/>
        <v/>
      </c>
      <c r="N91" s="382" t="str">
        <f t="shared" ca="1" si="16"/>
        <v/>
      </c>
      <c r="O91" s="382" t="str">
        <f t="shared" ca="1" si="16"/>
        <v/>
      </c>
      <c r="P91" s="382" t="str">
        <f t="shared" ca="1" si="16"/>
        <v/>
      </c>
      <c r="Q91" s="382" t="str">
        <f t="shared" ca="1" si="16"/>
        <v/>
      </c>
      <c r="R91" s="382" t="str">
        <f t="shared" ca="1" si="16"/>
        <v/>
      </c>
      <c r="S91" s="382" t="str">
        <f t="shared" ca="1" si="16"/>
        <v/>
      </c>
      <c r="T91" s="382" t="str">
        <f t="shared" ca="1" si="16"/>
        <v/>
      </c>
      <c r="U91" s="382" t="str">
        <f t="shared" ca="1" si="20"/>
        <v/>
      </c>
      <c r="V91" s="382" t="str">
        <f t="shared" ca="1" si="20"/>
        <v/>
      </c>
      <c r="W91" s="382" t="str">
        <f t="shared" ca="1" si="20"/>
        <v/>
      </c>
      <c r="X91" s="382" t="str">
        <f t="shared" ca="1" si="20"/>
        <v/>
      </c>
      <c r="Y91" s="382" t="str">
        <f t="shared" ca="1" si="20"/>
        <v/>
      </c>
      <c r="Z91" s="382" t="str">
        <f t="shared" ca="1" si="20"/>
        <v/>
      </c>
      <c r="AA91" s="382" t="str">
        <f t="shared" ca="1" si="20"/>
        <v/>
      </c>
      <c r="AB91" s="382" t="str">
        <f t="shared" ca="1" si="20"/>
        <v/>
      </c>
      <c r="AC91" s="382" t="str">
        <f t="shared" ca="1" si="20"/>
        <v/>
      </c>
      <c r="AD91" s="382" t="str">
        <f t="shared" ca="1" si="20"/>
        <v/>
      </c>
      <c r="AE91" s="382" t="str">
        <f t="shared" ca="1" si="20"/>
        <v/>
      </c>
      <c r="AF91" s="382" t="str">
        <f t="shared" ca="1" si="20"/>
        <v/>
      </c>
      <c r="AG91" s="382">
        <f t="shared" ca="1" si="20"/>
        <v>0</v>
      </c>
      <c r="AH91" s="382">
        <f t="shared" ca="1" si="20"/>
        <v>0</v>
      </c>
      <c r="AI91" s="382">
        <f t="shared" ca="1" si="20"/>
        <v>0</v>
      </c>
      <c r="AJ91" s="382">
        <f t="shared" ca="1" si="20"/>
        <v>0</v>
      </c>
      <c r="AK91" s="382">
        <f t="shared" ca="1" si="20"/>
        <v>0</v>
      </c>
      <c r="AL91" s="382">
        <f t="shared" ca="1" si="20"/>
        <v>0</v>
      </c>
      <c r="AM91" s="382">
        <f t="shared" ca="1" si="20"/>
        <v>0</v>
      </c>
      <c r="AN91" s="382">
        <f t="shared" ca="1" si="20"/>
        <v>0</v>
      </c>
      <c r="AO91" s="382">
        <f t="shared" ca="1" si="20"/>
        <v>0</v>
      </c>
      <c r="AP91" s="382">
        <f t="shared" ca="1" si="20"/>
        <v>0</v>
      </c>
      <c r="AQ91" s="382">
        <f t="shared" ca="1" si="20"/>
        <v>0</v>
      </c>
      <c r="AR91" s="382">
        <f t="shared" ca="1" si="20"/>
        <v>0</v>
      </c>
      <c r="AS91" s="382">
        <f t="shared" ca="1" si="20"/>
        <v>0</v>
      </c>
      <c r="AT91" s="382">
        <f t="shared" ca="1" si="20"/>
        <v>0</v>
      </c>
      <c r="AU91" s="382">
        <f t="shared" ca="1" si="20"/>
        <v>0</v>
      </c>
      <c r="AV91" s="382">
        <f t="shared" ca="1" si="20"/>
        <v>0</v>
      </c>
      <c r="AW91" s="382">
        <f t="shared" ca="1" si="20"/>
        <v>0</v>
      </c>
      <c r="AX91" s="382">
        <f t="shared" ca="1" si="20"/>
        <v>0</v>
      </c>
      <c r="AY91" s="382">
        <f t="shared" ca="1" si="20"/>
        <v>0</v>
      </c>
      <c r="AZ91" s="382">
        <f t="shared" ca="1" si="20"/>
        <v>0</v>
      </c>
      <c r="BA91" s="382">
        <f t="shared" ca="1" si="20"/>
        <v>0</v>
      </c>
      <c r="BB91" s="382">
        <f t="shared" ca="1" si="20"/>
        <v>0</v>
      </c>
      <c r="BC91" s="382">
        <f t="shared" ca="1" si="20"/>
        <v>0</v>
      </c>
      <c r="BD91" s="382">
        <f t="shared" ca="1" si="20"/>
        <v>0</v>
      </c>
      <c r="BE91" s="382">
        <f t="shared" ca="1" si="20"/>
        <v>0</v>
      </c>
      <c r="BF91" s="382">
        <f t="shared" ca="1" si="20"/>
        <v>0</v>
      </c>
      <c r="BG91" s="382">
        <f t="shared" ca="1" si="20"/>
        <v>0</v>
      </c>
      <c r="BH91" s="382">
        <f t="shared" ca="1" si="20"/>
        <v>0</v>
      </c>
      <c r="BI91" s="382">
        <f t="shared" ca="1" si="20"/>
        <v>0</v>
      </c>
      <c r="BJ91" s="382">
        <f t="shared" ca="1" si="20"/>
        <v>0</v>
      </c>
      <c r="BK91" s="382">
        <f t="shared" ca="1" si="20"/>
        <v>0</v>
      </c>
      <c r="BL91" s="382">
        <f t="shared" ca="1" si="20"/>
        <v>0</v>
      </c>
    </row>
    <row r="92" spans="1:64" s="379" customFormat="1" outlineLevel="1" x14ac:dyDescent="0.15">
      <c r="A92" s="395"/>
      <c r="B92" s="395">
        <f ca="1">SUMIFS(SAP_Spreadsheet!$G$11:$BN$11,SAP_Spreadsheet!$G$7:$BN$7,PnL_Speadsheet!$D92)</f>
        <v>0.24498444510627443</v>
      </c>
      <c r="C92" s="395">
        <f>SUMIFS(SAP_Spreadsheet!$G$10:$BN$10,SAP_Spreadsheet!$G$7:$BN$7,PnL_Speadsheet!$D92)</f>
        <v>1</v>
      </c>
      <c r="D92" s="396">
        <f t="shared" si="10"/>
        <v>30</v>
      </c>
      <c r="E92" s="382" t="str">
        <f t="shared" ca="1" si="16"/>
        <v/>
      </c>
      <c r="F92" s="382" t="str">
        <f t="shared" ca="1" si="16"/>
        <v/>
      </c>
      <c r="G92" s="382" t="str">
        <f t="shared" ca="1" si="16"/>
        <v/>
      </c>
      <c r="H92" s="382" t="str">
        <f t="shared" ca="1" si="16"/>
        <v/>
      </c>
      <c r="I92" s="382" t="str">
        <f t="shared" ca="1" si="16"/>
        <v/>
      </c>
      <c r="J92" s="382" t="str">
        <f t="shared" ca="1" si="16"/>
        <v/>
      </c>
      <c r="K92" s="382" t="str">
        <f t="shared" ca="1" si="16"/>
        <v/>
      </c>
      <c r="L92" s="382" t="str">
        <f t="shared" ca="1" si="16"/>
        <v/>
      </c>
      <c r="M92" s="382" t="str">
        <f t="shared" ca="1" si="16"/>
        <v/>
      </c>
      <c r="N92" s="382" t="str">
        <f t="shared" ca="1" si="16"/>
        <v/>
      </c>
      <c r="O92" s="382" t="str">
        <f t="shared" ca="1" si="16"/>
        <v/>
      </c>
      <c r="P92" s="382" t="str">
        <f t="shared" ca="1" si="16"/>
        <v/>
      </c>
      <c r="Q92" s="382" t="str">
        <f t="shared" ca="1" si="16"/>
        <v/>
      </c>
      <c r="R92" s="382" t="str">
        <f t="shared" ca="1" si="16"/>
        <v/>
      </c>
      <c r="S92" s="382" t="str">
        <f t="shared" ca="1" si="16"/>
        <v/>
      </c>
      <c r="T92" s="382" t="str">
        <f t="shared" ca="1" si="16"/>
        <v/>
      </c>
      <c r="U92" s="382" t="str">
        <f t="shared" ca="1" si="20"/>
        <v/>
      </c>
      <c r="V92" s="382" t="str">
        <f t="shared" ca="1" si="20"/>
        <v/>
      </c>
      <c r="W92" s="382" t="str">
        <f t="shared" ca="1" si="20"/>
        <v/>
      </c>
      <c r="X92" s="382" t="str">
        <f t="shared" ca="1" si="20"/>
        <v/>
      </c>
      <c r="Y92" s="382" t="str">
        <f t="shared" ca="1" si="20"/>
        <v/>
      </c>
      <c r="Z92" s="382" t="str">
        <f t="shared" ca="1" si="20"/>
        <v/>
      </c>
      <c r="AA92" s="382" t="str">
        <f t="shared" ca="1" si="20"/>
        <v/>
      </c>
      <c r="AB92" s="382" t="str">
        <f t="shared" ca="1" si="20"/>
        <v/>
      </c>
      <c r="AC92" s="382" t="str">
        <f t="shared" ca="1" si="20"/>
        <v/>
      </c>
      <c r="AD92" s="382" t="str">
        <f t="shared" ca="1" si="20"/>
        <v/>
      </c>
      <c r="AE92" s="382" t="str">
        <f t="shared" ca="1" si="20"/>
        <v/>
      </c>
      <c r="AF92" s="382" t="str">
        <f t="shared" ca="1" si="20"/>
        <v/>
      </c>
      <c r="AG92" s="382" t="str">
        <f t="shared" ca="1" si="20"/>
        <v/>
      </c>
      <c r="AH92" s="382">
        <f t="shared" ca="1" si="20"/>
        <v>0</v>
      </c>
      <c r="AI92" s="382">
        <f t="shared" ca="1" si="20"/>
        <v>0</v>
      </c>
      <c r="AJ92" s="382">
        <f t="shared" ca="1" si="20"/>
        <v>0</v>
      </c>
      <c r="AK92" s="382">
        <f t="shared" ca="1" si="20"/>
        <v>0</v>
      </c>
      <c r="AL92" s="382">
        <f t="shared" ca="1" si="20"/>
        <v>0</v>
      </c>
      <c r="AM92" s="382">
        <f t="shared" ca="1" si="20"/>
        <v>0</v>
      </c>
      <c r="AN92" s="382">
        <f t="shared" ca="1" si="20"/>
        <v>0</v>
      </c>
      <c r="AO92" s="382">
        <f t="shared" ca="1" si="20"/>
        <v>0</v>
      </c>
      <c r="AP92" s="382">
        <f t="shared" ca="1" si="20"/>
        <v>0</v>
      </c>
      <c r="AQ92" s="382">
        <f t="shared" ca="1" si="20"/>
        <v>0</v>
      </c>
      <c r="AR92" s="382">
        <f t="shared" ca="1" si="20"/>
        <v>0</v>
      </c>
      <c r="AS92" s="382">
        <f t="shared" ca="1" si="20"/>
        <v>0</v>
      </c>
      <c r="AT92" s="382">
        <f t="shared" ca="1" si="20"/>
        <v>0</v>
      </c>
      <c r="AU92" s="382">
        <f t="shared" ca="1" si="20"/>
        <v>0</v>
      </c>
      <c r="AV92" s="382">
        <f t="shared" ca="1" si="20"/>
        <v>0</v>
      </c>
      <c r="AW92" s="382">
        <f t="shared" ca="1" si="20"/>
        <v>0</v>
      </c>
      <c r="AX92" s="382">
        <f t="shared" ca="1" si="20"/>
        <v>0</v>
      </c>
      <c r="AY92" s="382">
        <f t="shared" ca="1" si="20"/>
        <v>0</v>
      </c>
      <c r="AZ92" s="382">
        <f t="shared" ca="1" si="20"/>
        <v>0</v>
      </c>
      <c r="BA92" s="382">
        <f t="shared" ca="1" si="20"/>
        <v>0</v>
      </c>
      <c r="BB92" s="382">
        <f t="shared" ca="1" si="20"/>
        <v>0</v>
      </c>
      <c r="BC92" s="382">
        <f t="shared" ca="1" si="20"/>
        <v>0</v>
      </c>
      <c r="BD92" s="382">
        <f t="shared" ca="1" si="20"/>
        <v>0</v>
      </c>
      <c r="BE92" s="382">
        <f t="shared" ca="1" si="20"/>
        <v>0</v>
      </c>
      <c r="BF92" s="382">
        <f t="shared" ca="1" si="20"/>
        <v>0</v>
      </c>
      <c r="BG92" s="382">
        <f t="shared" ca="1" si="20"/>
        <v>0</v>
      </c>
      <c r="BH92" s="382">
        <f t="shared" ca="1" si="20"/>
        <v>0</v>
      </c>
      <c r="BI92" s="382">
        <f t="shared" ca="1" si="20"/>
        <v>0</v>
      </c>
      <c r="BJ92" s="382">
        <f t="shared" ca="1" si="20"/>
        <v>0</v>
      </c>
      <c r="BK92" s="382">
        <f t="shared" ca="1" si="20"/>
        <v>0</v>
      </c>
      <c r="BL92" s="382">
        <f t="shared" ca="1" si="20"/>
        <v>0</v>
      </c>
    </row>
    <row r="93" spans="1:64" s="379" customFormat="1" outlineLevel="1" x14ac:dyDescent="0.15">
      <c r="A93" s="395"/>
      <c r="B93" s="395">
        <f ca="1">SUMIFS(SAP_Spreadsheet!$G$11:$BN$11,SAP_Spreadsheet!$G$7:$BN$7,PnL_Speadsheet!$D93)</f>
        <v>0.23917585700267813</v>
      </c>
      <c r="C93" s="395">
        <f>SUMIFS(SAP_Spreadsheet!$G$10:$BN$10,SAP_Spreadsheet!$G$7:$BN$7,PnL_Speadsheet!$D93)</f>
        <v>1</v>
      </c>
      <c r="D93" s="396">
        <f t="shared" si="10"/>
        <v>31</v>
      </c>
      <c r="E93" s="382" t="str">
        <f t="shared" ca="1" si="16"/>
        <v/>
      </c>
      <c r="F93" s="382" t="str">
        <f t="shared" ca="1" si="16"/>
        <v/>
      </c>
      <c r="G93" s="382" t="str">
        <f t="shared" ca="1" si="16"/>
        <v/>
      </c>
      <c r="H93" s="382" t="str">
        <f t="shared" ca="1" si="16"/>
        <v/>
      </c>
      <c r="I93" s="382" t="str">
        <f t="shared" ca="1" si="16"/>
        <v/>
      </c>
      <c r="J93" s="382" t="str">
        <f t="shared" ca="1" si="16"/>
        <v/>
      </c>
      <c r="K93" s="382" t="str">
        <f t="shared" ca="1" si="16"/>
        <v/>
      </c>
      <c r="L93" s="382" t="str">
        <f t="shared" ca="1" si="16"/>
        <v/>
      </c>
      <c r="M93" s="382" t="str">
        <f t="shared" ca="1" si="16"/>
        <v/>
      </c>
      <c r="N93" s="382" t="str">
        <f t="shared" ca="1" si="16"/>
        <v/>
      </c>
      <c r="O93" s="382" t="str">
        <f t="shared" ca="1" si="16"/>
        <v/>
      </c>
      <c r="P93" s="382" t="str">
        <f t="shared" ca="1" si="16"/>
        <v/>
      </c>
      <c r="Q93" s="382" t="str">
        <f t="shared" ca="1" si="16"/>
        <v/>
      </c>
      <c r="R93" s="382" t="str">
        <f t="shared" ca="1" si="16"/>
        <v/>
      </c>
      <c r="S93" s="382" t="str">
        <f t="shared" ca="1" si="16"/>
        <v/>
      </c>
      <c r="T93" s="382" t="str">
        <f t="shared" ca="1" si="16"/>
        <v/>
      </c>
      <c r="U93" s="382" t="str">
        <f t="shared" ca="1" si="20"/>
        <v/>
      </c>
      <c r="V93" s="382" t="str">
        <f t="shared" ca="1" si="20"/>
        <v/>
      </c>
      <c r="W93" s="382" t="str">
        <f t="shared" ca="1" si="20"/>
        <v/>
      </c>
      <c r="X93" s="382" t="str">
        <f t="shared" ca="1" si="20"/>
        <v/>
      </c>
      <c r="Y93" s="382" t="str">
        <f t="shared" ca="1" si="20"/>
        <v/>
      </c>
      <c r="Z93" s="382" t="str">
        <f t="shared" ca="1" si="20"/>
        <v/>
      </c>
      <c r="AA93" s="382" t="str">
        <f t="shared" ca="1" si="20"/>
        <v/>
      </c>
      <c r="AB93" s="382" t="str">
        <f t="shared" ca="1" si="20"/>
        <v/>
      </c>
      <c r="AC93" s="382" t="str">
        <f t="shared" ca="1" si="20"/>
        <v/>
      </c>
      <c r="AD93" s="382" t="str">
        <f t="shared" ca="1" si="20"/>
        <v/>
      </c>
      <c r="AE93" s="382" t="str">
        <f t="shared" ca="1" si="20"/>
        <v/>
      </c>
      <c r="AF93" s="382" t="str">
        <f t="shared" ca="1" si="20"/>
        <v/>
      </c>
      <c r="AG93" s="382" t="str">
        <f t="shared" ca="1" si="20"/>
        <v/>
      </c>
      <c r="AH93" s="382" t="str">
        <f t="shared" ca="1" si="20"/>
        <v/>
      </c>
      <c r="AI93" s="382">
        <f t="shared" ca="1" si="20"/>
        <v>0</v>
      </c>
      <c r="AJ93" s="382">
        <f t="shared" ca="1" si="20"/>
        <v>0</v>
      </c>
      <c r="AK93" s="382">
        <f t="shared" ca="1" si="20"/>
        <v>0</v>
      </c>
      <c r="AL93" s="382">
        <f t="shared" ca="1" si="20"/>
        <v>0</v>
      </c>
      <c r="AM93" s="382">
        <f t="shared" ca="1" si="20"/>
        <v>0</v>
      </c>
      <c r="AN93" s="382">
        <f t="shared" ca="1" si="20"/>
        <v>0</v>
      </c>
      <c r="AO93" s="382">
        <f t="shared" ca="1" si="20"/>
        <v>0</v>
      </c>
      <c r="AP93" s="382">
        <f t="shared" ca="1" si="20"/>
        <v>0</v>
      </c>
      <c r="AQ93" s="382">
        <f t="shared" ca="1" si="20"/>
        <v>0</v>
      </c>
      <c r="AR93" s="382">
        <f t="shared" ca="1" si="20"/>
        <v>0</v>
      </c>
      <c r="AS93" s="382">
        <f t="shared" ca="1" si="20"/>
        <v>0</v>
      </c>
      <c r="AT93" s="382">
        <f t="shared" ca="1" si="20"/>
        <v>0</v>
      </c>
      <c r="AU93" s="382">
        <f t="shared" ca="1" si="20"/>
        <v>0</v>
      </c>
      <c r="AV93" s="382">
        <f t="shared" ca="1" si="20"/>
        <v>0</v>
      </c>
      <c r="AW93" s="382">
        <f t="shared" ca="1" si="20"/>
        <v>0</v>
      </c>
      <c r="AX93" s="382">
        <f t="shared" ca="1" si="20"/>
        <v>0</v>
      </c>
      <c r="AY93" s="382">
        <f t="shared" ca="1" si="20"/>
        <v>0</v>
      </c>
      <c r="AZ93" s="382">
        <f t="shared" ca="1" si="20"/>
        <v>0</v>
      </c>
      <c r="BA93" s="382">
        <f t="shared" ca="1" si="20"/>
        <v>0</v>
      </c>
      <c r="BB93" s="382">
        <f t="shared" ca="1" si="20"/>
        <v>0</v>
      </c>
      <c r="BC93" s="382">
        <f t="shared" ca="1" si="20"/>
        <v>0</v>
      </c>
      <c r="BD93" s="382">
        <f t="shared" ca="1" si="20"/>
        <v>0</v>
      </c>
      <c r="BE93" s="382">
        <f t="shared" ca="1" si="20"/>
        <v>0</v>
      </c>
      <c r="BF93" s="382">
        <f t="shared" ca="1" si="20"/>
        <v>0</v>
      </c>
      <c r="BG93" s="382">
        <f t="shared" ca="1" si="20"/>
        <v>0</v>
      </c>
      <c r="BH93" s="382">
        <f t="shared" ca="1" si="20"/>
        <v>0</v>
      </c>
      <c r="BI93" s="382">
        <f t="shared" ca="1" si="20"/>
        <v>0</v>
      </c>
      <c r="BJ93" s="382">
        <f t="shared" ca="1" si="20"/>
        <v>0</v>
      </c>
      <c r="BK93" s="382">
        <f t="shared" ca="1" si="20"/>
        <v>0</v>
      </c>
      <c r="BL93" s="382">
        <f t="shared" ca="1" si="20"/>
        <v>0</v>
      </c>
    </row>
    <row r="94" spans="1:64" s="379" customFormat="1" outlineLevel="1" x14ac:dyDescent="0.15">
      <c r="A94" s="395"/>
      <c r="B94" s="395">
        <f ca="1">SUMIFS(SAP_Spreadsheet!$G$11:$BN$11,SAP_Spreadsheet!$G$7:$BN$7,PnL_Speadsheet!$D94)</f>
        <v>0.23336726889908183</v>
      </c>
      <c r="C94" s="395">
        <f>SUMIFS(SAP_Spreadsheet!$G$10:$BN$10,SAP_Spreadsheet!$G$7:$BN$7,PnL_Speadsheet!$D94)</f>
        <v>1</v>
      </c>
      <c r="D94" s="396">
        <f t="shared" si="10"/>
        <v>32</v>
      </c>
      <c r="E94" s="382" t="str">
        <f t="shared" ca="1" si="16"/>
        <v/>
      </c>
      <c r="F94" s="382" t="str">
        <f t="shared" ca="1" si="16"/>
        <v/>
      </c>
      <c r="G94" s="382" t="str">
        <f t="shared" ca="1" si="16"/>
        <v/>
      </c>
      <c r="H94" s="382" t="str">
        <f t="shared" ca="1" si="16"/>
        <v/>
      </c>
      <c r="I94" s="382" t="str">
        <f t="shared" ca="1" si="16"/>
        <v/>
      </c>
      <c r="J94" s="382" t="str">
        <f t="shared" ca="1" si="16"/>
        <v/>
      </c>
      <c r="K94" s="382" t="str">
        <f t="shared" ca="1" si="16"/>
        <v/>
      </c>
      <c r="L94" s="382" t="str">
        <f t="shared" ca="1" si="16"/>
        <v/>
      </c>
      <c r="M94" s="382" t="str">
        <f t="shared" ca="1" si="16"/>
        <v/>
      </c>
      <c r="N94" s="382" t="str">
        <f t="shared" ca="1" si="16"/>
        <v/>
      </c>
      <c r="O94" s="382" t="str">
        <f t="shared" ca="1" si="16"/>
        <v/>
      </c>
      <c r="P94" s="382" t="str">
        <f t="shared" ca="1" si="16"/>
        <v/>
      </c>
      <c r="Q94" s="382" t="str">
        <f t="shared" ca="1" si="16"/>
        <v/>
      </c>
      <c r="R94" s="382" t="str">
        <f t="shared" ca="1" si="16"/>
        <v/>
      </c>
      <c r="S94" s="382" t="str">
        <f t="shared" ca="1" si="16"/>
        <v/>
      </c>
      <c r="T94" s="382" t="str">
        <f t="shared" ref="T94:BZ99" ca="1" si="21">IF($D94&gt;$C$61,0,IF($D94&gt;T$5,"",OFFSET(T$62,0,-($D94-1))))</f>
        <v/>
      </c>
      <c r="U94" s="382" t="str">
        <f t="shared" ca="1" si="21"/>
        <v/>
      </c>
      <c r="V94" s="382" t="str">
        <f t="shared" ca="1" si="21"/>
        <v/>
      </c>
      <c r="W94" s="382" t="str">
        <f t="shared" ca="1" si="21"/>
        <v/>
      </c>
      <c r="X94" s="382" t="str">
        <f t="shared" ca="1" si="21"/>
        <v/>
      </c>
      <c r="Y94" s="382" t="str">
        <f t="shared" ca="1" si="21"/>
        <v/>
      </c>
      <c r="Z94" s="382" t="str">
        <f t="shared" ca="1" si="21"/>
        <v/>
      </c>
      <c r="AA94" s="382" t="str">
        <f t="shared" ca="1" si="21"/>
        <v/>
      </c>
      <c r="AB94" s="382" t="str">
        <f t="shared" ca="1" si="21"/>
        <v/>
      </c>
      <c r="AC94" s="382" t="str">
        <f t="shared" ca="1" si="21"/>
        <v/>
      </c>
      <c r="AD94" s="382" t="str">
        <f t="shared" ca="1" si="21"/>
        <v/>
      </c>
      <c r="AE94" s="382" t="str">
        <f t="shared" ca="1" si="21"/>
        <v/>
      </c>
      <c r="AF94" s="382" t="str">
        <f t="shared" ca="1" si="21"/>
        <v/>
      </c>
      <c r="AG94" s="382" t="str">
        <f t="shared" ca="1" si="21"/>
        <v/>
      </c>
      <c r="AH94" s="382" t="str">
        <f t="shared" ca="1" si="21"/>
        <v/>
      </c>
      <c r="AI94" s="382" t="str">
        <f t="shared" ca="1" si="21"/>
        <v/>
      </c>
      <c r="AJ94" s="382">
        <f t="shared" ca="1" si="21"/>
        <v>0</v>
      </c>
      <c r="AK94" s="382">
        <f t="shared" ca="1" si="21"/>
        <v>0</v>
      </c>
      <c r="AL94" s="382">
        <f t="shared" ca="1" si="21"/>
        <v>0</v>
      </c>
      <c r="AM94" s="382">
        <f t="shared" ca="1" si="21"/>
        <v>0</v>
      </c>
      <c r="AN94" s="382">
        <f t="shared" ca="1" si="21"/>
        <v>0</v>
      </c>
      <c r="AO94" s="382">
        <f t="shared" ca="1" si="21"/>
        <v>0</v>
      </c>
      <c r="AP94" s="382">
        <f t="shared" ca="1" si="21"/>
        <v>0</v>
      </c>
      <c r="AQ94" s="382">
        <f t="shared" ca="1" si="21"/>
        <v>0</v>
      </c>
      <c r="AR94" s="382">
        <f t="shared" ca="1" si="21"/>
        <v>0</v>
      </c>
      <c r="AS94" s="382">
        <f t="shared" ca="1" si="21"/>
        <v>0</v>
      </c>
      <c r="AT94" s="382">
        <f t="shared" ca="1" si="21"/>
        <v>0</v>
      </c>
      <c r="AU94" s="382">
        <f t="shared" ca="1" si="21"/>
        <v>0</v>
      </c>
      <c r="AV94" s="382">
        <f t="shared" ca="1" si="21"/>
        <v>0</v>
      </c>
      <c r="AW94" s="382">
        <f t="shared" ca="1" si="21"/>
        <v>0</v>
      </c>
      <c r="AX94" s="382">
        <f t="shared" ca="1" si="21"/>
        <v>0</v>
      </c>
      <c r="AY94" s="382">
        <f t="shared" ca="1" si="21"/>
        <v>0</v>
      </c>
      <c r="AZ94" s="382">
        <f t="shared" ca="1" si="21"/>
        <v>0</v>
      </c>
      <c r="BA94" s="382">
        <f t="shared" ca="1" si="21"/>
        <v>0</v>
      </c>
      <c r="BB94" s="382">
        <f t="shared" ca="1" si="21"/>
        <v>0</v>
      </c>
      <c r="BC94" s="382">
        <f t="shared" ca="1" si="21"/>
        <v>0</v>
      </c>
      <c r="BD94" s="382">
        <f t="shared" ca="1" si="21"/>
        <v>0</v>
      </c>
      <c r="BE94" s="382">
        <f t="shared" ca="1" si="21"/>
        <v>0</v>
      </c>
      <c r="BF94" s="382">
        <f t="shared" ca="1" si="21"/>
        <v>0</v>
      </c>
      <c r="BG94" s="382">
        <f t="shared" ca="1" si="21"/>
        <v>0</v>
      </c>
      <c r="BH94" s="382">
        <f t="shared" ca="1" si="21"/>
        <v>0</v>
      </c>
      <c r="BI94" s="382">
        <f t="shared" ca="1" si="21"/>
        <v>0</v>
      </c>
      <c r="BJ94" s="382">
        <f t="shared" ca="1" si="21"/>
        <v>0</v>
      </c>
      <c r="BK94" s="382">
        <f t="shared" ca="1" si="21"/>
        <v>0</v>
      </c>
      <c r="BL94" s="382">
        <f t="shared" ca="1" si="21"/>
        <v>0</v>
      </c>
    </row>
    <row r="95" spans="1:64" s="379" customFormat="1" outlineLevel="1" x14ac:dyDescent="0.15">
      <c r="A95" s="395"/>
      <c r="B95" s="395">
        <f ca="1">SUMIFS(SAP_Spreadsheet!$G$11:$BN$11,SAP_Spreadsheet!$G$7:$BN$7,PnL_Speadsheet!$D95)</f>
        <v>0.22755868079548552</v>
      </c>
      <c r="C95" s="395">
        <f>SUMIFS(SAP_Spreadsheet!$G$10:$BN$10,SAP_Spreadsheet!$G$7:$BN$7,PnL_Speadsheet!$D95)</f>
        <v>1</v>
      </c>
      <c r="D95" s="396">
        <f t="shared" si="10"/>
        <v>33</v>
      </c>
      <c r="E95" s="382" t="str">
        <f t="shared" ref="E95:T122" ca="1" si="22">IF($D95&gt;$C$61,0,IF($D95&gt;E$5,"",OFFSET(E$62,0,-($D95-1))))</f>
        <v/>
      </c>
      <c r="F95" s="382" t="str">
        <f t="shared" ca="1" si="22"/>
        <v/>
      </c>
      <c r="G95" s="382" t="str">
        <f t="shared" ca="1" si="22"/>
        <v/>
      </c>
      <c r="H95" s="382" t="str">
        <f t="shared" ca="1" si="22"/>
        <v/>
      </c>
      <c r="I95" s="382" t="str">
        <f t="shared" ca="1" si="22"/>
        <v/>
      </c>
      <c r="J95" s="382" t="str">
        <f t="shared" ca="1" si="22"/>
        <v/>
      </c>
      <c r="K95" s="382" t="str">
        <f t="shared" ca="1" si="22"/>
        <v/>
      </c>
      <c r="L95" s="382" t="str">
        <f t="shared" ca="1" si="22"/>
        <v/>
      </c>
      <c r="M95" s="382" t="str">
        <f t="shared" ca="1" si="22"/>
        <v/>
      </c>
      <c r="N95" s="382" t="str">
        <f t="shared" ca="1" si="22"/>
        <v/>
      </c>
      <c r="O95" s="382" t="str">
        <f t="shared" ca="1" si="22"/>
        <v/>
      </c>
      <c r="P95" s="382" t="str">
        <f t="shared" ca="1" si="22"/>
        <v/>
      </c>
      <c r="Q95" s="382" t="str">
        <f t="shared" ca="1" si="22"/>
        <v/>
      </c>
      <c r="R95" s="382" t="str">
        <f t="shared" ca="1" si="22"/>
        <v/>
      </c>
      <c r="S95" s="382" t="str">
        <f t="shared" ca="1" si="22"/>
        <v/>
      </c>
      <c r="T95" s="382" t="str">
        <f t="shared" ca="1" si="22"/>
        <v/>
      </c>
      <c r="U95" s="382" t="str">
        <f t="shared" ca="1" si="21"/>
        <v/>
      </c>
      <c r="V95" s="382" t="str">
        <f t="shared" ca="1" si="21"/>
        <v/>
      </c>
      <c r="W95" s="382" t="str">
        <f t="shared" ca="1" si="21"/>
        <v/>
      </c>
      <c r="X95" s="382" t="str">
        <f t="shared" ca="1" si="21"/>
        <v/>
      </c>
      <c r="Y95" s="382" t="str">
        <f t="shared" ca="1" si="21"/>
        <v/>
      </c>
      <c r="Z95" s="382" t="str">
        <f t="shared" ca="1" si="21"/>
        <v/>
      </c>
      <c r="AA95" s="382" t="str">
        <f t="shared" ca="1" si="21"/>
        <v/>
      </c>
      <c r="AB95" s="382" t="str">
        <f t="shared" ca="1" si="21"/>
        <v/>
      </c>
      <c r="AC95" s="382" t="str">
        <f t="shared" ca="1" si="21"/>
        <v/>
      </c>
      <c r="AD95" s="382" t="str">
        <f t="shared" ca="1" si="21"/>
        <v/>
      </c>
      <c r="AE95" s="382" t="str">
        <f t="shared" ca="1" si="21"/>
        <v/>
      </c>
      <c r="AF95" s="382" t="str">
        <f t="shared" ca="1" si="21"/>
        <v/>
      </c>
      <c r="AG95" s="382" t="str">
        <f t="shared" ca="1" si="21"/>
        <v/>
      </c>
      <c r="AH95" s="382" t="str">
        <f t="shared" ca="1" si="21"/>
        <v/>
      </c>
      <c r="AI95" s="382" t="str">
        <f t="shared" ca="1" si="21"/>
        <v/>
      </c>
      <c r="AJ95" s="382" t="str">
        <f t="shared" ca="1" si="21"/>
        <v/>
      </c>
      <c r="AK95" s="382">
        <f t="shared" ca="1" si="21"/>
        <v>0</v>
      </c>
      <c r="AL95" s="382">
        <f t="shared" ca="1" si="21"/>
        <v>0</v>
      </c>
      <c r="AM95" s="382">
        <f t="shared" ca="1" si="21"/>
        <v>0</v>
      </c>
      <c r="AN95" s="382">
        <f t="shared" ca="1" si="21"/>
        <v>0</v>
      </c>
      <c r="AO95" s="382">
        <f t="shared" ca="1" si="21"/>
        <v>0</v>
      </c>
      <c r="AP95" s="382">
        <f t="shared" ca="1" si="21"/>
        <v>0</v>
      </c>
      <c r="AQ95" s="382">
        <f t="shared" ca="1" si="21"/>
        <v>0</v>
      </c>
      <c r="AR95" s="382">
        <f t="shared" ca="1" si="21"/>
        <v>0</v>
      </c>
      <c r="AS95" s="382">
        <f t="shared" ca="1" si="21"/>
        <v>0</v>
      </c>
      <c r="AT95" s="382">
        <f t="shared" ca="1" si="21"/>
        <v>0</v>
      </c>
      <c r="AU95" s="382">
        <f t="shared" ca="1" si="21"/>
        <v>0</v>
      </c>
      <c r="AV95" s="382">
        <f t="shared" ca="1" si="21"/>
        <v>0</v>
      </c>
      <c r="AW95" s="382">
        <f t="shared" ca="1" si="21"/>
        <v>0</v>
      </c>
      <c r="AX95" s="382">
        <f t="shared" ca="1" si="21"/>
        <v>0</v>
      </c>
      <c r="AY95" s="382">
        <f t="shared" ca="1" si="21"/>
        <v>0</v>
      </c>
      <c r="AZ95" s="382">
        <f t="shared" ca="1" si="21"/>
        <v>0</v>
      </c>
      <c r="BA95" s="382">
        <f t="shared" ca="1" si="21"/>
        <v>0</v>
      </c>
      <c r="BB95" s="382">
        <f t="shared" ca="1" si="21"/>
        <v>0</v>
      </c>
      <c r="BC95" s="382">
        <f t="shared" ca="1" si="21"/>
        <v>0</v>
      </c>
      <c r="BD95" s="382">
        <f t="shared" ca="1" si="21"/>
        <v>0</v>
      </c>
      <c r="BE95" s="382">
        <f t="shared" ca="1" si="21"/>
        <v>0</v>
      </c>
      <c r="BF95" s="382">
        <f t="shared" ca="1" si="21"/>
        <v>0</v>
      </c>
      <c r="BG95" s="382">
        <f t="shared" ca="1" si="21"/>
        <v>0</v>
      </c>
      <c r="BH95" s="382">
        <f t="shared" ca="1" si="21"/>
        <v>0</v>
      </c>
      <c r="BI95" s="382">
        <f t="shared" ca="1" si="21"/>
        <v>0</v>
      </c>
      <c r="BJ95" s="382">
        <f t="shared" ca="1" si="21"/>
        <v>0</v>
      </c>
      <c r="BK95" s="382">
        <f t="shared" ca="1" si="21"/>
        <v>0</v>
      </c>
      <c r="BL95" s="382">
        <f t="shared" ca="1" si="21"/>
        <v>0</v>
      </c>
    </row>
    <row r="96" spans="1:64" s="379" customFormat="1" outlineLevel="1" x14ac:dyDescent="0.15">
      <c r="A96" s="395"/>
      <c r="B96" s="395">
        <f ca="1">SUMIFS(SAP_Spreadsheet!$G$11:$BN$11,SAP_Spreadsheet!$G$7:$BN$7,PnL_Speadsheet!$D96)</f>
        <v>0.22175009269188922</v>
      </c>
      <c r="C96" s="395">
        <f>SUMIFS(SAP_Spreadsheet!$G$10:$BN$10,SAP_Spreadsheet!$G$7:$BN$7,PnL_Speadsheet!$D96)</f>
        <v>1</v>
      </c>
      <c r="D96" s="396">
        <f t="shared" si="10"/>
        <v>34</v>
      </c>
      <c r="E96" s="382" t="str">
        <f t="shared" ca="1" si="22"/>
        <v/>
      </c>
      <c r="F96" s="382" t="str">
        <f t="shared" ca="1" si="22"/>
        <v/>
      </c>
      <c r="G96" s="382" t="str">
        <f t="shared" ca="1" si="22"/>
        <v/>
      </c>
      <c r="H96" s="382" t="str">
        <f t="shared" ca="1" si="22"/>
        <v/>
      </c>
      <c r="I96" s="382" t="str">
        <f t="shared" ca="1" si="22"/>
        <v/>
      </c>
      <c r="J96" s="382" t="str">
        <f t="shared" ca="1" si="22"/>
        <v/>
      </c>
      <c r="K96" s="382" t="str">
        <f t="shared" ca="1" si="22"/>
        <v/>
      </c>
      <c r="L96" s="382" t="str">
        <f t="shared" ca="1" si="22"/>
        <v/>
      </c>
      <c r="M96" s="382" t="str">
        <f t="shared" ca="1" si="22"/>
        <v/>
      </c>
      <c r="N96" s="382" t="str">
        <f t="shared" ca="1" si="22"/>
        <v/>
      </c>
      <c r="O96" s="382" t="str">
        <f t="shared" ca="1" si="22"/>
        <v/>
      </c>
      <c r="P96" s="382" t="str">
        <f t="shared" ca="1" si="22"/>
        <v/>
      </c>
      <c r="Q96" s="382" t="str">
        <f t="shared" ca="1" si="22"/>
        <v/>
      </c>
      <c r="R96" s="382" t="str">
        <f t="shared" ca="1" si="22"/>
        <v/>
      </c>
      <c r="S96" s="382" t="str">
        <f t="shared" ca="1" si="22"/>
        <v/>
      </c>
      <c r="T96" s="382" t="str">
        <f t="shared" ca="1" si="22"/>
        <v/>
      </c>
      <c r="U96" s="382" t="str">
        <f t="shared" ca="1" si="21"/>
        <v/>
      </c>
      <c r="V96" s="382" t="str">
        <f t="shared" ca="1" si="21"/>
        <v/>
      </c>
      <c r="W96" s="382" t="str">
        <f t="shared" ca="1" si="21"/>
        <v/>
      </c>
      <c r="X96" s="382" t="str">
        <f t="shared" ca="1" si="21"/>
        <v/>
      </c>
      <c r="Y96" s="382" t="str">
        <f t="shared" ca="1" si="21"/>
        <v/>
      </c>
      <c r="Z96" s="382" t="str">
        <f t="shared" ca="1" si="21"/>
        <v/>
      </c>
      <c r="AA96" s="382" t="str">
        <f t="shared" ca="1" si="21"/>
        <v/>
      </c>
      <c r="AB96" s="382" t="str">
        <f t="shared" ca="1" si="21"/>
        <v/>
      </c>
      <c r="AC96" s="382" t="str">
        <f t="shared" ca="1" si="21"/>
        <v/>
      </c>
      <c r="AD96" s="382" t="str">
        <f t="shared" ca="1" si="21"/>
        <v/>
      </c>
      <c r="AE96" s="382" t="str">
        <f t="shared" ca="1" si="21"/>
        <v/>
      </c>
      <c r="AF96" s="382" t="str">
        <f t="shared" ca="1" si="21"/>
        <v/>
      </c>
      <c r="AG96" s="382" t="str">
        <f t="shared" ca="1" si="21"/>
        <v/>
      </c>
      <c r="AH96" s="382" t="str">
        <f t="shared" ca="1" si="21"/>
        <v/>
      </c>
      <c r="AI96" s="382" t="str">
        <f t="shared" ca="1" si="21"/>
        <v/>
      </c>
      <c r="AJ96" s="382" t="str">
        <f t="shared" ca="1" si="21"/>
        <v/>
      </c>
      <c r="AK96" s="382" t="str">
        <f t="shared" ca="1" si="21"/>
        <v/>
      </c>
      <c r="AL96" s="382">
        <f t="shared" ca="1" si="21"/>
        <v>0</v>
      </c>
      <c r="AM96" s="382">
        <f t="shared" ca="1" si="21"/>
        <v>0</v>
      </c>
      <c r="AN96" s="382">
        <f t="shared" ca="1" si="21"/>
        <v>0</v>
      </c>
      <c r="AO96" s="382">
        <f t="shared" ca="1" si="21"/>
        <v>0</v>
      </c>
      <c r="AP96" s="382">
        <f t="shared" ca="1" si="21"/>
        <v>0</v>
      </c>
      <c r="AQ96" s="382">
        <f t="shared" ca="1" si="21"/>
        <v>0</v>
      </c>
      <c r="AR96" s="382">
        <f t="shared" ca="1" si="21"/>
        <v>0</v>
      </c>
      <c r="AS96" s="382">
        <f t="shared" ca="1" si="21"/>
        <v>0</v>
      </c>
      <c r="AT96" s="382">
        <f t="shared" ca="1" si="21"/>
        <v>0</v>
      </c>
      <c r="AU96" s="382">
        <f t="shared" ca="1" si="21"/>
        <v>0</v>
      </c>
      <c r="AV96" s="382">
        <f t="shared" ca="1" si="21"/>
        <v>0</v>
      </c>
      <c r="AW96" s="382">
        <f t="shared" ca="1" si="21"/>
        <v>0</v>
      </c>
      <c r="AX96" s="382">
        <f t="shared" ca="1" si="21"/>
        <v>0</v>
      </c>
      <c r="AY96" s="382">
        <f t="shared" ca="1" si="21"/>
        <v>0</v>
      </c>
      <c r="AZ96" s="382">
        <f t="shared" ca="1" si="21"/>
        <v>0</v>
      </c>
      <c r="BA96" s="382">
        <f t="shared" ca="1" si="21"/>
        <v>0</v>
      </c>
      <c r="BB96" s="382">
        <f t="shared" ca="1" si="21"/>
        <v>0</v>
      </c>
      <c r="BC96" s="382">
        <f t="shared" ca="1" si="21"/>
        <v>0</v>
      </c>
      <c r="BD96" s="382">
        <f t="shared" ca="1" si="21"/>
        <v>0</v>
      </c>
      <c r="BE96" s="382">
        <f t="shared" ca="1" si="21"/>
        <v>0</v>
      </c>
      <c r="BF96" s="382">
        <f t="shared" ca="1" si="21"/>
        <v>0</v>
      </c>
      <c r="BG96" s="382">
        <f t="shared" ca="1" si="21"/>
        <v>0</v>
      </c>
      <c r="BH96" s="382">
        <f t="shared" ca="1" si="21"/>
        <v>0</v>
      </c>
      <c r="BI96" s="382">
        <f t="shared" ca="1" si="21"/>
        <v>0</v>
      </c>
      <c r="BJ96" s="382">
        <f t="shared" ca="1" si="21"/>
        <v>0</v>
      </c>
      <c r="BK96" s="382">
        <f t="shared" ca="1" si="21"/>
        <v>0</v>
      </c>
      <c r="BL96" s="382">
        <f t="shared" ca="1" si="21"/>
        <v>0</v>
      </c>
    </row>
    <row r="97" spans="1:64" s="379" customFormat="1" outlineLevel="1" x14ac:dyDescent="0.15">
      <c r="A97" s="395"/>
      <c r="B97" s="395">
        <f ca="1">SUMIFS(SAP_Spreadsheet!$G$11:$BN$11,SAP_Spreadsheet!$G$7:$BN$7,PnL_Speadsheet!$D97)</f>
        <v>0.21594150458829292</v>
      </c>
      <c r="C97" s="395">
        <f>SUMIFS(SAP_Spreadsheet!$G$10:$BN$10,SAP_Spreadsheet!$G$7:$BN$7,PnL_Speadsheet!$D97)</f>
        <v>1</v>
      </c>
      <c r="D97" s="396">
        <f t="shared" si="10"/>
        <v>35</v>
      </c>
      <c r="E97" s="382" t="str">
        <f t="shared" ca="1" si="22"/>
        <v/>
      </c>
      <c r="F97" s="382" t="str">
        <f t="shared" ca="1" si="22"/>
        <v/>
      </c>
      <c r="G97" s="382" t="str">
        <f t="shared" ca="1" si="22"/>
        <v/>
      </c>
      <c r="H97" s="382" t="str">
        <f t="shared" ca="1" si="22"/>
        <v/>
      </c>
      <c r="I97" s="382" t="str">
        <f t="shared" ca="1" si="22"/>
        <v/>
      </c>
      <c r="J97" s="382" t="str">
        <f t="shared" ca="1" si="22"/>
        <v/>
      </c>
      <c r="K97" s="382" t="str">
        <f t="shared" ca="1" si="22"/>
        <v/>
      </c>
      <c r="L97" s="382" t="str">
        <f t="shared" ca="1" si="22"/>
        <v/>
      </c>
      <c r="M97" s="382" t="str">
        <f t="shared" ca="1" si="22"/>
        <v/>
      </c>
      <c r="N97" s="382" t="str">
        <f t="shared" ca="1" si="22"/>
        <v/>
      </c>
      <c r="O97" s="382" t="str">
        <f t="shared" ca="1" si="22"/>
        <v/>
      </c>
      <c r="P97" s="382" t="str">
        <f t="shared" ca="1" si="22"/>
        <v/>
      </c>
      <c r="Q97" s="382" t="str">
        <f t="shared" ca="1" si="22"/>
        <v/>
      </c>
      <c r="R97" s="382" t="str">
        <f t="shared" ca="1" si="22"/>
        <v/>
      </c>
      <c r="S97" s="382" t="str">
        <f t="shared" ca="1" si="22"/>
        <v/>
      </c>
      <c r="T97" s="382" t="str">
        <f t="shared" ca="1" si="22"/>
        <v/>
      </c>
      <c r="U97" s="382" t="str">
        <f t="shared" ca="1" si="21"/>
        <v/>
      </c>
      <c r="V97" s="382" t="str">
        <f t="shared" ca="1" si="21"/>
        <v/>
      </c>
      <c r="W97" s="382" t="str">
        <f t="shared" ca="1" si="21"/>
        <v/>
      </c>
      <c r="X97" s="382" t="str">
        <f t="shared" ca="1" si="21"/>
        <v/>
      </c>
      <c r="Y97" s="382" t="str">
        <f t="shared" ca="1" si="21"/>
        <v/>
      </c>
      <c r="Z97" s="382" t="str">
        <f t="shared" ca="1" si="21"/>
        <v/>
      </c>
      <c r="AA97" s="382" t="str">
        <f t="shared" ca="1" si="21"/>
        <v/>
      </c>
      <c r="AB97" s="382" t="str">
        <f t="shared" ca="1" si="21"/>
        <v/>
      </c>
      <c r="AC97" s="382" t="str">
        <f t="shared" ca="1" si="21"/>
        <v/>
      </c>
      <c r="AD97" s="382" t="str">
        <f t="shared" ca="1" si="21"/>
        <v/>
      </c>
      <c r="AE97" s="382" t="str">
        <f t="shared" ca="1" si="21"/>
        <v/>
      </c>
      <c r="AF97" s="382" t="str">
        <f t="shared" ca="1" si="21"/>
        <v/>
      </c>
      <c r="AG97" s="382" t="str">
        <f t="shared" ca="1" si="21"/>
        <v/>
      </c>
      <c r="AH97" s="382" t="str">
        <f t="shared" ca="1" si="21"/>
        <v/>
      </c>
      <c r="AI97" s="382" t="str">
        <f t="shared" ca="1" si="21"/>
        <v/>
      </c>
      <c r="AJ97" s="382" t="str">
        <f t="shared" ca="1" si="21"/>
        <v/>
      </c>
      <c r="AK97" s="382" t="str">
        <f t="shared" ca="1" si="21"/>
        <v/>
      </c>
      <c r="AL97" s="382" t="str">
        <f t="shared" ca="1" si="21"/>
        <v/>
      </c>
      <c r="AM97" s="382">
        <f t="shared" ca="1" si="21"/>
        <v>0</v>
      </c>
      <c r="AN97" s="382">
        <f t="shared" ca="1" si="21"/>
        <v>0</v>
      </c>
      <c r="AO97" s="382">
        <f t="shared" ca="1" si="21"/>
        <v>0</v>
      </c>
      <c r="AP97" s="382">
        <f t="shared" ca="1" si="21"/>
        <v>0</v>
      </c>
      <c r="AQ97" s="382">
        <f t="shared" ca="1" si="21"/>
        <v>0</v>
      </c>
      <c r="AR97" s="382">
        <f t="shared" ca="1" si="21"/>
        <v>0</v>
      </c>
      <c r="AS97" s="382">
        <f t="shared" ca="1" si="21"/>
        <v>0</v>
      </c>
      <c r="AT97" s="382">
        <f t="shared" ca="1" si="21"/>
        <v>0</v>
      </c>
      <c r="AU97" s="382">
        <f t="shared" ca="1" si="21"/>
        <v>0</v>
      </c>
      <c r="AV97" s="382">
        <f t="shared" ca="1" si="21"/>
        <v>0</v>
      </c>
      <c r="AW97" s="382">
        <f t="shared" ca="1" si="21"/>
        <v>0</v>
      </c>
      <c r="AX97" s="382">
        <f t="shared" ca="1" si="21"/>
        <v>0</v>
      </c>
      <c r="AY97" s="382">
        <f t="shared" ca="1" si="21"/>
        <v>0</v>
      </c>
      <c r="AZ97" s="382">
        <f t="shared" ca="1" si="21"/>
        <v>0</v>
      </c>
      <c r="BA97" s="382">
        <f t="shared" ca="1" si="21"/>
        <v>0</v>
      </c>
      <c r="BB97" s="382">
        <f t="shared" ca="1" si="21"/>
        <v>0</v>
      </c>
      <c r="BC97" s="382">
        <f t="shared" ca="1" si="21"/>
        <v>0</v>
      </c>
      <c r="BD97" s="382">
        <f t="shared" ca="1" si="21"/>
        <v>0</v>
      </c>
      <c r="BE97" s="382">
        <f t="shared" ca="1" si="21"/>
        <v>0</v>
      </c>
      <c r="BF97" s="382">
        <f t="shared" ca="1" si="21"/>
        <v>0</v>
      </c>
      <c r="BG97" s="382">
        <f t="shared" ca="1" si="21"/>
        <v>0</v>
      </c>
      <c r="BH97" s="382">
        <f t="shared" ca="1" si="21"/>
        <v>0</v>
      </c>
      <c r="BI97" s="382">
        <f t="shared" ca="1" si="21"/>
        <v>0</v>
      </c>
      <c r="BJ97" s="382">
        <f t="shared" ca="1" si="21"/>
        <v>0</v>
      </c>
      <c r="BK97" s="382">
        <f t="shared" ca="1" si="21"/>
        <v>0</v>
      </c>
      <c r="BL97" s="382">
        <f t="shared" ca="1" si="21"/>
        <v>0</v>
      </c>
    </row>
    <row r="98" spans="1:64" x14ac:dyDescent="0.15">
      <c r="A98" s="395"/>
      <c r="B98" s="395">
        <f ca="1">SUMIFS(SAP_Spreadsheet!$G$11:$BN$11,SAP_Spreadsheet!$G$7:$BN$7,PnL_Speadsheet!$D98)</f>
        <v>0.21013291648469662</v>
      </c>
      <c r="C98" s="395">
        <f>SUMIFS(SAP_Spreadsheet!$G$10:$BN$10,SAP_Spreadsheet!$G$7:$BN$7,PnL_Speadsheet!$D98)</f>
        <v>1</v>
      </c>
      <c r="D98" s="396">
        <f t="shared" si="10"/>
        <v>36</v>
      </c>
      <c r="E98" s="382" t="str">
        <f t="shared" ca="1" si="22"/>
        <v/>
      </c>
      <c r="F98" s="382" t="str">
        <f t="shared" ca="1" si="22"/>
        <v/>
      </c>
      <c r="G98" s="382" t="str">
        <f t="shared" ca="1" si="22"/>
        <v/>
      </c>
      <c r="H98" s="382" t="str">
        <f t="shared" ca="1" si="22"/>
        <v/>
      </c>
      <c r="I98" s="382" t="str">
        <f t="shared" ca="1" si="22"/>
        <v/>
      </c>
      <c r="J98" s="382" t="str">
        <f t="shared" ca="1" si="22"/>
        <v/>
      </c>
      <c r="K98" s="382" t="str">
        <f t="shared" ca="1" si="22"/>
        <v/>
      </c>
      <c r="L98" s="382" t="str">
        <f t="shared" ca="1" si="22"/>
        <v/>
      </c>
      <c r="M98" s="382" t="str">
        <f t="shared" ca="1" si="22"/>
        <v/>
      </c>
      <c r="N98" s="382" t="str">
        <f t="shared" ca="1" si="22"/>
        <v/>
      </c>
      <c r="O98" s="382" t="str">
        <f t="shared" ca="1" si="22"/>
        <v/>
      </c>
      <c r="P98" s="382" t="str">
        <f t="shared" ca="1" si="22"/>
        <v/>
      </c>
      <c r="Q98" s="382" t="str">
        <f t="shared" ca="1" si="22"/>
        <v/>
      </c>
      <c r="R98" s="382" t="str">
        <f t="shared" ca="1" si="22"/>
        <v/>
      </c>
      <c r="S98" s="382" t="str">
        <f t="shared" ca="1" si="22"/>
        <v/>
      </c>
      <c r="T98" s="382" t="str">
        <f t="shared" ca="1" si="22"/>
        <v/>
      </c>
      <c r="U98" s="382" t="str">
        <f t="shared" ca="1" si="21"/>
        <v/>
      </c>
      <c r="V98" s="382" t="str">
        <f t="shared" ca="1" si="21"/>
        <v/>
      </c>
      <c r="W98" s="382" t="str">
        <f t="shared" ca="1" si="21"/>
        <v/>
      </c>
      <c r="X98" s="382" t="str">
        <f t="shared" ca="1" si="21"/>
        <v/>
      </c>
      <c r="Y98" s="382" t="str">
        <f t="shared" ca="1" si="21"/>
        <v/>
      </c>
      <c r="Z98" s="382" t="str">
        <f t="shared" ca="1" si="21"/>
        <v/>
      </c>
      <c r="AA98" s="382" t="str">
        <f t="shared" ca="1" si="21"/>
        <v/>
      </c>
      <c r="AB98" s="382" t="str">
        <f t="shared" ca="1" si="21"/>
        <v/>
      </c>
      <c r="AC98" s="382" t="str">
        <f t="shared" ca="1" si="21"/>
        <v/>
      </c>
      <c r="AD98" s="382" t="str">
        <f t="shared" ca="1" si="21"/>
        <v/>
      </c>
      <c r="AE98" s="382" t="str">
        <f t="shared" ca="1" si="21"/>
        <v/>
      </c>
      <c r="AF98" s="382" t="str">
        <f t="shared" ca="1" si="21"/>
        <v/>
      </c>
      <c r="AG98" s="382" t="str">
        <f t="shared" ca="1" si="21"/>
        <v/>
      </c>
      <c r="AH98" s="382" t="str">
        <f t="shared" ca="1" si="21"/>
        <v/>
      </c>
      <c r="AI98" s="382" t="str">
        <f t="shared" ca="1" si="21"/>
        <v/>
      </c>
      <c r="AJ98" s="382" t="str">
        <f t="shared" ca="1" si="21"/>
        <v/>
      </c>
      <c r="AK98" s="382" t="str">
        <f t="shared" ca="1" si="21"/>
        <v/>
      </c>
      <c r="AL98" s="382" t="str">
        <f t="shared" ca="1" si="21"/>
        <v/>
      </c>
      <c r="AM98" s="382" t="str">
        <f t="shared" ca="1" si="21"/>
        <v/>
      </c>
      <c r="AN98" s="382">
        <f t="shared" ca="1" si="21"/>
        <v>0</v>
      </c>
      <c r="AO98" s="382">
        <f t="shared" ca="1" si="21"/>
        <v>0</v>
      </c>
      <c r="AP98" s="382">
        <f t="shared" ca="1" si="21"/>
        <v>0</v>
      </c>
      <c r="AQ98" s="382">
        <f t="shared" ca="1" si="21"/>
        <v>0</v>
      </c>
      <c r="AR98" s="382">
        <f t="shared" ca="1" si="21"/>
        <v>0</v>
      </c>
      <c r="AS98" s="382">
        <f t="shared" ca="1" si="21"/>
        <v>0</v>
      </c>
      <c r="AT98" s="382">
        <f t="shared" ca="1" si="21"/>
        <v>0</v>
      </c>
      <c r="AU98" s="382">
        <f t="shared" ca="1" si="21"/>
        <v>0</v>
      </c>
      <c r="AV98" s="382">
        <f t="shared" ca="1" si="21"/>
        <v>0</v>
      </c>
      <c r="AW98" s="382">
        <f t="shared" ca="1" si="21"/>
        <v>0</v>
      </c>
      <c r="AX98" s="382">
        <f t="shared" ca="1" si="21"/>
        <v>0</v>
      </c>
      <c r="AY98" s="382">
        <f t="shared" ca="1" si="21"/>
        <v>0</v>
      </c>
      <c r="AZ98" s="382">
        <f t="shared" ca="1" si="21"/>
        <v>0</v>
      </c>
      <c r="BA98" s="382">
        <f t="shared" ca="1" si="21"/>
        <v>0</v>
      </c>
      <c r="BB98" s="382">
        <f t="shared" ca="1" si="21"/>
        <v>0</v>
      </c>
      <c r="BC98" s="382">
        <f t="shared" ca="1" si="21"/>
        <v>0</v>
      </c>
      <c r="BD98" s="382">
        <f t="shared" ca="1" si="21"/>
        <v>0</v>
      </c>
      <c r="BE98" s="382">
        <f t="shared" ca="1" si="21"/>
        <v>0</v>
      </c>
      <c r="BF98" s="382">
        <f t="shared" ca="1" si="21"/>
        <v>0</v>
      </c>
      <c r="BG98" s="382">
        <f t="shared" ca="1" si="21"/>
        <v>0</v>
      </c>
      <c r="BH98" s="382">
        <f t="shared" ca="1" si="21"/>
        <v>0</v>
      </c>
      <c r="BI98" s="382">
        <f t="shared" ca="1" si="21"/>
        <v>0</v>
      </c>
      <c r="BJ98" s="382">
        <f t="shared" ca="1" si="21"/>
        <v>0</v>
      </c>
      <c r="BK98" s="382">
        <f t="shared" ca="1" si="21"/>
        <v>0</v>
      </c>
      <c r="BL98" s="382">
        <f t="shared" ca="1" si="21"/>
        <v>0</v>
      </c>
    </row>
    <row r="99" spans="1:64" x14ac:dyDescent="0.15">
      <c r="A99" s="395"/>
      <c r="B99" s="395">
        <f ca="1">SUMIFS(SAP_Spreadsheet!$G$11:$BN$11,SAP_Spreadsheet!$G$7:$BN$7,PnL_Speadsheet!$D99)</f>
        <v>0.20570171804103227</v>
      </c>
      <c r="C99" s="395">
        <f>SUMIFS(SAP_Spreadsheet!$G$10:$BN$10,SAP_Spreadsheet!$G$7:$BN$7,PnL_Speadsheet!$D99)</f>
        <v>1</v>
      </c>
      <c r="D99" s="396">
        <f t="shared" si="10"/>
        <v>37</v>
      </c>
      <c r="E99" s="382" t="str">
        <f t="shared" ca="1" si="22"/>
        <v/>
      </c>
      <c r="F99" s="382" t="str">
        <f t="shared" ca="1" si="22"/>
        <v/>
      </c>
      <c r="G99" s="382" t="str">
        <f t="shared" ca="1" si="22"/>
        <v/>
      </c>
      <c r="H99" s="382" t="str">
        <f t="shared" ca="1" si="22"/>
        <v/>
      </c>
      <c r="I99" s="382" t="str">
        <f t="shared" ca="1" si="22"/>
        <v/>
      </c>
      <c r="J99" s="382" t="str">
        <f t="shared" ca="1" si="22"/>
        <v/>
      </c>
      <c r="K99" s="382" t="str">
        <f t="shared" ca="1" si="22"/>
        <v/>
      </c>
      <c r="L99" s="382" t="str">
        <f t="shared" ca="1" si="22"/>
        <v/>
      </c>
      <c r="M99" s="382" t="str">
        <f t="shared" ca="1" si="22"/>
        <v/>
      </c>
      <c r="N99" s="382" t="str">
        <f t="shared" ca="1" si="22"/>
        <v/>
      </c>
      <c r="O99" s="382" t="str">
        <f t="shared" ca="1" si="22"/>
        <v/>
      </c>
      <c r="P99" s="382" t="str">
        <f t="shared" ca="1" si="22"/>
        <v/>
      </c>
      <c r="Q99" s="382" t="str">
        <f t="shared" ca="1" si="22"/>
        <v/>
      </c>
      <c r="R99" s="382" t="str">
        <f t="shared" ca="1" si="22"/>
        <v/>
      </c>
      <c r="S99" s="382" t="str">
        <f t="shared" ca="1" si="22"/>
        <v/>
      </c>
      <c r="T99" s="382" t="str">
        <f t="shared" ca="1" si="22"/>
        <v/>
      </c>
      <c r="U99" s="382" t="str">
        <f t="shared" ca="1" si="21"/>
        <v/>
      </c>
      <c r="V99" s="382" t="str">
        <f t="shared" ca="1" si="21"/>
        <v/>
      </c>
      <c r="W99" s="382" t="str">
        <f t="shared" ca="1" si="21"/>
        <v/>
      </c>
      <c r="X99" s="382" t="str">
        <f t="shared" ca="1" si="21"/>
        <v/>
      </c>
      <c r="Y99" s="382" t="str">
        <f t="shared" ca="1" si="21"/>
        <v/>
      </c>
      <c r="Z99" s="382" t="str">
        <f t="shared" ca="1" si="21"/>
        <v/>
      </c>
      <c r="AA99" s="382" t="str">
        <f t="shared" ca="1" si="21"/>
        <v/>
      </c>
      <c r="AB99" s="382" t="str">
        <f t="shared" ca="1" si="21"/>
        <v/>
      </c>
      <c r="AC99" s="382" t="str">
        <f t="shared" ca="1" si="21"/>
        <v/>
      </c>
      <c r="AD99" s="382" t="str">
        <f t="shared" ca="1" si="21"/>
        <v/>
      </c>
      <c r="AE99" s="382" t="str">
        <f t="shared" ca="1" si="21"/>
        <v/>
      </c>
      <c r="AF99" s="382" t="str">
        <f t="shared" ca="1" si="21"/>
        <v/>
      </c>
      <c r="AG99" s="382" t="str">
        <f t="shared" ca="1" si="21"/>
        <v/>
      </c>
      <c r="AH99" s="382" t="str">
        <f t="shared" ca="1" si="21"/>
        <v/>
      </c>
      <c r="AI99" s="382" t="str">
        <f t="shared" ca="1" si="21"/>
        <v/>
      </c>
      <c r="AJ99" s="382" t="str">
        <f t="shared" ca="1" si="21"/>
        <v/>
      </c>
      <c r="AK99" s="382" t="str">
        <f t="shared" ca="1" si="21"/>
        <v/>
      </c>
      <c r="AL99" s="382" t="str">
        <f t="shared" ca="1" si="21"/>
        <v/>
      </c>
      <c r="AM99" s="382" t="str">
        <f t="shared" ca="1" si="21"/>
        <v/>
      </c>
      <c r="AN99" s="382" t="str">
        <f t="shared" ca="1" si="21"/>
        <v/>
      </c>
      <c r="AO99" s="382">
        <f t="shared" ca="1" si="21"/>
        <v>0</v>
      </c>
      <c r="AP99" s="382">
        <f t="shared" ca="1" si="21"/>
        <v>0</v>
      </c>
      <c r="AQ99" s="382">
        <f t="shared" ca="1" si="21"/>
        <v>0</v>
      </c>
      <c r="AR99" s="382">
        <f t="shared" ca="1" si="21"/>
        <v>0</v>
      </c>
      <c r="AS99" s="382">
        <f t="shared" ca="1" si="21"/>
        <v>0</v>
      </c>
      <c r="AT99" s="382">
        <f t="shared" ca="1" si="21"/>
        <v>0</v>
      </c>
      <c r="AU99" s="382">
        <f t="shared" ca="1" si="21"/>
        <v>0</v>
      </c>
      <c r="AV99" s="382">
        <f t="shared" ca="1" si="21"/>
        <v>0</v>
      </c>
      <c r="AW99" s="382">
        <f t="shared" ca="1" si="21"/>
        <v>0</v>
      </c>
      <c r="AX99" s="382">
        <f t="shared" ca="1" si="21"/>
        <v>0</v>
      </c>
      <c r="AY99" s="382">
        <f t="shared" ca="1" si="21"/>
        <v>0</v>
      </c>
      <c r="AZ99" s="382">
        <f t="shared" ca="1" si="21"/>
        <v>0</v>
      </c>
      <c r="BA99" s="382">
        <f t="shared" ca="1" si="21"/>
        <v>0</v>
      </c>
      <c r="BB99" s="382">
        <f t="shared" ca="1" si="21"/>
        <v>0</v>
      </c>
      <c r="BC99" s="382">
        <f t="shared" ref="BC99:DI104" ca="1" si="23">IF($D99&gt;$C$61,0,IF($D99&gt;BC$5,"",OFFSET(BC$62,0,-($D99-1))))</f>
        <v>0</v>
      </c>
      <c r="BD99" s="382">
        <f t="shared" ca="1" si="23"/>
        <v>0</v>
      </c>
      <c r="BE99" s="382">
        <f t="shared" ca="1" si="23"/>
        <v>0</v>
      </c>
      <c r="BF99" s="382">
        <f t="shared" ca="1" si="23"/>
        <v>0</v>
      </c>
      <c r="BG99" s="382">
        <f t="shared" ca="1" si="23"/>
        <v>0</v>
      </c>
      <c r="BH99" s="382">
        <f t="shared" ca="1" si="23"/>
        <v>0</v>
      </c>
      <c r="BI99" s="382">
        <f t="shared" ca="1" si="23"/>
        <v>0</v>
      </c>
      <c r="BJ99" s="382">
        <f t="shared" ca="1" si="23"/>
        <v>0</v>
      </c>
      <c r="BK99" s="382">
        <f t="shared" ca="1" si="23"/>
        <v>0</v>
      </c>
      <c r="BL99" s="382">
        <f t="shared" ca="1" si="23"/>
        <v>0</v>
      </c>
    </row>
    <row r="100" spans="1:64" x14ac:dyDescent="0.15">
      <c r="A100" s="395"/>
      <c r="B100" s="395">
        <f ca="1">SUMIFS(SAP_Spreadsheet!$G$11:$BN$11,SAP_Spreadsheet!$G$7:$BN$7,PnL_Speadsheet!$D100)</f>
        <v>0.20127051959736791</v>
      </c>
      <c r="C100" s="395">
        <f>SUMIFS(SAP_Spreadsheet!$G$10:$BN$10,SAP_Spreadsheet!$G$7:$BN$7,PnL_Speadsheet!$D100)</f>
        <v>1</v>
      </c>
      <c r="D100" s="396">
        <f t="shared" si="10"/>
        <v>38</v>
      </c>
      <c r="E100" s="382" t="str">
        <f t="shared" ca="1" si="22"/>
        <v/>
      </c>
      <c r="F100" s="382" t="str">
        <f t="shared" ca="1" si="22"/>
        <v/>
      </c>
      <c r="G100" s="382" t="str">
        <f t="shared" ca="1" si="22"/>
        <v/>
      </c>
      <c r="H100" s="382" t="str">
        <f t="shared" ca="1" si="22"/>
        <v/>
      </c>
      <c r="I100" s="382" t="str">
        <f t="shared" ca="1" si="22"/>
        <v/>
      </c>
      <c r="J100" s="382" t="str">
        <f t="shared" ca="1" si="22"/>
        <v/>
      </c>
      <c r="K100" s="382" t="str">
        <f t="shared" ca="1" si="22"/>
        <v/>
      </c>
      <c r="L100" s="382" t="str">
        <f t="shared" ca="1" si="22"/>
        <v/>
      </c>
      <c r="M100" s="382" t="str">
        <f t="shared" ca="1" si="22"/>
        <v/>
      </c>
      <c r="N100" s="382" t="str">
        <f t="shared" ca="1" si="22"/>
        <v/>
      </c>
      <c r="O100" s="382" t="str">
        <f t="shared" ca="1" si="22"/>
        <v/>
      </c>
      <c r="P100" s="382" t="str">
        <f t="shared" ca="1" si="22"/>
        <v/>
      </c>
      <c r="Q100" s="382" t="str">
        <f t="shared" ca="1" si="22"/>
        <v/>
      </c>
      <c r="R100" s="382" t="str">
        <f t="shared" ca="1" si="22"/>
        <v/>
      </c>
      <c r="S100" s="382" t="str">
        <f t="shared" ca="1" si="22"/>
        <v/>
      </c>
      <c r="T100" s="382" t="str">
        <f t="shared" ca="1" si="22"/>
        <v/>
      </c>
      <c r="U100" s="382" t="str">
        <f t="shared" ref="U100:CA105" ca="1" si="24">IF($D100&gt;$C$61,0,IF($D100&gt;U$5,"",OFFSET(U$62,0,-($D100-1))))</f>
        <v/>
      </c>
      <c r="V100" s="382" t="str">
        <f t="shared" ca="1" si="24"/>
        <v/>
      </c>
      <c r="W100" s="382" t="str">
        <f t="shared" ca="1" si="24"/>
        <v/>
      </c>
      <c r="X100" s="382" t="str">
        <f t="shared" ca="1" si="24"/>
        <v/>
      </c>
      <c r="Y100" s="382" t="str">
        <f t="shared" ca="1" si="24"/>
        <v/>
      </c>
      <c r="Z100" s="382" t="str">
        <f t="shared" ca="1" si="24"/>
        <v/>
      </c>
      <c r="AA100" s="382" t="str">
        <f t="shared" ca="1" si="24"/>
        <v/>
      </c>
      <c r="AB100" s="382" t="str">
        <f t="shared" ca="1" si="24"/>
        <v/>
      </c>
      <c r="AC100" s="382" t="str">
        <f t="shared" ca="1" si="24"/>
        <v/>
      </c>
      <c r="AD100" s="382" t="str">
        <f t="shared" ca="1" si="24"/>
        <v/>
      </c>
      <c r="AE100" s="382" t="str">
        <f t="shared" ca="1" si="24"/>
        <v/>
      </c>
      <c r="AF100" s="382" t="str">
        <f t="shared" ca="1" si="24"/>
        <v/>
      </c>
      <c r="AG100" s="382" t="str">
        <f t="shared" ca="1" si="24"/>
        <v/>
      </c>
      <c r="AH100" s="382" t="str">
        <f t="shared" ca="1" si="24"/>
        <v/>
      </c>
      <c r="AI100" s="382" t="str">
        <f t="shared" ca="1" si="24"/>
        <v/>
      </c>
      <c r="AJ100" s="382" t="str">
        <f t="shared" ca="1" si="24"/>
        <v/>
      </c>
      <c r="AK100" s="382" t="str">
        <f t="shared" ca="1" si="24"/>
        <v/>
      </c>
      <c r="AL100" s="382" t="str">
        <f t="shared" ca="1" si="24"/>
        <v/>
      </c>
      <c r="AM100" s="382" t="str">
        <f t="shared" ca="1" si="24"/>
        <v/>
      </c>
      <c r="AN100" s="382" t="str">
        <f t="shared" ca="1" si="24"/>
        <v/>
      </c>
      <c r="AO100" s="382" t="str">
        <f t="shared" ca="1" si="24"/>
        <v/>
      </c>
      <c r="AP100" s="382">
        <f t="shared" ca="1" si="24"/>
        <v>0</v>
      </c>
      <c r="AQ100" s="382">
        <f t="shared" ca="1" si="24"/>
        <v>0</v>
      </c>
      <c r="AR100" s="382">
        <f t="shared" ca="1" si="24"/>
        <v>0</v>
      </c>
      <c r="AS100" s="382">
        <f t="shared" ca="1" si="24"/>
        <v>0</v>
      </c>
      <c r="AT100" s="382">
        <f t="shared" ca="1" si="24"/>
        <v>0</v>
      </c>
      <c r="AU100" s="382">
        <f t="shared" ca="1" si="24"/>
        <v>0</v>
      </c>
      <c r="AV100" s="382">
        <f t="shared" ca="1" si="24"/>
        <v>0</v>
      </c>
      <c r="AW100" s="382">
        <f t="shared" ca="1" si="24"/>
        <v>0</v>
      </c>
      <c r="AX100" s="382">
        <f t="shared" ca="1" si="24"/>
        <v>0</v>
      </c>
      <c r="AY100" s="382">
        <f t="shared" ca="1" si="24"/>
        <v>0</v>
      </c>
      <c r="AZ100" s="382">
        <f t="shared" ca="1" si="24"/>
        <v>0</v>
      </c>
      <c r="BA100" s="382">
        <f t="shared" ca="1" si="24"/>
        <v>0</v>
      </c>
      <c r="BB100" s="382">
        <f t="shared" ca="1" si="24"/>
        <v>0</v>
      </c>
      <c r="BC100" s="382">
        <f t="shared" ca="1" si="24"/>
        <v>0</v>
      </c>
      <c r="BD100" s="382">
        <f t="shared" ca="1" si="24"/>
        <v>0</v>
      </c>
      <c r="BE100" s="382">
        <f t="shared" ca="1" si="24"/>
        <v>0</v>
      </c>
      <c r="BF100" s="382">
        <f t="shared" ca="1" si="24"/>
        <v>0</v>
      </c>
      <c r="BG100" s="382">
        <f t="shared" ca="1" si="24"/>
        <v>0</v>
      </c>
      <c r="BH100" s="382">
        <f t="shared" ca="1" si="24"/>
        <v>0</v>
      </c>
      <c r="BI100" s="382">
        <f t="shared" ca="1" si="24"/>
        <v>0</v>
      </c>
      <c r="BJ100" s="382">
        <f t="shared" ca="1" si="24"/>
        <v>0</v>
      </c>
      <c r="BK100" s="382">
        <f t="shared" ca="1" si="24"/>
        <v>0</v>
      </c>
      <c r="BL100" s="382">
        <f t="shared" ca="1" si="24"/>
        <v>0</v>
      </c>
    </row>
    <row r="101" spans="1:64" x14ac:dyDescent="0.15">
      <c r="A101" s="395"/>
      <c r="B101" s="395">
        <f ca="1">SUMIFS(SAP_Spreadsheet!$G$11:$BN$11,SAP_Spreadsheet!$G$7:$BN$7,PnL_Speadsheet!$D101)</f>
        <v>0.19683932115370356</v>
      </c>
      <c r="C101" s="395">
        <f>SUMIFS(SAP_Spreadsheet!$G$10:$BN$10,SAP_Spreadsheet!$G$7:$BN$7,PnL_Speadsheet!$D101)</f>
        <v>1</v>
      </c>
      <c r="D101" s="396">
        <f t="shared" si="10"/>
        <v>39</v>
      </c>
      <c r="E101" s="382" t="str">
        <f t="shared" ca="1" si="22"/>
        <v/>
      </c>
      <c r="F101" s="382" t="str">
        <f t="shared" ca="1" si="22"/>
        <v/>
      </c>
      <c r="G101" s="382" t="str">
        <f t="shared" ca="1" si="22"/>
        <v/>
      </c>
      <c r="H101" s="382" t="str">
        <f t="shared" ca="1" si="22"/>
        <v/>
      </c>
      <c r="I101" s="382" t="str">
        <f t="shared" ca="1" si="22"/>
        <v/>
      </c>
      <c r="J101" s="382" t="str">
        <f t="shared" ca="1" si="22"/>
        <v/>
      </c>
      <c r="K101" s="382" t="str">
        <f t="shared" ca="1" si="22"/>
        <v/>
      </c>
      <c r="L101" s="382" t="str">
        <f t="shared" ca="1" si="22"/>
        <v/>
      </c>
      <c r="M101" s="382" t="str">
        <f t="shared" ca="1" si="22"/>
        <v/>
      </c>
      <c r="N101" s="382" t="str">
        <f t="shared" ca="1" si="22"/>
        <v/>
      </c>
      <c r="O101" s="382" t="str">
        <f t="shared" ca="1" si="22"/>
        <v/>
      </c>
      <c r="P101" s="382" t="str">
        <f t="shared" ca="1" si="22"/>
        <v/>
      </c>
      <c r="Q101" s="382" t="str">
        <f t="shared" ca="1" si="22"/>
        <v/>
      </c>
      <c r="R101" s="382" t="str">
        <f t="shared" ca="1" si="22"/>
        <v/>
      </c>
      <c r="S101" s="382" t="str">
        <f t="shared" ca="1" si="22"/>
        <v/>
      </c>
      <c r="T101" s="382" t="str">
        <f t="shared" ca="1" si="22"/>
        <v/>
      </c>
      <c r="U101" s="382" t="str">
        <f t="shared" ca="1" si="24"/>
        <v/>
      </c>
      <c r="V101" s="382" t="str">
        <f t="shared" ca="1" si="24"/>
        <v/>
      </c>
      <c r="W101" s="382" t="str">
        <f t="shared" ca="1" si="24"/>
        <v/>
      </c>
      <c r="X101" s="382" t="str">
        <f t="shared" ca="1" si="24"/>
        <v/>
      </c>
      <c r="Y101" s="382" t="str">
        <f t="shared" ca="1" si="24"/>
        <v/>
      </c>
      <c r="Z101" s="382" t="str">
        <f t="shared" ca="1" si="24"/>
        <v/>
      </c>
      <c r="AA101" s="382" t="str">
        <f t="shared" ca="1" si="24"/>
        <v/>
      </c>
      <c r="AB101" s="382" t="str">
        <f t="shared" ca="1" si="24"/>
        <v/>
      </c>
      <c r="AC101" s="382" t="str">
        <f t="shared" ca="1" si="24"/>
        <v/>
      </c>
      <c r="AD101" s="382" t="str">
        <f t="shared" ca="1" si="24"/>
        <v/>
      </c>
      <c r="AE101" s="382" t="str">
        <f t="shared" ca="1" si="24"/>
        <v/>
      </c>
      <c r="AF101" s="382" t="str">
        <f t="shared" ca="1" si="24"/>
        <v/>
      </c>
      <c r="AG101" s="382" t="str">
        <f t="shared" ca="1" si="24"/>
        <v/>
      </c>
      <c r="AH101" s="382" t="str">
        <f t="shared" ca="1" si="24"/>
        <v/>
      </c>
      <c r="AI101" s="382" t="str">
        <f t="shared" ca="1" si="24"/>
        <v/>
      </c>
      <c r="AJ101" s="382" t="str">
        <f t="shared" ca="1" si="24"/>
        <v/>
      </c>
      <c r="AK101" s="382" t="str">
        <f t="shared" ca="1" si="24"/>
        <v/>
      </c>
      <c r="AL101" s="382" t="str">
        <f t="shared" ca="1" si="24"/>
        <v/>
      </c>
      <c r="AM101" s="382" t="str">
        <f t="shared" ca="1" si="24"/>
        <v/>
      </c>
      <c r="AN101" s="382" t="str">
        <f t="shared" ca="1" si="24"/>
        <v/>
      </c>
      <c r="AO101" s="382" t="str">
        <f t="shared" ca="1" si="24"/>
        <v/>
      </c>
      <c r="AP101" s="382" t="str">
        <f t="shared" ca="1" si="24"/>
        <v/>
      </c>
      <c r="AQ101" s="382">
        <f t="shared" ca="1" si="24"/>
        <v>0</v>
      </c>
      <c r="AR101" s="382">
        <f t="shared" ca="1" si="24"/>
        <v>0</v>
      </c>
      <c r="AS101" s="382">
        <f t="shared" ca="1" si="24"/>
        <v>0</v>
      </c>
      <c r="AT101" s="382">
        <f t="shared" ca="1" si="24"/>
        <v>0</v>
      </c>
      <c r="AU101" s="382">
        <f t="shared" ca="1" si="24"/>
        <v>0</v>
      </c>
      <c r="AV101" s="382">
        <f t="shared" ca="1" si="24"/>
        <v>0</v>
      </c>
      <c r="AW101" s="382">
        <f t="shared" ca="1" si="24"/>
        <v>0</v>
      </c>
      <c r="AX101" s="382">
        <f t="shared" ca="1" si="24"/>
        <v>0</v>
      </c>
      <c r="AY101" s="382">
        <f t="shared" ca="1" si="24"/>
        <v>0</v>
      </c>
      <c r="AZ101" s="382">
        <f t="shared" ca="1" si="24"/>
        <v>0</v>
      </c>
      <c r="BA101" s="382">
        <f t="shared" ca="1" si="24"/>
        <v>0</v>
      </c>
      <c r="BB101" s="382">
        <f t="shared" ca="1" si="24"/>
        <v>0</v>
      </c>
      <c r="BC101" s="382">
        <f t="shared" ca="1" si="24"/>
        <v>0</v>
      </c>
      <c r="BD101" s="382">
        <f t="shared" ca="1" si="24"/>
        <v>0</v>
      </c>
      <c r="BE101" s="382">
        <f t="shared" ca="1" si="24"/>
        <v>0</v>
      </c>
      <c r="BF101" s="382">
        <f t="shared" ca="1" si="24"/>
        <v>0</v>
      </c>
      <c r="BG101" s="382">
        <f t="shared" ca="1" si="24"/>
        <v>0</v>
      </c>
      <c r="BH101" s="382">
        <f t="shared" ca="1" si="24"/>
        <v>0</v>
      </c>
      <c r="BI101" s="382">
        <f t="shared" ca="1" si="24"/>
        <v>0</v>
      </c>
      <c r="BJ101" s="382">
        <f t="shared" ca="1" si="24"/>
        <v>0</v>
      </c>
      <c r="BK101" s="382">
        <f t="shared" ca="1" si="24"/>
        <v>0</v>
      </c>
      <c r="BL101" s="382">
        <f t="shared" ca="1" si="24"/>
        <v>0</v>
      </c>
    </row>
    <row r="102" spans="1:64" x14ac:dyDescent="0.15">
      <c r="A102" s="395"/>
      <c r="B102" s="395">
        <f ca="1">SUMIFS(SAP_Spreadsheet!$G$11:$BN$11,SAP_Spreadsheet!$G$7:$BN$7,PnL_Speadsheet!$D102)</f>
        <v>0.19240812271003921</v>
      </c>
      <c r="C102" s="395">
        <f>SUMIFS(SAP_Spreadsheet!$G$10:$BN$10,SAP_Spreadsheet!$G$7:$BN$7,PnL_Speadsheet!$D102)</f>
        <v>1</v>
      </c>
      <c r="D102" s="396">
        <f t="shared" si="10"/>
        <v>40</v>
      </c>
      <c r="E102" s="382" t="str">
        <f t="shared" ca="1" si="22"/>
        <v/>
      </c>
      <c r="F102" s="382" t="str">
        <f t="shared" ca="1" si="22"/>
        <v/>
      </c>
      <c r="G102" s="382" t="str">
        <f t="shared" ca="1" si="22"/>
        <v/>
      </c>
      <c r="H102" s="382" t="str">
        <f t="shared" ca="1" si="22"/>
        <v/>
      </c>
      <c r="I102" s="382" t="str">
        <f t="shared" ca="1" si="22"/>
        <v/>
      </c>
      <c r="J102" s="382" t="str">
        <f t="shared" ca="1" si="22"/>
        <v/>
      </c>
      <c r="K102" s="382" t="str">
        <f t="shared" ca="1" si="22"/>
        <v/>
      </c>
      <c r="L102" s="382" t="str">
        <f t="shared" ca="1" si="22"/>
        <v/>
      </c>
      <c r="M102" s="382" t="str">
        <f t="shared" ca="1" si="22"/>
        <v/>
      </c>
      <c r="N102" s="382" t="str">
        <f t="shared" ca="1" si="22"/>
        <v/>
      </c>
      <c r="O102" s="382" t="str">
        <f t="shared" ca="1" si="22"/>
        <v/>
      </c>
      <c r="P102" s="382" t="str">
        <f t="shared" ca="1" si="22"/>
        <v/>
      </c>
      <c r="Q102" s="382" t="str">
        <f t="shared" ca="1" si="22"/>
        <v/>
      </c>
      <c r="R102" s="382" t="str">
        <f t="shared" ca="1" si="22"/>
        <v/>
      </c>
      <c r="S102" s="382" t="str">
        <f t="shared" ca="1" si="22"/>
        <v/>
      </c>
      <c r="T102" s="382" t="str">
        <f t="shared" ca="1" si="22"/>
        <v/>
      </c>
      <c r="U102" s="382" t="str">
        <f t="shared" ca="1" si="24"/>
        <v/>
      </c>
      <c r="V102" s="382" t="str">
        <f t="shared" ca="1" si="24"/>
        <v/>
      </c>
      <c r="W102" s="382" t="str">
        <f t="shared" ca="1" si="24"/>
        <v/>
      </c>
      <c r="X102" s="382" t="str">
        <f t="shared" ca="1" si="24"/>
        <v/>
      </c>
      <c r="Y102" s="382" t="str">
        <f t="shared" ca="1" si="24"/>
        <v/>
      </c>
      <c r="Z102" s="382" t="str">
        <f t="shared" ca="1" si="24"/>
        <v/>
      </c>
      <c r="AA102" s="382" t="str">
        <f t="shared" ca="1" si="24"/>
        <v/>
      </c>
      <c r="AB102" s="382" t="str">
        <f t="shared" ca="1" si="24"/>
        <v/>
      </c>
      <c r="AC102" s="382" t="str">
        <f t="shared" ca="1" si="24"/>
        <v/>
      </c>
      <c r="AD102" s="382" t="str">
        <f t="shared" ca="1" si="24"/>
        <v/>
      </c>
      <c r="AE102" s="382" t="str">
        <f t="shared" ca="1" si="24"/>
        <v/>
      </c>
      <c r="AF102" s="382" t="str">
        <f t="shared" ca="1" si="24"/>
        <v/>
      </c>
      <c r="AG102" s="382" t="str">
        <f t="shared" ca="1" si="24"/>
        <v/>
      </c>
      <c r="AH102" s="382" t="str">
        <f t="shared" ca="1" si="24"/>
        <v/>
      </c>
      <c r="AI102" s="382" t="str">
        <f t="shared" ca="1" si="24"/>
        <v/>
      </c>
      <c r="AJ102" s="382" t="str">
        <f t="shared" ca="1" si="24"/>
        <v/>
      </c>
      <c r="AK102" s="382" t="str">
        <f t="shared" ca="1" si="24"/>
        <v/>
      </c>
      <c r="AL102" s="382" t="str">
        <f t="shared" ca="1" si="24"/>
        <v/>
      </c>
      <c r="AM102" s="382" t="str">
        <f t="shared" ca="1" si="24"/>
        <v/>
      </c>
      <c r="AN102" s="382" t="str">
        <f t="shared" ca="1" si="24"/>
        <v/>
      </c>
      <c r="AO102" s="382" t="str">
        <f t="shared" ca="1" si="24"/>
        <v/>
      </c>
      <c r="AP102" s="382" t="str">
        <f t="shared" ca="1" si="24"/>
        <v/>
      </c>
      <c r="AQ102" s="382" t="str">
        <f t="shared" ca="1" si="24"/>
        <v/>
      </c>
      <c r="AR102" s="382">
        <f t="shared" ca="1" si="24"/>
        <v>0</v>
      </c>
      <c r="AS102" s="382">
        <f t="shared" ca="1" si="24"/>
        <v>0</v>
      </c>
      <c r="AT102" s="382">
        <f t="shared" ca="1" si="24"/>
        <v>0</v>
      </c>
      <c r="AU102" s="382">
        <f t="shared" ca="1" si="24"/>
        <v>0</v>
      </c>
      <c r="AV102" s="382">
        <f t="shared" ca="1" si="24"/>
        <v>0</v>
      </c>
      <c r="AW102" s="382">
        <f t="shared" ca="1" si="24"/>
        <v>0</v>
      </c>
      <c r="AX102" s="382">
        <f t="shared" ca="1" si="24"/>
        <v>0</v>
      </c>
      <c r="AY102" s="382">
        <f t="shared" ca="1" si="24"/>
        <v>0</v>
      </c>
      <c r="AZ102" s="382">
        <f t="shared" ca="1" si="24"/>
        <v>0</v>
      </c>
      <c r="BA102" s="382">
        <f t="shared" ca="1" si="24"/>
        <v>0</v>
      </c>
      <c r="BB102" s="382">
        <f t="shared" ca="1" si="24"/>
        <v>0</v>
      </c>
      <c r="BC102" s="382">
        <f t="shared" ca="1" si="24"/>
        <v>0</v>
      </c>
      <c r="BD102" s="382">
        <f t="shared" ca="1" si="24"/>
        <v>0</v>
      </c>
      <c r="BE102" s="382">
        <f t="shared" ca="1" si="24"/>
        <v>0</v>
      </c>
      <c r="BF102" s="382">
        <f t="shared" ca="1" si="24"/>
        <v>0</v>
      </c>
      <c r="BG102" s="382">
        <f t="shared" ca="1" si="24"/>
        <v>0</v>
      </c>
      <c r="BH102" s="382">
        <f t="shared" ca="1" si="24"/>
        <v>0</v>
      </c>
      <c r="BI102" s="382">
        <f t="shared" ca="1" si="24"/>
        <v>0</v>
      </c>
      <c r="BJ102" s="382">
        <f t="shared" ca="1" si="24"/>
        <v>0</v>
      </c>
      <c r="BK102" s="382">
        <f t="shared" ca="1" si="24"/>
        <v>0</v>
      </c>
      <c r="BL102" s="382">
        <f t="shared" ca="1" si="24"/>
        <v>0</v>
      </c>
    </row>
    <row r="103" spans="1:64" x14ac:dyDescent="0.15">
      <c r="A103" s="395"/>
      <c r="B103" s="395">
        <f ca="1">SUMIFS(SAP_Spreadsheet!$G$11:$BN$11,SAP_Spreadsheet!$G$7:$BN$7,PnL_Speadsheet!$D103)</f>
        <v>0.18797692426637486</v>
      </c>
      <c r="C103" s="395">
        <f>SUMIFS(SAP_Spreadsheet!$G$10:$BN$10,SAP_Spreadsheet!$G$7:$BN$7,PnL_Speadsheet!$D103)</f>
        <v>1</v>
      </c>
      <c r="D103" s="396">
        <f t="shared" si="10"/>
        <v>41</v>
      </c>
      <c r="E103" s="382" t="str">
        <f t="shared" ca="1" si="22"/>
        <v/>
      </c>
      <c r="F103" s="382" t="str">
        <f t="shared" ca="1" si="22"/>
        <v/>
      </c>
      <c r="G103" s="382" t="str">
        <f t="shared" ca="1" si="22"/>
        <v/>
      </c>
      <c r="H103" s="382" t="str">
        <f t="shared" ca="1" si="22"/>
        <v/>
      </c>
      <c r="I103" s="382" t="str">
        <f t="shared" ca="1" si="22"/>
        <v/>
      </c>
      <c r="J103" s="382" t="str">
        <f t="shared" ca="1" si="22"/>
        <v/>
      </c>
      <c r="K103" s="382" t="str">
        <f t="shared" ca="1" si="22"/>
        <v/>
      </c>
      <c r="L103" s="382" t="str">
        <f t="shared" ca="1" si="22"/>
        <v/>
      </c>
      <c r="M103" s="382" t="str">
        <f t="shared" ca="1" si="22"/>
        <v/>
      </c>
      <c r="N103" s="382" t="str">
        <f t="shared" ca="1" si="22"/>
        <v/>
      </c>
      <c r="O103" s="382" t="str">
        <f t="shared" ca="1" si="22"/>
        <v/>
      </c>
      <c r="P103" s="382" t="str">
        <f t="shared" ca="1" si="22"/>
        <v/>
      </c>
      <c r="Q103" s="382" t="str">
        <f t="shared" ca="1" si="22"/>
        <v/>
      </c>
      <c r="R103" s="382" t="str">
        <f t="shared" ca="1" si="22"/>
        <v/>
      </c>
      <c r="S103" s="382" t="str">
        <f t="shared" ca="1" si="22"/>
        <v/>
      </c>
      <c r="T103" s="382" t="str">
        <f t="shared" ca="1" si="22"/>
        <v/>
      </c>
      <c r="U103" s="382" t="str">
        <f t="shared" ca="1" si="24"/>
        <v/>
      </c>
      <c r="V103" s="382" t="str">
        <f t="shared" ca="1" si="24"/>
        <v/>
      </c>
      <c r="W103" s="382" t="str">
        <f t="shared" ca="1" si="24"/>
        <v/>
      </c>
      <c r="X103" s="382" t="str">
        <f t="shared" ca="1" si="24"/>
        <v/>
      </c>
      <c r="Y103" s="382" t="str">
        <f t="shared" ca="1" si="24"/>
        <v/>
      </c>
      <c r="Z103" s="382" t="str">
        <f t="shared" ca="1" si="24"/>
        <v/>
      </c>
      <c r="AA103" s="382" t="str">
        <f t="shared" ca="1" si="24"/>
        <v/>
      </c>
      <c r="AB103" s="382" t="str">
        <f t="shared" ca="1" si="24"/>
        <v/>
      </c>
      <c r="AC103" s="382" t="str">
        <f t="shared" ca="1" si="24"/>
        <v/>
      </c>
      <c r="AD103" s="382" t="str">
        <f t="shared" ca="1" si="24"/>
        <v/>
      </c>
      <c r="AE103" s="382" t="str">
        <f t="shared" ca="1" si="24"/>
        <v/>
      </c>
      <c r="AF103" s="382" t="str">
        <f t="shared" ca="1" si="24"/>
        <v/>
      </c>
      <c r="AG103" s="382" t="str">
        <f t="shared" ca="1" si="24"/>
        <v/>
      </c>
      <c r="AH103" s="382" t="str">
        <f t="shared" ca="1" si="24"/>
        <v/>
      </c>
      <c r="AI103" s="382" t="str">
        <f t="shared" ca="1" si="24"/>
        <v/>
      </c>
      <c r="AJ103" s="382" t="str">
        <f t="shared" ca="1" si="24"/>
        <v/>
      </c>
      <c r="AK103" s="382" t="str">
        <f t="shared" ca="1" si="24"/>
        <v/>
      </c>
      <c r="AL103" s="382" t="str">
        <f t="shared" ca="1" si="24"/>
        <v/>
      </c>
      <c r="AM103" s="382" t="str">
        <f t="shared" ca="1" si="24"/>
        <v/>
      </c>
      <c r="AN103" s="382" t="str">
        <f t="shared" ca="1" si="24"/>
        <v/>
      </c>
      <c r="AO103" s="382" t="str">
        <f t="shared" ca="1" si="24"/>
        <v/>
      </c>
      <c r="AP103" s="382" t="str">
        <f t="shared" ca="1" si="24"/>
        <v/>
      </c>
      <c r="AQ103" s="382" t="str">
        <f t="shared" ca="1" si="24"/>
        <v/>
      </c>
      <c r="AR103" s="382" t="str">
        <f t="shared" ca="1" si="24"/>
        <v/>
      </c>
      <c r="AS103" s="382">
        <f t="shared" ca="1" si="24"/>
        <v>0</v>
      </c>
      <c r="AT103" s="382">
        <f t="shared" ca="1" si="24"/>
        <v>0</v>
      </c>
      <c r="AU103" s="382">
        <f t="shared" ca="1" si="24"/>
        <v>0</v>
      </c>
      <c r="AV103" s="382">
        <f t="shared" ca="1" si="24"/>
        <v>0</v>
      </c>
      <c r="AW103" s="382">
        <f t="shared" ca="1" si="24"/>
        <v>0</v>
      </c>
      <c r="AX103" s="382">
        <f t="shared" ca="1" si="24"/>
        <v>0</v>
      </c>
      <c r="AY103" s="382">
        <f t="shared" ca="1" si="24"/>
        <v>0</v>
      </c>
      <c r="AZ103" s="382">
        <f t="shared" ca="1" si="24"/>
        <v>0</v>
      </c>
      <c r="BA103" s="382">
        <f t="shared" ca="1" si="24"/>
        <v>0</v>
      </c>
      <c r="BB103" s="382">
        <f t="shared" ca="1" si="24"/>
        <v>0</v>
      </c>
      <c r="BC103" s="382">
        <f t="shared" ca="1" si="24"/>
        <v>0</v>
      </c>
      <c r="BD103" s="382">
        <f t="shared" ca="1" si="24"/>
        <v>0</v>
      </c>
      <c r="BE103" s="382">
        <f t="shared" ca="1" si="24"/>
        <v>0</v>
      </c>
      <c r="BF103" s="382">
        <f t="shared" ca="1" si="24"/>
        <v>0</v>
      </c>
      <c r="BG103" s="382">
        <f t="shared" ca="1" si="24"/>
        <v>0</v>
      </c>
      <c r="BH103" s="382">
        <f t="shared" ca="1" si="24"/>
        <v>0</v>
      </c>
      <c r="BI103" s="382">
        <f t="shared" ca="1" si="24"/>
        <v>0</v>
      </c>
      <c r="BJ103" s="382">
        <f t="shared" ca="1" si="24"/>
        <v>0</v>
      </c>
      <c r="BK103" s="382">
        <f t="shared" ca="1" si="24"/>
        <v>0</v>
      </c>
      <c r="BL103" s="382">
        <f t="shared" ca="1" si="24"/>
        <v>0</v>
      </c>
    </row>
    <row r="104" spans="1:64" x14ac:dyDescent="0.15">
      <c r="A104" s="395"/>
      <c r="B104" s="395">
        <f ca="1">SUMIFS(SAP_Spreadsheet!$G$11:$BN$11,SAP_Spreadsheet!$G$7:$BN$7,PnL_Speadsheet!$D104)</f>
        <v>0.1835457258227105</v>
      </c>
      <c r="C104" s="395">
        <f>SUMIFS(SAP_Spreadsheet!$G$10:$BN$10,SAP_Spreadsheet!$G$7:$BN$7,PnL_Speadsheet!$D104)</f>
        <v>1</v>
      </c>
      <c r="D104" s="396">
        <f t="shared" si="10"/>
        <v>42</v>
      </c>
      <c r="E104" s="382" t="str">
        <f t="shared" ca="1" si="22"/>
        <v/>
      </c>
      <c r="F104" s="382" t="str">
        <f t="shared" ca="1" si="22"/>
        <v/>
      </c>
      <c r="G104" s="382" t="str">
        <f t="shared" ca="1" si="22"/>
        <v/>
      </c>
      <c r="H104" s="382" t="str">
        <f t="shared" ca="1" si="22"/>
        <v/>
      </c>
      <c r="I104" s="382" t="str">
        <f t="shared" ca="1" si="22"/>
        <v/>
      </c>
      <c r="J104" s="382" t="str">
        <f t="shared" ca="1" si="22"/>
        <v/>
      </c>
      <c r="K104" s="382" t="str">
        <f t="shared" ca="1" si="22"/>
        <v/>
      </c>
      <c r="L104" s="382" t="str">
        <f t="shared" ca="1" si="22"/>
        <v/>
      </c>
      <c r="M104" s="382" t="str">
        <f t="shared" ca="1" si="22"/>
        <v/>
      </c>
      <c r="N104" s="382" t="str">
        <f t="shared" ca="1" si="22"/>
        <v/>
      </c>
      <c r="O104" s="382" t="str">
        <f t="shared" ca="1" si="22"/>
        <v/>
      </c>
      <c r="P104" s="382" t="str">
        <f t="shared" ca="1" si="22"/>
        <v/>
      </c>
      <c r="Q104" s="382" t="str">
        <f t="shared" ca="1" si="22"/>
        <v/>
      </c>
      <c r="R104" s="382" t="str">
        <f t="shared" ca="1" si="22"/>
        <v/>
      </c>
      <c r="S104" s="382" t="str">
        <f t="shared" ca="1" si="22"/>
        <v/>
      </c>
      <c r="T104" s="382" t="str">
        <f t="shared" ca="1" si="22"/>
        <v/>
      </c>
      <c r="U104" s="382" t="str">
        <f t="shared" ca="1" si="24"/>
        <v/>
      </c>
      <c r="V104" s="382" t="str">
        <f t="shared" ca="1" si="24"/>
        <v/>
      </c>
      <c r="W104" s="382" t="str">
        <f t="shared" ca="1" si="24"/>
        <v/>
      </c>
      <c r="X104" s="382" t="str">
        <f t="shared" ca="1" si="24"/>
        <v/>
      </c>
      <c r="Y104" s="382" t="str">
        <f t="shared" ca="1" si="24"/>
        <v/>
      </c>
      <c r="Z104" s="382" t="str">
        <f t="shared" ca="1" si="24"/>
        <v/>
      </c>
      <c r="AA104" s="382" t="str">
        <f t="shared" ca="1" si="24"/>
        <v/>
      </c>
      <c r="AB104" s="382" t="str">
        <f t="shared" ca="1" si="24"/>
        <v/>
      </c>
      <c r="AC104" s="382" t="str">
        <f t="shared" ca="1" si="24"/>
        <v/>
      </c>
      <c r="AD104" s="382" t="str">
        <f t="shared" ca="1" si="24"/>
        <v/>
      </c>
      <c r="AE104" s="382" t="str">
        <f t="shared" ca="1" si="24"/>
        <v/>
      </c>
      <c r="AF104" s="382" t="str">
        <f t="shared" ca="1" si="24"/>
        <v/>
      </c>
      <c r="AG104" s="382" t="str">
        <f t="shared" ca="1" si="24"/>
        <v/>
      </c>
      <c r="AH104" s="382" t="str">
        <f t="shared" ca="1" si="24"/>
        <v/>
      </c>
      <c r="AI104" s="382" t="str">
        <f t="shared" ca="1" si="24"/>
        <v/>
      </c>
      <c r="AJ104" s="382" t="str">
        <f t="shared" ca="1" si="24"/>
        <v/>
      </c>
      <c r="AK104" s="382" t="str">
        <f t="shared" ca="1" si="24"/>
        <v/>
      </c>
      <c r="AL104" s="382" t="str">
        <f t="shared" ca="1" si="24"/>
        <v/>
      </c>
      <c r="AM104" s="382" t="str">
        <f t="shared" ca="1" si="24"/>
        <v/>
      </c>
      <c r="AN104" s="382" t="str">
        <f t="shared" ca="1" si="24"/>
        <v/>
      </c>
      <c r="AO104" s="382" t="str">
        <f t="shared" ca="1" si="24"/>
        <v/>
      </c>
      <c r="AP104" s="382" t="str">
        <f t="shared" ca="1" si="24"/>
        <v/>
      </c>
      <c r="AQ104" s="382" t="str">
        <f t="shared" ca="1" si="24"/>
        <v/>
      </c>
      <c r="AR104" s="382" t="str">
        <f t="shared" ca="1" si="24"/>
        <v/>
      </c>
      <c r="AS104" s="382" t="str">
        <f t="shared" ca="1" si="24"/>
        <v/>
      </c>
      <c r="AT104" s="382">
        <f t="shared" ca="1" si="24"/>
        <v>0</v>
      </c>
      <c r="AU104" s="382">
        <f t="shared" ca="1" si="24"/>
        <v>0</v>
      </c>
      <c r="AV104" s="382">
        <f t="shared" ca="1" si="24"/>
        <v>0</v>
      </c>
      <c r="AW104" s="382">
        <f t="shared" ca="1" si="24"/>
        <v>0</v>
      </c>
      <c r="AX104" s="382">
        <f t="shared" ca="1" si="24"/>
        <v>0</v>
      </c>
      <c r="AY104" s="382">
        <f t="shared" ca="1" si="24"/>
        <v>0</v>
      </c>
      <c r="AZ104" s="382">
        <f t="shared" ca="1" si="24"/>
        <v>0</v>
      </c>
      <c r="BA104" s="382">
        <f t="shared" ca="1" si="24"/>
        <v>0</v>
      </c>
      <c r="BB104" s="382">
        <f t="shared" ca="1" si="24"/>
        <v>0</v>
      </c>
      <c r="BC104" s="382">
        <f t="shared" ca="1" si="24"/>
        <v>0</v>
      </c>
      <c r="BD104" s="382">
        <f t="shared" ca="1" si="24"/>
        <v>0</v>
      </c>
      <c r="BE104" s="382">
        <f t="shared" ca="1" si="24"/>
        <v>0</v>
      </c>
      <c r="BF104" s="382">
        <f t="shared" ca="1" si="24"/>
        <v>0</v>
      </c>
      <c r="BG104" s="382">
        <f t="shared" ca="1" si="24"/>
        <v>0</v>
      </c>
      <c r="BH104" s="382">
        <f t="shared" ca="1" si="24"/>
        <v>0</v>
      </c>
      <c r="BI104" s="382">
        <f t="shared" ca="1" si="24"/>
        <v>0</v>
      </c>
      <c r="BJ104" s="382">
        <f t="shared" ca="1" si="24"/>
        <v>0</v>
      </c>
      <c r="BK104" s="382">
        <f t="shared" ca="1" si="24"/>
        <v>0</v>
      </c>
      <c r="BL104" s="382">
        <f t="shared" ca="1" si="24"/>
        <v>0</v>
      </c>
    </row>
    <row r="105" spans="1:64" x14ac:dyDescent="0.15">
      <c r="A105" s="395"/>
      <c r="B105" s="395">
        <f ca="1">SUMIFS(SAP_Spreadsheet!$G$11:$BN$11,SAP_Spreadsheet!$G$7:$BN$7,PnL_Speadsheet!$D105)</f>
        <v>0.17911452737904615</v>
      </c>
      <c r="C105" s="395">
        <f>SUMIFS(SAP_Spreadsheet!$G$10:$BN$10,SAP_Spreadsheet!$G$7:$BN$7,PnL_Speadsheet!$D105)</f>
        <v>1</v>
      </c>
      <c r="D105" s="396">
        <f t="shared" si="10"/>
        <v>43</v>
      </c>
      <c r="E105" s="382" t="str">
        <f t="shared" ca="1" si="22"/>
        <v/>
      </c>
      <c r="F105" s="382" t="str">
        <f t="shared" ca="1" si="22"/>
        <v/>
      </c>
      <c r="G105" s="382" t="str">
        <f t="shared" ca="1" si="22"/>
        <v/>
      </c>
      <c r="H105" s="382" t="str">
        <f t="shared" ca="1" si="22"/>
        <v/>
      </c>
      <c r="I105" s="382" t="str">
        <f t="shared" ca="1" si="22"/>
        <v/>
      </c>
      <c r="J105" s="382" t="str">
        <f t="shared" ca="1" si="22"/>
        <v/>
      </c>
      <c r="K105" s="382" t="str">
        <f t="shared" ca="1" si="22"/>
        <v/>
      </c>
      <c r="L105" s="382" t="str">
        <f t="shared" ca="1" si="22"/>
        <v/>
      </c>
      <c r="M105" s="382" t="str">
        <f t="shared" ca="1" si="22"/>
        <v/>
      </c>
      <c r="N105" s="382" t="str">
        <f t="shared" ca="1" si="22"/>
        <v/>
      </c>
      <c r="O105" s="382" t="str">
        <f t="shared" ca="1" si="22"/>
        <v/>
      </c>
      <c r="P105" s="382" t="str">
        <f t="shared" ca="1" si="22"/>
        <v/>
      </c>
      <c r="Q105" s="382" t="str">
        <f t="shared" ca="1" si="22"/>
        <v/>
      </c>
      <c r="R105" s="382" t="str">
        <f t="shared" ca="1" si="22"/>
        <v/>
      </c>
      <c r="S105" s="382" t="str">
        <f t="shared" ca="1" si="22"/>
        <v/>
      </c>
      <c r="T105" s="382" t="str">
        <f t="shared" ca="1" si="22"/>
        <v/>
      </c>
      <c r="U105" s="382" t="str">
        <f t="shared" ca="1" si="24"/>
        <v/>
      </c>
      <c r="V105" s="382" t="str">
        <f t="shared" ca="1" si="24"/>
        <v/>
      </c>
      <c r="W105" s="382" t="str">
        <f t="shared" ca="1" si="24"/>
        <v/>
      </c>
      <c r="X105" s="382" t="str">
        <f t="shared" ca="1" si="24"/>
        <v/>
      </c>
      <c r="Y105" s="382" t="str">
        <f t="shared" ca="1" si="24"/>
        <v/>
      </c>
      <c r="Z105" s="382" t="str">
        <f t="shared" ca="1" si="24"/>
        <v/>
      </c>
      <c r="AA105" s="382" t="str">
        <f t="shared" ca="1" si="24"/>
        <v/>
      </c>
      <c r="AB105" s="382" t="str">
        <f t="shared" ca="1" si="24"/>
        <v/>
      </c>
      <c r="AC105" s="382" t="str">
        <f t="shared" ca="1" si="24"/>
        <v/>
      </c>
      <c r="AD105" s="382" t="str">
        <f t="shared" ca="1" si="24"/>
        <v/>
      </c>
      <c r="AE105" s="382" t="str">
        <f t="shared" ca="1" si="24"/>
        <v/>
      </c>
      <c r="AF105" s="382" t="str">
        <f t="shared" ca="1" si="24"/>
        <v/>
      </c>
      <c r="AG105" s="382" t="str">
        <f t="shared" ca="1" si="24"/>
        <v/>
      </c>
      <c r="AH105" s="382" t="str">
        <f t="shared" ca="1" si="24"/>
        <v/>
      </c>
      <c r="AI105" s="382" t="str">
        <f t="shared" ca="1" si="24"/>
        <v/>
      </c>
      <c r="AJ105" s="382" t="str">
        <f t="shared" ca="1" si="24"/>
        <v/>
      </c>
      <c r="AK105" s="382" t="str">
        <f t="shared" ca="1" si="24"/>
        <v/>
      </c>
      <c r="AL105" s="382" t="str">
        <f t="shared" ca="1" si="24"/>
        <v/>
      </c>
      <c r="AM105" s="382" t="str">
        <f t="shared" ca="1" si="24"/>
        <v/>
      </c>
      <c r="AN105" s="382" t="str">
        <f t="shared" ca="1" si="24"/>
        <v/>
      </c>
      <c r="AO105" s="382" t="str">
        <f t="shared" ca="1" si="24"/>
        <v/>
      </c>
      <c r="AP105" s="382" t="str">
        <f t="shared" ca="1" si="24"/>
        <v/>
      </c>
      <c r="AQ105" s="382" t="str">
        <f t="shared" ca="1" si="24"/>
        <v/>
      </c>
      <c r="AR105" s="382" t="str">
        <f t="shared" ca="1" si="24"/>
        <v/>
      </c>
      <c r="AS105" s="382" t="str">
        <f t="shared" ca="1" si="24"/>
        <v/>
      </c>
      <c r="AT105" s="382" t="str">
        <f t="shared" ca="1" si="24"/>
        <v/>
      </c>
      <c r="AU105" s="382">
        <f t="shared" ca="1" si="24"/>
        <v>0</v>
      </c>
      <c r="AV105" s="382">
        <f t="shared" ca="1" si="24"/>
        <v>0</v>
      </c>
      <c r="AW105" s="382">
        <f t="shared" ca="1" si="24"/>
        <v>0</v>
      </c>
      <c r="AX105" s="382">
        <f t="shared" ca="1" si="24"/>
        <v>0</v>
      </c>
      <c r="AY105" s="382">
        <f t="shared" ca="1" si="24"/>
        <v>0</v>
      </c>
      <c r="AZ105" s="382">
        <f t="shared" ca="1" si="24"/>
        <v>0</v>
      </c>
      <c r="BA105" s="382">
        <f t="shared" ca="1" si="24"/>
        <v>0</v>
      </c>
      <c r="BB105" s="382">
        <f t="shared" ca="1" si="24"/>
        <v>0</v>
      </c>
      <c r="BC105" s="382">
        <f t="shared" ca="1" si="24"/>
        <v>0</v>
      </c>
      <c r="BD105" s="382">
        <f t="shared" ref="BD105:DJ109" ca="1" si="25">IF($D105&gt;$C$61,0,IF($D105&gt;BD$5,"",OFFSET(BD$62,0,-($D105-1))))</f>
        <v>0</v>
      </c>
      <c r="BE105" s="382">
        <f t="shared" ca="1" si="25"/>
        <v>0</v>
      </c>
      <c r="BF105" s="382">
        <f t="shared" ca="1" si="25"/>
        <v>0</v>
      </c>
      <c r="BG105" s="382">
        <f t="shared" ca="1" si="25"/>
        <v>0</v>
      </c>
      <c r="BH105" s="382">
        <f t="shared" ca="1" si="25"/>
        <v>0</v>
      </c>
      <c r="BI105" s="382">
        <f t="shared" ca="1" si="25"/>
        <v>0</v>
      </c>
      <c r="BJ105" s="382">
        <f t="shared" ca="1" si="25"/>
        <v>0</v>
      </c>
      <c r="BK105" s="382">
        <f t="shared" ca="1" si="25"/>
        <v>0</v>
      </c>
      <c r="BL105" s="382">
        <f t="shared" ca="1" si="25"/>
        <v>0</v>
      </c>
    </row>
    <row r="106" spans="1:64" x14ac:dyDescent="0.15">
      <c r="A106" s="395"/>
      <c r="B106" s="395">
        <f ca="1">SUMIFS(SAP_Spreadsheet!$G$11:$BN$11,SAP_Spreadsheet!$G$7:$BN$7,PnL_Speadsheet!$D106)</f>
        <v>0.1746833289353818</v>
      </c>
      <c r="C106" s="395">
        <f>SUMIFS(SAP_Spreadsheet!$G$10:$BN$10,SAP_Spreadsheet!$G$7:$BN$7,PnL_Speadsheet!$D106)</f>
        <v>1</v>
      </c>
      <c r="D106" s="396">
        <f t="shared" si="10"/>
        <v>44</v>
      </c>
      <c r="E106" s="382" t="str">
        <f t="shared" ca="1" si="22"/>
        <v/>
      </c>
      <c r="F106" s="382" t="str">
        <f t="shared" ca="1" si="22"/>
        <v/>
      </c>
      <c r="G106" s="382" t="str">
        <f t="shared" ca="1" si="22"/>
        <v/>
      </c>
      <c r="H106" s="382" t="str">
        <f t="shared" ca="1" si="22"/>
        <v/>
      </c>
      <c r="I106" s="382" t="str">
        <f t="shared" ca="1" si="22"/>
        <v/>
      </c>
      <c r="J106" s="382" t="str">
        <f t="shared" ca="1" si="22"/>
        <v/>
      </c>
      <c r="K106" s="382" t="str">
        <f t="shared" ca="1" si="22"/>
        <v/>
      </c>
      <c r="L106" s="382" t="str">
        <f t="shared" ca="1" si="22"/>
        <v/>
      </c>
      <c r="M106" s="382" t="str">
        <f t="shared" ca="1" si="22"/>
        <v/>
      </c>
      <c r="N106" s="382" t="str">
        <f t="shared" ca="1" si="22"/>
        <v/>
      </c>
      <c r="O106" s="382" t="str">
        <f t="shared" ca="1" si="22"/>
        <v/>
      </c>
      <c r="P106" s="382" t="str">
        <f t="shared" ca="1" si="22"/>
        <v/>
      </c>
      <c r="Q106" s="382" t="str">
        <f t="shared" ca="1" si="22"/>
        <v/>
      </c>
      <c r="R106" s="382" t="str">
        <f t="shared" ca="1" si="22"/>
        <v/>
      </c>
      <c r="S106" s="382" t="str">
        <f t="shared" ca="1" si="22"/>
        <v/>
      </c>
      <c r="T106" s="382" t="str">
        <f t="shared" ca="1" si="22"/>
        <v/>
      </c>
      <c r="U106" s="382" t="str">
        <f t="shared" ref="U106:CA110" ca="1" si="26">IF($D106&gt;$C$61,0,IF($D106&gt;U$5,"",OFFSET(U$62,0,-($D106-1))))</f>
        <v/>
      </c>
      <c r="V106" s="382" t="str">
        <f t="shared" ca="1" si="26"/>
        <v/>
      </c>
      <c r="W106" s="382" t="str">
        <f t="shared" ca="1" si="26"/>
        <v/>
      </c>
      <c r="X106" s="382" t="str">
        <f t="shared" ca="1" si="26"/>
        <v/>
      </c>
      <c r="Y106" s="382" t="str">
        <f t="shared" ca="1" si="26"/>
        <v/>
      </c>
      <c r="Z106" s="382" t="str">
        <f t="shared" ca="1" si="26"/>
        <v/>
      </c>
      <c r="AA106" s="382" t="str">
        <f t="shared" ca="1" si="26"/>
        <v/>
      </c>
      <c r="AB106" s="382" t="str">
        <f t="shared" ca="1" si="26"/>
        <v/>
      </c>
      <c r="AC106" s="382" t="str">
        <f t="shared" ca="1" si="26"/>
        <v/>
      </c>
      <c r="AD106" s="382" t="str">
        <f t="shared" ca="1" si="26"/>
        <v/>
      </c>
      <c r="AE106" s="382" t="str">
        <f t="shared" ca="1" si="26"/>
        <v/>
      </c>
      <c r="AF106" s="382" t="str">
        <f t="shared" ca="1" si="26"/>
        <v/>
      </c>
      <c r="AG106" s="382" t="str">
        <f t="shared" ca="1" si="26"/>
        <v/>
      </c>
      <c r="AH106" s="382" t="str">
        <f t="shared" ca="1" si="26"/>
        <v/>
      </c>
      <c r="AI106" s="382" t="str">
        <f t="shared" ca="1" si="26"/>
        <v/>
      </c>
      <c r="AJ106" s="382" t="str">
        <f t="shared" ca="1" si="26"/>
        <v/>
      </c>
      <c r="AK106" s="382" t="str">
        <f t="shared" ca="1" si="26"/>
        <v/>
      </c>
      <c r="AL106" s="382" t="str">
        <f t="shared" ca="1" si="26"/>
        <v/>
      </c>
      <c r="AM106" s="382" t="str">
        <f t="shared" ca="1" si="26"/>
        <v/>
      </c>
      <c r="AN106" s="382" t="str">
        <f t="shared" ca="1" si="26"/>
        <v/>
      </c>
      <c r="AO106" s="382" t="str">
        <f t="shared" ca="1" si="26"/>
        <v/>
      </c>
      <c r="AP106" s="382" t="str">
        <f t="shared" ca="1" si="26"/>
        <v/>
      </c>
      <c r="AQ106" s="382" t="str">
        <f t="shared" ca="1" si="26"/>
        <v/>
      </c>
      <c r="AR106" s="382" t="str">
        <f t="shared" ca="1" si="26"/>
        <v/>
      </c>
      <c r="AS106" s="382" t="str">
        <f t="shared" ca="1" si="26"/>
        <v/>
      </c>
      <c r="AT106" s="382" t="str">
        <f t="shared" ca="1" si="26"/>
        <v/>
      </c>
      <c r="AU106" s="382" t="str">
        <f t="shared" ca="1" si="26"/>
        <v/>
      </c>
      <c r="AV106" s="382">
        <f t="shared" ca="1" si="26"/>
        <v>0</v>
      </c>
      <c r="AW106" s="382">
        <f t="shared" ca="1" si="26"/>
        <v>0</v>
      </c>
      <c r="AX106" s="382">
        <f t="shared" ca="1" si="26"/>
        <v>0</v>
      </c>
      <c r="AY106" s="382">
        <f t="shared" ca="1" si="26"/>
        <v>0</v>
      </c>
      <c r="AZ106" s="382">
        <f t="shared" ca="1" si="26"/>
        <v>0</v>
      </c>
      <c r="BA106" s="382">
        <f t="shared" ca="1" si="26"/>
        <v>0</v>
      </c>
      <c r="BB106" s="382">
        <f t="shared" ca="1" si="26"/>
        <v>0</v>
      </c>
      <c r="BC106" s="382">
        <f t="shared" ca="1" si="26"/>
        <v>0</v>
      </c>
      <c r="BD106" s="382">
        <f t="shared" ca="1" si="26"/>
        <v>0</v>
      </c>
      <c r="BE106" s="382">
        <f t="shared" ca="1" si="26"/>
        <v>0</v>
      </c>
      <c r="BF106" s="382">
        <f t="shared" ca="1" si="26"/>
        <v>0</v>
      </c>
      <c r="BG106" s="382">
        <f t="shared" ca="1" si="26"/>
        <v>0</v>
      </c>
      <c r="BH106" s="382">
        <f t="shared" ca="1" si="26"/>
        <v>0</v>
      </c>
      <c r="BI106" s="382">
        <f t="shared" ca="1" si="26"/>
        <v>0</v>
      </c>
      <c r="BJ106" s="382">
        <f t="shared" ca="1" si="26"/>
        <v>0</v>
      </c>
      <c r="BK106" s="382">
        <f t="shared" ca="1" si="26"/>
        <v>0</v>
      </c>
      <c r="BL106" s="382">
        <f t="shared" ca="1" si="26"/>
        <v>0</v>
      </c>
    </row>
    <row r="107" spans="1:64" x14ac:dyDescent="0.15">
      <c r="A107" s="395"/>
      <c r="B107" s="395">
        <f ca="1">SUMIFS(SAP_Spreadsheet!$G$11:$BN$11,SAP_Spreadsheet!$G$7:$BN$7,PnL_Speadsheet!$D107)</f>
        <v>0.17025213049171745</v>
      </c>
      <c r="C107" s="395">
        <f>SUMIFS(SAP_Spreadsheet!$G$10:$BN$10,SAP_Spreadsheet!$G$7:$BN$7,PnL_Speadsheet!$D107)</f>
        <v>1</v>
      </c>
      <c r="D107" s="396">
        <f t="shared" si="10"/>
        <v>45</v>
      </c>
      <c r="E107" s="382" t="str">
        <f t="shared" ca="1" si="22"/>
        <v/>
      </c>
      <c r="F107" s="382" t="str">
        <f t="shared" ca="1" si="22"/>
        <v/>
      </c>
      <c r="G107" s="382" t="str">
        <f t="shared" ca="1" si="22"/>
        <v/>
      </c>
      <c r="H107" s="382" t="str">
        <f t="shared" ca="1" si="22"/>
        <v/>
      </c>
      <c r="I107" s="382" t="str">
        <f t="shared" ca="1" si="22"/>
        <v/>
      </c>
      <c r="J107" s="382" t="str">
        <f t="shared" ca="1" si="22"/>
        <v/>
      </c>
      <c r="K107" s="382" t="str">
        <f t="shared" ca="1" si="22"/>
        <v/>
      </c>
      <c r="L107" s="382" t="str">
        <f t="shared" ca="1" si="22"/>
        <v/>
      </c>
      <c r="M107" s="382" t="str">
        <f t="shared" ca="1" si="22"/>
        <v/>
      </c>
      <c r="N107" s="382" t="str">
        <f t="shared" ca="1" si="22"/>
        <v/>
      </c>
      <c r="O107" s="382" t="str">
        <f t="shared" ca="1" si="22"/>
        <v/>
      </c>
      <c r="P107" s="382" t="str">
        <f t="shared" ca="1" si="22"/>
        <v/>
      </c>
      <c r="Q107" s="382" t="str">
        <f t="shared" ca="1" si="22"/>
        <v/>
      </c>
      <c r="R107" s="382" t="str">
        <f t="shared" ca="1" si="22"/>
        <v/>
      </c>
      <c r="S107" s="382" t="str">
        <f t="shared" ca="1" si="22"/>
        <v/>
      </c>
      <c r="T107" s="382" t="str">
        <f t="shared" ca="1" si="22"/>
        <v/>
      </c>
      <c r="U107" s="382" t="str">
        <f t="shared" ca="1" si="26"/>
        <v/>
      </c>
      <c r="V107" s="382" t="str">
        <f t="shared" ca="1" si="26"/>
        <v/>
      </c>
      <c r="W107" s="382" t="str">
        <f t="shared" ca="1" si="26"/>
        <v/>
      </c>
      <c r="X107" s="382" t="str">
        <f t="shared" ca="1" si="26"/>
        <v/>
      </c>
      <c r="Y107" s="382" t="str">
        <f t="shared" ca="1" si="26"/>
        <v/>
      </c>
      <c r="Z107" s="382" t="str">
        <f t="shared" ca="1" si="26"/>
        <v/>
      </c>
      <c r="AA107" s="382" t="str">
        <f t="shared" ca="1" si="26"/>
        <v/>
      </c>
      <c r="AB107" s="382" t="str">
        <f t="shared" ca="1" si="26"/>
        <v/>
      </c>
      <c r="AC107" s="382" t="str">
        <f t="shared" ca="1" si="26"/>
        <v/>
      </c>
      <c r="AD107" s="382" t="str">
        <f t="shared" ca="1" si="26"/>
        <v/>
      </c>
      <c r="AE107" s="382" t="str">
        <f t="shared" ca="1" si="26"/>
        <v/>
      </c>
      <c r="AF107" s="382" t="str">
        <f t="shared" ca="1" si="26"/>
        <v/>
      </c>
      <c r="AG107" s="382" t="str">
        <f t="shared" ca="1" si="26"/>
        <v/>
      </c>
      <c r="AH107" s="382" t="str">
        <f t="shared" ca="1" si="26"/>
        <v/>
      </c>
      <c r="AI107" s="382" t="str">
        <f t="shared" ca="1" si="26"/>
        <v/>
      </c>
      <c r="AJ107" s="382" t="str">
        <f t="shared" ca="1" si="26"/>
        <v/>
      </c>
      <c r="AK107" s="382" t="str">
        <f t="shared" ca="1" si="26"/>
        <v/>
      </c>
      <c r="AL107" s="382" t="str">
        <f t="shared" ca="1" si="26"/>
        <v/>
      </c>
      <c r="AM107" s="382" t="str">
        <f t="shared" ca="1" si="26"/>
        <v/>
      </c>
      <c r="AN107" s="382" t="str">
        <f t="shared" ca="1" si="26"/>
        <v/>
      </c>
      <c r="AO107" s="382" t="str">
        <f t="shared" ca="1" si="26"/>
        <v/>
      </c>
      <c r="AP107" s="382" t="str">
        <f t="shared" ca="1" si="26"/>
        <v/>
      </c>
      <c r="AQ107" s="382" t="str">
        <f t="shared" ca="1" si="26"/>
        <v/>
      </c>
      <c r="AR107" s="382" t="str">
        <f t="shared" ca="1" si="26"/>
        <v/>
      </c>
      <c r="AS107" s="382" t="str">
        <f t="shared" ca="1" si="26"/>
        <v/>
      </c>
      <c r="AT107" s="382" t="str">
        <f t="shared" ca="1" si="26"/>
        <v/>
      </c>
      <c r="AU107" s="382" t="str">
        <f t="shared" ca="1" si="26"/>
        <v/>
      </c>
      <c r="AV107" s="382" t="str">
        <f t="shared" ca="1" si="26"/>
        <v/>
      </c>
      <c r="AW107" s="382">
        <f t="shared" ca="1" si="26"/>
        <v>0</v>
      </c>
      <c r="AX107" s="382">
        <f t="shared" ca="1" si="26"/>
        <v>0</v>
      </c>
      <c r="AY107" s="382">
        <f t="shared" ca="1" si="26"/>
        <v>0</v>
      </c>
      <c r="AZ107" s="382">
        <f t="shared" ca="1" si="26"/>
        <v>0</v>
      </c>
      <c r="BA107" s="382">
        <f t="shared" ca="1" si="26"/>
        <v>0</v>
      </c>
      <c r="BB107" s="382">
        <f t="shared" ca="1" si="26"/>
        <v>0</v>
      </c>
      <c r="BC107" s="382">
        <f t="shared" ca="1" si="26"/>
        <v>0</v>
      </c>
      <c r="BD107" s="382">
        <f t="shared" ca="1" si="26"/>
        <v>0</v>
      </c>
      <c r="BE107" s="382">
        <f t="shared" ca="1" si="26"/>
        <v>0</v>
      </c>
      <c r="BF107" s="382">
        <f t="shared" ca="1" si="26"/>
        <v>0</v>
      </c>
      <c r="BG107" s="382">
        <f t="shared" ca="1" si="26"/>
        <v>0</v>
      </c>
      <c r="BH107" s="382">
        <f t="shared" ca="1" si="26"/>
        <v>0</v>
      </c>
      <c r="BI107" s="382">
        <f t="shared" ca="1" si="26"/>
        <v>0</v>
      </c>
      <c r="BJ107" s="382">
        <f t="shared" ca="1" si="26"/>
        <v>0</v>
      </c>
      <c r="BK107" s="382">
        <f t="shared" ca="1" si="26"/>
        <v>0</v>
      </c>
      <c r="BL107" s="382">
        <f t="shared" ca="1" si="26"/>
        <v>0</v>
      </c>
    </row>
    <row r="108" spans="1:64" x14ac:dyDescent="0.15">
      <c r="A108" s="395"/>
      <c r="B108" s="395">
        <f ca="1">SUMIFS(SAP_Spreadsheet!$G$11:$BN$11,SAP_Spreadsheet!$G$7:$BN$7,PnL_Speadsheet!$D108)</f>
        <v>0.16582093204805309</v>
      </c>
      <c r="C108" s="395">
        <f>SUMIFS(SAP_Spreadsheet!$G$10:$BN$10,SAP_Spreadsheet!$G$7:$BN$7,PnL_Speadsheet!$D108)</f>
        <v>1</v>
      </c>
      <c r="D108" s="396">
        <f t="shared" si="10"/>
        <v>46</v>
      </c>
      <c r="E108" s="382" t="str">
        <f t="shared" ca="1" si="22"/>
        <v/>
      </c>
      <c r="F108" s="382" t="str">
        <f t="shared" ca="1" si="22"/>
        <v/>
      </c>
      <c r="G108" s="382" t="str">
        <f t="shared" ca="1" si="22"/>
        <v/>
      </c>
      <c r="H108" s="382" t="str">
        <f t="shared" ca="1" si="22"/>
        <v/>
      </c>
      <c r="I108" s="382" t="str">
        <f t="shared" ca="1" si="22"/>
        <v/>
      </c>
      <c r="J108" s="382" t="str">
        <f t="shared" ca="1" si="22"/>
        <v/>
      </c>
      <c r="K108" s="382" t="str">
        <f t="shared" ca="1" si="22"/>
        <v/>
      </c>
      <c r="L108" s="382" t="str">
        <f t="shared" ca="1" si="22"/>
        <v/>
      </c>
      <c r="M108" s="382" t="str">
        <f t="shared" ca="1" si="22"/>
        <v/>
      </c>
      <c r="N108" s="382" t="str">
        <f t="shared" ca="1" si="22"/>
        <v/>
      </c>
      <c r="O108" s="382" t="str">
        <f t="shared" ca="1" si="22"/>
        <v/>
      </c>
      <c r="P108" s="382" t="str">
        <f t="shared" ca="1" si="22"/>
        <v/>
      </c>
      <c r="Q108" s="382" t="str">
        <f t="shared" ca="1" si="22"/>
        <v/>
      </c>
      <c r="R108" s="382" t="str">
        <f t="shared" ca="1" si="22"/>
        <v/>
      </c>
      <c r="S108" s="382" t="str">
        <f t="shared" ca="1" si="22"/>
        <v/>
      </c>
      <c r="T108" s="382" t="str">
        <f t="shared" ca="1" si="22"/>
        <v/>
      </c>
      <c r="U108" s="382" t="str">
        <f t="shared" ca="1" si="26"/>
        <v/>
      </c>
      <c r="V108" s="382" t="str">
        <f t="shared" ca="1" si="26"/>
        <v/>
      </c>
      <c r="W108" s="382" t="str">
        <f t="shared" ca="1" si="26"/>
        <v/>
      </c>
      <c r="X108" s="382" t="str">
        <f t="shared" ca="1" si="26"/>
        <v/>
      </c>
      <c r="Y108" s="382" t="str">
        <f t="shared" ca="1" si="26"/>
        <v/>
      </c>
      <c r="Z108" s="382" t="str">
        <f t="shared" ca="1" si="26"/>
        <v/>
      </c>
      <c r="AA108" s="382" t="str">
        <f t="shared" ca="1" si="26"/>
        <v/>
      </c>
      <c r="AB108" s="382" t="str">
        <f t="shared" ca="1" si="26"/>
        <v/>
      </c>
      <c r="AC108" s="382" t="str">
        <f t="shared" ca="1" si="26"/>
        <v/>
      </c>
      <c r="AD108" s="382" t="str">
        <f t="shared" ca="1" si="26"/>
        <v/>
      </c>
      <c r="AE108" s="382" t="str">
        <f t="shared" ca="1" si="26"/>
        <v/>
      </c>
      <c r="AF108" s="382" t="str">
        <f t="shared" ca="1" si="26"/>
        <v/>
      </c>
      <c r="AG108" s="382" t="str">
        <f t="shared" ca="1" si="26"/>
        <v/>
      </c>
      <c r="AH108" s="382" t="str">
        <f t="shared" ca="1" si="26"/>
        <v/>
      </c>
      <c r="AI108" s="382" t="str">
        <f t="shared" ca="1" si="26"/>
        <v/>
      </c>
      <c r="AJ108" s="382" t="str">
        <f t="shared" ca="1" si="26"/>
        <v/>
      </c>
      <c r="AK108" s="382" t="str">
        <f t="shared" ca="1" si="26"/>
        <v/>
      </c>
      <c r="AL108" s="382" t="str">
        <f t="shared" ca="1" si="26"/>
        <v/>
      </c>
      <c r="AM108" s="382" t="str">
        <f t="shared" ca="1" si="26"/>
        <v/>
      </c>
      <c r="AN108" s="382" t="str">
        <f t="shared" ca="1" si="26"/>
        <v/>
      </c>
      <c r="AO108" s="382" t="str">
        <f t="shared" ca="1" si="26"/>
        <v/>
      </c>
      <c r="AP108" s="382" t="str">
        <f t="shared" ca="1" si="26"/>
        <v/>
      </c>
      <c r="AQ108" s="382" t="str">
        <f t="shared" ca="1" si="26"/>
        <v/>
      </c>
      <c r="AR108" s="382" t="str">
        <f t="shared" ca="1" si="26"/>
        <v/>
      </c>
      <c r="AS108" s="382" t="str">
        <f t="shared" ca="1" si="26"/>
        <v/>
      </c>
      <c r="AT108" s="382" t="str">
        <f t="shared" ca="1" si="26"/>
        <v/>
      </c>
      <c r="AU108" s="382" t="str">
        <f t="shared" ca="1" si="26"/>
        <v/>
      </c>
      <c r="AV108" s="382" t="str">
        <f t="shared" ca="1" si="26"/>
        <v/>
      </c>
      <c r="AW108" s="382" t="str">
        <f t="shared" ca="1" si="26"/>
        <v/>
      </c>
      <c r="AX108" s="382">
        <f t="shared" ca="1" si="26"/>
        <v>0</v>
      </c>
      <c r="AY108" s="382">
        <f t="shared" ca="1" si="26"/>
        <v>0</v>
      </c>
      <c r="AZ108" s="382">
        <f t="shared" ca="1" si="26"/>
        <v>0</v>
      </c>
      <c r="BA108" s="382">
        <f t="shared" ca="1" si="26"/>
        <v>0</v>
      </c>
      <c r="BB108" s="382">
        <f t="shared" ca="1" si="26"/>
        <v>0</v>
      </c>
      <c r="BC108" s="382">
        <f t="shared" ca="1" si="26"/>
        <v>0</v>
      </c>
      <c r="BD108" s="382">
        <f t="shared" ca="1" si="26"/>
        <v>0</v>
      </c>
      <c r="BE108" s="382">
        <f t="shared" ca="1" si="26"/>
        <v>0</v>
      </c>
      <c r="BF108" s="382">
        <f t="shared" ca="1" si="26"/>
        <v>0</v>
      </c>
      <c r="BG108" s="382">
        <f t="shared" ca="1" si="26"/>
        <v>0</v>
      </c>
      <c r="BH108" s="382">
        <f t="shared" ca="1" si="26"/>
        <v>0</v>
      </c>
      <c r="BI108" s="382">
        <f t="shared" ca="1" si="26"/>
        <v>0</v>
      </c>
      <c r="BJ108" s="382">
        <f t="shared" ca="1" si="26"/>
        <v>0</v>
      </c>
      <c r="BK108" s="382">
        <f t="shared" ca="1" si="26"/>
        <v>0</v>
      </c>
      <c r="BL108" s="382">
        <f t="shared" ca="1" si="26"/>
        <v>0</v>
      </c>
    </row>
    <row r="109" spans="1:64" x14ac:dyDescent="0.15">
      <c r="A109" s="395"/>
      <c r="B109" s="395">
        <f ca="1">SUMIFS(SAP_Spreadsheet!$G$11:$BN$11,SAP_Spreadsheet!$G$7:$BN$7,PnL_Speadsheet!$D109)</f>
        <v>0.16138973360438874</v>
      </c>
      <c r="C109" s="395">
        <f>SUMIFS(SAP_Spreadsheet!$G$10:$BN$10,SAP_Spreadsheet!$G$7:$BN$7,PnL_Speadsheet!$D109)</f>
        <v>1</v>
      </c>
      <c r="D109" s="396">
        <f t="shared" si="10"/>
        <v>47</v>
      </c>
      <c r="E109" s="382" t="str">
        <f t="shared" ca="1" si="22"/>
        <v/>
      </c>
      <c r="F109" s="382" t="str">
        <f t="shared" ca="1" si="22"/>
        <v/>
      </c>
      <c r="G109" s="382" t="str">
        <f t="shared" ca="1" si="22"/>
        <v/>
      </c>
      <c r="H109" s="382" t="str">
        <f t="shared" ca="1" si="22"/>
        <v/>
      </c>
      <c r="I109" s="382" t="str">
        <f t="shared" ca="1" si="22"/>
        <v/>
      </c>
      <c r="J109" s="382" t="str">
        <f t="shared" ca="1" si="22"/>
        <v/>
      </c>
      <c r="K109" s="382" t="str">
        <f t="shared" ca="1" si="22"/>
        <v/>
      </c>
      <c r="L109" s="382" t="str">
        <f t="shared" ca="1" si="22"/>
        <v/>
      </c>
      <c r="M109" s="382" t="str">
        <f t="shared" ca="1" si="22"/>
        <v/>
      </c>
      <c r="N109" s="382" t="str">
        <f t="shared" ca="1" si="22"/>
        <v/>
      </c>
      <c r="O109" s="382" t="str">
        <f t="shared" ca="1" si="22"/>
        <v/>
      </c>
      <c r="P109" s="382" t="str">
        <f t="shared" ca="1" si="22"/>
        <v/>
      </c>
      <c r="Q109" s="382" t="str">
        <f t="shared" ca="1" si="22"/>
        <v/>
      </c>
      <c r="R109" s="382" t="str">
        <f t="shared" ca="1" si="22"/>
        <v/>
      </c>
      <c r="S109" s="382" t="str">
        <f t="shared" ca="1" si="22"/>
        <v/>
      </c>
      <c r="T109" s="382" t="str">
        <f t="shared" ca="1" si="22"/>
        <v/>
      </c>
      <c r="U109" s="382" t="str">
        <f t="shared" ca="1" si="26"/>
        <v/>
      </c>
      <c r="V109" s="382" t="str">
        <f t="shared" ca="1" si="26"/>
        <v/>
      </c>
      <c r="W109" s="382" t="str">
        <f t="shared" ca="1" si="26"/>
        <v/>
      </c>
      <c r="X109" s="382" t="str">
        <f t="shared" ca="1" si="26"/>
        <v/>
      </c>
      <c r="Y109" s="382" t="str">
        <f t="shared" ca="1" si="26"/>
        <v/>
      </c>
      <c r="Z109" s="382" t="str">
        <f t="shared" ca="1" si="26"/>
        <v/>
      </c>
      <c r="AA109" s="382" t="str">
        <f t="shared" ca="1" si="26"/>
        <v/>
      </c>
      <c r="AB109" s="382" t="str">
        <f t="shared" ca="1" si="26"/>
        <v/>
      </c>
      <c r="AC109" s="382" t="str">
        <f t="shared" ca="1" si="26"/>
        <v/>
      </c>
      <c r="AD109" s="382" t="str">
        <f t="shared" ca="1" si="26"/>
        <v/>
      </c>
      <c r="AE109" s="382" t="str">
        <f t="shared" ca="1" si="26"/>
        <v/>
      </c>
      <c r="AF109" s="382" t="str">
        <f t="shared" ca="1" si="26"/>
        <v/>
      </c>
      <c r="AG109" s="382" t="str">
        <f t="shared" ca="1" si="26"/>
        <v/>
      </c>
      <c r="AH109" s="382" t="str">
        <f t="shared" ca="1" si="26"/>
        <v/>
      </c>
      <c r="AI109" s="382" t="str">
        <f t="shared" ca="1" si="26"/>
        <v/>
      </c>
      <c r="AJ109" s="382" t="str">
        <f t="shared" ca="1" si="26"/>
        <v/>
      </c>
      <c r="AK109" s="382" t="str">
        <f t="shared" ca="1" si="26"/>
        <v/>
      </c>
      <c r="AL109" s="382" t="str">
        <f t="shared" ca="1" si="26"/>
        <v/>
      </c>
      <c r="AM109" s="382" t="str">
        <f t="shared" ca="1" si="26"/>
        <v/>
      </c>
      <c r="AN109" s="382" t="str">
        <f t="shared" ca="1" si="26"/>
        <v/>
      </c>
      <c r="AO109" s="382" t="str">
        <f t="shared" ca="1" si="26"/>
        <v/>
      </c>
      <c r="AP109" s="382" t="str">
        <f t="shared" ca="1" si="26"/>
        <v/>
      </c>
      <c r="AQ109" s="382" t="str">
        <f t="shared" ca="1" si="26"/>
        <v/>
      </c>
      <c r="AR109" s="382" t="str">
        <f t="shared" ca="1" si="26"/>
        <v/>
      </c>
      <c r="AS109" s="382" t="str">
        <f t="shared" ca="1" si="26"/>
        <v/>
      </c>
      <c r="AT109" s="382" t="str">
        <f t="shared" ca="1" si="26"/>
        <v/>
      </c>
      <c r="AU109" s="382" t="str">
        <f t="shared" ca="1" si="26"/>
        <v/>
      </c>
      <c r="AV109" s="382" t="str">
        <f t="shared" ca="1" si="26"/>
        <v/>
      </c>
      <c r="AW109" s="382" t="str">
        <f t="shared" ca="1" si="26"/>
        <v/>
      </c>
      <c r="AX109" s="382" t="str">
        <f t="shared" ca="1" si="26"/>
        <v/>
      </c>
      <c r="AY109" s="382">
        <f t="shared" ca="1" si="26"/>
        <v>0</v>
      </c>
      <c r="AZ109" s="382">
        <f t="shared" ca="1" si="26"/>
        <v>0</v>
      </c>
      <c r="BA109" s="382">
        <f t="shared" ca="1" si="26"/>
        <v>0</v>
      </c>
      <c r="BB109" s="382">
        <f t="shared" ca="1" si="26"/>
        <v>0</v>
      </c>
      <c r="BC109" s="382">
        <f t="shared" ca="1" si="26"/>
        <v>0</v>
      </c>
      <c r="BD109" s="382">
        <f t="shared" ca="1" si="26"/>
        <v>0</v>
      </c>
      <c r="BE109" s="382">
        <f t="shared" ca="1" si="26"/>
        <v>0</v>
      </c>
      <c r="BF109" s="382">
        <f t="shared" ca="1" si="26"/>
        <v>0</v>
      </c>
      <c r="BG109" s="382">
        <f t="shared" ca="1" si="26"/>
        <v>0</v>
      </c>
      <c r="BH109" s="382">
        <f t="shared" ca="1" si="26"/>
        <v>0</v>
      </c>
      <c r="BI109" s="382">
        <f t="shared" ca="1" si="26"/>
        <v>0</v>
      </c>
      <c r="BJ109" s="382">
        <f t="shared" ca="1" si="26"/>
        <v>0</v>
      </c>
      <c r="BK109" s="382">
        <f t="shared" ca="1" si="26"/>
        <v>0</v>
      </c>
      <c r="BL109" s="382">
        <f t="shared" ca="1" si="26"/>
        <v>0</v>
      </c>
    </row>
    <row r="110" spans="1:64" x14ac:dyDescent="0.15">
      <c r="A110" s="395"/>
      <c r="B110" s="395">
        <f ca="1">SUMIFS(SAP_Spreadsheet!$G$11:$BN$11,SAP_Spreadsheet!$G$7:$BN$7,PnL_Speadsheet!$D110)</f>
        <v>0.15695853516072439</v>
      </c>
      <c r="C110" s="395">
        <f>SUMIFS(SAP_Spreadsheet!$G$10:$BN$10,SAP_Spreadsheet!$G$7:$BN$7,PnL_Speadsheet!$D110)</f>
        <v>1</v>
      </c>
      <c r="D110" s="396">
        <f t="shared" si="10"/>
        <v>48</v>
      </c>
      <c r="E110" s="382" t="str">
        <f t="shared" ca="1" si="22"/>
        <v/>
      </c>
      <c r="F110" s="382" t="str">
        <f t="shared" ca="1" si="22"/>
        <v/>
      </c>
      <c r="G110" s="382" t="str">
        <f t="shared" ca="1" si="22"/>
        <v/>
      </c>
      <c r="H110" s="382" t="str">
        <f t="shared" ca="1" si="22"/>
        <v/>
      </c>
      <c r="I110" s="382" t="str">
        <f t="shared" ca="1" si="22"/>
        <v/>
      </c>
      <c r="J110" s="382" t="str">
        <f t="shared" ca="1" si="22"/>
        <v/>
      </c>
      <c r="K110" s="382" t="str">
        <f t="shared" ca="1" si="22"/>
        <v/>
      </c>
      <c r="L110" s="382" t="str">
        <f t="shared" ca="1" si="22"/>
        <v/>
      </c>
      <c r="M110" s="382" t="str">
        <f t="shared" ca="1" si="22"/>
        <v/>
      </c>
      <c r="N110" s="382" t="str">
        <f t="shared" ca="1" si="22"/>
        <v/>
      </c>
      <c r="O110" s="382" t="str">
        <f t="shared" ca="1" si="22"/>
        <v/>
      </c>
      <c r="P110" s="382" t="str">
        <f t="shared" ca="1" si="22"/>
        <v/>
      </c>
      <c r="Q110" s="382" t="str">
        <f t="shared" ca="1" si="22"/>
        <v/>
      </c>
      <c r="R110" s="382" t="str">
        <f t="shared" ca="1" si="22"/>
        <v/>
      </c>
      <c r="S110" s="382" t="str">
        <f t="shared" ca="1" si="22"/>
        <v/>
      </c>
      <c r="T110" s="382" t="str">
        <f t="shared" ref="T110:BZ116" ca="1" si="27">IF($D110&gt;$C$61,0,IF($D110&gt;T$5,"",OFFSET(T$62,0,-($D110-1))))</f>
        <v/>
      </c>
      <c r="U110" s="382" t="str">
        <f t="shared" ca="1" si="27"/>
        <v/>
      </c>
      <c r="V110" s="382" t="str">
        <f t="shared" ca="1" si="27"/>
        <v/>
      </c>
      <c r="W110" s="382" t="str">
        <f t="shared" ca="1" si="27"/>
        <v/>
      </c>
      <c r="X110" s="382" t="str">
        <f t="shared" ca="1" si="27"/>
        <v/>
      </c>
      <c r="Y110" s="382" t="str">
        <f t="shared" ca="1" si="27"/>
        <v/>
      </c>
      <c r="Z110" s="382" t="str">
        <f t="shared" ca="1" si="27"/>
        <v/>
      </c>
      <c r="AA110" s="382" t="str">
        <f t="shared" ca="1" si="27"/>
        <v/>
      </c>
      <c r="AB110" s="382" t="str">
        <f t="shared" ca="1" si="27"/>
        <v/>
      </c>
      <c r="AC110" s="382" t="str">
        <f t="shared" ca="1" si="27"/>
        <v/>
      </c>
      <c r="AD110" s="382" t="str">
        <f t="shared" ca="1" si="27"/>
        <v/>
      </c>
      <c r="AE110" s="382" t="str">
        <f t="shared" ca="1" si="27"/>
        <v/>
      </c>
      <c r="AF110" s="382" t="str">
        <f t="shared" ca="1" si="27"/>
        <v/>
      </c>
      <c r="AG110" s="382" t="str">
        <f t="shared" ca="1" si="27"/>
        <v/>
      </c>
      <c r="AH110" s="382" t="str">
        <f t="shared" ca="1" si="27"/>
        <v/>
      </c>
      <c r="AI110" s="382" t="str">
        <f t="shared" ca="1" si="27"/>
        <v/>
      </c>
      <c r="AJ110" s="382" t="str">
        <f t="shared" ca="1" si="27"/>
        <v/>
      </c>
      <c r="AK110" s="382" t="str">
        <f t="shared" ca="1" si="27"/>
        <v/>
      </c>
      <c r="AL110" s="382" t="str">
        <f t="shared" ca="1" si="27"/>
        <v/>
      </c>
      <c r="AM110" s="382" t="str">
        <f t="shared" ca="1" si="27"/>
        <v/>
      </c>
      <c r="AN110" s="382" t="str">
        <f t="shared" ca="1" si="27"/>
        <v/>
      </c>
      <c r="AO110" s="382" t="str">
        <f t="shared" ca="1" si="27"/>
        <v/>
      </c>
      <c r="AP110" s="382" t="str">
        <f t="shared" ca="1" si="27"/>
        <v/>
      </c>
      <c r="AQ110" s="382" t="str">
        <f t="shared" ca="1" si="27"/>
        <v/>
      </c>
      <c r="AR110" s="382" t="str">
        <f t="shared" ca="1" si="27"/>
        <v/>
      </c>
      <c r="AS110" s="382" t="str">
        <f t="shared" ca="1" si="27"/>
        <v/>
      </c>
      <c r="AT110" s="382" t="str">
        <f t="shared" ca="1" si="27"/>
        <v/>
      </c>
      <c r="AU110" s="382" t="str">
        <f t="shared" ca="1" si="27"/>
        <v/>
      </c>
      <c r="AV110" s="382" t="str">
        <f t="shared" ca="1" si="27"/>
        <v/>
      </c>
      <c r="AW110" s="382" t="str">
        <f t="shared" ca="1" si="27"/>
        <v/>
      </c>
      <c r="AX110" s="382" t="str">
        <f t="shared" ca="1" si="27"/>
        <v/>
      </c>
      <c r="AY110" s="382" t="str">
        <f t="shared" ca="1" si="27"/>
        <v/>
      </c>
      <c r="AZ110" s="382">
        <f t="shared" ca="1" si="27"/>
        <v>0</v>
      </c>
      <c r="BA110" s="382">
        <f t="shared" ca="1" si="26"/>
        <v>0</v>
      </c>
      <c r="BB110" s="382">
        <f t="shared" ca="1" si="26"/>
        <v>0</v>
      </c>
      <c r="BC110" s="382">
        <f t="shared" ca="1" si="26"/>
        <v>0</v>
      </c>
      <c r="BD110" s="382">
        <f t="shared" ca="1" si="26"/>
        <v>0</v>
      </c>
      <c r="BE110" s="382">
        <f t="shared" ca="1" si="26"/>
        <v>0</v>
      </c>
      <c r="BF110" s="382">
        <f t="shared" ca="1" si="26"/>
        <v>0</v>
      </c>
      <c r="BG110" s="382">
        <f t="shared" ca="1" si="26"/>
        <v>0</v>
      </c>
      <c r="BH110" s="382">
        <f t="shared" ca="1" si="26"/>
        <v>0</v>
      </c>
      <c r="BI110" s="382">
        <f t="shared" ca="1" si="26"/>
        <v>0</v>
      </c>
      <c r="BJ110" s="382">
        <f t="shared" ca="1" si="26"/>
        <v>0</v>
      </c>
      <c r="BK110" s="382">
        <f t="shared" ca="1" si="26"/>
        <v>0</v>
      </c>
      <c r="BL110" s="382">
        <f t="shared" ca="1" si="26"/>
        <v>0</v>
      </c>
    </row>
    <row r="111" spans="1:64" x14ac:dyDescent="0.15">
      <c r="A111" s="395"/>
      <c r="B111" s="395">
        <f ca="1">SUMIFS(SAP_Spreadsheet!$G$11:$BN$11,SAP_Spreadsheet!$G$7:$BN$7,PnL_Speadsheet!$D111)</f>
        <v>0.15281173749522786</v>
      </c>
      <c r="C111" s="395">
        <f>SUMIFS(SAP_Spreadsheet!$G$10:$BN$10,SAP_Spreadsheet!$G$7:$BN$7,PnL_Speadsheet!$D111)</f>
        <v>1</v>
      </c>
      <c r="D111" s="396">
        <f t="shared" si="10"/>
        <v>49</v>
      </c>
      <c r="E111" s="382" t="str">
        <f t="shared" ref="E111:T138" ca="1" si="28">IF($D111&gt;$C$61,0,IF($D111&gt;E$5,"",OFFSET(E$62,0,-($D111-1))))</f>
        <v/>
      </c>
      <c r="F111" s="382" t="str">
        <f t="shared" ca="1" si="28"/>
        <v/>
      </c>
      <c r="G111" s="382" t="str">
        <f t="shared" ca="1" si="28"/>
        <v/>
      </c>
      <c r="H111" s="382" t="str">
        <f t="shared" ca="1" si="28"/>
        <v/>
      </c>
      <c r="I111" s="382" t="str">
        <f t="shared" ca="1" si="28"/>
        <v/>
      </c>
      <c r="J111" s="382" t="str">
        <f t="shared" ca="1" si="28"/>
        <v/>
      </c>
      <c r="K111" s="382" t="str">
        <f t="shared" ca="1" si="28"/>
        <v/>
      </c>
      <c r="L111" s="382" t="str">
        <f t="shared" ca="1" si="28"/>
        <v/>
      </c>
      <c r="M111" s="382" t="str">
        <f t="shared" ca="1" si="28"/>
        <v/>
      </c>
      <c r="N111" s="382" t="str">
        <f t="shared" ca="1" si="28"/>
        <v/>
      </c>
      <c r="O111" s="382" t="str">
        <f t="shared" ca="1" si="28"/>
        <v/>
      </c>
      <c r="P111" s="382" t="str">
        <f t="shared" ca="1" si="28"/>
        <v/>
      </c>
      <c r="Q111" s="382" t="str">
        <f t="shared" ca="1" si="28"/>
        <v/>
      </c>
      <c r="R111" s="382" t="str">
        <f t="shared" ca="1" si="28"/>
        <v/>
      </c>
      <c r="S111" s="382" t="str">
        <f t="shared" ca="1" si="28"/>
        <v/>
      </c>
      <c r="T111" s="382" t="str">
        <f t="shared" ca="1" si="28"/>
        <v/>
      </c>
      <c r="U111" s="382" t="str">
        <f t="shared" ca="1" si="27"/>
        <v/>
      </c>
      <c r="V111" s="382" t="str">
        <f t="shared" ca="1" si="27"/>
        <v/>
      </c>
      <c r="W111" s="382" t="str">
        <f t="shared" ca="1" si="27"/>
        <v/>
      </c>
      <c r="X111" s="382" t="str">
        <f t="shared" ca="1" si="27"/>
        <v/>
      </c>
      <c r="Y111" s="382" t="str">
        <f t="shared" ca="1" si="27"/>
        <v/>
      </c>
      <c r="Z111" s="382" t="str">
        <f t="shared" ca="1" si="27"/>
        <v/>
      </c>
      <c r="AA111" s="382" t="str">
        <f t="shared" ca="1" si="27"/>
        <v/>
      </c>
      <c r="AB111" s="382" t="str">
        <f t="shared" ca="1" si="27"/>
        <v/>
      </c>
      <c r="AC111" s="382" t="str">
        <f t="shared" ca="1" si="27"/>
        <v/>
      </c>
      <c r="AD111" s="382" t="str">
        <f t="shared" ca="1" si="27"/>
        <v/>
      </c>
      <c r="AE111" s="382" t="str">
        <f t="shared" ca="1" si="27"/>
        <v/>
      </c>
      <c r="AF111" s="382" t="str">
        <f t="shared" ca="1" si="27"/>
        <v/>
      </c>
      <c r="AG111" s="382" t="str">
        <f t="shared" ca="1" si="27"/>
        <v/>
      </c>
      <c r="AH111" s="382" t="str">
        <f t="shared" ca="1" si="27"/>
        <v/>
      </c>
      <c r="AI111" s="382" t="str">
        <f t="shared" ca="1" si="27"/>
        <v/>
      </c>
      <c r="AJ111" s="382" t="str">
        <f t="shared" ca="1" si="27"/>
        <v/>
      </c>
      <c r="AK111" s="382" t="str">
        <f t="shared" ca="1" si="27"/>
        <v/>
      </c>
      <c r="AL111" s="382" t="str">
        <f t="shared" ca="1" si="27"/>
        <v/>
      </c>
      <c r="AM111" s="382" t="str">
        <f t="shared" ca="1" si="27"/>
        <v/>
      </c>
      <c r="AN111" s="382" t="str">
        <f t="shared" ca="1" si="27"/>
        <v/>
      </c>
      <c r="AO111" s="382" t="str">
        <f t="shared" ca="1" si="27"/>
        <v/>
      </c>
      <c r="AP111" s="382" t="str">
        <f t="shared" ca="1" si="27"/>
        <v/>
      </c>
      <c r="AQ111" s="382" t="str">
        <f t="shared" ca="1" si="27"/>
        <v/>
      </c>
      <c r="AR111" s="382" t="str">
        <f t="shared" ca="1" si="27"/>
        <v/>
      </c>
      <c r="AS111" s="382" t="str">
        <f t="shared" ca="1" si="27"/>
        <v/>
      </c>
      <c r="AT111" s="382" t="str">
        <f t="shared" ca="1" si="27"/>
        <v/>
      </c>
      <c r="AU111" s="382" t="str">
        <f t="shared" ca="1" si="27"/>
        <v/>
      </c>
      <c r="AV111" s="382" t="str">
        <f t="shared" ca="1" si="27"/>
        <v/>
      </c>
      <c r="AW111" s="382" t="str">
        <f t="shared" ca="1" si="27"/>
        <v/>
      </c>
      <c r="AX111" s="382" t="str">
        <f t="shared" ca="1" si="27"/>
        <v/>
      </c>
      <c r="AY111" s="382" t="str">
        <f t="shared" ca="1" si="27"/>
        <v/>
      </c>
      <c r="AZ111" s="382" t="str">
        <f t="shared" ca="1" si="27"/>
        <v/>
      </c>
      <c r="BA111" s="382">
        <f t="shared" ca="1" si="27"/>
        <v>0</v>
      </c>
      <c r="BB111" s="382">
        <f t="shared" ca="1" si="27"/>
        <v>0</v>
      </c>
      <c r="BC111" s="382">
        <f t="shared" ca="1" si="27"/>
        <v>0</v>
      </c>
      <c r="BD111" s="382">
        <f t="shared" ca="1" si="27"/>
        <v>0</v>
      </c>
      <c r="BE111" s="382">
        <f t="shared" ca="1" si="27"/>
        <v>0</v>
      </c>
      <c r="BF111" s="382">
        <f t="shared" ca="1" si="27"/>
        <v>0</v>
      </c>
      <c r="BG111" s="382">
        <f t="shared" ca="1" si="27"/>
        <v>0</v>
      </c>
      <c r="BH111" s="382">
        <f t="shared" ca="1" si="27"/>
        <v>0</v>
      </c>
      <c r="BI111" s="382">
        <f t="shared" ca="1" si="27"/>
        <v>0</v>
      </c>
      <c r="BJ111" s="382">
        <f t="shared" ca="1" si="27"/>
        <v>0</v>
      </c>
      <c r="BK111" s="382">
        <f t="shared" ca="1" si="27"/>
        <v>0</v>
      </c>
      <c r="BL111" s="382">
        <f t="shared" ca="1" si="27"/>
        <v>0</v>
      </c>
    </row>
    <row r="112" spans="1:64" x14ac:dyDescent="0.15">
      <c r="A112" s="395"/>
      <c r="B112" s="395">
        <f ca="1">SUMIFS(SAP_Spreadsheet!$G$11:$BN$11,SAP_Spreadsheet!$G$7:$BN$7,PnL_Speadsheet!$D112)</f>
        <v>0.14866493982973134</v>
      </c>
      <c r="C112" s="395">
        <f>SUMIFS(SAP_Spreadsheet!$G$10:$BN$10,SAP_Spreadsheet!$G$7:$BN$7,PnL_Speadsheet!$D112)</f>
        <v>1</v>
      </c>
      <c r="D112" s="396">
        <f t="shared" si="10"/>
        <v>50</v>
      </c>
      <c r="E112" s="382" t="str">
        <f t="shared" ca="1" si="28"/>
        <v/>
      </c>
      <c r="F112" s="382" t="str">
        <f t="shared" ca="1" si="28"/>
        <v/>
      </c>
      <c r="G112" s="382" t="str">
        <f t="shared" ca="1" si="28"/>
        <v/>
      </c>
      <c r="H112" s="382" t="str">
        <f t="shared" ca="1" si="28"/>
        <v/>
      </c>
      <c r="I112" s="382" t="str">
        <f t="shared" ca="1" si="28"/>
        <v/>
      </c>
      <c r="J112" s="382" t="str">
        <f t="shared" ca="1" si="28"/>
        <v/>
      </c>
      <c r="K112" s="382" t="str">
        <f t="shared" ca="1" si="28"/>
        <v/>
      </c>
      <c r="L112" s="382" t="str">
        <f t="shared" ca="1" si="28"/>
        <v/>
      </c>
      <c r="M112" s="382" t="str">
        <f t="shared" ca="1" si="28"/>
        <v/>
      </c>
      <c r="N112" s="382" t="str">
        <f t="shared" ca="1" si="28"/>
        <v/>
      </c>
      <c r="O112" s="382" t="str">
        <f t="shared" ca="1" si="28"/>
        <v/>
      </c>
      <c r="P112" s="382" t="str">
        <f t="shared" ca="1" si="28"/>
        <v/>
      </c>
      <c r="Q112" s="382" t="str">
        <f t="shared" ca="1" si="28"/>
        <v/>
      </c>
      <c r="R112" s="382" t="str">
        <f t="shared" ca="1" si="28"/>
        <v/>
      </c>
      <c r="S112" s="382" t="str">
        <f t="shared" ca="1" si="28"/>
        <v/>
      </c>
      <c r="T112" s="382" t="str">
        <f t="shared" ca="1" si="28"/>
        <v/>
      </c>
      <c r="U112" s="382" t="str">
        <f t="shared" ca="1" si="27"/>
        <v/>
      </c>
      <c r="V112" s="382" t="str">
        <f t="shared" ca="1" si="27"/>
        <v/>
      </c>
      <c r="W112" s="382" t="str">
        <f t="shared" ca="1" si="27"/>
        <v/>
      </c>
      <c r="X112" s="382" t="str">
        <f t="shared" ca="1" si="27"/>
        <v/>
      </c>
      <c r="Y112" s="382" t="str">
        <f t="shared" ca="1" si="27"/>
        <v/>
      </c>
      <c r="Z112" s="382" t="str">
        <f t="shared" ca="1" si="27"/>
        <v/>
      </c>
      <c r="AA112" s="382" t="str">
        <f t="shared" ca="1" si="27"/>
        <v/>
      </c>
      <c r="AB112" s="382" t="str">
        <f t="shared" ca="1" si="27"/>
        <v/>
      </c>
      <c r="AC112" s="382" t="str">
        <f t="shared" ca="1" si="27"/>
        <v/>
      </c>
      <c r="AD112" s="382" t="str">
        <f t="shared" ca="1" si="27"/>
        <v/>
      </c>
      <c r="AE112" s="382" t="str">
        <f t="shared" ca="1" si="27"/>
        <v/>
      </c>
      <c r="AF112" s="382" t="str">
        <f t="shared" ca="1" si="27"/>
        <v/>
      </c>
      <c r="AG112" s="382" t="str">
        <f t="shared" ca="1" si="27"/>
        <v/>
      </c>
      <c r="AH112" s="382" t="str">
        <f t="shared" ca="1" si="27"/>
        <v/>
      </c>
      <c r="AI112" s="382" t="str">
        <f t="shared" ca="1" si="27"/>
        <v/>
      </c>
      <c r="AJ112" s="382" t="str">
        <f t="shared" ca="1" si="27"/>
        <v/>
      </c>
      <c r="AK112" s="382" t="str">
        <f t="shared" ca="1" si="27"/>
        <v/>
      </c>
      <c r="AL112" s="382" t="str">
        <f t="shared" ca="1" si="27"/>
        <v/>
      </c>
      <c r="AM112" s="382" t="str">
        <f t="shared" ca="1" si="27"/>
        <v/>
      </c>
      <c r="AN112" s="382" t="str">
        <f t="shared" ca="1" si="27"/>
        <v/>
      </c>
      <c r="AO112" s="382" t="str">
        <f t="shared" ca="1" si="27"/>
        <v/>
      </c>
      <c r="AP112" s="382" t="str">
        <f t="shared" ca="1" si="27"/>
        <v/>
      </c>
      <c r="AQ112" s="382" t="str">
        <f t="shared" ca="1" si="27"/>
        <v/>
      </c>
      <c r="AR112" s="382" t="str">
        <f t="shared" ca="1" si="27"/>
        <v/>
      </c>
      <c r="AS112" s="382" t="str">
        <f t="shared" ca="1" si="27"/>
        <v/>
      </c>
      <c r="AT112" s="382" t="str">
        <f t="shared" ca="1" si="27"/>
        <v/>
      </c>
      <c r="AU112" s="382" t="str">
        <f t="shared" ca="1" si="27"/>
        <v/>
      </c>
      <c r="AV112" s="382" t="str">
        <f t="shared" ca="1" si="27"/>
        <v/>
      </c>
      <c r="AW112" s="382" t="str">
        <f t="shared" ca="1" si="27"/>
        <v/>
      </c>
      <c r="AX112" s="382" t="str">
        <f t="shared" ca="1" si="27"/>
        <v/>
      </c>
      <c r="AY112" s="382" t="str">
        <f t="shared" ca="1" si="27"/>
        <v/>
      </c>
      <c r="AZ112" s="382" t="str">
        <f t="shared" ca="1" si="27"/>
        <v/>
      </c>
      <c r="BA112" s="382" t="str">
        <f t="shared" ca="1" si="27"/>
        <v/>
      </c>
      <c r="BB112" s="382">
        <f t="shared" ca="1" si="27"/>
        <v>0</v>
      </c>
      <c r="BC112" s="382">
        <f t="shared" ca="1" si="27"/>
        <v>0</v>
      </c>
      <c r="BD112" s="382">
        <f t="shared" ca="1" si="27"/>
        <v>0</v>
      </c>
      <c r="BE112" s="382">
        <f t="shared" ca="1" si="27"/>
        <v>0</v>
      </c>
      <c r="BF112" s="382">
        <f t="shared" ca="1" si="27"/>
        <v>0</v>
      </c>
      <c r="BG112" s="382">
        <f t="shared" ca="1" si="27"/>
        <v>0</v>
      </c>
      <c r="BH112" s="382">
        <f t="shared" ca="1" si="27"/>
        <v>0</v>
      </c>
      <c r="BI112" s="382">
        <f t="shared" ca="1" si="27"/>
        <v>0</v>
      </c>
      <c r="BJ112" s="382">
        <f t="shared" ca="1" si="27"/>
        <v>0</v>
      </c>
      <c r="BK112" s="382">
        <f t="shared" ca="1" si="27"/>
        <v>0</v>
      </c>
      <c r="BL112" s="382">
        <f t="shared" ca="1" si="27"/>
        <v>0</v>
      </c>
    </row>
    <row r="113" spans="1:64" x14ac:dyDescent="0.15">
      <c r="A113" s="395"/>
      <c r="B113" s="395">
        <f ca="1">SUMIFS(SAP_Spreadsheet!$G$11:$BN$11,SAP_Spreadsheet!$G$7:$BN$7,PnL_Speadsheet!$D113)</f>
        <v>0.14451814216423481</v>
      </c>
      <c r="C113" s="395">
        <f>SUMIFS(SAP_Spreadsheet!$G$10:$BN$10,SAP_Spreadsheet!$G$7:$BN$7,PnL_Speadsheet!$D113)</f>
        <v>1</v>
      </c>
      <c r="D113" s="396">
        <f t="shared" si="10"/>
        <v>51</v>
      </c>
      <c r="E113" s="382" t="str">
        <f t="shared" ca="1" si="28"/>
        <v/>
      </c>
      <c r="F113" s="382" t="str">
        <f t="shared" ca="1" si="28"/>
        <v/>
      </c>
      <c r="G113" s="382" t="str">
        <f t="shared" ca="1" si="28"/>
        <v/>
      </c>
      <c r="H113" s="382" t="str">
        <f t="shared" ca="1" si="28"/>
        <v/>
      </c>
      <c r="I113" s="382" t="str">
        <f t="shared" ca="1" si="28"/>
        <v/>
      </c>
      <c r="J113" s="382" t="str">
        <f t="shared" ca="1" si="28"/>
        <v/>
      </c>
      <c r="K113" s="382" t="str">
        <f t="shared" ca="1" si="28"/>
        <v/>
      </c>
      <c r="L113" s="382" t="str">
        <f t="shared" ca="1" si="28"/>
        <v/>
      </c>
      <c r="M113" s="382" t="str">
        <f t="shared" ca="1" si="28"/>
        <v/>
      </c>
      <c r="N113" s="382" t="str">
        <f t="shared" ca="1" si="28"/>
        <v/>
      </c>
      <c r="O113" s="382" t="str">
        <f t="shared" ca="1" si="28"/>
        <v/>
      </c>
      <c r="P113" s="382" t="str">
        <f t="shared" ca="1" si="28"/>
        <v/>
      </c>
      <c r="Q113" s="382" t="str">
        <f t="shared" ca="1" si="28"/>
        <v/>
      </c>
      <c r="R113" s="382" t="str">
        <f t="shared" ca="1" si="28"/>
        <v/>
      </c>
      <c r="S113" s="382" t="str">
        <f t="shared" ca="1" si="28"/>
        <v/>
      </c>
      <c r="T113" s="382" t="str">
        <f t="shared" ca="1" si="28"/>
        <v/>
      </c>
      <c r="U113" s="382" t="str">
        <f t="shared" ca="1" si="27"/>
        <v/>
      </c>
      <c r="V113" s="382" t="str">
        <f t="shared" ca="1" si="27"/>
        <v/>
      </c>
      <c r="W113" s="382" t="str">
        <f t="shared" ca="1" si="27"/>
        <v/>
      </c>
      <c r="X113" s="382" t="str">
        <f t="shared" ca="1" si="27"/>
        <v/>
      </c>
      <c r="Y113" s="382" t="str">
        <f t="shared" ca="1" si="27"/>
        <v/>
      </c>
      <c r="Z113" s="382" t="str">
        <f t="shared" ca="1" si="27"/>
        <v/>
      </c>
      <c r="AA113" s="382" t="str">
        <f t="shared" ca="1" si="27"/>
        <v/>
      </c>
      <c r="AB113" s="382" t="str">
        <f t="shared" ca="1" si="27"/>
        <v/>
      </c>
      <c r="AC113" s="382" t="str">
        <f t="shared" ca="1" si="27"/>
        <v/>
      </c>
      <c r="AD113" s="382" t="str">
        <f t="shared" ca="1" si="27"/>
        <v/>
      </c>
      <c r="AE113" s="382" t="str">
        <f t="shared" ca="1" si="27"/>
        <v/>
      </c>
      <c r="AF113" s="382" t="str">
        <f t="shared" ca="1" si="27"/>
        <v/>
      </c>
      <c r="AG113" s="382" t="str">
        <f t="shared" ca="1" si="27"/>
        <v/>
      </c>
      <c r="AH113" s="382" t="str">
        <f t="shared" ca="1" si="27"/>
        <v/>
      </c>
      <c r="AI113" s="382" t="str">
        <f t="shared" ca="1" si="27"/>
        <v/>
      </c>
      <c r="AJ113" s="382" t="str">
        <f t="shared" ca="1" si="27"/>
        <v/>
      </c>
      <c r="AK113" s="382" t="str">
        <f t="shared" ca="1" si="27"/>
        <v/>
      </c>
      <c r="AL113" s="382" t="str">
        <f t="shared" ca="1" si="27"/>
        <v/>
      </c>
      <c r="AM113" s="382" t="str">
        <f t="shared" ca="1" si="27"/>
        <v/>
      </c>
      <c r="AN113" s="382" t="str">
        <f t="shared" ca="1" si="27"/>
        <v/>
      </c>
      <c r="AO113" s="382" t="str">
        <f t="shared" ca="1" si="27"/>
        <v/>
      </c>
      <c r="AP113" s="382" t="str">
        <f t="shared" ca="1" si="27"/>
        <v/>
      </c>
      <c r="AQ113" s="382" t="str">
        <f t="shared" ca="1" si="27"/>
        <v/>
      </c>
      <c r="AR113" s="382" t="str">
        <f t="shared" ca="1" si="27"/>
        <v/>
      </c>
      <c r="AS113" s="382" t="str">
        <f t="shared" ca="1" si="27"/>
        <v/>
      </c>
      <c r="AT113" s="382" t="str">
        <f t="shared" ca="1" si="27"/>
        <v/>
      </c>
      <c r="AU113" s="382" t="str">
        <f t="shared" ca="1" si="27"/>
        <v/>
      </c>
      <c r="AV113" s="382" t="str">
        <f t="shared" ca="1" si="27"/>
        <v/>
      </c>
      <c r="AW113" s="382" t="str">
        <f t="shared" ca="1" si="27"/>
        <v/>
      </c>
      <c r="AX113" s="382" t="str">
        <f t="shared" ca="1" si="27"/>
        <v/>
      </c>
      <c r="AY113" s="382" t="str">
        <f t="shared" ca="1" si="27"/>
        <v/>
      </c>
      <c r="AZ113" s="382" t="str">
        <f t="shared" ca="1" si="27"/>
        <v/>
      </c>
      <c r="BA113" s="382" t="str">
        <f t="shared" ca="1" si="27"/>
        <v/>
      </c>
      <c r="BB113" s="382" t="str">
        <f t="shared" ca="1" si="27"/>
        <v/>
      </c>
      <c r="BC113" s="382">
        <f t="shared" ca="1" si="27"/>
        <v>0</v>
      </c>
      <c r="BD113" s="382">
        <f t="shared" ca="1" si="27"/>
        <v>0</v>
      </c>
      <c r="BE113" s="382">
        <f t="shared" ca="1" si="27"/>
        <v>0</v>
      </c>
      <c r="BF113" s="382">
        <f t="shared" ca="1" si="27"/>
        <v>0</v>
      </c>
      <c r="BG113" s="382">
        <f t="shared" ca="1" si="27"/>
        <v>0</v>
      </c>
      <c r="BH113" s="382">
        <f t="shared" ca="1" si="27"/>
        <v>0</v>
      </c>
      <c r="BI113" s="382">
        <f t="shared" ca="1" si="27"/>
        <v>0</v>
      </c>
      <c r="BJ113" s="382">
        <f t="shared" ca="1" si="27"/>
        <v>0</v>
      </c>
      <c r="BK113" s="382">
        <f t="shared" ca="1" si="27"/>
        <v>0</v>
      </c>
      <c r="BL113" s="382">
        <f t="shared" ca="1" si="27"/>
        <v>0</v>
      </c>
    </row>
    <row r="114" spans="1:64" x14ac:dyDescent="0.15">
      <c r="A114" s="395"/>
      <c r="B114" s="395">
        <f ca="1">SUMIFS(SAP_Spreadsheet!$G$11:$BN$11,SAP_Spreadsheet!$G$7:$BN$7,PnL_Speadsheet!$D114)</f>
        <v>0.14037134449873828</v>
      </c>
      <c r="C114" s="395">
        <f>SUMIFS(SAP_Spreadsheet!$G$10:$BN$10,SAP_Spreadsheet!$G$7:$BN$7,PnL_Speadsheet!$D114)</f>
        <v>1</v>
      </c>
      <c r="D114" s="396">
        <f t="shared" si="10"/>
        <v>52</v>
      </c>
      <c r="E114" s="382" t="str">
        <f t="shared" ca="1" si="28"/>
        <v/>
      </c>
      <c r="F114" s="382" t="str">
        <f t="shared" ca="1" si="28"/>
        <v/>
      </c>
      <c r="G114" s="382" t="str">
        <f t="shared" ca="1" si="28"/>
        <v/>
      </c>
      <c r="H114" s="382" t="str">
        <f t="shared" ca="1" si="28"/>
        <v/>
      </c>
      <c r="I114" s="382" t="str">
        <f t="shared" ca="1" si="28"/>
        <v/>
      </c>
      <c r="J114" s="382" t="str">
        <f t="shared" ca="1" si="28"/>
        <v/>
      </c>
      <c r="K114" s="382" t="str">
        <f t="shared" ca="1" si="28"/>
        <v/>
      </c>
      <c r="L114" s="382" t="str">
        <f t="shared" ca="1" si="28"/>
        <v/>
      </c>
      <c r="M114" s="382" t="str">
        <f t="shared" ca="1" si="28"/>
        <v/>
      </c>
      <c r="N114" s="382" t="str">
        <f t="shared" ca="1" si="28"/>
        <v/>
      </c>
      <c r="O114" s="382" t="str">
        <f t="shared" ca="1" si="28"/>
        <v/>
      </c>
      <c r="P114" s="382" t="str">
        <f t="shared" ca="1" si="28"/>
        <v/>
      </c>
      <c r="Q114" s="382" t="str">
        <f t="shared" ca="1" si="28"/>
        <v/>
      </c>
      <c r="R114" s="382" t="str">
        <f t="shared" ca="1" si="28"/>
        <v/>
      </c>
      <c r="S114" s="382" t="str">
        <f t="shared" ca="1" si="28"/>
        <v/>
      </c>
      <c r="T114" s="382" t="str">
        <f t="shared" ca="1" si="28"/>
        <v/>
      </c>
      <c r="U114" s="382" t="str">
        <f t="shared" ca="1" si="27"/>
        <v/>
      </c>
      <c r="V114" s="382" t="str">
        <f t="shared" ca="1" si="27"/>
        <v/>
      </c>
      <c r="W114" s="382" t="str">
        <f t="shared" ca="1" si="27"/>
        <v/>
      </c>
      <c r="X114" s="382" t="str">
        <f t="shared" ca="1" si="27"/>
        <v/>
      </c>
      <c r="Y114" s="382" t="str">
        <f t="shared" ca="1" si="27"/>
        <v/>
      </c>
      <c r="Z114" s="382" t="str">
        <f t="shared" ca="1" si="27"/>
        <v/>
      </c>
      <c r="AA114" s="382" t="str">
        <f t="shared" ca="1" si="27"/>
        <v/>
      </c>
      <c r="AB114" s="382" t="str">
        <f t="shared" ca="1" si="27"/>
        <v/>
      </c>
      <c r="AC114" s="382" t="str">
        <f t="shared" ca="1" si="27"/>
        <v/>
      </c>
      <c r="AD114" s="382" t="str">
        <f t="shared" ca="1" si="27"/>
        <v/>
      </c>
      <c r="AE114" s="382" t="str">
        <f t="shared" ca="1" si="27"/>
        <v/>
      </c>
      <c r="AF114" s="382" t="str">
        <f t="shared" ca="1" si="27"/>
        <v/>
      </c>
      <c r="AG114" s="382" t="str">
        <f t="shared" ca="1" si="27"/>
        <v/>
      </c>
      <c r="AH114" s="382" t="str">
        <f t="shared" ca="1" si="27"/>
        <v/>
      </c>
      <c r="AI114" s="382" t="str">
        <f t="shared" ca="1" si="27"/>
        <v/>
      </c>
      <c r="AJ114" s="382" t="str">
        <f t="shared" ca="1" si="27"/>
        <v/>
      </c>
      <c r="AK114" s="382" t="str">
        <f t="shared" ca="1" si="27"/>
        <v/>
      </c>
      <c r="AL114" s="382" t="str">
        <f t="shared" ca="1" si="27"/>
        <v/>
      </c>
      <c r="AM114" s="382" t="str">
        <f t="shared" ca="1" si="27"/>
        <v/>
      </c>
      <c r="AN114" s="382" t="str">
        <f t="shared" ca="1" si="27"/>
        <v/>
      </c>
      <c r="AO114" s="382" t="str">
        <f t="shared" ca="1" si="27"/>
        <v/>
      </c>
      <c r="AP114" s="382" t="str">
        <f t="shared" ca="1" si="27"/>
        <v/>
      </c>
      <c r="AQ114" s="382" t="str">
        <f t="shared" ca="1" si="27"/>
        <v/>
      </c>
      <c r="AR114" s="382" t="str">
        <f t="shared" ca="1" si="27"/>
        <v/>
      </c>
      <c r="AS114" s="382" t="str">
        <f t="shared" ca="1" si="27"/>
        <v/>
      </c>
      <c r="AT114" s="382" t="str">
        <f t="shared" ca="1" si="27"/>
        <v/>
      </c>
      <c r="AU114" s="382" t="str">
        <f t="shared" ca="1" si="27"/>
        <v/>
      </c>
      <c r="AV114" s="382" t="str">
        <f t="shared" ca="1" si="27"/>
        <v/>
      </c>
      <c r="AW114" s="382" t="str">
        <f t="shared" ca="1" si="27"/>
        <v/>
      </c>
      <c r="AX114" s="382" t="str">
        <f t="shared" ca="1" si="27"/>
        <v/>
      </c>
      <c r="AY114" s="382" t="str">
        <f t="shared" ca="1" si="27"/>
        <v/>
      </c>
      <c r="AZ114" s="382" t="str">
        <f t="shared" ca="1" si="27"/>
        <v/>
      </c>
      <c r="BA114" s="382" t="str">
        <f t="shared" ca="1" si="27"/>
        <v/>
      </c>
      <c r="BB114" s="382" t="str">
        <f t="shared" ca="1" si="27"/>
        <v/>
      </c>
      <c r="BC114" s="382" t="str">
        <f t="shared" ca="1" si="27"/>
        <v/>
      </c>
      <c r="BD114" s="382">
        <f t="shared" ca="1" si="27"/>
        <v>0</v>
      </c>
      <c r="BE114" s="382">
        <f t="shared" ca="1" si="27"/>
        <v>0</v>
      </c>
      <c r="BF114" s="382">
        <f t="shared" ca="1" si="27"/>
        <v>0</v>
      </c>
      <c r="BG114" s="382">
        <f t="shared" ca="1" si="27"/>
        <v>0</v>
      </c>
      <c r="BH114" s="382">
        <f t="shared" ca="1" si="27"/>
        <v>0</v>
      </c>
      <c r="BI114" s="382">
        <f t="shared" ca="1" si="27"/>
        <v>0</v>
      </c>
      <c r="BJ114" s="382">
        <f t="shared" ca="1" si="27"/>
        <v>0</v>
      </c>
      <c r="BK114" s="382">
        <f t="shared" ca="1" si="27"/>
        <v>0</v>
      </c>
      <c r="BL114" s="382">
        <f t="shared" ca="1" si="27"/>
        <v>0</v>
      </c>
    </row>
    <row r="115" spans="1:64" x14ac:dyDescent="0.15">
      <c r="A115" s="395"/>
      <c r="B115" s="395">
        <f ca="1">SUMIFS(SAP_Spreadsheet!$G$11:$BN$11,SAP_Spreadsheet!$G$7:$BN$7,PnL_Speadsheet!$D115)</f>
        <v>0.13622454683324176</v>
      </c>
      <c r="C115" s="395">
        <f>SUMIFS(SAP_Spreadsheet!$G$10:$BN$10,SAP_Spreadsheet!$G$7:$BN$7,PnL_Speadsheet!$D115)</f>
        <v>1</v>
      </c>
      <c r="D115" s="396">
        <f t="shared" si="10"/>
        <v>53</v>
      </c>
      <c r="E115" s="382" t="str">
        <f t="shared" ca="1" si="28"/>
        <v/>
      </c>
      <c r="F115" s="382" t="str">
        <f t="shared" ca="1" si="28"/>
        <v/>
      </c>
      <c r="G115" s="382" t="str">
        <f t="shared" ca="1" si="28"/>
        <v/>
      </c>
      <c r="H115" s="382" t="str">
        <f t="shared" ca="1" si="28"/>
        <v/>
      </c>
      <c r="I115" s="382" t="str">
        <f t="shared" ca="1" si="28"/>
        <v/>
      </c>
      <c r="J115" s="382" t="str">
        <f t="shared" ca="1" si="28"/>
        <v/>
      </c>
      <c r="K115" s="382" t="str">
        <f t="shared" ca="1" si="28"/>
        <v/>
      </c>
      <c r="L115" s="382" t="str">
        <f t="shared" ca="1" si="28"/>
        <v/>
      </c>
      <c r="M115" s="382" t="str">
        <f t="shared" ca="1" si="28"/>
        <v/>
      </c>
      <c r="N115" s="382" t="str">
        <f t="shared" ca="1" si="28"/>
        <v/>
      </c>
      <c r="O115" s="382" t="str">
        <f t="shared" ca="1" si="28"/>
        <v/>
      </c>
      <c r="P115" s="382" t="str">
        <f t="shared" ca="1" si="28"/>
        <v/>
      </c>
      <c r="Q115" s="382" t="str">
        <f t="shared" ca="1" si="28"/>
        <v/>
      </c>
      <c r="R115" s="382" t="str">
        <f t="shared" ca="1" si="28"/>
        <v/>
      </c>
      <c r="S115" s="382" t="str">
        <f t="shared" ca="1" si="28"/>
        <v/>
      </c>
      <c r="T115" s="382" t="str">
        <f t="shared" ca="1" si="28"/>
        <v/>
      </c>
      <c r="U115" s="382" t="str">
        <f t="shared" ca="1" si="27"/>
        <v/>
      </c>
      <c r="V115" s="382" t="str">
        <f t="shared" ca="1" si="27"/>
        <v/>
      </c>
      <c r="W115" s="382" t="str">
        <f t="shared" ca="1" si="27"/>
        <v/>
      </c>
      <c r="X115" s="382" t="str">
        <f t="shared" ca="1" si="27"/>
        <v/>
      </c>
      <c r="Y115" s="382" t="str">
        <f t="shared" ca="1" si="27"/>
        <v/>
      </c>
      <c r="Z115" s="382" t="str">
        <f t="shared" ca="1" si="27"/>
        <v/>
      </c>
      <c r="AA115" s="382" t="str">
        <f t="shared" ca="1" si="27"/>
        <v/>
      </c>
      <c r="AB115" s="382" t="str">
        <f t="shared" ca="1" si="27"/>
        <v/>
      </c>
      <c r="AC115" s="382" t="str">
        <f t="shared" ca="1" si="27"/>
        <v/>
      </c>
      <c r="AD115" s="382" t="str">
        <f t="shared" ca="1" si="27"/>
        <v/>
      </c>
      <c r="AE115" s="382" t="str">
        <f t="shared" ca="1" si="27"/>
        <v/>
      </c>
      <c r="AF115" s="382" t="str">
        <f t="shared" ca="1" si="27"/>
        <v/>
      </c>
      <c r="AG115" s="382" t="str">
        <f t="shared" ca="1" si="27"/>
        <v/>
      </c>
      <c r="AH115" s="382" t="str">
        <f t="shared" ca="1" si="27"/>
        <v/>
      </c>
      <c r="AI115" s="382" t="str">
        <f t="shared" ca="1" si="27"/>
        <v/>
      </c>
      <c r="AJ115" s="382" t="str">
        <f t="shared" ca="1" si="27"/>
        <v/>
      </c>
      <c r="AK115" s="382" t="str">
        <f t="shared" ca="1" si="27"/>
        <v/>
      </c>
      <c r="AL115" s="382" t="str">
        <f t="shared" ca="1" si="27"/>
        <v/>
      </c>
      <c r="AM115" s="382" t="str">
        <f t="shared" ca="1" si="27"/>
        <v/>
      </c>
      <c r="AN115" s="382" t="str">
        <f t="shared" ca="1" si="27"/>
        <v/>
      </c>
      <c r="AO115" s="382" t="str">
        <f t="shared" ca="1" si="27"/>
        <v/>
      </c>
      <c r="AP115" s="382" t="str">
        <f t="shared" ca="1" si="27"/>
        <v/>
      </c>
      <c r="AQ115" s="382" t="str">
        <f t="shared" ca="1" si="27"/>
        <v/>
      </c>
      <c r="AR115" s="382" t="str">
        <f t="shared" ca="1" si="27"/>
        <v/>
      </c>
      <c r="AS115" s="382" t="str">
        <f t="shared" ca="1" si="27"/>
        <v/>
      </c>
      <c r="AT115" s="382" t="str">
        <f t="shared" ca="1" si="27"/>
        <v/>
      </c>
      <c r="AU115" s="382" t="str">
        <f t="shared" ca="1" si="27"/>
        <v/>
      </c>
      <c r="AV115" s="382" t="str">
        <f t="shared" ca="1" si="27"/>
        <v/>
      </c>
      <c r="AW115" s="382" t="str">
        <f t="shared" ca="1" si="27"/>
        <v/>
      </c>
      <c r="AX115" s="382" t="str">
        <f t="shared" ca="1" si="27"/>
        <v/>
      </c>
      <c r="AY115" s="382" t="str">
        <f t="shared" ca="1" si="27"/>
        <v/>
      </c>
      <c r="AZ115" s="382" t="str">
        <f t="shared" ca="1" si="27"/>
        <v/>
      </c>
      <c r="BA115" s="382" t="str">
        <f t="shared" ca="1" si="27"/>
        <v/>
      </c>
      <c r="BB115" s="382" t="str">
        <f t="shared" ca="1" si="27"/>
        <v/>
      </c>
      <c r="BC115" s="382" t="str">
        <f t="shared" ca="1" si="27"/>
        <v/>
      </c>
      <c r="BD115" s="382" t="str">
        <f t="shared" ca="1" si="27"/>
        <v/>
      </c>
      <c r="BE115" s="382">
        <f t="shared" ca="1" si="27"/>
        <v>0</v>
      </c>
      <c r="BF115" s="382">
        <f t="shared" ca="1" si="27"/>
        <v>0</v>
      </c>
      <c r="BG115" s="382">
        <f t="shared" ca="1" si="27"/>
        <v>0</v>
      </c>
      <c r="BH115" s="382">
        <f t="shared" ca="1" si="27"/>
        <v>0</v>
      </c>
      <c r="BI115" s="382">
        <f t="shared" ca="1" si="27"/>
        <v>0</v>
      </c>
      <c r="BJ115" s="382">
        <f t="shared" ca="1" si="27"/>
        <v>0</v>
      </c>
      <c r="BK115" s="382">
        <f t="shared" ca="1" si="27"/>
        <v>0</v>
      </c>
      <c r="BL115" s="382">
        <f t="shared" ca="1" si="27"/>
        <v>0</v>
      </c>
    </row>
    <row r="116" spans="1:64" x14ac:dyDescent="0.15">
      <c r="A116" s="395"/>
      <c r="B116" s="395">
        <f ca="1">SUMIFS(SAP_Spreadsheet!$G$11:$BN$11,SAP_Spreadsheet!$G$7:$BN$7,PnL_Speadsheet!$D116)</f>
        <v>0.13207774916774523</v>
      </c>
      <c r="C116" s="395">
        <f>SUMIFS(SAP_Spreadsheet!$G$10:$BN$10,SAP_Spreadsheet!$G$7:$BN$7,PnL_Speadsheet!$D116)</f>
        <v>1</v>
      </c>
      <c r="D116" s="396">
        <f t="shared" si="10"/>
        <v>54</v>
      </c>
      <c r="E116" s="382" t="str">
        <f t="shared" ca="1" si="28"/>
        <v/>
      </c>
      <c r="F116" s="382" t="str">
        <f t="shared" ca="1" si="28"/>
        <v/>
      </c>
      <c r="G116" s="382" t="str">
        <f t="shared" ca="1" si="28"/>
        <v/>
      </c>
      <c r="H116" s="382" t="str">
        <f t="shared" ca="1" si="28"/>
        <v/>
      </c>
      <c r="I116" s="382" t="str">
        <f t="shared" ca="1" si="28"/>
        <v/>
      </c>
      <c r="J116" s="382" t="str">
        <f t="shared" ca="1" si="28"/>
        <v/>
      </c>
      <c r="K116" s="382" t="str">
        <f t="shared" ca="1" si="28"/>
        <v/>
      </c>
      <c r="L116" s="382" t="str">
        <f t="shared" ca="1" si="28"/>
        <v/>
      </c>
      <c r="M116" s="382" t="str">
        <f t="shared" ca="1" si="28"/>
        <v/>
      </c>
      <c r="N116" s="382" t="str">
        <f t="shared" ca="1" si="28"/>
        <v/>
      </c>
      <c r="O116" s="382" t="str">
        <f t="shared" ca="1" si="28"/>
        <v/>
      </c>
      <c r="P116" s="382" t="str">
        <f t="shared" ca="1" si="28"/>
        <v/>
      </c>
      <c r="Q116" s="382" t="str">
        <f t="shared" ca="1" si="28"/>
        <v/>
      </c>
      <c r="R116" s="382" t="str">
        <f t="shared" ca="1" si="28"/>
        <v/>
      </c>
      <c r="S116" s="382" t="str">
        <f t="shared" ca="1" si="28"/>
        <v/>
      </c>
      <c r="T116" s="382" t="str">
        <f t="shared" ca="1" si="28"/>
        <v/>
      </c>
      <c r="U116" s="382" t="str">
        <f t="shared" ca="1" si="27"/>
        <v/>
      </c>
      <c r="V116" s="382" t="str">
        <f t="shared" ca="1" si="27"/>
        <v/>
      </c>
      <c r="W116" s="382" t="str">
        <f t="shared" ref="W116:CC120" ca="1" si="29">IF($D116&gt;$C$61,0,IF($D116&gt;W$5,"",OFFSET(W$62,0,-($D116-1))))</f>
        <v/>
      </c>
      <c r="X116" s="382" t="str">
        <f t="shared" ca="1" si="29"/>
        <v/>
      </c>
      <c r="Y116" s="382" t="str">
        <f t="shared" ca="1" si="29"/>
        <v/>
      </c>
      <c r="Z116" s="382" t="str">
        <f t="shared" ca="1" si="29"/>
        <v/>
      </c>
      <c r="AA116" s="382" t="str">
        <f t="shared" ca="1" si="29"/>
        <v/>
      </c>
      <c r="AB116" s="382" t="str">
        <f t="shared" ca="1" si="29"/>
        <v/>
      </c>
      <c r="AC116" s="382" t="str">
        <f t="shared" ca="1" si="29"/>
        <v/>
      </c>
      <c r="AD116" s="382" t="str">
        <f t="shared" ca="1" si="29"/>
        <v/>
      </c>
      <c r="AE116" s="382" t="str">
        <f t="shared" ca="1" si="29"/>
        <v/>
      </c>
      <c r="AF116" s="382" t="str">
        <f t="shared" ca="1" si="29"/>
        <v/>
      </c>
      <c r="AG116" s="382" t="str">
        <f t="shared" ca="1" si="29"/>
        <v/>
      </c>
      <c r="AH116" s="382" t="str">
        <f t="shared" ca="1" si="29"/>
        <v/>
      </c>
      <c r="AI116" s="382" t="str">
        <f t="shared" ca="1" si="29"/>
        <v/>
      </c>
      <c r="AJ116" s="382" t="str">
        <f t="shared" ca="1" si="29"/>
        <v/>
      </c>
      <c r="AK116" s="382" t="str">
        <f t="shared" ca="1" si="29"/>
        <v/>
      </c>
      <c r="AL116" s="382" t="str">
        <f t="shared" ca="1" si="29"/>
        <v/>
      </c>
      <c r="AM116" s="382" t="str">
        <f t="shared" ca="1" si="29"/>
        <v/>
      </c>
      <c r="AN116" s="382" t="str">
        <f t="shared" ca="1" si="29"/>
        <v/>
      </c>
      <c r="AO116" s="382" t="str">
        <f t="shared" ca="1" si="29"/>
        <v/>
      </c>
      <c r="AP116" s="382" t="str">
        <f t="shared" ca="1" si="29"/>
        <v/>
      </c>
      <c r="AQ116" s="382" t="str">
        <f t="shared" ca="1" si="29"/>
        <v/>
      </c>
      <c r="AR116" s="382" t="str">
        <f t="shared" ca="1" si="29"/>
        <v/>
      </c>
      <c r="AS116" s="382" t="str">
        <f t="shared" ca="1" si="29"/>
        <v/>
      </c>
      <c r="AT116" s="382" t="str">
        <f t="shared" ca="1" si="29"/>
        <v/>
      </c>
      <c r="AU116" s="382" t="str">
        <f t="shared" ca="1" si="29"/>
        <v/>
      </c>
      <c r="AV116" s="382" t="str">
        <f t="shared" ca="1" si="29"/>
        <v/>
      </c>
      <c r="AW116" s="382" t="str">
        <f t="shared" ca="1" si="29"/>
        <v/>
      </c>
      <c r="AX116" s="382" t="str">
        <f t="shared" ca="1" si="29"/>
        <v/>
      </c>
      <c r="AY116" s="382" t="str">
        <f t="shared" ca="1" si="29"/>
        <v/>
      </c>
      <c r="AZ116" s="382" t="str">
        <f t="shared" ca="1" si="29"/>
        <v/>
      </c>
      <c r="BA116" s="382" t="str">
        <f t="shared" ca="1" si="29"/>
        <v/>
      </c>
      <c r="BB116" s="382" t="str">
        <f t="shared" ca="1" si="29"/>
        <v/>
      </c>
      <c r="BC116" s="382" t="str">
        <f t="shared" ca="1" si="29"/>
        <v/>
      </c>
      <c r="BD116" s="382" t="str">
        <f t="shared" ca="1" si="29"/>
        <v/>
      </c>
      <c r="BE116" s="382" t="str">
        <f t="shared" ca="1" si="29"/>
        <v/>
      </c>
      <c r="BF116" s="382">
        <f t="shared" ca="1" si="29"/>
        <v>0</v>
      </c>
      <c r="BG116" s="382">
        <f t="shared" ca="1" si="29"/>
        <v>0</v>
      </c>
      <c r="BH116" s="382">
        <f t="shared" ca="1" si="29"/>
        <v>0</v>
      </c>
      <c r="BI116" s="382">
        <f t="shared" ca="1" si="29"/>
        <v>0</v>
      </c>
      <c r="BJ116" s="382">
        <f t="shared" ca="1" si="29"/>
        <v>0</v>
      </c>
      <c r="BK116" s="382">
        <f t="shared" ca="1" si="29"/>
        <v>0</v>
      </c>
      <c r="BL116" s="382">
        <f t="shared" ca="1" si="29"/>
        <v>0</v>
      </c>
    </row>
    <row r="117" spans="1:64" x14ac:dyDescent="0.15">
      <c r="A117" s="395"/>
      <c r="B117" s="395">
        <f ca="1">SUMIFS(SAP_Spreadsheet!$G$11:$BN$11,SAP_Spreadsheet!$G$7:$BN$7,PnL_Speadsheet!$D117)</f>
        <v>0.1279309515022487</v>
      </c>
      <c r="C117" s="395">
        <f>SUMIFS(SAP_Spreadsheet!$G$10:$BN$10,SAP_Spreadsheet!$G$7:$BN$7,PnL_Speadsheet!$D117)</f>
        <v>1</v>
      </c>
      <c r="D117" s="396">
        <f t="shared" si="10"/>
        <v>55</v>
      </c>
      <c r="E117" s="382" t="str">
        <f t="shared" ca="1" si="28"/>
        <v/>
      </c>
      <c r="F117" s="382" t="str">
        <f t="shared" ca="1" si="28"/>
        <v/>
      </c>
      <c r="G117" s="382" t="str">
        <f t="shared" ca="1" si="28"/>
        <v/>
      </c>
      <c r="H117" s="382" t="str">
        <f t="shared" ca="1" si="28"/>
        <v/>
      </c>
      <c r="I117" s="382" t="str">
        <f t="shared" ca="1" si="28"/>
        <v/>
      </c>
      <c r="J117" s="382" t="str">
        <f t="shared" ca="1" si="28"/>
        <v/>
      </c>
      <c r="K117" s="382" t="str">
        <f t="shared" ca="1" si="28"/>
        <v/>
      </c>
      <c r="L117" s="382" t="str">
        <f t="shared" ca="1" si="28"/>
        <v/>
      </c>
      <c r="M117" s="382" t="str">
        <f t="shared" ca="1" si="28"/>
        <v/>
      </c>
      <c r="N117" s="382" t="str">
        <f t="shared" ca="1" si="28"/>
        <v/>
      </c>
      <c r="O117" s="382" t="str">
        <f t="shared" ca="1" si="28"/>
        <v/>
      </c>
      <c r="P117" s="382" t="str">
        <f t="shared" ca="1" si="28"/>
        <v/>
      </c>
      <c r="Q117" s="382" t="str">
        <f t="shared" ca="1" si="28"/>
        <v/>
      </c>
      <c r="R117" s="382" t="str">
        <f t="shared" ca="1" si="28"/>
        <v/>
      </c>
      <c r="S117" s="382" t="str">
        <f t="shared" ca="1" si="28"/>
        <v/>
      </c>
      <c r="T117" s="382" t="str">
        <f t="shared" ca="1" si="28"/>
        <v/>
      </c>
      <c r="U117" s="382" t="str">
        <f t="shared" ref="U117:CA122" ca="1" si="30">IF($D117&gt;$C$61,0,IF($D117&gt;U$5,"",OFFSET(U$62,0,-($D117-1))))</f>
        <v/>
      </c>
      <c r="V117" s="382" t="str">
        <f t="shared" ca="1" si="30"/>
        <v/>
      </c>
      <c r="W117" s="382" t="str">
        <f t="shared" ca="1" si="30"/>
        <v/>
      </c>
      <c r="X117" s="382" t="str">
        <f t="shared" ca="1" si="30"/>
        <v/>
      </c>
      <c r="Y117" s="382" t="str">
        <f t="shared" ca="1" si="30"/>
        <v/>
      </c>
      <c r="Z117" s="382" t="str">
        <f t="shared" ca="1" si="30"/>
        <v/>
      </c>
      <c r="AA117" s="382" t="str">
        <f t="shared" ca="1" si="30"/>
        <v/>
      </c>
      <c r="AB117" s="382" t="str">
        <f t="shared" ca="1" si="30"/>
        <v/>
      </c>
      <c r="AC117" s="382" t="str">
        <f t="shared" ca="1" si="30"/>
        <v/>
      </c>
      <c r="AD117" s="382" t="str">
        <f t="shared" ca="1" si="30"/>
        <v/>
      </c>
      <c r="AE117" s="382" t="str">
        <f t="shared" ca="1" si="30"/>
        <v/>
      </c>
      <c r="AF117" s="382" t="str">
        <f t="shared" ca="1" si="30"/>
        <v/>
      </c>
      <c r="AG117" s="382" t="str">
        <f t="shared" ca="1" si="30"/>
        <v/>
      </c>
      <c r="AH117" s="382" t="str">
        <f t="shared" ca="1" si="30"/>
        <v/>
      </c>
      <c r="AI117" s="382" t="str">
        <f t="shared" ca="1" si="30"/>
        <v/>
      </c>
      <c r="AJ117" s="382" t="str">
        <f t="shared" ca="1" si="30"/>
        <v/>
      </c>
      <c r="AK117" s="382" t="str">
        <f t="shared" ca="1" si="30"/>
        <v/>
      </c>
      <c r="AL117" s="382" t="str">
        <f t="shared" ca="1" si="30"/>
        <v/>
      </c>
      <c r="AM117" s="382" t="str">
        <f t="shared" ca="1" si="30"/>
        <v/>
      </c>
      <c r="AN117" s="382" t="str">
        <f t="shared" ca="1" si="30"/>
        <v/>
      </c>
      <c r="AO117" s="382" t="str">
        <f t="shared" ca="1" si="30"/>
        <v/>
      </c>
      <c r="AP117" s="382" t="str">
        <f t="shared" ca="1" si="30"/>
        <v/>
      </c>
      <c r="AQ117" s="382" t="str">
        <f t="shared" ca="1" si="30"/>
        <v/>
      </c>
      <c r="AR117" s="382" t="str">
        <f t="shared" ca="1" si="30"/>
        <v/>
      </c>
      <c r="AS117" s="382" t="str">
        <f t="shared" ca="1" si="30"/>
        <v/>
      </c>
      <c r="AT117" s="382" t="str">
        <f t="shared" ca="1" si="30"/>
        <v/>
      </c>
      <c r="AU117" s="382" t="str">
        <f t="shared" ca="1" si="30"/>
        <v/>
      </c>
      <c r="AV117" s="382" t="str">
        <f t="shared" ca="1" si="30"/>
        <v/>
      </c>
      <c r="AW117" s="382" t="str">
        <f t="shared" ca="1" si="30"/>
        <v/>
      </c>
      <c r="AX117" s="382" t="str">
        <f t="shared" ca="1" si="30"/>
        <v/>
      </c>
      <c r="AY117" s="382" t="str">
        <f t="shared" ca="1" si="30"/>
        <v/>
      </c>
      <c r="AZ117" s="382" t="str">
        <f t="shared" ca="1" si="30"/>
        <v/>
      </c>
      <c r="BA117" s="382" t="str">
        <f t="shared" ca="1" si="30"/>
        <v/>
      </c>
      <c r="BB117" s="382" t="str">
        <f t="shared" ca="1" si="30"/>
        <v/>
      </c>
      <c r="BC117" s="382" t="str">
        <f t="shared" ca="1" si="30"/>
        <v/>
      </c>
      <c r="BD117" s="382" t="str">
        <f t="shared" ca="1" si="30"/>
        <v/>
      </c>
      <c r="BE117" s="382" t="str">
        <f t="shared" ca="1" si="30"/>
        <v/>
      </c>
      <c r="BF117" s="382" t="str">
        <f t="shared" ca="1" si="30"/>
        <v/>
      </c>
      <c r="BG117" s="382">
        <f t="shared" ca="1" si="30"/>
        <v>0</v>
      </c>
      <c r="BH117" s="382">
        <f t="shared" ca="1" si="30"/>
        <v>0</v>
      </c>
      <c r="BI117" s="382">
        <f t="shared" ca="1" si="30"/>
        <v>0</v>
      </c>
      <c r="BJ117" s="382">
        <f t="shared" ca="1" si="30"/>
        <v>0</v>
      </c>
      <c r="BK117" s="382">
        <f t="shared" ca="1" si="30"/>
        <v>0</v>
      </c>
      <c r="BL117" s="382">
        <f t="shared" ca="1" si="30"/>
        <v>0</v>
      </c>
    </row>
    <row r="118" spans="1:64" x14ac:dyDescent="0.15">
      <c r="A118" s="395"/>
      <c r="B118" s="395">
        <f ca="1">SUMIFS(SAP_Spreadsheet!$G$11:$BN$11,SAP_Spreadsheet!$G$7:$BN$7,PnL_Speadsheet!$D118)</f>
        <v>0.12378415383675219</v>
      </c>
      <c r="C118" s="395">
        <f>SUMIFS(SAP_Spreadsheet!$G$10:$BN$10,SAP_Spreadsheet!$G$7:$BN$7,PnL_Speadsheet!$D118)</f>
        <v>1</v>
      </c>
      <c r="D118" s="396">
        <f t="shared" si="10"/>
        <v>56</v>
      </c>
      <c r="E118" s="382" t="str">
        <f t="shared" ca="1" si="28"/>
        <v/>
      </c>
      <c r="F118" s="382" t="str">
        <f t="shared" ca="1" si="28"/>
        <v/>
      </c>
      <c r="G118" s="382" t="str">
        <f t="shared" ca="1" si="28"/>
        <v/>
      </c>
      <c r="H118" s="382" t="str">
        <f t="shared" ca="1" si="28"/>
        <v/>
      </c>
      <c r="I118" s="382" t="str">
        <f t="shared" ca="1" si="28"/>
        <v/>
      </c>
      <c r="J118" s="382" t="str">
        <f t="shared" ca="1" si="28"/>
        <v/>
      </c>
      <c r="K118" s="382" t="str">
        <f t="shared" ca="1" si="28"/>
        <v/>
      </c>
      <c r="L118" s="382" t="str">
        <f t="shared" ca="1" si="28"/>
        <v/>
      </c>
      <c r="M118" s="382" t="str">
        <f t="shared" ca="1" si="28"/>
        <v/>
      </c>
      <c r="N118" s="382" t="str">
        <f t="shared" ca="1" si="28"/>
        <v/>
      </c>
      <c r="O118" s="382" t="str">
        <f t="shared" ca="1" si="28"/>
        <v/>
      </c>
      <c r="P118" s="382" t="str">
        <f t="shared" ca="1" si="28"/>
        <v/>
      </c>
      <c r="Q118" s="382" t="str">
        <f t="shared" ca="1" si="28"/>
        <v/>
      </c>
      <c r="R118" s="382" t="str">
        <f t="shared" ca="1" si="28"/>
        <v/>
      </c>
      <c r="S118" s="382" t="str">
        <f t="shared" ca="1" si="28"/>
        <v/>
      </c>
      <c r="T118" s="382" t="str">
        <f t="shared" ca="1" si="28"/>
        <v/>
      </c>
      <c r="U118" s="382" t="str">
        <f t="shared" ca="1" si="30"/>
        <v/>
      </c>
      <c r="V118" s="382" t="str">
        <f t="shared" ca="1" si="30"/>
        <v/>
      </c>
      <c r="W118" s="382" t="str">
        <f t="shared" ca="1" si="30"/>
        <v/>
      </c>
      <c r="X118" s="382" t="str">
        <f t="shared" ca="1" si="30"/>
        <v/>
      </c>
      <c r="Y118" s="382" t="str">
        <f t="shared" ca="1" si="30"/>
        <v/>
      </c>
      <c r="Z118" s="382" t="str">
        <f t="shared" ca="1" si="30"/>
        <v/>
      </c>
      <c r="AA118" s="382" t="str">
        <f t="shared" ca="1" si="30"/>
        <v/>
      </c>
      <c r="AB118" s="382" t="str">
        <f t="shared" ca="1" si="30"/>
        <v/>
      </c>
      <c r="AC118" s="382" t="str">
        <f t="shared" ca="1" si="30"/>
        <v/>
      </c>
      <c r="AD118" s="382" t="str">
        <f t="shared" ca="1" si="30"/>
        <v/>
      </c>
      <c r="AE118" s="382" t="str">
        <f t="shared" ca="1" si="30"/>
        <v/>
      </c>
      <c r="AF118" s="382" t="str">
        <f t="shared" ca="1" si="30"/>
        <v/>
      </c>
      <c r="AG118" s="382" t="str">
        <f t="shared" ca="1" si="30"/>
        <v/>
      </c>
      <c r="AH118" s="382" t="str">
        <f t="shared" ca="1" si="30"/>
        <v/>
      </c>
      <c r="AI118" s="382" t="str">
        <f t="shared" ca="1" si="30"/>
        <v/>
      </c>
      <c r="AJ118" s="382" t="str">
        <f t="shared" ca="1" si="30"/>
        <v/>
      </c>
      <c r="AK118" s="382" t="str">
        <f t="shared" ca="1" si="30"/>
        <v/>
      </c>
      <c r="AL118" s="382" t="str">
        <f t="shared" ca="1" si="30"/>
        <v/>
      </c>
      <c r="AM118" s="382" t="str">
        <f t="shared" ca="1" si="30"/>
        <v/>
      </c>
      <c r="AN118" s="382" t="str">
        <f t="shared" ca="1" si="30"/>
        <v/>
      </c>
      <c r="AO118" s="382" t="str">
        <f t="shared" ca="1" si="30"/>
        <v/>
      </c>
      <c r="AP118" s="382" t="str">
        <f t="shared" ca="1" si="30"/>
        <v/>
      </c>
      <c r="AQ118" s="382" t="str">
        <f t="shared" ca="1" si="30"/>
        <v/>
      </c>
      <c r="AR118" s="382" t="str">
        <f t="shared" ca="1" si="30"/>
        <v/>
      </c>
      <c r="AS118" s="382" t="str">
        <f t="shared" ca="1" si="30"/>
        <v/>
      </c>
      <c r="AT118" s="382" t="str">
        <f t="shared" ca="1" si="30"/>
        <v/>
      </c>
      <c r="AU118" s="382" t="str">
        <f t="shared" ca="1" si="30"/>
        <v/>
      </c>
      <c r="AV118" s="382" t="str">
        <f t="shared" ca="1" si="30"/>
        <v/>
      </c>
      <c r="AW118" s="382" t="str">
        <f t="shared" ca="1" si="30"/>
        <v/>
      </c>
      <c r="AX118" s="382" t="str">
        <f t="shared" ca="1" si="30"/>
        <v/>
      </c>
      <c r="AY118" s="382" t="str">
        <f t="shared" ca="1" si="30"/>
        <v/>
      </c>
      <c r="AZ118" s="382" t="str">
        <f t="shared" ca="1" si="30"/>
        <v/>
      </c>
      <c r="BA118" s="382" t="str">
        <f t="shared" ca="1" si="30"/>
        <v/>
      </c>
      <c r="BB118" s="382" t="str">
        <f t="shared" ca="1" si="30"/>
        <v/>
      </c>
      <c r="BC118" s="382" t="str">
        <f t="shared" ca="1" si="30"/>
        <v/>
      </c>
      <c r="BD118" s="382" t="str">
        <f t="shared" ca="1" si="30"/>
        <v/>
      </c>
      <c r="BE118" s="382" t="str">
        <f t="shared" ca="1" si="30"/>
        <v/>
      </c>
      <c r="BF118" s="382" t="str">
        <f t="shared" ca="1" si="30"/>
        <v/>
      </c>
      <c r="BG118" s="382" t="str">
        <f t="shared" ca="1" si="30"/>
        <v/>
      </c>
      <c r="BH118" s="382">
        <f t="shared" ca="1" si="30"/>
        <v>0</v>
      </c>
      <c r="BI118" s="382">
        <f t="shared" ca="1" si="30"/>
        <v>0</v>
      </c>
      <c r="BJ118" s="382">
        <f t="shared" ca="1" si="30"/>
        <v>0</v>
      </c>
      <c r="BK118" s="382">
        <f t="shared" ca="1" si="30"/>
        <v>0</v>
      </c>
      <c r="BL118" s="382">
        <f t="shared" ca="1" si="30"/>
        <v>0</v>
      </c>
    </row>
    <row r="119" spans="1:64" x14ac:dyDescent="0.15">
      <c r="A119" s="395"/>
      <c r="B119" s="395">
        <f ca="1">SUMIFS(SAP_Spreadsheet!$G$11:$BN$11,SAP_Spreadsheet!$G$7:$BN$7,PnL_Speadsheet!$D119)</f>
        <v>0.11963735617125568</v>
      </c>
      <c r="C119" s="395">
        <f>SUMIFS(SAP_Spreadsheet!$G$10:$BN$10,SAP_Spreadsheet!$G$7:$BN$7,PnL_Speadsheet!$D119)</f>
        <v>1</v>
      </c>
      <c r="D119" s="396">
        <f t="shared" si="10"/>
        <v>57</v>
      </c>
      <c r="E119" s="382" t="str">
        <f t="shared" ca="1" si="28"/>
        <v/>
      </c>
      <c r="F119" s="382" t="str">
        <f t="shared" ca="1" si="28"/>
        <v/>
      </c>
      <c r="G119" s="382" t="str">
        <f t="shared" ca="1" si="28"/>
        <v/>
      </c>
      <c r="H119" s="382" t="str">
        <f t="shared" ca="1" si="28"/>
        <v/>
      </c>
      <c r="I119" s="382" t="str">
        <f t="shared" ca="1" si="28"/>
        <v/>
      </c>
      <c r="J119" s="382" t="str">
        <f t="shared" ca="1" si="28"/>
        <v/>
      </c>
      <c r="K119" s="382" t="str">
        <f t="shared" ca="1" si="28"/>
        <v/>
      </c>
      <c r="L119" s="382" t="str">
        <f t="shared" ca="1" si="28"/>
        <v/>
      </c>
      <c r="M119" s="382" t="str">
        <f t="shared" ca="1" si="28"/>
        <v/>
      </c>
      <c r="N119" s="382" t="str">
        <f t="shared" ca="1" si="28"/>
        <v/>
      </c>
      <c r="O119" s="382" t="str">
        <f t="shared" ca="1" si="28"/>
        <v/>
      </c>
      <c r="P119" s="382" t="str">
        <f t="shared" ca="1" si="28"/>
        <v/>
      </c>
      <c r="Q119" s="382" t="str">
        <f t="shared" ca="1" si="28"/>
        <v/>
      </c>
      <c r="R119" s="382" t="str">
        <f t="shared" ca="1" si="28"/>
        <v/>
      </c>
      <c r="S119" s="382" t="str">
        <f t="shared" ca="1" si="28"/>
        <v/>
      </c>
      <c r="T119" s="382" t="str">
        <f t="shared" ca="1" si="28"/>
        <v/>
      </c>
      <c r="U119" s="382" t="str">
        <f t="shared" ca="1" si="30"/>
        <v/>
      </c>
      <c r="V119" s="382" t="str">
        <f t="shared" ca="1" si="30"/>
        <v/>
      </c>
      <c r="W119" s="382" t="str">
        <f t="shared" ca="1" si="30"/>
        <v/>
      </c>
      <c r="X119" s="382" t="str">
        <f t="shared" ca="1" si="30"/>
        <v/>
      </c>
      <c r="Y119" s="382" t="str">
        <f t="shared" ca="1" si="30"/>
        <v/>
      </c>
      <c r="Z119" s="382" t="str">
        <f t="shared" ca="1" si="30"/>
        <v/>
      </c>
      <c r="AA119" s="382" t="str">
        <f t="shared" ca="1" si="30"/>
        <v/>
      </c>
      <c r="AB119" s="382" t="str">
        <f t="shared" ca="1" si="30"/>
        <v/>
      </c>
      <c r="AC119" s="382" t="str">
        <f t="shared" ca="1" si="30"/>
        <v/>
      </c>
      <c r="AD119" s="382" t="str">
        <f t="shared" ca="1" si="30"/>
        <v/>
      </c>
      <c r="AE119" s="382" t="str">
        <f t="shared" ca="1" si="30"/>
        <v/>
      </c>
      <c r="AF119" s="382" t="str">
        <f t="shared" ca="1" si="30"/>
        <v/>
      </c>
      <c r="AG119" s="382" t="str">
        <f t="shared" ca="1" si="30"/>
        <v/>
      </c>
      <c r="AH119" s="382" t="str">
        <f t="shared" ca="1" si="30"/>
        <v/>
      </c>
      <c r="AI119" s="382" t="str">
        <f t="shared" ca="1" si="30"/>
        <v/>
      </c>
      <c r="AJ119" s="382" t="str">
        <f t="shared" ca="1" si="30"/>
        <v/>
      </c>
      <c r="AK119" s="382" t="str">
        <f t="shared" ca="1" si="30"/>
        <v/>
      </c>
      <c r="AL119" s="382" t="str">
        <f t="shared" ca="1" si="30"/>
        <v/>
      </c>
      <c r="AM119" s="382" t="str">
        <f t="shared" ca="1" si="30"/>
        <v/>
      </c>
      <c r="AN119" s="382" t="str">
        <f t="shared" ca="1" si="30"/>
        <v/>
      </c>
      <c r="AO119" s="382" t="str">
        <f t="shared" ca="1" si="30"/>
        <v/>
      </c>
      <c r="AP119" s="382" t="str">
        <f t="shared" ca="1" si="30"/>
        <v/>
      </c>
      <c r="AQ119" s="382" t="str">
        <f t="shared" ca="1" si="30"/>
        <v/>
      </c>
      <c r="AR119" s="382" t="str">
        <f t="shared" ca="1" si="30"/>
        <v/>
      </c>
      <c r="AS119" s="382" t="str">
        <f t="shared" ca="1" si="30"/>
        <v/>
      </c>
      <c r="AT119" s="382" t="str">
        <f t="shared" ca="1" si="30"/>
        <v/>
      </c>
      <c r="AU119" s="382" t="str">
        <f t="shared" ca="1" si="30"/>
        <v/>
      </c>
      <c r="AV119" s="382" t="str">
        <f t="shared" ca="1" si="30"/>
        <v/>
      </c>
      <c r="AW119" s="382" t="str">
        <f t="shared" ca="1" si="30"/>
        <v/>
      </c>
      <c r="AX119" s="382" t="str">
        <f t="shared" ca="1" si="30"/>
        <v/>
      </c>
      <c r="AY119" s="382" t="str">
        <f t="shared" ca="1" si="30"/>
        <v/>
      </c>
      <c r="AZ119" s="382" t="str">
        <f t="shared" ca="1" si="30"/>
        <v/>
      </c>
      <c r="BA119" s="382" t="str">
        <f t="shared" ca="1" si="30"/>
        <v/>
      </c>
      <c r="BB119" s="382" t="str">
        <f t="shared" ca="1" si="30"/>
        <v/>
      </c>
      <c r="BC119" s="382" t="str">
        <f t="shared" ca="1" si="30"/>
        <v/>
      </c>
      <c r="BD119" s="382" t="str">
        <f t="shared" ca="1" si="30"/>
        <v/>
      </c>
      <c r="BE119" s="382" t="str">
        <f t="shared" ca="1" si="30"/>
        <v/>
      </c>
      <c r="BF119" s="382" t="str">
        <f t="shared" ca="1" si="30"/>
        <v/>
      </c>
      <c r="BG119" s="382" t="str">
        <f t="shared" ca="1" si="30"/>
        <v/>
      </c>
      <c r="BH119" s="382" t="str">
        <f t="shared" ca="1" si="30"/>
        <v/>
      </c>
      <c r="BI119" s="382">
        <f t="shared" ca="1" si="30"/>
        <v>0</v>
      </c>
      <c r="BJ119" s="382">
        <f t="shared" ca="1" si="30"/>
        <v>0</v>
      </c>
      <c r="BK119" s="382">
        <f t="shared" ca="1" si="30"/>
        <v>0</v>
      </c>
      <c r="BL119" s="382">
        <f t="shared" ca="1" si="30"/>
        <v>0</v>
      </c>
    </row>
    <row r="120" spans="1:64" x14ac:dyDescent="0.15">
      <c r="A120" s="395"/>
      <c r="B120" s="395">
        <f ca="1">SUMIFS(SAP_Spreadsheet!$G$11:$BN$11,SAP_Spreadsheet!$G$7:$BN$7,PnL_Speadsheet!$D120)</f>
        <v>0.11549055850575916</v>
      </c>
      <c r="C120" s="395">
        <f>SUMIFS(SAP_Spreadsheet!$G$10:$BN$10,SAP_Spreadsheet!$G$7:$BN$7,PnL_Speadsheet!$D120)</f>
        <v>1</v>
      </c>
      <c r="D120" s="396">
        <f t="shared" si="10"/>
        <v>58</v>
      </c>
      <c r="E120" s="382" t="str">
        <f t="shared" ca="1" si="28"/>
        <v/>
      </c>
      <c r="F120" s="382" t="str">
        <f t="shared" ca="1" si="28"/>
        <v/>
      </c>
      <c r="G120" s="382" t="str">
        <f t="shared" ca="1" si="28"/>
        <v/>
      </c>
      <c r="H120" s="382" t="str">
        <f t="shared" ca="1" si="28"/>
        <v/>
      </c>
      <c r="I120" s="382" t="str">
        <f t="shared" ca="1" si="28"/>
        <v/>
      </c>
      <c r="J120" s="382" t="str">
        <f t="shared" ca="1" si="28"/>
        <v/>
      </c>
      <c r="K120" s="382" t="str">
        <f t="shared" ca="1" si="28"/>
        <v/>
      </c>
      <c r="L120" s="382" t="str">
        <f t="shared" ca="1" si="28"/>
        <v/>
      </c>
      <c r="M120" s="382" t="str">
        <f t="shared" ca="1" si="28"/>
        <v/>
      </c>
      <c r="N120" s="382" t="str">
        <f t="shared" ca="1" si="28"/>
        <v/>
      </c>
      <c r="O120" s="382" t="str">
        <f t="shared" ca="1" si="28"/>
        <v/>
      </c>
      <c r="P120" s="382" t="str">
        <f t="shared" ca="1" si="28"/>
        <v/>
      </c>
      <c r="Q120" s="382" t="str">
        <f t="shared" ca="1" si="28"/>
        <v/>
      </c>
      <c r="R120" s="382" t="str">
        <f t="shared" ca="1" si="28"/>
        <v/>
      </c>
      <c r="S120" s="382" t="str">
        <f t="shared" ca="1" si="28"/>
        <v/>
      </c>
      <c r="T120" s="382" t="str">
        <f t="shared" ca="1" si="28"/>
        <v/>
      </c>
      <c r="U120" s="382" t="str">
        <f t="shared" ca="1" si="30"/>
        <v/>
      </c>
      <c r="V120" s="382" t="str">
        <f t="shared" ca="1" si="30"/>
        <v/>
      </c>
      <c r="W120" s="382" t="str">
        <f t="shared" ca="1" si="30"/>
        <v/>
      </c>
      <c r="X120" s="382" t="str">
        <f t="shared" ca="1" si="30"/>
        <v/>
      </c>
      <c r="Y120" s="382" t="str">
        <f t="shared" ca="1" si="30"/>
        <v/>
      </c>
      <c r="Z120" s="382" t="str">
        <f t="shared" ca="1" si="30"/>
        <v/>
      </c>
      <c r="AA120" s="382" t="str">
        <f t="shared" ca="1" si="30"/>
        <v/>
      </c>
      <c r="AB120" s="382" t="str">
        <f t="shared" ca="1" si="30"/>
        <v/>
      </c>
      <c r="AC120" s="382" t="str">
        <f t="shared" ca="1" si="30"/>
        <v/>
      </c>
      <c r="AD120" s="382" t="str">
        <f t="shared" ca="1" si="30"/>
        <v/>
      </c>
      <c r="AE120" s="382" t="str">
        <f t="shared" ca="1" si="30"/>
        <v/>
      </c>
      <c r="AF120" s="382" t="str">
        <f t="shared" ca="1" si="30"/>
        <v/>
      </c>
      <c r="AG120" s="382" t="str">
        <f t="shared" ca="1" si="30"/>
        <v/>
      </c>
      <c r="AH120" s="382" t="str">
        <f t="shared" ca="1" si="30"/>
        <v/>
      </c>
      <c r="AI120" s="382" t="str">
        <f t="shared" ca="1" si="30"/>
        <v/>
      </c>
      <c r="AJ120" s="382" t="str">
        <f t="shared" ca="1" si="30"/>
        <v/>
      </c>
      <c r="AK120" s="382" t="str">
        <f t="shared" ca="1" si="30"/>
        <v/>
      </c>
      <c r="AL120" s="382" t="str">
        <f t="shared" ca="1" si="30"/>
        <v/>
      </c>
      <c r="AM120" s="382" t="str">
        <f t="shared" ca="1" si="30"/>
        <v/>
      </c>
      <c r="AN120" s="382" t="str">
        <f t="shared" ca="1" si="30"/>
        <v/>
      </c>
      <c r="AO120" s="382" t="str">
        <f t="shared" ca="1" si="30"/>
        <v/>
      </c>
      <c r="AP120" s="382" t="str">
        <f t="shared" ca="1" si="30"/>
        <v/>
      </c>
      <c r="AQ120" s="382" t="str">
        <f t="shared" ca="1" si="30"/>
        <v/>
      </c>
      <c r="AR120" s="382" t="str">
        <f t="shared" ca="1" si="30"/>
        <v/>
      </c>
      <c r="AS120" s="382" t="str">
        <f t="shared" ca="1" si="30"/>
        <v/>
      </c>
      <c r="AT120" s="382" t="str">
        <f t="shared" ca="1" si="30"/>
        <v/>
      </c>
      <c r="AU120" s="382" t="str">
        <f t="shared" ca="1" si="30"/>
        <v/>
      </c>
      <c r="AV120" s="382" t="str">
        <f t="shared" ca="1" si="30"/>
        <v/>
      </c>
      <c r="AW120" s="382" t="str">
        <f t="shared" ca="1" si="30"/>
        <v/>
      </c>
      <c r="AX120" s="382" t="str">
        <f t="shared" ca="1" si="30"/>
        <v/>
      </c>
      <c r="AY120" s="382" t="str">
        <f t="shared" ca="1" si="30"/>
        <v/>
      </c>
      <c r="AZ120" s="382" t="str">
        <f t="shared" ca="1" si="30"/>
        <v/>
      </c>
      <c r="BA120" s="382" t="str">
        <f t="shared" ca="1" si="30"/>
        <v/>
      </c>
      <c r="BB120" s="382" t="str">
        <f t="shared" ca="1" si="30"/>
        <v/>
      </c>
      <c r="BC120" s="382" t="str">
        <f t="shared" ca="1" si="30"/>
        <v/>
      </c>
      <c r="BD120" s="382" t="str">
        <f t="shared" ca="1" si="30"/>
        <v/>
      </c>
      <c r="BE120" s="382" t="str">
        <f t="shared" ca="1" si="30"/>
        <v/>
      </c>
      <c r="BF120" s="382" t="str">
        <f t="shared" ca="1" si="30"/>
        <v/>
      </c>
      <c r="BG120" s="382" t="str">
        <f t="shared" ca="1" si="30"/>
        <v/>
      </c>
      <c r="BH120" s="382" t="str">
        <f t="shared" ca="1" si="30"/>
        <v/>
      </c>
      <c r="BI120" s="382" t="str">
        <f t="shared" ca="1" si="30"/>
        <v/>
      </c>
      <c r="BJ120" s="382">
        <f t="shared" ca="1" si="30"/>
        <v>0</v>
      </c>
      <c r="BK120" s="382">
        <f t="shared" ca="1" si="30"/>
        <v>0</v>
      </c>
      <c r="BL120" s="382">
        <f t="shared" ca="1" si="30"/>
        <v>0</v>
      </c>
    </row>
    <row r="121" spans="1:64" x14ac:dyDescent="0.15">
      <c r="A121" s="395"/>
      <c r="B121" s="395">
        <f ca="1">SUMIFS(SAP_Spreadsheet!$G$11:$BN$11,SAP_Spreadsheet!$G$7:$BN$7,PnL_Speadsheet!$D121)</f>
        <v>0.11134376084026265</v>
      </c>
      <c r="C121" s="395">
        <f>SUMIFS(SAP_Spreadsheet!$G$10:$BN$10,SAP_Spreadsheet!$G$7:$BN$7,PnL_Speadsheet!$D121)</f>
        <v>1</v>
      </c>
      <c r="D121" s="396">
        <f t="shared" si="10"/>
        <v>59</v>
      </c>
      <c r="E121" s="382" t="str">
        <f t="shared" ca="1" si="28"/>
        <v/>
      </c>
      <c r="F121" s="382" t="str">
        <f t="shared" ca="1" si="28"/>
        <v/>
      </c>
      <c r="G121" s="382" t="str">
        <f t="shared" ca="1" si="28"/>
        <v/>
      </c>
      <c r="H121" s="382" t="str">
        <f t="shared" ca="1" si="28"/>
        <v/>
      </c>
      <c r="I121" s="382" t="str">
        <f t="shared" ca="1" si="28"/>
        <v/>
      </c>
      <c r="J121" s="382" t="str">
        <f t="shared" ca="1" si="28"/>
        <v/>
      </c>
      <c r="K121" s="382" t="str">
        <f t="shared" ca="1" si="28"/>
        <v/>
      </c>
      <c r="L121" s="382" t="str">
        <f t="shared" ca="1" si="28"/>
        <v/>
      </c>
      <c r="M121" s="382" t="str">
        <f t="shared" ca="1" si="28"/>
        <v/>
      </c>
      <c r="N121" s="382" t="str">
        <f t="shared" ca="1" si="28"/>
        <v/>
      </c>
      <c r="O121" s="382" t="str">
        <f t="shared" ca="1" si="28"/>
        <v/>
      </c>
      <c r="P121" s="382" t="str">
        <f t="shared" ca="1" si="28"/>
        <v/>
      </c>
      <c r="Q121" s="382" t="str">
        <f t="shared" ca="1" si="28"/>
        <v/>
      </c>
      <c r="R121" s="382" t="str">
        <f t="shared" ca="1" si="28"/>
        <v/>
      </c>
      <c r="S121" s="382" t="str">
        <f t="shared" ca="1" si="28"/>
        <v/>
      </c>
      <c r="T121" s="382" t="str">
        <f t="shared" ca="1" si="28"/>
        <v/>
      </c>
      <c r="U121" s="382" t="str">
        <f t="shared" ca="1" si="30"/>
        <v/>
      </c>
      <c r="V121" s="382" t="str">
        <f t="shared" ca="1" si="30"/>
        <v/>
      </c>
      <c r="W121" s="382" t="str">
        <f t="shared" ca="1" si="30"/>
        <v/>
      </c>
      <c r="X121" s="382" t="str">
        <f t="shared" ca="1" si="30"/>
        <v/>
      </c>
      <c r="Y121" s="382" t="str">
        <f t="shared" ca="1" si="30"/>
        <v/>
      </c>
      <c r="Z121" s="382" t="str">
        <f t="shared" ca="1" si="30"/>
        <v/>
      </c>
      <c r="AA121" s="382" t="str">
        <f t="shared" ca="1" si="30"/>
        <v/>
      </c>
      <c r="AB121" s="382" t="str">
        <f t="shared" ca="1" si="30"/>
        <v/>
      </c>
      <c r="AC121" s="382" t="str">
        <f t="shared" ca="1" si="30"/>
        <v/>
      </c>
      <c r="AD121" s="382" t="str">
        <f t="shared" ca="1" si="30"/>
        <v/>
      </c>
      <c r="AE121" s="382" t="str">
        <f t="shared" ca="1" si="30"/>
        <v/>
      </c>
      <c r="AF121" s="382" t="str">
        <f t="shared" ca="1" si="30"/>
        <v/>
      </c>
      <c r="AG121" s="382" t="str">
        <f t="shared" ca="1" si="30"/>
        <v/>
      </c>
      <c r="AH121" s="382" t="str">
        <f t="shared" ca="1" si="30"/>
        <v/>
      </c>
      <c r="AI121" s="382" t="str">
        <f t="shared" ca="1" si="30"/>
        <v/>
      </c>
      <c r="AJ121" s="382" t="str">
        <f t="shared" ca="1" si="30"/>
        <v/>
      </c>
      <c r="AK121" s="382" t="str">
        <f t="shared" ca="1" si="30"/>
        <v/>
      </c>
      <c r="AL121" s="382" t="str">
        <f t="shared" ca="1" si="30"/>
        <v/>
      </c>
      <c r="AM121" s="382" t="str">
        <f t="shared" ca="1" si="30"/>
        <v/>
      </c>
      <c r="AN121" s="382" t="str">
        <f t="shared" ca="1" si="30"/>
        <v/>
      </c>
      <c r="AO121" s="382" t="str">
        <f t="shared" ca="1" si="30"/>
        <v/>
      </c>
      <c r="AP121" s="382" t="str">
        <f t="shared" ca="1" si="30"/>
        <v/>
      </c>
      <c r="AQ121" s="382" t="str">
        <f t="shared" ca="1" si="30"/>
        <v/>
      </c>
      <c r="AR121" s="382" t="str">
        <f t="shared" ca="1" si="30"/>
        <v/>
      </c>
      <c r="AS121" s="382" t="str">
        <f t="shared" ca="1" si="30"/>
        <v/>
      </c>
      <c r="AT121" s="382" t="str">
        <f t="shared" ca="1" si="30"/>
        <v/>
      </c>
      <c r="AU121" s="382" t="str">
        <f t="shared" ca="1" si="30"/>
        <v/>
      </c>
      <c r="AV121" s="382" t="str">
        <f t="shared" ca="1" si="30"/>
        <v/>
      </c>
      <c r="AW121" s="382" t="str">
        <f t="shared" ca="1" si="30"/>
        <v/>
      </c>
      <c r="AX121" s="382" t="str">
        <f t="shared" ca="1" si="30"/>
        <v/>
      </c>
      <c r="AY121" s="382" t="str">
        <f t="shared" ca="1" si="30"/>
        <v/>
      </c>
      <c r="AZ121" s="382" t="str">
        <f t="shared" ca="1" si="30"/>
        <v/>
      </c>
      <c r="BA121" s="382" t="str">
        <f t="shared" ca="1" si="30"/>
        <v/>
      </c>
      <c r="BB121" s="382" t="str">
        <f t="shared" ca="1" si="30"/>
        <v/>
      </c>
      <c r="BC121" s="382" t="str">
        <f t="shared" ca="1" si="30"/>
        <v/>
      </c>
      <c r="BD121" s="382" t="str">
        <f t="shared" ca="1" si="30"/>
        <v/>
      </c>
      <c r="BE121" s="382" t="str">
        <f t="shared" ca="1" si="30"/>
        <v/>
      </c>
      <c r="BF121" s="382" t="str">
        <f t="shared" ca="1" si="30"/>
        <v/>
      </c>
      <c r="BG121" s="382" t="str">
        <f t="shared" ca="1" si="30"/>
        <v/>
      </c>
      <c r="BH121" s="382" t="str">
        <f t="shared" ca="1" si="30"/>
        <v/>
      </c>
      <c r="BI121" s="382" t="str">
        <f t="shared" ca="1" si="30"/>
        <v/>
      </c>
      <c r="BJ121" s="382" t="str">
        <f t="shared" ca="1" si="30"/>
        <v/>
      </c>
      <c r="BK121" s="382">
        <f t="shared" ca="1" si="30"/>
        <v>0</v>
      </c>
      <c r="BL121" s="382">
        <f t="shared" ca="1" si="30"/>
        <v>0</v>
      </c>
    </row>
    <row r="122" spans="1:64" x14ac:dyDescent="0.15">
      <c r="A122" s="395"/>
      <c r="B122" s="395">
        <f ca="1">SUMIFS(SAP_Spreadsheet!$G$11:$BN$11,SAP_Spreadsheet!$G$7:$BN$7,PnL_Speadsheet!$D122)</f>
        <v>0.10719696317476614</v>
      </c>
      <c r="C122" s="395">
        <f>SUMIFS(SAP_Spreadsheet!$G$10:$BN$10,SAP_Spreadsheet!$G$7:$BN$7,PnL_Speadsheet!$D122)</f>
        <v>1</v>
      </c>
      <c r="D122" s="396">
        <f t="shared" si="10"/>
        <v>60</v>
      </c>
      <c r="E122" s="382" t="str">
        <f t="shared" ca="1" si="28"/>
        <v/>
      </c>
      <c r="F122" s="382" t="str">
        <f t="shared" ca="1" si="28"/>
        <v/>
      </c>
      <c r="G122" s="382" t="str">
        <f t="shared" ca="1" si="28"/>
        <v/>
      </c>
      <c r="H122" s="382" t="str">
        <f t="shared" ca="1" si="28"/>
        <v/>
      </c>
      <c r="I122" s="382" t="str">
        <f t="shared" ca="1" si="28"/>
        <v/>
      </c>
      <c r="J122" s="382" t="str">
        <f t="shared" ca="1" si="28"/>
        <v/>
      </c>
      <c r="K122" s="382" t="str">
        <f t="shared" ca="1" si="28"/>
        <v/>
      </c>
      <c r="L122" s="382" t="str">
        <f t="shared" ca="1" si="28"/>
        <v/>
      </c>
      <c r="M122" s="382" t="str">
        <f t="shared" ca="1" si="28"/>
        <v/>
      </c>
      <c r="N122" s="382" t="str">
        <f t="shared" ca="1" si="28"/>
        <v/>
      </c>
      <c r="O122" s="382" t="str">
        <f t="shared" ca="1" si="28"/>
        <v/>
      </c>
      <c r="P122" s="382" t="str">
        <f t="shared" ca="1" si="28"/>
        <v/>
      </c>
      <c r="Q122" s="382" t="str">
        <f t="shared" ca="1" si="28"/>
        <v/>
      </c>
      <c r="R122" s="382" t="str">
        <f t="shared" ca="1" si="28"/>
        <v/>
      </c>
      <c r="S122" s="382" t="str">
        <f t="shared" ca="1" si="28"/>
        <v/>
      </c>
      <c r="T122" s="382" t="str">
        <f t="shared" ca="1" si="28"/>
        <v/>
      </c>
      <c r="U122" s="382" t="str">
        <f t="shared" ca="1" si="30"/>
        <v/>
      </c>
      <c r="V122" s="382" t="str">
        <f t="shared" ca="1" si="30"/>
        <v/>
      </c>
      <c r="W122" s="382" t="str">
        <f t="shared" ca="1" si="30"/>
        <v/>
      </c>
      <c r="X122" s="382" t="str">
        <f t="shared" ca="1" si="30"/>
        <v/>
      </c>
      <c r="Y122" s="382" t="str">
        <f t="shared" ca="1" si="30"/>
        <v/>
      </c>
      <c r="Z122" s="382" t="str">
        <f t="shared" ca="1" si="30"/>
        <v/>
      </c>
      <c r="AA122" s="382" t="str">
        <f t="shared" ca="1" si="30"/>
        <v/>
      </c>
      <c r="AB122" s="382" t="str">
        <f t="shared" ca="1" si="30"/>
        <v/>
      </c>
      <c r="AC122" s="382" t="str">
        <f t="shared" ca="1" si="30"/>
        <v/>
      </c>
      <c r="AD122" s="382" t="str">
        <f t="shared" ca="1" si="30"/>
        <v/>
      </c>
      <c r="AE122" s="382" t="str">
        <f t="shared" ca="1" si="30"/>
        <v/>
      </c>
      <c r="AF122" s="382" t="str">
        <f t="shared" ca="1" si="30"/>
        <v/>
      </c>
      <c r="AG122" s="382" t="str">
        <f t="shared" ca="1" si="30"/>
        <v/>
      </c>
      <c r="AH122" s="382" t="str">
        <f t="shared" ca="1" si="30"/>
        <v/>
      </c>
      <c r="AI122" s="382" t="str">
        <f t="shared" ca="1" si="30"/>
        <v/>
      </c>
      <c r="AJ122" s="382" t="str">
        <f t="shared" ca="1" si="30"/>
        <v/>
      </c>
      <c r="AK122" s="382" t="str">
        <f t="shared" ca="1" si="30"/>
        <v/>
      </c>
      <c r="AL122" s="382" t="str">
        <f t="shared" ca="1" si="30"/>
        <v/>
      </c>
      <c r="AM122" s="382" t="str">
        <f t="shared" ca="1" si="30"/>
        <v/>
      </c>
      <c r="AN122" s="382" t="str">
        <f t="shared" ca="1" si="30"/>
        <v/>
      </c>
      <c r="AO122" s="382" t="str">
        <f t="shared" ca="1" si="30"/>
        <v/>
      </c>
      <c r="AP122" s="382" t="str">
        <f t="shared" ca="1" si="30"/>
        <v/>
      </c>
      <c r="AQ122" s="382" t="str">
        <f t="shared" ca="1" si="30"/>
        <v/>
      </c>
      <c r="AR122" s="382" t="str">
        <f t="shared" ca="1" si="30"/>
        <v/>
      </c>
      <c r="AS122" s="382" t="str">
        <f t="shared" ca="1" si="30"/>
        <v/>
      </c>
      <c r="AT122" s="382" t="str">
        <f t="shared" ca="1" si="30"/>
        <v/>
      </c>
      <c r="AU122" s="382" t="str">
        <f t="shared" ca="1" si="30"/>
        <v/>
      </c>
      <c r="AV122" s="382" t="str">
        <f t="shared" ca="1" si="30"/>
        <v/>
      </c>
      <c r="AW122" s="382" t="str">
        <f t="shared" ca="1" si="30"/>
        <v/>
      </c>
      <c r="AX122" s="382" t="str">
        <f t="shared" ca="1" si="30"/>
        <v/>
      </c>
      <c r="AY122" s="382" t="str">
        <f t="shared" ca="1" si="30"/>
        <v/>
      </c>
      <c r="AZ122" s="382" t="str">
        <f t="shared" ca="1" si="30"/>
        <v/>
      </c>
      <c r="BA122" s="382" t="str">
        <f t="shared" ca="1" si="30"/>
        <v/>
      </c>
      <c r="BB122" s="382" t="str">
        <f t="shared" ca="1" si="30"/>
        <v/>
      </c>
      <c r="BC122" s="382" t="str">
        <f t="shared" ca="1" si="30"/>
        <v/>
      </c>
      <c r="BD122" s="382" t="str">
        <f t="shared" ref="BD122:DJ125" ca="1" si="31">IF($D122&gt;$C$61,0,IF($D122&gt;BD$5,"",OFFSET(BD$62,0,-($D122-1))))</f>
        <v/>
      </c>
      <c r="BE122" s="382" t="str">
        <f t="shared" ca="1" si="31"/>
        <v/>
      </c>
      <c r="BF122" s="382" t="str">
        <f t="shared" ca="1" si="31"/>
        <v/>
      </c>
      <c r="BG122" s="382" t="str">
        <f t="shared" ca="1" si="31"/>
        <v/>
      </c>
      <c r="BH122" s="382" t="str">
        <f t="shared" ca="1" si="31"/>
        <v/>
      </c>
      <c r="BI122" s="382" t="str">
        <f t="shared" ca="1" si="31"/>
        <v/>
      </c>
      <c r="BJ122" s="382" t="str">
        <f t="shared" ca="1" si="31"/>
        <v/>
      </c>
      <c r="BK122" s="382" t="str">
        <f t="shared" ca="1" si="31"/>
        <v/>
      </c>
      <c r="BL122" s="382">
        <f t="shared" ca="1" si="31"/>
        <v>0</v>
      </c>
    </row>
  </sheetData>
  <sheetProtection algorithmName="SHA-512" hashValue="TimZ3/MBJhpIHcOlhKXQKu2JSlBDMTgUL08b4Lh86Iqu7ahCz5nfRBTPaUrXPxBpG5otSZd7cFq6XdwodwykPQ==" saltValue="lMElmEeRQA7au8fU+u1gLQ=="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6C250-5819-E844-BEB5-2AF9F4289CAC}">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vt:lpstr>
      <vt:lpstr>SAP_Leadsheet</vt:lpstr>
      <vt:lpstr>DATA</vt:lpstr>
      <vt:lpstr>SAP_Spreadsheet</vt:lpstr>
      <vt:lpstr>Sales plan&amp; PnL</vt:lpstr>
      <vt:lpstr>PnL_Speadsheet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2026-05-13T03:50:23Z</dcterms:created>
  <dcterms:modified xsi:type="dcterms:W3CDTF">2026-05-13T03:51:22Z</dcterms:modified>
</cp:coreProperties>
</file>